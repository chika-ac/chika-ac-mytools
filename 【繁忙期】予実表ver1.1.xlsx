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yoffice.accenture.com/personal/sumire_ichimaru_accenture_com/Documents/横浜市/繁忙期工数確認/予実表/"/>
    </mc:Choice>
  </mc:AlternateContent>
  <xr:revisionPtr revIDLastSave="3646" documentId="13_ncr:1_{0DEAFC2A-A5D2-4CF4-A8ED-EDBAFF6209D7}" xr6:coauthVersionLast="47" xr6:coauthVersionMax="47" xr10:uidLastSave="{F3B8BD93-410A-47D8-82A8-95EFF7362076}"/>
  <bookViews>
    <workbookView xWindow="-120" yWindow="-16320" windowWidth="29040" windowHeight="15720" tabRatio="722" xr2:uid="{A12490AC-F5A8-4F3C-8DFD-566ED3D3E8F0}"/>
  </bookViews>
  <sheets>
    <sheet name="0401(予定）" sheetId="17" r:id="rId1"/>
    <sheet name="0401(実績)" sheetId="27" r:id="rId2"/>
    <sheet name="0401(予実)" sheetId="25" r:id="rId3"/>
    <sheet name="0501(予定)" sheetId="18" r:id="rId4"/>
    <sheet name="0501(実績)" sheetId="28" r:id="rId5"/>
    <sheet name="0501(予実) " sheetId="29" r:id="rId6"/>
    <sheet name="0601(予定)" sheetId="19" r:id="rId7"/>
    <sheet name="0601(実績)" sheetId="30" r:id="rId8"/>
    <sheet name="0601(予実)" sheetId="31" r:id="rId9"/>
    <sheet name="0701" sheetId="20" r:id="rId10"/>
    <sheet name="TASK" sheetId="23" state="hidden" r:id="rId11"/>
    <sheet name="祝日" sheetId="3" state="hidden" r:id="rId12"/>
    <sheet name="0801" sheetId="22" r:id="rId13"/>
    <sheet name="受発送担当" sheetId="21" r:id="rId14"/>
  </sheets>
  <definedNames>
    <definedName name="_xlnm._FilterDatabase" localSheetId="1" hidden="1">'0401(実績)'!$B$6:$AL$83</definedName>
    <definedName name="_xlnm._FilterDatabase" localSheetId="2" hidden="1">'0401(予実)'!$B$5:$AL$29</definedName>
    <definedName name="_xlnm._FilterDatabase" localSheetId="0" hidden="1">'0401(予定）'!$B$5:$AL$51</definedName>
    <definedName name="_xlnm._FilterDatabase" localSheetId="4" hidden="1">'0501(実績)'!$B$6:$AL$86</definedName>
    <definedName name="_xlnm._FilterDatabase" localSheetId="5" hidden="1">'0501(予実) '!$B$5:$AL$29</definedName>
    <definedName name="_xlnm._FilterDatabase" localSheetId="3" hidden="1">'0501(予定)'!$B$5:$AM$63</definedName>
    <definedName name="_xlnm._FilterDatabase" localSheetId="7" hidden="1">'0601(実績)'!$B$6:$AL$86</definedName>
    <definedName name="_xlnm._FilterDatabase" localSheetId="8" hidden="1">'0601(予実)'!$B$5:$AL$29</definedName>
    <definedName name="_xlnm._FilterDatabase" localSheetId="6" hidden="1">'0601(予定)'!$B$5:$AL$59</definedName>
    <definedName name="_xlnm._FilterDatabase" localSheetId="9" hidden="1">'0701'!$B$5:$AM$59</definedName>
    <definedName name="_xlnm._FilterDatabase" localSheetId="12" hidden="1">'0801'!$B$5:$AM$17</definedName>
    <definedName name="業務名">#REF!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7" i="30" l="1"/>
  <c r="Y29" i="31" s="1"/>
  <c r="V29" i="31"/>
  <c r="N29" i="31"/>
  <c r="G29" i="31"/>
  <c r="F29" i="31"/>
  <c r="AK28" i="31"/>
  <c r="AJ28" i="31"/>
  <c r="AI28" i="31"/>
  <c r="AH28" i="31"/>
  <c r="AG28" i="31"/>
  <c r="AF28" i="31"/>
  <c r="AE28" i="31"/>
  <c r="AD28" i="31"/>
  <c r="AC28" i="31"/>
  <c r="AB28" i="31"/>
  <c r="AA28" i="31"/>
  <c r="Z28" i="31"/>
  <c r="Y28" i="31"/>
  <c r="X28" i="31"/>
  <c r="W28" i="31"/>
  <c r="V28" i="31"/>
  <c r="U28" i="31"/>
  <c r="T28" i="31"/>
  <c r="S28" i="31"/>
  <c r="R28" i="31"/>
  <c r="Q28" i="31"/>
  <c r="P28" i="31"/>
  <c r="O28" i="31"/>
  <c r="N28" i="31"/>
  <c r="M28" i="31"/>
  <c r="L28" i="31"/>
  <c r="K28" i="31"/>
  <c r="J28" i="31"/>
  <c r="I28" i="31"/>
  <c r="H28" i="31"/>
  <c r="G28" i="31"/>
  <c r="F28" i="31"/>
  <c r="E28"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M27" i="31"/>
  <c r="L27" i="31"/>
  <c r="K27" i="31"/>
  <c r="J27" i="31"/>
  <c r="I27" i="31"/>
  <c r="H27" i="31"/>
  <c r="G27" i="31"/>
  <c r="F27" i="31"/>
  <c r="E27" i="31"/>
  <c r="AK26" i="31"/>
  <c r="AJ26" i="31"/>
  <c r="AI26" i="31"/>
  <c r="AH26" i="31"/>
  <c r="AG26" i="31"/>
  <c r="AF26" i="31"/>
  <c r="AE26" i="31"/>
  <c r="AD26" i="31"/>
  <c r="AC26" i="31"/>
  <c r="AB26" i="31"/>
  <c r="AA26" i="31"/>
  <c r="Z26" i="31"/>
  <c r="Y26" i="31"/>
  <c r="X26" i="31"/>
  <c r="W26" i="31"/>
  <c r="V26" i="31"/>
  <c r="U26" i="31"/>
  <c r="T26" i="31"/>
  <c r="S26" i="31"/>
  <c r="R26" i="31"/>
  <c r="Q26" i="31"/>
  <c r="P26" i="31"/>
  <c r="O26" i="31"/>
  <c r="N26" i="31"/>
  <c r="M26" i="31"/>
  <c r="L26" i="31"/>
  <c r="K26" i="31"/>
  <c r="J26" i="31"/>
  <c r="I26" i="31"/>
  <c r="H26" i="31"/>
  <c r="G26" i="31"/>
  <c r="F26" i="31"/>
  <c r="E26" i="31"/>
  <c r="AK25" i="31"/>
  <c r="AJ25" i="31"/>
  <c r="AI25" i="31"/>
  <c r="AH25" i="31"/>
  <c r="AG25" i="31"/>
  <c r="AF25" i="31"/>
  <c r="AE25" i="31"/>
  <c r="AD25" i="31"/>
  <c r="AC25" i="31"/>
  <c r="AB25" i="31"/>
  <c r="AA25" i="31"/>
  <c r="Z25" i="31"/>
  <c r="Y25" i="31"/>
  <c r="X25" i="31"/>
  <c r="W25" i="31"/>
  <c r="V25" i="31"/>
  <c r="U25" i="31"/>
  <c r="T25" i="31"/>
  <c r="S25" i="31"/>
  <c r="R25" i="31"/>
  <c r="Q25" i="31"/>
  <c r="P25" i="31"/>
  <c r="O25" i="31"/>
  <c r="N25" i="31"/>
  <c r="M25" i="31"/>
  <c r="L25" i="31"/>
  <c r="K25" i="31"/>
  <c r="J25" i="31"/>
  <c r="I25" i="31"/>
  <c r="H25" i="31"/>
  <c r="G25" i="31"/>
  <c r="F25" i="31"/>
  <c r="AK24" i="31"/>
  <c r="AJ24" i="31"/>
  <c r="AI24" i="31"/>
  <c r="AH24" i="31"/>
  <c r="AG24" i="31"/>
  <c r="AF24" i="31"/>
  <c r="AE24" i="31"/>
  <c r="AD24" i="31"/>
  <c r="AC24" i="31"/>
  <c r="AB24" i="31"/>
  <c r="AA24" i="31"/>
  <c r="Z24" i="31"/>
  <c r="Y24" i="31"/>
  <c r="X24" i="31"/>
  <c r="W24" i="31"/>
  <c r="V24" i="31"/>
  <c r="U24" i="31"/>
  <c r="T24" i="31"/>
  <c r="S24" i="31"/>
  <c r="R24" i="31"/>
  <c r="Q24" i="31"/>
  <c r="P24" i="31"/>
  <c r="O24" i="31"/>
  <c r="N24" i="31"/>
  <c r="M24" i="31"/>
  <c r="L24" i="31"/>
  <c r="K24" i="31"/>
  <c r="J24" i="31"/>
  <c r="I24" i="31"/>
  <c r="H24" i="31"/>
  <c r="G24" i="31"/>
  <c r="F24" i="31"/>
  <c r="E24" i="31"/>
  <c r="O23" i="31"/>
  <c r="G23" i="31"/>
  <c r="F23" i="31"/>
  <c r="AK22" i="31"/>
  <c r="AJ22" i="31"/>
  <c r="AI22" i="31"/>
  <c r="AH22" i="31"/>
  <c r="AG22" i="31"/>
  <c r="AF22" i="31"/>
  <c r="AE22" i="31"/>
  <c r="AD22" i="31"/>
  <c r="AC22" i="31"/>
  <c r="AB22" i="31"/>
  <c r="AA22" i="31"/>
  <c r="Z22" i="31"/>
  <c r="Y22" i="31"/>
  <c r="X22" i="31"/>
  <c r="W22" i="31"/>
  <c r="V22" i="31"/>
  <c r="U22" i="31"/>
  <c r="T22" i="31"/>
  <c r="S22" i="31"/>
  <c r="R22" i="31"/>
  <c r="Q22" i="31"/>
  <c r="P22" i="31"/>
  <c r="O22" i="31"/>
  <c r="N22" i="31"/>
  <c r="M22" i="31"/>
  <c r="L22" i="31"/>
  <c r="K22" i="31"/>
  <c r="J22" i="31"/>
  <c r="I22" i="31"/>
  <c r="H22" i="31"/>
  <c r="G22" i="31"/>
  <c r="F22" i="31"/>
  <c r="E22" i="31"/>
  <c r="AK21" i="31"/>
  <c r="AJ21" i="31"/>
  <c r="AI21" i="31"/>
  <c r="AH21" i="31"/>
  <c r="AG21" i="31"/>
  <c r="AF21" i="31"/>
  <c r="AE21" i="31"/>
  <c r="AD21" i="31"/>
  <c r="AC21" i="31"/>
  <c r="AB21" i="31"/>
  <c r="AA21" i="31"/>
  <c r="Z21" i="31"/>
  <c r="Y21" i="31"/>
  <c r="X21" i="31"/>
  <c r="W21" i="31"/>
  <c r="V21" i="31"/>
  <c r="U21" i="31"/>
  <c r="T21" i="31"/>
  <c r="S21" i="31"/>
  <c r="R21" i="31"/>
  <c r="Q21" i="31"/>
  <c r="P21" i="31"/>
  <c r="O21" i="31"/>
  <c r="N21" i="31"/>
  <c r="M21" i="31"/>
  <c r="L21" i="31"/>
  <c r="K21" i="31"/>
  <c r="J21" i="31"/>
  <c r="I21" i="31"/>
  <c r="H21" i="31"/>
  <c r="G21" i="31"/>
  <c r="F21" i="31"/>
  <c r="E21" i="31"/>
  <c r="AK20" i="31"/>
  <c r="AJ20" i="31"/>
  <c r="AI20" i="31"/>
  <c r="AH20" i="31"/>
  <c r="AG20" i="31"/>
  <c r="AF20" i="31"/>
  <c r="AE20" i="31"/>
  <c r="AD20" i="31"/>
  <c r="AC20" i="31"/>
  <c r="AB20" i="31"/>
  <c r="AA20" i="31"/>
  <c r="Z20" i="31"/>
  <c r="Y20" i="31"/>
  <c r="X20" i="31"/>
  <c r="W20" i="31"/>
  <c r="V20" i="31"/>
  <c r="U20" i="31"/>
  <c r="T20" i="31"/>
  <c r="S20" i="31"/>
  <c r="R20" i="31"/>
  <c r="Q20" i="31"/>
  <c r="P20" i="31"/>
  <c r="O20" i="31"/>
  <c r="N20" i="31"/>
  <c r="M20" i="31"/>
  <c r="L20" i="31"/>
  <c r="K20" i="31"/>
  <c r="J20" i="31"/>
  <c r="I20" i="31"/>
  <c r="H20" i="31"/>
  <c r="G20" i="31"/>
  <c r="F20" i="31"/>
  <c r="E20" i="31"/>
  <c r="AK19" i="31"/>
  <c r="AJ19" i="31"/>
  <c r="AI19" i="31"/>
  <c r="AH19" i="31"/>
  <c r="AG19" i="31"/>
  <c r="AF19" i="31"/>
  <c r="AE19" i="31"/>
  <c r="AD19" i="31"/>
  <c r="AC19" i="31"/>
  <c r="AB19" i="31"/>
  <c r="AA19" i="31"/>
  <c r="Z19" i="31"/>
  <c r="Y19" i="31"/>
  <c r="X19" i="31"/>
  <c r="W19" i="31"/>
  <c r="V19" i="31"/>
  <c r="U19" i="31"/>
  <c r="T19" i="31"/>
  <c r="S19" i="31"/>
  <c r="R19" i="31"/>
  <c r="Q19" i="31"/>
  <c r="P19" i="31"/>
  <c r="O19" i="31"/>
  <c r="N19" i="31"/>
  <c r="M19" i="31"/>
  <c r="L19" i="31"/>
  <c r="K19" i="31"/>
  <c r="J19" i="31"/>
  <c r="I19" i="31"/>
  <c r="H19" i="31"/>
  <c r="G19" i="31"/>
  <c r="F19" i="31"/>
  <c r="AK18" i="31"/>
  <c r="AJ18" i="31"/>
  <c r="AI18" i="31"/>
  <c r="AH18" i="31"/>
  <c r="AG18" i="31"/>
  <c r="AF18" i="31"/>
  <c r="AE18" i="31"/>
  <c r="AD18" i="31"/>
  <c r="AC18" i="31"/>
  <c r="AB18" i="31"/>
  <c r="AA18" i="31"/>
  <c r="Z18" i="31"/>
  <c r="Y18" i="31"/>
  <c r="X18" i="31"/>
  <c r="W18" i="31"/>
  <c r="V18" i="31"/>
  <c r="U18" i="31"/>
  <c r="T18" i="31"/>
  <c r="S18" i="31"/>
  <c r="R18" i="31"/>
  <c r="Q18" i="31"/>
  <c r="P18" i="31"/>
  <c r="O18" i="31"/>
  <c r="N18" i="31"/>
  <c r="M18" i="31"/>
  <c r="L18" i="31"/>
  <c r="K18" i="31"/>
  <c r="J18" i="31"/>
  <c r="I18" i="31"/>
  <c r="H18" i="31"/>
  <c r="G18" i="31"/>
  <c r="F18" i="31"/>
  <c r="E18" i="31"/>
  <c r="AK17" i="31"/>
  <c r="AJ17" i="31"/>
  <c r="AI17" i="31"/>
  <c r="AH17" i="31"/>
  <c r="AG17" i="31"/>
  <c r="AF17" i="31"/>
  <c r="AE17" i="31"/>
  <c r="AD17" i="31"/>
  <c r="AC17" i="31"/>
  <c r="AB17" i="31"/>
  <c r="AA17" i="31"/>
  <c r="Z17" i="31"/>
  <c r="Y17" i="31"/>
  <c r="X17" i="31"/>
  <c r="W17" i="31"/>
  <c r="V17" i="31"/>
  <c r="U17" i="31"/>
  <c r="T17" i="31"/>
  <c r="S17" i="31"/>
  <c r="R17" i="31"/>
  <c r="Q17" i="31"/>
  <c r="P17" i="31"/>
  <c r="O17" i="31"/>
  <c r="N17" i="31"/>
  <c r="M17" i="31"/>
  <c r="L17" i="31"/>
  <c r="K17" i="31"/>
  <c r="J17" i="31"/>
  <c r="I17" i="31"/>
  <c r="H17" i="31"/>
  <c r="G17" i="31"/>
  <c r="F17" i="31"/>
  <c r="AK16" i="31"/>
  <c r="AJ16" i="31"/>
  <c r="AI16" i="31"/>
  <c r="AH16" i="31"/>
  <c r="AG16" i="31"/>
  <c r="AF16" i="31"/>
  <c r="AE16" i="31"/>
  <c r="AD16" i="31"/>
  <c r="AC16" i="31"/>
  <c r="AB16" i="31"/>
  <c r="AA16" i="31"/>
  <c r="Z16" i="31"/>
  <c r="Y16" i="31"/>
  <c r="X16" i="31"/>
  <c r="W16" i="31"/>
  <c r="V16" i="31"/>
  <c r="U16" i="31"/>
  <c r="T16" i="31"/>
  <c r="S16" i="31"/>
  <c r="R16" i="31"/>
  <c r="Q16" i="31"/>
  <c r="P16" i="31"/>
  <c r="O16" i="31"/>
  <c r="N16" i="31"/>
  <c r="M16" i="31"/>
  <c r="L16" i="31"/>
  <c r="K16" i="31"/>
  <c r="J16" i="31"/>
  <c r="I16" i="31"/>
  <c r="H16" i="31"/>
  <c r="G16" i="31"/>
  <c r="F16" i="31"/>
  <c r="E16" i="31"/>
  <c r="AK15" i="31"/>
  <c r="AJ15" i="31"/>
  <c r="AI15" i="31"/>
  <c r="AH15" i="31"/>
  <c r="AG15" i="31"/>
  <c r="AF15" i="31"/>
  <c r="AE15" i="31"/>
  <c r="AD15" i="31"/>
  <c r="AC15" i="31"/>
  <c r="AB15" i="31"/>
  <c r="AA15" i="31"/>
  <c r="Z15" i="31"/>
  <c r="Y15" i="31"/>
  <c r="X15" i="31"/>
  <c r="W15" i="31"/>
  <c r="V15" i="31"/>
  <c r="U15" i="31"/>
  <c r="T15" i="31"/>
  <c r="S15" i="31"/>
  <c r="R15" i="31"/>
  <c r="Q15" i="31"/>
  <c r="P15" i="31"/>
  <c r="O15" i="31"/>
  <c r="N15" i="31"/>
  <c r="M15" i="31"/>
  <c r="L15" i="31"/>
  <c r="K15" i="31"/>
  <c r="J15" i="31"/>
  <c r="I15" i="31"/>
  <c r="H15" i="31"/>
  <c r="G15" i="31"/>
  <c r="F15" i="31"/>
  <c r="AK14" i="31"/>
  <c r="AJ14" i="31"/>
  <c r="AI14" i="31"/>
  <c r="AH14" i="31"/>
  <c r="AG14" i="31"/>
  <c r="AF14" i="31"/>
  <c r="AE14" i="31"/>
  <c r="AD14" i="31"/>
  <c r="AC14" i="31"/>
  <c r="AB14" i="31"/>
  <c r="AA14" i="31"/>
  <c r="Z14" i="31"/>
  <c r="Y14" i="31"/>
  <c r="X14" i="31"/>
  <c r="W14" i="31"/>
  <c r="V14" i="31"/>
  <c r="U14" i="31"/>
  <c r="T14" i="31"/>
  <c r="S14" i="31"/>
  <c r="R14" i="31"/>
  <c r="Q14" i="31"/>
  <c r="P14" i="31"/>
  <c r="O14" i="31"/>
  <c r="N14" i="31"/>
  <c r="M14" i="31"/>
  <c r="L14" i="31"/>
  <c r="K14" i="31"/>
  <c r="J14" i="31"/>
  <c r="I14" i="31"/>
  <c r="H14" i="31"/>
  <c r="G14" i="31"/>
  <c r="F14" i="31"/>
  <c r="E14" i="31"/>
  <c r="AK13" i="31"/>
  <c r="AJ13" i="31"/>
  <c r="AI13" i="31"/>
  <c r="AH13" i="31"/>
  <c r="AG13" i="31"/>
  <c r="AF13" i="31"/>
  <c r="AE13" i="31"/>
  <c r="AD13" i="31"/>
  <c r="AC13" i="31"/>
  <c r="AB13" i="31"/>
  <c r="AA13" i="31"/>
  <c r="Z13" i="31"/>
  <c r="Y13" i="31"/>
  <c r="X13" i="31"/>
  <c r="W13" i="31"/>
  <c r="V13" i="31"/>
  <c r="U13" i="31"/>
  <c r="T13" i="31"/>
  <c r="S13" i="31"/>
  <c r="R13" i="31"/>
  <c r="Q13" i="31"/>
  <c r="P13" i="31"/>
  <c r="O13" i="31"/>
  <c r="N13" i="31"/>
  <c r="M13" i="31"/>
  <c r="L13" i="31"/>
  <c r="K13" i="31"/>
  <c r="J13" i="31"/>
  <c r="I13" i="31"/>
  <c r="H13" i="31"/>
  <c r="G13" i="31"/>
  <c r="F13" i="31"/>
  <c r="AK12" i="31"/>
  <c r="AJ12" i="31"/>
  <c r="AI12" i="31"/>
  <c r="AH12" i="31"/>
  <c r="AG12" i="31"/>
  <c r="AF12" i="31"/>
  <c r="AE12" i="31"/>
  <c r="AD12" i="31"/>
  <c r="AC12" i="31"/>
  <c r="AB12" i="31"/>
  <c r="AA12" i="31"/>
  <c r="Z12" i="31"/>
  <c r="Y12" i="31"/>
  <c r="X12" i="31"/>
  <c r="W12" i="31"/>
  <c r="V12" i="31"/>
  <c r="U12" i="31"/>
  <c r="T12" i="31"/>
  <c r="S12" i="31"/>
  <c r="R12" i="31"/>
  <c r="Q12" i="31"/>
  <c r="P12" i="31"/>
  <c r="O12" i="31"/>
  <c r="N12" i="31"/>
  <c r="M12" i="31"/>
  <c r="L12" i="31"/>
  <c r="K12" i="31"/>
  <c r="J12" i="31"/>
  <c r="I12" i="31"/>
  <c r="H12" i="31"/>
  <c r="G12" i="31"/>
  <c r="F12" i="31"/>
  <c r="E12" i="31"/>
  <c r="G11" i="31"/>
  <c r="F11" i="31"/>
  <c r="AK10" i="31"/>
  <c r="AJ10" i="31"/>
  <c r="AI10" i="31"/>
  <c r="AH10" i="31"/>
  <c r="AG10" i="31"/>
  <c r="AF10" i="31"/>
  <c r="AE10" i="31"/>
  <c r="AD10" i="31"/>
  <c r="AC10" i="31"/>
  <c r="AB10" i="31"/>
  <c r="AA10" i="31"/>
  <c r="Z10" i="31"/>
  <c r="Y10" i="31"/>
  <c r="X10" i="31"/>
  <c r="W10" i="31"/>
  <c r="V10" i="31"/>
  <c r="U10" i="31"/>
  <c r="T10" i="31"/>
  <c r="S10" i="31"/>
  <c r="R10" i="31"/>
  <c r="Q10" i="31"/>
  <c r="P10" i="31"/>
  <c r="O10" i="31"/>
  <c r="N10" i="31"/>
  <c r="M10" i="31"/>
  <c r="L10" i="31"/>
  <c r="K10" i="31"/>
  <c r="J10" i="31"/>
  <c r="I10" i="31"/>
  <c r="H10" i="31"/>
  <c r="G10" i="31"/>
  <c r="F10" i="31"/>
  <c r="E10" i="31"/>
  <c r="G9" i="31"/>
  <c r="F9" i="31"/>
  <c r="AK8" i="31"/>
  <c r="AJ8" i="31"/>
  <c r="AI8" i="31"/>
  <c r="AH8" i="31"/>
  <c r="AG8" i="31"/>
  <c r="AF8" i="31"/>
  <c r="AE8" i="31"/>
  <c r="AD8" i="31"/>
  <c r="AC8" i="31"/>
  <c r="AB8" i="31"/>
  <c r="AA8" i="31"/>
  <c r="Z8" i="31"/>
  <c r="Y8" i="31"/>
  <c r="X8" i="31"/>
  <c r="W8" i="31"/>
  <c r="V8" i="31"/>
  <c r="U8" i="31"/>
  <c r="T8" i="31"/>
  <c r="S8" i="31"/>
  <c r="R8" i="31"/>
  <c r="Q8" i="31"/>
  <c r="P8" i="31"/>
  <c r="O8" i="31"/>
  <c r="N8" i="31"/>
  <c r="M8" i="31"/>
  <c r="L8" i="31"/>
  <c r="K8" i="31"/>
  <c r="J8" i="31"/>
  <c r="I8" i="31"/>
  <c r="H8" i="31"/>
  <c r="G8" i="31"/>
  <c r="F8" i="31"/>
  <c r="E8" i="31"/>
  <c r="AK7" i="31"/>
  <c r="AJ7" i="31"/>
  <c r="AI7" i="31"/>
  <c r="AH7" i="31"/>
  <c r="AG7" i="31"/>
  <c r="AF7" i="31"/>
  <c r="AE7" i="31"/>
  <c r="AD7" i="31"/>
  <c r="AC7" i="31"/>
  <c r="AB7" i="31"/>
  <c r="AA7" i="31"/>
  <c r="Z7" i="31"/>
  <c r="Y7" i="31"/>
  <c r="X7" i="31"/>
  <c r="W7" i="31"/>
  <c r="V7" i="31"/>
  <c r="U7" i="31"/>
  <c r="T7" i="31"/>
  <c r="S7" i="31"/>
  <c r="R7" i="31"/>
  <c r="Q7" i="31"/>
  <c r="P7" i="31"/>
  <c r="O7" i="31"/>
  <c r="N7" i="31"/>
  <c r="M7" i="31"/>
  <c r="L7" i="31"/>
  <c r="K7" i="31"/>
  <c r="J7" i="31"/>
  <c r="I7" i="31"/>
  <c r="H7" i="31"/>
  <c r="G7" i="31"/>
  <c r="F7" i="31"/>
  <c r="AK6" i="31"/>
  <c r="AJ6" i="31"/>
  <c r="AI6" i="31"/>
  <c r="AH6" i="31"/>
  <c r="AG6" i="31"/>
  <c r="AF6" i="31"/>
  <c r="AE6" i="31"/>
  <c r="AD6" i="31"/>
  <c r="AC6" i="31"/>
  <c r="AB6" i="31"/>
  <c r="AA6" i="31"/>
  <c r="Z6" i="31"/>
  <c r="Y6" i="31"/>
  <c r="X6" i="31"/>
  <c r="W6" i="31"/>
  <c r="V6" i="31"/>
  <c r="U6" i="31"/>
  <c r="T6" i="31"/>
  <c r="S6" i="31"/>
  <c r="R6" i="31"/>
  <c r="Q6" i="31"/>
  <c r="P6" i="31"/>
  <c r="O6" i="31"/>
  <c r="N6" i="31"/>
  <c r="M6" i="31"/>
  <c r="L6" i="31"/>
  <c r="K6" i="31"/>
  <c r="J6" i="31"/>
  <c r="I6" i="31"/>
  <c r="H6" i="31"/>
  <c r="AL6" i="31" s="1"/>
  <c r="G6" i="31"/>
  <c r="F6" i="31"/>
  <c r="E6" i="31"/>
  <c r="H4" i="31"/>
  <c r="H5" i="31" s="1"/>
  <c r="AK83" i="30"/>
  <c r="AK86" i="30" s="1"/>
  <c r="AJ83" i="30"/>
  <c r="AJ86" i="30" s="1"/>
  <c r="AI83" i="30"/>
  <c r="AI86" i="30" s="1"/>
  <c r="AH83" i="30"/>
  <c r="AH86" i="30" s="1"/>
  <c r="AG83" i="30"/>
  <c r="AG86" i="30" s="1"/>
  <c r="AF83" i="30"/>
  <c r="AF86" i="30" s="1"/>
  <c r="AE83" i="30"/>
  <c r="AE86" i="30" s="1"/>
  <c r="AD83" i="30"/>
  <c r="AD86" i="30" s="1"/>
  <c r="AC83" i="30"/>
  <c r="AC86" i="30" s="1"/>
  <c r="AB83" i="30"/>
  <c r="AB86" i="30" s="1"/>
  <c r="AA83" i="30"/>
  <c r="AA86" i="30" s="1"/>
  <c r="Z83" i="30"/>
  <c r="Z86" i="30" s="1"/>
  <c r="Y83" i="30"/>
  <c r="Y86" i="30" s="1"/>
  <c r="X83" i="30"/>
  <c r="X86" i="30" s="1"/>
  <c r="W83" i="30"/>
  <c r="W86" i="30" s="1"/>
  <c r="V83" i="30"/>
  <c r="V86" i="30" s="1"/>
  <c r="U83" i="30"/>
  <c r="U86" i="30" s="1"/>
  <c r="T83" i="30"/>
  <c r="T86" i="30" s="1"/>
  <c r="S83" i="30"/>
  <c r="S86" i="30" s="1"/>
  <c r="R83" i="30"/>
  <c r="R86" i="30" s="1"/>
  <c r="Q83" i="30"/>
  <c r="Q86" i="30" s="1"/>
  <c r="P83" i="30"/>
  <c r="P86" i="30" s="1"/>
  <c r="O83" i="30"/>
  <c r="O86" i="30" s="1"/>
  <c r="N83" i="30"/>
  <c r="N86" i="30" s="1"/>
  <c r="M83" i="30"/>
  <c r="M86" i="30" s="1"/>
  <c r="L83" i="30"/>
  <c r="L86" i="30" s="1"/>
  <c r="K83" i="30"/>
  <c r="K86" i="30" s="1"/>
  <c r="J83" i="30"/>
  <c r="J86" i="30" s="1"/>
  <c r="I83" i="30"/>
  <c r="I86" i="30" s="1"/>
  <c r="H83" i="30"/>
  <c r="H86" i="30" s="1"/>
  <c r="E81" i="30"/>
  <c r="E80" i="30"/>
  <c r="E79" i="30"/>
  <c r="E78" i="30"/>
  <c r="E77" i="30"/>
  <c r="E76" i="30"/>
  <c r="E75" i="30"/>
  <c r="E74" i="30"/>
  <c r="E73" i="30"/>
  <c r="AK69" i="30"/>
  <c r="AJ69" i="30"/>
  <c r="AI69" i="30"/>
  <c r="AH69" i="30"/>
  <c r="AG69" i="30"/>
  <c r="AF69" i="30"/>
  <c r="AE69" i="30"/>
  <c r="AD69" i="30"/>
  <c r="AC69" i="30"/>
  <c r="AB69" i="30"/>
  <c r="AA69" i="30"/>
  <c r="Z69" i="30"/>
  <c r="Y69" i="30"/>
  <c r="X69" i="30"/>
  <c r="W69" i="30"/>
  <c r="V69" i="30"/>
  <c r="U69" i="30"/>
  <c r="T69" i="30"/>
  <c r="S69" i="30"/>
  <c r="R69" i="30"/>
  <c r="Q69" i="30"/>
  <c r="P69" i="30"/>
  <c r="O69" i="30"/>
  <c r="N69" i="30"/>
  <c r="M69" i="30"/>
  <c r="L69" i="30"/>
  <c r="K69" i="30"/>
  <c r="J69" i="30"/>
  <c r="I69" i="30"/>
  <c r="H69" i="30"/>
  <c r="H72" i="30" s="1"/>
  <c r="AK67" i="30"/>
  <c r="AK29" i="31" s="1"/>
  <c r="AJ67" i="30"/>
  <c r="AJ29" i="31" s="1"/>
  <c r="AI67" i="30"/>
  <c r="AI29" i="31" s="1"/>
  <c r="AH67" i="30"/>
  <c r="AH29" i="31" s="1"/>
  <c r="AG67" i="30"/>
  <c r="AG29" i="31" s="1"/>
  <c r="AF67" i="30"/>
  <c r="AF29" i="31" s="1"/>
  <c r="AE67" i="30"/>
  <c r="AE29" i="31" s="1"/>
  <c r="AD67" i="30"/>
  <c r="AD29" i="31" s="1"/>
  <c r="AC67" i="30"/>
  <c r="AC29" i="31" s="1"/>
  <c r="AB67" i="30"/>
  <c r="AB29" i="31" s="1"/>
  <c r="AA67" i="30"/>
  <c r="AA29" i="31" s="1"/>
  <c r="Z67" i="30"/>
  <c r="Z29" i="31" s="1"/>
  <c r="X67" i="30"/>
  <c r="X29" i="31" s="1"/>
  <c r="W67" i="30"/>
  <c r="W29" i="31" s="1"/>
  <c r="V67" i="30"/>
  <c r="U67" i="30"/>
  <c r="U29" i="31" s="1"/>
  <c r="T67" i="30"/>
  <c r="T29" i="31" s="1"/>
  <c r="S67" i="30"/>
  <c r="S29" i="31" s="1"/>
  <c r="R67" i="30"/>
  <c r="R29" i="31" s="1"/>
  <c r="Q67" i="30"/>
  <c r="Q29" i="31" s="1"/>
  <c r="P67" i="30"/>
  <c r="P29" i="31" s="1"/>
  <c r="O67" i="30"/>
  <c r="O29" i="31" s="1"/>
  <c r="N67" i="30"/>
  <c r="M67" i="30"/>
  <c r="M29" i="31" s="1"/>
  <c r="L67" i="30"/>
  <c r="L29" i="31" s="1"/>
  <c r="K67" i="30"/>
  <c r="K29" i="31" s="1"/>
  <c r="J67" i="30"/>
  <c r="J29" i="31" s="1"/>
  <c r="I67" i="30"/>
  <c r="I29" i="31" s="1"/>
  <c r="H67" i="30"/>
  <c r="H71" i="30" s="1"/>
  <c r="E66" i="30"/>
  <c r="E64" i="30"/>
  <c r="E63" i="30"/>
  <c r="E25" i="31" s="1"/>
  <c r="E62" i="30"/>
  <c r="E61" i="30"/>
  <c r="E60" i="30"/>
  <c r="E59" i="30"/>
  <c r="E58" i="30"/>
  <c r="E57" i="30"/>
  <c r="E56" i="30"/>
  <c r="AK52" i="30"/>
  <c r="AJ52" i="30"/>
  <c r="AI52" i="30"/>
  <c r="AH52" i="30"/>
  <c r="AG52" i="30"/>
  <c r="AF52" i="30"/>
  <c r="AE52" i="30"/>
  <c r="AD52" i="30"/>
  <c r="AC52" i="30"/>
  <c r="AB52" i="30"/>
  <c r="AA52" i="30"/>
  <c r="Z52" i="30"/>
  <c r="Y52" i="30"/>
  <c r="X52" i="30"/>
  <c r="W52" i="30"/>
  <c r="V52" i="30"/>
  <c r="U52" i="30"/>
  <c r="T52" i="30"/>
  <c r="S52" i="30"/>
  <c r="R52" i="30"/>
  <c r="Q52" i="30"/>
  <c r="P52" i="30"/>
  <c r="O52" i="30"/>
  <c r="N52" i="30"/>
  <c r="M52" i="30"/>
  <c r="L52" i="30"/>
  <c r="K52" i="30"/>
  <c r="J52" i="30"/>
  <c r="I52" i="30"/>
  <c r="H52" i="30"/>
  <c r="H55" i="30" s="1"/>
  <c r="AK50" i="30"/>
  <c r="AK23" i="31" s="1"/>
  <c r="AJ50" i="30"/>
  <c r="AJ23" i="31" s="1"/>
  <c r="AI50" i="30"/>
  <c r="AI23" i="31" s="1"/>
  <c r="AH50" i="30"/>
  <c r="AH23" i="31" s="1"/>
  <c r="AG50" i="30"/>
  <c r="AG23" i="31" s="1"/>
  <c r="AF50" i="30"/>
  <c r="AF23" i="31" s="1"/>
  <c r="AE50" i="30"/>
  <c r="AE23" i="31" s="1"/>
  <c r="AD50" i="30"/>
  <c r="AD23" i="31" s="1"/>
  <c r="AC50" i="30"/>
  <c r="AC23" i="31" s="1"/>
  <c r="AB50" i="30"/>
  <c r="AB23" i="31" s="1"/>
  <c r="AA50" i="30"/>
  <c r="AA23" i="31" s="1"/>
  <c r="Z50" i="30"/>
  <c r="Z23" i="31" s="1"/>
  <c r="Y50" i="30"/>
  <c r="Y23" i="31" s="1"/>
  <c r="X50" i="30"/>
  <c r="X23" i="31" s="1"/>
  <c r="W50" i="30"/>
  <c r="W23" i="31" s="1"/>
  <c r="V50" i="30"/>
  <c r="V23" i="31" s="1"/>
  <c r="U50" i="30"/>
  <c r="U23" i="31" s="1"/>
  <c r="T50" i="30"/>
  <c r="T23" i="31" s="1"/>
  <c r="S50" i="30"/>
  <c r="S23" i="31" s="1"/>
  <c r="R50" i="30"/>
  <c r="R23" i="31" s="1"/>
  <c r="Q50" i="30"/>
  <c r="Q23" i="31" s="1"/>
  <c r="P50" i="30"/>
  <c r="P23" i="31" s="1"/>
  <c r="O50" i="30"/>
  <c r="N50" i="30"/>
  <c r="N23" i="31" s="1"/>
  <c r="M50" i="30"/>
  <c r="M23" i="31" s="1"/>
  <c r="L50" i="30"/>
  <c r="L23" i="31" s="1"/>
  <c r="K50" i="30"/>
  <c r="K23" i="31" s="1"/>
  <c r="J50" i="30"/>
  <c r="J23" i="31" s="1"/>
  <c r="I50" i="30"/>
  <c r="I23" i="31" s="1"/>
  <c r="H50" i="30"/>
  <c r="H54" i="30" s="1"/>
  <c r="E49" i="30"/>
  <c r="E47" i="30"/>
  <c r="E46" i="30"/>
  <c r="E19" i="31" s="1"/>
  <c r="E45" i="30"/>
  <c r="E43" i="30"/>
  <c r="E42" i="30"/>
  <c r="E41" i="30"/>
  <c r="E40" i="30"/>
  <c r="E39" i="30"/>
  <c r="AK35" i="30"/>
  <c r="AJ35" i="30"/>
  <c r="AI35" i="30"/>
  <c r="AH35" i="30"/>
  <c r="AG35" i="30"/>
  <c r="AF35" i="30"/>
  <c r="AE35" i="30"/>
  <c r="AD35" i="30"/>
  <c r="AC35" i="30"/>
  <c r="AB35" i="30"/>
  <c r="AA35" i="30"/>
  <c r="Z35" i="30"/>
  <c r="Y35" i="30"/>
  <c r="X35" i="30"/>
  <c r="W35" i="30"/>
  <c r="V35" i="30"/>
  <c r="U35" i="30"/>
  <c r="T35" i="30"/>
  <c r="S35" i="30"/>
  <c r="R35" i="30"/>
  <c r="Q35" i="30"/>
  <c r="P35" i="30"/>
  <c r="O35" i="30"/>
  <c r="N35" i="30"/>
  <c r="M35" i="30"/>
  <c r="L35" i="30"/>
  <c r="K35" i="30"/>
  <c r="J35" i="30"/>
  <c r="I35" i="30"/>
  <c r="H35" i="30"/>
  <c r="H38" i="30" s="1"/>
  <c r="AK33" i="30"/>
  <c r="AJ33" i="30"/>
  <c r="AI33" i="30"/>
  <c r="AH33" i="30"/>
  <c r="AG33" i="30"/>
  <c r="AF33" i="30"/>
  <c r="AE33" i="30"/>
  <c r="AD33" i="30"/>
  <c r="AC33" i="30"/>
  <c r="AB33" i="30"/>
  <c r="AA33" i="30"/>
  <c r="Z33" i="30"/>
  <c r="Y33" i="30"/>
  <c r="X33" i="30"/>
  <c r="W33" i="30"/>
  <c r="V33" i="30"/>
  <c r="U33" i="30"/>
  <c r="T33" i="30"/>
  <c r="S33" i="30"/>
  <c r="R33" i="30"/>
  <c r="Q33" i="30"/>
  <c r="P33" i="30"/>
  <c r="O33" i="30"/>
  <c r="N33" i="30"/>
  <c r="M33" i="30"/>
  <c r="L33" i="30"/>
  <c r="K33" i="30"/>
  <c r="J33" i="30"/>
  <c r="I33" i="30"/>
  <c r="H33" i="30"/>
  <c r="H34" i="30" s="1"/>
  <c r="E32" i="30"/>
  <c r="E29" i="30"/>
  <c r="E13" i="31" s="1"/>
  <c r="E28" i="30"/>
  <c r="E27" i="30"/>
  <c r="E26" i="30"/>
  <c r="E25" i="30"/>
  <c r="E24" i="30"/>
  <c r="E22" i="30"/>
  <c r="E21" i="30"/>
  <c r="E20" i="30"/>
  <c r="E19" i="30"/>
  <c r="E18" i="30"/>
  <c r="E17" i="30"/>
  <c r="E16" i="30"/>
  <c r="E17" i="31" s="1"/>
  <c r="E15" i="30"/>
  <c r="E14" i="30"/>
  <c r="E15" i="31" s="1"/>
  <c r="E13" i="30"/>
  <c r="AK9" i="30"/>
  <c r="AJ9" i="30"/>
  <c r="AI9" i="30"/>
  <c r="AH9" i="30"/>
  <c r="AG9" i="30"/>
  <c r="AF9" i="30"/>
  <c r="AE9" i="30"/>
  <c r="AD9" i="30"/>
  <c r="AC9" i="30"/>
  <c r="AB9" i="30"/>
  <c r="AA9" i="30"/>
  <c r="Z9" i="30"/>
  <c r="Y9" i="30"/>
  <c r="X9" i="30"/>
  <c r="W9" i="30"/>
  <c r="V9" i="30"/>
  <c r="U9" i="30"/>
  <c r="T9" i="30"/>
  <c r="S9" i="30"/>
  <c r="R9" i="30"/>
  <c r="Q9" i="30"/>
  <c r="P9" i="30"/>
  <c r="O9" i="30"/>
  <c r="N9" i="30"/>
  <c r="M9" i="30"/>
  <c r="L9" i="30"/>
  <c r="K9" i="30"/>
  <c r="J9" i="30"/>
  <c r="I9" i="30"/>
  <c r="H9" i="30"/>
  <c r="AK7" i="30"/>
  <c r="AJ7" i="30"/>
  <c r="AI7" i="30"/>
  <c r="AH7" i="30"/>
  <c r="AG7" i="30"/>
  <c r="AF7" i="30"/>
  <c r="AE7" i="30"/>
  <c r="AD7" i="30"/>
  <c r="AC7" i="30"/>
  <c r="AB7" i="30"/>
  <c r="AA7" i="30"/>
  <c r="Z7" i="30"/>
  <c r="Y7" i="30"/>
  <c r="X7" i="30"/>
  <c r="W7" i="30"/>
  <c r="V7" i="30"/>
  <c r="U7" i="30"/>
  <c r="T7" i="30"/>
  <c r="S7" i="30"/>
  <c r="R7" i="30"/>
  <c r="Q7" i="30"/>
  <c r="P7" i="30"/>
  <c r="O7" i="30"/>
  <c r="N7" i="30"/>
  <c r="M7" i="30"/>
  <c r="L7" i="30"/>
  <c r="K7" i="30"/>
  <c r="J7" i="30"/>
  <c r="I7" i="30"/>
  <c r="H7" i="30"/>
  <c r="H8" i="30" s="1"/>
  <c r="H9" i="31" s="1"/>
  <c r="AL6" i="30"/>
  <c r="E6" i="30"/>
  <c r="E7" i="31" s="1"/>
  <c r="H5" i="30"/>
  <c r="H4" i="30"/>
  <c r="I4" i="30" s="1"/>
  <c r="J4" i="30" s="1"/>
  <c r="AL2" i="30"/>
  <c r="AI6" i="29"/>
  <c r="AI7" i="29"/>
  <c r="AI8" i="29"/>
  <c r="AI10" i="29"/>
  <c r="R67" i="28"/>
  <c r="H37" i="30" l="1"/>
  <c r="AL7" i="31"/>
  <c r="H36" i="30"/>
  <c r="E35" i="30"/>
  <c r="I55" i="30"/>
  <c r="J55" i="30" s="1"/>
  <c r="K55" i="30" s="1"/>
  <c r="L55" i="30" s="1"/>
  <c r="M55" i="30" s="1"/>
  <c r="N55" i="30" s="1"/>
  <c r="O55" i="30" s="1"/>
  <c r="P55" i="30" s="1"/>
  <c r="Q55" i="30" s="1"/>
  <c r="R55" i="30" s="1"/>
  <c r="S55" i="30" s="1"/>
  <c r="T55" i="30" s="1"/>
  <c r="U55" i="30" s="1"/>
  <c r="V55" i="30" s="1"/>
  <c r="W55" i="30" s="1"/>
  <c r="X55" i="30" s="1"/>
  <c r="Y55" i="30" s="1"/>
  <c r="Z55" i="30" s="1"/>
  <c r="AA55" i="30" s="1"/>
  <c r="AB55" i="30" s="1"/>
  <c r="AC55" i="30" s="1"/>
  <c r="AD55" i="30" s="1"/>
  <c r="AE55" i="30" s="1"/>
  <c r="AF55" i="30" s="1"/>
  <c r="AG55" i="30" s="1"/>
  <c r="AH55" i="30" s="1"/>
  <c r="AI55" i="30" s="1"/>
  <c r="AJ55" i="30" s="1"/>
  <c r="AK55" i="30" s="1"/>
  <c r="H53" i="30"/>
  <c r="I53" i="30" s="1"/>
  <c r="J53" i="30" s="1"/>
  <c r="K53" i="30" s="1"/>
  <c r="L53" i="30" s="1"/>
  <c r="M53" i="30" s="1"/>
  <c r="N53" i="30" s="1"/>
  <c r="O53" i="30" s="1"/>
  <c r="P53" i="30" s="1"/>
  <c r="Q53" i="30" s="1"/>
  <c r="R53" i="30" s="1"/>
  <c r="S53" i="30" s="1"/>
  <c r="T53" i="30" s="1"/>
  <c r="U53" i="30" s="1"/>
  <c r="V53" i="30" s="1"/>
  <c r="W53" i="30" s="1"/>
  <c r="X53" i="30" s="1"/>
  <c r="Y53" i="30" s="1"/>
  <c r="Z53" i="30" s="1"/>
  <c r="AA53" i="30" s="1"/>
  <c r="AB53" i="30" s="1"/>
  <c r="AC53" i="30" s="1"/>
  <c r="AD53" i="30" s="1"/>
  <c r="AE53" i="30" s="1"/>
  <c r="AF53" i="30" s="1"/>
  <c r="AG53" i="30" s="1"/>
  <c r="AH53" i="30" s="1"/>
  <c r="AI53" i="30" s="1"/>
  <c r="AJ53" i="30" s="1"/>
  <c r="AK53" i="30" s="1"/>
  <c r="E53" i="30" s="1"/>
  <c r="H23" i="31"/>
  <c r="H51" i="30"/>
  <c r="I51" i="30" s="1"/>
  <c r="J51" i="30" s="1"/>
  <c r="K51" i="30" s="1"/>
  <c r="L51" i="30" s="1"/>
  <c r="M51" i="30" s="1"/>
  <c r="N51" i="30" s="1"/>
  <c r="O51" i="30" s="1"/>
  <c r="P51" i="30" s="1"/>
  <c r="Q51" i="30" s="1"/>
  <c r="R51" i="30" s="1"/>
  <c r="S51" i="30" s="1"/>
  <c r="T51" i="30" s="1"/>
  <c r="U51" i="30" s="1"/>
  <c r="V51" i="30" s="1"/>
  <c r="W51" i="30" s="1"/>
  <c r="X51" i="30" s="1"/>
  <c r="Y51" i="30" s="1"/>
  <c r="Z51" i="30" s="1"/>
  <c r="AA51" i="30" s="1"/>
  <c r="AB51" i="30" s="1"/>
  <c r="AC51" i="30" s="1"/>
  <c r="AD51" i="30" s="1"/>
  <c r="AE51" i="30" s="1"/>
  <c r="AF51" i="30" s="1"/>
  <c r="AG51" i="30" s="1"/>
  <c r="AH51" i="30" s="1"/>
  <c r="AI51" i="30" s="1"/>
  <c r="AJ51" i="30" s="1"/>
  <c r="AK51" i="30" s="1"/>
  <c r="E51" i="30" s="1"/>
  <c r="H29" i="31"/>
  <c r="H68" i="30"/>
  <c r="I68" i="30" s="1"/>
  <c r="J68" i="30" s="1"/>
  <c r="K68" i="30" s="1"/>
  <c r="L68" i="30" s="1"/>
  <c r="M68" i="30" s="1"/>
  <c r="N68" i="30" s="1"/>
  <c r="O68" i="30" s="1"/>
  <c r="P68" i="30" s="1"/>
  <c r="Q68" i="30" s="1"/>
  <c r="R68" i="30" s="1"/>
  <c r="S68" i="30" s="1"/>
  <c r="T68" i="30" s="1"/>
  <c r="U68" i="30" s="1"/>
  <c r="V68" i="30" s="1"/>
  <c r="W68" i="30" s="1"/>
  <c r="X68" i="30" s="1"/>
  <c r="Y68" i="30" s="1"/>
  <c r="Z68" i="30" s="1"/>
  <c r="AA68" i="30" s="1"/>
  <c r="AB68" i="30" s="1"/>
  <c r="AC68" i="30" s="1"/>
  <c r="AD68" i="30" s="1"/>
  <c r="AE68" i="30" s="1"/>
  <c r="AF68" i="30" s="1"/>
  <c r="AG68" i="30" s="1"/>
  <c r="AH68" i="30" s="1"/>
  <c r="AI68" i="30" s="1"/>
  <c r="AJ68" i="30" s="1"/>
  <c r="AK68" i="30" s="1"/>
  <c r="E68" i="30" s="1"/>
  <c r="I72" i="30"/>
  <c r="J72" i="30" s="1"/>
  <c r="K72" i="30" s="1"/>
  <c r="L72" i="30" s="1"/>
  <c r="M72" i="30" s="1"/>
  <c r="N72" i="30" s="1"/>
  <c r="O72" i="30" s="1"/>
  <c r="P72" i="30" s="1"/>
  <c r="Q72" i="30" s="1"/>
  <c r="R72" i="30" s="1"/>
  <c r="S72" i="30" s="1"/>
  <c r="T72" i="30" s="1"/>
  <c r="U72" i="30" s="1"/>
  <c r="V72" i="30" s="1"/>
  <c r="W72" i="30" s="1"/>
  <c r="X72" i="30" s="1"/>
  <c r="Y72" i="30" s="1"/>
  <c r="Z72" i="30" s="1"/>
  <c r="AA72" i="30" s="1"/>
  <c r="AB72" i="30" s="1"/>
  <c r="AC72" i="30" s="1"/>
  <c r="AD72" i="30" s="1"/>
  <c r="AE72" i="30" s="1"/>
  <c r="AF72" i="30" s="1"/>
  <c r="AG72" i="30" s="1"/>
  <c r="AH72" i="30" s="1"/>
  <c r="AI72" i="30" s="1"/>
  <c r="AJ72" i="30" s="1"/>
  <c r="AK72" i="30" s="1"/>
  <c r="H70" i="30"/>
  <c r="I70" i="30" s="1"/>
  <c r="J70" i="30" s="1"/>
  <c r="K70" i="30" s="1"/>
  <c r="L70" i="30" s="1"/>
  <c r="M70" i="30" s="1"/>
  <c r="N70" i="30" s="1"/>
  <c r="O70" i="30" s="1"/>
  <c r="P70" i="30" s="1"/>
  <c r="Q70" i="30" s="1"/>
  <c r="R70" i="30" s="1"/>
  <c r="S70" i="30" s="1"/>
  <c r="T70" i="30" s="1"/>
  <c r="U70" i="30" s="1"/>
  <c r="V70" i="30" s="1"/>
  <c r="W70" i="30" s="1"/>
  <c r="X70" i="30" s="1"/>
  <c r="Y70" i="30" s="1"/>
  <c r="Z70" i="30" s="1"/>
  <c r="AA70" i="30" s="1"/>
  <c r="AB70" i="30" s="1"/>
  <c r="AC70" i="30" s="1"/>
  <c r="AD70" i="30" s="1"/>
  <c r="AE70" i="30" s="1"/>
  <c r="AF70" i="30" s="1"/>
  <c r="AG70" i="30" s="1"/>
  <c r="AH70" i="30" s="1"/>
  <c r="AI70" i="30" s="1"/>
  <c r="AJ70" i="30" s="1"/>
  <c r="AK70" i="30" s="1"/>
  <c r="E70" i="30" s="1"/>
  <c r="H10" i="30"/>
  <c r="H11" i="31" s="1"/>
  <c r="I4" i="31"/>
  <c r="I5" i="31" s="1"/>
  <c r="J4" i="31"/>
  <c r="E69" i="30"/>
  <c r="E72" i="30" s="1"/>
  <c r="E50" i="30"/>
  <c r="E23" i="31" s="1"/>
  <c r="E52" i="30"/>
  <c r="E55" i="30" s="1"/>
  <c r="E7" i="30"/>
  <c r="E11" i="30" s="1"/>
  <c r="J5" i="30"/>
  <c r="K4" i="30"/>
  <c r="E33" i="30"/>
  <c r="E37" i="30" s="1"/>
  <c r="E9" i="30"/>
  <c r="E12" i="30" s="1"/>
  <c r="I34" i="30"/>
  <c r="J34" i="30" s="1"/>
  <c r="K34" i="30" s="1"/>
  <c r="L34" i="30" s="1"/>
  <c r="M34" i="30" s="1"/>
  <c r="N34" i="30" s="1"/>
  <c r="O34" i="30" s="1"/>
  <c r="P34" i="30" s="1"/>
  <c r="Q34" i="30" s="1"/>
  <c r="R34" i="30" s="1"/>
  <c r="S34" i="30" s="1"/>
  <c r="T34" i="30" s="1"/>
  <c r="U34" i="30" s="1"/>
  <c r="V34" i="30" s="1"/>
  <c r="W34" i="30" s="1"/>
  <c r="X34" i="30" s="1"/>
  <c r="Y34" i="30" s="1"/>
  <c r="Z34" i="30" s="1"/>
  <c r="AA34" i="30" s="1"/>
  <c r="AB34" i="30" s="1"/>
  <c r="AC34" i="30" s="1"/>
  <c r="AD34" i="30" s="1"/>
  <c r="AE34" i="30" s="1"/>
  <c r="AF34" i="30" s="1"/>
  <c r="AG34" i="30" s="1"/>
  <c r="AH34" i="30" s="1"/>
  <c r="AI34" i="30" s="1"/>
  <c r="AJ34" i="30" s="1"/>
  <c r="AK34" i="30" s="1"/>
  <c r="E34" i="30" s="1"/>
  <c r="I38" i="30"/>
  <c r="J38" i="30" s="1"/>
  <c r="K38" i="30" s="1"/>
  <c r="L38" i="30" s="1"/>
  <c r="M38" i="30" s="1"/>
  <c r="N38" i="30" s="1"/>
  <c r="O38" i="30" s="1"/>
  <c r="P38" i="30" s="1"/>
  <c r="Q38" i="30" s="1"/>
  <c r="R38" i="30" s="1"/>
  <c r="S38" i="30" s="1"/>
  <c r="T38" i="30" s="1"/>
  <c r="U38" i="30" s="1"/>
  <c r="V38" i="30" s="1"/>
  <c r="W38" i="30" s="1"/>
  <c r="X38" i="30" s="1"/>
  <c r="Y38" i="30" s="1"/>
  <c r="Z38" i="30" s="1"/>
  <c r="AA38" i="30" s="1"/>
  <c r="AB38" i="30" s="1"/>
  <c r="AC38" i="30" s="1"/>
  <c r="AD38" i="30" s="1"/>
  <c r="AE38" i="30" s="1"/>
  <c r="AF38" i="30" s="1"/>
  <c r="AG38" i="30" s="1"/>
  <c r="AH38" i="30" s="1"/>
  <c r="AI38" i="30" s="1"/>
  <c r="AJ38" i="30" s="1"/>
  <c r="AK38" i="30" s="1"/>
  <c r="I36" i="30"/>
  <c r="J36" i="30" s="1"/>
  <c r="K36" i="30" s="1"/>
  <c r="L36" i="30" s="1"/>
  <c r="M36" i="30" s="1"/>
  <c r="N36" i="30" s="1"/>
  <c r="O36" i="30" s="1"/>
  <c r="P36" i="30" s="1"/>
  <c r="Q36" i="30" s="1"/>
  <c r="R36" i="30" s="1"/>
  <c r="S36" i="30" s="1"/>
  <c r="T36" i="30" s="1"/>
  <c r="U36" i="30" s="1"/>
  <c r="V36" i="30" s="1"/>
  <c r="W36" i="30" s="1"/>
  <c r="X36" i="30" s="1"/>
  <c r="Y36" i="30" s="1"/>
  <c r="Z36" i="30" s="1"/>
  <c r="AA36" i="30" s="1"/>
  <c r="AB36" i="30" s="1"/>
  <c r="AC36" i="30" s="1"/>
  <c r="AD36" i="30" s="1"/>
  <c r="AE36" i="30" s="1"/>
  <c r="AF36" i="30" s="1"/>
  <c r="AG36" i="30" s="1"/>
  <c r="AH36" i="30" s="1"/>
  <c r="AI36" i="30" s="1"/>
  <c r="AJ36" i="30" s="1"/>
  <c r="AK36" i="30" s="1"/>
  <c r="E36" i="30" s="1"/>
  <c r="E67" i="30"/>
  <c r="I8" i="30"/>
  <c r="I5" i="30"/>
  <c r="E38" i="30"/>
  <c r="O10" i="18"/>
  <c r="H67" i="28"/>
  <c r="H71" i="28" s="1"/>
  <c r="I67" i="28"/>
  <c r="J67" i="28"/>
  <c r="H68" i="28"/>
  <c r="I68" i="28" s="1"/>
  <c r="H69" i="28"/>
  <c r="H70" i="28" s="1"/>
  <c r="I70" i="28" s="1"/>
  <c r="I69" i="28"/>
  <c r="H50" i="28"/>
  <c r="H51" i="28" s="1"/>
  <c r="I50" i="28"/>
  <c r="J50" i="28"/>
  <c r="H52" i="28"/>
  <c r="H55" i="28" s="1"/>
  <c r="I55" i="28" s="1"/>
  <c r="I52" i="28"/>
  <c r="H53" i="28"/>
  <c r="I53" i="28" s="1"/>
  <c r="E1" i="29"/>
  <c r="H9" i="28"/>
  <c r="H12" i="28" s="1"/>
  <c r="H7" i="28"/>
  <c r="H11" i="28" s="1"/>
  <c r="AK6" i="25"/>
  <c r="AK11" i="27"/>
  <c r="E54" i="30" l="1"/>
  <c r="E71" i="30"/>
  <c r="E29" i="31"/>
  <c r="I10" i="30"/>
  <c r="J10" i="30" s="1"/>
  <c r="J8" i="30"/>
  <c r="I9" i="31"/>
  <c r="J5" i="31"/>
  <c r="K4" i="31"/>
  <c r="K5" i="30"/>
  <c r="L4" i="30"/>
  <c r="J70" i="28"/>
  <c r="J53" i="28"/>
  <c r="H8" i="28"/>
  <c r="H10" i="28"/>
  <c r="I71" i="28"/>
  <c r="J71" i="28" s="1"/>
  <c r="I51" i="28"/>
  <c r="H72" i="28"/>
  <c r="I72" i="28" s="1"/>
  <c r="H54" i="28"/>
  <c r="I54" i="28" s="1"/>
  <c r="J54" i="28" s="1"/>
  <c r="H35" i="28"/>
  <c r="I35" i="28"/>
  <c r="H33" i="28"/>
  <c r="I33" i="28"/>
  <c r="J33" i="28"/>
  <c r="H5" i="29"/>
  <c r="AE29" i="29"/>
  <c r="W29" i="29"/>
  <c r="M29" i="29"/>
  <c r="L29" i="29"/>
  <c r="K29" i="29"/>
  <c r="J29" i="29"/>
  <c r="I29" i="29"/>
  <c r="H29" i="29"/>
  <c r="G29" i="29"/>
  <c r="F29" i="29"/>
  <c r="AK28" i="29"/>
  <c r="AJ28" i="29"/>
  <c r="AI28" i="29"/>
  <c r="AH28" i="29"/>
  <c r="AG28" i="29"/>
  <c r="AF28" i="29"/>
  <c r="AE28" i="29"/>
  <c r="AD28" i="29"/>
  <c r="AC28" i="29"/>
  <c r="AB28" i="29"/>
  <c r="AA28" i="29"/>
  <c r="Z28" i="29"/>
  <c r="Y28" i="29"/>
  <c r="X28" i="29"/>
  <c r="W28" i="29"/>
  <c r="V28" i="29"/>
  <c r="U28" i="29"/>
  <c r="T28" i="29"/>
  <c r="S28" i="29"/>
  <c r="R28" i="29"/>
  <c r="Q28" i="29"/>
  <c r="P28" i="29"/>
  <c r="O28" i="29"/>
  <c r="N28" i="29"/>
  <c r="M28" i="29"/>
  <c r="L28" i="29"/>
  <c r="K28" i="29"/>
  <c r="J28" i="29"/>
  <c r="I28" i="29"/>
  <c r="H28" i="29"/>
  <c r="G28" i="29"/>
  <c r="F28" i="29"/>
  <c r="E28" i="29"/>
  <c r="AK27" i="29"/>
  <c r="AJ27" i="29"/>
  <c r="AI27" i="29"/>
  <c r="AH27" i="29"/>
  <c r="AG27" i="29"/>
  <c r="AF27" i="29"/>
  <c r="AE27" i="29"/>
  <c r="AD27" i="29"/>
  <c r="AC27" i="29"/>
  <c r="AB27" i="29"/>
  <c r="AA27" i="29"/>
  <c r="Z27" i="29"/>
  <c r="Y27" i="29"/>
  <c r="X27" i="29"/>
  <c r="W27" i="29"/>
  <c r="V27" i="29"/>
  <c r="U27" i="29"/>
  <c r="T27" i="29"/>
  <c r="S27" i="29"/>
  <c r="R27" i="29"/>
  <c r="Q27" i="29"/>
  <c r="P27" i="29"/>
  <c r="O27" i="29"/>
  <c r="N27" i="29"/>
  <c r="M27" i="29"/>
  <c r="L27" i="29"/>
  <c r="K27" i="29"/>
  <c r="J27" i="29"/>
  <c r="I27" i="29"/>
  <c r="H27" i="29"/>
  <c r="G27" i="29"/>
  <c r="F27" i="29"/>
  <c r="E27" i="29"/>
  <c r="AK26" i="29"/>
  <c r="AJ26" i="29"/>
  <c r="AI26" i="29"/>
  <c r="AH26" i="29"/>
  <c r="AG26" i="29"/>
  <c r="AF26" i="29"/>
  <c r="AE26" i="29"/>
  <c r="AD26" i="29"/>
  <c r="AC26" i="29"/>
  <c r="AB26" i="29"/>
  <c r="AA26" i="29"/>
  <c r="Z26" i="29"/>
  <c r="Y26" i="29"/>
  <c r="X26" i="29"/>
  <c r="W26" i="29"/>
  <c r="V26" i="29"/>
  <c r="U26" i="29"/>
  <c r="T26" i="29"/>
  <c r="S26" i="29"/>
  <c r="R26" i="29"/>
  <c r="Q26" i="29"/>
  <c r="P26" i="29"/>
  <c r="O26" i="29"/>
  <c r="N26" i="29"/>
  <c r="M26" i="29"/>
  <c r="L26" i="29"/>
  <c r="K26" i="29"/>
  <c r="J26" i="29"/>
  <c r="I26" i="29"/>
  <c r="H26" i="29"/>
  <c r="G26" i="29"/>
  <c r="F26" i="29"/>
  <c r="E26" i="29"/>
  <c r="AK25" i="29"/>
  <c r="AJ25" i="29"/>
  <c r="AI25" i="29"/>
  <c r="AH25" i="29"/>
  <c r="AG25" i="29"/>
  <c r="AF25" i="29"/>
  <c r="AE25" i="29"/>
  <c r="AD25" i="29"/>
  <c r="AC25" i="29"/>
  <c r="AB25" i="29"/>
  <c r="AA25" i="29"/>
  <c r="Z25" i="29"/>
  <c r="Y25" i="29"/>
  <c r="X25" i="29"/>
  <c r="W25" i="29"/>
  <c r="V25" i="29"/>
  <c r="U25" i="29"/>
  <c r="T25" i="29"/>
  <c r="S25" i="29"/>
  <c r="R25" i="29"/>
  <c r="Q25" i="29"/>
  <c r="P25" i="29"/>
  <c r="O25" i="29"/>
  <c r="N25" i="29"/>
  <c r="M25" i="29"/>
  <c r="L25" i="29"/>
  <c r="K25" i="29"/>
  <c r="J25" i="29"/>
  <c r="I25" i="29"/>
  <c r="H25" i="29"/>
  <c r="G25" i="29"/>
  <c r="F25" i="29"/>
  <c r="AK24" i="29"/>
  <c r="AJ24" i="29"/>
  <c r="AI24" i="29"/>
  <c r="AH24" i="29"/>
  <c r="AG24" i="29"/>
  <c r="AF24" i="29"/>
  <c r="AE24" i="29"/>
  <c r="AD24" i="29"/>
  <c r="AC24" i="29"/>
  <c r="AB24" i="29"/>
  <c r="AA24" i="29"/>
  <c r="Z24" i="29"/>
  <c r="Y24" i="29"/>
  <c r="X24" i="29"/>
  <c r="W24" i="29"/>
  <c r="V24" i="29"/>
  <c r="U24" i="29"/>
  <c r="T24" i="29"/>
  <c r="S24" i="29"/>
  <c r="R24" i="29"/>
  <c r="Q24" i="29"/>
  <c r="P24" i="29"/>
  <c r="O24" i="29"/>
  <c r="N24" i="29"/>
  <c r="M24" i="29"/>
  <c r="L24" i="29"/>
  <c r="K24" i="29"/>
  <c r="J24" i="29"/>
  <c r="I24" i="29"/>
  <c r="H24" i="29"/>
  <c r="G24" i="29"/>
  <c r="F24" i="29"/>
  <c r="E24" i="29"/>
  <c r="AK23" i="29"/>
  <c r="AE23" i="29"/>
  <c r="AD23" i="29"/>
  <c r="Z23" i="29"/>
  <c r="P23" i="29"/>
  <c r="J23" i="29"/>
  <c r="I23" i="29"/>
  <c r="H23" i="29"/>
  <c r="G23" i="29"/>
  <c r="F23" i="29"/>
  <c r="AK22" i="29"/>
  <c r="AJ22" i="29"/>
  <c r="AI22" i="29"/>
  <c r="AH22" i="29"/>
  <c r="AG22" i="29"/>
  <c r="AF22" i="29"/>
  <c r="AE22" i="29"/>
  <c r="AD22" i="29"/>
  <c r="AC22" i="29"/>
  <c r="AB22" i="29"/>
  <c r="AA22" i="29"/>
  <c r="Z22" i="29"/>
  <c r="Y22" i="29"/>
  <c r="X22" i="29"/>
  <c r="W22" i="29"/>
  <c r="V22" i="29"/>
  <c r="U22" i="29"/>
  <c r="T22" i="29"/>
  <c r="S22" i="29"/>
  <c r="R22" i="29"/>
  <c r="Q22" i="29"/>
  <c r="P22" i="29"/>
  <c r="O22" i="29"/>
  <c r="N22" i="29"/>
  <c r="M22" i="29"/>
  <c r="L22" i="29"/>
  <c r="K22" i="29"/>
  <c r="J22" i="29"/>
  <c r="I22" i="29"/>
  <c r="H22" i="29"/>
  <c r="G22" i="29"/>
  <c r="F22" i="29"/>
  <c r="E22" i="29"/>
  <c r="AK21" i="29"/>
  <c r="AJ21" i="29"/>
  <c r="AI21" i="29"/>
  <c r="AH21" i="29"/>
  <c r="AG21" i="29"/>
  <c r="AF21" i="29"/>
  <c r="AE21" i="29"/>
  <c r="AD21" i="29"/>
  <c r="AC21" i="29"/>
  <c r="AB21" i="29"/>
  <c r="AA21" i="29"/>
  <c r="Z21" i="29"/>
  <c r="Y21" i="29"/>
  <c r="X21" i="29"/>
  <c r="W21" i="29"/>
  <c r="V21" i="29"/>
  <c r="U21" i="29"/>
  <c r="T21" i="29"/>
  <c r="S21" i="29"/>
  <c r="R21" i="29"/>
  <c r="Q21" i="29"/>
  <c r="P21" i="29"/>
  <c r="O21" i="29"/>
  <c r="N21" i="29"/>
  <c r="M21" i="29"/>
  <c r="L21" i="29"/>
  <c r="K21" i="29"/>
  <c r="J21" i="29"/>
  <c r="I21" i="29"/>
  <c r="H21" i="29"/>
  <c r="G21" i="29"/>
  <c r="F21" i="29"/>
  <c r="E21" i="29"/>
  <c r="AK20" i="29"/>
  <c r="AJ20" i="29"/>
  <c r="AI20" i="29"/>
  <c r="AH20" i="29"/>
  <c r="AG20" i="29"/>
  <c r="AF20" i="29"/>
  <c r="AE20" i="29"/>
  <c r="AD20" i="29"/>
  <c r="AC20" i="29"/>
  <c r="AB20" i="29"/>
  <c r="AA20" i="29"/>
  <c r="Z20" i="29"/>
  <c r="Y20" i="29"/>
  <c r="X20" i="29"/>
  <c r="W20" i="29"/>
  <c r="V20" i="29"/>
  <c r="U20" i="29"/>
  <c r="T20" i="29"/>
  <c r="S20" i="29"/>
  <c r="R20" i="29"/>
  <c r="Q20" i="29"/>
  <c r="P20" i="29"/>
  <c r="O20" i="29"/>
  <c r="N20" i="29"/>
  <c r="M20" i="29"/>
  <c r="L20" i="29"/>
  <c r="K20" i="29"/>
  <c r="J20" i="29"/>
  <c r="I20" i="29"/>
  <c r="H20" i="29"/>
  <c r="G20" i="29"/>
  <c r="F20" i="29"/>
  <c r="E20" i="29"/>
  <c r="AK19" i="29"/>
  <c r="AJ19" i="29"/>
  <c r="AI19" i="29"/>
  <c r="AH19" i="29"/>
  <c r="AG19" i="29"/>
  <c r="AF19" i="29"/>
  <c r="AE19" i="29"/>
  <c r="AD19" i="29"/>
  <c r="AC19" i="29"/>
  <c r="AB19" i="29"/>
  <c r="AA19" i="29"/>
  <c r="Z19" i="29"/>
  <c r="Y19" i="29"/>
  <c r="X19" i="29"/>
  <c r="W19" i="29"/>
  <c r="V19" i="29"/>
  <c r="U19" i="29"/>
  <c r="T19" i="29"/>
  <c r="S19" i="29"/>
  <c r="R19" i="29"/>
  <c r="Q19" i="29"/>
  <c r="P19" i="29"/>
  <c r="O19" i="29"/>
  <c r="N19" i="29"/>
  <c r="M19" i="29"/>
  <c r="L19" i="29"/>
  <c r="K19" i="29"/>
  <c r="J19" i="29"/>
  <c r="I19" i="29"/>
  <c r="H19" i="29"/>
  <c r="G19" i="29"/>
  <c r="F19" i="29"/>
  <c r="AK18" i="29"/>
  <c r="AJ18" i="29"/>
  <c r="AI18" i="29"/>
  <c r="AH18" i="29"/>
  <c r="AG18" i="29"/>
  <c r="AF18" i="29"/>
  <c r="AE18" i="29"/>
  <c r="AD18" i="29"/>
  <c r="AC18" i="29"/>
  <c r="AB18" i="29"/>
  <c r="AA18" i="29"/>
  <c r="Z18" i="29"/>
  <c r="Y18" i="29"/>
  <c r="X18" i="29"/>
  <c r="W18" i="29"/>
  <c r="V18" i="29"/>
  <c r="U18" i="29"/>
  <c r="T18" i="29"/>
  <c r="S18" i="29"/>
  <c r="R18" i="29"/>
  <c r="Q18" i="29"/>
  <c r="P18" i="29"/>
  <c r="O18" i="29"/>
  <c r="N18" i="29"/>
  <c r="M18" i="29"/>
  <c r="L18" i="29"/>
  <c r="K18" i="29"/>
  <c r="J18" i="29"/>
  <c r="I18" i="29"/>
  <c r="H18" i="29"/>
  <c r="G18" i="29"/>
  <c r="F18" i="29"/>
  <c r="E18" i="29"/>
  <c r="AK17" i="29"/>
  <c r="AJ17" i="29"/>
  <c r="AI17" i="29"/>
  <c r="AH17" i="29"/>
  <c r="AG17" i="29"/>
  <c r="AF17" i="29"/>
  <c r="AE17" i="29"/>
  <c r="AD17" i="29"/>
  <c r="AC17" i="29"/>
  <c r="AB17" i="29"/>
  <c r="AA17" i="29"/>
  <c r="Z17" i="29"/>
  <c r="Y17" i="29"/>
  <c r="X17" i="29"/>
  <c r="W17" i="29"/>
  <c r="V17" i="29"/>
  <c r="U17" i="29"/>
  <c r="T17" i="29"/>
  <c r="S17" i="29"/>
  <c r="R17" i="29"/>
  <c r="Q17" i="29"/>
  <c r="P17" i="29"/>
  <c r="O17" i="29"/>
  <c r="N17" i="29"/>
  <c r="M17" i="29"/>
  <c r="L17" i="29"/>
  <c r="K17" i="29"/>
  <c r="J17" i="29"/>
  <c r="I17" i="29"/>
  <c r="H17" i="29"/>
  <c r="G17" i="29"/>
  <c r="F17" i="29"/>
  <c r="AK16" i="29"/>
  <c r="AJ16" i="29"/>
  <c r="AI16" i="29"/>
  <c r="AH16" i="29"/>
  <c r="AG16" i="29"/>
  <c r="AF16" i="29"/>
  <c r="AE16" i="29"/>
  <c r="AD16" i="29"/>
  <c r="AC16" i="29"/>
  <c r="AB16" i="29"/>
  <c r="AA16" i="29"/>
  <c r="Z16" i="29"/>
  <c r="Y16" i="29"/>
  <c r="X16" i="29"/>
  <c r="W16" i="29"/>
  <c r="V16" i="29"/>
  <c r="U16" i="29"/>
  <c r="T16" i="29"/>
  <c r="S16" i="29"/>
  <c r="R16" i="29"/>
  <c r="Q16" i="29"/>
  <c r="P16" i="29"/>
  <c r="O16" i="29"/>
  <c r="N16" i="29"/>
  <c r="M16" i="29"/>
  <c r="L16" i="29"/>
  <c r="K16" i="29"/>
  <c r="J16" i="29"/>
  <c r="I16" i="29"/>
  <c r="H16" i="29"/>
  <c r="G16" i="29"/>
  <c r="F16" i="29"/>
  <c r="E16" i="29"/>
  <c r="AK15" i="29"/>
  <c r="AJ15" i="29"/>
  <c r="AI15" i="29"/>
  <c r="AH15" i="29"/>
  <c r="AG15" i="29"/>
  <c r="AF15" i="29"/>
  <c r="AE15" i="29"/>
  <c r="AD15" i="29"/>
  <c r="AC15" i="29"/>
  <c r="AB15" i="29"/>
  <c r="AA15" i="29"/>
  <c r="Z15" i="29"/>
  <c r="Y15" i="29"/>
  <c r="X15" i="29"/>
  <c r="W15" i="29"/>
  <c r="V15" i="29"/>
  <c r="U15" i="29"/>
  <c r="T15" i="29"/>
  <c r="S15" i="29"/>
  <c r="R15" i="29"/>
  <c r="Q15" i="29"/>
  <c r="P15" i="29"/>
  <c r="O15" i="29"/>
  <c r="N15" i="29"/>
  <c r="M15" i="29"/>
  <c r="L15" i="29"/>
  <c r="K15" i="29"/>
  <c r="J15" i="29"/>
  <c r="I15" i="29"/>
  <c r="H15" i="29"/>
  <c r="G15" i="29"/>
  <c r="F15" i="29"/>
  <c r="AK14" i="29"/>
  <c r="AJ14" i="29"/>
  <c r="AI14" i="29"/>
  <c r="AH14" i="29"/>
  <c r="AG14" i="29"/>
  <c r="AF14" i="29"/>
  <c r="AE14" i="29"/>
  <c r="AD14" i="29"/>
  <c r="AC14" i="29"/>
  <c r="AB14" i="29"/>
  <c r="AA14" i="29"/>
  <c r="Z14" i="29"/>
  <c r="Y14" i="29"/>
  <c r="X14" i="29"/>
  <c r="W14" i="29"/>
  <c r="V14" i="29"/>
  <c r="U14" i="29"/>
  <c r="T14" i="29"/>
  <c r="S14" i="29"/>
  <c r="R14" i="29"/>
  <c r="Q14" i="29"/>
  <c r="P14" i="29"/>
  <c r="O14" i="29"/>
  <c r="N14" i="29"/>
  <c r="M14" i="29"/>
  <c r="L14" i="29"/>
  <c r="K14" i="29"/>
  <c r="J14" i="29"/>
  <c r="I14" i="29"/>
  <c r="H14" i="29"/>
  <c r="G14" i="29"/>
  <c r="F14" i="29"/>
  <c r="E14" i="29"/>
  <c r="AK13" i="29"/>
  <c r="AJ13" i="29"/>
  <c r="AI13" i="29"/>
  <c r="AH13" i="29"/>
  <c r="AG13" i="29"/>
  <c r="AF13" i="29"/>
  <c r="AE13" i="29"/>
  <c r="AD13" i="29"/>
  <c r="AC13" i="29"/>
  <c r="AB13" i="29"/>
  <c r="AA13" i="29"/>
  <c r="Z13" i="29"/>
  <c r="Y13" i="29"/>
  <c r="X13" i="29"/>
  <c r="W13" i="29"/>
  <c r="V13" i="29"/>
  <c r="U13" i="29"/>
  <c r="T13" i="29"/>
  <c r="S13" i="29"/>
  <c r="R13" i="29"/>
  <c r="Q13" i="29"/>
  <c r="P13" i="29"/>
  <c r="O13" i="29"/>
  <c r="N13" i="29"/>
  <c r="M13" i="29"/>
  <c r="L13" i="29"/>
  <c r="K13" i="29"/>
  <c r="J13" i="29"/>
  <c r="I13" i="29"/>
  <c r="H13" i="29"/>
  <c r="G13" i="29"/>
  <c r="F13" i="29"/>
  <c r="AK12" i="29"/>
  <c r="AJ12" i="29"/>
  <c r="AI12" i="29"/>
  <c r="AH12" i="29"/>
  <c r="AG12" i="29"/>
  <c r="AF12" i="29"/>
  <c r="AE12" i="29"/>
  <c r="AD12" i="29"/>
  <c r="AC12" i="29"/>
  <c r="AB12" i="29"/>
  <c r="AA12" i="29"/>
  <c r="Z12" i="29"/>
  <c r="Y12" i="29"/>
  <c r="X12" i="29"/>
  <c r="W12" i="29"/>
  <c r="V12" i="29"/>
  <c r="U12" i="29"/>
  <c r="T12" i="29"/>
  <c r="S12" i="29"/>
  <c r="R12" i="29"/>
  <c r="Q12" i="29"/>
  <c r="P12" i="29"/>
  <c r="O12" i="29"/>
  <c r="N12" i="29"/>
  <c r="M12" i="29"/>
  <c r="L12" i="29"/>
  <c r="K12" i="29"/>
  <c r="J12" i="29"/>
  <c r="I12" i="29"/>
  <c r="H12" i="29"/>
  <c r="G12" i="29"/>
  <c r="F12" i="29"/>
  <c r="E12" i="29"/>
  <c r="G11" i="29"/>
  <c r="F11" i="29"/>
  <c r="AK10" i="29"/>
  <c r="AJ10" i="29"/>
  <c r="AH10" i="29"/>
  <c r="AG10" i="29"/>
  <c r="AF10" i="29"/>
  <c r="AE10" i="29"/>
  <c r="AD10" i="29"/>
  <c r="AC10" i="29"/>
  <c r="AB10" i="29"/>
  <c r="AA10" i="29"/>
  <c r="Z10" i="29"/>
  <c r="Y10" i="29"/>
  <c r="X10" i="29"/>
  <c r="W10" i="29"/>
  <c r="V10" i="29"/>
  <c r="U10" i="29"/>
  <c r="T10" i="29"/>
  <c r="S10" i="29"/>
  <c r="R10" i="29"/>
  <c r="Q10" i="29"/>
  <c r="P10" i="29"/>
  <c r="O10" i="29"/>
  <c r="N10" i="29"/>
  <c r="M10" i="29"/>
  <c r="L10" i="29"/>
  <c r="K10" i="29"/>
  <c r="J10" i="29"/>
  <c r="I10" i="29"/>
  <c r="H10" i="29"/>
  <c r="G10" i="29"/>
  <c r="F10" i="29"/>
  <c r="E10" i="29"/>
  <c r="G9" i="29"/>
  <c r="F9" i="29"/>
  <c r="AK8" i="29"/>
  <c r="AJ8" i="29"/>
  <c r="AH8" i="29"/>
  <c r="AG8" i="29"/>
  <c r="AF8" i="29"/>
  <c r="AE8" i="29"/>
  <c r="AD8" i="29"/>
  <c r="AC8" i="29"/>
  <c r="AB8" i="29"/>
  <c r="AA8" i="29"/>
  <c r="Z8" i="29"/>
  <c r="Y8" i="29"/>
  <c r="X8" i="29"/>
  <c r="W8" i="29"/>
  <c r="V8" i="29"/>
  <c r="U8" i="29"/>
  <c r="T8" i="29"/>
  <c r="S8" i="29"/>
  <c r="R8" i="29"/>
  <c r="Q8" i="29"/>
  <c r="P8" i="29"/>
  <c r="O8" i="29"/>
  <c r="N8" i="29"/>
  <c r="M8" i="29"/>
  <c r="L8" i="29"/>
  <c r="K8" i="29"/>
  <c r="J8" i="29"/>
  <c r="I8" i="29"/>
  <c r="H8" i="29"/>
  <c r="G8" i="29"/>
  <c r="F8" i="29"/>
  <c r="E8" i="29"/>
  <c r="AK7" i="29"/>
  <c r="AJ7" i="29"/>
  <c r="AH7" i="29"/>
  <c r="AG7" i="29"/>
  <c r="AF7" i="29"/>
  <c r="AE7" i="29"/>
  <c r="AD7" i="29"/>
  <c r="AC7" i="29"/>
  <c r="AB7" i="29"/>
  <c r="AA7" i="29"/>
  <c r="Z7" i="29"/>
  <c r="Y7" i="29"/>
  <c r="X7" i="29"/>
  <c r="W7" i="29"/>
  <c r="V7" i="29"/>
  <c r="U7" i="29"/>
  <c r="T7" i="29"/>
  <c r="S7" i="29"/>
  <c r="R7" i="29"/>
  <c r="Q7" i="29"/>
  <c r="P7" i="29"/>
  <c r="O7" i="29"/>
  <c r="N7" i="29"/>
  <c r="M7" i="29"/>
  <c r="L7" i="29"/>
  <c r="K7" i="29"/>
  <c r="J7" i="29"/>
  <c r="I7" i="29"/>
  <c r="G7" i="29"/>
  <c r="F7" i="29"/>
  <c r="AK6" i="29"/>
  <c r="AJ6" i="29"/>
  <c r="AH6" i="29"/>
  <c r="AG6" i="29"/>
  <c r="AF6" i="29"/>
  <c r="AE6" i="29"/>
  <c r="AD6" i="29"/>
  <c r="AC6" i="29"/>
  <c r="AB6" i="29"/>
  <c r="AA6" i="29"/>
  <c r="Z6" i="29"/>
  <c r="Y6" i="29"/>
  <c r="X6" i="29"/>
  <c r="W6" i="29"/>
  <c r="V6" i="29"/>
  <c r="U6" i="29"/>
  <c r="T6" i="29"/>
  <c r="S6" i="29"/>
  <c r="R6" i="29"/>
  <c r="Q6" i="29"/>
  <c r="P6" i="29"/>
  <c r="O6" i="29"/>
  <c r="N6" i="29"/>
  <c r="M6" i="29"/>
  <c r="L6" i="29"/>
  <c r="K6" i="29"/>
  <c r="J6" i="29"/>
  <c r="I6" i="29"/>
  <c r="H6" i="29"/>
  <c r="AL6" i="29" s="1"/>
  <c r="G6" i="29"/>
  <c r="F6" i="29"/>
  <c r="E6" i="29"/>
  <c r="H4" i="29"/>
  <c r="I4" i="29" s="1"/>
  <c r="E27" i="28"/>
  <c r="E28" i="28"/>
  <c r="E29" i="28"/>
  <c r="E13" i="29" s="1"/>
  <c r="AK83" i="28"/>
  <c r="AK86" i="28" s="1"/>
  <c r="AJ83" i="28"/>
  <c r="AJ86" i="28" s="1"/>
  <c r="AI83" i="28"/>
  <c r="AI86" i="28" s="1"/>
  <c r="AH83" i="28"/>
  <c r="AH86" i="28" s="1"/>
  <c r="AG83" i="28"/>
  <c r="AG86" i="28" s="1"/>
  <c r="AF83" i="28"/>
  <c r="AF86" i="28" s="1"/>
  <c r="AE83" i="28"/>
  <c r="AE86" i="28" s="1"/>
  <c r="AD83" i="28"/>
  <c r="AD86" i="28" s="1"/>
  <c r="AC83" i="28"/>
  <c r="AC86" i="28" s="1"/>
  <c r="AB83" i="28"/>
  <c r="AB86" i="28" s="1"/>
  <c r="AA83" i="28"/>
  <c r="AA86" i="28" s="1"/>
  <c r="Z83" i="28"/>
  <c r="Z86" i="28" s="1"/>
  <c r="Y83" i="28"/>
  <c r="Y86" i="28" s="1"/>
  <c r="X83" i="28"/>
  <c r="X86" i="28" s="1"/>
  <c r="W83" i="28"/>
  <c r="W86" i="28" s="1"/>
  <c r="V83" i="28"/>
  <c r="V86" i="28" s="1"/>
  <c r="U83" i="28"/>
  <c r="U86" i="28" s="1"/>
  <c r="T83" i="28"/>
  <c r="T86" i="28" s="1"/>
  <c r="S83" i="28"/>
  <c r="S86" i="28" s="1"/>
  <c r="R83" i="28"/>
  <c r="R86" i="28" s="1"/>
  <c r="Q83" i="28"/>
  <c r="Q86" i="28" s="1"/>
  <c r="P83" i="28"/>
  <c r="P86" i="28" s="1"/>
  <c r="O83" i="28"/>
  <c r="O86" i="28" s="1"/>
  <c r="N83" i="28"/>
  <c r="N86" i="28" s="1"/>
  <c r="M83" i="28"/>
  <c r="M86" i="28" s="1"/>
  <c r="L83" i="28"/>
  <c r="L86" i="28" s="1"/>
  <c r="K83" i="28"/>
  <c r="K86" i="28" s="1"/>
  <c r="J83" i="28"/>
  <c r="J86" i="28" s="1"/>
  <c r="I83" i="28"/>
  <c r="I86" i="28" s="1"/>
  <c r="H83" i="28"/>
  <c r="H86" i="28" s="1"/>
  <c r="E81" i="28"/>
  <c r="E80" i="28"/>
  <c r="E79" i="28"/>
  <c r="E78" i="28"/>
  <c r="E77" i="28"/>
  <c r="E76" i="28"/>
  <c r="E75" i="28"/>
  <c r="E74" i="28"/>
  <c r="E73" i="28"/>
  <c r="AK69" i="28"/>
  <c r="AJ69" i="28"/>
  <c r="AI69" i="28"/>
  <c r="AH69" i="28"/>
  <c r="AG69" i="28"/>
  <c r="AF69" i="28"/>
  <c r="AE69" i="28"/>
  <c r="AD69" i="28"/>
  <c r="AC69" i="28"/>
  <c r="AB69" i="28"/>
  <c r="AA69" i="28"/>
  <c r="Z69" i="28"/>
  <c r="Y69" i="28"/>
  <c r="X69" i="28"/>
  <c r="W69" i="28"/>
  <c r="V69" i="28"/>
  <c r="U69" i="28"/>
  <c r="T69" i="28"/>
  <c r="S69" i="28"/>
  <c r="R69" i="28"/>
  <c r="Q69" i="28"/>
  <c r="P69" i="28"/>
  <c r="O69" i="28"/>
  <c r="N69" i="28"/>
  <c r="M69" i="28"/>
  <c r="L69" i="28"/>
  <c r="K69" i="28"/>
  <c r="J69" i="28"/>
  <c r="AK67" i="28"/>
  <c r="AK29" i="29" s="1"/>
  <c r="AJ67" i="28"/>
  <c r="AJ29" i="29" s="1"/>
  <c r="AI67" i="28"/>
  <c r="AI29" i="29" s="1"/>
  <c r="AH67" i="28"/>
  <c r="AH29" i="29" s="1"/>
  <c r="AG67" i="28"/>
  <c r="AG29" i="29" s="1"/>
  <c r="AF67" i="28"/>
  <c r="AF29" i="29" s="1"/>
  <c r="AE67" i="28"/>
  <c r="AD67" i="28"/>
  <c r="AD29" i="29" s="1"/>
  <c r="AC67" i="28"/>
  <c r="AC29" i="29" s="1"/>
  <c r="AB67" i="28"/>
  <c r="AB29" i="29" s="1"/>
  <c r="AA67" i="28"/>
  <c r="AA29" i="29" s="1"/>
  <c r="Z67" i="28"/>
  <c r="Z29" i="29" s="1"/>
  <c r="Y67" i="28"/>
  <c r="Y29" i="29" s="1"/>
  <c r="X67" i="28"/>
  <c r="X29" i="29" s="1"/>
  <c r="W67" i="28"/>
  <c r="V67" i="28"/>
  <c r="V29" i="29" s="1"/>
  <c r="U67" i="28"/>
  <c r="U29" i="29" s="1"/>
  <c r="T67" i="28"/>
  <c r="T29" i="29" s="1"/>
  <c r="S67" i="28"/>
  <c r="S29" i="29" s="1"/>
  <c r="R29" i="29"/>
  <c r="Q67" i="28"/>
  <c r="Q29" i="29" s="1"/>
  <c r="P67" i="28"/>
  <c r="P29" i="29" s="1"/>
  <c r="O67" i="28"/>
  <c r="O29" i="29" s="1"/>
  <c r="N67" i="28"/>
  <c r="N29" i="29" s="1"/>
  <c r="M67" i="28"/>
  <c r="L67" i="28"/>
  <c r="K67" i="28"/>
  <c r="J68" i="28"/>
  <c r="K68" i="28" s="1"/>
  <c r="E64" i="28"/>
  <c r="E63" i="28"/>
  <c r="E25" i="29" s="1"/>
  <c r="E62" i="28"/>
  <c r="E61" i="28"/>
  <c r="E60" i="28"/>
  <c r="E59" i="28"/>
  <c r="E58" i="28"/>
  <c r="E57" i="28"/>
  <c r="E56" i="28"/>
  <c r="AK52" i="28"/>
  <c r="AJ52" i="28"/>
  <c r="AI52" i="28"/>
  <c r="AH52" i="28"/>
  <c r="AG52" i="28"/>
  <c r="AF52" i="28"/>
  <c r="AE52" i="28"/>
  <c r="AD52" i="28"/>
  <c r="AC52" i="28"/>
  <c r="AB52" i="28"/>
  <c r="AA52" i="28"/>
  <c r="Z52" i="28"/>
  <c r="Y52" i="28"/>
  <c r="X52" i="28"/>
  <c r="W52" i="28"/>
  <c r="V52" i="28"/>
  <c r="U52" i="28"/>
  <c r="T52" i="28"/>
  <c r="S52" i="28"/>
  <c r="R52" i="28"/>
  <c r="Q52" i="28"/>
  <c r="P52" i="28"/>
  <c r="O52" i="28"/>
  <c r="N52" i="28"/>
  <c r="M52" i="28"/>
  <c r="L52" i="28"/>
  <c r="K52" i="28"/>
  <c r="J52" i="28"/>
  <c r="AK50" i="28"/>
  <c r="AJ50" i="28"/>
  <c r="AJ23" i="29" s="1"/>
  <c r="AI50" i="28"/>
  <c r="AI23" i="29" s="1"/>
  <c r="AH50" i="28"/>
  <c r="AH23" i="29" s="1"/>
  <c r="AG50" i="28"/>
  <c r="AG23" i="29" s="1"/>
  <c r="AF50" i="28"/>
  <c r="AF23" i="29" s="1"/>
  <c r="AE50" i="28"/>
  <c r="AD50" i="28"/>
  <c r="AC50" i="28"/>
  <c r="AC23" i="29" s="1"/>
  <c r="AB50" i="28"/>
  <c r="AB23" i="29" s="1"/>
  <c r="AA50" i="28"/>
  <c r="AA23" i="29" s="1"/>
  <c r="Z50" i="28"/>
  <c r="Y50" i="28"/>
  <c r="Y23" i="29" s="1"/>
  <c r="X50" i="28"/>
  <c r="X23" i="29" s="1"/>
  <c r="W50" i="28"/>
  <c r="W23" i="29" s="1"/>
  <c r="V50" i="28"/>
  <c r="V23" i="29" s="1"/>
  <c r="U50" i="28"/>
  <c r="U23" i="29" s="1"/>
  <c r="T50" i="28"/>
  <c r="T23" i="29" s="1"/>
  <c r="S50" i="28"/>
  <c r="S23" i="29" s="1"/>
  <c r="R50" i="28"/>
  <c r="R23" i="29" s="1"/>
  <c r="Q50" i="28"/>
  <c r="Q23" i="29" s="1"/>
  <c r="P50" i="28"/>
  <c r="O50" i="28"/>
  <c r="O23" i="29" s="1"/>
  <c r="N50" i="28"/>
  <c r="N23" i="29" s="1"/>
  <c r="M50" i="28"/>
  <c r="M23" i="29" s="1"/>
  <c r="L50" i="28"/>
  <c r="L23" i="29" s="1"/>
  <c r="K50" i="28"/>
  <c r="K23" i="29" s="1"/>
  <c r="J51" i="28"/>
  <c r="K51" i="28" s="1"/>
  <c r="L51" i="28" s="1"/>
  <c r="E47" i="28"/>
  <c r="E46" i="28"/>
  <c r="E19" i="29" s="1"/>
  <c r="E45" i="28"/>
  <c r="E43" i="28"/>
  <c r="E42" i="28"/>
  <c r="E41" i="28"/>
  <c r="E40" i="28"/>
  <c r="E39" i="28"/>
  <c r="AK35" i="28"/>
  <c r="AJ35" i="28"/>
  <c r="AI35" i="28"/>
  <c r="AH35" i="28"/>
  <c r="AG35" i="28"/>
  <c r="AF35" i="28"/>
  <c r="AE35" i="28"/>
  <c r="AD35" i="28"/>
  <c r="AC35" i="28"/>
  <c r="AB35" i="28"/>
  <c r="AA35" i="28"/>
  <c r="Z35" i="28"/>
  <c r="Y35" i="28"/>
  <c r="X35" i="28"/>
  <c r="W35" i="28"/>
  <c r="V35" i="28"/>
  <c r="U35" i="28"/>
  <c r="T35" i="28"/>
  <c r="S35" i="28"/>
  <c r="R35" i="28"/>
  <c r="Q35" i="28"/>
  <c r="P35" i="28"/>
  <c r="O35" i="28"/>
  <c r="N35" i="28"/>
  <c r="M35" i="28"/>
  <c r="L35" i="28"/>
  <c r="K35" i="28"/>
  <c r="J35" i="28"/>
  <c r="AK33" i="28"/>
  <c r="AJ33" i="28"/>
  <c r="AI33" i="28"/>
  <c r="AH33" i="28"/>
  <c r="AG33" i="28"/>
  <c r="AF33" i="28"/>
  <c r="AE33" i="28"/>
  <c r="AD33" i="28"/>
  <c r="AC33" i="28"/>
  <c r="AB33" i="28"/>
  <c r="AA33" i="28"/>
  <c r="Z33" i="28"/>
  <c r="Y33" i="28"/>
  <c r="X33" i="28"/>
  <c r="W33" i="28"/>
  <c r="V33" i="28"/>
  <c r="U33" i="28"/>
  <c r="T33" i="28"/>
  <c r="S33" i="28"/>
  <c r="R33" i="28"/>
  <c r="Q33" i="28"/>
  <c r="P33" i="28"/>
  <c r="O33" i="28"/>
  <c r="N33" i="28"/>
  <c r="M33" i="28"/>
  <c r="L33" i="28"/>
  <c r="K33" i="28"/>
  <c r="E26" i="28"/>
  <c r="E25" i="28"/>
  <c r="E24" i="28"/>
  <c r="E22" i="28"/>
  <c r="E21" i="28"/>
  <c r="E20" i="28"/>
  <c r="E19" i="28"/>
  <c r="E18" i="28"/>
  <c r="E17" i="28"/>
  <c r="E16" i="28"/>
  <c r="E17" i="29" s="1"/>
  <c r="E15" i="28"/>
  <c r="E14" i="28"/>
  <c r="E15" i="29" s="1"/>
  <c r="E13" i="28"/>
  <c r="AK9" i="28"/>
  <c r="AJ9" i="28"/>
  <c r="AI9" i="28"/>
  <c r="AH9" i="28"/>
  <c r="AG9" i="28"/>
  <c r="AF9" i="28"/>
  <c r="AE9" i="28"/>
  <c r="AD9" i="28"/>
  <c r="AC9" i="28"/>
  <c r="AB9" i="28"/>
  <c r="AA9" i="28"/>
  <c r="Z9" i="28"/>
  <c r="Y9" i="28"/>
  <c r="X9" i="28"/>
  <c r="W9" i="28"/>
  <c r="V9" i="28"/>
  <c r="U9" i="28"/>
  <c r="T9" i="28"/>
  <c r="S9" i="28"/>
  <c r="R9" i="28"/>
  <c r="Q9" i="28"/>
  <c r="P9" i="28"/>
  <c r="O9" i="28"/>
  <c r="N9" i="28"/>
  <c r="M9" i="28"/>
  <c r="L9" i="28"/>
  <c r="K9" i="28"/>
  <c r="J9" i="28"/>
  <c r="I9" i="28"/>
  <c r="I12" i="28" s="1"/>
  <c r="AK7" i="28"/>
  <c r="AJ7" i="28"/>
  <c r="AI7" i="28"/>
  <c r="AH7" i="28"/>
  <c r="AG7" i="28"/>
  <c r="AF7" i="28"/>
  <c r="AE7" i="28"/>
  <c r="AD7" i="28"/>
  <c r="AC7" i="28"/>
  <c r="AB7" i="28"/>
  <c r="AA7" i="28"/>
  <c r="Z7" i="28"/>
  <c r="Y7" i="28"/>
  <c r="X7" i="28"/>
  <c r="W7" i="28"/>
  <c r="V7" i="28"/>
  <c r="U7" i="28"/>
  <c r="T7" i="28"/>
  <c r="S7" i="28"/>
  <c r="R7" i="28"/>
  <c r="Q7" i="28"/>
  <c r="P7" i="28"/>
  <c r="O7" i="28"/>
  <c r="N7" i="28"/>
  <c r="M7" i="28"/>
  <c r="L7" i="28"/>
  <c r="K7" i="28"/>
  <c r="J7" i="28"/>
  <c r="I7" i="28"/>
  <c r="I8" i="28" s="1"/>
  <c r="H4" i="28"/>
  <c r="H5" i="28" s="1"/>
  <c r="AL2" i="28"/>
  <c r="I9" i="27"/>
  <c r="J9" i="27"/>
  <c r="K9" i="27"/>
  <c r="L9" i="27"/>
  <c r="M9" i="27"/>
  <c r="N9" i="27"/>
  <c r="O9" i="27"/>
  <c r="P9" i="27"/>
  <c r="Q9" i="27"/>
  <c r="R9" i="27"/>
  <c r="S9" i="27"/>
  <c r="T9" i="27"/>
  <c r="U9" i="27"/>
  <c r="V9" i="27"/>
  <c r="W9" i="27"/>
  <c r="X9" i="27"/>
  <c r="Y9" i="27"/>
  <c r="Z9" i="27"/>
  <c r="AA9" i="27"/>
  <c r="AB9" i="27"/>
  <c r="AC9" i="27"/>
  <c r="AD9" i="27"/>
  <c r="AE9" i="27"/>
  <c r="AF9" i="27"/>
  <c r="AG9" i="27"/>
  <c r="AH9" i="27"/>
  <c r="AI9" i="27"/>
  <c r="AJ9" i="27"/>
  <c r="AK9" i="27"/>
  <c r="H9" i="27"/>
  <c r="I7" i="27"/>
  <c r="J7" i="27"/>
  <c r="K7" i="27"/>
  <c r="L7" i="27"/>
  <c r="M7" i="27"/>
  <c r="N7" i="27"/>
  <c r="O7" i="27"/>
  <c r="P7" i="27"/>
  <c r="Q7" i="27"/>
  <c r="R7" i="27"/>
  <c r="S7" i="27"/>
  <c r="T7" i="27"/>
  <c r="U7" i="27"/>
  <c r="V7" i="27"/>
  <c r="W7" i="27"/>
  <c r="X7" i="27"/>
  <c r="Y7" i="27"/>
  <c r="Z7" i="27"/>
  <c r="AA7" i="27"/>
  <c r="AB7" i="27"/>
  <c r="AC7" i="27"/>
  <c r="AD7" i="27"/>
  <c r="AE7" i="27"/>
  <c r="AF7" i="27"/>
  <c r="AG7" i="27"/>
  <c r="AH7" i="27"/>
  <c r="AI7" i="27"/>
  <c r="AJ7" i="27"/>
  <c r="AK7" i="27"/>
  <c r="H7" i="27"/>
  <c r="H8" i="27" s="1"/>
  <c r="I8" i="27" s="1"/>
  <c r="F12" i="25"/>
  <c r="G12" i="25"/>
  <c r="H12" i="25"/>
  <c r="I12" i="25"/>
  <c r="J12" i="25"/>
  <c r="K12" i="25"/>
  <c r="L12" i="25"/>
  <c r="M12" i="25"/>
  <c r="N12" i="25"/>
  <c r="O12" i="25"/>
  <c r="P12" i="25"/>
  <c r="Q12" i="25"/>
  <c r="R12" i="25"/>
  <c r="S12" i="25"/>
  <c r="T12" i="25"/>
  <c r="U12" i="25"/>
  <c r="V12" i="25"/>
  <c r="W12" i="25"/>
  <c r="X12" i="25"/>
  <c r="Y12" i="25"/>
  <c r="Z12" i="25"/>
  <c r="AA12" i="25"/>
  <c r="AB12" i="25"/>
  <c r="AC12" i="25"/>
  <c r="AD12" i="25"/>
  <c r="AE12" i="25"/>
  <c r="AF12" i="25"/>
  <c r="AG12" i="25"/>
  <c r="AH12" i="25"/>
  <c r="AI12" i="25"/>
  <c r="AJ12" i="25"/>
  <c r="AK12" i="25"/>
  <c r="F13" i="25"/>
  <c r="G13" i="25"/>
  <c r="H13" i="25"/>
  <c r="I13" i="25"/>
  <c r="K13" i="25"/>
  <c r="L13" i="25"/>
  <c r="M13" i="25"/>
  <c r="N13" i="25"/>
  <c r="O13" i="25"/>
  <c r="P13" i="25"/>
  <c r="Q13" i="25"/>
  <c r="R13" i="25"/>
  <c r="S13" i="25"/>
  <c r="T13" i="25"/>
  <c r="U13" i="25"/>
  <c r="V13" i="25"/>
  <c r="W13" i="25"/>
  <c r="X13" i="25"/>
  <c r="Y13" i="25"/>
  <c r="Z13" i="25"/>
  <c r="AA13" i="25"/>
  <c r="AB13" i="25"/>
  <c r="AC13" i="25"/>
  <c r="AD13" i="25"/>
  <c r="AE13" i="25"/>
  <c r="AF13" i="25"/>
  <c r="AG13" i="25"/>
  <c r="AH13" i="25"/>
  <c r="AI13" i="25"/>
  <c r="AJ13" i="25"/>
  <c r="AK13" i="25"/>
  <c r="F14" i="25"/>
  <c r="G14" i="25"/>
  <c r="H14" i="25"/>
  <c r="I14" i="25"/>
  <c r="J14" i="25"/>
  <c r="K14" i="25"/>
  <c r="L14" i="25"/>
  <c r="M14" i="25"/>
  <c r="N14" i="25"/>
  <c r="O14" i="25"/>
  <c r="P14" i="25"/>
  <c r="Q14" i="25"/>
  <c r="R14" i="25"/>
  <c r="S14" i="25"/>
  <c r="T14" i="25"/>
  <c r="U14" i="25"/>
  <c r="V14" i="25"/>
  <c r="W14" i="25"/>
  <c r="X14" i="25"/>
  <c r="Y14" i="25"/>
  <c r="Z14" i="25"/>
  <c r="AA14" i="25"/>
  <c r="AB14" i="25"/>
  <c r="AC14" i="25"/>
  <c r="AD14" i="25"/>
  <c r="AE14" i="25"/>
  <c r="AF14" i="25"/>
  <c r="AG14" i="25"/>
  <c r="AH14" i="25"/>
  <c r="AI14" i="25"/>
  <c r="AJ14" i="25"/>
  <c r="AK14" i="25"/>
  <c r="F15" i="25"/>
  <c r="G15" i="25"/>
  <c r="H15" i="25"/>
  <c r="I15" i="25"/>
  <c r="J15" i="25"/>
  <c r="K15" i="25"/>
  <c r="L15" i="25"/>
  <c r="M15" i="25"/>
  <c r="N15" i="25"/>
  <c r="O15" i="25"/>
  <c r="P15" i="25"/>
  <c r="Q15" i="25"/>
  <c r="R15" i="25"/>
  <c r="S15" i="25"/>
  <c r="T15" i="25"/>
  <c r="U15" i="25"/>
  <c r="V15" i="25"/>
  <c r="W15" i="25"/>
  <c r="X15" i="25"/>
  <c r="Y15" i="25"/>
  <c r="Z15" i="25"/>
  <c r="AA15" i="25"/>
  <c r="AB15" i="25"/>
  <c r="AC15" i="25"/>
  <c r="AD15" i="25"/>
  <c r="AE15" i="25"/>
  <c r="AF15" i="25"/>
  <c r="AG15" i="25"/>
  <c r="AH15" i="25"/>
  <c r="AI15" i="25"/>
  <c r="AJ15" i="25"/>
  <c r="AK15" i="25"/>
  <c r="F16" i="25"/>
  <c r="G16" i="25"/>
  <c r="H16" i="25"/>
  <c r="I16" i="25"/>
  <c r="J16" i="25"/>
  <c r="K16" i="25"/>
  <c r="L16" i="25"/>
  <c r="M16" i="25"/>
  <c r="N16" i="25"/>
  <c r="O16" i="25"/>
  <c r="P16" i="25"/>
  <c r="Q16" i="25"/>
  <c r="R16" i="25"/>
  <c r="S16" i="25"/>
  <c r="T16" i="25"/>
  <c r="U16" i="25"/>
  <c r="V16" i="25"/>
  <c r="W16" i="25"/>
  <c r="X16" i="25"/>
  <c r="Y16" i="25"/>
  <c r="Z16" i="25"/>
  <c r="AA16" i="25"/>
  <c r="AB16" i="25"/>
  <c r="AC16" i="25"/>
  <c r="AD16" i="25"/>
  <c r="AE16" i="25"/>
  <c r="AF16" i="25"/>
  <c r="AG16" i="25"/>
  <c r="AH16" i="25"/>
  <c r="AI16" i="25"/>
  <c r="AJ16" i="25"/>
  <c r="AK16" i="25"/>
  <c r="F17" i="25"/>
  <c r="G17" i="25"/>
  <c r="H17" i="25"/>
  <c r="I17" i="25"/>
  <c r="J17" i="25"/>
  <c r="K17" i="25"/>
  <c r="L17" i="25"/>
  <c r="M17" i="25"/>
  <c r="N17" i="25"/>
  <c r="O17" i="25"/>
  <c r="P17" i="25"/>
  <c r="Q17" i="25"/>
  <c r="R17" i="25"/>
  <c r="S17" i="25"/>
  <c r="T17" i="25"/>
  <c r="U17" i="25"/>
  <c r="V17" i="25"/>
  <c r="W17" i="25"/>
  <c r="X17" i="25"/>
  <c r="Y17" i="25"/>
  <c r="Z17" i="25"/>
  <c r="AA17" i="25"/>
  <c r="AB17" i="25"/>
  <c r="AC17" i="25"/>
  <c r="AD17" i="25"/>
  <c r="AE17" i="25"/>
  <c r="AF17" i="25"/>
  <c r="AG17" i="25"/>
  <c r="AH17" i="25"/>
  <c r="AI17" i="25"/>
  <c r="AJ17" i="25"/>
  <c r="AK17" i="25"/>
  <c r="F18" i="25"/>
  <c r="G18" i="25"/>
  <c r="H18" i="25"/>
  <c r="I18" i="25"/>
  <c r="J18" i="25"/>
  <c r="K18" i="25"/>
  <c r="L18" i="25"/>
  <c r="M18" i="25"/>
  <c r="N18" i="25"/>
  <c r="O18" i="25"/>
  <c r="P18" i="25"/>
  <c r="Q18" i="25"/>
  <c r="R18" i="25"/>
  <c r="S18" i="25"/>
  <c r="T18" i="25"/>
  <c r="U18" i="25"/>
  <c r="V18" i="25"/>
  <c r="W18" i="25"/>
  <c r="X18" i="25"/>
  <c r="Y18" i="25"/>
  <c r="Z18" i="25"/>
  <c r="AA18" i="25"/>
  <c r="AB18" i="25"/>
  <c r="AC18" i="25"/>
  <c r="AD18" i="25"/>
  <c r="AE18" i="25"/>
  <c r="AF18" i="25"/>
  <c r="AG18" i="25"/>
  <c r="AH18" i="25"/>
  <c r="AI18" i="25"/>
  <c r="AJ18" i="25"/>
  <c r="AK18" i="25"/>
  <c r="F19" i="25"/>
  <c r="G19" i="25"/>
  <c r="H19" i="25"/>
  <c r="I19" i="25"/>
  <c r="K19" i="25"/>
  <c r="L19" i="25"/>
  <c r="M19" i="25"/>
  <c r="N19" i="25"/>
  <c r="O19" i="25"/>
  <c r="P19" i="25"/>
  <c r="Q19" i="25"/>
  <c r="R19" i="25"/>
  <c r="S19" i="25"/>
  <c r="T19" i="25"/>
  <c r="U19" i="25"/>
  <c r="V19" i="25"/>
  <c r="W19" i="25"/>
  <c r="X19" i="25"/>
  <c r="Y19" i="25"/>
  <c r="Z19" i="25"/>
  <c r="AA19" i="25"/>
  <c r="AB19" i="25"/>
  <c r="AC19" i="25"/>
  <c r="AD19" i="25"/>
  <c r="AE19" i="25"/>
  <c r="AF19" i="25"/>
  <c r="AG19" i="25"/>
  <c r="AH19" i="25"/>
  <c r="AI19" i="25"/>
  <c r="AJ19" i="25"/>
  <c r="AK19" i="25"/>
  <c r="F20" i="25"/>
  <c r="G20" i="25"/>
  <c r="H20" i="25"/>
  <c r="I20" i="25"/>
  <c r="J20" i="25"/>
  <c r="K20" i="25"/>
  <c r="L20" i="25"/>
  <c r="M20" i="25"/>
  <c r="N20" i="25"/>
  <c r="O20" i="25"/>
  <c r="P20" i="25"/>
  <c r="Q20" i="25"/>
  <c r="R20" i="25"/>
  <c r="S20" i="25"/>
  <c r="T20" i="25"/>
  <c r="U20" i="25"/>
  <c r="V20" i="25"/>
  <c r="W20" i="25"/>
  <c r="X20" i="25"/>
  <c r="Y20" i="25"/>
  <c r="Z20" i="25"/>
  <c r="AA20" i="25"/>
  <c r="AB20" i="25"/>
  <c r="AC20" i="25"/>
  <c r="AD20" i="25"/>
  <c r="AE20" i="25"/>
  <c r="AF20" i="25"/>
  <c r="AG20" i="25"/>
  <c r="AH20" i="25"/>
  <c r="AI20" i="25"/>
  <c r="AJ20" i="25"/>
  <c r="AK20" i="25"/>
  <c r="F21" i="25"/>
  <c r="G21" i="25"/>
  <c r="H21" i="25"/>
  <c r="I21" i="25"/>
  <c r="F22" i="25"/>
  <c r="G22" i="25"/>
  <c r="H22" i="25"/>
  <c r="I22" i="25"/>
  <c r="J22" i="25"/>
  <c r="K22" i="25"/>
  <c r="L22" i="25"/>
  <c r="M22" i="25"/>
  <c r="N22" i="25"/>
  <c r="O22" i="25"/>
  <c r="P22" i="25"/>
  <c r="Q22" i="25"/>
  <c r="R22" i="25"/>
  <c r="S22" i="25"/>
  <c r="T22" i="25"/>
  <c r="U22" i="25"/>
  <c r="V22" i="25"/>
  <c r="W22" i="25"/>
  <c r="X22" i="25"/>
  <c r="Y22" i="25"/>
  <c r="Z22" i="25"/>
  <c r="AA22" i="25"/>
  <c r="AB22" i="25"/>
  <c r="AC22" i="25"/>
  <c r="AD22" i="25"/>
  <c r="AE22" i="25"/>
  <c r="AF22" i="25"/>
  <c r="AG22" i="25"/>
  <c r="AH22" i="25"/>
  <c r="AI22" i="25"/>
  <c r="AJ22" i="25"/>
  <c r="AK22" i="25"/>
  <c r="F23" i="25"/>
  <c r="G23" i="25"/>
  <c r="H23" i="25"/>
  <c r="I23" i="25"/>
  <c r="F24" i="25"/>
  <c r="G24" i="25"/>
  <c r="H24" i="25"/>
  <c r="I24" i="25"/>
  <c r="J24" i="25"/>
  <c r="K24" i="25"/>
  <c r="L24" i="25"/>
  <c r="M24" i="25"/>
  <c r="N24" i="25"/>
  <c r="O24" i="25"/>
  <c r="P24" i="25"/>
  <c r="Q24" i="25"/>
  <c r="R24" i="25"/>
  <c r="S24" i="25"/>
  <c r="T24" i="25"/>
  <c r="U24" i="25"/>
  <c r="V24" i="25"/>
  <c r="W24" i="25"/>
  <c r="X24" i="25"/>
  <c r="Y24" i="25"/>
  <c r="Z24" i="25"/>
  <c r="AA24" i="25"/>
  <c r="AB24" i="25"/>
  <c r="AC24" i="25"/>
  <c r="AD24" i="25"/>
  <c r="AE24" i="25"/>
  <c r="AF24" i="25"/>
  <c r="AG24" i="25"/>
  <c r="AH24" i="25"/>
  <c r="AI24" i="25"/>
  <c r="AJ24" i="25"/>
  <c r="AK24" i="25"/>
  <c r="F25" i="25"/>
  <c r="G25" i="25"/>
  <c r="H25" i="25"/>
  <c r="I25" i="25"/>
  <c r="K25" i="25"/>
  <c r="L25" i="25"/>
  <c r="M25" i="25"/>
  <c r="N25" i="25"/>
  <c r="O25" i="25"/>
  <c r="P25" i="25"/>
  <c r="Q25" i="25"/>
  <c r="R25" i="25"/>
  <c r="S25" i="25"/>
  <c r="T25" i="25"/>
  <c r="U25" i="25"/>
  <c r="V25" i="25"/>
  <c r="W25" i="25"/>
  <c r="X25" i="25"/>
  <c r="Y25" i="25"/>
  <c r="Z25" i="25"/>
  <c r="AA25" i="25"/>
  <c r="AB25" i="25"/>
  <c r="AC25" i="25"/>
  <c r="AD25" i="25"/>
  <c r="AE25" i="25"/>
  <c r="AF25" i="25"/>
  <c r="AG25" i="25"/>
  <c r="AH25" i="25"/>
  <c r="AI25" i="25"/>
  <c r="AJ25" i="25"/>
  <c r="AK25" i="25"/>
  <c r="F26" i="25"/>
  <c r="G26" i="25"/>
  <c r="H26" i="25"/>
  <c r="I26" i="25"/>
  <c r="J26" i="25"/>
  <c r="K26" i="25"/>
  <c r="L26" i="25"/>
  <c r="M26" i="25"/>
  <c r="N26" i="25"/>
  <c r="O26" i="25"/>
  <c r="P26" i="25"/>
  <c r="Q26" i="25"/>
  <c r="R26" i="25"/>
  <c r="S26" i="25"/>
  <c r="T26" i="25"/>
  <c r="U26" i="25"/>
  <c r="V26" i="25"/>
  <c r="W26" i="25"/>
  <c r="X26" i="25"/>
  <c r="Y26" i="25"/>
  <c r="Z26" i="25"/>
  <c r="AA26" i="25"/>
  <c r="AB26" i="25"/>
  <c r="AC26" i="25"/>
  <c r="AD26" i="25"/>
  <c r="AE26" i="25"/>
  <c r="AF26" i="25"/>
  <c r="AG26" i="25"/>
  <c r="AH26" i="25"/>
  <c r="AI26" i="25"/>
  <c r="AJ26" i="25"/>
  <c r="AK26" i="25"/>
  <c r="F27" i="25"/>
  <c r="G27" i="25"/>
  <c r="H27" i="25"/>
  <c r="I27" i="25"/>
  <c r="F28" i="25"/>
  <c r="G28" i="25"/>
  <c r="H28" i="25"/>
  <c r="I28" i="25"/>
  <c r="J28" i="25"/>
  <c r="K28" i="25"/>
  <c r="L28" i="25"/>
  <c r="M28" i="25"/>
  <c r="N28" i="25"/>
  <c r="O28" i="25"/>
  <c r="P28" i="25"/>
  <c r="Q28" i="25"/>
  <c r="R28" i="25"/>
  <c r="S28" i="25"/>
  <c r="T28" i="25"/>
  <c r="U28" i="25"/>
  <c r="V28" i="25"/>
  <c r="W28" i="25"/>
  <c r="X28" i="25"/>
  <c r="Y28" i="25"/>
  <c r="Z28" i="25"/>
  <c r="AA28" i="25"/>
  <c r="AB28" i="25"/>
  <c r="AC28" i="25"/>
  <c r="AD28" i="25"/>
  <c r="AE28" i="25"/>
  <c r="AF28" i="25"/>
  <c r="AG28" i="25"/>
  <c r="AH28" i="25"/>
  <c r="AI28" i="25"/>
  <c r="AJ28" i="25"/>
  <c r="AK28" i="25"/>
  <c r="F29" i="25"/>
  <c r="G29" i="25"/>
  <c r="H29" i="25"/>
  <c r="I29" i="25"/>
  <c r="E24" i="25"/>
  <c r="E28" i="25"/>
  <c r="E26" i="25"/>
  <c r="E22" i="25"/>
  <c r="E20" i="25"/>
  <c r="E18" i="25"/>
  <c r="G11" i="25"/>
  <c r="F11" i="25"/>
  <c r="G9" i="25"/>
  <c r="F9" i="25"/>
  <c r="AK7" i="25"/>
  <c r="AJ7" i="25"/>
  <c r="AI7" i="25"/>
  <c r="AH7" i="25"/>
  <c r="AG7" i="25"/>
  <c r="AF7" i="25"/>
  <c r="AE7" i="25"/>
  <c r="AD7" i="25"/>
  <c r="AC7" i="25"/>
  <c r="AB7" i="25"/>
  <c r="AA7" i="25"/>
  <c r="Z7" i="25"/>
  <c r="Y7" i="25"/>
  <c r="X7" i="25"/>
  <c r="W7" i="25"/>
  <c r="V7" i="25"/>
  <c r="U7" i="25"/>
  <c r="T7" i="25"/>
  <c r="S7" i="25"/>
  <c r="R7" i="25"/>
  <c r="Q7" i="25"/>
  <c r="P7" i="25"/>
  <c r="O7" i="25"/>
  <c r="N7" i="25"/>
  <c r="M7" i="25"/>
  <c r="L7" i="25"/>
  <c r="K7" i="25"/>
  <c r="I7" i="25"/>
  <c r="H7" i="25"/>
  <c r="G7" i="25"/>
  <c r="F7" i="25"/>
  <c r="AK80" i="27"/>
  <c r="AK83" i="27" s="1"/>
  <c r="AJ80" i="27"/>
  <c r="AJ83" i="27" s="1"/>
  <c r="AI80" i="27"/>
  <c r="AI83" i="27" s="1"/>
  <c r="AH80" i="27"/>
  <c r="AH83" i="27" s="1"/>
  <c r="AG80" i="27"/>
  <c r="AG83" i="27" s="1"/>
  <c r="AF80" i="27"/>
  <c r="AF83" i="27" s="1"/>
  <c r="AE80" i="27"/>
  <c r="AE83" i="27" s="1"/>
  <c r="AD80" i="27"/>
  <c r="AD83" i="27" s="1"/>
  <c r="AC80" i="27"/>
  <c r="AC83" i="27" s="1"/>
  <c r="AB80" i="27"/>
  <c r="AB83" i="27" s="1"/>
  <c r="AA80" i="27"/>
  <c r="AA83" i="27" s="1"/>
  <c r="Z80" i="27"/>
  <c r="Z83" i="27" s="1"/>
  <c r="Y80" i="27"/>
  <c r="Y83" i="27" s="1"/>
  <c r="X80" i="27"/>
  <c r="X83" i="27" s="1"/>
  <c r="W80" i="27"/>
  <c r="W83" i="27" s="1"/>
  <c r="V80" i="27"/>
  <c r="V83" i="27" s="1"/>
  <c r="U80" i="27"/>
  <c r="U83" i="27" s="1"/>
  <c r="T80" i="27"/>
  <c r="T83" i="27" s="1"/>
  <c r="S80" i="27"/>
  <c r="S83" i="27" s="1"/>
  <c r="R80" i="27"/>
  <c r="R83" i="27" s="1"/>
  <c r="Q80" i="27"/>
  <c r="Q83" i="27" s="1"/>
  <c r="P80" i="27"/>
  <c r="P83" i="27" s="1"/>
  <c r="O80" i="27"/>
  <c r="O83" i="27" s="1"/>
  <c r="N80" i="27"/>
  <c r="N83" i="27" s="1"/>
  <c r="M80" i="27"/>
  <c r="M83" i="27" s="1"/>
  <c r="L80" i="27"/>
  <c r="L83" i="27" s="1"/>
  <c r="K80" i="27"/>
  <c r="K83" i="27" s="1"/>
  <c r="J80" i="27"/>
  <c r="J83" i="27" s="1"/>
  <c r="I80" i="27"/>
  <c r="I83" i="27" s="1"/>
  <c r="H80" i="27"/>
  <c r="H83" i="27" s="1"/>
  <c r="E78" i="27"/>
  <c r="E77" i="27"/>
  <c r="E76" i="27"/>
  <c r="E75" i="27"/>
  <c r="E74" i="27"/>
  <c r="E73" i="27"/>
  <c r="E72" i="27"/>
  <c r="E71" i="27"/>
  <c r="E70" i="27"/>
  <c r="AK66" i="27"/>
  <c r="AJ66" i="27"/>
  <c r="AI66" i="27"/>
  <c r="AH66" i="27"/>
  <c r="AG66" i="27"/>
  <c r="AF66" i="27"/>
  <c r="AE66" i="27"/>
  <c r="AD66" i="27"/>
  <c r="AC66" i="27"/>
  <c r="AB66" i="27"/>
  <c r="AA66" i="27"/>
  <c r="Z66" i="27"/>
  <c r="Y66" i="27"/>
  <c r="X66" i="27"/>
  <c r="W66" i="27"/>
  <c r="V66" i="27"/>
  <c r="U66" i="27"/>
  <c r="T66" i="27"/>
  <c r="S66" i="27"/>
  <c r="R66" i="27"/>
  <c r="Q66" i="27"/>
  <c r="P66" i="27"/>
  <c r="O66" i="27"/>
  <c r="N66" i="27"/>
  <c r="M66" i="27"/>
  <c r="L66" i="27"/>
  <c r="K66" i="27"/>
  <c r="J66" i="27"/>
  <c r="AK64" i="27"/>
  <c r="AJ64" i="27"/>
  <c r="AI64" i="27"/>
  <c r="AH64" i="27"/>
  <c r="AG64" i="27"/>
  <c r="AF64" i="27"/>
  <c r="AE64" i="27"/>
  <c r="AD64" i="27"/>
  <c r="AC64" i="27"/>
  <c r="AB64" i="27"/>
  <c r="AA64" i="27"/>
  <c r="Z64" i="27"/>
  <c r="Y64" i="27"/>
  <c r="X64" i="27"/>
  <c r="W64" i="27"/>
  <c r="V64" i="27"/>
  <c r="U64" i="27"/>
  <c r="T64" i="27"/>
  <c r="S64" i="27"/>
  <c r="R64" i="27"/>
  <c r="Q64" i="27"/>
  <c r="P64" i="27"/>
  <c r="O64" i="27"/>
  <c r="N64" i="27"/>
  <c r="M64" i="27"/>
  <c r="L64" i="27"/>
  <c r="K64" i="27"/>
  <c r="J64" i="27"/>
  <c r="J65" i="27" s="1"/>
  <c r="J63" i="27"/>
  <c r="E63" i="27" s="1"/>
  <c r="E25" i="25" s="1"/>
  <c r="E61" i="27"/>
  <c r="E60" i="27"/>
  <c r="E59" i="27"/>
  <c r="E58" i="27"/>
  <c r="E57" i="27"/>
  <c r="E56" i="27"/>
  <c r="E55" i="27"/>
  <c r="E54" i="27"/>
  <c r="E53" i="27"/>
  <c r="AK49" i="27"/>
  <c r="AJ49" i="27"/>
  <c r="AI49" i="27"/>
  <c r="AH49" i="27"/>
  <c r="AG49" i="27"/>
  <c r="AF49" i="27"/>
  <c r="AE49" i="27"/>
  <c r="AD49" i="27"/>
  <c r="AC49" i="27"/>
  <c r="AB49" i="27"/>
  <c r="AA49" i="27"/>
  <c r="Z49" i="27"/>
  <c r="Y49" i="27"/>
  <c r="X49" i="27"/>
  <c r="W49" i="27"/>
  <c r="V49" i="27"/>
  <c r="U49" i="27"/>
  <c r="T49" i="27"/>
  <c r="S49" i="27"/>
  <c r="R49" i="27"/>
  <c r="Q49" i="27"/>
  <c r="P49" i="27"/>
  <c r="O49" i="27"/>
  <c r="N49" i="27"/>
  <c r="M49" i="27"/>
  <c r="L49" i="27"/>
  <c r="K49" i="27"/>
  <c r="J49" i="27"/>
  <c r="J50" i="27" s="1"/>
  <c r="AK47" i="27"/>
  <c r="AJ47" i="27"/>
  <c r="AI47" i="27"/>
  <c r="AH47" i="27"/>
  <c r="AG47" i="27"/>
  <c r="AF47" i="27"/>
  <c r="AE47" i="27"/>
  <c r="AD47" i="27"/>
  <c r="AC47" i="27"/>
  <c r="AB47" i="27"/>
  <c r="AA47" i="27"/>
  <c r="Z47" i="27"/>
  <c r="Y47" i="27"/>
  <c r="X47" i="27"/>
  <c r="W47" i="27"/>
  <c r="V47" i="27"/>
  <c r="U47" i="27"/>
  <c r="T47" i="27"/>
  <c r="S47" i="27"/>
  <c r="R47" i="27"/>
  <c r="Q47" i="27"/>
  <c r="P47" i="27"/>
  <c r="O47" i="27"/>
  <c r="N47" i="27"/>
  <c r="M47" i="27"/>
  <c r="L47" i="27"/>
  <c r="K47" i="27"/>
  <c r="J47" i="27"/>
  <c r="J48" i="27" s="1"/>
  <c r="J46" i="27"/>
  <c r="J19" i="25" s="1"/>
  <c r="E46" i="27"/>
  <c r="E19" i="25" s="1"/>
  <c r="E44" i="27"/>
  <c r="E43" i="27"/>
  <c r="E42" i="27"/>
  <c r="E40" i="27"/>
  <c r="E39" i="27"/>
  <c r="E38" i="27"/>
  <c r="E37" i="27"/>
  <c r="E36" i="27"/>
  <c r="AK32" i="27"/>
  <c r="AJ32" i="27"/>
  <c r="AI32" i="27"/>
  <c r="AH32" i="27"/>
  <c r="AG32" i="27"/>
  <c r="AF32" i="27"/>
  <c r="AE32" i="27"/>
  <c r="AD32" i="27"/>
  <c r="AC32" i="27"/>
  <c r="AB32" i="27"/>
  <c r="AA32" i="27"/>
  <c r="Z32" i="27"/>
  <c r="Y32" i="27"/>
  <c r="X32" i="27"/>
  <c r="W32" i="27"/>
  <c r="V32" i="27"/>
  <c r="U32" i="27"/>
  <c r="T32" i="27"/>
  <c r="S32" i="27"/>
  <c r="R32" i="27"/>
  <c r="Q32" i="27"/>
  <c r="P32" i="27"/>
  <c r="O32" i="27"/>
  <c r="N32" i="27"/>
  <c r="M32" i="27"/>
  <c r="L32" i="27"/>
  <c r="K32" i="27"/>
  <c r="J32" i="27"/>
  <c r="AK30" i="27"/>
  <c r="AJ30" i="27"/>
  <c r="AI30" i="27"/>
  <c r="AH30" i="27"/>
  <c r="AG30" i="27"/>
  <c r="AF30" i="27"/>
  <c r="AE30" i="27"/>
  <c r="AD30" i="27"/>
  <c r="AC30" i="27"/>
  <c r="AB30" i="27"/>
  <c r="AA30" i="27"/>
  <c r="Z30" i="27"/>
  <c r="Y30" i="27"/>
  <c r="X30" i="27"/>
  <c r="W30" i="27"/>
  <c r="V30" i="27"/>
  <c r="U30" i="27"/>
  <c r="T30" i="27"/>
  <c r="S30" i="27"/>
  <c r="R30" i="27"/>
  <c r="Q30" i="27"/>
  <c r="P30" i="27"/>
  <c r="O30" i="27"/>
  <c r="N30" i="27"/>
  <c r="M30" i="27"/>
  <c r="L30" i="27"/>
  <c r="K30" i="27"/>
  <c r="J30" i="27"/>
  <c r="J31" i="27" s="1"/>
  <c r="J29" i="27"/>
  <c r="E29" i="27" s="1"/>
  <c r="E28" i="27"/>
  <c r="E26" i="27"/>
  <c r="E25" i="27"/>
  <c r="E24" i="27"/>
  <c r="E22" i="27"/>
  <c r="E21" i="27"/>
  <c r="E20" i="27"/>
  <c r="E19" i="27"/>
  <c r="E18" i="27"/>
  <c r="E17" i="27"/>
  <c r="E16" i="27"/>
  <c r="E17" i="25" s="1"/>
  <c r="E15" i="27"/>
  <c r="E14" i="27"/>
  <c r="E15" i="25" s="1"/>
  <c r="E13" i="27"/>
  <c r="H12" i="27"/>
  <c r="I12" i="27" s="1"/>
  <c r="J6" i="27"/>
  <c r="E6" i="27" s="1"/>
  <c r="E7" i="25" s="1"/>
  <c r="H4" i="27"/>
  <c r="H5" i="27" s="1"/>
  <c r="AL2" i="27"/>
  <c r="AD8" i="25"/>
  <c r="H56" i="17"/>
  <c r="I56" i="17" s="1"/>
  <c r="J56" i="17" s="1"/>
  <c r="K56" i="17" s="1"/>
  <c r="L56" i="17" s="1"/>
  <c r="M56" i="17" s="1"/>
  <c r="N56" i="17" s="1"/>
  <c r="O56" i="17" s="1"/>
  <c r="P56" i="17" s="1"/>
  <c r="Q56" i="17" s="1"/>
  <c r="R56" i="17" s="1"/>
  <c r="S56" i="17" s="1"/>
  <c r="T56" i="17" s="1"/>
  <c r="U56" i="17" s="1"/>
  <c r="V56" i="17" s="1"/>
  <c r="W56" i="17" s="1"/>
  <c r="X56" i="17" s="1"/>
  <c r="Y56" i="17" s="1"/>
  <c r="Z56" i="17" s="1"/>
  <c r="AA56" i="17" s="1"/>
  <c r="AB56" i="17" s="1"/>
  <c r="AC56" i="17" s="1"/>
  <c r="AD56" i="17" s="1"/>
  <c r="AE56" i="17" s="1"/>
  <c r="AF56" i="17" s="1"/>
  <c r="AG56" i="17" s="1"/>
  <c r="AH56" i="17" s="1"/>
  <c r="AI56" i="17" s="1"/>
  <c r="AJ56" i="17" s="1"/>
  <c r="AK56" i="17" s="1"/>
  <c r="I42" i="17"/>
  <c r="J42" i="17" s="1"/>
  <c r="K42" i="17" s="1"/>
  <c r="L42" i="17" s="1"/>
  <c r="M42" i="17" s="1"/>
  <c r="N42" i="17" s="1"/>
  <c r="O42" i="17" s="1"/>
  <c r="P42" i="17" s="1"/>
  <c r="Q42" i="17" s="1"/>
  <c r="R42" i="17" s="1"/>
  <c r="S42" i="17" s="1"/>
  <c r="T42" i="17" s="1"/>
  <c r="U42" i="17" s="1"/>
  <c r="V42" i="17" s="1"/>
  <c r="W42" i="17" s="1"/>
  <c r="X42" i="17" s="1"/>
  <c r="Y42" i="17" s="1"/>
  <c r="Z42" i="17" s="1"/>
  <c r="AA42" i="17" s="1"/>
  <c r="AB42" i="17" s="1"/>
  <c r="AC42" i="17" s="1"/>
  <c r="AD42" i="17" s="1"/>
  <c r="AE42" i="17" s="1"/>
  <c r="AF42" i="17" s="1"/>
  <c r="AG42" i="17" s="1"/>
  <c r="AH42" i="17" s="1"/>
  <c r="AI42" i="17" s="1"/>
  <c r="AJ42" i="17" s="1"/>
  <c r="AK42" i="17" s="1"/>
  <c r="H42" i="17"/>
  <c r="H54" i="17"/>
  <c r="I54" i="17" s="1"/>
  <c r="J54" i="17" s="1"/>
  <c r="K54" i="17" s="1"/>
  <c r="L54" i="17" s="1"/>
  <c r="M54" i="17" s="1"/>
  <c r="N54" i="17" s="1"/>
  <c r="O54" i="17" s="1"/>
  <c r="P54" i="17" s="1"/>
  <c r="Q54" i="17" s="1"/>
  <c r="R54" i="17" s="1"/>
  <c r="S54" i="17" s="1"/>
  <c r="T54" i="17" s="1"/>
  <c r="U54" i="17" s="1"/>
  <c r="V54" i="17" s="1"/>
  <c r="W54" i="17" s="1"/>
  <c r="X54" i="17" s="1"/>
  <c r="Y54" i="17" s="1"/>
  <c r="Z54" i="17" s="1"/>
  <c r="AA54" i="17" s="1"/>
  <c r="AB54" i="17" s="1"/>
  <c r="AC54" i="17" s="1"/>
  <c r="AD54" i="17" s="1"/>
  <c r="AE54" i="17" s="1"/>
  <c r="AF54" i="17" s="1"/>
  <c r="AG54" i="17" s="1"/>
  <c r="AH54" i="17" s="1"/>
  <c r="AI54" i="17" s="1"/>
  <c r="AJ54" i="17" s="1"/>
  <c r="AK54" i="17" s="1"/>
  <c r="H40" i="17"/>
  <c r="I40" i="17" s="1"/>
  <c r="J40" i="17" s="1"/>
  <c r="K40" i="17" s="1"/>
  <c r="L40" i="17" s="1"/>
  <c r="M40" i="17" s="1"/>
  <c r="N40" i="17" s="1"/>
  <c r="O40" i="17" s="1"/>
  <c r="P40" i="17" s="1"/>
  <c r="Q40" i="17" s="1"/>
  <c r="R40" i="17" s="1"/>
  <c r="S40" i="17" s="1"/>
  <c r="T40" i="17" s="1"/>
  <c r="U40" i="17" s="1"/>
  <c r="V40" i="17" s="1"/>
  <c r="W40" i="17" s="1"/>
  <c r="X40" i="17" s="1"/>
  <c r="Y40" i="17" s="1"/>
  <c r="Z40" i="17" s="1"/>
  <c r="AA40" i="17" s="1"/>
  <c r="AB40" i="17" s="1"/>
  <c r="AC40" i="17" s="1"/>
  <c r="AD40" i="17" s="1"/>
  <c r="AE40" i="17" s="1"/>
  <c r="AF40" i="17" s="1"/>
  <c r="AG40" i="17" s="1"/>
  <c r="AH40" i="17" s="1"/>
  <c r="AI40" i="17" s="1"/>
  <c r="AJ40" i="17" s="1"/>
  <c r="AK40" i="17" s="1"/>
  <c r="H28" i="17"/>
  <c r="I28" i="17" s="1"/>
  <c r="H26" i="17"/>
  <c r="I26" i="17" s="1"/>
  <c r="F10" i="25"/>
  <c r="G10" i="25"/>
  <c r="E10" i="25"/>
  <c r="F8" i="25"/>
  <c r="G8" i="25"/>
  <c r="E8" i="25"/>
  <c r="F6" i="25"/>
  <c r="G6" i="25"/>
  <c r="H6" i="25"/>
  <c r="I6" i="25"/>
  <c r="K6" i="25"/>
  <c r="L6" i="25"/>
  <c r="M6" i="25"/>
  <c r="N6" i="25"/>
  <c r="O6" i="25"/>
  <c r="P6" i="25"/>
  <c r="Q6" i="25"/>
  <c r="R6" i="25"/>
  <c r="S6" i="25"/>
  <c r="T6" i="25"/>
  <c r="U6" i="25"/>
  <c r="V6" i="25"/>
  <c r="W6" i="25"/>
  <c r="X6" i="25"/>
  <c r="Y6" i="25"/>
  <c r="Z6" i="25"/>
  <c r="AA6" i="25"/>
  <c r="AB6" i="25"/>
  <c r="AC6" i="25"/>
  <c r="AD6" i="25"/>
  <c r="AE6" i="25"/>
  <c r="AF6" i="25"/>
  <c r="AG6" i="25"/>
  <c r="AH6" i="25"/>
  <c r="AI6" i="25"/>
  <c r="AJ6" i="25"/>
  <c r="H4" i="25"/>
  <c r="H5" i="25" s="1"/>
  <c r="AL2" i="25"/>
  <c r="H9" i="19"/>
  <c r="I9" i="19"/>
  <c r="J9" i="19"/>
  <c r="K9" i="19"/>
  <c r="L9" i="19"/>
  <c r="M9" i="19"/>
  <c r="N9" i="19"/>
  <c r="O9" i="19"/>
  <c r="P9" i="19"/>
  <c r="Q9" i="19"/>
  <c r="R9" i="19"/>
  <c r="S9" i="19"/>
  <c r="T9" i="19"/>
  <c r="U9" i="19"/>
  <c r="V9" i="19"/>
  <c r="W9" i="19"/>
  <c r="X9" i="19"/>
  <c r="Y9" i="19"/>
  <c r="Z9" i="19"/>
  <c r="AA9" i="19"/>
  <c r="AB9" i="19"/>
  <c r="AC9" i="19"/>
  <c r="AD9" i="19"/>
  <c r="AE9" i="19"/>
  <c r="AF9" i="19"/>
  <c r="AG9" i="19"/>
  <c r="AH9" i="19"/>
  <c r="AI9" i="19"/>
  <c r="AJ9" i="19"/>
  <c r="AK9" i="19"/>
  <c r="I11" i="31" l="1"/>
  <c r="K8" i="30"/>
  <c r="J9" i="31"/>
  <c r="K10" i="30"/>
  <c r="J11" i="31"/>
  <c r="K5" i="31"/>
  <c r="L4" i="31"/>
  <c r="M4" i="30"/>
  <c r="L5" i="30"/>
  <c r="I11" i="28"/>
  <c r="H9" i="29"/>
  <c r="I5" i="29"/>
  <c r="J4" i="29"/>
  <c r="L68" i="28"/>
  <c r="M68" i="28" s="1"/>
  <c r="N68" i="28" s="1"/>
  <c r="O68" i="28" s="1"/>
  <c r="P68" i="28" s="1"/>
  <c r="Q68" i="28" s="1"/>
  <c r="R68" i="28" s="1"/>
  <c r="S68" i="28" s="1"/>
  <c r="T68" i="28" s="1"/>
  <c r="U68" i="28" s="1"/>
  <c r="V68" i="28" s="1"/>
  <c r="W68" i="28" s="1"/>
  <c r="X68" i="28" s="1"/>
  <c r="Y68" i="28" s="1"/>
  <c r="Z68" i="28" s="1"/>
  <c r="AA68" i="28" s="1"/>
  <c r="AB68" i="28" s="1"/>
  <c r="AC68" i="28" s="1"/>
  <c r="AD68" i="28" s="1"/>
  <c r="AE68" i="28" s="1"/>
  <c r="AF68" i="28" s="1"/>
  <c r="AG68" i="28" s="1"/>
  <c r="AH68" i="28" s="1"/>
  <c r="AI68" i="28" s="1"/>
  <c r="AJ68" i="28" s="1"/>
  <c r="AK68" i="28" s="1"/>
  <c r="K71" i="28"/>
  <c r="L71" i="28" s="1"/>
  <c r="M71" i="28" s="1"/>
  <c r="N71" i="28" s="1"/>
  <c r="O71" i="28" s="1"/>
  <c r="P71" i="28" s="1"/>
  <c r="Q71" i="28" s="1"/>
  <c r="R71" i="28" s="1"/>
  <c r="S71" i="28" s="1"/>
  <c r="T71" i="28" s="1"/>
  <c r="U71" i="28" s="1"/>
  <c r="V71" i="28" s="1"/>
  <c r="W71" i="28" s="1"/>
  <c r="X71" i="28" s="1"/>
  <c r="Y71" i="28" s="1"/>
  <c r="Z71" i="28" s="1"/>
  <c r="AA71" i="28" s="1"/>
  <c r="AB71" i="28" s="1"/>
  <c r="AC71" i="28" s="1"/>
  <c r="AD71" i="28" s="1"/>
  <c r="AE71" i="28" s="1"/>
  <c r="AF71" i="28" s="1"/>
  <c r="AG71" i="28" s="1"/>
  <c r="AH71" i="28" s="1"/>
  <c r="AI71" i="28" s="1"/>
  <c r="AJ71" i="28" s="1"/>
  <c r="AK71" i="28" s="1"/>
  <c r="E32" i="28"/>
  <c r="J72" i="28"/>
  <c r="K72" i="28" s="1"/>
  <c r="L72" i="28" s="1"/>
  <c r="M72" i="28" s="1"/>
  <c r="N72" i="28" s="1"/>
  <c r="O72" i="28" s="1"/>
  <c r="P72" i="28" s="1"/>
  <c r="Q72" i="28" s="1"/>
  <c r="R72" i="28" s="1"/>
  <c r="S72" i="28" s="1"/>
  <c r="T72" i="28" s="1"/>
  <c r="U72" i="28" s="1"/>
  <c r="V72" i="28" s="1"/>
  <c r="W72" i="28" s="1"/>
  <c r="X72" i="28" s="1"/>
  <c r="Y72" i="28" s="1"/>
  <c r="Z72" i="28" s="1"/>
  <c r="AA72" i="28" s="1"/>
  <c r="AB72" i="28" s="1"/>
  <c r="AC72" i="28" s="1"/>
  <c r="AD72" i="28" s="1"/>
  <c r="AE72" i="28" s="1"/>
  <c r="AF72" i="28" s="1"/>
  <c r="AG72" i="28" s="1"/>
  <c r="AH72" i="28" s="1"/>
  <c r="AI72" i="28" s="1"/>
  <c r="AJ72" i="28" s="1"/>
  <c r="AK72" i="28" s="1"/>
  <c r="E50" i="28"/>
  <c r="E23" i="29" s="1"/>
  <c r="I4" i="28"/>
  <c r="J4" i="28" s="1"/>
  <c r="K4" i="28" s="1"/>
  <c r="M51" i="28"/>
  <c r="N51" i="28" s="1"/>
  <c r="O51" i="28" s="1"/>
  <c r="P51" i="28" s="1"/>
  <c r="Q51" i="28" s="1"/>
  <c r="R51" i="28" s="1"/>
  <c r="S51" i="28" s="1"/>
  <c r="T51" i="28" s="1"/>
  <c r="U51" i="28" s="1"/>
  <c r="V51" i="28" s="1"/>
  <c r="W51" i="28" s="1"/>
  <c r="X51" i="28" s="1"/>
  <c r="Y51" i="28" s="1"/>
  <c r="Z51" i="28" s="1"/>
  <c r="AA51" i="28" s="1"/>
  <c r="AB51" i="28" s="1"/>
  <c r="AC51" i="28" s="1"/>
  <c r="AD51" i="28" s="1"/>
  <c r="AE51" i="28" s="1"/>
  <c r="AF51" i="28" s="1"/>
  <c r="AG51" i="28" s="1"/>
  <c r="AH51" i="28" s="1"/>
  <c r="AI51" i="28" s="1"/>
  <c r="AJ51" i="28" s="1"/>
  <c r="AK51" i="28" s="1"/>
  <c r="E33" i="28"/>
  <c r="E9" i="28"/>
  <c r="E49" i="28"/>
  <c r="K54" i="28"/>
  <c r="L54" i="28" s="1"/>
  <c r="M54" i="28" s="1"/>
  <c r="N54" i="28" s="1"/>
  <c r="O54" i="28" s="1"/>
  <c r="P54" i="28" s="1"/>
  <c r="Q54" i="28" s="1"/>
  <c r="R54" i="28" s="1"/>
  <c r="S54" i="28" s="1"/>
  <c r="T54" i="28" s="1"/>
  <c r="U54" i="28" s="1"/>
  <c r="V54" i="28" s="1"/>
  <c r="W54" i="28" s="1"/>
  <c r="X54" i="28" s="1"/>
  <c r="Y54" i="28" s="1"/>
  <c r="Z54" i="28" s="1"/>
  <c r="AA54" i="28" s="1"/>
  <c r="AB54" i="28" s="1"/>
  <c r="AC54" i="28" s="1"/>
  <c r="AD54" i="28" s="1"/>
  <c r="AE54" i="28" s="1"/>
  <c r="AF54" i="28" s="1"/>
  <c r="AG54" i="28" s="1"/>
  <c r="AH54" i="28" s="1"/>
  <c r="AI54" i="28" s="1"/>
  <c r="AJ54" i="28" s="1"/>
  <c r="AK54" i="28" s="1"/>
  <c r="J55" i="28"/>
  <c r="K55" i="28" s="1"/>
  <c r="L55" i="28" s="1"/>
  <c r="M55" i="28" s="1"/>
  <c r="N55" i="28" s="1"/>
  <c r="O55" i="28" s="1"/>
  <c r="P55" i="28" s="1"/>
  <c r="Q55" i="28" s="1"/>
  <c r="R55" i="28" s="1"/>
  <c r="S55" i="28" s="1"/>
  <c r="T55" i="28" s="1"/>
  <c r="U55" i="28" s="1"/>
  <c r="V55" i="28" s="1"/>
  <c r="W55" i="28" s="1"/>
  <c r="X55" i="28" s="1"/>
  <c r="Y55" i="28" s="1"/>
  <c r="Z55" i="28" s="1"/>
  <c r="AA55" i="28" s="1"/>
  <c r="AB55" i="28" s="1"/>
  <c r="AC55" i="28" s="1"/>
  <c r="AD55" i="28" s="1"/>
  <c r="AE55" i="28" s="1"/>
  <c r="AF55" i="28" s="1"/>
  <c r="AG55" i="28" s="1"/>
  <c r="AH55" i="28" s="1"/>
  <c r="AI55" i="28" s="1"/>
  <c r="AJ55" i="28" s="1"/>
  <c r="AK55" i="28" s="1"/>
  <c r="K53" i="28"/>
  <c r="L53" i="28" s="1"/>
  <c r="M53" i="28" s="1"/>
  <c r="N53" i="28" s="1"/>
  <c r="O53" i="28" s="1"/>
  <c r="P53" i="28" s="1"/>
  <c r="Q53" i="28" s="1"/>
  <c r="R53" i="28" s="1"/>
  <c r="S53" i="28" s="1"/>
  <c r="T53" i="28" s="1"/>
  <c r="U53" i="28" s="1"/>
  <c r="V53" i="28" s="1"/>
  <c r="W53" i="28" s="1"/>
  <c r="X53" i="28" s="1"/>
  <c r="Y53" i="28" s="1"/>
  <c r="Z53" i="28" s="1"/>
  <c r="AA53" i="28" s="1"/>
  <c r="AB53" i="28" s="1"/>
  <c r="AC53" i="28" s="1"/>
  <c r="AD53" i="28" s="1"/>
  <c r="AE53" i="28" s="1"/>
  <c r="AF53" i="28" s="1"/>
  <c r="AG53" i="28" s="1"/>
  <c r="AH53" i="28" s="1"/>
  <c r="AI53" i="28" s="1"/>
  <c r="AJ53" i="28" s="1"/>
  <c r="AK53" i="28" s="1"/>
  <c r="E53" i="28" s="1"/>
  <c r="E52" i="28"/>
  <c r="E7" i="28"/>
  <c r="E67" i="28"/>
  <c r="E29" i="29" s="1"/>
  <c r="E35" i="28"/>
  <c r="E69" i="28"/>
  <c r="K70" i="28"/>
  <c r="L70" i="28" s="1"/>
  <c r="M70" i="28" s="1"/>
  <c r="N70" i="28" s="1"/>
  <c r="O70" i="28" s="1"/>
  <c r="P70" i="28" s="1"/>
  <c r="Q70" i="28" s="1"/>
  <c r="R70" i="28" s="1"/>
  <c r="S70" i="28" s="1"/>
  <c r="T70" i="28" s="1"/>
  <c r="U70" i="28" s="1"/>
  <c r="V70" i="28" s="1"/>
  <c r="W70" i="28" s="1"/>
  <c r="X70" i="28" s="1"/>
  <c r="Y70" i="28" s="1"/>
  <c r="Z70" i="28" s="1"/>
  <c r="AA70" i="28" s="1"/>
  <c r="AB70" i="28" s="1"/>
  <c r="AC70" i="28" s="1"/>
  <c r="AD70" i="28" s="1"/>
  <c r="AE70" i="28" s="1"/>
  <c r="AF70" i="28" s="1"/>
  <c r="AG70" i="28" s="1"/>
  <c r="AH70" i="28" s="1"/>
  <c r="AI70" i="28" s="1"/>
  <c r="AJ70" i="28" s="1"/>
  <c r="AK70" i="28" s="1"/>
  <c r="E70" i="28" s="1"/>
  <c r="E66" i="28"/>
  <c r="K31" i="27"/>
  <c r="L31" i="27" s="1"/>
  <c r="M31" i="27" s="1"/>
  <c r="N31" i="27" s="1"/>
  <c r="O31" i="27" s="1"/>
  <c r="P31" i="27" s="1"/>
  <c r="Q31" i="27" s="1"/>
  <c r="R31" i="27" s="1"/>
  <c r="S31" i="27" s="1"/>
  <c r="T31" i="27" s="1"/>
  <c r="U31" i="27" s="1"/>
  <c r="V31" i="27" s="1"/>
  <c r="W31" i="27" s="1"/>
  <c r="X31" i="27" s="1"/>
  <c r="Y31" i="27" s="1"/>
  <c r="Z31" i="27" s="1"/>
  <c r="AA31" i="27" s="1"/>
  <c r="AB31" i="27" s="1"/>
  <c r="AC31" i="27" s="1"/>
  <c r="AD31" i="27" s="1"/>
  <c r="AE31" i="27" s="1"/>
  <c r="AF31" i="27" s="1"/>
  <c r="AG31" i="27" s="1"/>
  <c r="AH31" i="27" s="1"/>
  <c r="AI31" i="27" s="1"/>
  <c r="AJ31" i="27" s="1"/>
  <c r="AK31" i="27" s="1"/>
  <c r="J8" i="27"/>
  <c r="K8" i="27" s="1"/>
  <c r="L8" i="27" s="1"/>
  <c r="M8" i="27" s="1"/>
  <c r="N8" i="27" s="1"/>
  <c r="O8" i="27" s="1"/>
  <c r="P8" i="27" s="1"/>
  <c r="H10" i="27"/>
  <c r="H11" i="25" s="1"/>
  <c r="J35" i="27"/>
  <c r="K35" i="27" s="1"/>
  <c r="L35" i="27" s="1"/>
  <c r="M35" i="27" s="1"/>
  <c r="N35" i="27" s="1"/>
  <c r="O35" i="27" s="1"/>
  <c r="P35" i="27" s="1"/>
  <c r="Q35" i="27" s="1"/>
  <c r="R35" i="27" s="1"/>
  <c r="S35" i="27" s="1"/>
  <c r="T35" i="27" s="1"/>
  <c r="U35" i="27" s="1"/>
  <c r="V35" i="27" s="1"/>
  <c r="W35" i="27" s="1"/>
  <c r="X35" i="27" s="1"/>
  <c r="Y35" i="27" s="1"/>
  <c r="Z35" i="27" s="1"/>
  <c r="AA35" i="27" s="1"/>
  <c r="AB35" i="27" s="1"/>
  <c r="AC35" i="27" s="1"/>
  <c r="AD35" i="27" s="1"/>
  <c r="AE35" i="27" s="1"/>
  <c r="AF35" i="27" s="1"/>
  <c r="AG35" i="27" s="1"/>
  <c r="AH35" i="27" s="1"/>
  <c r="AI35" i="27" s="1"/>
  <c r="AJ35" i="27" s="1"/>
  <c r="AK35" i="27" s="1"/>
  <c r="H38" i="28" s="1"/>
  <c r="I38" i="28" s="1"/>
  <c r="J38" i="28" s="1"/>
  <c r="K38" i="28" s="1"/>
  <c r="L38" i="28" s="1"/>
  <c r="M38" i="28" s="1"/>
  <c r="N38" i="28" s="1"/>
  <c r="O38" i="28" s="1"/>
  <c r="P38" i="28" s="1"/>
  <c r="Q38" i="28" s="1"/>
  <c r="R38" i="28" s="1"/>
  <c r="S38" i="28" s="1"/>
  <c r="T38" i="28" s="1"/>
  <c r="U38" i="28" s="1"/>
  <c r="V38" i="28" s="1"/>
  <c r="W38" i="28" s="1"/>
  <c r="X38" i="28" s="1"/>
  <c r="Y38" i="28" s="1"/>
  <c r="Z38" i="28" s="1"/>
  <c r="AA38" i="28" s="1"/>
  <c r="AB38" i="28" s="1"/>
  <c r="AC38" i="28" s="1"/>
  <c r="AD38" i="28" s="1"/>
  <c r="AE38" i="28" s="1"/>
  <c r="AF38" i="28" s="1"/>
  <c r="AG38" i="28" s="1"/>
  <c r="AH38" i="28" s="1"/>
  <c r="AI38" i="28" s="1"/>
  <c r="AJ38" i="28" s="1"/>
  <c r="AK38" i="28" s="1"/>
  <c r="J25" i="25"/>
  <c r="I4" i="27"/>
  <c r="I5" i="27" s="1"/>
  <c r="J69" i="27"/>
  <c r="K69" i="27" s="1"/>
  <c r="L69" i="27" s="1"/>
  <c r="M69" i="27" s="1"/>
  <c r="N69" i="27" s="1"/>
  <c r="O69" i="27" s="1"/>
  <c r="P69" i="27" s="1"/>
  <c r="Q69" i="27" s="1"/>
  <c r="R69" i="27" s="1"/>
  <c r="S69" i="27" s="1"/>
  <c r="T69" i="27" s="1"/>
  <c r="U69" i="27" s="1"/>
  <c r="V69" i="27" s="1"/>
  <c r="W69" i="27" s="1"/>
  <c r="X69" i="27" s="1"/>
  <c r="Y69" i="27" s="1"/>
  <c r="Z69" i="27" s="1"/>
  <c r="AA69" i="27" s="1"/>
  <c r="AB69" i="27" s="1"/>
  <c r="AC69" i="27" s="1"/>
  <c r="AD69" i="27" s="1"/>
  <c r="AE69" i="27" s="1"/>
  <c r="AF69" i="27" s="1"/>
  <c r="AG69" i="27" s="1"/>
  <c r="AH69" i="27" s="1"/>
  <c r="AI69" i="27" s="1"/>
  <c r="AJ69" i="27" s="1"/>
  <c r="AK69" i="27" s="1"/>
  <c r="J7" i="25"/>
  <c r="AL7" i="25" s="1"/>
  <c r="AL6" i="27"/>
  <c r="J13" i="25"/>
  <c r="J68" i="27"/>
  <c r="K68" i="27" s="1"/>
  <c r="L68" i="27" s="1"/>
  <c r="M68" i="27" s="1"/>
  <c r="N68" i="27" s="1"/>
  <c r="O68" i="27" s="1"/>
  <c r="P68" i="27" s="1"/>
  <c r="Q68" i="27" s="1"/>
  <c r="R68" i="27" s="1"/>
  <c r="S68" i="27" s="1"/>
  <c r="T68" i="27" s="1"/>
  <c r="U68" i="27" s="1"/>
  <c r="V68" i="27" s="1"/>
  <c r="W68" i="27" s="1"/>
  <c r="X68" i="27" s="1"/>
  <c r="Y68" i="27" s="1"/>
  <c r="Z68" i="27" s="1"/>
  <c r="AA68" i="27" s="1"/>
  <c r="AB68" i="27" s="1"/>
  <c r="AC68" i="27" s="1"/>
  <c r="AD68" i="27" s="1"/>
  <c r="AE68" i="27" s="1"/>
  <c r="AF68" i="27" s="1"/>
  <c r="AG68" i="27" s="1"/>
  <c r="AH68" i="27" s="1"/>
  <c r="AI68" i="27" s="1"/>
  <c r="AJ68" i="27" s="1"/>
  <c r="AK68" i="27" s="1"/>
  <c r="J52" i="27"/>
  <c r="K52" i="27" s="1"/>
  <c r="L52" i="27" s="1"/>
  <c r="M52" i="27" s="1"/>
  <c r="N52" i="27" s="1"/>
  <c r="O52" i="27" s="1"/>
  <c r="P52" i="27" s="1"/>
  <c r="Q52" i="27" s="1"/>
  <c r="R52" i="27" s="1"/>
  <c r="S52" i="27" s="1"/>
  <c r="T52" i="27" s="1"/>
  <c r="U52" i="27" s="1"/>
  <c r="V52" i="27" s="1"/>
  <c r="W52" i="27" s="1"/>
  <c r="X52" i="27" s="1"/>
  <c r="Y52" i="27" s="1"/>
  <c r="Z52" i="27" s="1"/>
  <c r="AA52" i="27" s="1"/>
  <c r="AB52" i="27" s="1"/>
  <c r="AC52" i="27" s="1"/>
  <c r="AD52" i="27" s="1"/>
  <c r="AE52" i="27" s="1"/>
  <c r="AF52" i="27" s="1"/>
  <c r="AG52" i="27" s="1"/>
  <c r="AH52" i="27" s="1"/>
  <c r="AI52" i="27" s="1"/>
  <c r="AJ52" i="27" s="1"/>
  <c r="AK52" i="27" s="1"/>
  <c r="E30" i="27"/>
  <c r="E34" i="27" s="1"/>
  <c r="K48" i="27"/>
  <c r="K21" i="25" s="1"/>
  <c r="K50" i="27"/>
  <c r="L50" i="27" s="1"/>
  <c r="M50" i="27" s="1"/>
  <c r="N50" i="27" s="1"/>
  <c r="O50" i="27" s="1"/>
  <c r="P50" i="27" s="1"/>
  <c r="Q50" i="27" s="1"/>
  <c r="R50" i="27" s="1"/>
  <c r="S50" i="27" s="1"/>
  <c r="T50" i="27" s="1"/>
  <c r="U50" i="27" s="1"/>
  <c r="V50" i="27" s="1"/>
  <c r="W50" i="27" s="1"/>
  <c r="X50" i="27" s="1"/>
  <c r="Y50" i="27" s="1"/>
  <c r="Z50" i="27" s="1"/>
  <c r="AA50" i="27" s="1"/>
  <c r="AB50" i="27" s="1"/>
  <c r="AC50" i="27" s="1"/>
  <c r="AD50" i="27" s="1"/>
  <c r="AD23" i="25" s="1"/>
  <c r="J23" i="25"/>
  <c r="L48" i="27"/>
  <c r="E64" i="27"/>
  <c r="E68" i="27" s="1"/>
  <c r="E47" i="27"/>
  <c r="E51" i="27" s="1"/>
  <c r="J67" i="27"/>
  <c r="J21" i="25"/>
  <c r="J51" i="27"/>
  <c r="K51" i="27" s="1"/>
  <c r="L51" i="27" s="1"/>
  <c r="M51" i="27" s="1"/>
  <c r="N51" i="27" s="1"/>
  <c r="O51" i="27" s="1"/>
  <c r="P51" i="27" s="1"/>
  <c r="Q51" i="27" s="1"/>
  <c r="R51" i="27" s="1"/>
  <c r="S51" i="27" s="1"/>
  <c r="T51" i="27" s="1"/>
  <c r="U51" i="27" s="1"/>
  <c r="V51" i="27" s="1"/>
  <c r="W51" i="27" s="1"/>
  <c r="X51" i="27" s="1"/>
  <c r="Y51" i="27" s="1"/>
  <c r="Z51" i="27" s="1"/>
  <c r="AA51" i="27" s="1"/>
  <c r="AB51" i="27" s="1"/>
  <c r="AC51" i="27" s="1"/>
  <c r="AD51" i="27" s="1"/>
  <c r="AE51" i="27" s="1"/>
  <c r="AF51" i="27" s="1"/>
  <c r="AG51" i="27" s="1"/>
  <c r="AH51" i="27" s="1"/>
  <c r="AI51" i="27" s="1"/>
  <c r="AJ51" i="27" s="1"/>
  <c r="AK51" i="27" s="1"/>
  <c r="K65" i="27"/>
  <c r="L65" i="27" s="1"/>
  <c r="M65" i="27" s="1"/>
  <c r="N65" i="27" s="1"/>
  <c r="J27" i="25"/>
  <c r="H9" i="25"/>
  <c r="I9" i="25"/>
  <c r="E13" i="25"/>
  <c r="E7" i="27"/>
  <c r="E11" i="27" s="1"/>
  <c r="E66" i="27"/>
  <c r="E69" i="27" s="1"/>
  <c r="E9" i="27"/>
  <c r="E12" i="27" s="1"/>
  <c r="J12" i="27"/>
  <c r="K12" i="27" s="1"/>
  <c r="L12" i="27" s="1"/>
  <c r="M12" i="27" s="1"/>
  <c r="N12" i="27" s="1"/>
  <c r="O12" i="27" s="1"/>
  <c r="P12" i="27" s="1"/>
  <c r="Q12" i="27" s="1"/>
  <c r="R12" i="27" s="1"/>
  <c r="S12" i="27" s="1"/>
  <c r="T12" i="27" s="1"/>
  <c r="U12" i="27" s="1"/>
  <c r="V12" i="27" s="1"/>
  <c r="W12" i="27" s="1"/>
  <c r="X12" i="27" s="1"/>
  <c r="Y12" i="27" s="1"/>
  <c r="Z12" i="27" s="1"/>
  <c r="AA12" i="27" s="1"/>
  <c r="AB12" i="27" s="1"/>
  <c r="AC12" i="27" s="1"/>
  <c r="AD12" i="27" s="1"/>
  <c r="AE12" i="27" s="1"/>
  <c r="AF12" i="27" s="1"/>
  <c r="AG12" i="27" s="1"/>
  <c r="AH12" i="27" s="1"/>
  <c r="AI12" i="27" s="1"/>
  <c r="AJ12" i="27" s="1"/>
  <c r="AK12" i="27" s="1"/>
  <c r="E32" i="27"/>
  <c r="E35" i="27" s="1"/>
  <c r="E49" i="27"/>
  <c r="E52" i="27" s="1"/>
  <c r="J33" i="27"/>
  <c r="K33" i="27" s="1"/>
  <c r="L33" i="27" s="1"/>
  <c r="M33" i="27" s="1"/>
  <c r="N33" i="27" s="1"/>
  <c r="O33" i="27" s="1"/>
  <c r="P33" i="27" s="1"/>
  <c r="Q33" i="27" s="1"/>
  <c r="R33" i="27" s="1"/>
  <c r="S33" i="27" s="1"/>
  <c r="T33" i="27" s="1"/>
  <c r="U33" i="27" s="1"/>
  <c r="V33" i="27" s="1"/>
  <c r="W33" i="27" s="1"/>
  <c r="X33" i="27" s="1"/>
  <c r="Y33" i="27" s="1"/>
  <c r="Z33" i="27" s="1"/>
  <c r="AA33" i="27" s="1"/>
  <c r="AB33" i="27" s="1"/>
  <c r="AC33" i="27" s="1"/>
  <c r="AD33" i="27" s="1"/>
  <c r="AE33" i="27" s="1"/>
  <c r="AF33" i="27" s="1"/>
  <c r="AG33" i="27" s="1"/>
  <c r="AH33" i="27" s="1"/>
  <c r="AI33" i="27" s="1"/>
  <c r="AJ33" i="27" s="1"/>
  <c r="AK33" i="27" s="1"/>
  <c r="H11" i="27"/>
  <c r="I11" i="27" s="1"/>
  <c r="J11" i="27" s="1"/>
  <c r="K11" i="27" s="1"/>
  <c r="L11" i="27" s="1"/>
  <c r="M11" i="27" s="1"/>
  <c r="N11" i="27" s="1"/>
  <c r="O11" i="27" s="1"/>
  <c r="P11" i="27" s="1"/>
  <c r="Q11" i="27" s="1"/>
  <c r="R11" i="27" s="1"/>
  <c r="S11" i="27" s="1"/>
  <c r="T11" i="27" s="1"/>
  <c r="U11" i="27" s="1"/>
  <c r="V11" i="27" s="1"/>
  <c r="W11" i="27" s="1"/>
  <c r="X11" i="27" s="1"/>
  <c r="Y11" i="27" s="1"/>
  <c r="Z11" i="27" s="1"/>
  <c r="AA11" i="27" s="1"/>
  <c r="AB11" i="27" s="1"/>
  <c r="AC11" i="27" s="1"/>
  <c r="AD11" i="27" s="1"/>
  <c r="AE11" i="27" s="1"/>
  <c r="AF11" i="27" s="1"/>
  <c r="AG11" i="27" s="1"/>
  <c r="AH11" i="27" s="1"/>
  <c r="AI11" i="27" s="1"/>
  <c r="AJ11" i="27" s="1"/>
  <c r="J34" i="27"/>
  <c r="K34" i="27" s="1"/>
  <c r="L34" i="27" s="1"/>
  <c r="M34" i="27" s="1"/>
  <c r="N34" i="27" s="1"/>
  <c r="O34" i="27" s="1"/>
  <c r="P34" i="27" s="1"/>
  <c r="Q34" i="27" s="1"/>
  <c r="R34" i="27" s="1"/>
  <c r="S34" i="27" s="1"/>
  <c r="T34" i="27" s="1"/>
  <c r="U34" i="27" s="1"/>
  <c r="V34" i="27" s="1"/>
  <c r="W34" i="27" s="1"/>
  <c r="X34" i="27" s="1"/>
  <c r="Y34" i="27" s="1"/>
  <c r="Z34" i="27" s="1"/>
  <c r="AA34" i="27" s="1"/>
  <c r="AB34" i="27" s="1"/>
  <c r="AC34" i="27" s="1"/>
  <c r="AD34" i="27" s="1"/>
  <c r="AE34" i="27" s="1"/>
  <c r="AF34" i="27" s="1"/>
  <c r="AG34" i="27" s="1"/>
  <c r="AH34" i="27" s="1"/>
  <c r="AI34" i="27" s="1"/>
  <c r="AJ34" i="27" s="1"/>
  <c r="AK34" i="27" s="1"/>
  <c r="H37" i="28" s="1"/>
  <c r="I37" i="28" s="1"/>
  <c r="J37" i="28" s="1"/>
  <c r="K37" i="28" s="1"/>
  <c r="L37" i="28" s="1"/>
  <c r="M37" i="28" s="1"/>
  <c r="N37" i="28" s="1"/>
  <c r="O37" i="28" s="1"/>
  <c r="P37" i="28" s="1"/>
  <c r="Q37" i="28" s="1"/>
  <c r="R37" i="28" s="1"/>
  <c r="S37" i="28" s="1"/>
  <c r="T37" i="28" s="1"/>
  <c r="U37" i="28" s="1"/>
  <c r="V37" i="28" s="1"/>
  <c r="W37" i="28" s="1"/>
  <c r="X37" i="28" s="1"/>
  <c r="Y37" i="28" s="1"/>
  <c r="Z37" i="28" s="1"/>
  <c r="AA37" i="28" s="1"/>
  <c r="AB37" i="28" s="1"/>
  <c r="I4" i="25"/>
  <c r="E33" i="18"/>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I46" i="22" s="1"/>
  <c r="J46" i="22" s="1"/>
  <c r="K46" i="22" s="1"/>
  <c r="L46" i="22" s="1"/>
  <c r="M46" i="22" s="1"/>
  <c r="N46" i="22" s="1"/>
  <c r="O46" i="22" s="1"/>
  <c r="P46" i="22" s="1"/>
  <c r="Q46" i="22" s="1"/>
  <c r="R46" i="22" s="1"/>
  <c r="S46" i="22" s="1"/>
  <c r="T46" i="22" s="1"/>
  <c r="U46" i="22" s="1"/>
  <c r="V46" i="22" s="1"/>
  <c r="W46" i="22" s="1"/>
  <c r="X46" i="22" s="1"/>
  <c r="Y46" i="22" s="1"/>
  <c r="Z46" i="22" s="1"/>
  <c r="AA46" i="22" s="1"/>
  <c r="AB46" i="22" s="1"/>
  <c r="AC46" i="22" s="1"/>
  <c r="AD46" i="22" s="1"/>
  <c r="AE46" i="22" s="1"/>
  <c r="AF46" i="22" s="1"/>
  <c r="AG46" i="22" s="1"/>
  <c r="AH46" i="22" s="1"/>
  <c r="AI46" i="22" s="1"/>
  <c r="AJ46" i="22" s="1"/>
  <c r="AK46" i="22" s="1"/>
  <c r="AL46" i="22" s="1"/>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I45" i="22" s="1"/>
  <c r="J45" i="22" s="1"/>
  <c r="K45" i="22" s="1"/>
  <c r="L45" i="22" s="1"/>
  <c r="M45" i="22" s="1"/>
  <c r="N45" i="22" s="1"/>
  <c r="O45" i="22" s="1"/>
  <c r="P45" i="22" s="1"/>
  <c r="Q45" i="22" s="1"/>
  <c r="R45" i="22" s="1"/>
  <c r="S45" i="22" s="1"/>
  <c r="T45" i="22" s="1"/>
  <c r="U45" i="22" s="1"/>
  <c r="V45" i="22" s="1"/>
  <c r="W45" i="22" s="1"/>
  <c r="X45" i="22" s="1"/>
  <c r="Y45" i="22" s="1"/>
  <c r="Z45" i="22" s="1"/>
  <c r="AA45" i="22" s="1"/>
  <c r="AB45" i="22" s="1"/>
  <c r="AC45" i="22" s="1"/>
  <c r="AD45" i="22" s="1"/>
  <c r="AE45" i="22" s="1"/>
  <c r="AF45" i="22" s="1"/>
  <c r="AG45" i="22" s="1"/>
  <c r="AH45" i="22" s="1"/>
  <c r="AI45" i="22" s="1"/>
  <c r="AJ45" i="22" s="1"/>
  <c r="AK45" i="22" s="1"/>
  <c r="AL45" i="22" s="1"/>
  <c r="I34" i="22"/>
  <c r="J34" i="22" s="1"/>
  <c r="K34" i="22" s="1"/>
  <c r="L34" i="22" s="1"/>
  <c r="M34" i="22" s="1"/>
  <c r="N34" i="22" s="1"/>
  <c r="O34" i="22" s="1"/>
  <c r="P34" i="22" s="1"/>
  <c r="Q34" i="22" s="1"/>
  <c r="R34" i="22" s="1"/>
  <c r="S34" i="22" s="1"/>
  <c r="T34" i="22" s="1"/>
  <c r="U34" i="22" s="1"/>
  <c r="V34" i="22" s="1"/>
  <c r="W34" i="22" s="1"/>
  <c r="X34" i="22" s="1"/>
  <c r="Y34" i="22" s="1"/>
  <c r="Z34" i="22" s="1"/>
  <c r="AA34" i="22" s="1"/>
  <c r="AB34" i="22" s="1"/>
  <c r="AC34" i="22" s="1"/>
  <c r="AD34" i="22" s="1"/>
  <c r="AE34" i="22" s="1"/>
  <c r="AF34" i="22" s="1"/>
  <c r="AG34" i="22" s="1"/>
  <c r="AH34" i="22" s="1"/>
  <c r="AI34" i="22" s="1"/>
  <c r="AJ34" i="22" s="1"/>
  <c r="AK34" i="22" s="1"/>
  <c r="AL34" i="22" s="1"/>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I33" i="22" s="1"/>
  <c r="J33" i="22" s="1"/>
  <c r="K33" i="22" s="1"/>
  <c r="L33" i="22" s="1"/>
  <c r="M33" i="22" s="1"/>
  <c r="N33" i="22" s="1"/>
  <c r="O33" i="22" s="1"/>
  <c r="P33" i="22" s="1"/>
  <c r="Q33" i="22" s="1"/>
  <c r="R33" i="22" s="1"/>
  <c r="S33" i="22" s="1"/>
  <c r="T33" i="22" s="1"/>
  <c r="U33" i="22" s="1"/>
  <c r="V33" i="22" s="1"/>
  <c r="W33" i="22" s="1"/>
  <c r="X33" i="22" s="1"/>
  <c r="Y33" i="22" s="1"/>
  <c r="Z33" i="22" s="1"/>
  <c r="AA33" i="22" s="1"/>
  <c r="AB33" i="22" s="1"/>
  <c r="AC33" i="22" s="1"/>
  <c r="AD33" i="22" s="1"/>
  <c r="AE33" i="22" s="1"/>
  <c r="AF33" i="22" s="1"/>
  <c r="AG33" i="22" s="1"/>
  <c r="AH33" i="22" s="1"/>
  <c r="AI33" i="22" s="1"/>
  <c r="AJ33" i="22" s="1"/>
  <c r="AK33" i="22" s="1"/>
  <c r="AL33" i="22" s="1"/>
  <c r="AL46" i="20"/>
  <c r="AK46" i="20"/>
  <c r="AJ46" i="20"/>
  <c r="AI46" i="20"/>
  <c r="AH46" i="20"/>
  <c r="AG46" i="20"/>
  <c r="AF46" i="20"/>
  <c r="AE46" i="20"/>
  <c r="AD46" i="20"/>
  <c r="AC46" i="20"/>
  <c r="AB46" i="20"/>
  <c r="AA46" i="20"/>
  <c r="Z46" i="20"/>
  <c r="Y46" i="20"/>
  <c r="X46" i="20"/>
  <c r="W46" i="20"/>
  <c r="V46" i="20"/>
  <c r="U46" i="20"/>
  <c r="T46" i="20"/>
  <c r="S46" i="20"/>
  <c r="R46" i="20"/>
  <c r="Q46" i="20"/>
  <c r="P46" i="20"/>
  <c r="O46" i="20"/>
  <c r="N46" i="20"/>
  <c r="M46" i="20"/>
  <c r="L46" i="20"/>
  <c r="K46" i="20"/>
  <c r="J46" i="20"/>
  <c r="I46" i="20"/>
  <c r="H46" i="20"/>
  <c r="I48" i="20" s="1"/>
  <c r="J48" i="20" s="1"/>
  <c r="K48" i="20" s="1"/>
  <c r="L48" i="20" s="1"/>
  <c r="M48" i="20" s="1"/>
  <c r="N48" i="20" s="1"/>
  <c r="O48" i="20" s="1"/>
  <c r="P48" i="20" s="1"/>
  <c r="Q48" i="20" s="1"/>
  <c r="R48" i="20" s="1"/>
  <c r="S48" i="20" s="1"/>
  <c r="T48" i="20" s="1"/>
  <c r="U48" i="20" s="1"/>
  <c r="V48" i="20" s="1"/>
  <c r="W48" i="20" s="1"/>
  <c r="X48" i="20" s="1"/>
  <c r="Y48" i="20" s="1"/>
  <c r="Z48" i="20" s="1"/>
  <c r="AA48" i="20" s="1"/>
  <c r="AB48" i="20" s="1"/>
  <c r="AC48" i="20" s="1"/>
  <c r="AD48" i="20" s="1"/>
  <c r="AE48" i="20" s="1"/>
  <c r="AF48" i="20" s="1"/>
  <c r="AG48" i="20" s="1"/>
  <c r="AH48" i="20" s="1"/>
  <c r="AI48" i="20" s="1"/>
  <c r="AJ48" i="20" s="1"/>
  <c r="AK48" i="20" s="1"/>
  <c r="AL48" i="20" s="1"/>
  <c r="AL45" i="20"/>
  <c r="AK45" i="20"/>
  <c r="AJ45" i="20"/>
  <c r="AI45" i="20"/>
  <c r="AH45" i="20"/>
  <c r="AG45" i="20"/>
  <c r="AF45" i="20"/>
  <c r="AE45" i="20"/>
  <c r="AD45" i="20"/>
  <c r="AC45" i="20"/>
  <c r="AB45" i="20"/>
  <c r="AA45" i="20"/>
  <c r="Z45" i="20"/>
  <c r="Y45" i="20"/>
  <c r="X45" i="20"/>
  <c r="W45" i="20"/>
  <c r="V45" i="20"/>
  <c r="U45" i="20"/>
  <c r="T45" i="20"/>
  <c r="S45" i="20"/>
  <c r="R45" i="20"/>
  <c r="Q45" i="20"/>
  <c r="P45" i="20"/>
  <c r="O45" i="20"/>
  <c r="N45" i="20"/>
  <c r="M45" i="20"/>
  <c r="L45" i="20"/>
  <c r="K45" i="20"/>
  <c r="J45" i="20"/>
  <c r="I45" i="20"/>
  <c r="H45" i="20"/>
  <c r="I47" i="20" s="1"/>
  <c r="J47" i="20" s="1"/>
  <c r="K47" i="20" s="1"/>
  <c r="L47" i="20" s="1"/>
  <c r="AL34" i="20"/>
  <c r="AK34" i="20"/>
  <c r="AJ34" i="20"/>
  <c r="AI34" i="20"/>
  <c r="AH34" i="20"/>
  <c r="AG34" i="20"/>
  <c r="AF34" i="20"/>
  <c r="AE34" i="20"/>
  <c r="AD34" i="20"/>
  <c r="AC34" i="20"/>
  <c r="AB34" i="20"/>
  <c r="AA34" i="20"/>
  <c r="Z34" i="20"/>
  <c r="Y34" i="20"/>
  <c r="X34" i="20"/>
  <c r="W34" i="20"/>
  <c r="V34" i="20"/>
  <c r="U34" i="20"/>
  <c r="T34" i="20"/>
  <c r="S34" i="20"/>
  <c r="R34" i="20"/>
  <c r="Q34" i="20"/>
  <c r="P34" i="20"/>
  <c r="O34" i="20"/>
  <c r="N34" i="20"/>
  <c r="M34" i="20"/>
  <c r="L34" i="20"/>
  <c r="K34" i="20"/>
  <c r="J34" i="20"/>
  <c r="I34" i="20"/>
  <c r="I36" i="20" s="1"/>
  <c r="J36" i="20" s="1"/>
  <c r="K36" i="20" s="1"/>
  <c r="L36" i="20" s="1"/>
  <c r="M36" i="20" s="1"/>
  <c r="N36" i="20" s="1"/>
  <c r="O36" i="20" s="1"/>
  <c r="P36" i="20" s="1"/>
  <c r="Q36" i="20" s="1"/>
  <c r="R36" i="20" s="1"/>
  <c r="S36" i="20" s="1"/>
  <c r="T36" i="20" s="1"/>
  <c r="U36" i="20" s="1"/>
  <c r="V36" i="20" s="1"/>
  <c r="W36" i="20" s="1"/>
  <c r="X36" i="20" s="1"/>
  <c r="Y36" i="20" s="1"/>
  <c r="Z36" i="20" s="1"/>
  <c r="AA36" i="20" s="1"/>
  <c r="AB36" i="20" s="1"/>
  <c r="AC36" i="20" s="1"/>
  <c r="AD36" i="20" s="1"/>
  <c r="AE36" i="20" s="1"/>
  <c r="AF36" i="20" s="1"/>
  <c r="AG36" i="20" s="1"/>
  <c r="AH36" i="20" s="1"/>
  <c r="AI36" i="20" s="1"/>
  <c r="AJ36" i="20" s="1"/>
  <c r="AK36" i="20" s="1"/>
  <c r="AL36" i="20" s="1"/>
  <c r="H34" i="20"/>
  <c r="AL33" i="20"/>
  <c r="AK33" i="20"/>
  <c r="AJ33" i="20"/>
  <c r="AI33" i="20"/>
  <c r="AH33" i="20"/>
  <c r="AG33" i="20"/>
  <c r="AF33" i="20"/>
  <c r="AE33" i="20"/>
  <c r="AD33" i="20"/>
  <c r="AC33" i="20"/>
  <c r="AB33" i="20"/>
  <c r="AA33" i="20"/>
  <c r="Z33" i="20"/>
  <c r="Y33" i="20"/>
  <c r="X33" i="20"/>
  <c r="W33" i="20"/>
  <c r="V33" i="20"/>
  <c r="U33" i="20"/>
  <c r="T33" i="20"/>
  <c r="S33" i="20"/>
  <c r="R33" i="20"/>
  <c r="Q33" i="20"/>
  <c r="P33" i="20"/>
  <c r="O33" i="20"/>
  <c r="N33" i="20"/>
  <c r="M33" i="20"/>
  <c r="L33" i="20"/>
  <c r="K33" i="20"/>
  <c r="J33" i="20"/>
  <c r="I33" i="20"/>
  <c r="H33" i="20"/>
  <c r="I35" i="20" s="1"/>
  <c r="J35" i="20" s="1"/>
  <c r="K35" i="20" s="1"/>
  <c r="L35" i="20" s="1"/>
  <c r="M35" i="20" s="1"/>
  <c r="N35" i="20" s="1"/>
  <c r="O35" i="20" s="1"/>
  <c r="P35" i="20" s="1"/>
  <c r="Q35" i="20" s="1"/>
  <c r="I47" i="19"/>
  <c r="J47" i="19" s="1"/>
  <c r="K47" i="19" s="1"/>
  <c r="L47" i="19" s="1"/>
  <c r="M47" i="19" s="1"/>
  <c r="N47" i="19" s="1"/>
  <c r="O47" i="19" s="1"/>
  <c r="P47" i="19" s="1"/>
  <c r="Q47" i="19" s="1"/>
  <c r="R47" i="19" s="1"/>
  <c r="AK46" i="19"/>
  <c r="AJ46" i="19"/>
  <c r="AI46" i="19"/>
  <c r="AH46" i="19"/>
  <c r="AG46" i="19"/>
  <c r="AF46" i="19"/>
  <c r="AE46" i="19"/>
  <c r="AD46" i="19"/>
  <c r="AC46" i="19"/>
  <c r="AB46" i="19"/>
  <c r="AA46" i="19"/>
  <c r="Z46" i="19"/>
  <c r="Y46" i="19"/>
  <c r="X46" i="19"/>
  <c r="W46" i="19"/>
  <c r="V46" i="19"/>
  <c r="U46" i="19"/>
  <c r="T46" i="19"/>
  <c r="S46" i="19"/>
  <c r="R46" i="19"/>
  <c r="Q46" i="19"/>
  <c r="P46" i="19"/>
  <c r="O46" i="19"/>
  <c r="N46" i="19"/>
  <c r="M46" i="19"/>
  <c r="L46" i="19"/>
  <c r="K46" i="19"/>
  <c r="J46" i="19"/>
  <c r="I46" i="19"/>
  <c r="H46" i="19"/>
  <c r="AK45" i="19"/>
  <c r="AJ45" i="19"/>
  <c r="AI45" i="19"/>
  <c r="AH45" i="19"/>
  <c r="AG45" i="19"/>
  <c r="AF45" i="19"/>
  <c r="AE45" i="19"/>
  <c r="AD45" i="19"/>
  <c r="AC45" i="19"/>
  <c r="AB45" i="19"/>
  <c r="AA45" i="19"/>
  <c r="Z45" i="19"/>
  <c r="Y45" i="19"/>
  <c r="X45" i="19"/>
  <c r="W45" i="19"/>
  <c r="V45" i="19"/>
  <c r="U45" i="19"/>
  <c r="T45" i="19"/>
  <c r="S45" i="19"/>
  <c r="R45" i="19"/>
  <c r="Q45" i="19"/>
  <c r="P45" i="19"/>
  <c r="O45" i="19"/>
  <c r="N45" i="19"/>
  <c r="M45" i="19"/>
  <c r="L45" i="19"/>
  <c r="K45" i="19"/>
  <c r="J45" i="19"/>
  <c r="I45" i="19"/>
  <c r="H45" i="19"/>
  <c r="I36" i="19"/>
  <c r="J36" i="19" s="1"/>
  <c r="K36" i="19" s="1"/>
  <c r="L36" i="19" s="1"/>
  <c r="M36" i="19" s="1"/>
  <c r="AK34" i="19"/>
  <c r="AJ34" i="19"/>
  <c r="AI34" i="19"/>
  <c r="AH34" i="19"/>
  <c r="AG34" i="19"/>
  <c r="AF34" i="19"/>
  <c r="AE34" i="19"/>
  <c r="AD34" i="19"/>
  <c r="AC34" i="19"/>
  <c r="AB34" i="19"/>
  <c r="AA34" i="19"/>
  <c r="Z34" i="19"/>
  <c r="Y34" i="19"/>
  <c r="X34" i="19"/>
  <c r="W34" i="19"/>
  <c r="V34" i="19"/>
  <c r="U34" i="19"/>
  <c r="T34" i="19"/>
  <c r="S34" i="19"/>
  <c r="R34" i="19"/>
  <c r="Q34" i="19"/>
  <c r="P34" i="19"/>
  <c r="O34" i="19"/>
  <c r="N34" i="19"/>
  <c r="M34" i="19"/>
  <c r="L34" i="19"/>
  <c r="K34" i="19"/>
  <c r="J34" i="19"/>
  <c r="I34" i="19"/>
  <c r="H34" i="19"/>
  <c r="AK33" i="19"/>
  <c r="AJ33" i="19"/>
  <c r="AI33" i="19"/>
  <c r="AH33" i="19"/>
  <c r="AG33" i="19"/>
  <c r="AF33" i="19"/>
  <c r="AE33" i="19"/>
  <c r="AD33" i="19"/>
  <c r="AC33" i="19"/>
  <c r="AB33" i="19"/>
  <c r="AA33" i="19"/>
  <c r="Z33" i="19"/>
  <c r="Y33" i="19"/>
  <c r="X33" i="19"/>
  <c r="W33" i="19"/>
  <c r="V33" i="19"/>
  <c r="U33" i="19"/>
  <c r="T33" i="19"/>
  <c r="S33" i="19"/>
  <c r="R33" i="19"/>
  <c r="Q33" i="19"/>
  <c r="P33" i="19"/>
  <c r="O33" i="19"/>
  <c r="N33" i="19"/>
  <c r="M33" i="19"/>
  <c r="L33" i="19"/>
  <c r="K33" i="19"/>
  <c r="J33" i="19"/>
  <c r="I33" i="19"/>
  <c r="H33" i="19"/>
  <c r="I35" i="19" s="1"/>
  <c r="J35" i="19" s="1"/>
  <c r="K35" i="19" s="1"/>
  <c r="L35" i="19" s="1"/>
  <c r="M35" i="19" s="1"/>
  <c r="N35" i="19" s="1"/>
  <c r="O35" i="19" s="1"/>
  <c r="P35" i="19" s="1"/>
  <c r="Q35" i="19" s="1"/>
  <c r="R35" i="19" s="1"/>
  <c r="S35" i="19" s="1"/>
  <c r="T35" i="19" s="1"/>
  <c r="U35" i="19" s="1"/>
  <c r="V35" i="19" s="1"/>
  <c r="W35" i="19" s="1"/>
  <c r="X35" i="19" s="1"/>
  <c r="Y35" i="19" s="1"/>
  <c r="Z35" i="19" s="1"/>
  <c r="AA35" i="19" s="1"/>
  <c r="AB35" i="19" s="1"/>
  <c r="AC35" i="19" s="1"/>
  <c r="AD35" i="19" s="1"/>
  <c r="AE35" i="19" s="1"/>
  <c r="AF35" i="19" s="1"/>
  <c r="AG35" i="19" s="1"/>
  <c r="AH35" i="19" s="1"/>
  <c r="AI35" i="19" s="1"/>
  <c r="AJ35" i="19" s="1"/>
  <c r="AK35" i="19" s="1"/>
  <c r="AL50" i="18"/>
  <c r="AK50" i="18"/>
  <c r="AJ50" i="18"/>
  <c r="AI50" i="18"/>
  <c r="AH50" i="18"/>
  <c r="AG50" i="18"/>
  <c r="AF50" i="18"/>
  <c r="AE50" i="18"/>
  <c r="AD50" i="18"/>
  <c r="AC50" i="18"/>
  <c r="AB50" i="18"/>
  <c r="AA50" i="18"/>
  <c r="Z50" i="18"/>
  <c r="Y50" i="18"/>
  <c r="X50" i="18"/>
  <c r="W50" i="18"/>
  <c r="V50" i="18"/>
  <c r="U50" i="18"/>
  <c r="T50" i="18"/>
  <c r="S50" i="18"/>
  <c r="R50" i="18"/>
  <c r="Q50" i="18"/>
  <c r="P50" i="18"/>
  <c r="O50" i="18"/>
  <c r="N50" i="18"/>
  <c r="M50" i="18"/>
  <c r="L50" i="18"/>
  <c r="K50" i="18"/>
  <c r="J50" i="18"/>
  <c r="I50" i="18"/>
  <c r="H50" i="18"/>
  <c r="I52" i="18" s="1"/>
  <c r="J52" i="18" s="1"/>
  <c r="K52" i="18" s="1"/>
  <c r="L52" i="18" s="1"/>
  <c r="AL49" i="18"/>
  <c r="AK49" i="18"/>
  <c r="AJ49" i="18"/>
  <c r="AI49" i="18"/>
  <c r="AH49" i="18"/>
  <c r="AG49" i="18"/>
  <c r="AF49" i="18"/>
  <c r="AE49" i="18"/>
  <c r="AD49" i="18"/>
  <c r="AC49" i="18"/>
  <c r="AB49" i="18"/>
  <c r="AA49" i="18"/>
  <c r="Z49" i="18"/>
  <c r="Y49" i="18"/>
  <c r="X49" i="18"/>
  <c r="W49" i="18"/>
  <c r="V49" i="18"/>
  <c r="U49" i="18"/>
  <c r="T49" i="18"/>
  <c r="S49" i="18"/>
  <c r="R49" i="18"/>
  <c r="Q49" i="18"/>
  <c r="P49" i="18"/>
  <c r="O49" i="18"/>
  <c r="N49" i="18"/>
  <c r="M49" i="18"/>
  <c r="L49" i="18"/>
  <c r="K49" i="18"/>
  <c r="J49" i="18"/>
  <c r="I49" i="18"/>
  <c r="H49" i="18"/>
  <c r="I51" i="18" s="1"/>
  <c r="AJ40" i="18"/>
  <c r="AK40" i="18" s="1"/>
  <c r="AL40" i="18" s="1"/>
  <c r="AL38" i="18"/>
  <c r="AK38" i="18"/>
  <c r="AJ38" i="18"/>
  <c r="AI38" i="18"/>
  <c r="AH38" i="18"/>
  <c r="AG38" i="18"/>
  <c r="AF38" i="18"/>
  <c r="AE38" i="18"/>
  <c r="AD38" i="18"/>
  <c r="AC38" i="18"/>
  <c r="AB38" i="18"/>
  <c r="AA38" i="18"/>
  <c r="Z38" i="18"/>
  <c r="Y38" i="18"/>
  <c r="X38" i="18"/>
  <c r="W38" i="18"/>
  <c r="V38" i="18"/>
  <c r="U38" i="18"/>
  <c r="T38" i="18"/>
  <c r="S38" i="18"/>
  <c r="R38" i="18"/>
  <c r="Q38" i="18"/>
  <c r="P38" i="18"/>
  <c r="O38" i="18"/>
  <c r="N38" i="18"/>
  <c r="M38" i="18"/>
  <c r="L38" i="18"/>
  <c r="K38" i="18"/>
  <c r="J38" i="18"/>
  <c r="I38" i="18"/>
  <c r="H38" i="18"/>
  <c r="I40" i="18" s="1"/>
  <c r="J40" i="18" s="1"/>
  <c r="K40" i="18" s="1"/>
  <c r="L40" i="18" s="1"/>
  <c r="M40" i="18" s="1"/>
  <c r="N40" i="18" s="1"/>
  <c r="O40" i="18" s="1"/>
  <c r="P40" i="18" s="1"/>
  <c r="Q40" i="18" s="1"/>
  <c r="AL37" i="18"/>
  <c r="AK37" i="18"/>
  <c r="AJ37" i="18"/>
  <c r="AI37" i="18"/>
  <c r="AH37" i="18"/>
  <c r="AG37" i="18"/>
  <c r="AF37" i="18"/>
  <c r="AE37" i="18"/>
  <c r="AD37" i="18"/>
  <c r="AC37" i="18"/>
  <c r="AB37" i="18"/>
  <c r="AA37" i="18"/>
  <c r="Z37" i="18"/>
  <c r="Y37" i="18"/>
  <c r="X37" i="18"/>
  <c r="W37" i="18"/>
  <c r="V37" i="18"/>
  <c r="U37" i="18"/>
  <c r="T37" i="18"/>
  <c r="S37" i="18"/>
  <c r="R37" i="18"/>
  <c r="Q37" i="18"/>
  <c r="P37" i="18"/>
  <c r="O37" i="18"/>
  <c r="N37" i="18"/>
  <c r="M37" i="18"/>
  <c r="L37" i="18"/>
  <c r="K37" i="18"/>
  <c r="J37" i="18"/>
  <c r="I37" i="18"/>
  <c r="H37" i="18"/>
  <c r="AK55" i="17"/>
  <c r="AJ55" i="17"/>
  <c r="AI55" i="17"/>
  <c r="AH55" i="17"/>
  <c r="AG55" i="17"/>
  <c r="AF55" i="17"/>
  <c r="AE55" i="17"/>
  <c r="AD55" i="17"/>
  <c r="AC55" i="17"/>
  <c r="AB55" i="17"/>
  <c r="AA55" i="17"/>
  <c r="Z55" i="17"/>
  <c r="Y55" i="17"/>
  <c r="X55" i="17"/>
  <c r="W55" i="17"/>
  <c r="V55" i="17"/>
  <c r="U55" i="17"/>
  <c r="T55" i="17"/>
  <c r="S55" i="17"/>
  <c r="R55" i="17"/>
  <c r="Q55" i="17"/>
  <c r="P55" i="17"/>
  <c r="O55" i="17"/>
  <c r="N55" i="17"/>
  <c r="M55" i="17"/>
  <c r="L55" i="17"/>
  <c r="K55" i="17"/>
  <c r="J55" i="17"/>
  <c r="AK53" i="17"/>
  <c r="AJ53" i="17"/>
  <c r="AI53" i="17"/>
  <c r="AH53" i="17"/>
  <c r="AG53" i="17"/>
  <c r="AF53" i="17"/>
  <c r="AE53" i="17"/>
  <c r="AD53" i="17"/>
  <c r="AC53" i="17"/>
  <c r="AB53" i="17"/>
  <c r="AA53" i="17"/>
  <c r="Z53" i="17"/>
  <c r="Y53" i="17"/>
  <c r="X53" i="17"/>
  <c r="W53" i="17"/>
  <c r="V53" i="17"/>
  <c r="U53" i="17"/>
  <c r="T53" i="17"/>
  <c r="S53" i="17"/>
  <c r="R53" i="17"/>
  <c r="Q53" i="17"/>
  <c r="P53" i="17"/>
  <c r="O53" i="17"/>
  <c r="N53" i="17"/>
  <c r="M53" i="17"/>
  <c r="L53" i="17"/>
  <c r="K53" i="17"/>
  <c r="J53" i="17"/>
  <c r="J52" i="17"/>
  <c r="AK41" i="17"/>
  <c r="AJ41" i="17"/>
  <c r="AI41" i="17"/>
  <c r="AH41" i="17"/>
  <c r="AG41" i="17"/>
  <c r="AF41" i="17"/>
  <c r="AE41" i="17"/>
  <c r="AD41" i="17"/>
  <c r="AC41" i="17"/>
  <c r="AB41" i="17"/>
  <c r="AA41" i="17"/>
  <c r="Z41" i="17"/>
  <c r="Y41" i="17"/>
  <c r="X41" i="17"/>
  <c r="W41" i="17"/>
  <c r="V41" i="17"/>
  <c r="U41" i="17"/>
  <c r="T41" i="17"/>
  <c r="S41" i="17"/>
  <c r="R41" i="17"/>
  <c r="Q41" i="17"/>
  <c r="P41" i="17"/>
  <c r="O41" i="17"/>
  <c r="N41" i="17"/>
  <c r="M41" i="17"/>
  <c r="L41" i="17"/>
  <c r="K41" i="17"/>
  <c r="J41" i="17"/>
  <c r="AK39" i="17"/>
  <c r="AJ39" i="17"/>
  <c r="AI39" i="17"/>
  <c r="AH39" i="17"/>
  <c r="AG39" i="17"/>
  <c r="AF39" i="17"/>
  <c r="AE39" i="17"/>
  <c r="AD39" i="17"/>
  <c r="AC39" i="17"/>
  <c r="AB39" i="17"/>
  <c r="AA39" i="17"/>
  <c r="Z39" i="17"/>
  <c r="Y39" i="17"/>
  <c r="X39" i="17"/>
  <c r="W39" i="17"/>
  <c r="V39" i="17"/>
  <c r="U39" i="17"/>
  <c r="T39" i="17"/>
  <c r="S39" i="17"/>
  <c r="R39" i="17"/>
  <c r="Q39" i="17"/>
  <c r="P39" i="17"/>
  <c r="O39" i="17"/>
  <c r="N39" i="17"/>
  <c r="M39" i="17"/>
  <c r="L39" i="17"/>
  <c r="K39" i="17"/>
  <c r="J39" i="17"/>
  <c r="J38" i="17"/>
  <c r="E51" i="28" l="1"/>
  <c r="I54" i="30"/>
  <c r="J54" i="30" s="1"/>
  <c r="K54" i="30" s="1"/>
  <c r="L54" i="30" s="1"/>
  <c r="M54" i="30" s="1"/>
  <c r="N54" i="30" s="1"/>
  <c r="O54" i="30" s="1"/>
  <c r="P54" i="30" s="1"/>
  <c r="Q54" i="30" s="1"/>
  <c r="R54" i="30" s="1"/>
  <c r="S54" i="30" s="1"/>
  <c r="T54" i="30" s="1"/>
  <c r="U54" i="30" s="1"/>
  <c r="V54" i="30" s="1"/>
  <c r="W54" i="30" s="1"/>
  <c r="X54" i="30" s="1"/>
  <c r="Y54" i="30" s="1"/>
  <c r="Z54" i="30" s="1"/>
  <c r="AA54" i="30" s="1"/>
  <c r="AB54" i="30" s="1"/>
  <c r="AC54" i="30" s="1"/>
  <c r="AD54" i="30" s="1"/>
  <c r="AE54" i="30" s="1"/>
  <c r="AF54" i="30" s="1"/>
  <c r="AG54" i="30" s="1"/>
  <c r="AH54" i="30" s="1"/>
  <c r="AI54" i="30" s="1"/>
  <c r="AJ54" i="30" s="1"/>
  <c r="AK54" i="30" s="1"/>
  <c r="E68" i="28"/>
  <c r="I71" i="30"/>
  <c r="J71" i="30" s="1"/>
  <c r="K71" i="30" s="1"/>
  <c r="L71" i="30" s="1"/>
  <c r="M71" i="30" s="1"/>
  <c r="N71" i="30" s="1"/>
  <c r="O71" i="30" s="1"/>
  <c r="P71" i="30" s="1"/>
  <c r="Q71" i="30" s="1"/>
  <c r="R71" i="30" s="1"/>
  <c r="S71" i="30" s="1"/>
  <c r="T71" i="30" s="1"/>
  <c r="U71" i="30" s="1"/>
  <c r="V71" i="30" s="1"/>
  <c r="W71" i="30" s="1"/>
  <c r="X71" i="30" s="1"/>
  <c r="Y71" i="30" s="1"/>
  <c r="Z71" i="30" s="1"/>
  <c r="AA71" i="30" s="1"/>
  <c r="AB71" i="30" s="1"/>
  <c r="AC71" i="30" s="1"/>
  <c r="AD71" i="30" s="1"/>
  <c r="AE71" i="30" s="1"/>
  <c r="AF71" i="30" s="1"/>
  <c r="AG71" i="30" s="1"/>
  <c r="AH71" i="30" s="1"/>
  <c r="AI71" i="30" s="1"/>
  <c r="AJ71" i="30" s="1"/>
  <c r="AK71" i="30" s="1"/>
  <c r="L10" i="30"/>
  <c r="K11" i="31"/>
  <c r="L8" i="30"/>
  <c r="K9" i="31"/>
  <c r="L5" i="31"/>
  <c r="M4" i="31"/>
  <c r="M5" i="30"/>
  <c r="N4" i="30"/>
  <c r="E33" i="27"/>
  <c r="H36" i="28"/>
  <c r="I36" i="28" s="1"/>
  <c r="J36" i="28" s="1"/>
  <c r="K36" i="28" s="1"/>
  <c r="L36" i="28" s="1"/>
  <c r="M36" i="28" s="1"/>
  <c r="N36" i="28" s="1"/>
  <c r="O36" i="28" s="1"/>
  <c r="P36" i="28" s="1"/>
  <c r="Q36" i="28" s="1"/>
  <c r="R36" i="28" s="1"/>
  <c r="S36" i="28" s="1"/>
  <c r="T36" i="28" s="1"/>
  <c r="U36" i="28" s="1"/>
  <c r="V36" i="28" s="1"/>
  <c r="W36" i="28" s="1"/>
  <c r="X36" i="28" s="1"/>
  <c r="Y36" i="28" s="1"/>
  <c r="Z36" i="28" s="1"/>
  <c r="AA36" i="28" s="1"/>
  <c r="AB36" i="28" s="1"/>
  <c r="AC36" i="28" s="1"/>
  <c r="AD36" i="28" s="1"/>
  <c r="AE36" i="28" s="1"/>
  <c r="AF36" i="28" s="1"/>
  <c r="AG36" i="28" s="1"/>
  <c r="AH36" i="28" s="1"/>
  <c r="AI36" i="28" s="1"/>
  <c r="AJ36" i="28" s="1"/>
  <c r="AK36" i="28" s="1"/>
  <c r="E36" i="28" s="1"/>
  <c r="E31" i="27"/>
  <c r="H34" i="28"/>
  <c r="I34" i="28" s="1"/>
  <c r="J34" i="28" s="1"/>
  <c r="K34" i="28" s="1"/>
  <c r="L34" i="28" s="1"/>
  <c r="M34" i="28" s="1"/>
  <c r="N34" i="28" s="1"/>
  <c r="O34" i="28" s="1"/>
  <c r="P34" i="28" s="1"/>
  <c r="Q34" i="28" s="1"/>
  <c r="R34" i="28" s="1"/>
  <c r="S34" i="28" s="1"/>
  <c r="T34" i="28" s="1"/>
  <c r="U34" i="28" s="1"/>
  <c r="V34" i="28" s="1"/>
  <c r="W34" i="28" s="1"/>
  <c r="X34" i="28" s="1"/>
  <c r="Y34" i="28" s="1"/>
  <c r="Z34" i="28" s="1"/>
  <c r="AA34" i="28" s="1"/>
  <c r="AB34" i="28" s="1"/>
  <c r="AC34" i="28" s="1"/>
  <c r="AD34" i="28" s="1"/>
  <c r="AE34" i="28" s="1"/>
  <c r="AF34" i="28" s="1"/>
  <c r="AG34" i="28" s="1"/>
  <c r="AH34" i="28" s="1"/>
  <c r="AI34" i="28" s="1"/>
  <c r="AJ34" i="28" s="1"/>
  <c r="AK34" i="28" s="1"/>
  <c r="AC37" i="28"/>
  <c r="AD37" i="28" s="1"/>
  <c r="AE37" i="28" s="1"/>
  <c r="AF37" i="28" s="1"/>
  <c r="AG37" i="28" s="1"/>
  <c r="AH37" i="28" s="1"/>
  <c r="AI37" i="28" s="1"/>
  <c r="AJ37" i="28" s="1"/>
  <c r="AK37" i="28" s="1"/>
  <c r="E37" i="28"/>
  <c r="I10" i="28"/>
  <c r="H11" i="29"/>
  <c r="J5" i="29"/>
  <c r="K4" i="29"/>
  <c r="E38" i="28"/>
  <c r="J5" i="28"/>
  <c r="I5" i="28"/>
  <c r="E72" i="28"/>
  <c r="E71" i="28"/>
  <c r="K5" i="28"/>
  <c r="L4" i="28"/>
  <c r="E54" i="28"/>
  <c r="E55" i="28"/>
  <c r="U23" i="25"/>
  <c r="P23" i="25"/>
  <c r="J4" i="27"/>
  <c r="K4" i="27" s="1"/>
  <c r="Q8" i="27"/>
  <c r="R8" i="27" s="1"/>
  <c r="S8" i="27" s="1"/>
  <c r="T8" i="27" s="1"/>
  <c r="U8" i="27" s="1"/>
  <c r="V8" i="27" s="1"/>
  <c r="W8" i="27" s="1"/>
  <c r="X8" i="27" s="1"/>
  <c r="Y8" i="27" s="1"/>
  <c r="Z8" i="27" s="1"/>
  <c r="AA8" i="27" s="1"/>
  <c r="P9" i="25"/>
  <c r="J9" i="25"/>
  <c r="N23" i="25"/>
  <c r="K23" i="25"/>
  <c r="L27" i="25"/>
  <c r="Z23" i="25"/>
  <c r="N9" i="25"/>
  <c r="L9" i="25"/>
  <c r="K9" i="25"/>
  <c r="I10" i="27"/>
  <c r="I11" i="25" s="1"/>
  <c r="Y23" i="25"/>
  <c r="AA23" i="25"/>
  <c r="AE50" i="27"/>
  <c r="AE23" i="25" s="1"/>
  <c r="W23" i="25"/>
  <c r="O23" i="25"/>
  <c r="O9" i="25"/>
  <c r="AC23" i="25"/>
  <c r="M27" i="25"/>
  <c r="AB23" i="25"/>
  <c r="Q23" i="25"/>
  <c r="V23" i="25"/>
  <c r="L23" i="25"/>
  <c r="X23" i="25"/>
  <c r="R23" i="25"/>
  <c r="K27" i="25"/>
  <c r="S23" i="25"/>
  <c r="M23" i="25"/>
  <c r="T23" i="25"/>
  <c r="O65" i="27"/>
  <c r="N27" i="25"/>
  <c r="K67" i="27"/>
  <c r="J29" i="25"/>
  <c r="M48" i="27"/>
  <c r="L21" i="25"/>
  <c r="M9" i="25"/>
  <c r="J4" i="25"/>
  <c r="I5" i="25"/>
  <c r="R35" i="20"/>
  <c r="S35" i="20" s="1"/>
  <c r="T35" i="20" s="1"/>
  <c r="U35" i="20" s="1"/>
  <c r="V35" i="20" s="1"/>
  <c r="W35" i="20" s="1"/>
  <c r="X35" i="20" s="1"/>
  <c r="Y35" i="20" s="1"/>
  <c r="Z35" i="20" s="1"/>
  <c r="AA35" i="20" s="1"/>
  <c r="AB35" i="20" s="1"/>
  <c r="AC35" i="20" s="1"/>
  <c r="AD35" i="20" s="1"/>
  <c r="AE35" i="20" s="1"/>
  <c r="AF35" i="20" s="1"/>
  <c r="AG35" i="20" s="1"/>
  <c r="AH35" i="20" s="1"/>
  <c r="AI35" i="20" s="1"/>
  <c r="AJ35" i="20" s="1"/>
  <c r="AK35" i="20" s="1"/>
  <c r="AL35" i="20" s="1"/>
  <c r="M52" i="18"/>
  <c r="N52" i="18" s="1"/>
  <c r="O52" i="18" s="1"/>
  <c r="P52" i="18" s="1"/>
  <c r="Q52" i="18" s="1"/>
  <c r="R52" i="18" s="1"/>
  <c r="M47" i="20"/>
  <c r="N47" i="20" s="1"/>
  <c r="O47" i="20" s="1"/>
  <c r="P47" i="20" s="1"/>
  <c r="Q47" i="20" s="1"/>
  <c r="R47" i="20" s="1"/>
  <c r="S47" i="20" s="1"/>
  <c r="T47" i="20" s="1"/>
  <c r="U47" i="20" s="1"/>
  <c r="V47" i="20" s="1"/>
  <c r="W47" i="20" s="1"/>
  <c r="X47" i="20" s="1"/>
  <c r="Y47" i="20" s="1"/>
  <c r="Z47" i="20" s="1"/>
  <c r="AA47" i="20" s="1"/>
  <c r="AB47" i="20" s="1"/>
  <c r="AC47" i="20" s="1"/>
  <c r="AD47" i="20" s="1"/>
  <c r="AE47" i="20" s="1"/>
  <c r="AF47" i="20" s="1"/>
  <c r="AG47" i="20" s="1"/>
  <c r="AH47" i="20" s="1"/>
  <c r="AI47" i="20" s="1"/>
  <c r="AJ47" i="20" s="1"/>
  <c r="AK47" i="20" s="1"/>
  <c r="AL47" i="20" s="1"/>
  <c r="I39" i="18"/>
  <c r="J39" i="18" s="1"/>
  <c r="K39" i="18" s="1"/>
  <c r="L39" i="18" s="1"/>
  <c r="M39" i="18" s="1"/>
  <c r="N39" i="18" s="1"/>
  <c r="O39" i="18" s="1"/>
  <c r="P39" i="18" s="1"/>
  <c r="Q39" i="18" s="1"/>
  <c r="R39" i="18" s="1"/>
  <c r="S39" i="18" s="1"/>
  <c r="T39" i="18" s="1"/>
  <c r="U39" i="18" s="1"/>
  <c r="V39" i="18" s="1"/>
  <c r="W39" i="18" s="1"/>
  <c r="X39" i="18" s="1"/>
  <c r="Y39" i="18" s="1"/>
  <c r="Z39" i="18" s="1"/>
  <c r="AA39" i="18" s="1"/>
  <c r="AB39" i="18" s="1"/>
  <c r="AC39" i="18" s="1"/>
  <c r="AD39" i="18" s="1"/>
  <c r="AE39" i="18" s="1"/>
  <c r="AF39" i="18" s="1"/>
  <c r="AG39" i="18" s="1"/>
  <c r="AH39" i="18" s="1"/>
  <c r="AI39" i="18" s="1"/>
  <c r="AJ39" i="18" s="1"/>
  <c r="AK39" i="18" s="1"/>
  <c r="AL39" i="18" s="1"/>
  <c r="I48" i="19"/>
  <c r="J48" i="19" s="1"/>
  <c r="K48" i="19" s="1"/>
  <c r="L48" i="19" s="1"/>
  <c r="M48" i="19" s="1"/>
  <c r="N48" i="19" s="1"/>
  <c r="O48" i="19" s="1"/>
  <c r="P48" i="19" s="1"/>
  <c r="Q48" i="19" s="1"/>
  <c r="R48" i="19" s="1"/>
  <c r="S48" i="19" s="1"/>
  <c r="T48" i="19" s="1"/>
  <c r="U48" i="19" s="1"/>
  <c r="V48" i="19" s="1"/>
  <c r="W48" i="19" s="1"/>
  <c r="X48" i="19" s="1"/>
  <c r="Y48" i="19" s="1"/>
  <c r="Z48" i="19" s="1"/>
  <c r="AA48" i="19" s="1"/>
  <c r="AB48" i="19" s="1"/>
  <c r="AC48" i="19" s="1"/>
  <c r="AD48" i="19" s="1"/>
  <c r="AE48" i="19" s="1"/>
  <c r="AF48" i="19" s="1"/>
  <c r="AG48" i="19" s="1"/>
  <c r="AH48" i="19" s="1"/>
  <c r="AI48" i="19" s="1"/>
  <c r="AJ48" i="19" s="1"/>
  <c r="AK48" i="19" s="1"/>
  <c r="N36" i="19"/>
  <c r="O36" i="19" s="1"/>
  <c r="P36" i="19" s="1"/>
  <c r="Q36" i="19" s="1"/>
  <c r="R36" i="19" s="1"/>
  <c r="S36" i="19" s="1"/>
  <c r="T36" i="19" s="1"/>
  <c r="U36" i="19" s="1"/>
  <c r="V36" i="19" s="1"/>
  <c r="W36" i="19" s="1"/>
  <c r="X36" i="19" s="1"/>
  <c r="Y36" i="19" s="1"/>
  <c r="Z36" i="19" s="1"/>
  <c r="AA36" i="19" s="1"/>
  <c r="AB36" i="19" s="1"/>
  <c r="AC36" i="19" s="1"/>
  <c r="AD36" i="19" s="1"/>
  <c r="AE36" i="19" s="1"/>
  <c r="AF36" i="19" s="1"/>
  <c r="AG36" i="19" s="1"/>
  <c r="AH36" i="19" s="1"/>
  <c r="AI36" i="19" s="1"/>
  <c r="AJ36" i="19" s="1"/>
  <c r="AK36" i="19" s="1"/>
  <c r="S47" i="19"/>
  <c r="T47" i="19" s="1"/>
  <c r="U47" i="19" s="1"/>
  <c r="V47" i="19" s="1"/>
  <c r="W47" i="19" s="1"/>
  <c r="X47" i="19" s="1"/>
  <c r="Y47" i="19" s="1"/>
  <c r="Z47" i="19" s="1"/>
  <c r="AA47" i="19" s="1"/>
  <c r="AB47" i="19" s="1"/>
  <c r="AC47" i="19" s="1"/>
  <c r="AD47" i="19" s="1"/>
  <c r="AE47" i="19" s="1"/>
  <c r="AF47" i="19" s="1"/>
  <c r="AG47" i="19" s="1"/>
  <c r="AH47" i="19" s="1"/>
  <c r="AI47" i="19" s="1"/>
  <c r="AJ47" i="19" s="1"/>
  <c r="AK47" i="19" s="1"/>
  <c r="R40" i="18"/>
  <c r="S40" i="18" s="1"/>
  <c r="T40" i="18" s="1"/>
  <c r="U40" i="18" s="1"/>
  <c r="V40" i="18" s="1"/>
  <c r="W40" i="18" s="1"/>
  <c r="X40" i="18" s="1"/>
  <c r="Y40" i="18" s="1"/>
  <c r="Z40" i="18" s="1"/>
  <c r="AA40" i="18" s="1"/>
  <c r="AB40" i="18" s="1"/>
  <c r="AC40" i="18" s="1"/>
  <c r="AD40" i="18" s="1"/>
  <c r="AE40" i="18" s="1"/>
  <c r="J51" i="18"/>
  <c r="K51" i="18" s="1"/>
  <c r="L51" i="18" s="1"/>
  <c r="M51" i="18" s="1"/>
  <c r="N51" i="18" s="1"/>
  <c r="O51" i="18" s="1"/>
  <c r="P51" i="18" s="1"/>
  <c r="Q51" i="18" s="1"/>
  <c r="R51" i="18" s="1"/>
  <c r="S51" i="18" s="1"/>
  <c r="T51" i="18" s="1"/>
  <c r="U51" i="18" s="1"/>
  <c r="V51" i="18" s="1"/>
  <c r="W51" i="18" s="1"/>
  <c r="X51" i="18" s="1"/>
  <c r="Y51" i="18" s="1"/>
  <c r="Z51" i="18" s="1"/>
  <c r="AA51" i="18" s="1"/>
  <c r="AB51" i="18" s="1"/>
  <c r="AC51" i="18" s="1"/>
  <c r="AD51" i="18" s="1"/>
  <c r="AE51" i="18" s="1"/>
  <c r="AF51" i="18" s="1"/>
  <c r="AG51" i="18" s="1"/>
  <c r="AH51" i="18" s="1"/>
  <c r="AI51" i="18" s="1"/>
  <c r="AJ51" i="18" s="1"/>
  <c r="AK51" i="18" s="1"/>
  <c r="AL51" i="18" s="1"/>
  <c r="J44" i="17"/>
  <c r="K44" i="17" s="1"/>
  <c r="L44" i="17" s="1"/>
  <c r="M44" i="17" s="1"/>
  <c r="N44" i="17" s="1"/>
  <c r="O44" i="17" s="1"/>
  <c r="P44" i="17" s="1"/>
  <c r="Q44" i="17" s="1"/>
  <c r="R44" i="17" s="1"/>
  <c r="S44" i="17" s="1"/>
  <c r="T44" i="17" s="1"/>
  <c r="U44" i="17" s="1"/>
  <c r="V44" i="17" s="1"/>
  <c r="W44" i="17" s="1"/>
  <c r="X44" i="17" s="1"/>
  <c r="Y44" i="17" s="1"/>
  <c r="Z44" i="17" s="1"/>
  <c r="AA44" i="17" s="1"/>
  <c r="AB44" i="17" s="1"/>
  <c r="AC44" i="17" s="1"/>
  <c r="AD44" i="17" s="1"/>
  <c r="AE44" i="17" s="1"/>
  <c r="AF44" i="17" s="1"/>
  <c r="AG44" i="17" s="1"/>
  <c r="AH44" i="17" s="1"/>
  <c r="AI44" i="17" s="1"/>
  <c r="AJ44" i="17" s="1"/>
  <c r="AK44" i="17" s="1"/>
  <c r="J43" i="17"/>
  <c r="K43" i="17" s="1"/>
  <c r="L43" i="17" s="1"/>
  <c r="M43" i="17" s="1"/>
  <c r="N43" i="17" s="1"/>
  <c r="O43" i="17" s="1"/>
  <c r="P43" i="17" s="1"/>
  <c r="Q43" i="17" s="1"/>
  <c r="R43" i="17" s="1"/>
  <c r="S43" i="17" s="1"/>
  <c r="T43" i="17" s="1"/>
  <c r="U43" i="17" s="1"/>
  <c r="V43" i="17" s="1"/>
  <c r="W43" i="17" s="1"/>
  <c r="X43" i="17" s="1"/>
  <c r="Y43" i="17" s="1"/>
  <c r="Z43" i="17" s="1"/>
  <c r="AA43" i="17" s="1"/>
  <c r="AB43" i="17" s="1"/>
  <c r="AC43" i="17" s="1"/>
  <c r="AD43" i="17" s="1"/>
  <c r="AE43" i="17" s="1"/>
  <c r="AF43" i="17" s="1"/>
  <c r="AG43" i="17" s="1"/>
  <c r="AH43" i="17" s="1"/>
  <c r="AI43" i="17" s="1"/>
  <c r="AJ43" i="17" s="1"/>
  <c r="AK43" i="17" s="1"/>
  <c r="J57" i="17"/>
  <c r="K57" i="17" s="1"/>
  <c r="L57" i="17" s="1"/>
  <c r="M57" i="17" s="1"/>
  <c r="N57" i="17" s="1"/>
  <c r="O57" i="17" s="1"/>
  <c r="P57" i="17" s="1"/>
  <c r="Q57" i="17" s="1"/>
  <c r="R57" i="17" s="1"/>
  <c r="S57" i="17" s="1"/>
  <c r="T57" i="17" s="1"/>
  <c r="U57" i="17" s="1"/>
  <c r="V57" i="17" s="1"/>
  <c r="W57" i="17" s="1"/>
  <c r="X57" i="17" s="1"/>
  <c r="Y57" i="17" s="1"/>
  <c r="Z57" i="17" s="1"/>
  <c r="AA57" i="17" s="1"/>
  <c r="AB57" i="17" s="1"/>
  <c r="AC57" i="17" s="1"/>
  <c r="AD57" i="17" s="1"/>
  <c r="AE57" i="17" s="1"/>
  <c r="AF57" i="17" s="1"/>
  <c r="AG57" i="17" s="1"/>
  <c r="AH57" i="17" s="1"/>
  <c r="AI57" i="17" s="1"/>
  <c r="AJ57" i="17" s="1"/>
  <c r="AK57" i="17" s="1"/>
  <c r="J58" i="17"/>
  <c r="K58" i="17" s="1"/>
  <c r="L58" i="17" s="1"/>
  <c r="M58" i="17" s="1"/>
  <c r="N58" i="17" s="1"/>
  <c r="O58" i="17" s="1"/>
  <c r="P58" i="17" s="1"/>
  <c r="Q58" i="17" s="1"/>
  <c r="R58" i="17" s="1"/>
  <c r="S58" i="17" s="1"/>
  <c r="T58" i="17" s="1"/>
  <c r="U58" i="17" s="1"/>
  <c r="V58" i="17" s="1"/>
  <c r="W58" i="17" s="1"/>
  <c r="X58" i="17" s="1"/>
  <c r="Y58" i="17" s="1"/>
  <c r="Z58" i="17" s="1"/>
  <c r="AA58" i="17" s="1"/>
  <c r="AB58" i="17" s="1"/>
  <c r="AC58" i="17" s="1"/>
  <c r="AD58" i="17" s="1"/>
  <c r="AE58" i="17" s="1"/>
  <c r="AF58" i="17" s="1"/>
  <c r="AG58" i="17" s="1"/>
  <c r="AH58" i="17" s="1"/>
  <c r="AI58" i="17" s="1"/>
  <c r="AJ58" i="17" s="1"/>
  <c r="AK58" i="17" s="1"/>
  <c r="S52" i="18"/>
  <c r="T52" i="18" s="1"/>
  <c r="U52" i="18" s="1"/>
  <c r="V52" i="18" s="1"/>
  <c r="W52" i="18" s="1"/>
  <c r="X52" i="18" s="1"/>
  <c r="Y52" i="18" s="1"/>
  <c r="Z52" i="18" s="1"/>
  <c r="AA52" i="18" s="1"/>
  <c r="AB52" i="18" s="1"/>
  <c r="AC52" i="18" s="1"/>
  <c r="AD52" i="18" s="1"/>
  <c r="AE52" i="18" s="1"/>
  <c r="AF52" i="18" s="1"/>
  <c r="AG52" i="18" s="1"/>
  <c r="AH52" i="18" s="1"/>
  <c r="AI52" i="18" s="1"/>
  <c r="AJ52" i="18" s="1"/>
  <c r="AK52" i="18" s="1"/>
  <c r="AL52" i="18" s="1"/>
  <c r="E34" i="28" l="1"/>
  <c r="I37" i="30"/>
  <c r="J37" i="30" s="1"/>
  <c r="K37" i="30" s="1"/>
  <c r="L37" i="30" s="1"/>
  <c r="M37" i="30" s="1"/>
  <c r="N37" i="30" s="1"/>
  <c r="O37" i="30" s="1"/>
  <c r="P37" i="30" s="1"/>
  <c r="Q37" i="30" s="1"/>
  <c r="R37" i="30" s="1"/>
  <c r="S37" i="30" s="1"/>
  <c r="T37" i="30" s="1"/>
  <c r="U37" i="30" s="1"/>
  <c r="V37" i="30" s="1"/>
  <c r="W37" i="30" s="1"/>
  <c r="X37" i="30" s="1"/>
  <c r="Y37" i="30" s="1"/>
  <c r="Z37" i="30" s="1"/>
  <c r="AA37" i="30" s="1"/>
  <c r="AB37" i="30" s="1"/>
  <c r="AC37" i="30" s="1"/>
  <c r="AD37" i="30" s="1"/>
  <c r="AE37" i="30" s="1"/>
  <c r="AF37" i="30" s="1"/>
  <c r="AG37" i="30" s="1"/>
  <c r="AH37" i="30" s="1"/>
  <c r="AI37" i="30" s="1"/>
  <c r="AJ37" i="30" s="1"/>
  <c r="AK37" i="30" s="1"/>
  <c r="M8" i="30"/>
  <c r="L9" i="31"/>
  <c r="M10" i="30"/>
  <c r="L11" i="31"/>
  <c r="M5" i="31"/>
  <c r="N4" i="31"/>
  <c r="N5" i="30"/>
  <c r="O4" i="30"/>
  <c r="J8" i="28"/>
  <c r="I9" i="29"/>
  <c r="J10" i="28"/>
  <c r="I11" i="29"/>
  <c r="K5" i="29"/>
  <c r="L4" i="29"/>
  <c r="L5" i="28"/>
  <c r="M4" i="28"/>
  <c r="Y9" i="25"/>
  <c r="V9" i="25"/>
  <c r="S9" i="25"/>
  <c r="J5" i="27"/>
  <c r="T9" i="25"/>
  <c r="X9" i="25"/>
  <c r="Z9" i="25"/>
  <c r="W9" i="25"/>
  <c r="U9" i="25"/>
  <c r="R9" i="25"/>
  <c r="Q9" i="25"/>
  <c r="AB8" i="27"/>
  <c r="AA9" i="25"/>
  <c r="J10" i="27"/>
  <c r="K10" i="27" s="1"/>
  <c r="AF50" i="27"/>
  <c r="AG50" i="27" s="1"/>
  <c r="L67" i="27"/>
  <c r="K29" i="25"/>
  <c r="P65" i="27"/>
  <c r="O27" i="25"/>
  <c r="N48" i="27"/>
  <c r="M21" i="25"/>
  <c r="K5" i="27"/>
  <c r="L4" i="27"/>
  <c r="J5" i="25"/>
  <c r="K4" i="25"/>
  <c r="J54" i="22"/>
  <c r="N10" i="30" l="1"/>
  <c r="M11" i="31"/>
  <c r="N8" i="30"/>
  <c r="M9" i="31"/>
  <c r="N5" i="31"/>
  <c r="O4" i="31"/>
  <c r="O5" i="30"/>
  <c r="P4" i="30"/>
  <c r="K8" i="28"/>
  <c r="J9" i="29"/>
  <c r="K10" i="28"/>
  <c r="J11" i="29"/>
  <c r="L5" i="29"/>
  <c r="M4" i="29"/>
  <c r="M5" i="28"/>
  <c r="N4" i="28"/>
  <c r="AC8" i="27"/>
  <c r="AB9" i="25"/>
  <c r="J11" i="25"/>
  <c r="AF23" i="25"/>
  <c r="M67" i="27"/>
  <c r="L29" i="25"/>
  <c r="O48" i="27"/>
  <c r="N21" i="25"/>
  <c r="Q65" i="27"/>
  <c r="P27" i="25"/>
  <c r="L10" i="27"/>
  <c r="K11" i="25"/>
  <c r="AH50" i="27"/>
  <c r="AG23" i="25"/>
  <c r="L5" i="27"/>
  <c r="M4" i="27"/>
  <c r="K5" i="25"/>
  <c r="L4" i="25"/>
  <c r="I7" i="18"/>
  <c r="J7" i="18"/>
  <c r="K7" i="18"/>
  <c r="L7" i="18"/>
  <c r="M7" i="18"/>
  <c r="N7" i="18"/>
  <c r="O7" i="18"/>
  <c r="P7" i="18"/>
  <c r="Q7" i="18"/>
  <c r="R7" i="18"/>
  <c r="S7" i="18"/>
  <c r="T7" i="18"/>
  <c r="U7" i="18"/>
  <c r="V7" i="18"/>
  <c r="W7" i="18"/>
  <c r="X7" i="18"/>
  <c r="Y7" i="18"/>
  <c r="Z7" i="18"/>
  <c r="AA7" i="18"/>
  <c r="AB7" i="18"/>
  <c r="AC7" i="18"/>
  <c r="AD7" i="18"/>
  <c r="AE7" i="18"/>
  <c r="AF7" i="18"/>
  <c r="AG7" i="18"/>
  <c r="AH7" i="18"/>
  <c r="AI7" i="18"/>
  <c r="AJ7" i="18"/>
  <c r="AK7" i="18"/>
  <c r="AL7" i="18"/>
  <c r="H7" i="18"/>
  <c r="J9" i="17"/>
  <c r="H9" i="17"/>
  <c r="H10" i="17" s="1"/>
  <c r="H10" i="25" s="1"/>
  <c r="I7" i="17"/>
  <c r="J7" i="17"/>
  <c r="K7" i="17"/>
  <c r="L7" i="17"/>
  <c r="M7" i="17"/>
  <c r="N7" i="17"/>
  <c r="O7" i="17"/>
  <c r="P7" i="17"/>
  <c r="Q7" i="17"/>
  <c r="R7" i="17"/>
  <c r="S7" i="17"/>
  <c r="T7" i="17"/>
  <c r="U7" i="17"/>
  <c r="V7" i="17"/>
  <c r="W7" i="17"/>
  <c r="X7" i="17"/>
  <c r="Y7" i="17"/>
  <c r="Z7" i="17"/>
  <c r="AA7" i="17"/>
  <c r="AB7" i="17"/>
  <c r="AC7" i="17"/>
  <c r="AD7" i="17"/>
  <c r="AE7" i="17"/>
  <c r="AF7" i="17"/>
  <c r="AG7" i="17"/>
  <c r="AH7" i="17"/>
  <c r="AI7" i="17"/>
  <c r="AJ7" i="17"/>
  <c r="AK7" i="17"/>
  <c r="H7" i="17"/>
  <c r="H8" i="17" s="1"/>
  <c r="H8" i="25" s="1"/>
  <c r="E14" i="18"/>
  <c r="E15" i="18"/>
  <c r="E16" i="18"/>
  <c r="E17" i="18"/>
  <c r="E18" i="18"/>
  <c r="E19" i="18"/>
  <c r="E13" i="18"/>
  <c r="E17" i="17"/>
  <c r="E18" i="17"/>
  <c r="E14" i="17"/>
  <c r="E14" i="25" s="1"/>
  <c r="E15" i="17"/>
  <c r="V60" i="18"/>
  <c r="V63" i="18" s="1"/>
  <c r="N60" i="18"/>
  <c r="N63" i="18" s="1"/>
  <c r="AB66" i="17"/>
  <c r="AB69" i="17" s="1"/>
  <c r="AE56" i="20"/>
  <c r="AE59" i="20" s="1"/>
  <c r="Q56" i="20"/>
  <c r="Q66" i="17"/>
  <c r="J66" i="17"/>
  <c r="L56" i="19"/>
  <c r="S60" i="18"/>
  <c r="O60" i="18"/>
  <c r="AK54" i="22"/>
  <c r="AK57" i="22" s="1"/>
  <c r="AJ54" i="22"/>
  <c r="AJ57" i="22" s="1"/>
  <c r="AD54" i="22"/>
  <c r="AD57" i="22" s="1"/>
  <c r="AC54" i="22"/>
  <c r="AC57" i="22" s="1"/>
  <c r="W54" i="22"/>
  <c r="W57" i="22" s="1"/>
  <c r="V54" i="22"/>
  <c r="V57" i="22" s="1"/>
  <c r="P54" i="22"/>
  <c r="P57" i="22" s="1"/>
  <c r="O54" i="22"/>
  <c r="O57" i="22" s="1"/>
  <c r="I54" i="22"/>
  <c r="I57" i="22" s="1"/>
  <c r="H54" i="22"/>
  <c r="H57" i="22" s="1"/>
  <c r="J6" i="17"/>
  <c r="J6" i="25" s="1"/>
  <c r="AL6" i="25" s="1"/>
  <c r="J24" i="17"/>
  <c r="K54" i="22"/>
  <c r="L54" i="22"/>
  <c r="M54" i="22"/>
  <c r="N54" i="22"/>
  <c r="Q54" i="22"/>
  <c r="R54" i="22"/>
  <c r="S54" i="22"/>
  <c r="T54" i="22"/>
  <c r="U54" i="22"/>
  <c r="X54" i="22"/>
  <c r="Y54" i="22"/>
  <c r="Z54" i="22"/>
  <c r="AA54" i="22"/>
  <c r="AB54" i="22"/>
  <c r="AE54" i="22"/>
  <c r="AF54" i="22"/>
  <c r="AG54" i="22"/>
  <c r="AH54" i="22"/>
  <c r="AI54" i="22"/>
  <c r="AL54" i="22"/>
  <c r="I56" i="20"/>
  <c r="J56" i="20"/>
  <c r="J59" i="20" s="1"/>
  <c r="K56" i="20"/>
  <c r="L56" i="20"/>
  <c r="M56" i="20"/>
  <c r="N56" i="20"/>
  <c r="O56" i="20"/>
  <c r="P56" i="20"/>
  <c r="R56" i="20"/>
  <c r="S56" i="20"/>
  <c r="T56" i="20"/>
  <c r="U56" i="20"/>
  <c r="V56" i="20"/>
  <c r="W56" i="20"/>
  <c r="X56" i="20"/>
  <c r="Y56" i="20"/>
  <c r="Z56" i="20"/>
  <c r="AA56" i="20"/>
  <c r="AB56" i="20"/>
  <c r="AC56" i="20"/>
  <c r="AD56" i="20"/>
  <c r="AF56" i="20"/>
  <c r="AG56" i="20"/>
  <c r="AH56" i="20"/>
  <c r="AI56" i="20"/>
  <c r="AJ56" i="20"/>
  <c r="AK56" i="20"/>
  <c r="AL56" i="20"/>
  <c r="H56" i="20"/>
  <c r="I56" i="19"/>
  <c r="J56" i="19"/>
  <c r="K56" i="19"/>
  <c r="M56" i="19"/>
  <c r="N56" i="19"/>
  <c r="O56" i="19"/>
  <c r="P56" i="19"/>
  <c r="Q56" i="19"/>
  <c r="R56" i="19"/>
  <c r="S56" i="19"/>
  <c r="T56" i="19"/>
  <c r="U56" i="19"/>
  <c r="V56" i="19"/>
  <c r="W56" i="19"/>
  <c r="X56" i="19"/>
  <c r="Y56" i="19"/>
  <c r="Z56" i="19"/>
  <c r="AA56" i="19"/>
  <c r="AB56" i="19"/>
  <c r="AC56" i="19"/>
  <c r="AD56" i="19"/>
  <c r="AE56" i="19"/>
  <c r="AF56" i="19"/>
  <c r="AG56" i="19"/>
  <c r="AH56" i="19"/>
  <c r="AI56" i="19"/>
  <c r="AJ56" i="19"/>
  <c r="AK56" i="19"/>
  <c r="H56" i="19"/>
  <c r="I60" i="18"/>
  <c r="J60" i="18"/>
  <c r="K60" i="18"/>
  <c r="L60" i="18"/>
  <c r="M60" i="18"/>
  <c r="P60" i="18"/>
  <c r="Q60" i="18"/>
  <c r="R60" i="18"/>
  <c r="T60" i="18"/>
  <c r="U60" i="18"/>
  <c r="W60" i="18"/>
  <c r="X60" i="18"/>
  <c r="Y60" i="18"/>
  <c r="Z60" i="18"/>
  <c r="AA60" i="18"/>
  <c r="AB60" i="18"/>
  <c r="AC60" i="18"/>
  <c r="AD60" i="18"/>
  <c r="AE60" i="18"/>
  <c r="AF60" i="18"/>
  <c r="AG60" i="18"/>
  <c r="AH60" i="18"/>
  <c r="AI60" i="18"/>
  <c r="AJ60" i="18"/>
  <c r="AK60" i="18"/>
  <c r="AL60" i="18"/>
  <c r="H60" i="18"/>
  <c r="H63" i="18" s="1"/>
  <c r="I66" i="17"/>
  <c r="K66" i="17"/>
  <c r="L66" i="17"/>
  <c r="M66" i="17"/>
  <c r="N66" i="17"/>
  <c r="N69" i="17" s="1"/>
  <c r="O66" i="17"/>
  <c r="P66" i="17"/>
  <c r="R66" i="17"/>
  <c r="S66" i="17"/>
  <c r="T66" i="17"/>
  <c r="U66" i="17"/>
  <c r="V66" i="17"/>
  <c r="W66" i="17"/>
  <c r="X66" i="17"/>
  <c r="Y66" i="17"/>
  <c r="Z66" i="17"/>
  <c r="AA66" i="17"/>
  <c r="AC66" i="17"/>
  <c r="AD66" i="17"/>
  <c r="AE66" i="17"/>
  <c r="AF66" i="17"/>
  <c r="AG66" i="17"/>
  <c r="AH66" i="17"/>
  <c r="AI66" i="17"/>
  <c r="AJ66" i="17"/>
  <c r="AK66" i="17"/>
  <c r="H66" i="17"/>
  <c r="E55" i="20"/>
  <c r="E54" i="20"/>
  <c r="E53" i="20"/>
  <c r="E52" i="20"/>
  <c r="E51" i="20"/>
  <c r="E50" i="20"/>
  <c r="E49" i="20"/>
  <c r="E43" i="20"/>
  <c r="E42" i="20"/>
  <c r="E41" i="20"/>
  <c r="E40" i="20"/>
  <c r="E39" i="20"/>
  <c r="E38" i="20"/>
  <c r="E37" i="20"/>
  <c r="E53" i="22"/>
  <c r="E52" i="22"/>
  <c r="E51" i="22"/>
  <c r="E50" i="22"/>
  <c r="E49" i="22"/>
  <c r="E48" i="22"/>
  <c r="E47" i="22"/>
  <c r="E41" i="22"/>
  <c r="E40" i="22"/>
  <c r="E39" i="22"/>
  <c r="E38" i="22"/>
  <c r="E37" i="22"/>
  <c r="E36" i="22"/>
  <c r="E35" i="22"/>
  <c r="O8" i="30" l="1"/>
  <c r="N9" i="31"/>
  <c r="O10" i="30"/>
  <c r="N11" i="31"/>
  <c r="O5" i="31"/>
  <c r="P4" i="31"/>
  <c r="Q4" i="30"/>
  <c r="P5" i="30"/>
  <c r="L8" i="28"/>
  <c r="K9" i="29"/>
  <c r="L10" i="28"/>
  <c r="K11" i="29"/>
  <c r="M5" i="29"/>
  <c r="N4" i="29"/>
  <c r="N5" i="28"/>
  <c r="O4" i="28"/>
  <c r="AD8" i="27"/>
  <c r="AC9" i="25"/>
  <c r="P48" i="27"/>
  <c r="O21" i="25"/>
  <c r="R65" i="27"/>
  <c r="Q27" i="25"/>
  <c r="M29" i="25"/>
  <c r="N67" i="27"/>
  <c r="M10" i="27"/>
  <c r="L11" i="25"/>
  <c r="AI50" i="27"/>
  <c r="AH23" i="25"/>
  <c r="M5" i="27"/>
  <c r="N4" i="27"/>
  <c r="L5" i="25"/>
  <c r="M4" i="25"/>
  <c r="I8" i="17"/>
  <c r="E55" i="19"/>
  <c r="E54" i="19"/>
  <c r="E53" i="19"/>
  <c r="E52" i="19"/>
  <c r="E51" i="19"/>
  <c r="E50" i="19"/>
  <c r="E49" i="19"/>
  <c r="E59" i="18"/>
  <c r="E58" i="18"/>
  <c r="E57" i="18"/>
  <c r="E56" i="18"/>
  <c r="E55" i="18"/>
  <c r="E54" i="18"/>
  <c r="E53" i="18"/>
  <c r="P8" i="30" l="1"/>
  <c r="O9" i="31"/>
  <c r="P10" i="30"/>
  <c r="O11" i="31"/>
  <c r="Q4" i="31"/>
  <c r="P5" i="31"/>
  <c r="R4" i="30"/>
  <c r="Q5" i="30"/>
  <c r="M8" i="28"/>
  <c r="L9" i="29"/>
  <c r="M10" i="28"/>
  <c r="L11" i="29"/>
  <c r="O4" i="29"/>
  <c r="N5" i="29"/>
  <c r="P4" i="28"/>
  <c r="O5" i="28"/>
  <c r="AD9" i="25"/>
  <c r="AE8" i="27"/>
  <c r="O67" i="27"/>
  <c r="N29" i="25"/>
  <c r="S65" i="27"/>
  <c r="R27" i="25"/>
  <c r="Q48" i="27"/>
  <c r="P21" i="25"/>
  <c r="N10" i="27"/>
  <c r="M11" i="25"/>
  <c r="AJ50" i="27"/>
  <c r="AI23" i="25"/>
  <c r="N5" i="27"/>
  <c r="O4" i="27"/>
  <c r="J8" i="17"/>
  <c r="I8" i="25"/>
  <c r="M5" i="25"/>
  <c r="N4" i="25"/>
  <c r="E64" i="17"/>
  <c r="E63" i="17"/>
  <c r="E62" i="17"/>
  <c r="E61" i="17"/>
  <c r="E60" i="17"/>
  <c r="E59" i="17"/>
  <c r="E52" i="17"/>
  <c r="Q57" i="22"/>
  <c r="AL57" i="22"/>
  <c r="AI57" i="22"/>
  <c r="AH57" i="22"/>
  <c r="AG57" i="22"/>
  <c r="AF57" i="22"/>
  <c r="AE57" i="22"/>
  <c r="AB57" i="22"/>
  <c r="AA57" i="22"/>
  <c r="Z57" i="22"/>
  <c r="Y57" i="22"/>
  <c r="X57" i="22"/>
  <c r="U57" i="22"/>
  <c r="T57" i="22"/>
  <c r="S57" i="22"/>
  <c r="R57" i="22"/>
  <c r="N57" i="22"/>
  <c r="M57" i="22"/>
  <c r="L57" i="22"/>
  <c r="K57" i="22"/>
  <c r="J57" i="22"/>
  <c r="E29" i="22"/>
  <c r="E28" i="22"/>
  <c r="E27" i="22"/>
  <c r="E26" i="22"/>
  <c r="E25" i="22"/>
  <c r="E24" i="22"/>
  <c r="E23"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E17" i="22"/>
  <c r="AJ8" i="22"/>
  <c r="AI8" i="22"/>
  <c r="AH8" i="22"/>
  <c r="AE8" i="22"/>
  <c r="X8" i="22"/>
  <c r="Q8" i="22"/>
  <c r="N8" i="22"/>
  <c r="M8" i="22"/>
  <c r="J8" i="22"/>
  <c r="I8" i="22"/>
  <c r="E15" i="22"/>
  <c r="E14" i="22"/>
  <c r="E13" i="22"/>
  <c r="E12" i="22"/>
  <c r="E11" i="22"/>
  <c r="AL8" i="22"/>
  <c r="AK8" i="22"/>
  <c r="AG8" i="22"/>
  <c r="AF8" i="22"/>
  <c r="AD8" i="22"/>
  <c r="AC8" i="22"/>
  <c r="AB8" i="22"/>
  <c r="AA8" i="22"/>
  <c r="Z8" i="22"/>
  <c r="Y8" i="22"/>
  <c r="W8" i="22"/>
  <c r="V8" i="22"/>
  <c r="U8" i="22"/>
  <c r="T8" i="22"/>
  <c r="S8" i="22"/>
  <c r="R8" i="22"/>
  <c r="P8" i="22"/>
  <c r="O8" i="22"/>
  <c r="L8" i="22"/>
  <c r="K8"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AM6" i="22"/>
  <c r="H4" i="22"/>
  <c r="I4" i="22" s="1"/>
  <c r="AM2" i="22"/>
  <c r="Q10" i="30" l="1"/>
  <c r="P11" i="31"/>
  <c r="Q8" i="30"/>
  <c r="P9" i="31"/>
  <c r="R4" i="31"/>
  <c r="Q5" i="31"/>
  <c r="S4" i="30"/>
  <c r="R5" i="30"/>
  <c r="N8" i="28"/>
  <c r="N9" i="29" s="1"/>
  <c r="M9" i="29"/>
  <c r="N10" i="28"/>
  <c r="M11" i="29"/>
  <c r="P4" i="29"/>
  <c r="O5" i="29"/>
  <c r="P5" i="28"/>
  <c r="Q4" i="28"/>
  <c r="AF8" i="27"/>
  <c r="AE9" i="25"/>
  <c r="T65" i="27"/>
  <c r="S27" i="25"/>
  <c r="R48" i="27"/>
  <c r="Q21" i="25"/>
  <c r="P67" i="27"/>
  <c r="O29" i="25"/>
  <c r="N11" i="25"/>
  <c r="O10" i="27"/>
  <c r="AK50" i="27"/>
  <c r="AJ23" i="25"/>
  <c r="P4" i="27"/>
  <c r="O5" i="27"/>
  <c r="K8" i="17"/>
  <c r="J8" i="25"/>
  <c r="N5" i="25"/>
  <c r="O4" i="25"/>
  <c r="H5" i="22"/>
  <c r="E44" i="19"/>
  <c r="E44" i="20" s="1"/>
  <c r="E42" i="22" s="1"/>
  <c r="E48" i="18"/>
  <c r="E55" i="17"/>
  <c r="E53" i="17"/>
  <c r="E16" i="22"/>
  <c r="I5" i="22"/>
  <c r="J4" i="22"/>
  <c r="H8" i="22"/>
  <c r="AL6" i="17"/>
  <c r="E13" i="20"/>
  <c r="E14" i="20"/>
  <c r="E15" i="20"/>
  <c r="E16" i="20"/>
  <c r="E17" i="20"/>
  <c r="E19" i="20"/>
  <c r="E19" i="19"/>
  <c r="E17" i="19"/>
  <c r="E16" i="19"/>
  <c r="E15" i="19"/>
  <c r="E14" i="19"/>
  <c r="E13" i="19"/>
  <c r="E23" i="18"/>
  <c r="E22" i="18"/>
  <c r="E21" i="18"/>
  <c r="E20" i="18"/>
  <c r="E16" i="17"/>
  <c r="E16" i="25" s="1"/>
  <c r="E19" i="17"/>
  <c r="E20" i="17"/>
  <c r="E21" i="17"/>
  <c r="E22" i="17"/>
  <c r="E23" i="17"/>
  <c r="E13" i="17"/>
  <c r="E24" i="17"/>
  <c r="E12" i="25" s="1"/>
  <c r="J69" i="17"/>
  <c r="E26" i="20"/>
  <c r="E27" i="20"/>
  <c r="E28" i="20"/>
  <c r="E29" i="20"/>
  <c r="E30" i="20"/>
  <c r="E31" i="20"/>
  <c r="E25" i="20"/>
  <c r="E38" i="19"/>
  <c r="E39" i="19"/>
  <c r="E40" i="19"/>
  <c r="E41" i="19"/>
  <c r="E42" i="19"/>
  <c r="E37" i="19"/>
  <c r="E26" i="19"/>
  <c r="E27" i="19"/>
  <c r="E28" i="19"/>
  <c r="E29" i="19"/>
  <c r="E30" i="19"/>
  <c r="E31" i="19"/>
  <c r="E25" i="19"/>
  <c r="E42" i="18"/>
  <c r="E43" i="18"/>
  <c r="E44" i="18"/>
  <c r="E45" i="18"/>
  <c r="E46" i="18"/>
  <c r="E41" i="18"/>
  <c r="E32" i="18"/>
  <c r="E30" i="18"/>
  <c r="E29" i="18"/>
  <c r="I59" i="20"/>
  <c r="K59" i="20"/>
  <c r="L59" i="20"/>
  <c r="M59" i="20"/>
  <c r="N59" i="20"/>
  <c r="O59" i="20"/>
  <c r="P59" i="20"/>
  <c r="Q59" i="20"/>
  <c r="R59" i="20"/>
  <c r="S59" i="20"/>
  <c r="T59" i="20"/>
  <c r="U59" i="20"/>
  <c r="V59" i="20"/>
  <c r="W59" i="20"/>
  <c r="X59" i="20"/>
  <c r="Y59" i="20"/>
  <c r="Z59" i="20"/>
  <c r="AA59" i="20"/>
  <c r="AB59" i="20"/>
  <c r="AC59" i="20"/>
  <c r="AD59" i="20"/>
  <c r="AF59" i="20"/>
  <c r="AG59" i="20"/>
  <c r="AH59" i="20"/>
  <c r="AI59" i="20"/>
  <c r="AJ59" i="20"/>
  <c r="AK59" i="20"/>
  <c r="AL59" i="20"/>
  <c r="H59" i="20"/>
  <c r="I59" i="19"/>
  <c r="J59" i="19"/>
  <c r="K59" i="19"/>
  <c r="L59" i="19"/>
  <c r="M59" i="19"/>
  <c r="N59" i="19"/>
  <c r="O59" i="19"/>
  <c r="P59" i="19"/>
  <c r="Q59" i="19"/>
  <c r="R59" i="19"/>
  <c r="S59" i="19"/>
  <c r="T59" i="19"/>
  <c r="U59" i="19"/>
  <c r="V59" i="19"/>
  <c r="W59" i="19"/>
  <c r="X59" i="19"/>
  <c r="Y59" i="19"/>
  <c r="Z59" i="19"/>
  <c r="AA59" i="19"/>
  <c r="AB59" i="19"/>
  <c r="AC59" i="19"/>
  <c r="AD59" i="19"/>
  <c r="AE59" i="19"/>
  <c r="AF59" i="19"/>
  <c r="AG59" i="19"/>
  <c r="AH59" i="19"/>
  <c r="AI59" i="19"/>
  <c r="AJ59" i="19"/>
  <c r="AK59" i="19"/>
  <c r="H59" i="19"/>
  <c r="J63" i="18"/>
  <c r="K63" i="18"/>
  <c r="L63" i="18"/>
  <c r="O63" i="18"/>
  <c r="P63" i="18"/>
  <c r="Q63" i="18"/>
  <c r="R63" i="18"/>
  <c r="S63" i="18"/>
  <c r="T63" i="18"/>
  <c r="U63" i="18"/>
  <c r="X63" i="18"/>
  <c r="Z63" i="18"/>
  <c r="AA63" i="18"/>
  <c r="AB63" i="18"/>
  <c r="AC63" i="18"/>
  <c r="AD63" i="18"/>
  <c r="AE63" i="18"/>
  <c r="AF63" i="18"/>
  <c r="AG63" i="18"/>
  <c r="AH63" i="18"/>
  <c r="AI63" i="18"/>
  <c r="AJ63" i="18"/>
  <c r="AL63" i="18"/>
  <c r="I69" i="17"/>
  <c r="K69" i="17"/>
  <c r="L69" i="17"/>
  <c r="M69" i="17"/>
  <c r="O69" i="17"/>
  <c r="P69" i="17"/>
  <c r="Q69" i="17"/>
  <c r="R69" i="17"/>
  <c r="S69" i="17"/>
  <c r="T69" i="17"/>
  <c r="U69" i="17"/>
  <c r="V69" i="17"/>
  <c r="W69" i="17"/>
  <c r="X69" i="17"/>
  <c r="Y69" i="17"/>
  <c r="Z69" i="17"/>
  <c r="AA69" i="17"/>
  <c r="AC69" i="17"/>
  <c r="AD69" i="17"/>
  <c r="AE69" i="17"/>
  <c r="AF69" i="17"/>
  <c r="AG69" i="17"/>
  <c r="AH69" i="17"/>
  <c r="AI69" i="17"/>
  <c r="AJ69" i="17"/>
  <c r="AK69" i="17"/>
  <c r="H69" i="17"/>
  <c r="I63" i="18"/>
  <c r="M63" i="18"/>
  <c r="W63" i="18"/>
  <c r="Y63" i="18"/>
  <c r="AK63" i="18"/>
  <c r="I21" i="20"/>
  <c r="J21" i="20"/>
  <c r="K21" i="20"/>
  <c r="L21" i="20"/>
  <c r="M21" i="20"/>
  <c r="N21" i="20"/>
  <c r="O21" i="20"/>
  <c r="P21" i="20"/>
  <c r="Q21" i="20"/>
  <c r="R21" i="20"/>
  <c r="S21" i="20"/>
  <c r="T21" i="20"/>
  <c r="U21" i="20"/>
  <c r="V21" i="20"/>
  <c r="W21" i="20"/>
  <c r="X21" i="20"/>
  <c r="Y21" i="20"/>
  <c r="Z21" i="20"/>
  <c r="AA21" i="20"/>
  <c r="AB21" i="20"/>
  <c r="AC21" i="20"/>
  <c r="AD21" i="20"/>
  <c r="AE21" i="20"/>
  <c r="AF21" i="20"/>
  <c r="AG21" i="20"/>
  <c r="AH21" i="20"/>
  <c r="AI21" i="20"/>
  <c r="AJ21" i="20"/>
  <c r="AK21" i="20"/>
  <c r="AL21" i="20"/>
  <c r="I22" i="20"/>
  <c r="J22" i="20"/>
  <c r="K22" i="20"/>
  <c r="L22" i="20"/>
  <c r="M22" i="20"/>
  <c r="N22" i="20"/>
  <c r="O22" i="20"/>
  <c r="P22" i="20"/>
  <c r="Q22" i="20"/>
  <c r="R22" i="20"/>
  <c r="S22" i="20"/>
  <c r="T22" i="20"/>
  <c r="U22" i="20"/>
  <c r="V22" i="20"/>
  <c r="W22" i="20"/>
  <c r="X22" i="20"/>
  <c r="Y22" i="20"/>
  <c r="Z22" i="20"/>
  <c r="AA22" i="20"/>
  <c r="AB22" i="20"/>
  <c r="AC22" i="20"/>
  <c r="AD22" i="20"/>
  <c r="AE22" i="20"/>
  <c r="AF22" i="20"/>
  <c r="AG22" i="20"/>
  <c r="AH22" i="20"/>
  <c r="AI22" i="20"/>
  <c r="AJ22" i="20"/>
  <c r="AK22" i="20"/>
  <c r="AL22" i="20"/>
  <c r="H22" i="20"/>
  <c r="H21" i="20"/>
  <c r="E35" i="17"/>
  <c r="E34" i="17"/>
  <c r="E50" i="17"/>
  <c r="E49" i="17"/>
  <c r="E48" i="17"/>
  <c r="E47" i="17"/>
  <c r="E46" i="17"/>
  <c r="E45" i="17"/>
  <c r="E32" i="17"/>
  <c r="E31" i="17"/>
  <c r="I21" i="19"/>
  <c r="J21" i="19"/>
  <c r="K21" i="19"/>
  <c r="L21" i="19"/>
  <c r="M21" i="19"/>
  <c r="N21" i="19"/>
  <c r="O21" i="19"/>
  <c r="P21" i="19"/>
  <c r="Q21" i="19"/>
  <c r="R21" i="19"/>
  <c r="S21" i="19"/>
  <c r="T21" i="19"/>
  <c r="U21" i="19"/>
  <c r="V21" i="19"/>
  <c r="W21" i="19"/>
  <c r="X21" i="19"/>
  <c r="Y21" i="19"/>
  <c r="Z21" i="19"/>
  <c r="AA21" i="19"/>
  <c r="AB21" i="19"/>
  <c r="AC21" i="19"/>
  <c r="AD21" i="19"/>
  <c r="AE21" i="19"/>
  <c r="AF21" i="19"/>
  <c r="AG21" i="19"/>
  <c r="AH21" i="19"/>
  <c r="AI21" i="19"/>
  <c r="AJ21" i="19"/>
  <c r="AK21" i="19"/>
  <c r="I22" i="19"/>
  <c r="J22" i="19"/>
  <c r="K22" i="19"/>
  <c r="L22" i="19"/>
  <c r="M22" i="19"/>
  <c r="N22" i="19"/>
  <c r="O22" i="19"/>
  <c r="P22" i="19"/>
  <c r="Q22" i="19"/>
  <c r="R22" i="19"/>
  <c r="S22" i="19"/>
  <c r="T22" i="19"/>
  <c r="U22" i="19"/>
  <c r="V22" i="19"/>
  <c r="W22" i="19"/>
  <c r="X22" i="19"/>
  <c r="Y22" i="19"/>
  <c r="Z22" i="19"/>
  <c r="AA22" i="19"/>
  <c r="AB22" i="19"/>
  <c r="AC22" i="19"/>
  <c r="AD22" i="19"/>
  <c r="AE22" i="19"/>
  <c r="AF22" i="19"/>
  <c r="AG22" i="19"/>
  <c r="AH22" i="19"/>
  <c r="AI22" i="19"/>
  <c r="AJ22" i="19"/>
  <c r="AK22" i="19"/>
  <c r="H22" i="19"/>
  <c r="H21" i="19"/>
  <c r="I25" i="18"/>
  <c r="J25" i="18"/>
  <c r="K25" i="18"/>
  <c r="L25" i="18"/>
  <c r="M25" i="18"/>
  <c r="N25" i="18"/>
  <c r="O25" i="18"/>
  <c r="P25" i="18"/>
  <c r="Q25" i="18"/>
  <c r="R25" i="18"/>
  <c r="S25" i="18"/>
  <c r="T25" i="18"/>
  <c r="U25" i="18"/>
  <c r="V25" i="18"/>
  <c r="W25" i="18"/>
  <c r="X25" i="18"/>
  <c r="Y25" i="18"/>
  <c r="Z25" i="18"/>
  <c r="AA25" i="18"/>
  <c r="AB25" i="18"/>
  <c r="AC25" i="18"/>
  <c r="AD25" i="18"/>
  <c r="AE25" i="18"/>
  <c r="AF25" i="18"/>
  <c r="AG25" i="18"/>
  <c r="AH25" i="18"/>
  <c r="AI25" i="18"/>
  <c r="AJ25" i="18"/>
  <c r="AK25" i="18"/>
  <c r="AL25" i="18"/>
  <c r="I26" i="18"/>
  <c r="J26" i="18"/>
  <c r="K26" i="18"/>
  <c r="L26" i="18"/>
  <c r="M26" i="18"/>
  <c r="N26" i="18"/>
  <c r="O26" i="18"/>
  <c r="P26" i="18"/>
  <c r="Q26" i="18"/>
  <c r="R26" i="18"/>
  <c r="S26" i="18"/>
  <c r="T26" i="18"/>
  <c r="U26" i="18"/>
  <c r="V26" i="18"/>
  <c r="W26" i="18"/>
  <c r="X26" i="18"/>
  <c r="Y26" i="18"/>
  <c r="Z26" i="18"/>
  <c r="AA26" i="18"/>
  <c r="AB26" i="18"/>
  <c r="AC26" i="18"/>
  <c r="AD26" i="18"/>
  <c r="AE26" i="18"/>
  <c r="AF26" i="18"/>
  <c r="AG26" i="18"/>
  <c r="AH26" i="18"/>
  <c r="AI26" i="18"/>
  <c r="AJ26" i="18"/>
  <c r="AK26" i="18"/>
  <c r="AL26" i="18"/>
  <c r="H26" i="18"/>
  <c r="H25" i="18"/>
  <c r="K27" i="17"/>
  <c r="L27" i="17"/>
  <c r="M27" i="17"/>
  <c r="N27" i="17"/>
  <c r="O27" i="17"/>
  <c r="P27" i="17"/>
  <c r="Q27" i="17"/>
  <c r="R27" i="17"/>
  <c r="S27" i="17"/>
  <c r="T27" i="17"/>
  <c r="U27" i="17"/>
  <c r="V27" i="17"/>
  <c r="W27" i="17"/>
  <c r="X27" i="17"/>
  <c r="Y27" i="17"/>
  <c r="Z27" i="17"/>
  <c r="AA27" i="17"/>
  <c r="AB27" i="17"/>
  <c r="AC27" i="17"/>
  <c r="AD27" i="17"/>
  <c r="AE27" i="17"/>
  <c r="AF27" i="17"/>
  <c r="AG27" i="17"/>
  <c r="AH27" i="17"/>
  <c r="AI27" i="17"/>
  <c r="AJ27" i="17"/>
  <c r="AK27" i="17"/>
  <c r="J27" i="17"/>
  <c r="J28" i="17" s="1"/>
  <c r="K25" i="17"/>
  <c r="L25" i="17"/>
  <c r="M25" i="17"/>
  <c r="N25" i="17"/>
  <c r="O25" i="17"/>
  <c r="P25" i="17"/>
  <c r="Q25" i="17"/>
  <c r="R25" i="17"/>
  <c r="S25" i="17"/>
  <c r="T25" i="17"/>
  <c r="U25" i="17"/>
  <c r="V25" i="17"/>
  <c r="W25" i="17"/>
  <c r="X25" i="17"/>
  <c r="Y25" i="17"/>
  <c r="Z25" i="17"/>
  <c r="AA25" i="17"/>
  <c r="AB25" i="17"/>
  <c r="AC25" i="17"/>
  <c r="AD25" i="17"/>
  <c r="AE25" i="17"/>
  <c r="AF25" i="17"/>
  <c r="AG25" i="17"/>
  <c r="AH25" i="17"/>
  <c r="AI25" i="17"/>
  <c r="AJ25" i="17"/>
  <c r="AK25" i="17"/>
  <c r="J25" i="17"/>
  <c r="J26" i="17" s="1"/>
  <c r="R8" i="30" l="1"/>
  <c r="Q9" i="31"/>
  <c r="R10" i="30"/>
  <c r="Q11" i="31"/>
  <c r="S4" i="31"/>
  <c r="R5" i="31"/>
  <c r="T4" i="30"/>
  <c r="S5" i="30"/>
  <c r="O8" i="28"/>
  <c r="O10" i="28"/>
  <c r="N11" i="29"/>
  <c r="Q4" i="29"/>
  <c r="P5" i="29"/>
  <c r="R4" i="28"/>
  <c r="Q5" i="28"/>
  <c r="AG8" i="27"/>
  <c r="AF9" i="25"/>
  <c r="S48" i="27"/>
  <c r="R21" i="25"/>
  <c r="U65" i="27"/>
  <c r="T27" i="25"/>
  <c r="P29" i="25"/>
  <c r="Q67" i="27"/>
  <c r="P10" i="27"/>
  <c r="O11" i="25"/>
  <c r="E50" i="27"/>
  <c r="E23" i="25" s="1"/>
  <c r="AK23" i="25"/>
  <c r="Q4" i="27"/>
  <c r="P5" i="27"/>
  <c r="K28" i="17"/>
  <c r="L28" i="17" s="1"/>
  <c r="K26" i="17"/>
  <c r="L26" i="17" s="1"/>
  <c r="M26" i="17" s="1"/>
  <c r="N26" i="17" s="1"/>
  <c r="O26" i="17" s="1"/>
  <c r="P26" i="17" s="1"/>
  <c r="Q26" i="17" s="1"/>
  <c r="R26" i="17" s="1"/>
  <c r="S26" i="17" s="1"/>
  <c r="T26" i="17" s="1"/>
  <c r="U26" i="17" s="1"/>
  <c r="V26" i="17" s="1"/>
  <c r="W26" i="17" s="1"/>
  <c r="X26" i="17" s="1"/>
  <c r="Y26" i="17" s="1"/>
  <c r="Z26" i="17" s="1"/>
  <c r="AA26" i="17" s="1"/>
  <c r="AB26" i="17" s="1"/>
  <c r="AC26" i="17" s="1"/>
  <c r="AD26" i="17" s="1"/>
  <c r="AE26" i="17" s="1"/>
  <c r="AF26" i="17" s="1"/>
  <c r="AG26" i="17" s="1"/>
  <c r="AH26" i="17" s="1"/>
  <c r="AI26" i="17" s="1"/>
  <c r="AJ26" i="17" s="1"/>
  <c r="AK26" i="17" s="1"/>
  <c r="L8" i="17"/>
  <c r="K8" i="25"/>
  <c r="O5" i="25"/>
  <c r="P4" i="25"/>
  <c r="E58" i="17"/>
  <c r="E46" i="19"/>
  <c r="E46" i="20" s="1"/>
  <c r="E44" i="22" s="1"/>
  <c r="E50" i="18"/>
  <c r="E52" i="18" s="1"/>
  <c r="E45" i="19"/>
  <c r="E45" i="20" s="1"/>
  <c r="E43" i="22" s="1"/>
  <c r="E49" i="18"/>
  <c r="E51" i="18" s="1"/>
  <c r="E57" i="17"/>
  <c r="K4" i="22"/>
  <c r="J5" i="22"/>
  <c r="S10" i="30" l="1"/>
  <c r="R11" i="31"/>
  <c r="S8" i="30"/>
  <c r="R9" i="31"/>
  <c r="T4" i="31"/>
  <c r="S5" i="31"/>
  <c r="U4" i="30"/>
  <c r="T5" i="30"/>
  <c r="P8" i="28"/>
  <c r="O9" i="29"/>
  <c r="P10" i="28"/>
  <c r="O11" i="29"/>
  <c r="R4" i="29"/>
  <c r="Q5" i="29"/>
  <c r="S4" i="28"/>
  <c r="R5" i="28"/>
  <c r="AG9" i="25"/>
  <c r="AH8" i="27"/>
  <c r="T48" i="27"/>
  <c r="S21" i="25"/>
  <c r="Q29" i="25"/>
  <c r="R67" i="27"/>
  <c r="V65" i="27"/>
  <c r="U27" i="25"/>
  <c r="Q10" i="27"/>
  <c r="P11" i="25"/>
  <c r="R4" i="27"/>
  <c r="Q5" i="27"/>
  <c r="M28" i="17"/>
  <c r="N28" i="17" s="1"/>
  <c r="O28" i="17" s="1"/>
  <c r="P28" i="17" s="1"/>
  <c r="Q28" i="17" s="1"/>
  <c r="R28" i="17" s="1"/>
  <c r="S28" i="17" s="1"/>
  <c r="T28" i="17" s="1"/>
  <c r="U28" i="17" s="1"/>
  <c r="V28" i="17" s="1"/>
  <c r="W28" i="17" s="1"/>
  <c r="X28" i="17" s="1"/>
  <c r="Y28" i="17" s="1"/>
  <c r="Z28" i="17" s="1"/>
  <c r="AA28" i="17" s="1"/>
  <c r="AB28" i="17" s="1"/>
  <c r="AC28" i="17" s="1"/>
  <c r="AD28" i="17" s="1"/>
  <c r="AE28" i="17" s="1"/>
  <c r="AF28" i="17" s="1"/>
  <c r="AG28" i="17" s="1"/>
  <c r="AH28" i="17" s="1"/>
  <c r="AI28" i="17" s="1"/>
  <c r="AJ28" i="17" s="1"/>
  <c r="AK28" i="17" s="1"/>
  <c r="M8" i="17"/>
  <c r="L8" i="25"/>
  <c r="P5" i="25"/>
  <c r="Q4" i="25"/>
  <c r="L4" i="22"/>
  <c r="K5" i="22"/>
  <c r="E43" i="19"/>
  <c r="T8" i="30" l="1"/>
  <c r="S9" i="31"/>
  <c r="T10" i="30"/>
  <c r="S11" i="31"/>
  <c r="U4" i="31"/>
  <c r="T5" i="31"/>
  <c r="V4" i="30"/>
  <c r="U5" i="30"/>
  <c r="Q8" i="28"/>
  <c r="P9" i="29"/>
  <c r="Q10" i="28"/>
  <c r="P11" i="29"/>
  <c r="R5" i="29"/>
  <c r="S4" i="29"/>
  <c r="T4" i="28"/>
  <c r="S5" i="28"/>
  <c r="AI8" i="27"/>
  <c r="AH9" i="25"/>
  <c r="W65" i="27"/>
  <c r="V27" i="25"/>
  <c r="S67" i="27"/>
  <c r="R29" i="25"/>
  <c r="U48" i="27"/>
  <c r="T21" i="25"/>
  <c r="R10" i="27"/>
  <c r="Q11" i="25"/>
  <c r="S4" i="27"/>
  <c r="R5" i="27"/>
  <c r="N8" i="17"/>
  <c r="M8" i="25"/>
  <c r="R4" i="25"/>
  <c r="Q5" i="25"/>
  <c r="M4" i="22"/>
  <c r="L5" i="22"/>
  <c r="E35" i="18"/>
  <c r="E34" i="18"/>
  <c r="E31" i="18"/>
  <c r="E47" i="18"/>
  <c r="U8" i="30" l="1"/>
  <c r="T9" i="31"/>
  <c r="U10" i="30"/>
  <c r="T11" i="31"/>
  <c r="U5" i="31"/>
  <c r="V4" i="31"/>
  <c r="W4" i="30"/>
  <c r="V5" i="30"/>
  <c r="R8" i="28"/>
  <c r="Q9" i="29"/>
  <c r="R10" i="28"/>
  <c r="Q11" i="29"/>
  <c r="T4" i="29"/>
  <c r="S5" i="29"/>
  <c r="U4" i="28"/>
  <c r="T5" i="28"/>
  <c r="AI9" i="25"/>
  <c r="AJ8" i="27"/>
  <c r="X65" i="27"/>
  <c r="W27" i="25"/>
  <c r="V48" i="27"/>
  <c r="U21" i="25"/>
  <c r="T67" i="27"/>
  <c r="S29" i="25"/>
  <c r="S10" i="27"/>
  <c r="R11" i="25"/>
  <c r="T4" i="27"/>
  <c r="S5" i="27"/>
  <c r="O8" i="17"/>
  <c r="N8" i="25"/>
  <c r="S4" i="25"/>
  <c r="R5" i="25"/>
  <c r="M5" i="22"/>
  <c r="N4" i="22"/>
  <c r="E38" i="17"/>
  <c r="E36" i="18" s="1"/>
  <c r="E32" i="19" s="1"/>
  <c r="E32" i="20" s="1"/>
  <c r="E30" i="22" s="1"/>
  <c r="E36" i="17"/>
  <c r="AM6" i="18"/>
  <c r="AL6" i="19"/>
  <c r="AM6" i="20"/>
  <c r="AK9" i="20"/>
  <c r="AJ9" i="20"/>
  <c r="AI9" i="20"/>
  <c r="AH9" i="20"/>
  <c r="AE9" i="20"/>
  <c r="AD9" i="20"/>
  <c r="AC9" i="20"/>
  <c r="AB9" i="20"/>
  <c r="X9" i="20"/>
  <c r="W9" i="20"/>
  <c r="V9" i="20"/>
  <c r="U9" i="20"/>
  <c r="T9" i="20"/>
  <c r="Q9" i="20"/>
  <c r="P9" i="20"/>
  <c r="O9" i="20"/>
  <c r="N9" i="20"/>
  <c r="J9" i="20"/>
  <c r="J9" i="18"/>
  <c r="M9" i="18"/>
  <c r="N9" i="18"/>
  <c r="S9" i="18"/>
  <c r="T9" i="18"/>
  <c r="Z9" i="18"/>
  <c r="AA9" i="18"/>
  <c r="AF9" i="18"/>
  <c r="AH9" i="18"/>
  <c r="AK9" i="18"/>
  <c r="AL9" i="18"/>
  <c r="H9" i="18"/>
  <c r="K9" i="17"/>
  <c r="L9" i="17"/>
  <c r="N9" i="17"/>
  <c r="O9" i="17"/>
  <c r="P9" i="17"/>
  <c r="Q9" i="17"/>
  <c r="Y9" i="17"/>
  <c r="AA9" i="17"/>
  <c r="AC9" i="17"/>
  <c r="AI9" i="17"/>
  <c r="X9" i="17"/>
  <c r="AB9" i="17"/>
  <c r="U9" i="17"/>
  <c r="V9" i="17"/>
  <c r="H7" i="20"/>
  <c r="AJ9" i="18"/>
  <c r="AG9" i="18"/>
  <c r="AC9" i="18"/>
  <c r="Y9" i="18"/>
  <c r="V9" i="18"/>
  <c r="U9" i="18"/>
  <c r="R9" i="18"/>
  <c r="T9" i="17"/>
  <c r="AD9" i="17"/>
  <c r="AE9" i="17"/>
  <c r="AJ9" i="17"/>
  <c r="AK9" i="17"/>
  <c r="M9" i="17"/>
  <c r="AK7" i="20"/>
  <c r="M9" i="20"/>
  <c r="R9" i="20"/>
  <c r="Z9" i="20"/>
  <c r="AA9" i="20"/>
  <c r="AF9" i="20"/>
  <c r="AL9" i="20"/>
  <c r="K9" i="20"/>
  <c r="L9" i="20"/>
  <c r="AG9" i="20"/>
  <c r="Y9" i="20"/>
  <c r="S9" i="20"/>
  <c r="AL7" i="20"/>
  <c r="AJ7" i="20"/>
  <c r="AI7" i="20"/>
  <c r="AH7" i="20"/>
  <c r="AG7" i="20"/>
  <c r="AF7" i="20"/>
  <c r="AE7" i="20"/>
  <c r="AD7" i="20"/>
  <c r="AC7" i="20"/>
  <c r="AB7" i="20"/>
  <c r="AA7" i="20"/>
  <c r="Z7" i="20"/>
  <c r="Y7" i="20"/>
  <c r="X7" i="20"/>
  <c r="W7" i="20"/>
  <c r="V7" i="20"/>
  <c r="U7" i="20"/>
  <c r="T7" i="20"/>
  <c r="S7" i="20"/>
  <c r="R7" i="20"/>
  <c r="Q7" i="20"/>
  <c r="P7" i="20"/>
  <c r="O7" i="20"/>
  <c r="N7" i="20"/>
  <c r="M7" i="20"/>
  <c r="L7" i="20"/>
  <c r="K7" i="20"/>
  <c r="J7" i="20"/>
  <c r="I7" i="20"/>
  <c r="H4" i="20"/>
  <c r="H5" i="20" s="1"/>
  <c r="AM2" i="20"/>
  <c r="K9" i="18"/>
  <c r="L9" i="18"/>
  <c r="H11" i="17"/>
  <c r="H12" i="17"/>
  <c r="AK7" i="19"/>
  <c r="AJ7" i="19"/>
  <c r="AI7" i="19"/>
  <c r="AH7" i="19"/>
  <c r="AG7" i="19"/>
  <c r="AF7" i="19"/>
  <c r="AE7" i="19"/>
  <c r="AD7" i="19"/>
  <c r="AC7" i="19"/>
  <c r="AB7" i="19"/>
  <c r="AA7" i="19"/>
  <c r="Z7" i="19"/>
  <c r="Y7" i="19"/>
  <c r="X7" i="19"/>
  <c r="W7" i="19"/>
  <c r="V7" i="19"/>
  <c r="U7" i="19"/>
  <c r="T7" i="19"/>
  <c r="S7" i="19"/>
  <c r="R7" i="19"/>
  <c r="Q7" i="19"/>
  <c r="P7" i="19"/>
  <c r="O7" i="19"/>
  <c r="N7" i="19"/>
  <c r="M7" i="19"/>
  <c r="L7" i="19"/>
  <c r="K7" i="19"/>
  <c r="J7" i="19"/>
  <c r="I7" i="19"/>
  <c r="H4" i="19"/>
  <c r="H5" i="19" s="1"/>
  <c r="AL2" i="19"/>
  <c r="AI9" i="18"/>
  <c r="AE9" i="18"/>
  <c r="AD9" i="18"/>
  <c r="AB9" i="18"/>
  <c r="X9" i="18"/>
  <c r="W9" i="18"/>
  <c r="Q9" i="18"/>
  <c r="P9" i="18"/>
  <c r="O9" i="18"/>
  <c r="I9" i="18"/>
  <c r="H4" i="18"/>
  <c r="I4" i="18" s="1"/>
  <c r="AM2" i="18"/>
  <c r="I9" i="17"/>
  <c r="I10" i="17" s="1"/>
  <c r="R9" i="17"/>
  <c r="S9" i="17"/>
  <c r="Z9" i="17"/>
  <c r="AF9" i="17"/>
  <c r="AG9" i="17"/>
  <c r="AH9" i="17"/>
  <c r="E6" i="17"/>
  <c r="H4" i="17"/>
  <c r="I4" i="17" s="1"/>
  <c r="AL2" i="17"/>
  <c r="V10" i="30" l="1"/>
  <c r="U11" i="31"/>
  <c r="V8" i="30"/>
  <c r="U9" i="31"/>
  <c r="V5" i="31"/>
  <c r="W4" i="31"/>
  <c r="X4" i="30"/>
  <c r="W5" i="30"/>
  <c r="S8" i="28"/>
  <c r="R9" i="29"/>
  <c r="S10" i="28"/>
  <c r="R11" i="29"/>
  <c r="U4" i="29"/>
  <c r="T5" i="29"/>
  <c r="V4" i="28"/>
  <c r="U5" i="28"/>
  <c r="AK8" i="27"/>
  <c r="AJ9" i="25"/>
  <c r="U67" i="27"/>
  <c r="T29" i="25"/>
  <c r="W48" i="27"/>
  <c r="V21" i="25"/>
  <c r="Y65" i="27"/>
  <c r="X27" i="25"/>
  <c r="T10" i="27"/>
  <c r="S11" i="25"/>
  <c r="T5" i="27"/>
  <c r="U4" i="27"/>
  <c r="J10" i="17"/>
  <c r="J10" i="25" s="1"/>
  <c r="I10" i="25"/>
  <c r="P8" i="17"/>
  <c r="O8" i="25"/>
  <c r="E6" i="18"/>
  <c r="E6" i="19" s="1"/>
  <c r="E6" i="20" s="1"/>
  <c r="E6" i="25"/>
  <c r="T4" i="25"/>
  <c r="S5" i="25"/>
  <c r="H9" i="20"/>
  <c r="E18" i="20"/>
  <c r="N5" i="22"/>
  <c r="O4" i="22"/>
  <c r="E18" i="19"/>
  <c r="E24" i="18"/>
  <c r="E41" i="17"/>
  <c r="E39" i="17"/>
  <c r="J29" i="17"/>
  <c r="K29" i="17" s="1"/>
  <c r="L29" i="17" s="1"/>
  <c r="M29" i="17" s="1"/>
  <c r="N29" i="17" s="1"/>
  <c r="O29" i="17" s="1"/>
  <c r="P29" i="17" s="1"/>
  <c r="Q29" i="17" s="1"/>
  <c r="R29" i="17" s="1"/>
  <c r="S29" i="17" s="1"/>
  <c r="T29" i="17" s="1"/>
  <c r="U29" i="17" s="1"/>
  <c r="V29" i="17" s="1"/>
  <c r="W29" i="17" s="1"/>
  <c r="X29" i="17" s="1"/>
  <c r="Y29" i="17" s="1"/>
  <c r="Z29" i="17" s="1"/>
  <c r="AA29" i="17" s="1"/>
  <c r="AB29" i="17" s="1"/>
  <c r="AC29" i="17" s="1"/>
  <c r="AD29" i="17" s="1"/>
  <c r="AE29" i="17" s="1"/>
  <c r="AF29" i="17" s="1"/>
  <c r="AG29" i="17" s="1"/>
  <c r="AH29" i="17" s="1"/>
  <c r="AI29" i="17" s="1"/>
  <c r="AJ29" i="17" s="1"/>
  <c r="AK29" i="17" s="1"/>
  <c r="E27" i="17"/>
  <c r="E25" i="17"/>
  <c r="J30" i="17"/>
  <c r="K30" i="17" s="1"/>
  <c r="L30" i="17" s="1"/>
  <c r="M30" i="17" s="1"/>
  <c r="N30" i="17" s="1"/>
  <c r="O30" i="17" s="1"/>
  <c r="P30" i="17" s="1"/>
  <c r="Q30" i="17" s="1"/>
  <c r="R30" i="17" s="1"/>
  <c r="S30" i="17" s="1"/>
  <c r="T30" i="17" s="1"/>
  <c r="U30" i="17" s="1"/>
  <c r="V30" i="17" s="1"/>
  <c r="W30" i="17" s="1"/>
  <c r="X30" i="17" s="1"/>
  <c r="Y30" i="17" s="1"/>
  <c r="Z30" i="17" s="1"/>
  <c r="AA30" i="17" s="1"/>
  <c r="AB30" i="17" s="1"/>
  <c r="AC30" i="17" s="1"/>
  <c r="AD30" i="17" s="1"/>
  <c r="AE30" i="17" s="1"/>
  <c r="AF30" i="17" s="1"/>
  <c r="AG30" i="17" s="1"/>
  <c r="AH30" i="17" s="1"/>
  <c r="AI30" i="17" s="1"/>
  <c r="AJ30" i="17" s="1"/>
  <c r="AK30" i="17" s="1"/>
  <c r="I12" i="17"/>
  <c r="J12" i="17" s="1"/>
  <c r="K12" i="17" s="1"/>
  <c r="L12" i="17" s="1"/>
  <c r="M12" i="17" s="1"/>
  <c r="N12" i="17" s="1"/>
  <c r="O12" i="17" s="1"/>
  <c r="P12" i="17" s="1"/>
  <c r="Q12" i="17" s="1"/>
  <c r="R12" i="17" s="1"/>
  <c r="S12" i="17" s="1"/>
  <c r="T12" i="17" s="1"/>
  <c r="U12" i="17" s="1"/>
  <c r="V12" i="17" s="1"/>
  <c r="W9" i="17"/>
  <c r="E9" i="17" s="1"/>
  <c r="E12" i="17" s="1"/>
  <c r="I11" i="17"/>
  <c r="J11" i="17" s="1"/>
  <c r="K11" i="17" s="1"/>
  <c r="L11" i="17" s="1"/>
  <c r="M11" i="17" s="1"/>
  <c r="N11" i="17" s="1"/>
  <c r="O11" i="17" s="1"/>
  <c r="P11" i="17" s="1"/>
  <c r="Q11" i="17" s="1"/>
  <c r="R11" i="17" s="1"/>
  <c r="S11" i="17" s="1"/>
  <c r="T11" i="17" s="1"/>
  <c r="U11" i="17" s="1"/>
  <c r="V11" i="17" s="1"/>
  <c r="W11" i="17" s="1"/>
  <c r="X11" i="17" s="1"/>
  <c r="Y11" i="17" s="1"/>
  <c r="Z11" i="17" s="1"/>
  <c r="AA11" i="17" s="1"/>
  <c r="AB11" i="17" s="1"/>
  <c r="AC11" i="17" s="1"/>
  <c r="AD11" i="17" s="1"/>
  <c r="AE11" i="17" s="1"/>
  <c r="AF11" i="17" s="1"/>
  <c r="AG11" i="17" s="1"/>
  <c r="AH11" i="17" s="1"/>
  <c r="AI11" i="17" s="1"/>
  <c r="AJ11" i="17" s="1"/>
  <c r="AK11" i="17" s="1"/>
  <c r="H11" i="18" s="1"/>
  <c r="I11" i="18" s="1"/>
  <c r="J11" i="18" s="1"/>
  <c r="K11" i="18" s="1"/>
  <c r="L11" i="18" s="1"/>
  <c r="M11" i="18" s="1"/>
  <c r="N11" i="18" s="1"/>
  <c r="O11" i="18" s="1"/>
  <c r="P11" i="18" s="1"/>
  <c r="Q11" i="18" s="1"/>
  <c r="R11" i="18" s="1"/>
  <c r="S11" i="18" s="1"/>
  <c r="T11" i="18" s="1"/>
  <c r="U11" i="18" s="1"/>
  <c r="V11" i="18" s="1"/>
  <c r="W11" i="18" s="1"/>
  <c r="X11" i="18" s="1"/>
  <c r="Y11" i="18" s="1"/>
  <c r="Z11" i="18" s="1"/>
  <c r="AA11" i="18" s="1"/>
  <c r="AB11" i="18" s="1"/>
  <c r="AC11" i="18" s="1"/>
  <c r="AD11" i="18" s="1"/>
  <c r="AE11" i="18" s="1"/>
  <c r="AF11" i="18" s="1"/>
  <c r="AG11" i="18" s="1"/>
  <c r="AH11" i="18" s="1"/>
  <c r="AI11" i="18" s="1"/>
  <c r="AJ11" i="18" s="1"/>
  <c r="AK11" i="18" s="1"/>
  <c r="AL11" i="18" s="1"/>
  <c r="I9" i="20"/>
  <c r="I4" i="20"/>
  <c r="I4" i="19"/>
  <c r="J4" i="18"/>
  <c r="I5" i="18"/>
  <c r="H5" i="18"/>
  <c r="H5" i="17"/>
  <c r="I5" i="17"/>
  <c r="J4" i="17"/>
  <c r="E7" i="17"/>
  <c r="E11" i="17" s="1"/>
  <c r="W8" i="30" l="1"/>
  <c r="V9" i="31"/>
  <c r="W10" i="30"/>
  <c r="V11" i="31"/>
  <c r="W5" i="31"/>
  <c r="X4" i="31"/>
  <c r="Y4" i="30"/>
  <c r="X5" i="30"/>
  <c r="T8" i="28"/>
  <c r="S9" i="29"/>
  <c r="T10" i="28"/>
  <c r="S11" i="29"/>
  <c r="U5" i="29"/>
  <c r="V4" i="29"/>
  <c r="V5" i="28"/>
  <c r="W4" i="28"/>
  <c r="E8" i="27"/>
  <c r="E9" i="25" s="1"/>
  <c r="AK9" i="25"/>
  <c r="Z65" i="27"/>
  <c r="Y27" i="25"/>
  <c r="X48" i="27"/>
  <c r="W21" i="25"/>
  <c r="U29" i="25"/>
  <c r="V67" i="27"/>
  <c r="U10" i="27"/>
  <c r="T11" i="25"/>
  <c r="U5" i="27"/>
  <c r="V4" i="27"/>
  <c r="E6" i="22"/>
  <c r="K10" i="17"/>
  <c r="L10" i="17"/>
  <c r="K10" i="25"/>
  <c r="Q8" i="17"/>
  <c r="P8" i="25"/>
  <c r="T5" i="25"/>
  <c r="U4" i="25"/>
  <c r="E44" i="17"/>
  <c r="E38" i="18"/>
  <c r="E43" i="17"/>
  <c r="E37" i="18"/>
  <c r="O5" i="22"/>
  <c r="P4" i="22"/>
  <c r="E20" i="19"/>
  <c r="H28" i="18"/>
  <c r="I28" i="18" s="1"/>
  <c r="J28" i="18" s="1"/>
  <c r="K28" i="18" s="1"/>
  <c r="L28" i="18" s="1"/>
  <c r="M28" i="18" s="1"/>
  <c r="N28" i="18" s="1"/>
  <c r="O28" i="18" s="1"/>
  <c r="P28" i="18" s="1"/>
  <c r="Q28" i="18" s="1"/>
  <c r="R28" i="18" s="1"/>
  <c r="S28" i="18" s="1"/>
  <c r="T28" i="18" s="1"/>
  <c r="U28" i="18" s="1"/>
  <c r="V28" i="18" s="1"/>
  <c r="W28" i="18" s="1"/>
  <c r="X28" i="18" s="1"/>
  <c r="Y28" i="18" s="1"/>
  <c r="Z28" i="18" s="1"/>
  <c r="AA28" i="18" s="1"/>
  <c r="AB28" i="18" s="1"/>
  <c r="AC28" i="18" s="1"/>
  <c r="AD28" i="18" s="1"/>
  <c r="AE28" i="18" s="1"/>
  <c r="AF28" i="18" s="1"/>
  <c r="AG28" i="18" s="1"/>
  <c r="AH28" i="18" s="1"/>
  <c r="AI28" i="18" s="1"/>
  <c r="AJ28" i="18" s="1"/>
  <c r="AK28" i="18" s="1"/>
  <c r="E29" i="17"/>
  <c r="E25" i="18"/>
  <c r="E30" i="17"/>
  <c r="E26" i="18"/>
  <c r="H27" i="18"/>
  <c r="I27" i="18" s="1"/>
  <c r="J27" i="18" s="1"/>
  <c r="K27" i="18" s="1"/>
  <c r="L27" i="18" s="1"/>
  <c r="M27" i="18" s="1"/>
  <c r="N27" i="18" s="1"/>
  <c r="O27" i="18" s="1"/>
  <c r="P27" i="18" s="1"/>
  <c r="Q27" i="18" s="1"/>
  <c r="R27" i="18" s="1"/>
  <c r="S27" i="18" s="1"/>
  <c r="T27" i="18" s="1"/>
  <c r="U27" i="18" s="1"/>
  <c r="V27" i="18" s="1"/>
  <c r="W27" i="18" s="1"/>
  <c r="X27" i="18" s="1"/>
  <c r="Y27" i="18" s="1"/>
  <c r="Z27" i="18" s="1"/>
  <c r="AA27" i="18" s="1"/>
  <c r="AB27" i="18" s="1"/>
  <c r="AC27" i="18" s="1"/>
  <c r="AD27" i="18" s="1"/>
  <c r="AE27" i="18" s="1"/>
  <c r="AF27" i="18" s="1"/>
  <c r="AG27" i="18" s="1"/>
  <c r="AH27" i="18" s="1"/>
  <c r="AI27" i="18" s="1"/>
  <c r="AJ27" i="18" s="1"/>
  <c r="AK27" i="18" s="1"/>
  <c r="W12" i="17"/>
  <c r="X12" i="17" s="1"/>
  <c r="Y12" i="17" s="1"/>
  <c r="Z12" i="17" s="1"/>
  <c r="AA12" i="17" s="1"/>
  <c r="AB12" i="17" s="1"/>
  <c r="AC12" i="17" s="1"/>
  <c r="AD12" i="17" s="1"/>
  <c r="AE12" i="17" s="1"/>
  <c r="AF12" i="17" s="1"/>
  <c r="AG12" i="17" s="1"/>
  <c r="AH12" i="17" s="1"/>
  <c r="AI12" i="17" s="1"/>
  <c r="AJ12" i="17" s="1"/>
  <c r="AK12" i="17" s="1"/>
  <c r="H12" i="18" s="1"/>
  <c r="I12" i="18" s="1"/>
  <c r="J12" i="18" s="1"/>
  <c r="K12" i="18" s="1"/>
  <c r="L12" i="18" s="1"/>
  <c r="M12" i="18" s="1"/>
  <c r="N12" i="18" s="1"/>
  <c r="O12" i="18" s="1"/>
  <c r="P12" i="18" s="1"/>
  <c r="Q12" i="18" s="1"/>
  <c r="R12" i="18" s="1"/>
  <c r="S12" i="18" s="1"/>
  <c r="T12" i="18" s="1"/>
  <c r="U12" i="18" s="1"/>
  <c r="V12" i="18" s="1"/>
  <c r="W12" i="18" s="1"/>
  <c r="X12" i="18" s="1"/>
  <c r="Y12" i="18" s="1"/>
  <c r="Z12" i="18" s="1"/>
  <c r="AA12" i="18" s="1"/>
  <c r="AB12" i="18" s="1"/>
  <c r="AC12" i="18" s="1"/>
  <c r="AD12" i="18" s="1"/>
  <c r="AE12" i="18" s="1"/>
  <c r="AF12" i="18" s="1"/>
  <c r="AG12" i="18" s="1"/>
  <c r="AH12" i="18" s="1"/>
  <c r="AI12" i="18" s="1"/>
  <c r="I5" i="20"/>
  <c r="J4" i="20"/>
  <c r="E7" i="18"/>
  <c r="E9" i="18"/>
  <c r="E9" i="19" s="1"/>
  <c r="I5" i="19"/>
  <c r="J4" i="19"/>
  <c r="K4" i="18"/>
  <c r="J5" i="18"/>
  <c r="J5" i="17"/>
  <c r="K4" i="17"/>
  <c r="X8" i="30" l="1"/>
  <c r="W9" i="31"/>
  <c r="X10" i="30"/>
  <c r="W11" i="31"/>
  <c r="X5" i="31"/>
  <c r="Y4" i="31"/>
  <c r="Y5" i="30"/>
  <c r="Z4" i="30"/>
  <c r="U8" i="28"/>
  <c r="T9" i="29"/>
  <c r="U10" i="28"/>
  <c r="T11" i="29"/>
  <c r="V5" i="29"/>
  <c r="W4" i="29"/>
  <c r="W5" i="28"/>
  <c r="X4" i="28"/>
  <c r="W67" i="27"/>
  <c r="V29" i="25"/>
  <c r="Y48" i="27"/>
  <c r="X21" i="25"/>
  <c r="AA65" i="27"/>
  <c r="Z27" i="25"/>
  <c r="V10" i="27"/>
  <c r="U11" i="25"/>
  <c r="V5" i="27"/>
  <c r="W4" i="27"/>
  <c r="R8" i="17"/>
  <c r="Q8" i="25"/>
  <c r="M10" i="17"/>
  <c r="L10" i="25"/>
  <c r="U5" i="25"/>
  <c r="V4" i="25"/>
  <c r="E40" i="18"/>
  <c r="E34" i="19"/>
  <c r="E33" i="19"/>
  <c r="E39" i="18"/>
  <c r="E48" i="19"/>
  <c r="E47" i="19"/>
  <c r="E18" i="22"/>
  <c r="AJ12" i="18"/>
  <c r="AK12" i="18" s="1"/>
  <c r="P5" i="22"/>
  <c r="Q4" i="22"/>
  <c r="E20" i="20"/>
  <c r="AL27" i="18"/>
  <c r="H23" i="19"/>
  <c r="I23" i="19" s="1"/>
  <c r="J23" i="19" s="1"/>
  <c r="K23" i="19" s="1"/>
  <c r="L23" i="19" s="1"/>
  <c r="M23" i="19" s="1"/>
  <c r="N23" i="19" s="1"/>
  <c r="O23" i="19" s="1"/>
  <c r="P23" i="19" s="1"/>
  <c r="Q23" i="19" s="1"/>
  <c r="R23" i="19" s="1"/>
  <c r="S23" i="19" s="1"/>
  <c r="T23" i="19" s="1"/>
  <c r="U23" i="19" s="1"/>
  <c r="V23" i="19" s="1"/>
  <c r="W23" i="19" s="1"/>
  <c r="X23" i="19" s="1"/>
  <c r="Y23" i="19" s="1"/>
  <c r="Z23" i="19" s="1"/>
  <c r="AA23" i="19" s="1"/>
  <c r="AB23" i="19" s="1"/>
  <c r="AC23" i="19" s="1"/>
  <c r="AD23" i="19" s="1"/>
  <c r="AE23" i="19" s="1"/>
  <c r="AF23" i="19" s="1"/>
  <c r="AG23" i="19" s="1"/>
  <c r="AH23" i="19" s="1"/>
  <c r="AI23" i="19" s="1"/>
  <c r="AJ23" i="19" s="1"/>
  <c r="AK23" i="19" s="1"/>
  <c r="E22" i="19"/>
  <c r="E28" i="18"/>
  <c r="E21" i="19"/>
  <c r="E27" i="18"/>
  <c r="AL28" i="18"/>
  <c r="H24" i="19"/>
  <c r="I24" i="19" s="1"/>
  <c r="J24" i="19" s="1"/>
  <c r="K24" i="19" s="1"/>
  <c r="L24" i="19" s="1"/>
  <c r="M24" i="19" s="1"/>
  <c r="N24" i="19" s="1"/>
  <c r="O24" i="19" s="1"/>
  <c r="P24" i="19" s="1"/>
  <c r="Q24" i="19" s="1"/>
  <c r="R24" i="19" s="1"/>
  <c r="S24" i="19" s="1"/>
  <c r="T24" i="19" s="1"/>
  <c r="U24" i="19" s="1"/>
  <c r="V24" i="19" s="1"/>
  <c r="W24" i="19" s="1"/>
  <c r="X24" i="19" s="1"/>
  <c r="Y24" i="19" s="1"/>
  <c r="Z24" i="19" s="1"/>
  <c r="AA24" i="19" s="1"/>
  <c r="AB24" i="19" s="1"/>
  <c r="AC24" i="19" s="1"/>
  <c r="AD24" i="19" s="1"/>
  <c r="AE24" i="19" s="1"/>
  <c r="AF24" i="19" s="1"/>
  <c r="AG24" i="19" s="1"/>
  <c r="AH24" i="19" s="1"/>
  <c r="AI24" i="19" s="1"/>
  <c r="E11" i="18"/>
  <c r="J5" i="20"/>
  <c r="K4" i="20"/>
  <c r="E12" i="18"/>
  <c r="J5" i="19"/>
  <c r="K4" i="19"/>
  <c r="L4" i="18"/>
  <c r="K5" i="18"/>
  <c r="K5" i="17"/>
  <c r="L4" i="17"/>
  <c r="Y10" i="30" l="1"/>
  <c r="X11" i="31"/>
  <c r="Y8" i="30"/>
  <c r="X9" i="31"/>
  <c r="Y5" i="31"/>
  <c r="Z4" i="31"/>
  <c r="Z5" i="30"/>
  <c r="AA4" i="30"/>
  <c r="V8" i="28"/>
  <c r="U9" i="29"/>
  <c r="V10" i="28"/>
  <c r="U11" i="29"/>
  <c r="W5" i="29"/>
  <c r="X4" i="29"/>
  <c r="X5" i="28"/>
  <c r="Y4" i="28"/>
  <c r="W29" i="25"/>
  <c r="X67" i="27"/>
  <c r="Z48" i="27"/>
  <c r="Y21" i="25"/>
  <c r="AB65" i="27"/>
  <c r="AA27" i="25"/>
  <c r="W10" i="27"/>
  <c r="V11" i="25"/>
  <c r="W5" i="27"/>
  <c r="X4" i="27"/>
  <c r="N10" i="17"/>
  <c r="M10" i="25"/>
  <c r="S8" i="17"/>
  <c r="R8" i="25"/>
  <c r="W4" i="25"/>
  <c r="V5" i="25"/>
  <c r="E36" i="19"/>
  <c r="E34" i="20"/>
  <c r="E33" i="20"/>
  <c r="E35" i="19"/>
  <c r="E46" i="22"/>
  <c r="E48" i="20"/>
  <c r="E47" i="20"/>
  <c r="E45" i="22"/>
  <c r="AL12" i="18"/>
  <c r="H12" i="19"/>
  <c r="I12" i="19" s="1"/>
  <c r="J12" i="19" s="1"/>
  <c r="K12" i="19" s="1"/>
  <c r="L12" i="19" s="1"/>
  <c r="M12" i="19" s="1"/>
  <c r="N12" i="19" s="1"/>
  <c r="O12" i="19" s="1"/>
  <c r="P12" i="19" s="1"/>
  <c r="Q12" i="19" s="1"/>
  <c r="R12" i="19" s="1"/>
  <c r="S12" i="19" s="1"/>
  <c r="T12" i="19" s="1"/>
  <c r="U12" i="19" s="1"/>
  <c r="V12" i="19" s="1"/>
  <c r="W12" i="19" s="1"/>
  <c r="X12" i="19" s="1"/>
  <c r="Y12" i="19" s="1"/>
  <c r="Z12" i="19" s="1"/>
  <c r="AA12" i="19" s="1"/>
  <c r="AB12" i="19" s="1"/>
  <c r="AC12" i="19" s="1"/>
  <c r="AD12" i="19" s="1"/>
  <c r="AE12" i="19" s="1"/>
  <c r="AF12" i="19" s="1"/>
  <c r="AG12" i="19" s="1"/>
  <c r="AH12" i="19" s="1"/>
  <c r="AI12" i="19" s="1"/>
  <c r="AJ12" i="19" s="1"/>
  <c r="AK12" i="19" s="1"/>
  <c r="H12" i="20" s="1"/>
  <c r="I12" i="20" s="1"/>
  <c r="J12" i="20" s="1"/>
  <c r="K12" i="20" s="1"/>
  <c r="L12" i="20" s="1"/>
  <c r="M12" i="20" s="1"/>
  <c r="N12" i="20" s="1"/>
  <c r="O12" i="20" s="1"/>
  <c r="P12" i="20" s="1"/>
  <c r="Q12" i="20" s="1"/>
  <c r="R12" i="20" s="1"/>
  <c r="S12" i="20" s="1"/>
  <c r="T12" i="20" s="1"/>
  <c r="U12" i="20" s="1"/>
  <c r="V12" i="20" s="1"/>
  <c r="W12" i="20" s="1"/>
  <c r="X12" i="20" s="1"/>
  <c r="Y12" i="20" s="1"/>
  <c r="Z12" i="20" s="1"/>
  <c r="AA12" i="20" s="1"/>
  <c r="AB12" i="20" s="1"/>
  <c r="AC12" i="20" s="1"/>
  <c r="AD12" i="20" s="1"/>
  <c r="AE12" i="20" s="1"/>
  <c r="AF12" i="20" s="1"/>
  <c r="AG12" i="20" s="1"/>
  <c r="AH12" i="20" s="1"/>
  <c r="AJ24" i="19"/>
  <c r="AK24" i="19" s="1"/>
  <c r="H21" i="22"/>
  <c r="I21" i="22" s="1"/>
  <c r="J21" i="22" s="1"/>
  <c r="K21" i="22" s="1"/>
  <c r="L21" i="22" s="1"/>
  <c r="M21" i="22" s="1"/>
  <c r="N21" i="22" s="1"/>
  <c r="O21" i="22" s="1"/>
  <c r="P21" i="22" s="1"/>
  <c r="Q21" i="22" s="1"/>
  <c r="R21" i="22" s="1"/>
  <c r="S21" i="22" s="1"/>
  <c r="T21" i="22" s="1"/>
  <c r="U21" i="22" s="1"/>
  <c r="V21" i="22" s="1"/>
  <c r="W21" i="22" s="1"/>
  <c r="X21" i="22" s="1"/>
  <c r="Y21" i="22" s="1"/>
  <c r="Z21" i="22" s="1"/>
  <c r="AA21" i="22" s="1"/>
  <c r="AB21" i="22" s="1"/>
  <c r="AC21" i="22" s="1"/>
  <c r="AD21" i="22" s="1"/>
  <c r="AE21" i="22" s="1"/>
  <c r="AF21" i="22" s="1"/>
  <c r="AG21" i="22" s="1"/>
  <c r="AH21" i="22" s="1"/>
  <c r="AI21" i="22" s="1"/>
  <c r="AJ21" i="22" s="1"/>
  <c r="AK21" i="22" s="1"/>
  <c r="AL21" i="22" s="1"/>
  <c r="Q5" i="22"/>
  <c r="R4" i="22"/>
  <c r="E24" i="19"/>
  <c r="E22" i="20"/>
  <c r="E21" i="20"/>
  <c r="E23" i="19"/>
  <c r="H23" i="20"/>
  <c r="I23" i="20" s="1"/>
  <c r="J23" i="20" s="1"/>
  <c r="K23" i="20" s="1"/>
  <c r="L23" i="20" s="1"/>
  <c r="M23" i="20" s="1"/>
  <c r="N23" i="20" s="1"/>
  <c r="O23" i="20" s="1"/>
  <c r="P23" i="20" s="1"/>
  <c r="Q23" i="20" s="1"/>
  <c r="R23" i="20" s="1"/>
  <c r="S23" i="20" s="1"/>
  <c r="T23" i="20" s="1"/>
  <c r="U23" i="20" s="1"/>
  <c r="V23" i="20" s="1"/>
  <c r="W23" i="20" s="1"/>
  <c r="X23" i="20" s="1"/>
  <c r="Y23" i="20" s="1"/>
  <c r="Z23" i="20" s="1"/>
  <c r="AA23" i="20" s="1"/>
  <c r="AB23" i="20" s="1"/>
  <c r="AC23" i="20" s="1"/>
  <c r="AD23" i="20" s="1"/>
  <c r="AE23" i="20" s="1"/>
  <c r="AF23" i="20" s="1"/>
  <c r="AG23" i="20" s="1"/>
  <c r="AH23" i="20" s="1"/>
  <c r="AI23" i="20" s="1"/>
  <c r="AJ23" i="20" s="1"/>
  <c r="AK23" i="20" s="1"/>
  <c r="AL23" i="20" s="1"/>
  <c r="E12" i="19"/>
  <c r="E9" i="20"/>
  <c r="E8" i="22" s="1"/>
  <c r="E10" i="22" s="1"/>
  <c r="K5" i="20"/>
  <c r="L4" i="20"/>
  <c r="K5" i="19"/>
  <c r="L4" i="19"/>
  <c r="L5" i="18"/>
  <c r="M4" i="18"/>
  <c r="L5" i="17"/>
  <c r="M4" i="17"/>
  <c r="Z8" i="30" l="1"/>
  <c r="Y9" i="31"/>
  <c r="Z10" i="30"/>
  <c r="Y11" i="31"/>
  <c r="Z5" i="31"/>
  <c r="AA4" i="31"/>
  <c r="AA5" i="30"/>
  <c r="AB4" i="30"/>
  <c r="W8" i="28"/>
  <c r="V9" i="29"/>
  <c r="W10" i="28"/>
  <c r="V11" i="29"/>
  <c r="X5" i="29"/>
  <c r="Y4" i="29"/>
  <c r="Y5" i="28"/>
  <c r="Z4" i="28"/>
  <c r="AC65" i="27"/>
  <c r="AB27" i="25"/>
  <c r="AA48" i="27"/>
  <c r="Z21" i="25"/>
  <c r="Y67" i="27"/>
  <c r="X29" i="25"/>
  <c r="X10" i="27"/>
  <c r="W11" i="25"/>
  <c r="X5" i="27"/>
  <c r="Y4" i="27"/>
  <c r="T8" i="17"/>
  <c r="S8" i="25"/>
  <c r="O10" i="17"/>
  <c r="N10" i="25"/>
  <c r="W5" i="25"/>
  <c r="X4" i="25"/>
  <c r="E24" i="20"/>
  <c r="E20" i="22"/>
  <c r="E22" i="22" s="1"/>
  <c r="E23" i="20"/>
  <c r="E19" i="22"/>
  <c r="E21" i="22" s="1"/>
  <c r="E32" i="22"/>
  <c r="E34" i="22" s="1"/>
  <c r="E36" i="20"/>
  <c r="E31" i="22"/>
  <c r="E33" i="22" s="1"/>
  <c r="E35" i="20"/>
  <c r="AI12" i="20"/>
  <c r="AJ12" i="20" s="1"/>
  <c r="AK12" i="20" s="1"/>
  <c r="H22" i="22"/>
  <c r="I22" i="22" s="1"/>
  <c r="J22" i="22" s="1"/>
  <c r="K22" i="22" s="1"/>
  <c r="L22" i="22" s="1"/>
  <c r="M22" i="22" s="1"/>
  <c r="N22" i="22" s="1"/>
  <c r="O22" i="22" s="1"/>
  <c r="P22" i="22" s="1"/>
  <c r="Q22" i="22" s="1"/>
  <c r="R22" i="22" s="1"/>
  <c r="S22" i="22" s="1"/>
  <c r="T22" i="22" s="1"/>
  <c r="U22" i="22" s="1"/>
  <c r="V22" i="22" s="1"/>
  <c r="W22" i="22" s="1"/>
  <c r="X22" i="22" s="1"/>
  <c r="Y22" i="22" s="1"/>
  <c r="Z22" i="22" s="1"/>
  <c r="AA22" i="22" s="1"/>
  <c r="AB22" i="22" s="1"/>
  <c r="AC22" i="22" s="1"/>
  <c r="AD22" i="22" s="1"/>
  <c r="AE22" i="22" s="1"/>
  <c r="AF22" i="22" s="1"/>
  <c r="AG22" i="22" s="1"/>
  <c r="AH22" i="22" s="1"/>
  <c r="AI22" i="22" s="1"/>
  <c r="AJ22" i="22" s="1"/>
  <c r="AK22" i="22" s="1"/>
  <c r="AL22" i="22" s="1"/>
  <c r="H24" i="20"/>
  <c r="I24" i="20" s="1"/>
  <c r="J24" i="20" s="1"/>
  <c r="K24" i="20" s="1"/>
  <c r="L24" i="20" s="1"/>
  <c r="M24" i="20" s="1"/>
  <c r="N24" i="20" s="1"/>
  <c r="O24" i="20" s="1"/>
  <c r="P24" i="20" s="1"/>
  <c r="Q24" i="20" s="1"/>
  <c r="R24" i="20" s="1"/>
  <c r="S24" i="20" s="1"/>
  <c r="T24" i="20" s="1"/>
  <c r="U24" i="20" s="1"/>
  <c r="V24" i="20" s="1"/>
  <c r="W24" i="20" s="1"/>
  <c r="X24" i="20" s="1"/>
  <c r="Y24" i="20" s="1"/>
  <c r="Z24" i="20" s="1"/>
  <c r="AA24" i="20" s="1"/>
  <c r="AB24" i="20" s="1"/>
  <c r="AC24" i="20" s="1"/>
  <c r="AD24" i="20" s="1"/>
  <c r="AE24" i="20" s="1"/>
  <c r="AF24" i="20" s="1"/>
  <c r="AG24" i="20" s="1"/>
  <c r="AH24" i="20" s="1"/>
  <c r="AI24" i="20" s="1"/>
  <c r="AJ24" i="20" s="1"/>
  <c r="AK24" i="20" s="1"/>
  <c r="AL24" i="20" s="1"/>
  <c r="R5" i="22"/>
  <c r="S4" i="22"/>
  <c r="L5" i="20"/>
  <c r="M4" i="20"/>
  <c r="L5" i="19"/>
  <c r="M4" i="19"/>
  <c r="M5" i="18"/>
  <c r="N4" i="18"/>
  <c r="M5" i="17"/>
  <c r="N4" i="17"/>
  <c r="AA10" i="30" l="1"/>
  <c r="Z11" i="31"/>
  <c r="AA8" i="30"/>
  <c r="Z9" i="31"/>
  <c r="AB4" i="31"/>
  <c r="AA5" i="31"/>
  <c r="AB5" i="30"/>
  <c r="AC4" i="30"/>
  <c r="X8" i="28"/>
  <c r="W9" i="29"/>
  <c r="X10" i="28"/>
  <c r="W11" i="29"/>
  <c r="Z4" i="29"/>
  <c r="Y5" i="29"/>
  <c r="Z5" i="28"/>
  <c r="AA4" i="28"/>
  <c r="Y29" i="25"/>
  <c r="Z67" i="27"/>
  <c r="AB48" i="27"/>
  <c r="AA21" i="25"/>
  <c r="AD65" i="27"/>
  <c r="AC27" i="25"/>
  <c r="Y10" i="27"/>
  <c r="X11" i="25"/>
  <c r="Y5" i="27"/>
  <c r="Z4" i="27"/>
  <c r="U8" i="17"/>
  <c r="T8" i="25"/>
  <c r="P10" i="17"/>
  <c r="O10" i="25"/>
  <c r="X5" i="25"/>
  <c r="Y4" i="25"/>
  <c r="AL12" i="20"/>
  <c r="H10" i="22"/>
  <c r="I10" i="22" s="1"/>
  <c r="J10" i="22" s="1"/>
  <c r="K10" i="22" s="1"/>
  <c r="L10" i="22" s="1"/>
  <c r="M10" i="22" s="1"/>
  <c r="N10" i="22" s="1"/>
  <c r="O10" i="22" s="1"/>
  <c r="P10" i="22" s="1"/>
  <c r="Q10" i="22" s="1"/>
  <c r="R10" i="22" s="1"/>
  <c r="S10" i="22" s="1"/>
  <c r="T10" i="22" s="1"/>
  <c r="U10" i="22" s="1"/>
  <c r="V10" i="22" s="1"/>
  <c r="W10" i="22" s="1"/>
  <c r="X10" i="22" s="1"/>
  <c r="Y10" i="22" s="1"/>
  <c r="Z10" i="22" s="1"/>
  <c r="AA10" i="22" s="1"/>
  <c r="AB10" i="22" s="1"/>
  <c r="AC10" i="22" s="1"/>
  <c r="AD10" i="22" s="1"/>
  <c r="AE10" i="22" s="1"/>
  <c r="AF10" i="22" s="1"/>
  <c r="AG10" i="22" s="1"/>
  <c r="AH10" i="22" s="1"/>
  <c r="AI10" i="22" s="1"/>
  <c r="AJ10" i="22" s="1"/>
  <c r="AK10" i="22" s="1"/>
  <c r="AL10" i="22" s="1"/>
  <c r="T4" i="22"/>
  <c r="S5" i="22"/>
  <c r="M5" i="20"/>
  <c r="N4" i="20"/>
  <c r="M5" i="19"/>
  <c r="N4" i="19"/>
  <c r="N5" i="18"/>
  <c r="O4" i="18"/>
  <c r="O4" i="17"/>
  <c r="P4" i="17" s="1"/>
  <c r="Q4" i="17" s="1"/>
  <c r="R4" i="17" s="1"/>
  <c r="S4" i="17" s="1"/>
  <c r="T4" i="17" s="1"/>
  <c r="U4" i="17" s="1"/>
  <c r="N5" i="17"/>
  <c r="AB8" i="30" l="1"/>
  <c r="AA9" i="31"/>
  <c r="AB10" i="30"/>
  <c r="AA11" i="31"/>
  <c r="AC4" i="31"/>
  <c r="AB5" i="31"/>
  <c r="AD4" i="30"/>
  <c r="AC5" i="30"/>
  <c r="Y8" i="28"/>
  <c r="X9" i="29"/>
  <c r="Y10" i="28"/>
  <c r="X11" i="29"/>
  <c r="Z5" i="29"/>
  <c r="AA4" i="29"/>
  <c r="AB4" i="28"/>
  <c r="AA5" i="28"/>
  <c r="AE65" i="27"/>
  <c r="AD27" i="25"/>
  <c r="AC48" i="27"/>
  <c r="AB21" i="25"/>
  <c r="AA67" i="27"/>
  <c r="Z29" i="25"/>
  <c r="Z10" i="27"/>
  <c r="Y11" i="25"/>
  <c r="Z5" i="27"/>
  <c r="AA4" i="27"/>
  <c r="Q10" i="17"/>
  <c r="P10" i="25"/>
  <c r="V8" i="17"/>
  <c r="U8" i="25"/>
  <c r="Y5" i="25"/>
  <c r="Z4" i="25"/>
  <c r="U4" i="22"/>
  <c r="T5" i="22"/>
  <c r="O4" i="20"/>
  <c r="N5" i="20"/>
  <c r="O4" i="19"/>
  <c r="N5" i="19"/>
  <c r="O5" i="18"/>
  <c r="P4" i="18"/>
  <c r="O5" i="17"/>
  <c r="AC10" i="30" l="1"/>
  <c r="AB11" i="31"/>
  <c r="AC8" i="30"/>
  <c r="AB9" i="31"/>
  <c r="AD4" i="31"/>
  <c r="AC5" i="31"/>
  <c r="AE4" i="30"/>
  <c r="AD5" i="30"/>
  <c r="Z8" i="28"/>
  <c r="Y9" i="29"/>
  <c r="Z10" i="28"/>
  <c r="Y11" i="29"/>
  <c r="AB4" i="29"/>
  <c r="AA5" i="29"/>
  <c r="AB5" i="28"/>
  <c r="AC4" i="28"/>
  <c r="AD48" i="27"/>
  <c r="AC21" i="25"/>
  <c r="AE27" i="25"/>
  <c r="AF65" i="27"/>
  <c r="AB67" i="27"/>
  <c r="AA29" i="25"/>
  <c r="AA10" i="27"/>
  <c r="Z11" i="25"/>
  <c r="AB4" i="27"/>
  <c r="AA5" i="27"/>
  <c r="R10" i="17"/>
  <c r="Q10" i="25"/>
  <c r="W8" i="17"/>
  <c r="V8" i="25"/>
  <c r="Z5" i="25"/>
  <c r="AA4" i="25"/>
  <c r="V4" i="22"/>
  <c r="U5" i="22"/>
  <c r="P4" i="20"/>
  <c r="O5" i="20"/>
  <c r="P4" i="19"/>
  <c r="O5" i="19"/>
  <c r="P5" i="18"/>
  <c r="Q4" i="18"/>
  <c r="P5" i="17"/>
  <c r="AD8" i="30" l="1"/>
  <c r="AC9" i="31"/>
  <c r="AD10" i="30"/>
  <c r="AC11" i="31"/>
  <c r="AE4" i="31"/>
  <c r="AD5" i="31"/>
  <c r="AF4" i="30"/>
  <c r="AE5" i="30"/>
  <c r="AA8" i="28"/>
  <c r="Z9" i="29"/>
  <c r="AA10" i="28"/>
  <c r="Z11" i="29"/>
  <c r="AC4" i="29"/>
  <c r="AB5" i="29"/>
  <c r="AD4" i="28"/>
  <c r="AC5" i="28"/>
  <c r="AC67" i="27"/>
  <c r="AB29" i="25"/>
  <c r="AG65" i="27"/>
  <c r="AF27" i="25"/>
  <c r="AE48" i="27"/>
  <c r="AD21" i="25"/>
  <c r="AB10" i="27"/>
  <c r="AA11" i="25"/>
  <c r="AC4" i="27"/>
  <c r="AB5" i="27"/>
  <c r="S10" i="17"/>
  <c r="R10" i="25"/>
  <c r="X8" i="17"/>
  <c r="W8" i="25"/>
  <c r="AB4" i="25"/>
  <c r="AA5" i="25"/>
  <c r="W4" i="22"/>
  <c r="V5" i="22"/>
  <c r="Q4" i="20"/>
  <c r="P5" i="20"/>
  <c r="Q4" i="19"/>
  <c r="P5" i="19"/>
  <c r="R4" i="18"/>
  <c r="Q5" i="18"/>
  <c r="Q5" i="17"/>
  <c r="AE10" i="30" l="1"/>
  <c r="AD11" i="31"/>
  <c r="AE8" i="30"/>
  <c r="AD9" i="31"/>
  <c r="AF4" i="31"/>
  <c r="AE5" i="31"/>
  <c r="AG4" i="30"/>
  <c r="AF5" i="30"/>
  <c r="AB8" i="28"/>
  <c r="AA9" i="29"/>
  <c r="AB10" i="28"/>
  <c r="AA11" i="29"/>
  <c r="AD4" i="29"/>
  <c r="AC5" i="29"/>
  <c r="AE4" i="28"/>
  <c r="AD5" i="28"/>
  <c r="AF48" i="27"/>
  <c r="AE21" i="25"/>
  <c r="AC29" i="25"/>
  <c r="AD67" i="27"/>
  <c r="AH65" i="27"/>
  <c r="AG27" i="25"/>
  <c r="AC10" i="27"/>
  <c r="AB11" i="25"/>
  <c r="AD4" i="27"/>
  <c r="AC5" i="27"/>
  <c r="Y8" i="17"/>
  <c r="X8" i="25"/>
  <c r="T10" i="17"/>
  <c r="S10" i="25"/>
  <c r="AC4" i="25"/>
  <c r="AB5" i="25"/>
  <c r="X4" i="22"/>
  <c r="W5" i="22"/>
  <c r="R4" i="20"/>
  <c r="Q5" i="20"/>
  <c r="R4" i="19"/>
  <c r="Q5" i="19"/>
  <c r="S4" i="18"/>
  <c r="R5" i="18"/>
  <c r="R5" i="17"/>
  <c r="AF8" i="30" l="1"/>
  <c r="AE9" i="31"/>
  <c r="AF10" i="30"/>
  <c r="AE11" i="31"/>
  <c r="AF5" i="31"/>
  <c r="AG4" i="31"/>
  <c r="AG5" i="30"/>
  <c r="AH4" i="30"/>
  <c r="AC8" i="28"/>
  <c r="AB9" i="29"/>
  <c r="AC10" i="28"/>
  <c r="AB11" i="29"/>
  <c r="AD5" i="29"/>
  <c r="AE4" i="29"/>
  <c r="AF4" i="28"/>
  <c r="AE5" i="28"/>
  <c r="AF21" i="25"/>
  <c r="AG48" i="27"/>
  <c r="AE67" i="27"/>
  <c r="AD29" i="25"/>
  <c r="AI65" i="27"/>
  <c r="AH27" i="25"/>
  <c r="AD10" i="27"/>
  <c r="AC11" i="25"/>
  <c r="AE4" i="27"/>
  <c r="AD5" i="27"/>
  <c r="U10" i="17"/>
  <c r="T10" i="25"/>
  <c r="Z8" i="17"/>
  <c r="Y8" i="25"/>
  <c r="AD4" i="25"/>
  <c r="AC5" i="25"/>
  <c r="Y4" i="22"/>
  <c r="X5" i="22"/>
  <c r="S4" i="20"/>
  <c r="R5" i="20"/>
  <c r="S4" i="19"/>
  <c r="R5" i="19"/>
  <c r="S5" i="18"/>
  <c r="T4" i="18"/>
  <c r="S5" i="17"/>
  <c r="AG10" i="30" l="1"/>
  <c r="AF11" i="31"/>
  <c r="AG8" i="30"/>
  <c r="AF9" i="31"/>
  <c r="AH4" i="31"/>
  <c r="AG5" i="31"/>
  <c r="AI4" i="30"/>
  <c r="AH5" i="30"/>
  <c r="AD8" i="28"/>
  <c r="AC9" i="29"/>
  <c r="AD10" i="28"/>
  <c r="AC11" i="29"/>
  <c r="AF4" i="29"/>
  <c r="AE5" i="29"/>
  <c r="AG4" i="28"/>
  <c r="AF5" i="28"/>
  <c r="AJ65" i="27"/>
  <c r="AI27" i="25"/>
  <c r="AF67" i="27"/>
  <c r="AE29" i="25"/>
  <c r="AG21" i="25"/>
  <c r="AH48" i="27"/>
  <c r="AE10" i="27"/>
  <c r="AD11" i="25"/>
  <c r="AF4" i="27"/>
  <c r="AE5" i="27"/>
  <c r="AA8" i="17"/>
  <c r="Z8" i="25"/>
  <c r="V10" i="17"/>
  <c r="U10" i="25"/>
  <c r="AE4" i="25"/>
  <c r="AD5" i="25"/>
  <c r="Y5" i="22"/>
  <c r="Z4" i="22"/>
  <c r="S5" i="20"/>
  <c r="T4" i="20"/>
  <c r="S5" i="19"/>
  <c r="T4" i="19"/>
  <c r="U4" i="18"/>
  <c r="T5" i="18"/>
  <c r="T5" i="17"/>
  <c r="AH8" i="30" l="1"/>
  <c r="AG9" i="31"/>
  <c r="AH10" i="30"/>
  <c r="AG11" i="31"/>
  <c r="AH5" i="31"/>
  <c r="AI4" i="31"/>
  <c r="AJ4" i="30"/>
  <c r="AI5" i="30"/>
  <c r="AE8" i="28"/>
  <c r="AD9" i="29"/>
  <c r="AE10" i="28"/>
  <c r="AD11" i="29"/>
  <c r="AG4" i="29"/>
  <c r="AF5" i="29"/>
  <c r="AH4" i="28"/>
  <c r="AG5" i="28"/>
  <c r="AI48" i="27"/>
  <c r="AH21" i="25"/>
  <c r="AG67" i="27"/>
  <c r="AF29" i="25"/>
  <c r="AK65" i="27"/>
  <c r="AJ27" i="25"/>
  <c r="AF10" i="27"/>
  <c r="AE11" i="25"/>
  <c r="AF5" i="27"/>
  <c r="AG4" i="27"/>
  <c r="AB8" i="17"/>
  <c r="AA8" i="25"/>
  <c r="V10" i="25"/>
  <c r="W10" i="17"/>
  <c r="AF4" i="25"/>
  <c r="AE5" i="25"/>
  <c r="Z5" i="22"/>
  <c r="AA4" i="22"/>
  <c r="T5" i="20"/>
  <c r="U4" i="20"/>
  <c r="T5" i="19"/>
  <c r="U4" i="19"/>
  <c r="V4" i="18"/>
  <c r="U5" i="18"/>
  <c r="U5" i="17"/>
  <c r="V4" i="17"/>
  <c r="AI8" i="30" l="1"/>
  <c r="AH9" i="31"/>
  <c r="AI10" i="30"/>
  <c r="AH11" i="31"/>
  <c r="AI5" i="31"/>
  <c r="AJ4" i="31"/>
  <c r="AK4" i="30"/>
  <c r="AK5" i="30" s="1"/>
  <c r="AJ5" i="30"/>
  <c r="AF8" i="28"/>
  <c r="AE9" i="29"/>
  <c r="AF10" i="28"/>
  <c r="AE11" i="29"/>
  <c r="AG5" i="29"/>
  <c r="AH4" i="29"/>
  <c r="AH5" i="28"/>
  <c r="AI4" i="28"/>
  <c r="AH67" i="27"/>
  <c r="AG29" i="25"/>
  <c r="E65" i="27"/>
  <c r="E27" i="25" s="1"/>
  <c r="AK27" i="25"/>
  <c r="AJ48" i="27"/>
  <c r="AI21" i="25"/>
  <c r="AG10" i="27"/>
  <c r="AF11" i="25"/>
  <c r="AG5" i="27"/>
  <c r="AH4" i="27"/>
  <c r="X10" i="17"/>
  <c r="W10" i="25"/>
  <c r="AC8" i="17"/>
  <c r="AB8" i="25"/>
  <c r="AF5" i="25"/>
  <c r="AG4" i="25"/>
  <c r="AA5" i="22"/>
  <c r="AB4" i="22"/>
  <c r="U5" i="20"/>
  <c r="V4" i="20"/>
  <c r="U5" i="19"/>
  <c r="V4" i="19"/>
  <c r="W4" i="18"/>
  <c r="V5" i="18"/>
  <c r="V5" i="17"/>
  <c r="W4" i="17"/>
  <c r="AJ10" i="30" l="1"/>
  <c r="AI11" i="31"/>
  <c r="AJ8" i="30"/>
  <c r="AI9" i="31"/>
  <c r="AJ5" i="31"/>
  <c r="AK4" i="31"/>
  <c r="AK5" i="31" s="1"/>
  <c r="AG8" i="28"/>
  <c r="AF9" i="29"/>
  <c r="AG10" i="28"/>
  <c r="AF11" i="29"/>
  <c r="AH5" i="29"/>
  <c r="AI4" i="29"/>
  <c r="AI5" i="28"/>
  <c r="AJ4" i="28"/>
  <c r="AK48" i="27"/>
  <c r="AJ21" i="25"/>
  <c r="AH29" i="25"/>
  <c r="AI67" i="27"/>
  <c r="AG11" i="25"/>
  <c r="AH10" i="27"/>
  <c r="AH5" i="27"/>
  <c r="AI4" i="27"/>
  <c r="AD8" i="17"/>
  <c r="AC8" i="25"/>
  <c r="Y10" i="17"/>
  <c r="X10" i="25"/>
  <c r="AG5" i="25"/>
  <c r="AH4" i="25"/>
  <c r="AB5" i="22"/>
  <c r="AC4" i="22"/>
  <c r="V5" i="20"/>
  <c r="W4" i="20"/>
  <c r="V5" i="19"/>
  <c r="W4" i="19"/>
  <c r="X4" i="18"/>
  <c r="W5" i="18"/>
  <c r="W5" i="17"/>
  <c r="X4" i="17"/>
  <c r="AK10" i="30" l="1"/>
  <c r="AJ11" i="31"/>
  <c r="AK8" i="30"/>
  <c r="AJ9" i="31"/>
  <c r="AH8" i="28"/>
  <c r="AG9" i="29"/>
  <c r="AH10" i="28"/>
  <c r="AG11" i="29"/>
  <c r="AI5" i="29"/>
  <c r="AJ4" i="29"/>
  <c r="AJ5" i="28"/>
  <c r="AK4" i="28"/>
  <c r="AK5" i="28" s="1"/>
  <c r="AK21" i="25"/>
  <c r="E48" i="27"/>
  <c r="E21" i="25" s="1"/>
  <c r="AJ67" i="27"/>
  <c r="AI29" i="25"/>
  <c r="AI10" i="27"/>
  <c r="AH11" i="25"/>
  <c r="AI5" i="27"/>
  <c r="AJ4" i="27"/>
  <c r="Z10" i="17"/>
  <c r="Y10" i="25"/>
  <c r="AE8" i="17"/>
  <c r="AH5" i="25"/>
  <c r="AI4" i="25"/>
  <c r="AC5" i="22"/>
  <c r="AD4" i="22"/>
  <c r="W5" i="20"/>
  <c r="X4" i="20"/>
  <c r="W5" i="19"/>
  <c r="X4" i="19"/>
  <c r="X5" i="18"/>
  <c r="Y4" i="18"/>
  <c r="X5" i="17"/>
  <c r="Y4" i="17"/>
  <c r="E8" i="30" l="1"/>
  <c r="E9" i="31" s="1"/>
  <c r="AK9" i="31"/>
  <c r="E10" i="30"/>
  <c r="E11" i="31" s="1"/>
  <c r="AK11" i="31"/>
  <c r="AI8" i="28"/>
  <c r="AI9" i="29" s="1"/>
  <c r="AH9" i="29"/>
  <c r="AI10" i="28"/>
  <c r="AH11" i="29"/>
  <c r="AJ5" i="29"/>
  <c r="AK4" i="29"/>
  <c r="AK5" i="29" s="1"/>
  <c r="AK67" i="27"/>
  <c r="AJ29" i="25"/>
  <c r="AJ10" i="27"/>
  <c r="AI11" i="25"/>
  <c r="AJ5" i="27"/>
  <c r="AK4" i="27"/>
  <c r="AK5" i="27" s="1"/>
  <c r="AF8" i="17"/>
  <c r="AE8" i="25"/>
  <c r="AA10" i="17"/>
  <c r="Z10" i="25"/>
  <c r="AI5" i="25"/>
  <c r="AJ4" i="25"/>
  <c r="AD5" i="22"/>
  <c r="AE4" i="22"/>
  <c r="X5" i="20"/>
  <c r="Y4" i="20"/>
  <c r="Y4" i="19"/>
  <c r="X5" i="19"/>
  <c r="Y5" i="18"/>
  <c r="Z4" i="18"/>
  <c r="Z4" i="17"/>
  <c r="Y5" i="17"/>
  <c r="AJ8" i="28" l="1"/>
  <c r="AJ10" i="28"/>
  <c r="AI11" i="29"/>
  <c r="E67" i="27"/>
  <c r="E29" i="25" s="1"/>
  <c r="AK29" i="25"/>
  <c r="AK10" i="27"/>
  <c r="AJ11" i="25"/>
  <c r="AB10" i="17"/>
  <c r="AA10" i="25"/>
  <c r="AG8" i="17"/>
  <c r="AF8" i="25"/>
  <c r="AJ5" i="25"/>
  <c r="AK4" i="25"/>
  <c r="AK5" i="25" s="1"/>
  <c r="AE5" i="22"/>
  <c r="AF4" i="22"/>
  <c r="Y5" i="20"/>
  <c r="Z4" i="20"/>
  <c r="Y5" i="19"/>
  <c r="Z4" i="19"/>
  <c r="Z5" i="18"/>
  <c r="AA4" i="18"/>
  <c r="AA4" i="17"/>
  <c r="Z5" i="17"/>
  <c r="AK8" i="28" l="1"/>
  <c r="AJ9" i="29"/>
  <c r="AK10" i="28"/>
  <c r="AJ11" i="29"/>
  <c r="AK11" i="25"/>
  <c r="E10" i="27"/>
  <c r="E11" i="25" s="1"/>
  <c r="AH8" i="17"/>
  <c r="AG8" i="25"/>
  <c r="AC10" i="17"/>
  <c r="AB10" i="25"/>
  <c r="AF5" i="22"/>
  <c r="AG4" i="22"/>
  <c r="AA4" i="20"/>
  <c r="Z5" i="20"/>
  <c r="AA4" i="19"/>
  <c r="Z5" i="19"/>
  <c r="AA5" i="18"/>
  <c r="AB4" i="18"/>
  <c r="AB4" i="17"/>
  <c r="AA5" i="17"/>
  <c r="E8" i="28" l="1"/>
  <c r="E9" i="29" s="1"/>
  <c r="AK9" i="29"/>
  <c r="E10" i="28"/>
  <c r="E11" i="29" s="1"/>
  <c r="AK11" i="29"/>
  <c r="AD10" i="17"/>
  <c r="AC10" i="25"/>
  <c r="AI8" i="17"/>
  <c r="AH8" i="25"/>
  <c r="AH4" i="22"/>
  <c r="AG5" i="22"/>
  <c r="AB4" i="20"/>
  <c r="AA5" i="20"/>
  <c r="AB4" i="19"/>
  <c r="AA5" i="19"/>
  <c r="AB5" i="18"/>
  <c r="AC4" i="18"/>
  <c r="AC4" i="17"/>
  <c r="AB5" i="17"/>
  <c r="AE10" i="17" l="1"/>
  <c r="AD10" i="25"/>
  <c r="AJ8" i="17"/>
  <c r="AI8" i="25"/>
  <c r="AI4" i="22"/>
  <c r="AH5" i="22"/>
  <c r="AC4" i="20"/>
  <c r="AB5" i="20"/>
  <c r="AC4" i="19"/>
  <c r="AB5" i="19"/>
  <c r="AD4" i="18"/>
  <c r="AC5" i="18"/>
  <c r="AD4" i="17"/>
  <c r="AC5" i="17"/>
  <c r="AF10" i="17" l="1"/>
  <c r="AE10" i="25"/>
  <c r="AK8" i="17"/>
  <c r="AJ8" i="25"/>
  <c r="AJ4" i="22"/>
  <c r="AI5" i="22"/>
  <c r="AD4" i="20"/>
  <c r="AC5" i="20"/>
  <c r="AD4" i="19"/>
  <c r="AC5" i="19"/>
  <c r="AE4" i="18"/>
  <c r="AD5" i="18"/>
  <c r="AE4" i="17"/>
  <c r="AD5" i="17"/>
  <c r="AG10" i="17" l="1"/>
  <c r="AF10" i="25"/>
  <c r="AK8" i="25"/>
  <c r="H8" i="18"/>
  <c r="I8" i="18" s="1"/>
  <c r="J8" i="18" s="1"/>
  <c r="K8" i="18" s="1"/>
  <c r="L8" i="18" s="1"/>
  <c r="M8" i="18" s="1"/>
  <c r="N8" i="18" s="1"/>
  <c r="O8" i="18" s="1"/>
  <c r="P8" i="18" s="1"/>
  <c r="Q8" i="18" s="1"/>
  <c r="R8" i="18" s="1"/>
  <c r="S8" i="18" s="1"/>
  <c r="T8" i="18" s="1"/>
  <c r="U8" i="18" s="1"/>
  <c r="V8" i="18" s="1"/>
  <c r="W8" i="18" s="1"/>
  <c r="X8" i="18" s="1"/>
  <c r="Y8" i="18" s="1"/>
  <c r="Z8" i="18" s="1"/>
  <c r="AA8" i="18" s="1"/>
  <c r="AB8" i="18" s="1"/>
  <c r="AC8" i="18" s="1"/>
  <c r="AD8" i="18" s="1"/>
  <c r="AE8" i="18" s="1"/>
  <c r="AF8" i="18" s="1"/>
  <c r="AG8" i="18" s="1"/>
  <c r="AH8" i="18" s="1"/>
  <c r="AI8" i="18" s="1"/>
  <c r="AJ8" i="18" s="1"/>
  <c r="AK8" i="18" s="1"/>
  <c r="AL8" i="18" s="1"/>
  <c r="AK4" i="22"/>
  <c r="AJ5" i="22"/>
  <c r="AE4" i="20"/>
  <c r="AD5" i="20"/>
  <c r="AE4" i="19"/>
  <c r="AD5" i="19"/>
  <c r="AE5" i="18"/>
  <c r="AF4" i="18"/>
  <c r="AF4" i="17"/>
  <c r="AE5" i="17"/>
  <c r="AH10" i="17" l="1"/>
  <c r="AG10" i="25"/>
  <c r="AK5" i="22"/>
  <c r="AL4" i="22"/>
  <c r="AL5" i="22" s="1"/>
  <c r="AE5" i="20"/>
  <c r="AF4" i="20"/>
  <c r="AF4" i="19"/>
  <c r="AE5" i="19"/>
  <c r="AG4" i="18"/>
  <c r="AF5" i="18"/>
  <c r="AG4" i="17"/>
  <c r="AF5" i="17"/>
  <c r="AI10" i="17" l="1"/>
  <c r="AH10" i="25"/>
  <c r="AF5" i="20"/>
  <c r="AG4" i="20"/>
  <c r="AF5" i="19"/>
  <c r="AG4" i="19"/>
  <c r="AH4" i="18"/>
  <c r="AG5" i="18"/>
  <c r="AG5" i="17"/>
  <c r="AH4" i="17"/>
  <c r="AJ10" i="17" l="1"/>
  <c r="AI10" i="25"/>
  <c r="AG5" i="20"/>
  <c r="AH4" i="20"/>
  <c r="AG5" i="19"/>
  <c r="AH4" i="19"/>
  <c r="AI4" i="18"/>
  <c r="AH5" i="18"/>
  <c r="AH5" i="17"/>
  <c r="AI4" i="17"/>
  <c r="AK10" i="17" l="1"/>
  <c r="AJ10" i="25"/>
  <c r="AH5" i="20"/>
  <c r="AI4" i="20"/>
  <c r="AH5" i="19"/>
  <c r="AI4" i="19"/>
  <c r="AJ4" i="18"/>
  <c r="AK4" i="18" s="1"/>
  <c r="AI5" i="18"/>
  <c r="AI5" i="17"/>
  <c r="AJ4" i="17"/>
  <c r="AK10" i="25" l="1"/>
  <c r="H10" i="18"/>
  <c r="I10" i="18" s="1"/>
  <c r="J10" i="18" s="1"/>
  <c r="K10" i="18" s="1"/>
  <c r="L10" i="18" s="1"/>
  <c r="M10" i="18" s="1"/>
  <c r="N10" i="18" s="1"/>
  <c r="P10" i="18" s="1"/>
  <c r="Q10" i="18" s="1"/>
  <c r="R10" i="18" s="1"/>
  <c r="S10" i="18" s="1"/>
  <c r="T10" i="18" s="1"/>
  <c r="U10" i="18" s="1"/>
  <c r="V10" i="18" s="1"/>
  <c r="W10" i="18" s="1"/>
  <c r="X10" i="18" s="1"/>
  <c r="Y10" i="18" s="1"/>
  <c r="Z10" i="18" s="1"/>
  <c r="AA10" i="18" s="1"/>
  <c r="AB10" i="18" s="1"/>
  <c r="AC10" i="18" s="1"/>
  <c r="AD10" i="18" s="1"/>
  <c r="AE10" i="18" s="1"/>
  <c r="AF10" i="18" s="1"/>
  <c r="AG10" i="18" s="1"/>
  <c r="AH10" i="18" s="1"/>
  <c r="AI10" i="18" s="1"/>
  <c r="AJ10" i="18" s="1"/>
  <c r="AK10" i="18" s="1"/>
  <c r="H10" i="19" s="1"/>
  <c r="I10" i="19" s="1"/>
  <c r="J10" i="19" s="1"/>
  <c r="K10" i="19" s="1"/>
  <c r="L10" i="19" s="1"/>
  <c r="M10" i="19" s="1"/>
  <c r="N10" i="19" s="1"/>
  <c r="O10" i="19" s="1"/>
  <c r="P10" i="19" s="1"/>
  <c r="Q10" i="19" s="1"/>
  <c r="R10" i="19" s="1"/>
  <c r="S10" i="19" s="1"/>
  <c r="T10" i="19" s="1"/>
  <c r="U10" i="19" s="1"/>
  <c r="V10" i="19" s="1"/>
  <c r="W10" i="19" s="1"/>
  <c r="X10" i="19" s="1"/>
  <c r="Y10" i="19" s="1"/>
  <c r="Z10" i="19" s="1"/>
  <c r="AA10" i="19" s="1"/>
  <c r="AB10" i="19" s="1"/>
  <c r="AC10" i="19" s="1"/>
  <c r="AD10" i="19" s="1"/>
  <c r="AE10" i="19" s="1"/>
  <c r="AF10" i="19" s="1"/>
  <c r="AG10" i="19" s="1"/>
  <c r="AH10" i="19" s="1"/>
  <c r="AI10" i="19" s="1"/>
  <c r="AJ10" i="19" s="1"/>
  <c r="AK10" i="19" s="1"/>
  <c r="H10" i="20" s="1"/>
  <c r="I10" i="20" s="1"/>
  <c r="J10" i="20" s="1"/>
  <c r="K10" i="20" s="1"/>
  <c r="L10" i="20" s="1"/>
  <c r="M10" i="20" s="1"/>
  <c r="N10" i="20" s="1"/>
  <c r="O10" i="20" s="1"/>
  <c r="P10" i="20" s="1"/>
  <c r="Q10" i="20" s="1"/>
  <c r="R10" i="20" s="1"/>
  <c r="S10" i="20" s="1"/>
  <c r="T10" i="20" s="1"/>
  <c r="U10" i="20" s="1"/>
  <c r="V10" i="20" s="1"/>
  <c r="W10" i="20" s="1"/>
  <c r="X10" i="20" s="1"/>
  <c r="Y10" i="20" s="1"/>
  <c r="Z10" i="20" s="1"/>
  <c r="AA10" i="20" s="1"/>
  <c r="AB10" i="20" s="1"/>
  <c r="AC10" i="20" s="1"/>
  <c r="AD10" i="20" s="1"/>
  <c r="AE10" i="20" s="1"/>
  <c r="AF10" i="20" s="1"/>
  <c r="AG10" i="20" s="1"/>
  <c r="AH10" i="20" s="1"/>
  <c r="AI10" i="20" s="1"/>
  <c r="AJ10" i="20" s="1"/>
  <c r="AK10" i="20" s="1"/>
  <c r="AL10" i="20" s="1"/>
  <c r="AL4" i="18"/>
  <c r="AL5" i="18" s="1"/>
  <c r="AK5" i="18"/>
  <c r="AI5" i="20"/>
  <c r="AJ4" i="20"/>
  <c r="AK4" i="20" s="1"/>
  <c r="AI5" i="19"/>
  <c r="AJ4" i="19"/>
  <c r="AJ5" i="18"/>
  <c r="AJ5" i="17"/>
  <c r="AK4" i="17"/>
  <c r="AK5" i="17" s="1"/>
  <c r="AL4" i="20" l="1"/>
  <c r="AL5" i="20" s="1"/>
  <c r="AK5" i="20"/>
  <c r="AJ5" i="20"/>
  <c r="AJ5" i="19"/>
  <c r="AK4" i="19"/>
  <c r="AK5" i="19" s="1"/>
  <c r="E12" i="20" l="1"/>
  <c r="H7" i="19" l="1"/>
  <c r="H8" i="19" s="1"/>
  <c r="I8" i="19" s="1"/>
  <c r="J8" i="19" s="1"/>
  <c r="K8" i="19" s="1"/>
  <c r="L8" i="19" s="1"/>
  <c r="M8" i="19" s="1"/>
  <c r="N8" i="19" s="1"/>
  <c r="O8" i="19" s="1"/>
  <c r="P8" i="19" s="1"/>
  <c r="Q8" i="19" s="1"/>
  <c r="R8" i="19" s="1"/>
  <c r="T8" i="19" l="1"/>
  <c r="U8" i="19" s="1"/>
  <c r="V8" i="19" s="1"/>
  <c r="W8" i="19" s="1"/>
  <c r="X8" i="19" s="1"/>
  <c r="Y8" i="19" s="1"/>
  <c r="Z8" i="19" s="1"/>
  <c r="AA8" i="19" s="1"/>
  <c r="AB8" i="19" s="1"/>
  <c r="AC8" i="19" s="1"/>
  <c r="AD8" i="19" s="1"/>
  <c r="AE8" i="19" s="1"/>
  <c r="AF8" i="19" s="1"/>
  <c r="AG8" i="19" s="1"/>
  <c r="AH8" i="19" s="1"/>
  <c r="AI8" i="19" s="1"/>
  <c r="AJ8" i="19" s="1"/>
  <c r="AK8" i="19" s="1"/>
  <c r="H8" i="20" s="1"/>
  <c r="I8" i="20" s="1"/>
  <c r="J8" i="20" s="1"/>
  <c r="K8" i="20" s="1"/>
  <c r="L8" i="20" s="1"/>
  <c r="M8" i="20" s="1"/>
  <c r="N8" i="20" s="1"/>
  <c r="O8" i="20" s="1"/>
  <c r="P8" i="20" s="1"/>
  <c r="Q8" i="20" s="1"/>
  <c r="R8" i="20" s="1"/>
  <c r="S8" i="20" s="1"/>
  <c r="T8" i="20" s="1"/>
  <c r="U8" i="20" s="1"/>
  <c r="V8" i="20" s="1"/>
  <c r="W8" i="20" s="1"/>
  <c r="X8" i="20" s="1"/>
  <c r="Y8" i="20" s="1"/>
  <c r="Z8" i="20" s="1"/>
  <c r="AA8" i="20" s="1"/>
  <c r="AB8" i="20" s="1"/>
  <c r="AC8" i="20" s="1"/>
  <c r="AD8" i="20" s="1"/>
  <c r="AE8" i="20" s="1"/>
  <c r="AF8" i="20" s="1"/>
  <c r="AG8" i="20" s="1"/>
  <c r="AH8" i="20" s="1"/>
  <c r="AI8" i="20" s="1"/>
  <c r="AJ8" i="20" s="1"/>
  <c r="AK8" i="20" s="1"/>
  <c r="AL8" i="20" s="1"/>
  <c r="S8" i="19"/>
  <c r="E7" i="19"/>
  <c r="H11" i="19"/>
  <c r="I11" i="19" s="1"/>
  <c r="J11" i="19" s="1"/>
  <c r="K11" i="19" s="1"/>
  <c r="L11" i="19" s="1"/>
  <c r="M11" i="19" s="1"/>
  <c r="N11" i="19" s="1"/>
  <c r="O11" i="19" s="1"/>
  <c r="P11" i="19" s="1"/>
  <c r="Q11" i="19" s="1"/>
  <c r="R11" i="19" s="1"/>
  <c r="S11" i="19" s="1"/>
  <c r="T11" i="19" s="1"/>
  <c r="U11" i="19" s="1"/>
  <c r="V11" i="19" s="1"/>
  <c r="W11" i="19" s="1"/>
  <c r="X11" i="19" s="1"/>
  <c r="Y11" i="19" s="1"/>
  <c r="Z11" i="19" s="1"/>
  <c r="AA11" i="19" s="1"/>
  <c r="AB11" i="19" s="1"/>
  <c r="AC11" i="19" s="1"/>
  <c r="AD11" i="19" s="1"/>
  <c r="AE11" i="19" s="1"/>
  <c r="AF11" i="19" s="1"/>
  <c r="AG11" i="19" s="1"/>
  <c r="AH11" i="19" s="1"/>
  <c r="AI11" i="19" s="1"/>
  <c r="AJ11" i="19" s="1"/>
  <c r="AK11" i="19" s="1"/>
  <c r="E7" i="22" l="1"/>
  <c r="E9" i="22" s="1"/>
  <c r="H11" i="20"/>
  <c r="I11" i="20" s="1"/>
  <c r="J11" i="20" s="1"/>
  <c r="K11" i="20" s="1"/>
  <c r="L11" i="20" s="1"/>
  <c r="M11" i="20" s="1"/>
  <c r="N11" i="20" s="1"/>
  <c r="O11" i="20" s="1"/>
  <c r="P11" i="20" s="1"/>
  <c r="Q11" i="20" s="1"/>
  <c r="R11" i="20" s="1"/>
  <c r="S11" i="20" s="1"/>
  <c r="T11" i="20" s="1"/>
  <c r="U11" i="20" s="1"/>
  <c r="V11" i="20" s="1"/>
  <c r="W11" i="20" s="1"/>
  <c r="X11" i="20" s="1"/>
  <c r="Y11" i="20" s="1"/>
  <c r="Z11" i="20" s="1"/>
  <c r="AA11" i="20" s="1"/>
  <c r="AB11" i="20" s="1"/>
  <c r="AC11" i="20" s="1"/>
  <c r="AD11" i="20" s="1"/>
  <c r="AE11" i="20" s="1"/>
  <c r="AF11" i="20" s="1"/>
  <c r="AG11" i="20" s="1"/>
  <c r="AH11" i="20" s="1"/>
  <c r="AI11" i="20" s="1"/>
  <c r="AJ11" i="20" s="1"/>
  <c r="AK11" i="20" s="1"/>
  <c r="E7" i="20"/>
  <c r="E11" i="20" s="1"/>
  <c r="E11" i="19"/>
  <c r="AL11" i="20" l="1"/>
  <c r="H9" i="22"/>
  <c r="I9" i="22" s="1"/>
  <c r="J9" i="22" s="1"/>
  <c r="K9" i="22" s="1"/>
  <c r="L9" i="22" s="1"/>
  <c r="M9" i="22" s="1"/>
  <c r="N9" i="22" s="1"/>
  <c r="O9" i="22" s="1"/>
  <c r="P9" i="22" s="1"/>
  <c r="Q9" i="22" s="1"/>
  <c r="R9" i="22" s="1"/>
  <c r="S9" i="22" s="1"/>
  <c r="T9" i="22" s="1"/>
  <c r="U9" i="22" s="1"/>
  <c r="V9" i="22" s="1"/>
  <c r="W9" i="22" s="1"/>
  <c r="X9" i="22" s="1"/>
  <c r="Y9" i="22" s="1"/>
  <c r="Z9" i="22" s="1"/>
  <c r="AA9" i="22" s="1"/>
  <c r="AB9" i="22" s="1"/>
  <c r="AC9" i="22" s="1"/>
  <c r="AD9" i="22" s="1"/>
  <c r="AE9" i="22" s="1"/>
  <c r="AF9" i="22" s="1"/>
  <c r="AG9" i="22" s="1"/>
  <c r="AH9" i="22" s="1"/>
  <c r="AI9" i="22" s="1"/>
  <c r="AJ9" i="22" s="1"/>
  <c r="AK9" i="22" s="1"/>
  <c r="AL9" i="22" s="1"/>
  <c r="J11" i="28"/>
  <c r="K11" i="28" s="1"/>
  <c r="L11" i="28" s="1"/>
  <c r="M11" i="28" s="1"/>
  <c r="N11" i="28" s="1"/>
  <c r="O11" i="28" s="1"/>
  <c r="P11" i="28" s="1"/>
  <c r="Q11" i="28" s="1"/>
  <c r="R11" i="28" s="1"/>
  <c r="S11" i="28" s="1"/>
  <c r="T11" i="28" s="1"/>
  <c r="U11" i="28" s="1"/>
  <c r="V11" i="28" s="1"/>
  <c r="W11" i="28" s="1"/>
  <c r="X11" i="28" s="1"/>
  <c r="Y11" i="28" s="1"/>
  <c r="Z11" i="28" s="1"/>
  <c r="AA11" i="28" s="1"/>
  <c r="AB11" i="28" s="1"/>
  <c r="AC11" i="28" s="1"/>
  <c r="AD11" i="28" s="1"/>
  <c r="AE11" i="28" s="1"/>
  <c r="AF11" i="28" s="1"/>
  <c r="AG11" i="28" s="1"/>
  <c r="AH11" i="28" s="1"/>
  <c r="AI11" i="28" s="1"/>
  <c r="AJ11" i="28" s="1"/>
  <c r="AK11" i="28" s="1"/>
  <c r="H11" i="30" s="1"/>
  <c r="I11" i="30" s="1"/>
  <c r="J11" i="30" s="1"/>
  <c r="K11" i="30" s="1"/>
  <c r="L11" i="30" s="1"/>
  <c r="M11" i="30" s="1"/>
  <c r="N11" i="30" s="1"/>
  <c r="O11" i="30" s="1"/>
  <c r="P11" i="30" s="1"/>
  <c r="Q11" i="30" s="1"/>
  <c r="R11" i="30" s="1"/>
  <c r="S11" i="30" s="1"/>
  <c r="T11" i="30" s="1"/>
  <c r="U11" i="30" s="1"/>
  <c r="V11" i="30" s="1"/>
  <c r="W11" i="30" s="1"/>
  <c r="X11" i="30" s="1"/>
  <c r="Y11" i="30" s="1"/>
  <c r="Z11" i="30" s="1"/>
  <c r="AA11" i="30" s="1"/>
  <c r="AB11" i="30" s="1"/>
  <c r="AC11" i="30" s="1"/>
  <c r="AD11" i="30" s="1"/>
  <c r="AE11" i="30" s="1"/>
  <c r="AF11" i="30" s="1"/>
  <c r="AG11" i="30" s="1"/>
  <c r="AH11" i="30" s="1"/>
  <c r="AI11" i="30" s="1"/>
  <c r="AJ11" i="30" s="1"/>
  <c r="AK11" i="30" s="1"/>
  <c r="E6" i="28"/>
  <c r="E12" i="28" s="1"/>
  <c r="J12" i="28"/>
  <c r="K12" i="28" s="1"/>
  <c r="L12" i="28" s="1"/>
  <c r="M12" i="28" s="1"/>
  <c r="N12" i="28" s="1"/>
  <c r="O12" i="28" s="1"/>
  <c r="P12" i="28" s="1"/>
  <c r="Q12" i="28" s="1"/>
  <c r="R12" i="28" s="1"/>
  <c r="S12" i="28" s="1"/>
  <c r="T12" i="28" s="1"/>
  <c r="U12" i="28" s="1"/>
  <c r="V12" i="28" s="1"/>
  <c r="W12" i="28" s="1"/>
  <c r="X12" i="28" s="1"/>
  <c r="Y12" i="28" s="1"/>
  <c r="Z12" i="28" s="1"/>
  <c r="AA12" i="28" s="1"/>
  <c r="AB12" i="28" s="1"/>
  <c r="AC12" i="28" s="1"/>
  <c r="AD12" i="28" s="1"/>
  <c r="AE12" i="28" s="1"/>
  <c r="AF12" i="28" s="1"/>
  <c r="AG12" i="28" s="1"/>
  <c r="AH12" i="28" s="1"/>
  <c r="AI12" i="28" s="1"/>
  <c r="AJ12" i="28" s="1"/>
  <c r="AK12" i="28" s="1"/>
  <c r="H12" i="30" s="1"/>
  <c r="I12" i="30" s="1"/>
  <c r="J12" i="30" s="1"/>
  <c r="K12" i="30" s="1"/>
  <c r="L12" i="30" s="1"/>
  <c r="M12" i="30" s="1"/>
  <c r="N12" i="30" s="1"/>
  <c r="O12" i="30" s="1"/>
  <c r="P12" i="30" s="1"/>
  <c r="Q12" i="30" s="1"/>
  <c r="R12" i="30" s="1"/>
  <c r="S12" i="30" s="1"/>
  <c r="T12" i="30" s="1"/>
  <c r="U12" i="30" s="1"/>
  <c r="V12" i="30" s="1"/>
  <c r="W12" i="30" s="1"/>
  <c r="X12" i="30" s="1"/>
  <c r="Y12" i="30" s="1"/>
  <c r="Z12" i="30" s="1"/>
  <c r="AA12" i="30" s="1"/>
  <c r="AB12" i="30" s="1"/>
  <c r="AC12" i="30" s="1"/>
  <c r="AD12" i="30" s="1"/>
  <c r="AE12" i="30" s="1"/>
  <c r="AF12" i="30" s="1"/>
  <c r="AG12" i="30" s="1"/>
  <c r="AH12" i="30" s="1"/>
  <c r="AI12" i="30" s="1"/>
  <c r="AJ12" i="30" s="1"/>
  <c r="AK12" i="30" s="1"/>
  <c r="AL6" i="28"/>
  <c r="H7" i="29"/>
  <c r="AL7" i="29" s="1"/>
  <c r="E7" i="29" l="1"/>
  <c r="E11"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Ichimaru, Sumire</author>
    <author>tc={2AB90226-96FA-45A5-B019-3FEC9A5C6BF3}</author>
  </authors>
  <commentList>
    <comment ref="J7" authorId="0" shapeId="0" xr:uid="{6CCF4AAD-C0C0-4FA3-A1C5-7E59884BF95E}">
      <text>
        <r>
          <rPr>
            <b/>
            <sz val="9"/>
            <color indexed="81"/>
            <rFont val="MS P ゴシック"/>
            <family val="3"/>
            <charset val="128"/>
          </rPr>
          <t>4/1,2分の受領が多く、認定時間が短くなった</t>
        </r>
      </text>
    </comment>
    <comment ref="Q38" authorId="1" shapeId="0" xr:uid="{2AB90226-96FA-45A5-B019-3FEC9A5C6B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児童手当通知書発送、PM休み</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tc={93208D1B-9883-44DC-B6FC-4C8F16D7F9D9}</author>
  </authors>
  <commentList>
    <comment ref="Q41" authorId="0" shapeId="0" xr:uid="{93208D1B-9883-44DC-B6FC-4C8F16D7F9D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児童手当通知書発送、PM休み</t>
      </text>
    </comment>
  </commentList>
</comments>
</file>

<file path=xl/sharedStrings.xml><?xml version="1.0" encoding="utf-8"?>
<sst xmlns="http://schemas.openxmlformats.org/spreadsheetml/2006/main" count="2090" uniqueCount="104">
  <si>
    <t>予測件数</t>
    <rPh sb="0" eb="2">
      <t>ヨソク</t>
    </rPh>
    <rPh sb="2" eb="4">
      <t>ケンスウ</t>
    </rPh>
    <phoneticPr fontId="3"/>
  </si>
  <si>
    <t>件数/人</t>
    <rPh sb="0" eb="2">
      <t>ケンスウ</t>
    </rPh>
    <rPh sb="3" eb="4">
      <t>ヒト</t>
    </rPh>
    <phoneticPr fontId="2"/>
  </si>
  <si>
    <t>システム停止日</t>
    <phoneticPr fontId="3"/>
  </si>
  <si>
    <t>*</t>
  </si>
  <si>
    <t>通勤</t>
    <rPh sb="0" eb="2">
      <t>ツウキン</t>
    </rPh>
    <phoneticPr fontId="2"/>
  </si>
  <si>
    <t>申請（合計）</t>
    <rPh sb="0" eb="2">
      <t>シンセイ</t>
    </rPh>
    <phoneticPr fontId="3"/>
  </si>
  <si>
    <t>-</t>
    <phoneticPr fontId="2"/>
  </si>
  <si>
    <t>件数</t>
    <rPh sb="0" eb="2">
      <t>ケンスウ</t>
    </rPh>
    <phoneticPr fontId="3"/>
  </si>
  <si>
    <t>1次（日別合計）</t>
    <rPh sb="1" eb="2">
      <t>ジ</t>
    </rPh>
    <rPh sb="3" eb="5">
      <t>ヒベツ</t>
    </rPh>
    <rPh sb="5" eb="7">
      <t>ゴウケイ</t>
    </rPh>
    <phoneticPr fontId="3"/>
  </si>
  <si>
    <t>1次（累計）</t>
    <rPh sb="1" eb="2">
      <t>ジ</t>
    </rPh>
    <rPh sb="3" eb="5">
      <t>ルイケイ</t>
    </rPh>
    <phoneticPr fontId="3"/>
  </si>
  <si>
    <t>-</t>
  </si>
  <si>
    <t>件数</t>
  </si>
  <si>
    <t>2次（日別合計）</t>
    <rPh sb="1" eb="2">
      <t>ジ</t>
    </rPh>
    <rPh sb="3" eb="5">
      <t>ヒベツ</t>
    </rPh>
    <rPh sb="5" eb="7">
      <t>ゴウケイ</t>
    </rPh>
    <phoneticPr fontId="3"/>
  </si>
  <si>
    <t>2次（累計）</t>
    <rPh sb="1" eb="2">
      <t>ジ</t>
    </rPh>
    <rPh sb="3" eb="5">
      <t>ルイケイ</t>
    </rPh>
    <phoneticPr fontId="3"/>
  </si>
  <si>
    <t>1次残件数</t>
    <rPh sb="1" eb="2">
      <t>ジ</t>
    </rPh>
    <rPh sb="2" eb="5">
      <t>ザンケンスウ</t>
    </rPh>
    <phoneticPr fontId="3"/>
  </si>
  <si>
    <t>2次残件数</t>
    <rPh sb="1" eb="2">
      <t>ジ</t>
    </rPh>
    <rPh sb="2" eb="5">
      <t>ザンケンスウ</t>
    </rPh>
    <phoneticPr fontId="3"/>
  </si>
  <si>
    <t>1次</t>
    <rPh sb="1" eb="2">
      <t>ジ</t>
    </rPh>
    <phoneticPr fontId="3"/>
  </si>
  <si>
    <t>OP</t>
    <phoneticPr fontId="3"/>
  </si>
  <si>
    <t>人数</t>
    <rPh sb="0" eb="2">
      <t>ニンズウ</t>
    </rPh>
    <phoneticPr fontId="3"/>
  </si>
  <si>
    <t>大場</t>
    <rPh sb="0" eb="2">
      <t>オオバ</t>
    </rPh>
    <phoneticPr fontId="3"/>
  </si>
  <si>
    <t>平田</t>
    <rPh sb="0" eb="2">
      <t>ヒラタ</t>
    </rPh>
    <phoneticPr fontId="3"/>
  </si>
  <si>
    <t>丸山</t>
    <rPh sb="0" eb="2">
      <t>マルヤマ</t>
    </rPh>
    <phoneticPr fontId="3"/>
  </si>
  <si>
    <t>三浦</t>
    <rPh sb="0" eb="2">
      <t>ミウラ</t>
    </rPh>
    <phoneticPr fontId="2"/>
  </si>
  <si>
    <t>目黒</t>
    <rPh sb="0" eb="2">
      <t>メグロ</t>
    </rPh>
    <phoneticPr fontId="2"/>
  </si>
  <si>
    <t>池田</t>
    <rPh sb="0" eb="2">
      <t>イケダ</t>
    </rPh>
    <phoneticPr fontId="2"/>
  </si>
  <si>
    <t>2次</t>
    <rPh sb="1" eb="2">
      <t>ジ</t>
    </rPh>
    <phoneticPr fontId="3"/>
  </si>
  <si>
    <t>田中</t>
    <rPh sb="0" eb="2">
      <t>タナカ</t>
    </rPh>
    <phoneticPr fontId="3"/>
  </si>
  <si>
    <t>小野</t>
    <rPh sb="0" eb="2">
      <t>オノ</t>
    </rPh>
    <phoneticPr fontId="3"/>
  </si>
  <si>
    <t>扶養
児童</t>
    <rPh sb="0" eb="2">
      <t>フヨウ</t>
    </rPh>
    <rPh sb="3" eb="5">
      <t>ジドウ</t>
    </rPh>
    <phoneticPr fontId="2"/>
  </si>
  <si>
    <t>1次（合計）</t>
    <rPh sb="1" eb="2">
      <t>ジ</t>
    </rPh>
    <rPh sb="3" eb="5">
      <t>ゴウケイ</t>
    </rPh>
    <phoneticPr fontId="3"/>
  </si>
  <si>
    <t>2次（合計）</t>
    <rPh sb="1" eb="2">
      <t>ジ</t>
    </rPh>
    <rPh sb="3" eb="5">
      <t>ゴウケイ</t>
    </rPh>
    <phoneticPr fontId="3"/>
  </si>
  <si>
    <t>小菅</t>
    <rPh sb="0" eb="2">
      <t>コスゲ</t>
    </rPh>
    <phoneticPr fontId="2"/>
  </si>
  <si>
    <t>西村</t>
    <rPh sb="0" eb="2">
      <t>ニシムラ</t>
    </rPh>
    <phoneticPr fontId="3"/>
  </si>
  <si>
    <t>栗城</t>
    <rPh sb="0" eb="2">
      <t>クリキ</t>
    </rPh>
    <phoneticPr fontId="3"/>
  </si>
  <si>
    <t>管理</t>
    <rPh sb="0" eb="2">
      <t>カンリ</t>
    </rPh>
    <phoneticPr fontId="3"/>
  </si>
  <si>
    <t>給与</t>
    <rPh sb="0" eb="2">
      <t>キュウヨ</t>
    </rPh>
    <phoneticPr fontId="2"/>
  </si>
  <si>
    <t>津嘉山</t>
    <rPh sb="0" eb="3">
      <t>ツカヤマ</t>
    </rPh>
    <phoneticPr fontId="2"/>
  </si>
  <si>
    <t>RPA</t>
    <phoneticPr fontId="2"/>
  </si>
  <si>
    <t>住居</t>
    <rPh sb="0" eb="2">
      <t>ジュウキョ</t>
    </rPh>
    <phoneticPr fontId="2"/>
  </si>
  <si>
    <t>OP人数合計</t>
    <rPh sb="2" eb="4">
      <t>ニンズウ</t>
    </rPh>
    <rPh sb="4" eb="6">
      <t>ゴウケイ</t>
    </rPh>
    <phoneticPr fontId="2"/>
  </si>
  <si>
    <t>OPシフト人数</t>
    <rPh sb="5" eb="7">
      <t>ニンズウ</t>
    </rPh>
    <phoneticPr fontId="2"/>
  </si>
  <si>
    <t>受領人数</t>
    <rPh sb="0" eb="2">
      <t>ジュリョウ</t>
    </rPh>
    <rPh sb="2" eb="4">
      <t>ニンズウ</t>
    </rPh>
    <phoneticPr fontId="2"/>
  </si>
  <si>
    <t>差分</t>
    <rPh sb="0" eb="2">
      <t>サブン</t>
    </rPh>
    <phoneticPr fontId="2"/>
  </si>
  <si>
    <t>１次（累計）</t>
    <rPh sb="1" eb="2">
      <t>ジ</t>
    </rPh>
    <rPh sb="3" eb="5">
      <t>ルイケイ</t>
    </rPh>
    <phoneticPr fontId="3"/>
  </si>
  <si>
    <t>伊藤</t>
    <rPh sb="0" eb="2">
      <t>イトウ</t>
    </rPh>
    <phoneticPr fontId="3"/>
  </si>
  <si>
    <t>件数</t>
    <phoneticPr fontId="3"/>
  </si>
  <si>
    <t>植田</t>
    <rPh sb="0" eb="2">
      <t>ウエダ</t>
    </rPh>
    <phoneticPr fontId="2"/>
  </si>
  <si>
    <t>件数</t>
    <phoneticPr fontId="2"/>
  </si>
  <si>
    <t>兼田</t>
    <rPh sb="0" eb="2">
      <t>カネダ</t>
    </rPh>
    <phoneticPr fontId="2"/>
  </si>
  <si>
    <t>島</t>
    <rPh sb="0" eb="1">
      <t>シマ</t>
    </rPh>
    <phoneticPr fontId="2"/>
  </si>
  <si>
    <t>市丸</t>
    <rPh sb="0" eb="2">
      <t>イチマル</t>
    </rPh>
    <phoneticPr fontId="2"/>
  </si>
  <si>
    <t>市丸</t>
    <phoneticPr fontId="2"/>
  </si>
  <si>
    <t>申請（合計）</t>
    <phoneticPr fontId="3"/>
  </si>
  <si>
    <t>OP</t>
  </si>
  <si>
    <t>RPA</t>
  </si>
  <si>
    <t>８</t>
  </si>
  <si>
    <t>全体集会</t>
    <rPh sb="0" eb="2">
      <t>ゼンタイ</t>
    </rPh>
    <rPh sb="2" eb="4">
      <t>シュウカイ</t>
    </rPh>
    <phoneticPr fontId="3"/>
  </si>
  <si>
    <t>三浦</t>
    <rPh sb="0" eb="2">
      <t>ミウラ</t>
    </rPh>
    <phoneticPr fontId="3"/>
  </si>
  <si>
    <t>OP</t>
    <phoneticPr fontId="2"/>
  </si>
  <si>
    <t>栗城</t>
  </si>
  <si>
    <t>認定の判断に迷うことは、</t>
    <rPh sb="0" eb="2">
      <t>ニンテイ</t>
    </rPh>
    <rPh sb="3" eb="5">
      <t>ハンダン</t>
    </rPh>
    <rPh sb="6" eb="7">
      <t>マヨ</t>
    </rPh>
    <phoneticPr fontId="2"/>
  </si>
  <si>
    <t>お客さんの期待値を満たせばいい</t>
    <rPh sb="1" eb="2">
      <t>キャク</t>
    </rPh>
    <rPh sb="5" eb="7">
      <t>キタイ</t>
    </rPh>
    <rPh sb="7" eb="8">
      <t>チ</t>
    </rPh>
    <rPh sb="9" eb="10">
      <t>ミ</t>
    </rPh>
    <phoneticPr fontId="2"/>
  </si>
  <si>
    <t>想定問答の確認</t>
    <rPh sb="0" eb="4">
      <t>ソウテイモンドウ</t>
    </rPh>
    <rPh sb="5" eb="7">
      <t>カクニン</t>
    </rPh>
    <phoneticPr fontId="2"/>
  </si>
  <si>
    <t>前提としての「申請」とは何の件数か明記</t>
    <rPh sb="0" eb="2">
      <t>ゼンテイ</t>
    </rPh>
    <rPh sb="7" eb="9">
      <t>シンセイ</t>
    </rPh>
    <rPh sb="12" eb="13">
      <t>ナン</t>
    </rPh>
    <rPh sb="14" eb="16">
      <t>ケンスウ</t>
    </rPh>
    <rPh sb="17" eb="19">
      <t>メイキ</t>
    </rPh>
    <phoneticPr fontId="2"/>
  </si>
  <si>
    <t>ヘルプデスクの方々にやってもらうタスクを洗い出し</t>
    <rPh sb="7" eb="9">
      <t>カタガタ</t>
    </rPh>
    <rPh sb="20" eb="21">
      <t>アラ</t>
    </rPh>
    <rPh sb="22" eb="23">
      <t>ダ</t>
    </rPh>
    <phoneticPr fontId="2"/>
  </si>
  <si>
    <t>元日</t>
  </si>
  <si>
    <t>成人の日</t>
  </si>
  <si>
    <t>建国記念の日</t>
  </si>
  <si>
    <t>天皇誕生日</t>
  </si>
  <si>
    <t>春分の日</t>
  </si>
  <si>
    <t>昭和の日</t>
  </si>
  <si>
    <t>憲法記念日</t>
  </si>
  <si>
    <t>みどりの日</t>
  </si>
  <si>
    <t>こどもの日</t>
  </si>
  <si>
    <t>振替休日</t>
  </si>
  <si>
    <t>海の日</t>
  </si>
  <si>
    <t>山の日</t>
  </si>
  <si>
    <t>敬老の日</t>
  </si>
  <si>
    <t>国民の休日</t>
  </si>
  <si>
    <t>秋分の日</t>
  </si>
  <si>
    <t>スポーツの日</t>
  </si>
  <si>
    <t>文化の日</t>
  </si>
  <si>
    <t>勤労感謝の日</t>
  </si>
  <si>
    <t>システム停止日</t>
    <rPh sb="4" eb="6">
      <t>テイシ</t>
    </rPh>
    <rPh sb="6" eb="7">
      <t>ヒ</t>
    </rPh>
    <phoneticPr fontId="2"/>
  </si>
  <si>
    <t>4・5月</t>
    <rPh sb="3" eb="4">
      <t>ガツ</t>
    </rPh>
    <phoneticPr fontId="2"/>
  </si>
  <si>
    <t>6月～</t>
    <rPh sb="1" eb="2">
      <t>ガツ</t>
    </rPh>
    <phoneticPr fontId="2"/>
  </si>
  <si>
    <t>火曜以外</t>
    <rPh sb="0" eb="4">
      <t>カヨウイガイ</t>
    </rPh>
    <phoneticPr fontId="2"/>
  </si>
  <si>
    <t>住居・給与</t>
    <rPh sb="0" eb="2">
      <t>ジュウキョ</t>
    </rPh>
    <rPh sb="3" eb="5">
      <t>キュウヨ</t>
    </rPh>
    <phoneticPr fontId="2"/>
  </si>
  <si>
    <t>扶養</t>
    <rPh sb="0" eb="2">
      <t>フヨウ</t>
    </rPh>
    <phoneticPr fontId="2"/>
  </si>
  <si>
    <t>受領</t>
    <rPh sb="0" eb="2">
      <t>ジュリョウ</t>
    </rPh>
    <phoneticPr fontId="2"/>
  </si>
  <si>
    <t>住居OP</t>
    <rPh sb="0" eb="2">
      <t>ジュウキョ</t>
    </rPh>
    <phoneticPr fontId="2"/>
  </si>
  <si>
    <t>通勤OP</t>
    <rPh sb="0" eb="2">
      <t>ツウキン</t>
    </rPh>
    <phoneticPr fontId="2"/>
  </si>
  <si>
    <t>ー</t>
    <phoneticPr fontId="2"/>
  </si>
  <si>
    <t>大場</t>
    <rPh sb="0" eb="2">
      <t>オオバ</t>
    </rPh>
    <phoneticPr fontId="2"/>
  </si>
  <si>
    <t>丸山or平田</t>
    <rPh sb="0" eb="2">
      <t>マルヤマ</t>
    </rPh>
    <rPh sb="4" eb="6">
      <t>ヒラタ</t>
    </rPh>
    <phoneticPr fontId="2"/>
  </si>
  <si>
    <t>扶養OP</t>
    <rPh sb="0" eb="2">
      <t>フヨウ</t>
    </rPh>
    <phoneticPr fontId="2"/>
  </si>
  <si>
    <t>通勤OP1</t>
    <rPh sb="0" eb="2">
      <t>ツウキン</t>
    </rPh>
    <phoneticPr fontId="2"/>
  </si>
  <si>
    <t>入力</t>
    <rPh sb="0" eb="2">
      <t>ニュウリョク</t>
    </rPh>
    <phoneticPr fontId="2"/>
  </si>
  <si>
    <t>通勤OP2</t>
    <rPh sb="0" eb="2">
      <t>ツウキン</t>
    </rPh>
    <phoneticPr fontId="2"/>
  </si>
  <si>
    <t>発送</t>
    <rPh sb="0" eb="2">
      <t>ハッソウ</t>
    </rPh>
    <phoneticPr fontId="2"/>
  </si>
  <si>
    <t>通勤OP3</t>
    <rPh sb="0" eb="2">
      <t>ツウキン</t>
    </rPh>
    <phoneticPr fontId="2"/>
  </si>
  <si>
    <t>火曜のみ</t>
    <rPh sb="0" eb="2">
      <t>カヨウ</t>
    </rPh>
    <phoneticPr fontId="2"/>
  </si>
  <si>
    <t>通勤OP２</t>
    <rPh sb="0" eb="2">
      <t>ツウキン</t>
    </rPh>
    <phoneticPr fontId="2"/>
  </si>
  <si>
    <t>※SQL(運用作業＞0230.年次＞年度繁忙）</t>
    <rPh sb="5" eb="9">
      <t>ウンヨウサギョウ</t>
    </rPh>
    <rPh sb="15" eb="17">
      <t>ネンジ</t>
    </rPh>
    <rPh sb="18" eb="22">
      <t>ネンドハンボウ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</si>
</sst>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quot;月&quot;"/>
    <numFmt numFmtId="177" formatCode="d"/>
    <numFmt numFmtId="178" formatCode="aaa"/>
  </numFmts>
  <fonts count="15">
    <font>
      <sz val="11"/>
      <color theme="1"/>
      <name val="Meiryo UI"/>
      <family val="2"/>
      <charset val="128"/>
    </font>
    <font>
      <sz val="10"/>
      <color theme="1"/>
      <name val="Meiryo UI"/>
      <family val="3"/>
    </font>
    <font>
      <sz val="6"/>
      <name val="Meiryo UI"/>
      <family val="2"/>
      <charset val="128"/>
    </font>
    <font>
      <sz val="6"/>
      <name val="游ゴシック"/>
      <family val="2"/>
      <charset val="128"/>
      <scheme val="minor"/>
    </font>
    <font>
      <b/>
      <sz val="10"/>
      <color theme="1"/>
      <name val="Meiryo UI"/>
      <family val="3"/>
      <charset val="128"/>
    </font>
    <font>
      <b/>
      <sz val="8"/>
      <color theme="1"/>
      <name val="Meiryo UI"/>
      <family val="3"/>
      <charset val="128"/>
    </font>
    <font>
      <sz val="8"/>
      <color theme="1"/>
      <name val="Meiryo UI"/>
      <family val="3"/>
    </font>
    <font>
      <sz val="8"/>
      <color rgb="FFFF0000"/>
      <name val="Meiryo UI"/>
      <family val="3"/>
    </font>
    <font>
      <b/>
      <sz val="11"/>
      <color theme="1"/>
      <name val="Meiryo UI"/>
      <family val="3"/>
      <charset val="128"/>
    </font>
    <font>
      <sz val="11"/>
      <color rgb="FFFF0000"/>
      <name val="Meiryo UI"/>
      <family val="2"/>
      <charset val="128"/>
    </font>
    <font>
      <b/>
      <sz val="9"/>
      <color indexed="81"/>
      <name val="MS P ゴシック"/>
      <family val="3"/>
      <charset val="128"/>
    </font>
    <font>
      <sz val="8"/>
      <color theme="1"/>
      <name val="Meiryo UI"/>
      <family val="3"/>
      <charset val="128"/>
    </font>
    <font>
      <sz val="10"/>
      <color theme="1"/>
      <name val="Meiryo UI"/>
      <family val="3"/>
      <charset val="128"/>
    </font>
    <font>
      <b/>
      <sz val="10"/>
      <color theme="7"/>
      <name val="Meiryo UI"/>
      <family val="3"/>
      <charset val="128"/>
    </font>
    <font>
      <b/>
      <sz val="10"/>
      <name val="Meiryo UI"/>
      <family val="3"/>
      <charset val="128"/>
    </font>
  </fonts>
  <fills count="17">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5"/>
        <bgColor indexed="64"/>
      </patternFill>
    </fill>
    <fill>
      <patternFill patternType="solid">
        <fgColor rgb="FFFFFFCC"/>
        <bgColor indexed="64"/>
      </patternFill>
    </fill>
    <fill>
      <patternFill patternType="solid">
        <fgColor theme="5" tint="0.59999389629810485"/>
        <bgColor indexed="64"/>
      </patternFill>
    </fill>
    <fill>
      <patternFill patternType="solid">
        <fgColor theme="7" tint="0.39997558519241921"/>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medium">
        <color indexed="64"/>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indexed="64"/>
      </right>
      <top style="thin">
        <color indexed="64"/>
      </top>
      <bottom style="medium">
        <color rgb="FF000000"/>
      </bottom>
      <diagonal/>
    </border>
  </borders>
  <cellStyleXfs count="1">
    <xf numFmtId="0" fontId="0" fillId="0" borderId="0">
      <alignment vertical="center"/>
    </xf>
  </cellStyleXfs>
  <cellXfs count="276">
    <xf numFmtId="0" fontId="0" fillId="0" borderId="0" xfId="0">
      <alignment vertical="center"/>
    </xf>
    <xf numFmtId="0" fontId="1" fillId="0" borderId="0" xfId="0" applyFont="1">
      <alignment vertical="center"/>
    </xf>
    <xf numFmtId="176" fontId="1" fillId="4" borderId="6" xfId="0" applyNumberFormat="1" applyFont="1" applyFill="1" applyBorder="1" applyAlignment="1">
      <alignment horizontal="center" vertical="center"/>
    </xf>
    <xf numFmtId="0" fontId="1" fillId="4" borderId="7" xfId="0" applyFont="1" applyFill="1" applyBorder="1">
      <alignment vertical="center"/>
    </xf>
    <xf numFmtId="0" fontId="1" fillId="4" borderId="8" xfId="0" applyFont="1" applyFill="1" applyBorder="1">
      <alignment vertical="center"/>
    </xf>
    <xf numFmtId="177" fontId="1" fillId="4" borderId="13" xfId="0" applyNumberFormat="1" applyFont="1" applyFill="1" applyBorder="1" applyAlignment="1">
      <alignment horizontal="center" vertical="center"/>
    </xf>
    <xf numFmtId="177" fontId="1" fillId="4" borderId="14" xfId="0" applyNumberFormat="1" applyFont="1" applyFill="1" applyBorder="1" applyAlignment="1">
      <alignment horizontal="center" vertical="center"/>
    </xf>
    <xf numFmtId="177" fontId="1" fillId="4" borderId="15" xfId="0" applyNumberFormat="1" applyFont="1" applyFill="1" applyBorder="1" applyAlignment="1">
      <alignment horizontal="center" vertical="center"/>
    </xf>
    <xf numFmtId="178" fontId="1" fillId="4" borderId="16" xfId="0" applyNumberFormat="1" applyFont="1" applyFill="1" applyBorder="1" applyAlignment="1">
      <alignment horizontal="center" vertical="center"/>
    </xf>
    <xf numFmtId="178" fontId="1" fillId="4" borderId="17" xfId="0" applyNumberFormat="1" applyFont="1" applyFill="1" applyBorder="1" applyAlignment="1">
      <alignment horizontal="center" vertical="center"/>
    </xf>
    <xf numFmtId="178" fontId="1" fillId="4" borderId="18" xfId="0" applyNumberFormat="1" applyFont="1" applyFill="1" applyBorder="1" applyAlignment="1">
      <alignment horizontal="center" vertical="center"/>
    </xf>
    <xf numFmtId="0" fontId="0" fillId="0" borderId="0" xfId="0" applyAlignment="1">
      <alignment horizontal="center" vertical="center"/>
    </xf>
    <xf numFmtId="14" fontId="0" fillId="0" borderId="0" xfId="0" applyNumberFormat="1">
      <alignment vertical="center"/>
    </xf>
    <xf numFmtId="0" fontId="7" fillId="4" borderId="7" xfId="0" applyFont="1" applyFill="1" applyBorder="1" applyAlignment="1">
      <alignment horizontal="center" vertical="center"/>
    </xf>
    <xf numFmtId="0" fontId="4" fillId="5"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31" xfId="0" applyFont="1" applyFill="1" applyBorder="1" applyAlignment="1">
      <alignment horizontal="center" vertical="center"/>
    </xf>
    <xf numFmtId="0" fontId="6" fillId="2" borderId="1" xfId="0" applyFont="1" applyFill="1" applyBorder="1" applyAlignment="1">
      <alignment horizontal="center" vertical="center"/>
    </xf>
    <xf numFmtId="0" fontId="4" fillId="2" borderId="17"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26" xfId="0" applyFont="1" applyFill="1" applyBorder="1" applyAlignment="1">
      <alignment horizontal="center" vertical="center"/>
    </xf>
    <xf numFmtId="0" fontId="6" fillId="6" borderId="26" xfId="0" applyFont="1" applyFill="1" applyBorder="1" applyAlignment="1">
      <alignment horizontal="center" vertical="center"/>
    </xf>
    <xf numFmtId="0" fontId="6" fillId="2" borderId="27" xfId="0" applyFont="1" applyFill="1" applyBorder="1" applyAlignment="1">
      <alignment horizontal="center" vertical="center"/>
    </xf>
    <xf numFmtId="0" fontId="6" fillId="2" borderId="29" xfId="0" applyFont="1" applyFill="1" applyBorder="1" applyAlignment="1">
      <alignment horizontal="center" vertical="center"/>
    </xf>
    <xf numFmtId="0" fontId="6" fillId="2" borderId="31" xfId="0" applyFont="1" applyFill="1" applyBorder="1" applyAlignment="1">
      <alignment horizontal="center" vertical="center"/>
    </xf>
    <xf numFmtId="0" fontId="6" fillId="6" borderId="31" xfId="0" applyFont="1" applyFill="1" applyBorder="1" applyAlignment="1">
      <alignment horizontal="center" vertical="center"/>
    </xf>
    <xf numFmtId="0" fontId="6" fillId="2" borderId="32" xfId="0" applyFont="1" applyFill="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5" xfId="0" applyFont="1" applyBorder="1" applyAlignment="1">
      <alignment horizontal="center" vertical="center"/>
    </xf>
    <xf numFmtId="0" fontId="4" fillId="0" borderId="18" xfId="0" applyFont="1" applyBorder="1" applyAlignment="1">
      <alignment horizontal="center" vertical="center"/>
    </xf>
    <xf numFmtId="0" fontId="4" fillId="0" borderId="32" xfId="0" applyFont="1" applyBorder="1" applyAlignment="1">
      <alignment horizontal="center" vertical="center"/>
    </xf>
    <xf numFmtId="0" fontId="4" fillId="5" borderId="25" xfId="0" applyFont="1" applyFill="1" applyBorder="1" applyAlignment="1">
      <alignment horizontal="center" vertical="center"/>
    </xf>
    <xf numFmtId="0" fontId="4" fillId="5" borderId="28" xfId="0" applyFont="1" applyFill="1" applyBorder="1" applyAlignment="1">
      <alignment horizontal="center" vertical="center"/>
    </xf>
    <xf numFmtId="0" fontId="4" fillId="5" borderId="30" xfId="0" applyFont="1" applyFill="1" applyBorder="1" applyAlignment="1">
      <alignment horizontal="center" vertical="center"/>
    </xf>
    <xf numFmtId="0" fontId="4" fillId="5" borderId="35" xfId="0" applyFont="1" applyFill="1" applyBorder="1" applyAlignment="1">
      <alignment horizontal="center" vertical="center"/>
    </xf>
    <xf numFmtId="0" fontId="4" fillId="5" borderId="36" xfId="0" applyFont="1" applyFill="1" applyBorder="1" applyAlignment="1">
      <alignment horizontal="center" vertical="center"/>
    </xf>
    <xf numFmtId="0" fontId="4" fillId="5" borderId="37"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31" xfId="0" applyFont="1" applyFill="1" applyBorder="1" applyAlignment="1">
      <alignment horizontal="center" vertical="center"/>
    </xf>
    <xf numFmtId="176" fontId="1" fillId="4" borderId="5" xfId="0" applyNumberFormat="1" applyFont="1" applyFill="1" applyBorder="1" applyAlignment="1">
      <alignment horizontal="center" vertical="center"/>
    </xf>
    <xf numFmtId="177" fontId="1" fillId="4" borderId="12" xfId="0" applyNumberFormat="1" applyFont="1" applyFill="1" applyBorder="1" applyAlignment="1">
      <alignment horizontal="center" vertical="center"/>
    </xf>
    <xf numFmtId="178" fontId="1" fillId="4" borderId="12" xfId="0" applyNumberFormat="1" applyFont="1" applyFill="1" applyBorder="1" applyAlignment="1">
      <alignment horizontal="center" vertical="center"/>
    </xf>
    <xf numFmtId="0" fontId="4" fillId="5" borderId="43" xfId="0" applyFont="1" applyFill="1" applyBorder="1" applyAlignment="1">
      <alignment horizontal="center" vertical="center"/>
    </xf>
    <xf numFmtId="0" fontId="5" fillId="2" borderId="17" xfId="0" applyFont="1" applyFill="1" applyBorder="1" applyAlignment="1">
      <alignment horizontal="center" vertical="center"/>
    </xf>
    <xf numFmtId="0" fontId="6" fillId="2" borderId="18" xfId="0" applyFont="1" applyFill="1" applyBorder="1" applyAlignment="1">
      <alignment horizontal="center" vertical="center"/>
    </xf>
    <xf numFmtId="0" fontId="0" fillId="0" borderId="1" xfId="0" applyBorder="1">
      <alignment vertical="center"/>
    </xf>
    <xf numFmtId="0" fontId="0" fillId="0" borderId="26" xfId="0" applyBorder="1">
      <alignment vertical="center"/>
    </xf>
    <xf numFmtId="0" fontId="0" fillId="0" borderId="29" xfId="0" applyBorder="1">
      <alignment vertical="center"/>
    </xf>
    <xf numFmtId="0" fontId="0" fillId="0" borderId="31" xfId="0" applyBorder="1">
      <alignment vertical="center"/>
    </xf>
    <xf numFmtId="0" fontId="4" fillId="5" borderId="20" xfId="0" applyFont="1" applyFill="1" applyBorder="1" applyAlignment="1">
      <alignment horizontal="center" vertical="center"/>
    </xf>
    <xf numFmtId="0" fontId="4" fillId="5" borderId="13" xfId="0" applyFont="1" applyFill="1" applyBorder="1" applyAlignment="1">
      <alignment horizontal="center" vertical="center"/>
    </xf>
    <xf numFmtId="0" fontId="4" fillId="5" borderId="16" xfId="0" applyFont="1" applyFill="1" applyBorder="1" applyAlignment="1">
      <alignment horizontal="center" vertical="center"/>
    </xf>
    <xf numFmtId="0" fontId="4" fillId="5" borderId="21" xfId="0" applyFont="1" applyFill="1" applyBorder="1" applyAlignment="1">
      <alignment horizontal="center" vertical="center"/>
    </xf>
    <xf numFmtId="0" fontId="4" fillId="2" borderId="14" xfId="0" applyFont="1" applyFill="1" applyBorder="1" applyAlignment="1">
      <alignment horizontal="center" vertical="center"/>
    </xf>
    <xf numFmtId="0" fontId="4" fillId="5" borderId="14" xfId="0" applyFont="1" applyFill="1" applyBorder="1" applyAlignment="1">
      <alignment horizontal="center" vertical="center"/>
    </xf>
    <xf numFmtId="0" fontId="9" fillId="0" borderId="0" xfId="0" applyFont="1">
      <alignment vertical="center"/>
    </xf>
    <xf numFmtId="0" fontId="6" fillId="8" borderId="17" xfId="0" applyFont="1" applyFill="1" applyBorder="1" applyAlignment="1">
      <alignment horizontal="center" vertical="center"/>
    </xf>
    <xf numFmtId="0" fontId="8" fillId="9" borderId="1" xfId="0" applyFont="1" applyFill="1" applyBorder="1">
      <alignment vertical="center"/>
    </xf>
    <xf numFmtId="0" fontId="8" fillId="10" borderId="1" xfId="0" applyFont="1" applyFill="1" applyBorder="1">
      <alignment vertical="center"/>
    </xf>
    <xf numFmtId="0" fontId="8" fillId="0" borderId="0" xfId="0" applyFont="1">
      <alignment vertical="center"/>
    </xf>
    <xf numFmtId="0" fontId="0" fillId="7" borderId="1" xfId="0" applyFill="1" applyBorder="1">
      <alignment vertical="center"/>
    </xf>
    <xf numFmtId="0" fontId="0" fillId="0" borderId="32" xfId="0" applyBorder="1">
      <alignment vertical="center"/>
    </xf>
    <xf numFmtId="0" fontId="5" fillId="2" borderId="14"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8" fillId="9" borderId="44" xfId="0" applyFont="1" applyFill="1" applyBorder="1" applyAlignment="1">
      <alignment horizontal="center" vertical="center"/>
    </xf>
    <xf numFmtId="0" fontId="6" fillId="6" borderId="14" xfId="0" applyFont="1" applyFill="1" applyBorder="1" applyAlignment="1">
      <alignment horizontal="center" vertical="center"/>
    </xf>
    <xf numFmtId="2" fontId="0" fillId="0" borderId="31" xfId="0" applyNumberFormat="1" applyBorder="1">
      <alignment vertical="center"/>
    </xf>
    <xf numFmtId="0" fontId="6" fillId="11" borderId="1" xfId="0" applyFont="1" applyFill="1" applyBorder="1" applyAlignment="1">
      <alignment horizontal="center" vertical="center"/>
    </xf>
    <xf numFmtId="0" fontId="6" fillId="11" borderId="17" xfId="0" applyFont="1" applyFill="1" applyBorder="1" applyAlignment="1">
      <alignment horizontal="center" vertical="center"/>
    </xf>
    <xf numFmtId="0" fontId="6" fillId="11" borderId="14" xfId="0" applyFont="1" applyFill="1" applyBorder="1" applyAlignment="1">
      <alignment horizontal="center" vertical="center"/>
    </xf>
    <xf numFmtId="0" fontId="6" fillId="11" borderId="26" xfId="0" applyFont="1" applyFill="1" applyBorder="1" applyAlignment="1">
      <alignment horizontal="center" vertical="center"/>
    </xf>
    <xf numFmtId="0" fontId="6" fillId="11" borderId="31" xfId="0" applyFont="1" applyFill="1" applyBorder="1" applyAlignment="1">
      <alignment horizontal="center" vertical="center"/>
    </xf>
    <xf numFmtId="0" fontId="4" fillId="5" borderId="45" xfId="0" applyFont="1" applyFill="1" applyBorder="1" applyAlignment="1">
      <alignment horizontal="center" vertical="center"/>
    </xf>
    <xf numFmtId="177" fontId="1" fillId="7" borderId="14" xfId="0" applyNumberFormat="1" applyFont="1" applyFill="1" applyBorder="1" applyAlignment="1">
      <alignment horizontal="center" vertical="center"/>
    </xf>
    <xf numFmtId="178" fontId="1" fillId="7" borderId="17" xfId="0" applyNumberFormat="1" applyFont="1" applyFill="1" applyBorder="1" applyAlignment="1">
      <alignment horizontal="center" vertical="center"/>
    </xf>
    <xf numFmtId="0" fontId="6" fillId="7" borderId="1" xfId="0" applyFont="1" applyFill="1" applyBorder="1" applyAlignment="1">
      <alignment horizontal="center" vertical="center"/>
    </xf>
    <xf numFmtId="0" fontId="6" fillId="7" borderId="17" xfId="0" applyFont="1" applyFill="1" applyBorder="1" applyAlignment="1">
      <alignment horizontal="center" vertical="center"/>
    </xf>
    <xf numFmtId="176" fontId="1" fillId="12" borderId="5" xfId="0" applyNumberFormat="1" applyFont="1" applyFill="1" applyBorder="1" applyAlignment="1">
      <alignment horizontal="center" vertical="center"/>
    </xf>
    <xf numFmtId="176" fontId="1" fillId="12" borderId="6" xfId="0" applyNumberFormat="1" applyFont="1" applyFill="1" applyBorder="1" applyAlignment="1">
      <alignment horizontal="center" vertical="center"/>
    </xf>
    <xf numFmtId="0" fontId="1" fillId="12" borderId="7" xfId="0" applyFont="1" applyFill="1" applyBorder="1">
      <alignment vertical="center"/>
    </xf>
    <xf numFmtId="0" fontId="7" fillId="12" borderId="7" xfId="0" applyFont="1" applyFill="1" applyBorder="1" applyAlignment="1">
      <alignment horizontal="center" vertical="center"/>
    </xf>
    <xf numFmtId="0" fontId="1" fillId="12" borderId="8" xfId="0" applyFont="1" applyFill="1" applyBorder="1">
      <alignment vertical="center"/>
    </xf>
    <xf numFmtId="177" fontId="1" fillId="12" borderId="12" xfId="0" applyNumberFormat="1" applyFont="1" applyFill="1" applyBorder="1" applyAlignment="1">
      <alignment horizontal="center" vertical="center"/>
    </xf>
    <xf numFmtId="177" fontId="1" fillId="12" borderId="13" xfId="0" applyNumberFormat="1" applyFont="1" applyFill="1" applyBorder="1" applyAlignment="1">
      <alignment horizontal="center" vertical="center"/>
    </xf>
    <xf numFmtId="177" fontId="1" fillId="12" borderId="14" xfId="0" applyNumberFormat="1" applyFont="1" applyFill="1" applyBorder="1" applyAlignment="1">
      <alignment horizontal="center" vertical="center"/>
    </xf>
    <xf numFmtId="177" fontId="1" fillId="12" borderId="15" xfId="0" applyNumberFormat="1" applyFont="1" applyFill="1" applyBorder="1" applyAlignment="1">
      <alignment horizontal="center" vertical="center"/>
    </xf>
    <xf numFmtId="178" fontId="1" fillId="12" borderId="12" xfId="0" applyNumberFormat="1" applyFont="1" applyFill="1" applyBorder="1" applyAlignment="1">
      <alignment horizontal="center" vertical="center"/>
    </xf>
    <xf numFmtId="178" fontId="1" fillId="12" borderId="16" xfId="0" applyNumberFormat="1" applyFont="1" applyFill="1" applyBorder="1" applyAlignment="1">
      <alignment horizontal="center" vertical="center"/>
    </xf>
    <xf numFmtId="178" fontId="1" fillId="12" borderId="17" xfId="0" applyNumberFormat="1" applyFont="1" applyFill="1" applyBorder="1" applyAlignment="1">
      <alignment horizontal="center" vertical="center"/>
    </xf>
    <xf numFmtId="178" fontId="1" fillId="12" borderId="18" xfId="0" applyNumberFormat="1" applyFont="1" applyFill="1" applyBorder="1" applyAlignment="1">
      <alignment horizontal="center" vertical="center"/>
    </xf>
    <xf numFmtId="0" fontId="4" fillId="14" borderId="1" xfId="0" applyFont="1" applyFill="1" applyBorder="1" applyAlignment="1">
      <alignment horizontal="center" vertical="center"/>
    </xf>
    <xf numFmtId="0" fontId="5" fillId="14" borderId="1" xfId="0" applyFont="1" applyFill="1" applyBorder="1" applyAlignment="1">
      <alignment horizontal="center" vertical="center"/>
    </xf>
    <xf numFmtId="0" fontId="6" fillId="14" borderId="1" xfId="0" applyFont="1" applyFill="1" applyBorder="1" applyAlignment="1">
      <alignment horizontal="center" vertical="center"/>
    </xf>
    <xf numFmtId="0" fontId="6" fillId="14" borderId="29" xfId="0" applyFont="1" applyFill="1" applyBorder="1" applyAlignment="1">
      <alignment horizontal="center" vertical="center"/>
    </xf>
    <xf numFmtId="0" fontId="4" fillId="14" borderId="17" xfId="0" applyFont="1" applyFill="1" applyBorder="1" applyAlignment="1">
      <alignment horizontal="center" vertical="center"/>
    </xf>
    <xf numFmtId="0" fontId="6" fillId="14" borderId="17" xfId="0" applyFont="1" applyFill="1" applyBorder="1" applyAlignment="1">
      <alignment horizontal="center" vertical="center"/>
    </xf>
    <xf numFmtId="0" fontId="6" fillId="14" borderId="18" xfId="0" applyFont="1" applyFill="1" applyBorder="1" applyAlignment="1">
      <alignment horizontal="center" vertical="center"/>
    </xf>
    <xf numFmtId="0" fontId="4" fillId="14" borderId="25" xfId="0" applyFont="1" applyFill="1" applyBorder="1" applyAlignment="1">
      <alignment horizontal="center" vertical="center"/>
    </xf>
    <xf numFmtId="0" fontId="4" fillId="14" borderId="26" xfId="0" applyFont="1" applyFill="1" applyBorder="1" applyAlignment="1">
      <alignment horizontal="center" vertical="center"/>
    </xf>
    <xf numFmtId="0" fontId="6" fillId="14" borderId="26" xfId="0" applyFont="1" applyFill="1" applyBorder="1" applyAlignment="1">
      <alignment horizontal="center" vertical="center"/>
    </xf>
    <xf numFmtId="0" fontId="6" fillId="14" borderId="27" xfId="0" applyFont="1" applyFill="1" applyBorder="1" applyAlignment="1">
      <alignment horizontal="center" vertical="center"/>
    </xf>
    <xf numFmtId="0" fontId="4" fillId="14" borderId="13" xfId="0" applyFont="1" applyFill="1" applyBorder="1" applyAlignment="1">
      <alignment horizontal="center" vertical="center"/>
    </xf>
    <xf numFmtId="0" fontId="4" fillId="14" borderId="14" xfId="0" applyFont="1" applyFill="1" applyBorder="1" applyAlignment="1">
      <alignment horizontal="center" vertical="center"/>
    </xf>
    <xf numFmtId="0" fontId="6" fillId="14" borderId="14" xfId="0" applyFont="1" applyFill="1" applyBorder="1" applyAlignment="1">
      <alignment horizontal="center" vertical="center"/>
    </xf>
    <xf numFmtId="0" fontId="4" fillId="14" borderId="28" xfId="0" applyFont="1" applyFill="1" applyBorder="1" applyAlignment="1">
      <alignment horizontal="center" vertical="center"/>
    </xf>
    <xf numFmtId="0" fontId="4" fillId="14" borderId="30" xfId="0" applyFont="1" applyFill="1" applyBorder="1" applyAlignment="1">
      <alignment horizontal="center" vertical="center"/>
    </xf>
    <xf numFmtId="0" fontId="6" fillId="14" borderId="31" xfId="0" applyFont="1" applyFill="1" applyBorder="1" applyAlignment="1">
      <alignment horizontal="center" vertical="center"/>
    </xf>
    <xf numFmtId="0" fontId="4" fillId="14" borderId="35" xfId="0" applyFont="1" applyFill="1" applyBorder="1" applyAlignment="1">
      <alignment horizontal="center" vertical="center"/>
    </xf>
    <xf numFmtId="0" fontId="4" fillId="14" borderId="36" xfId="0" applyFont="1" applyFill="1" applyBorder="1" applyAlignment="1">
      <alignment horizontal="center" vertical="center"/>
    </xf>
    <xf numFmtId="0" fontId="4" fillId="14" borderId="37" xfId="0" applyFont="1" applyFill="1" applyBorder="1" applyAlignment="1">
      <alignment horizontal="center" vertical="center"/>
    </xf>
    <xf numFmtId="0" fontId="4" fillId="14" borderId="31" xfId="0" applyFont="1" applyFill="1" applyBorder="1" applyAlignment="1">
      <alignment horizontal="center" vertical="center"/>
    </xf>
    <xf numFmtId="0" fontId="6" fillId="14" borderId="32" xfId="0" applyFont="1" applyFill="1" applyBorder="1" applyAlignment="1">
      <alignment horizontal="center" vertical="center"/>
    </xf>
    <xf numFmtId="0" fontId="4" fillId="14" borderId="43" xfId="0" applyFont="1" applyFill="1" applyBorder="1" applyAlignment="1">
      <alignment horizontal="center" vertical="center"/>
    </xf>
    <xf numFmtId="0" fontId="4" fillId="15" borderId="1" xfId="0" applyFont="1" applyFill="1" applyBorder="1" applyAlignment="1">
      <alignment horizontal="center" vertical="center"/>
    </xf>
    <xf numFmtId="0" fontId="5" fillId="15" borderId="1" xfId="0" applyFont="1" applyFill="1" applyBorder="1" applyAlignment="1">
      <alignment horizontal="center" vertical="center"/>
    </xf>
    <xf numFmtId="0" fontId="6" fillId="15" borderId="1" xfId="0" applyFont="1" applyFill="1" applyBorder="1" applyAlignment="1">
      <alignment horizontal="center" vertical="center"/>
    </xf>
    <xf numFmtId="0" fontId="6" fillId="15" borderId="29" xfId="0" applyFont="1" applyFill="1" applyBorder="1" applyAlignment="1">
      <alignment horizontal="center" vertical="center"/>
    </xf>
    <xf numFmtId="0" fontId="4" fillId="16" borderId="1" xfId="0" applyFont="1" applyFill="1" applyBorder="1" applyAlignment="1">
      <alignment horizontal="center" vertical="center"/>
    </xf>
    <xf numFmtId="0" fontId="5" fillId="16" borderId="1" xfId="0" applyFont="1" applyFill="1" applyBorder="1" applyAlignment="1">
      <alignment horizontal="center" vertical="center"/>
    </xf>
    <xf numFmtId="0" fontId="6" fillId="16" borderId="1" xfId="0" applyFont="1" applyFill="1" applyBorder="1" applyAlignment="1">
      <alignment horizontal="center" vertical="center"/>
    </xf>
    <xf numFmtId="0" fontId="6" fillId="16" borderId="44" xfId="0" applyFont="1" applyFill="1" applyBorder="1" applyAlignment="1">
      <alignment horizontal="center" vertical="center"/>
    </xf>
    <xf numFmtId="0" fontId="6" fillId="16" borderId="29" xfId="0" applyFont="1" applyFill="1" applyBorder="1" applyAlignment="1">
      <alignment horizontal="center" vertical="center"/>
    </xf>
    <xf numFmtId="0" fontId="4" fillId="0" borderId="47" xfId="0" applyFont="1" applyBorder="1" applyAlignment="1">
      <alignment horizontal="center" vertical="center"/>
    </xf>
    <xf numFmtId="0" fontId="11" fillId="16" borderId="1" xfId="0" applyFont="1" applyFill="1" applyBorder="1" applyAlignment="1">
      <alignment horizontal="center" vertical="center"/>
    </xf>
    <xf numFmtId="0" fontId="11" fillId="16" borderId="44" xfId="0" applyFont="1" applyFill="1" applyBorder="1" applyAlignment="1">
      <alignment horizontal="center" vertical="center"/>
    </xf>
    <xf numFmtId="0" fontId="11" fillId="16" borderId="29" xfId="0" applyFont="1" applyFill="1" applyBorder="1" applyAlignment="1">
      <alignment horizontal="center" vertical="center"/>
    </xf>
    <xf numFmtId="0" fontId="11" fillId="2" borderId="1" xfId="0" applyFont="1" applyFill="1" applyBorder="1" applyAlignment="1">
      <alignment horizontal="center" vertical="center"/>
    </xf>
    <xf numFmtId="0" fontId="12" fillId="0" borderId="0" xfId="0" applyFont="1">
      <alignment vertical="center"/>
    </xf>
    <xf numFmtId="176" fontId="1" fillId="0" borderId="5" xfId="0" applyNumberFormat="1" applyFont="1" applyBorder="1" applyAlignment="1">
      <alignment horizontal="center" vertical="center"/>
    </xf>
    <xf numFmtId="176" fontId="1" fillId="0" borderId="6" xfId="0" applyNumberFormat="1" applyFont="1" applyBorder="1" applyAlignment="1">
      <alignment horizontal="center" vertical="center"/>
    </xf>
    <xf numFmtId="0" fontId="1" fillId="0" borderId="7" xfId="0" applyFont="1" applyBorder="1">
      <alignment vertical="center"/>
    </xf>
    <xf numFmtId="0" fontId="7" fillId="0" borderId="7" xfId="0" applyFont="1" applyBorder="1" applyAlignment="1">
      <alignment horizontal="center" vertical="center"/>
    </xf>
    <xf numFmtId="0" fontId="1" fillId="0" borderId="8" xfId="0" applyFont="1" applyBorder="1">
      <alignment vertical="center"/>
    </xf>
    <xf numFmtId="177" fontId="1" fillId="0" borderId="12" xfId="0" applyNumberFormat="1" applyFont="1" applyBorder="1" applyAlignment="1">
      <alignment horizontal="center" vertical="center"/>
    </xf>
    <xf numFmtId="177" fontId="1" fillId="0" borderId="13" xfId="0" applyNumberFormat="1" applyFont="1" applyBorder="1" applyAlignment="1">
      <alignment horizontal="center" vertical="center"/>
    </xf>
    <xf numFmtId="177" fontId="1" fillId="0" borderId="14" xfId="0" applyNumberFormat="1" applyFont="1" applyBorder="1" applyAlignment="1">
      <alignment horizontal="center" vertical="center"/>
    </xf>
    <xf numFmtId="177" fontId="1" fillId="0" borderId="15" xfId="0" applyNumberFormat="1" applyFont="1" applyBorder="1" applyAlignment="1">
      <alignment horizontal="center" vertical="center"/>
    </xf>
    <xf numFmtId="178" fontId="1" fillId="0" borderId="12" xfId="0" applyNumberFormat="1" applyFont="1" applyBorder="1" applyAlignment="1">
      <alignment horizontal="center" vertical="center"/>
    </xf>
    <xf numFmtId="178" fontId="1" fillId="0" borderId="16" xfId="0" applyNumberFormat="1" applyFont="1" applyBorder="1" applyAlignment="1">
      <alignment horizontal="center" vertical="center"/>
    </xf>
    <xf numFmtId="178" fontId="1" fillId="0" borderId="17" xfId="0" applyNumberFormat="1" applyFont="1" applyBorder="1" applyAlignment="1">
      <alignment horizontal="center" vertical="center"/>
    </xf>
    <xf numFmtId="178" fontId="1" fillId="0" borderId="18" xfId="0" applyNumberFormat="1" applyFont="1" applyBorder="1" applyAlignment="1">
      <alignment horizontal="center" vertical="center"/>
    </xf>
    <xf numFmtId="0" fontId="4" fillId="15" borderId="31" xfId="0" applyFont="1" applyFill="1" applyBorder="1" applyAlignment="1">
      <alignment horizontal="center" vertical="center"/>
    </xf>
    <xf numFmtId="0" fontId="5" fillId="15" borderId="31" xfId="0" applyFont="1" applyFill="1" applyBorder="1" applyAlignment="1">
      <alignment horizontal="center" vertical="center"/>
    </xf>
    <xf numFmtId="0" fontId="6" fillId="15" borderId="31" xfId="0" applyFont="1" applyFill="1" applyBorder="1" applyAlignment="1">
      <alignment horizontal="center" vertical="center"/>
    </xf>
    <xf numFmtId="0" fontId="6" fillId="15" borderId="32" xfId="0" applyFont="1" applyFill="1" applyBorder="1" applyAlignment="1">
      <alignment horizontal="center" vertical="center"/>
    </xf>
    <xf numFmtId="0" fontId="4" fillId="0" borderId="26" xfId="0" applyFont="1" applyBorder="1" applyAlignment="1">
      <alignment horizontal="center" vertical="center"/>
    </xf>
    <xf numFmtId="0" fontId="5" fillId="0" borderId="26"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29" xfId="0" applyFont="1" applyBorder="1" applyAlignment="1">
      <alignment horizontal="center" vertical="center"/>
    </xf>
    <xf numFmtId="0" fontId="5" fillId="14" borderId="44" xfId="0" applyFont="1" applyFill="1" applyBorder="1" applyAlignment="1">
      <alignment horizontal="center" vertical="center"/>
    </xf>
    <xf numFmtId="0" fontId="5" fillId="15" borderId="44" xfId="0" applyFont="1" applyFill="1" applyBorder="1" applyAlignment="1">
      <alignment horizontal="center" vertical="center"/>
    </xf>
    <xf numFmtId="0" fontId="6" fillId="14" borderId="25" xfId="0" applyFont="1" applyFill="1" applyBorder="1" applyAlignment="1">
      <alignment horizontal="center" vertical="center"/>
    </xf>
    <xf numFmtId="0" fontId="6" fillId="14" borderId="28" xfId="0" applyFont="1" applyFill="1" applyBorder="1" applyAlignment="1">
      <alignment horizontal="center" vertical="center"/>
    </xf>
    <xf numFmtId="0" fontId="6" fillId="14" borderId="30" xfId="0" applyFont="1" applyFill="1" applyBorder="1" applyAlignment="1">
      <alignment horizontal="center" vertical="center"/>
    </xf>
    <xf numFmtId="0" fontId="5" fillId="14" borderId="50" xfId="0" applyFont="1" applyFill="1" applyBorder="1" applyAlignment="1">
      <alignment horizontal="center" vertical="center"/>
    </xf>
    <xf numFmtId="0" fontId="5" fillId="14" borderId="51" xfId="0" applyFont="1" applyFill="1" applyBorder="1" applyAlignment="1">
      <alignment horizontal="center" vertical="center"/>
    </xf>
    <xf numFmtId="0" fontId="5" fillId="14" borderId="52" xfId="0" applyFont="1" applyFill="1" applyBorder="1" applyAlignment="1">
      <alignment horizontal="center" vertical="center"/>
    </xf>
    <xf numFmtId="0" fontId="5" fillId="14" borderId="34" xfId="0" applyFont="1" applyFill="1" applyBorder="1" applyAlignment="1">
      <alignment horizontal="center" vertical="center"/>
    </xf>
    <xf numFmtId="0" fontId="6" fillId="15" borderId="28" xfId="0" applyFont="1" applyFill="1" applyBorder="1" applyAlignment="1">
      <alignment horizontal="center" vertical="center"/>
    </xf>
    <xf numFmtId="0" fontId="6" fillId="14" borderId="16" xfId="0" applyFont="1" applyFill="1" applyBorder="1" applyAlignment="1">
      <alignment horizontal="center" vertical="center"/>
    </xf>
    <xf numFmtId="0" fontId="4" fillId="14" borderId="11" xfId="0" applyFont="1" applyFill="1" applyBorder="1" applyAlignment="1">
      <alignment horizontal="center" vertical="center"/>
    </xf>
    <xf numFmtId="0" fontId="5" fillId="14" borderId="47" xfId="0" applyFont="1" applyFill="1" applyBorder="1" applyAlignment="1">
      <alignment horizontal="center" vertical="center"/>
    </xf>
    <xf numFmtId="0" fontId="6" fillId="14" borderId="21" xfId="0" applyFont="1" applyFill="1" applyBorder="1" applyAlignment="1">
      <alignment horizontal="center" vertical="center"/>
    </xf>
    <xf numFmtId="0" fontId="6" fillId="14" borderId="42" xfId="0" applyFont="1" applyFill="1" applyBorder="1" applyAlignment="1">
      <alignment horizontal="center" vertical="center"/>
    </xf>
    <xf numFmtId="0" fontId="6" fillId="14" borderId="12" xfId="0" applyFont="1" applyFill="1" applyBorder="1" applyAlignment="1">
      <alignment horizontal="center" vertical="center"/>
    </xf>
    <xf numFmtId="0" fontId="4" fillId="0" borderId="12" xfId="0" applyFont="1" applyBorder="1" applyAlignment="1">
      <alignment horizontal="center" vertical="center"/>
    </xf>
    <xf numFmtId="0" fontId="4" fillId="14" borderId="45" xfId="0" applyFont="1" applyFill="1" applyBorder="1" applyAlignment="1">
      <alignment horizontal="center" vertical="center"/>
    </xf>
    <xf numFmtId="0" fontId="13" fillId="0" borderId="32" xfId="0" applyFont="1" applyBorder="1" applyAlignment="1">
      <alignment horizontal="center" vertical="center"/>
    </xf>
    <xf numFmtId="0" fontId="13" fillId="0" borderId="18" xfId="0" applyFont="1" applyBorder="1" applyAlignment="1">
      <alignment horizontal="center" vertical="center"/>
    </xf>
    <xf numFmtId="0" fontId="0" fillId="15" borderId="0" xfId="0" applyFill="1">
      <alignment vertical="center"/>
    </xf>
    <xf numFmtId="0" fontId="14" fillId="14" borderId="1" xfId="0" applyFont="1" applyFill="1" applyBorder="1" applyAlignment="1">
      <alignment horizontal="center" vertical="center"/>
    </xf>
    <xf numFmtId="0" fontId="13" fillId="0" borderId="53" xfId="0" applyFont="1" applyBorder="1" applyAlignment="1">
      <alignment horizontal="center" vertical="center"/>
    </xf>
    <xf numFmtId="0" fontId="14" fillId="0" borderId="29" xfId="0" applyFont="1" applyBorder="1" applyAlignment="1">
      <alignment horizontal="center" vertical="center"/>
    </xf>
    <xf numFmtId="0" fontId="14" fillId="14" borderId="36" xfId="0" applyFont="1" applyFill="1" applyBorder="1" applyAlignment="1">
      <alignment horizontal="center" vertical="center"/>
    </xf>
    <xf numFmtId="0" fontId="5" fillId="14" borderId="27" xfId="0" applyFont="1" applyFill="1" applyBorder="1" applyAlignment="1">
      <alignment horizontal="center" vertical="center"/>
    </xf>
    <xf numFmtId="0" fontId="5" fillId="14" borderId="29" xfId="0" applyFont="1" applyFill="1" applyBorder="1" applyAlignment="1">
      <alignment horizontal="center" vertical="center"/>
    </xf>
    <xf numFmtId="0" fontId="4" fillId="14" borderId="54" xfId="0" applyFont="1" applyFill="1" applyBorder="1" applyAlignment="1">
      <alignment horizontal="center" vertical="center"/>
    </xf>
    <xf numFmtId="0" fontId="4" fillId="14" borderId="55" xfId="0" applyFont="1" applyFill="1" applyBorder="1" applyAlignment="1">
      <alignment horizontal="center" vertical="center"/>
    </xf>
    <xf numFmtId="0" fontId="5" fillId="14" borderId="32" xfId="0" applyFont="1" applyFill="1" applyBorder="1" applyAlignment="1">
      <alignment horizontal="center" vertical="center"/>
    </xf>
    <xf numFmtId="0" fontId="5" fillId="14" borderId="36" xfId="0" applyFont="1" applyFill="1" applyBorder="1" applyAlignment="1">
      <alignment horizontal="center" vertical="center"/>
    </xf>
    <xf numFmtId="0" fontId="5" fillId="15" borderId="36" xfId="0" applyFont="1" applyFill="1" applyBorder="1" applyAlignment="1">
      <alignment horizontal="center" vertical="center"/>
    </xf>
    <xf numFmtId="0" fontId="4" fillId="14" borderId="27" xfId="0" applyFont="1" applyFill="1" applyBorder="1" applyAlignment="1">
      <alignment horizontal="center" vertical="center"/>
    </xf>
    <xf numFmtId="0" fontId="4" fillId="14" borderId="29" xfId="0" applyFont="1" applyFill="1" applyBorder="1" applyAlignment="1">
      <alignment horizontal="center" vertical="center"/>
    </xf>
    <xf numFmtId="0" fontId="4" fillId="15" borderId="29" xfId="0" applyFont="1" applyFill="1" applyBorder="1" applyAlignment="1">
      <alignment horizontal="center" vertical="center"/>
    </xf>
    <xf numFmtId="0" fontId="4" fillId="14" borderId="32" xfId="0" applyFont="1" applyFill="1" applyBorder="1" applyAlignment="1">
      <alignment horizontal="center" vertical="center"/>
    </xf>
    <xf numFmtId="0" fontId="6" fillId="14" borderId="13" xfId="0" applyFont="1" applyFill="1" applyBorder="1" applyAlignment="1">
      <alignment horizontal="center" vertical="center"/>
    </xf>
    <xf numFmtId="0" fontId="6" fillId="14" borderId="15" xfId="0" applyFont="1" applyFill="1" applyBorder="1" applyAlignment="1">
      <alignment horizontal="center" vertical="center"/>
    </xf>
    <xf numFmtId="0" fontId="6" fillId="14" borderId="56" xfId="0" applyFont="1" applyFill="1" applyBorder="1" applyAlignment="1">
      <alignment horizontal="center" vertical="center"/>
    </xf>
    <xf numFmtId="0" fontId="6" fillId="14" borderId="57" xfId="0" applyFont="1" applyFill="1" applyBorder="1" applyAlignment="1">
      <alignment horizontal="center" vertical="center"/>
    </xf>
    <xf numFmtId="0" fontId="6" fillId="14" borderId="58" xfId="0" applyFont="1" applyFill="1" applyBorder="1" applyAlignment="1">
      <alignment horizontal="center" vertical="center"/>
    </xf>
    <xf numFmtId="0" fontId="11" fillId="15" borderId="1" xfId="0" applyFont="1" applyFill="1" applyBorder="1" applyAlignment="1">
      <alignment horizontal="center" vertical="center"/>
    </xf>
    <xf numFmtId="0" fontId="11" fillId="14" borderId="31" xfId="0" applyFont="1" applyFill="1" applyBorder="1" applyAlignment="1">
      <alignment horizontal="center" vertical="center"/>
    </xf>
    <xf numFmtId="0" fontId="11" fillId="14" borderId="28" xfId="0" applyFont="1" applyFill="1" applyBorder="1" applyAlignment="1">
      <alignment horizontal="center" vertical="center"/>
    </xf>
    <xf numFmtId="0" fontId="11" fillId="14" borderId="29" xfId="0" applyFont="1" applyFill="1" applyBorder="1" applyAlignment="1">
      <alignment horizontal="center" vertical="center"/>
    </xf>
    <xf numFmtId="0" fontId="11" fillId="15" borderId="28" xfId="0" applyFont="1" applyFill="1" applyBorder="1" applyAlignment="1">
      <alignment horizontal="center" vertical="center"/>
    </xf>
    <xf numFmtId="0" fontId="11" fillId="15" borderId="29" xfId="0" applyFont="1" applyFill="1" applyBorder="1" applyAlignment="1">
      <alignment horizontal="center" vertical="center"/>
    </xf>
    <xf numFmtId="0" fontId="11" fillId="14" borderId="30"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24" xfId="0" applyFont="1" applyFill="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40"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16" borderId="19" xfId="0" applyFont="1" applyFill="1" applyBorder="1" applyAlignment="1">
      <alignment horizontal="center" vertical="center"/>
    </xf>
    <xf numFmtId="0" fontId="4" fillId="16" borderId="24" xfId="0" applyFont="1" applyFill="1" applyBorder="1" applyAlignment="1">
      <alignment horizontal="center" vertical="center"/>
    </xf>
    <xf numFmtId="177" fontId="1" fillId="4" borderId="41" xfId="0" applyNumberFormat="1" applyFont="1" applyFill="1" applyBorder="1" applyAlignment="1">
      <alignment horizontal="center" vertical="center" wrapText="1"/>
    </xf>
    <xf numFmtId="177" fontId="1" fillId="4" borderId="42" xfId="0" applyNumberFormat="1" applyFont="1" applyFill="1" applyBorder="1" applyAlignment="1">
      <alignment horizontal="center" vertical="center" wrapText="1"/>
    </xf>
    <xf numFmtId="177" fontId="1" fillId="4" borderId="14" xfId="0" applyNumberFormat="1"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23"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4" fillId="0" borderId="38" xfId="0" applyFont="1" applyBorder="1" applyAlignment="1">
      <alignment horizontal="center" vertical="center" wrapText="1"/>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0" fillId="0" borderId="28" xfId="0" applyBorder="1" applyAlignment="1">
      <alignment horizontal="center" vertical="center"/>
    </xf>
    <xf numFmtId="0" fontId="0" fillId="0" borderId="1"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4" fillId="13" borderId="19" xfId="0" applyFont="1" applyFill="1" applyBorder="1" applyAlignment="1">
      <alignment horizontal="center" vertical="center"/>
    </xf>
    <xf numFmtId="0" fontId="4" fillId="13" borderId="24" xfId="0" applyFont="1" applyFill="1" applyBorder="1" applyAlignment="1">
      <alignment horizontal="center" vertical="center"/>
    </xf>
    <xf numFmtId="0" fontId="4" fillId="13" borderId="2" xfId="0" applyFont="1" applyFill="1" applyBorder="1" applyAlignment="1">
      <alignment horizontal="center" vertical="center"/>
    </xf>
    <xf numFmtId="0" fontId="4" fillId="13" borderId="23" xfId="0" applyFont="1" applyFill="1" applyBorder="1" applyAlignment="1">
      <alignment horizontal="center" vertical="center"/>
    </xf>
    <xf numFmtId="0" fontId="4" fillId="15" borderId="46" xfId="0" applyFont="1" applyFill="1" applyBorder="1" applyAlignment="1">
      <alignment horizontal="center" vertical="center"/>
    </xf>
    <xf numFmtId="0" fontId="4" fillId="15" borderId="36" xfId="0" applyFont="1" applyFill="1" applyBorder="1" applyAlignment="1">
      <alignment horizontal="center" vertical="center"/>
    </xf>
    <xf numFmtId="0" fontId="4" fillId="15" borderId="19" xfId="0" applyFont="1" applyFill="1" applyBorder="1" applyAlignment="1">
      <alignment horizontal="center" vertical="center"/>
    </xf>
    <xf numFmtId="0" fontId="4" fillId="15" borderId="24"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3" xfId="0" applyFont="1" applyFill="1" applyBorder="1" applyAlignment="1">
      <alignment horizontal="center" vertical="center"/>
    </xf>
    <xf numFmtId="0" fontId="1" fillId="12" borderId="9" xfId="0" applyFont="1" applyFill="1" applyBorder="1" applyAlignment="1">
      <alignment horizontal="center" vertical="center"/>
    </xf>
    <xf numFmtId="0" fontId="1" fillId="12" borderId="10" xfId="0" applyFont="1" applyFill="1" applyBorder="1" applyAlignment="1">
      <alignment horizontal="center" vertical="center"/>
    </xf>
    <xf numFmtId="0" fontId="1" fillId="12" borderId="4" xfId="0" applyFont="1" applyFill="1" applyBorder="1" applyAlignment="1">
      <alignment horizontal="center" vertical="center" wrapText="1"/>
    </xf>
    <xf numFmtId="0" fontId="1" fillId="12" borderId="11" xfId="0" applyFont="1" applyFill="1" applyBorder="1" applyAlignment="1">
      <alignment horizontal="center" vertical="center"/>
    </xf>
    <xf numFmtId="177" fontId="1" fillId="12" borderId="41" xfId="0" applyNumberFormat="1" applyFont="1" applyFill="1" applyBorder="1" applyAlignment="1">
      <alignment horizontal="center" vertical="center" wrapText="1"/>
    </xf>
    <xf numFmtId="177" fontId="1" fillId="12" borderId="42" xfId="0" applyNumberFormat="1" applyFont="1" applyFill="1" applyBorder="1" applyAlignment="1">
      <alignment horizontal="center" vertical="center" wrapText="1"/>
    </xf>
    <xf numFmtId="177" fontId="1" fillId="12" borderId="14" xfId="0" applyNumberFormat="1" applyFont="1" applyFill="1" applyBorder="1" applyAlignment="1">
      <alignment horizontal="center" vertical="center" wrapText="1"/>
    </xf>
    <xf numFmtId="0" fontId="4" fillId="0" borderId="46" xfId="0" applyFont="1" applyBorder="1" applyAlignment="1">
      <alignment horizontal="center" vertical="center"/>
    </xf>
    <xf numFmtId="0" fontId="4" fillId="0" borderId="36" xfId="0" applyFont="1" applyBorder="1" applyAlignment="1">
      <alignment horizontal="center" vertical="center"/>
    </xf>
    <xf numFmtId="0" fontId="4" fillId="15" borderId="48" xfId="0" applyFont="1" applyFill="1" applyBorder="1" applyAlignment="1">
      <alignment horizontal="center" vertical="center"/>
    </xf>
    <xf numFmtId="0" fontId="4" fillId="15" borderId="37" xfId="0" applyFont="1" applyFill="1" applyBorder="1" applyAlignment="1">
      <alignment horizontal="center" vertical="center"/>
    </xf>
    <xf numFmtId="0" fontId="4" fillId="0" borderId="39" xfId="0" applyFont="1" applyBorder="1" applyAlignment="1">
      <alignment horizontal="center" vertical="center" wrapText="1"/>
    </xf>
    <xf numFmtId="0" fontId="4" fillId="0" borderId="19" xfId="0" applyFont="1" applyBorder="1" applyAlignment="1">
      <alignment horizontal="center" vertical="center"/>
    </xf>
    <xf numFmtId="0" fontId="4" fillId="15" borderId="49" xfId="0" applyFont="1" applyFill="1" applyBorder="1" applyAlignment="1">
      <alignment horizontal="center" vertical="center"/>
    </xf>
    <xf numFmtId="0" fontId="4" fillId="0" borderId="6" xfId="0" applyFont="1" applyBorder="1" applyAlignment="1">
      <alignment horizontal="center" vertical="center"/>
    </xf>
    <xf numFmtId="0" fontId="4" fillId="0" borderId="35" xfId="0" applyFont="1" applyBorder="1" applyAlignment="1">
      <alignment horizontal="center" vertical="center"/>
    </xf>
    <xf numFmtId="0" fontId="4" fillId="0" borderId="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1" fillId="0" borderId="4" xfId="0" applyFont="1" applyBorder="1" applyAlignment="1">
      <alignment horizontal="center" vertical="center" wrapText="1"/>
    </xf>
    <xf numFmtId="0" fontId="1" fillId="0" borderId="11" xfId="0" applyFont="1" applyBorder="1" applyAlignment="1">
      <alignment horizontal="center" vertical="center"/>
    </xf>
    <xf numFmtId="177" fontId="1" fillId="0" borderId="41" xfId="0" applyNumberFormat="1" applyFont="1" applyBorder="1" applyAlignment="1">
      <alignment horizontal="center" vertical="center" wrapText="1"/>
    </xf>
    <xf numFmtId="177" fontId="1" fillId="0" borderId="42" xfId="0" applyNumberFormat="1"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4" fillId="13" borderId="48" xfId="0" applyFont="1" applyFill="1" applyBorder="1" applyAlignment="1">
      <alignment horizontal="center" vertical="center"/>
    </xf>
    <xf numFmtId="0" fontId="4" fillId="13" borderId="49" xfId="0" applyFont="1" applyFill="1" applyBorder="1" applyAlignment="1">
      <alignment horizontal="center" vertical="center"/>
    </xf>
    <xf numFmtId="0" fontId="4" fillId="13" borderId="9" xfId="0" applyFont="1" applyFill="1" applyBorder="1" applyAlignment="1">
      <alignment horizontal="center" vertical="center"/>
    </xf>
    <xf numFmtId="0" fontId="4" fillId="13" borderId="0" xfId="0" applyFont="1" applyFill="1" applyAlignment="1">
      <alignment horizontal="center" vertical="center"/>
    </xf>
    <xf numFmtId="0" fontId="8" fillId="9" borderId="44" xfId="0" applyFont="1" applyFill="1" applyBorder="1" applyAlignment="1">
      <alignment horizontal="center" vertical="center"/>
    </xf>
    <xf numFmtId="0" fontId="8" fillId="9" borderId="36" xfId="0" applyFont="1" applyFill="1" applyBorder="1" applyAlignment="1">
      <alignment horizontal="center" vertical="center"/>
    </xf>
  </cellXfs>
  <cellStyles count="1">
    <cellStyle name="標準" xfId="0" builtinId="0"/>
  </cellStyles>
  <dxfs count="37">
    <dxf>
      <font>
        <color rgb="FFFF0000"/>
      </font>
    </dxf>
    <dxf>
      <fill>
        <patternFill>
          <bgColor theme="1" tint="0.499984740745262"/>
        </patternFill>
      </fill>
    </dxf>
    <dxf>
      <font>
        <color rgb="FFFF0000"/>
      </font>
    </dxf>
    <dxf>
      <font>
        <color rgb="FFFF0000"/>
      </font>
    </dxf>
    <dxf>
      <fill>
        <patternFill>
          <bgColor theme="1" tint="0.499984740745262"/>
        </patternFill>
      </fill>
    </dxf>
    <dxf>
      <fill>
        <patternFill>
          <bgColor theme="1" tint="0.499984740745262"/>
        </patternFill>
      </fill>
    </dxf>
    <dxf>
      <font>
        <color rgb="FFFF0000"/>
      </font>
    </dxf>
    <dxf>
      <fill>
        <patternFill>
          <bgColor theme="1" tint="0.499984740745262"/>
        </patternFill>
      </fill>
    </dxf>
    <dxf>
      <fill>
        <patternFill>
          <bgColor rgb="FFFFFF00"/>
        </patternFill>
      </fill>
    </dxf>
    <dxf>
      <font>
        <color rgb="FFFF0000"/>
      </font>
    </dxf>
    <dxf>
      <fill>
        <patternFill>
          <bgColor theme="1" tint="0.499984740745262"/>
        </patternFill>
      </fill>
    </dxf>
    <dxf>
      <fill>
        <patternFill>
          <bgColor rgb="FFFFFF00"/>
        </patternFill>
      </fill>
    </dxf>
    <dxf>
      <font>
        <color rgb="FFFF0000"/>
      </font>
    </dxf>
    <dxf>
      <fill>
        <patternFill>
          <bgColor theme="1" tint="0.499984740745262"/>
        </patternFill>
      </fill>
    </dxf>
    <dxf>
      <fill>
        <patternFill>
          <bgColor theme="1" tint="0.499984740745262"/>
        </patternFill>
      </fill>
    </dxf>
    <dxf>
      <fill>
        <patternFill>
          <bgColor theme="1" tint="0.499984740745262"/>
        </patternFill>
      </fill>
    </dxf>
    <dxf>
      <fill>
        <patternFill>
          <bgColor rgb="FFFFFF00"/>
        </patternFill>
      </fill>
    </dxf>
    <dxf>
      <font>
        <color rgb="FFFF0000"/>
      </font>
    </dxf>
    <dxf>
      <fill>
        <patternFill>
          <bgColor theme="1" tint="0.499984740745262"/>
        </patternFill>
      </fill>
    </dxf>
    <dxf>
      <fill>
        <patternFill>
          <bgColor rgb="FFFFFF00"/>
        </patternFill>
      </fill>
    </dxf>
    <dxf>
      <font>
        <color rgb="FFFF0000"/>
      </font>
    </dxf>
    <dxf>
      <fill>
        <patternFill>
          <bgColor theme="1" tint="0.499984740745262"/>
        </patternFill>
      </fill>
    </dxf>
    <dxf>
      <fill>
        <patternFill>
          <bgColor theme="1" tint="0.499984740745262"/>
        </patternFill>
      </fill>
    </dxf>
    <dxf>
      <fill>
        <patternFill>
          <bgColor rgb="FFFFFF00"/>
        </patternFill>
      </fill>
    </dxf>
    <dxf>
      <font>
        <color rgb="FFFF0000"/>
      </font>
    </dxf>
    <dxf>
      <fill>
        <patternFill>
          <bgColor theme="1" tint="0.499984740745262"/>
        </patternFill>
      </fill>
    </dxf>
    <dxf>
      <fill>
        <patternFill>
          <bgColor rgb="FFFFFF00"/>
        </patternFill>
      </fill>
    </dxf>
    <dxf>
      <font>
        <color rgb="FFFF0000"/>
      </font>
    </dxf>
    <dxf>
      <fill>
        <patternFill>
          <bgColor theme="1" tint="0.499984740745262"/>
        </patternFill>
      </fill>
    </dxf>
    <dxf>
      <fill>
        <patternFill>
          <bgColor rgb="FFFFFF00"/>
        </patternFill>
      </fill>
    </dxf>
    <dxf>
      <font>
        <color rgb="FFFF0000"/>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rgb="FFFFFF00"/>
        </patternFill>
      </fill>
    </dxf>
  </dxfs>
  <tableStyles count="0" defaultTableStyle="TableStyleMedium2" defaultPivotStyle="PivotStyleLight16"/>
  <colors>
    <mruColors>
      <color rgb="FFFFFFCC"/>
      <color rgb="FFE5E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Araki, Yugo" id="{B12493F5-3F86-41BF-AAF5-DA260C74C00A}" userId="S::yugo.araki@accenture.com::9738746d-73a5-4ab0-b765-5b4c16f3439a"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38" dT="2026-04-14T07:01:21.90" personId="{B12493F5-3F86-41BF-AAF5-DA260C74C00A}" id="{2AB90226-96FA-45A5-B019-3FEC9A5C6BF3}">
    <text>児童手当通知書発送、PM休み</text>
  </threadedComment>
</ThreadedComments>
</file>

<file path=xl/threadedComments/threadedComment2.xml><?xml version="1.0" encoding="utf-8"?>
<ThreadedComments xmlns="http://schemas.microsoft.com/office/spreadsheetml/2018/threadedcomments" xmlns:x="http://schemas.openxmlformats.org/spreadsheetml/2006/main">
  <threadedComment ref="Q41" dT="2026-04-14T07:01:21.90" personId="{B12493F5-3F86-41BF-AAF5-DA260C74C00A}" id="{93208D1B-9883-44DC-B6FC-4C8F16D7F9D9}">
    <text>児童手当通知書発送、PM休み</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58B5E-EB6B-4A16-B8A9-B59A1AE50C6F}">
  <dimension ref="A1:AL70"/>
  <sheetViews>
    <sheetView tabSelected="1" zoomScale="130" zoomScaleNormal="130" workbookViewId="0">
      <pane xSplit="7" ySplit="5" topLeftCell="O6" activePane="bottomRight" state="frozen"/>
      <selection pane="topRight" activeCell="F36" sqref="F36"/>
      <selection pane="bottomLeft" activeCell="F36" sqref="F36"/>
      <selection pane="bottomRight"/>
    </sheetView>
  </sheetViews>
  <sheetFormatPr defaultRowHeight="15" outlineLevelRow="1"/>
  <cols>
    <col min="1" max="1" width="3.42578125" customWidth="1"/>
    <col min="2" max="2" width="4.640625" customWidth="1"/>
    <col min="3" max="3" width="3.35546875" bestFit="1" customWidth="1"/>
    <col min="4" max="4" width="8.5703125" customWidth="1"/>
    <col min="5" max="5" width="6.85546875" style="11" bestFit="1" customWidth="1"/>
    <col min="6" max="6" width="6" customWidth="1"/>
    <col min="7" max="7" width="4.640625" bestFit="1" customWidth="1"/>
    <col min="8" max="8" width="4.5703125" customWidth="1"/>
    <col min="9" max="9" width="4.35546875" bestFit="1" customWidth="1"/>
    <col min="10" max="10" width="4.640625" customWidth="1"/>
    <col min="11" max="11" width="4.140625" customWidth="1"/>
    <col min="12" max="21" width="4.35546875" bestFit="1" customWidth="1"/>
    <col min="22" max="22" width="4" customWidth="1"/>
    <col min="23" max="37" width="4.140625" customWidth="1"/>
    <col min="38" max="38" width="7.42578125" customWidth="1"/>
  </cols>
  <sheetData>
    <row r="1" spans="1:38">
      <c r="A1" t="s">
        <v>103</v>
      </c>
    </row>
    <row r="2" spans="1:38" ht="15.5" thickBot="1">
      <c r="E2"/>
      <c r="J2">
        <v>1</v>
      </c>
      <c r="M2">
        <v>1</v>
      </c>
      <c r="N2">
        <v>1</v>
      </c>
      <c r="O2">
        <v>1</v>
      </c>
      <c r="P2">
        <v>1</v>
      </c>
      <c r="Q2">
        <v>1</v>
      </c>
      <c r="T2">
        <v>1</v>
      </c>
      <c r="U2">
        <v>1</v>
      </c>
      <c r="V2">
        <v>1</v>
      </c>
      <c r="W2">
        <v>1</v>
      </c>
      <c r="X2">
        <v>1</v>
      </c>
      <c r="AA2">
        <v>1</v>
      </c>
      <c r="AB2">
        <v>1</v>
      </c>
      <c r="AC2">
        <v>1</v>
      </c>
      <c r="AD2">
        <v>1</v>
      </c>
      <c r="AE2">
        <v>1</v>
      </c>
      <c r="AH2">
        <v>1</v>
      </c>
      <c r="AI2">
        <v>1</v>
      </c>
      <c r="AK2">
        <v>1</v>
      </c>
      <c r="AL2">
        <f>SUM(H2:AK2)</f>
        <v>19</v>
      </c>
    </row>
    <row r="3" spans="1:38" s="1" customFormat="1" ht="15" customHeight="1">
      <c r="C3" s="222"/>
      <c r="D3" s="223"/>
      <c r="E3" s="218" t="s">
        <v>0</v>
      </c>
      <c r="F3" s="215" t="s">
        <v>1</v>
      </c>
      <c r="G3" s="42"/>
      <c r="H3" s="2">
        <v>46113</v>
      </c>
      <c r="I3" s="3"/>
      <c r="J3" s="3"/>
      <c r="K3" s="3"/>
      <c r="L3" s="3"/>
      <c r="M3" s="3"/>
      <c r="N3" s="13" t="s">
        <v>2</v>
      </c>
      <c r="O3" s="3"/>
      <c r="P3" s="3"/>
      <c r="Q3" s="3"/>
      <c r="R3" s="3"/>
      <c r="S3" s="3"/>
      <c r="T3" s="13" t="s">
        <v>2</v>
      </c>
      <c r="U3" s="3"/>
      <c r="V3" s="3"/>
      <c r="W3" s="3"/>
      <c r="X3" s="3"/>
      <c r="Y3" s="3"/>
      <c r="Z3" s="3"/>
      <c r="AA3" s="3"/>
      <c r="AB3" s="3"/>
      <c r="AC3" s="3"/>
      <c r="AD3" s="3"/>
      <c r="AE3" s="3"/>
      <c r="AF3" s="3"/>
      <c r="AG3" s="3"/>
      <c r="AH3" s="3"/>
      <c r="AI3" s="3"/>
      <c r="AJ3" s="3"/>
      <c r="AK3" s="4"/>
      <c r="AL3" s="1" t="s">
        <v>3</v>
      </c>
    </row>
    <row r="4" spans="1:38" s="1" customFormat="1" ht="13.5" customHeight="1">
      <c r="C4" s="224"/>
      <c r="D4" s="225"/>
      <c r="E4" s="219"/>
      <c r="F4" s="216"/>
      <c r="G4" s="43"/>
      <c r="H4" s="5">
        <f>H3</f>
        <v>46113</v>
      </c>
      <c r="I4" s="6">
        <f t="shared" ref="I4:AK4" si="0">H4+1</f>
        <v>46114</v>
      </c>
      <c r="J4" s="6">
        <f t="shared" si="0"/>
        <v>46115</v>
      </c>
      <c r="K4" s="6">
        <f t="shared" si="0"/>
        <v>46116</v>
      </c>
      <c r="L4" s="6">
        <f t="shared" si="0"/>
        <v>46117</v>
      </c>
      <c r="M4" s="6">
        <f t="shared" si="0"/>
        <v>46118</v>
      </c>
      <c r="N4" s="6">
        <f t="shared" si="0"/>
        <v>46119</v>
      </c>
      <c r="O4" s="6">
        <f t="shared" si="0"/>
        <v>46120</v>
      </c>
      <c r="P4" s="6">
        <f t="shared" ref="P4" si="1">O4+1</f>
        <v>46121</v>
      </c>
      <c r="Q4" s="6">
        <f t="shared" ref="Q4" si="2">P4+1</f>
        <v>46122</v>
      </c>
      <c r="R4" s="6">
        <f t="shared" ref="R4" si="3">Q4+1</f>
        <v>46123</v>
      </c>
      <c r="S4" s="6">
        <f t="shared" ref="S4" si="4">R4+1</f>
        <v>46124</v>
      </c>
      <c r="T4" s="6">
        <f t="shared" ref="T4" si="5">S4+1</f>
        <v>46125</v>
      </c>
      <c r="U4" s="6">
        <f t="shared" ref="U4" si="6">T4+1</f>
        <v>46126</v>
      </c>
      <c r="V4" s="6">
        <f t="shared" si="0"/>
        <v>46127</v>
      </c>
      <c r="W4" s="6">
        <f t="shared" si="0"/>
        <v>46128</v>
      </c>
      <c r="X4" s="6">
        <f t="shared" si="0"/>
        <v>46129</v>
      </c>
      <c r="Y4" s="6">
        <f t="shared" si="0"/>
        <v>46130</v>
      </c>
      <c r="Z4" s="6">
        <f t="shared" si="0"/>
        <v>46131</v>
      </c>
      <c r="AA4" s="6">
        <f t="shared" si="0"/>
        <v>46132</v>
      </c>
      <c r="AB4" s="6">
        <f t="shared" si="0"/>
        <v>46133</v>
      </c>
      <c r="AC4" s="6">
        <f t="shared" si="0"/>
        <v>46134</v>
      </c>
      <c r="AD4" s="6">
        <f t="shared" si="0"/>
        <v>46135</v>
      </c>
      <c r="AE4" s="6">
        <f t="shared" si="0"/>
        <v>46136</v>
      </c>
      <c r="AF4" s="6">
        <f t="shared" si="0"/>
        <v>46137</v>
      </c>
      <c r="AG4" s="6">
        <f t="shared" si="0"/>
        <v>46138</v>
      </c>
      <c r="AH4" s="6">
        <f t="shared" si="0"/>
        <v>46139</v>
      </c>
      <c r="AI4" s="6">
        <f t="shared" si="0"/>
        <v>46140</v>
      </c>
      <c r="AJ4" s="6">
        <f t="shared" si="0"/>
        <v>46141</v>
      </c>
      <c r="AK4" s="7">
        <f t="shared" si="0"/>
        <v>46142</v>
      </c>
      <c r="AL4" s="1" t="s">
        <v>3</v>
      </c>
    </row>
    <row r="5" spans="1:38" s="1" customFormat="1" ht="14" thickBot="1">
      <c r="C5" s="224"/>
      <c r="D5" s="225"/>
      <c r="E5" s="219"/>
      <c r="F5" s="217"/>
      <c r="G5" s="44"/>
      <c r="H5" s="8">
        <f>H4</f>
        <v>46113</v>
      </c>
      <c r="I5" s="9">
        <f t="shared" ref="I5:AK5" si="7">I4</f>
        <v>46114</v>
      </c>
      <c r="J5" s="9">
        <f t="shared" si="7"/>
        <v>46115</v>
      </c>
      <c r="K5" s="9">
        <f t="shared" si="7"/>
        <v>46116</v>
      </c>
      <c r="L5" s="9">
        <f t="shared" si="7"/>
        <v>46117</v>
      </c>
      <c r="M5" s="9">
        <f t="shared" si="7"/>
        <v>46118</v>
      </c>
      <c r="N5" s="9">
        <f t="shared" si="7"/>
        <v>46119</v>
      </c>
      <c r="O5" s="9">
        <f t="shared" si="7"/>
        <v>46120</v>
      </c>
      <c r="P5" s="9">
        <f t="shared" si="7"/>
        <v>46121</v>
      </c>
      <c r="Q5" s="9">
        <f t="shared" si="7"/>
        <v>46122</v>
      </c>
      <c r="R5" s="9">
        <f t="shared" si="7"/>
        <v>46123</v>
      </c>
      <c r="S5" s="9">
        <f t="shared" si="7"/>
        <v>46124</v>
      </c>
      <c r="T5" s="9">
        <f t="shared" si="7"/>
        <v>46125</v>
      </c>
      <c r="U5" s="9">
        <f t="shared" si="7"/>
        <v>46126</v>
      </c>
      <c r="V5" s="9">
        <f t="shared" si="7"/>
        <v>46127</v>
      </c>
      <c r="W5" s="9">
        <f t="shared" si="7"/>
        <v>46128</v>
      </c>
      <c r="X5" s="9">
        <f t="shared" si="7"/>
        <v>46129</v>
      </c>
      <c r="Y5" s="9">
        <f t="shared" si="7"/>
        <v>46130</v>
      </c>
      <c r="Z5" s="9">
        <f t="shared" si="7"/>
        <v>46131</v>
      </c>
      <c r="AA5" s="9">
        <f t="shared" si="7"/>
        <v>46132</v>
      </c>
      <c r="AB5" s="9">
        <f t="shared" si="7"/>
        <v>46133</v>
      </c>
      <c r="AC5" s="9">
        <f t="shared" si="7"/>
        <v>46134</v>
      </c>
      <c r="AD5" s="9">
        <f t="shared" si="7"/>
        <v>46135</v>
      </c>
      <c r="AE5" s="9">
        <f t="shared" si="7"/>
        <v>46136</v>
      </c>
      <c r="AF5" s="9">
        <f t="shared" si="7"/>
        <v>46137</v>
      </c>
      <c r="AG5" s="9">
        <f t="shared" si="7"/>
        <v>46138</v>
      </c>
      <c r="AH5" s="9">
        <f t="shared" si="7"/>
        <v>46139</v>
      </c>
      <c r="AI5" s="9">
        <f t="shared" si="7"/>
        <v>46140</v>
      </c>
      <c r="AJ5" s="9">
        <f t="shared" si="7"/>
        <v>46141</v>
      </c>
      <c r="AK5" s="10">
        <f t="shared" si="7"/>
        <v>46142</v>
      </c>
      <c r="AL5" s="1" t="s">
        <v>3</v>
      </c>
    </row>
    <row r="6" spans="1:38" s="1" customFormat="1" ht="15" customHeight="1">
      <c r="B6" s="207" t="s">
        <v>4</v>
      </c>
      <c r="C6" s="220" t="s">
        <v>5</v>
      </c>
      <c r="D6" s="221"/>
      <c r="E6" s="39">
        <f t="shared" ref="E6:E9" si="8">SUM(H6:AK6)</f>
        <v>4525</v>
      </c>
      <c r="F6" s="39" t="s">
        <v>6</v>
      </c>
      <c r="G6" s="15" t="s">
        <v>7</v>
      </c>
      <c r="H6" s="18">
        <v>0</v>
      </c>
      <c r="I6" s="18">
        <v>0</v>
      </c>
      <c r="J6" s="18">
        <f>104+464</f>
        <v>568</v>
      </c>
      <c r="K6" s="18">
        <v>0</v>
      </c>
      <c r="L6" s="18">
        <v>0</v>
      </c>
      <c r="M6" s="18">
        <v>487</v>
      </c>
      <c r="N6" s="18">
        <v>0</v>
      </c>
      <c r="O6" s="18">
        <v>498</v>
      </c>
      <c r="P6" s="18">
        <v>43</v>
      </c>
      <c r="Q6" s="18">
        <v>43</v>
      </c>
      <c r="R6" s="18">
        <v>0</v>
      </c>
      <c r="S6" s="18">
        <v>0</v>
      </c>
      <c r="T6" s="18">
        <v>0</v>
      </c>
      <c r="U6" s="18">
        <v>226</v>
      </c>
      <c r="V6" s="18">
        <v>162</v>
      </c>
      <c r="W6" s="18">
        <v>86</v>
      </c>
      <c r="X6" s="18">
        <v>866</v>
      </c>
      <c r="Y6" s="18">
        <v>0</v>
      </c>
      <c r="Z6" s="18">
        <v>0</v>
      </c>
      <c r="AA6" s="18">
        <v>356</v>
      </c>
      <c r="AB6" s="18">
        <v>220</v>
      </c>
      <c r="AC6" s="18">
        <v>228</v>
      </c>
      <c r="AD6" s="18">
        <v>161</v>
      </c>
      <c r="AE6" s="18">
        <v>116</v>
      </c>
      <c r="AF6" s="18">
        <v>0</v>
      </c>
      <c r="AG6" s="18">
        <v>0</v>
      </c>
      <c r="AH6" s="18">
        <v>81</v>
      </c>
      <c r="AI6" s="18">
        <v>179</v>
      </c>
      <c r="AJ6" s="18">
        <v>0</v>
      </c>
      <c r="AK6" s="24">
        <v>205</v>
      </c>
      <c r="AL6" s="1">
        <f>SUM(H6:AK6)</f>
        <v>4525</v>
      </c>
    </row>
    <row r="7" spans="1:38" s="1" customFormat="1" ht="15" customHeight="1">
      <c r="B7" s="208"/>
      <c r="C7" s="205" t="s">
        <v>8</v>
      </c>
      <c r="D7" s="206"/>
      <c r="E7" s="39">
        <f t="shared" si="8"/>
        <v>1520</v>
      </c>
      <c r="F7" s="39" t="s">
        <v>6</v>
      </c>
      <c r="G7" s="15" t="s">
        <v>7</v>
      </c>
      <c r="H7" s="18">
        <f t="shared" ref="H7:AK7" si="9">SUM(H13*$F$13,H14*$F$14,H15*$F$15,$F$16*H16,$F$17*H17,$F$18*H18,$F$19*H19)</f>
        <v>0</v>
      </c>
      <c r="I7" s="18">
        <f t="shared" si="9"/>
        <v>0</v>
      </c>
      <c r="J7" s="18">
        <f t="shared" si="9"/>
        <v>85</v>
      </c>
      <c r="K7" s="18">
        <f t="shared" si="9"/>
        <v>0</v>
      </c>
      <c r="L7" s="18">
        <f t="shared" si="9"/>
        <v>0</v>
      </c>
      <c r="M7" s="18">
        <f t="shared" si="9"/>
        <v>75</v>
      </c>
      <c r="N7" s="18">
        <f t="shared" si="9"/>
        <v>75</v>
      </c>
      <c r="O7" s="18">
        <f t="shared" si="9"/>
        <v>75</v>
      </c>
      <c r="P7" s="18">
        <f t="shared" si="9"/>
        <v>75</v>
      </c>
      <c r="Q7" s="18">
        <f t="shared" si="9"/>
        <v>85</v>
      </c>
      <c r="R7" s="18">
        <f t="shared" si="9"/>
        <v>0</v>
      </c>
      <c r="S7" s="18">
        <f t="shared" si="9"/>
        <v>0</v>
      </c>
      <c r="T7" s="18">
        <f t="shared" si="9"/>
        <v>65</v>
      </c>
      <c r="U7" s="18">
        <f t="shared" si="9"/>
        <v>65</v>
      </c>
      <c r="V7" s="18">
        <f t="shared" si="9"/>
        <v>65</v>
      </c>
      <c r="W7" s="18">
        <f t="shared" si="9"/>
        <v>65</v>
      </c>
      <c r="X7" s="18">
        <f t="shared" si="9"/>
        <v>75</v>
      </c>
      <c r="Y7" s="18">
        <f t="shared" si="9"/>
        <v>0</v>
      </c>
      <c r="Z7" s="18">
        <f t="shared" si="9"/>
        <v>0</v>
      </c>
      <c r="AA7" s="18">
        <f t="shared" si="9"/>
        <v>105</v>
      </c>
      <c r="AB7" s="18">
        <f t="shared" si="9"/>
        <v>105</v>
      </c>
      <c r="AC7" s="18">
        <f t="shared" si="9"/>
        <v>105</v>
      </c>
      <c r="AD7" s="18">
        <f t="shared" si="9"/>
        <v>105</v>
      </c>
      <c r="AE7" s="18">
        <f t="shared" si="9"/>
        <v>105</v>
      </c>
      <c r="AF7" s="18">
        <f t="shared" si="9"/>
        <v>0</v>
      </c>
      <c r="AG7" s="18">
        <f t="shared" si="9"/>
        <v>0</v>
      </c>
      <c r="AH7" s="18">
        <f t="shared" si="9"/>
        <v>95</v>
      </c>
      <c r="AI7" s="18">
        <f t="shared" si="9"/>
        <v>0</v>
      </c>
      <c r="AJ7" s="18">
        <f t="shared" si="9"/>
        <v>0</v>
      </c>
      <c r="AK7" s="18">
        <f t="shared" si="9"/>
        <v>95</v>
      </c>
      <c r="AL7" s="1" t="s">
        <v>3</v>
      </c>
    </row>
    <row r="8" spans="1:38" s="1" customFormat="1" ht="15" customHeight="1">
      <c r="B8" s="208"/>
      <c r="C8" s="213" t="s">
        <v>9</v>
      </c>
      <c r="D8" s="214"/>
      <c r="E8" s="121" t="s">
        <v>10</v>
      </c>
      <c r="F8" s="121" t="s">
        <v>10</v>
      </c>
      <c r="G8" s="122" t="s">
        <v>11</v>
      </c>
      <c r="H8" s="123">
        <f>H7</f>
        <v>0</v>
      </c>
      <c r="I8" s="123">
        <f>H8+I7</f>
        <v>0</v>
      </c>
      <c r="J8" s="123">
        <f>I8+J7</f>
        <v>85</v>
      </c>
      <c r="K8" s="123">
        <f t="shared" ref="K8:AK8" si="10">J8+K7</f>
        <v>85</v>
      </c>
      <c r="L8" s="123">
        <f t="shared" si="10"/>
        <v>85</v>
      </c>
      <c r="M8" s="123">
        <f t="shared" si="10"/>
        <v>160</v>
      </c>
      <c r="N8" s="123">
        <f t="shared" si="10"/>
        <v>235</v>
      </c>
      <c r="O8" s="123">
        <f t="shared" si="10"/>
        <v>310</v>
      </c>
      <c r="P8" s="123">
        <f t="shared" si="10"/>
        <v>385</v>
      </c>
      <c r="Q8" s="123">
        <f t="shared" si="10"/>
        <v>470</v>
      </c>
      <c r="R8" s="123">
        <f t="shared" si="10"/>
        <v>470</v>
      </c>
      <c r="S8" s="123">
        <f t="shared" si="10"/>
        <v>470</v>
      </c>
      <c r="T8" s="123">
        <f t="shared" si="10"/>
        <v>535</v>
      </c>
      <c r="U8" s="123">
        <f t="shared" si="10"/>
        <v>600</v>
      </c>
      <c r="V8" s="123">
        <f t="shared" si="10"/>
        <v>665</v>
      </c>
      <c r="W8" s="123">
        <f t="shared" si="10"/>
        <v>730</v>
      </c>
      <c r="X8" s="123">
        <f t="shared" si="10"/>
        <v>805</v>
      </c>
      <c r="Y8" s="123">
        <f t="shared" si="10"/>
        <v>805</v>
      </c>
      <c r="Z8" s="123">
        <f t="shared" si="10"/>
        <v>805</v>
      </c>
      <c r="AA8" s="123">
        <f t="shared" si="10"/>
        <v>910</v>
      </c>
      <c r="AB8" s="123">
        <f t="shared" si="10"/>
        <v>1015</v>
      </c>
      <c r="AC8" s="123">
        <f t="shared" si="10"/>
        <v>1120</v>
      </c>
      <c r="AD8" s="123">
        <f t="shared" si="10"/>
        <v>1225</v>
      </c>
      <c r="AE8" s="123">
        <f t="shared" si="10"/>
        <v>1330</v>
      </c>
      <c r="AF8" s="123">
        <f t="shared" si="10"/>
        <v>1330</v>
      </c>
      <c r="AG8" s="123">
        <f t="shared" si="10"/>
        <v>1330</v>
      </c>
      <c r="AH8" s="123">
        <f t="shared" si="10"/>
        <v>1425</v>
      </c>
      <c r="AI8" s="123">
        <f t="shared" si="10"/>
        <v>1425</v>
      </c>
      <c r="AJ8" s="123">
        <f t="shared" si="10"/>
        <v>1425</v>
      </c>
      <c r="AK8" s="124">
        <f t="shared" si="10"/>
        <v>1520</v>
      </c>
    </row>
    <row r="9" spans="1:38" s="1" customFormat="1" ht="15" customHeight="1">
      <c r="B9" s="208"/>
      <c r="C9" s="205" t="s">
        <v>12</v>
      </c>
      <c r="D9" s="206"/>
      <c r="E9" s="39">
        <f t="shared" si="8"/>
        <v>1001</v>
      </c>
      <c r="F9" s="39" t="s">
        <v>10</v>
      </c>
      <c r="G9" s="15" t="s">
        <v>7</v>
      </c>
      <c r="H9" s="18">
        <f>SUM(H20:H23)</f>
        <v>0</v>
      </c>
      <c r="I9" s="18">
        <f>SUM(I20*$F$20,I21*$F$21,I22*$F$22,I23*$F$23)</f>
        <v>0</v>
      </c>
      <c r="J9" s="18">
        <f>SUM(J20*$F$20,J21*$F$21,J22*$F$22,J23*$F$23)</f>
        <v>39</v>
      </c>
      <c r="K9" s="18">
        <f t="shared" ref="K9:AK9" si="11">SUM(K20*$F$20,K21*$F$21,K22*$F$22,K23*$F$23)</f>
        <v>0</v>
      </c>
      <c r="L9" s="18">
        <f t="shared" si="11"/>
        <v>0</v>
      </c>
      <c r="M9" s="18">
        <f>SUM(M20*$F$20,M21*$F$21,M22*$F$22,M23*$F$23)</f>
        <v>35</v>
      </c>
      <c r="N9" s="18">
        <f t="shared" si="11"/>
        <v>45</v>
      </c>
      <c r="O9" s="18">
        <f t="shared" si="11"/>
        <v>35</v>
      </c>
      <c r="P9" s="18">
        <f t="shared" si="11"/>
        <v>35</v>
      </c>
      <c r="Q9" s="18">
        <f t="shared" si="11"/>
        <v>45</v>
      </c>
      <c r="R9" s="18">
        <f t="shared" si="11"/>
        <v>0</v>
      </c>
      <c r="S9" s="18">
        <f t="shared" si="11"/>
        <v>0</v>
      </c>
      <c r="T9" s="18">
        <f>SUM(T20*$F$20,T21*$F$21,T22*$F$22,T23*$F$23)</f>
        <v>45</v>
      </c>
      <c r="U9" s="18">
        <f>SUM(U20*$F$20,U21*$F$21,U22*$F$22,U23*$F$23)</f>
        <v>55</v>
      </c>
      <c r="V9" s="18">
        <f>SUM(V20*$F$20,V21*$F$21,V22*$F$22,V23*$F$23)</f>
        <v>45</v>
      </c>
      <c r="W9" s="18">
        <f>SUM(W20*$F$20,W21*$F$21,W22*$F$22,W23*$F$23)</f>
        <v>45</v>
      </c>
      <c r="X9" s="18">
        <f>SUM(X20*$F$20,X21*$F$21,X22*$F$22,X23*$F$23)</f>
        <v>55</v>
      </c>
      <c r="Y9" s="18">
        <f t="shared" si="11"/>
        <v>0</v>
      </c>
      <c r="Z9" s="18">
        <f t="shared" si="11"/>
        <v>0</v>
      </c>
      <c r="AA9" s="18">
        <f>SUM(AA20*$F$20,AA21*$F$21,AA22*$F$22,AA23*$F$23)</f>
        <v>70</v>
      </c>
      <c r="AB9" s="18">
        <f>SUM(AB20*$F$20,AB21*$F$21,AB22*$F$22,AB23*$F$23)</f>
        <v>72</v>
      </c>
      <c r="AC9" s="18">
        <f>SUM(AC20*$F$20,AC21*$F$21,AC22*$F$22,AC23*$F$23)</f>
        <v>70</v>
      </c>
      <c r="AD9" s="18">
        <f>SUM(AD20*$F$20,AD21*$F$21,AD22*$F$22,AD23*$F$23)</f>
        <v>70</v>
      </c>
      <c r="AE9" s="18">
        <f>SUM(AE20*$F$20,AE21*$F$21,AE22*$F$22,AE23*$F$23)</f>
        <v>80</v>
      </c>
      <c r="AF9" s="18">
        <f t="shared" si="11"/>
        <v>0</v>
      </c>
      <c r="AG9" s="18">
        <f t="shared" si="11"/>
        <v>0</v>
      </c>
      <c r="AH9" s="18">
        <f t="shared" si="11"/>
        <v>80</v>
      </c>
      <c r="AI9" s="18">
        <f t="shared" si="11"/>
        <v>0</v>
      </c>
      <c r="AJ9" s="18">
        <f t="shared" si="11"/>
        <v>0</v>
      </c>
      <c r="AK9" s="24">
        <f t="shared" si="11"/>
        <v>80</v>
      </c>
      <c r="AL9" s="1" t="s">
        <v>3</v>
      </c>
    </row>
    <row r="10" spans="1:38" s="1" customFormat="1" ht="15" customHeight="1">
      <c r="B10" s="208"/>
      <c r="C10" s="213" t="s">
        <v>13</v>
      </c>
      <c r="D10" s="214"/>
      <c r="E10" s="121" t="s">
        <v>10</v>
      </c>
      <c r="F10" s="121" t="s">
        <v>10</v>
      </c>
      <c r="G10" s="122" t="s">
        <v>11</v>
      </c>
      <c r="H10" s="123">
        <f>H9</f>
        <v>0</v>
      </c>
      <c r="I10" s="123">
        <f>H10+I9</f>
        <v>0</v>
      </c>
      <c r="J10" s="123">
        <f t="shared" ref="J10:AK10" si="12">I10+J9</f>
        <v>39</v>
      </c>
      <c r="K10" s="123">
        <f t="shared" si="12"/>
        <v>39</v>
      </c>
      <c r="L10" s="123">
        <f t="shared" si="12"/>
        <v>39</v>
      </c>
      <c r="M10" s="123">
        <f t="shared" si="12"/>
        <v>74</v>
      </c>
      <c r="N10" s="123">
        <f t="shared" si="12"/>
        <v>119</v>
      </c>
      <c r="O10" s="123">
        <f t="shared" si="12"/>
        <v>154</v>
      </c>
      <c r="P10" s="123">
        <f t="shared" si="12"/>
        <v>189</v>
      </c>
      <c r="Q10" s="123">
        <f t="shared" si="12"/>
        <v>234</v>
      </c>
      <c r="R10" s="123">
        <f t="shared" si="12"/>
        <v>234</v>
      </c>
      <c r="S10" s="123">
        <f t="shared" si="12"/>
        <v>234</v>
      </c>
      <c r="T10" s="123">
        <f t="shared" si="12"/>
        <v>279</v>
      </c>
      <c r="U10" s="123">
        <f t="shared" si="12"/>
        <v>334</v>
      </c>
      <c r="V10" s="123">
        <f t="shared" si="12"/>
        <v>379</v>
      </c>
      <c r="W10" s="123">
        <f t="shared" si="12"/>
        <v>424</v>
      </c>
      <c r="X10" s="123">
        <f t="shared" si="12"/>
        <v>479</v>
      </c>
      <c r="Y10" s="123">
        <f t="shared" si="12"/>
        <v>479</v>
      </c>
      <c r="Z10" s="123">
        <f t="shared" si="12"/>
        <v>479</v>
      </c>
      <c r="AA10" s="123">
        <f t="shared" si="12"/>
        <v>549</v>
      </c>
      <c r="AB10" s="123">
        <f t="shared" si="12"/>
        <v>621</v>
      </c>
      <c r="AC10" s="123">
        <f t="shared" si="12"/>
        <v>691</v>
      </c>
      <c r="AD10" s="123">
        <f t="shared" si="12"/>
        <v>761</v>
      </c>
      <c r="AE10" s="123">
        <f t="shared" si="12"/>
        <v>841</v>
      </c>
      <c r="AF10" s="123">
        <f t="shared" si="12"/>
        <v>841</v>
      </c>
      <c r="AG10" s="123">
        <f t="shared" si="12"/>
        <v>841</v>
      </c>
      <c r="AH10" s="123">
        <f t="shared" si="12"/>
        <v>921</v>
      </c>
      <c r="AI10" s="123">
        <f t="shared" si="12"/>
        <v>921</v>
      </c>
      <c r="AJ10" s="123">
        <f t="shared" si="12"/>
        <v>921</v>
      </c>
      <c r="AK10" s="125">
        <f t="shared" si="12"/>
        <v>1001</v>
      </c>
    </row>
    <row r="11" spans="1:38" s="1" customFormat="1" ht="13.5">
      <c r="B11" s="208"/>
      <c r="C11" s="205" t="s">
        <v>14</v>
      </c>
      <c r="D11" s="206"/>
      <c r="E11" s="39">
        <f>E6-E7</f>
        <v>3005</v>
      </c>
      <c r="F11" s="39" t="s">
        <v>6</v>
      </c>
      <c r="G11" s="15" t="s">
        <v>7</v>
      </c>
      <c r="H11" s="18">
        <f>H6-H7</f>
        <v>0</v>
      </c>
      <c r="I11" s="18">
        <f t="shared" ref="I11:AK11" si="13">H11+I6-I7</f>
        <v>0</v>
      </c>
      <c r="J11" s="18">
        <f t="shared" si="13"/>
        <v>483</v>
      </c>
      <c r="K11" s="18">
        <f t="shared" si="13"/>
        <v>483</v>
      </c>
      <c r="L11" s="18">
        <f t="shared" si="13"/>
        <v>483</v>
      </c>
      <c r="M11" s="18">
        <f t="shared" si="13"/>
        <v>895</v>
      </c>
      <c r="N11" s="18">
        <f t="shared" si="13"/>
        <v>820</v>
      </c>
      <c r="O11" s="18">
        <f t="shared" si="13"/>
        <v>1243</v>
      </c>
      <c r="P11" s="18">
        <f t="shared" si="13"/>
        <v>1211</v>
      </c>
      <c r="Q11" s="18">
        <f t="shared" si="13"/>
        <v>1169</v>
      </c>
      <c r="R11" s="18">
        <f t="shared" si="13"/>
        <v>1169</v>
      </c>
      <c r="S11" s="18">
        <f t="shared" si="13"/>
        <v>1169</v>
      </c>
      <c r="T11" s="18">
        <f t="shared" si="13"/>
        <v>1104</v>
      </c>
      <c r="U11" s="18">
        <f t="shared" si="13"/>
        <v>1265</v>
      </c>
      <c r="V11" s="18">
        <f t="shared" si="13"/>
        <v>1362</v>
      </c>
      <c r="W11" s="18">
        <f t="shared" si="13"/>
        <v>1383</v>
      </c>
      <c r="X11" s="18">
        <f t="shared" si="13"/>
        <v>2174</v>
      </c>
      <c r="Y11" s="18">
        <f t="shared" si="13"/>
        <v>2174</v>
      </c>
      <c r="Z11" s="18">
        <f t="shared" si="13"/>
        <v>2174</v>
      </c>
      <c r="AA11" s="18">
        <f t="shared" si="13"/>
        <v>2425</v>
      </c>
      <c r="AB11" s="18">
        <f t="shared" si="13"/>
        <v>2540</v>
      </c>
      <c r="AC11" s="18">
        <f t="shared" si="13"/>
        <v>2663</v>
      </c>
      <c r="AD11" s="18">
        <f t="shared" si="13"/>
        <v>2719</v>
      </c>
      <c r="AE11" s="18">
        <f t="shared" si="13"/>
        <v>2730</v>
      </c>
      <c r="AF11" s="18">
        <f t="shared" si="13"/>
        <v>2730</v>
      </c>
      <c r="AG11" s="18">
        <f t="shared" si="13"/>
        <v>2730</v>
      </c>
      <c r="AH11" s="18">
        <f t="shared" si="13"/>
        <v>2716</v>
      </c>
      <c r="AI11" s="18">
        <f t="shared" si="13"/>
        <v>2895</v>
      </c>
      <c r="AJ11" s="18">
        <f t="shared" si="13"/>
        <v>2895</v>
      </c>
      <c r="AK11" s="24">
        <f t="shared" si="13"/>
        <v>3005</v>
      </c>
      <c r="AL11" s="1" t="s">
        <v>3</v>
      </c>
    </row>
    <row r="12" spans="1:38" s="1" customFormat="1" ht="14" thickBot="1">
      <c r="B12" s="208"/>
      <c r="C12" s="205" t="s">
        <v>15</v>
      </c>
      <c r="D12" s="206"/>
      <c r="E12" s="19">
        <f>E6-E9</f>
        <v>3524</v>
      </c>
      <c r="F12" s="19" t="s">
        <v>6</v>
      </c>
      <c r="G12" s="15" t="s">
        <v>7</v>
      </c>
      <c r="H12" s="20">
        <f>SUM($H$6:H6)-SUM($H$9:H9)</f>
        <v>0</v>
      </c>
      <c r="I12" s="20">
        <f t="shared" ref="I12:AK12" si="14">H12+I6-I9</f>
        <v>0</v>
      </c>
      <c r="J12" s="20">
        <f t="shared" si="14"/>
        <v>529</v>
      </c>
      <c r="K12" s="20">
        <f t="shared" si="14"/>
        <v>529</v>
      </c>
      <c r="L12" s="20">
        <f t="shared" si="14"/>
        <v>529</v>
      </c>
      <c r="M12" s="20">
        <f t="shared" si="14"/>
        <v>981</v>
      </c>
      <c r="N12" s="20">
        <f t="shared" si="14"/>
        <v>936</v>
      </c>
      <c r="O12" s="20">
        <f t="shared" si="14"/>
        <v>1399</v>
      </c>
      <c r="P12" s="20">
        <f t="shared" si="14"/>
        <v>1407</v>
      </c>
      <c r="Q12" s="20">
        <f t="shared" si="14"/>
        <v>1405</v>
      </c>
      <c r="R12" s="20">
        <f t="shared" si="14"/>
        <v>1405</v>
      </c>
      <c r="S12" s="20">
        <f t="shared" si="14"/>
        <v>1405</v>
      </c>
      <c r="T12" s="20">
        <f t="shared" si="14"/>
        <v>1360</v>
      </c>
      <c r="U12" s="20">
        <f t="shared" si="14"/>
        <v>1531</v>
      </c>
      <c r="V12" s="20">
        <f t="shared" si="14"/>
        <v>1648</v>
      </c>
      <c r="W12" s="20">
        <f t="shared" si="14"/>
        <v>1689</v>
      </c>
      <c r="X12" s="20">
        <f t="shared" si="14"/>
        <v>2500</v>
      </c>
      <c r="Y12" s="20">
        <f t="shared" si="14"/>
        <v>2500</v>
      </c>
      <c r="Z12" s="20">
        <f t="shared" si="14"/>
        <v>2500</v>
      </c>
      <c r="AA12" s="20">
        <f t="shared" si="14"/>
        <v>2786</v>
      </c>
      <c r="AB12" s="20">
        <f t="shared" si="14"/>
        <v>2934</v>
      </c>
      <c r="AC12" s="20">
        <f t="shared" si="14"/>
        <v>3092</v>
      </c>
      <c r="AD12" s="20">
        <f t="shared" si="14"/>
        <v>3183</v>
      </c>
      <c r="AE12" s="20">
        <f t="shared" si="14"/>
        <v>3219</v>
      </c>
      <c r="AF12" s="20">
        <f t="shared" si="14"/>
        <v>3219</v>
      </c>
      <c r="AG12" s="20">
        <f t="shared" si="14"/>
        <v>3219</v>
      </c>
      <c r="AH12" s="20">
        <f t="shared" si="14"/>
        <v>3220</v>
      </c>
      <c r="AI12" s="20">
        <f t="shared" si="14"/>
        <v>3399</v>
      </c>
      <c r="AJ12" s="20">
        <f t="shared" si="14"/>
        <v>3399</v>
      </c>
      <c r="AK12" s="47">
        <f t="shared" si="14"/>
        <v>3524</v>
      </c>
      <c r="AL12" s="1" t="s">
        <v>3</v>
      </c>
    </row>
    <row r="13" spans="1:38" s="1" customFormat="1" ht="13.5">
      <c r="B13" s="208"/>
      <c r="C13" s="210" t="s">
        <v>16</v>
      </c>
      <c r="D13" s="28" t="s">
        <v>17</v>
      </c>
      <c r="E13" s="33">
        <f>SUM(H13:AK13)*F13</f>
        <v>210</v>
      </c>
      <c r="F13" s="40">
        <v>20</v>
      </c>
      <c r="G13" s="16" t="s">
        <v>18</v>
      </c>
      <c r="H13" s="22"/>
      <c r="I13" s="21"/>
      <c r="J13" s="21">
        <v>1</v>
      </c>
      <c r="K13" s="21"/>
      <c r="L13" s="21"/>
      <c r="M13" s="21">
        <v>0.5</v>
      </c>
      <c r="N13" s="21">
        <v>0.5</v>
      </c>
      <c r="O13" s="21">
        <v>0.5</v>
      </c>
      <c r="P13" s="21">
        <v>0.5</v>
      </c>
      <c r="Q13" s="21">
        <v>1</v>
      </c>
      <c r="R13" s="21"/>
      <c r="S13" s="21"/>
      <c r="T13" s="21">
        <v>0.5</v>
      </c>
      <c r="U13" s="21">
        <v>0.5</v>
      </c>
      <c r="V13" s="21">
        <v>0.5</v>
      </c>
      <c r="W13" s="21">
        <v>0.5</v>
      </c>
      <c r="X13" s="21">
        <v>1</v>
      </c>
      <c r="Y13" s="21"/>
      <c r="Z13" s="21"/>
      <c r="AA13" s="21">
        <v>0.5</v>
      </c>
      <c r="AB13" s="21">
        <v>0.5</v>
      </c>
      <c r="AC13" s="21">
        <v>0.5</v>
      </c>
      <c r="AD13" s="21">
        <v>0.5</v>
      </c>
      <c r="AE13" s="21">
        <v>0.5</v>
      </c>
      <c r="AF13" s="21"/>
      <c r="AG13" s="21"/>
      <c r="AH13" s="21">
        <v>0.5</v>
      </c>
      <c r="AI13" s="21"/>
      <c r="AJ13" s="21"/>
      <c r="AK13" s="23">
        <v>0.5</v>
      </c>
      <c r="AL13" s="1" t="s">
        <v>3</v>
      </c>
    </row>
    <row r="14" spans="1:38" s="1" customFormat="1" ht="13.5">
      <c r="B14" s="208"/>
      <c r="C14" s="211"/>
      <c r="D14" s="29" t="s">
        <v>19</v>
      </c>
      <c r="E14" s="53">
        <f t="shared" ref="E14:E15" si="15">SUM(H14:AK14)*F14</f>
        <v>110</v>
      </c>
      <c r="F14" s="56">
        <v>20</v>
      </c>
      <c r="G14" s="65" t="s">
        <v>18</v>
      </c>
      <c r="H14" s="69"/>
      <c r="I14" s="66"/>
      <c r="J14" s="66">
        <v>0.5</v>
      </c>
      <c r="K14" s="66"/>
      <c r="L14" s="66"/>
      <c r="M14" s="66">
        <v>0.5</v>
      </c>
      <c r="N14" s="66">
        <v>0.5</v>
      </c>
      <c r="O14" s="66">
        <v>0.5</v>
      </c>
      <c r="P14" s="66">
        <v>0.5</v>
      </c>
      <c r="Q14" s="66">
        <v>0.5</v>
      </c>
      <c r="R14" s="66"/>
      <c r="S14" s="66"/>
      <c r="T14" s="66"/>
      <c r="U14" s="66"/>
      <c r="V14" s="66"/>
      <c r="W14" s="66"/>
      <c r="X14" s="66"/>
      <c r="Y14" s="66"/>
      <c r="Z14" s="66"/>
      <c r="AA14" s="66">
        <v>0.5</v>
      </c>
      <c r="AB14" s="66">
        <v>0.5</v>
      </c>
      <c r="AC14" s="66">
        <v>0.5</v>
      </c>
      <c r="AD14" s="66">
        <v>0.5</v>
      </c>
      <c r="AE14" s="66">
        <v>0.5</v>
      </c>
      <c r="AF14" s="66"/>
      <c r="AG14" s="66"/>
      <c r="AH14" s="66"/>
      <c r="AI14" s="66"/>
      <c r="AJ14" s="66"/>
      <c r="AK14" s="67"/>
      <c r="AL14" s="1" t="s">
        <v>3</v>
      </c>
    </row>
    <row r="15" spans="1:38" s="1" customFormat="1" ht="13.5">
      <c r="B15" s="208"/>
      <c r="C15" s="211"/>
      <c r="D15" s="29" t="s">
        <v>20</v>
      </c>
      <c r="E15" s="53">
        <f t="shared" si="15"/>
        <v>360</v>
      </c>
      <c r="F15" s="56">
        <v>20</v>
      </c>
      <c r="G15" s="65" t="s">
        <v>18</v>
      </c>
      <c r="H15" s="69"/>
      <c r="I15" s="66"/>
      <c r="J15" s="66">
        <v>1</v>
      </c>
      <c r="K15" s="66"/>
      <c r="L15" s="66"/>
      <c r="M15" s="66">
        <v>1</v>
      </c>
      <c r="N15" s="66">
        <v>1</v>
      </c>
      <c r="O15" s="66">
        <v>1</v>
      </c>
      <c r="P15" s="66">
        <v>1</v>
      </c>
      <c r="Q15" s="66">
        <v>1</v>
      </c>
      <c r="R15" s="66"/>
      <c r="S15" s="66"/>
      <c r="T15" s="66">
        <v>1</v>
      </c>
      <c r="U15" s="66">
        <v>1</v>
      </c>
      <c r="V15" s="66">
        <v>1</v>
      </c>
      <c r="W15" s="66">
        <v>1</v>
      </c>
      <c r="X15" s="66">
        <v>1</v>
      </c>
      <c r="Y15" s="66"/>
      <c r="Z15" s="66"/>
      <c r="AA15" s="66">
        <v>1</v>
      </c>
      <c r="AB15" s="66">
        <v>1</v>
      </c>
      <c r="AC15" s="66">
        <v>1</v>
      </c>
      <c r="AD15" s="66">
        <v>1</v>
      </c>
      <c r="AE15" s="66">
        <v>1</v>
      </c>
      <c r="AF15" s="66"/>
      <c r="AG15" s="66"/>
      <c r="AH15" s="66">
        <v>1</v>
      </c>
      <c r="AI15" s="66"/>
      <c r="AJ15" s="66"/>
      <c r="AK15" s="67">
        <v>1</v>
      </c>
      <c r="AL15" s="1" t="s">
        <v>3</v>
      </c>
    </row>
    <row r="16" spans="1:38" s="1" customFormat="1" ht="13.5">
      <c r="B16" s="208"/>
      <c r="C16" s="211"/>
      <c r="D16" s="29" t="s">
        <v>21</v>
      </c>
      <c r="E16" s="34">
        <f t="shared" ref="E16:E23" si="16">SUM(H16:AK16)*F16</f>
        <v>180</v>
      </c>
      <c r="F16" s="39">
        <v>20</v>
      </c>
      <c r="G16" s="15" t="s">
        <v>18</v>
      </c>
      <c r="H16" s="18"/>
      <c r="I16" s="18"/>
      <c r="J16" s="18">
        <v>0.5</v>
      </c>
      <c r="K16" s="18"/>
      <c r="L16" s="18"/>
      <c r="M16" s="18">
        <v>0.5</v>
      </c>
      <c r="N16" s="18">
        <v>0.5</v>
      </c>
      <c r="O16" s="18">
        <v>0.5</v>
      </c>
      <c r="P16" s="18">
        <v>0.5</v>
      </c>
      <c r="Q16" s="18">
        <v>0.5</v>
      </c>
      <c r="R16" s="18"/>
      <c r="S16" s="18"/>
      <c r="T16" s="18">
        <v>0.5</v>
      </c>
      <c r="U16" s="18">
        <v>0.5</v>
      </c>
      <c r="V16" s="18">
        <v>0.5</v>
      </c>
      <c r="W16" s="18">
        <v>0.5</v>
      </c>
      <c r="X16" s="18">
        <v>0.5</v>
      </c>
      <c r="Y16" s="18"/>
      <c r="Z16" s="18"/>
      <c r="AA16" s="18">
        <v>0.5</v>
      </c>
      <c r="AB16" s="18">
        <v>0.5</v>
      </c>
      <c r="AC16" s="18">
        <v>0.5</v>
      </c>
      <c r="AD16" s="18">
        <v>0.5</v>
      </c>
      <c r="AE16" s="18">
        <v>0.5</v>
      </c>
      <c r="AF16" s="18"/>
      <c r="AG16" s="18"/>
      <c r="AH16" s="18">
        <v>0.5</v>
      </c>
      <c r="AI16" s="18"/>
      <c r="AJ16" s="18"/>
      <c r="AK16" s="18">
        <v>0.5</v>
      </c>
      <c r="AL16" s="1" t="s">
        <v>3</v>
      </c>
    </row>
    <row r="17" spans="2:38" s="1" customFormat="1" ht="13.5">
      <c r="B17" s="208"/>
      <c r="C17" s="211"/>
      <c r="D17" s="29" t="s">
        <v>22</v>
      </c>
      <c r="E17" s="34">
        <f t="shared" si="16"/>
        <v>210</v>
      </c>
      <c r="F17" s="39">
        <v>30</v>
      </c>
      <c r="G17" s="15" t="s">
        <v>18</v>
      </c>
      <c r="H17" s="20"/>
      <c r="I17" s="20"/>
      <c r="J17" s="18"/>
      <c r="K17" s="18"/>
      <c r="L17" s="18"/>
      <c r="M17" s="18"/>
      <c r="N17" s="18"/>
      <c r="O17" s="18"/>
      <c r="P17" s="18"/>
      <c r="Q17" s="18"/>
      <c r="R17" s="18"/>
      <c r="S17" s="18"/>
      <c r="T17" s="18"/>
      <c r="U17" s="18"/>
      <c r="V17" s="18"/>
      <c r="W17" s="18"/>
      <c r="X17" s="18"/>
      <c r="Y17" s="18"/>
      <c r="Z17" s="18"/>
      <c r="AA17" s="18">
        <v>1</v>
      </c>
      <c r="AB17" s="18">
        <v>1</v>
      </c>
      <c r="AC17" s="18">
        <v>1</v>
      </c>
      <c r="AD17" s="18">
        <v>1</v>
      </c>
      <c r="AE17" s="18">
        <v>1</v>
      </c>
      <c r="AF17" s="18"/>
      <c r="AG17" s="18"/>
      <c r="AH17" s="18">
        <v>1</v>
      </c>
      <c r="AI17" s="18"/>
      <c r="AJ17" s="18"/>
      <c r="AK17" s="18">
        <v>1</v>
      </c>
      <c r="AL17" s="1" t="s">
        <v>3</v>
      </c>
    </row>
    <row r="18" spans="2:38" s="1" customFormat="1" ht="13.5">
      <c r="B18" s="208"/>
      <c r="C18" s="211"/>
      <c r="D18" s="29" t="s">
        <v>23</v>
      </c>
      <c r="E18" s="34">
        <f t="shared" si="16"/>
        <v>270</v>
      </c>
      <c r="F18" s="39">
        <v>15</v>
      </c>
      <c r="G18" s="15" t="s">
        <v>18</v>
      </c>
      <c r="H18" s="20"/>
      <c r="I18" s="20"/>
      <c r="J18" s="18">
        <v>1</v>
      </c>
      <c r="K18" s="18"/>
      <c r="L18" s="18"/>
      <c r="M18" s="18">
        <v>1</v>
      </c>
      <c r="N18" s="18">
        <v>1</v>
      </c>
      <c r="O18" s="18">
        <v>1</v>
      </c>
      <c r="P18" s="18">
        <v>1</v>
      </c>
      <c r="Q18" s="18">
        <v>1</v>
      </c>
      <c r="R18" s="18"/>
      <c r="S18" s="18"/>
      <c r="T18" s="18">
        <v>1</v>
      </c>
      <c r="U18" s="18">
        <v>1</v>
      </c>
      <c r="V18" s="18">
        <v>1</v>
      </c>
      <c r="W18" s="18">
        <v>1</v>
      </c>
      <c r="X18" s="18">
        <v>1</v>
      </c>
      <c r="Y18" s="18"/>
      <c r="Z18" s="18"/>
      <c r="AA18" s="18">
        <v>1</v>
      </c>
      <c r="AB18" s="18">
        <v>1</v>
      </c>
      <c r="AC18" s="18">
        <v>1</v>
      </c>
      <c r="AD18" s="18">
        <v>1</v>
      </c>
      <c r="AE18" s="18">
        <v>1</v>
      </c>
      <c r="AF18" s="18"/>
      <c r="AG18" s="18"/>
      <c r="AH18" s="18">
        <v>1</v>
      </c>
      <c r="AI18" s="18"/>
      <c r="AJ18" s="18"/>
      <c r="AK18" s="18">
        <v>1</v>
      </c>
      <c r="AL18" s="1" t="s">
        <v>3</v>
      </c>
    </row>
    <row r="19" spans="2:38" s="1" customFormat="1" ht="14" thickBot="1">
      <c r="B19" s="208"/>
      <c r="C19" s="211"/>
      <c r="D19" s="29" t="s">
        <v>24</v>
      </c>
      <c r="E19" s="35">
        <f t="shared" si="16"/>
        <v>180</v>
      </c>
      <c r="F19" s="39">
        <v>10</v>
      </c>
      <c r="G19" s="17" t="s">
        <v>18</v>
      </c>
      <c r="H19" s="26"/>
      <c r="I19" s="25"/>
      <c r="J19" s="18">
        <v>1</v>
      </c>
      <c r="K19" s="18"/>
      <c r="L19" s="18"/>
      <c r="M19" s="18">
        <v>1</v>
      </c>
      <c r="N19" s="18">
        <v>1</v>
      </c>
      <c r="O19" s="18">
        <v>1</v>
      </c>
      <c r="P19" s="18">
        <v>1</v>
      </c>
      <c r="Q19" s="18">
        <v>1</v>
      </c>
      <c r="R19" s="18"/>
      <c r="S19" s="18"/>
      <c r="T19" s="18">
        <v>1</v>
      </c>
      <c r="U19" s="18">
        <v>1</v>
      </c>
      <c r="V19" s="18">
        <v>1</v>
      </c>
      <c r="W19" s="18">
        <v>1</v>
      </c>
      <c r="X19" s="18">
        <v>1</v>
      </c>
      <c r="Y19" s="18"/>
      <c r="Z19" s="18"/>
      <c r="AA19" s="18">
        <v>1</v>
      </c>
      <c r="AB19" s="18">
        <v>1</v>
      </c>
      <c r="AC19" s="18">
        <v>1</v>
      </c>
      <c r="AD19" s="18">
        <v>1</v>
      </c>
      <c r="AE19" s="18">
        <v>1</v>
      </c>
      <c r="AF19" s="18"/>
      <c r="AG19" s="18"/>
      <c r="AH19" s="18">
        <v>1</v>
      </c>
      <c r="AI19" s="18"/>
      <c r="AJ19" s="18"/>
      <c r="AK19" s="18">
        <v>1</v>
      </c>
      <c r="AL19" s="1" t="s">
        <v>3</v>
      </c>
    </row>
    <row r="20" spans="2:38" s="1" customFormat="1" ht="13.5">
      <c r="B20" s="208"/>
      <c r="C20" s="210" t="s">
        <v>25</v>
      </c>
      <c r="D20" s="30" t="s">
        <v>26</v>
      </c>
      <c r="E20" s="36">
        <f t="shared" si="16"/>
        <v>369</v>
      </c>
      <c r="F20" s="40">
        <v>30</v>
      </c>
      <c r="G20" s="16" t="s">
        <v>18</v>
      </c>
      <c r="H20" s="21"/>
      <c r="I20" s="21"/>
      <c r="J20" s="21">
        <v>0.3</v>
      </c>
      <c r="K20" s="21"/>
      <c r="L20" s="21"/>
      <c r="M20" s="21">
        <v>0.5</v>
      </c>
      <c r="N20" s="21">
        <v>0.5</v>
      </c>
      <c r="O20" s="21">
        <v>0.5</v>
      </c>
      <c r="P20" s="21">
        <v>0.5</v>
      </c>
      <c r="Q20" s="21">
        <v>0.5</v>
      </c>
      <c r="R20" s="21"/>
      <c r="S20" s="21"/>
      <c r="T20" s="21">
        <v>0.5</v>
      </c>
      <c r="U20" s="21">
        <v>0.5</v>
      </c>
      <c r="V20" s="21">
        <v>0.5</v>
      </c>
      <c r="W20" s="21">
        <v>0.5</v>
      </c>
      <c r="X20" s="21">
        <v>0.5</v>
      </c>
      <c r="Y20" s="21"/>
      <c r="Z20" s="21"/>
      <c r="AA20" s="21">
        <v>1</v>
      </c>
      <c r="AB20" s="21">
        <v>1</v>
      </c>
      <c r="AC20" s="21">
        <v>1</v>
      </c>
      <c r="AD20" s="21">
        <v>1</v>
      </c>
      <c r="AE20" s="21">
        <v>1</v>
      </c>
      <c r="AF20" s="21"/>
      <c r="AG20" s="21"/>
      <c r="AH20" s="21">
        <v>1</v>
      </c>
      <c r="AI20" s="21"/>
      <c r="AJ20" s="21"/>
      <c r="AK20" s="23">
        <v>1</v>
      </c>
      <c r="AL20" s="1" t="s">
        <v>3</v>
      </c>
    </row>
    <row r="21" spans="2:38" s="1" customFormat="1" ht="13.5">
      <c r="B21" s="208"/>
      <c r="C21" s="211"/>
      <c r="D21" s="31" t="s">
        <v>27</v>
      </c>
      <c r="E21" s="37">
        <f t="shared" si="16"/>
        <v>492</v>
      </c>
      <c r="F21" s="39">
        <v>40</v>
      </c>
      <c r="G21" s="15" t="s">
        <v>18</v>
      </c>
      <c r="H21" s="18"/>
      <c r="I21" s="18"/>
      <c r="J21" s="18">
        <v>0.5</v>
      </c>
      <c r="K21" s="18"/>
      <c r="L21" s="18"/>
      <c r="M21" s="18">
        <v>0.5</v>
      </c>
      <c r="N21" s="18">
        <v>0.5</v>
      </c>
      <c r="O21" s="18">
        <v>0.5</v>
      </c>
      <c r="P21" s="18">
        <v>0.5</v>
      </c>
      <c r="Q21" s="18">
        <v>0.5</v>
      </c>
      <c r="R21" s="18"/>
      <c r="S21" s="18"/>
      <c r="T21" s="18">
        <v>0.5</v>
      </c>
      <c r="U21" s="18">
        <v>0.5</v>
      </c>
      <c r="V21" s="18">
        <v>0.5</v>
      </c>
      <c r="W21" s="18">
        <v>0.5</v>
      </c>
      <c r="X21" s="18">
        <v>0.5</v>
      </c>
      <c r="Y21" s="18"/>
      <c r="Z21" s="18"/>
      <c r="AA21" s="18">
        <v>1</v>
      </c>
      <c r="AB21" s="18">
        <v>0.8</v>
      </c>
      <c r="AC21" s="18">
        <v>1</v>
      </c>
      <c r="AD21" s="18">
        <v>1</v>
      </c>
      <c r="AE21" s="18">
        <v>1</v>
      </c>
      <c r="AF21" s="18"/>
      <c r="AG21" s="18"/>
      <c r="AH21" s="18">
        <v>1</v>
      </c>
      <c r="AI21" s="18"/>
      <c r="AJ21" s="18"/>
      <c r="AK21" s="24">
        <v>1</v>
      </c>
      <c r="AL21" s="1" t="s">
        <v>3</v>
      </c>
    </row>
    <row r="22" spans="2:38" s="1" customFormat="1" ht="13.5">
      <c r="B22" s="208"/>
      <c r="C22" s="211"/>
      <c r="D22" s="31" t="s">
        <v>19</v>
      </c>
      <c r="E22" s="37">
        <f t="shared" si="16"/>
        <v>70</v>
      </c>
      <c r="F22" s="39">
        <v>20</v>
      </c>
      <c r="G22" s="15" t="s">
        <v>18</v>
      </c>
      <c r="H22" s="18"/>
      <c r="I22" s="18"/>
      <c r="J22" s="18"/>
      <c r="K22" s="18"/>
      <c r="L22" s="18"/>
      <c r="M22" s="18"/>
      <c r="N22" s="18"/>
      <c r="O22" s="18"/>
      <c r="P22" s="18"/>
      <c r="Q22" s="18"/>
      <c r="R22" s="18"/>
      <c r="S22" s="18"/>
      <c r="T22" s="18">
        <v>0.5</v>
      </c>
      <c r="U22" s="18">
        <v>0.5</v>
      </c>
      <c r="V22" s="18">
        <v>0.5</v>
      </c>
      <c r="W22" s="18">
        <v>0.5</v>
      </c>
      <c r="X22" s="18">
        <v>0.5</v>
      </c>
      <c r="Y22" s="18"/>
      <c r="Z22" s="18"/>
      <c r="AA22" s="18"/>
      <c r="AB22" s="18"/>
      <c r="AC22" s="18"/>
      <c r="AD22" s="18"/>
      <c r="AE22" s="18"/>
      <c r="AF22" s="18"/>
      <c r="AG22" s="18"/>
      <c r="AH22" s="18">
        <v>0.5</v>
      </c>
      <c r="AI22" s="18"/>
      <c r="AJ22" s="18"/>
      <c r="AK22" s="24">
        <v>0.5</v>
      </c>
      <c r="AL22" s="1" t="s">
        <v>3</v>
      </c>
    </row>
    <row r="23" spans="2:38" s="1" customFormat="1" ht="14" collapsed="1" thickBot="1">
      <c r="B23" s="209"/>
      <c r="C23" s="212"/>
      <c r="D23" s="32" t="s">
        <v>17</v>
      </c>
      <c r="E23" s="38">
        <f t="shared" si="16"/>
        <v>70</v>
      </c>
      <c r="F23" s="41">
        <v>20</v>
      </c>
      <c r="G23" s="17" t="s">
        <v>18</v>
      </c>
      <c r="H23" s="25"/>
      <c r="I23" s="25"/>
      <c r="J23" s="25">
        <v>0.5</v>
      </c>
      <c r="K23" s="25"/>
      <c r="L23" s="25"/>
      <c r="M23" s="25"/>
      <c r="N23" s="25">
        <v>0.5</v>
      </c>
      <c r="O23" s="25"/>
      <c r="P23" s="25"/>
      <c r="Q23" s="25">
        <v>0.5</v>
      </c>
      <c r="R23" s="25"/>
      <c r="S23" s="25"/>
      <c r="T23" s="25"/>
      <c r="U23" s="25">
        <v>0.5</v>
      </c>
      <c r="V23" s="25"/>
      <c r="W23" s="25"/>
      <c r="X23" s="25">
        <v>0.5</v>
      </c>
      <c r="Y23" s="25"/>
      <c r="Z23" s="25"/>
      <c r="AA23" s="25"/>
      <c r="AB23" s="25">
        <v>0.5</v>
      </c>
      <c r="AC23" s="25"/>
      <c r="AD23" s="25"/>
      <c r="AE23" s="25">
        <v>0.5</v>
      </c>
      <c r="AF23" s="25"/>
      <c r="AG23" s="25"/>
      <c r="AH23" s="25"/>
      <c r="AI23" s="25"/>
      <c r="AJ23" s="25"/>
      <c r="AK23" s="27"/>
      <c r="AL23" s="1" t="s">
        <v>3</v>
      </c>
    </row>
    <row r="24" spans="2:38" s="1" customFormat="1" ht="15" customHeight="1" outlineLevel="1">
      <c r="B24" s="226" t="s">
        <v>28</v>
      </c>
      <c r="C24" s="220" t="s">
        <v>5</v>
      </c>
      <c r="D24" s="221"/>
      <c r="E24" s="39">
        <f t="shared" ref="E24:E27" si="17">SUM(H24:AK24)</f>
        <v>904</v>
      </c>
      <c r="F24" s="39" t="s">
        <v>6</v>
      </c>
      <c r="G24" s="15" t="s">
        <v>7</v>
      </c>
      <c r="H24" s="18"/>
      <c r="I24" s="18"/>
      <c r="J24" s="18">
        <f>151+23</f>
        <v>174</v>
      </c>
      <c r="K24" s="18">
        <v>0</v>
      </c>
      <c r="L24" s="18">
        <v>0</v>
      </c>
      <c r="M24" s="18">
        <v>16</v>
      </c>
      <c r="N24" s="18">
        <v>17</v>
      </c>
      <c r="O24" s="18">
        <v>50</v>
      </c>
      <c r="P24" s="18">
        <v>41</v>
      </c>
      <c r="Q24" s="18">
        <v>58</v>
      </c>
      <c r="R24" s="18">
        <v>0</v>
      </c>
      <c r="S24" s="18">
        <v>0</v>
      </c>
      <c r="T24" s="18">
        <v>25</v>
      </c>
      <c r="U24" s="18">
        <v>57</v>
      </c>
      <c r="V24" s="18">
        <v>15</v>
      </c>
      <c r="W24" s="18">
        <v>40</v>
      </c>
      <c r="X24" s="18">
        <v>98</v>
      </c>
      <c r="Y24" s="18">
        <v>0</v>
      </c>
      <c r="Z24" s="18">
        <v>0</v>
      </c>
      <c r="AA24" s="18">
        <v>36</v>
      </c>
      <c r="AB24" s="18">
        <v>17</v>
      </c>
      <c r="AC24" s="18">
        <v>50</v>
      </c>
      <c r="AD24" s="18">
        <v>41</v>
      </c>
      <c r="AE24" s="18">
        <v>58</v>
      </c>
      <c r="AF24" s="18">
        <v>0</v>
      </c>
      <c r="AG24" s="18">
        <v>0</v>
      </c>
      <c r="AH24" s="18">
        <v>25</v>
      </c>
      <c r="AI24" s="18">
        <v>64</v>
      </c>
      <c r="AJ24" s="18">
        <v>0</v>
      </c>
      <c r="AK24" s="24">
        <v>22</v>
      </c>
      <c r="AL24" s="1" t="s">
        <v>3</v>
      </c>
    </row>
    <row r="25" spans="2:38" s="1" customFormat="1" ht="15" customHeight="1" outlineLevel="1">
      <c r="B25" s="208"/>
      <c r="C25" s="205" t="s">
        <v>29</v>
      </c>
      <c r="D25" s="206"/>
      <c r="E25" s="39">
        <f t="shared" si="17"/>
        <v>487.5</v>
      </c>
      <c r="F25" s="39" t="s">
        <v>6</v>
      </c>
      <c r="G25" s="15" t="s">
        <v>7</v>
      </c>
      <c r="H25" s="18"/>
      <c r="I25" s="18"/>
      <c r="J25" s="18">
        <f>SUM(J31*$F$31,J32*$F$32,J33*$F$33)</f>
        <v>30</v>
      </c>
      <c r="K25" s="18">
        <f t="shared" ref="K25:AK25" si="18">SUM(K31*$F$31,K32*$F$32,K33*$F$33)</f>
        <v>0</v>
      </c>
      <c r="L25" s="18">
        <f t="shared" si="18"/>
        <v>0</v>
      </c>
      <c r="M25" s="18">
        <f t="shared" si="18"/>
        <v>22.5</v>
      </c>
      <c r="N25" s="18">
        <f t="shared" si="18"/>
        <v>22.5</v>
      </c>
      <c r="O25" s="18">
        <f t="shared" si="18"/>
        <v>22.5</v>
      </c>
      <c r="P25" s="18">
        <f t="shared" si="18"/>
        <v>22.5</v>
      </c>
      <c r="Q25" s="18">
        <f t="shared" si="18"/>
        <v>22.5</v>
      </c>
      <c r="R25" s="18">
        <f t="shared" si="18"/>
        <v>0</v>
      </c>
      <c r="S25" s="18">
        <f t="shared" si="18"/>
        <v>0</v>
      </c>
      <c r="T25" s="18">
        <f t="shared" si="18"/>
        <v>22.5</v>
      </c>
      <c r="U25" s="18">
        <f t="shared" si="18"/>
        <v>30</v>
      </c>
      <c r="V25" s="18">
        <f t="shared" si="18"/>
        <v>30</v>
      </c>
      <c r="W25" s="18">
        <f t="shared" si="18"/>
        <v>30</v>
      </c>
      <c r="X25" s="18">
        <f t="shared" si="18"/>
        <v>30</v>
      </c>
      <c r="Y25" s="18">
        <f t="shared" si="18"/>
        <v>0</v>
      </c>
      <c r="Z25" s="18">
        <f t="shared" si="18"/>
        <v>0</v>
      </c>
      <c r="AA25" s="18">
        <f t="shared" si="18"/>
        <v>22.5</v>
      </c>
      <c r="AB25" s="18">
        <f t="shared" si="18"/>
        <v>30</v>
      </c>
      <c r="AC25" s="18">
        <f t="shared" si="18"/>
        <v>30</v>
      </c>
      <c r="AD25" s="18">
        <f t="shared" si="18"/>
        <v>30</v>
      </c>
      <c r="AE25" s="18">
        <f t="shared" si="18"/>
        <v>37.5</v>
      </c>
      <c r="AF25" s="18">
        <f t="shared" si="18"/>
        <v>0</v>
      </c>
      <c r="AG25" s="18">
        <f t="shared" si="18"/>
        <v>0</v>
      </c>
      <c r="AH25" s="18">
        <f t="shared" si="18"/>
        <v>22.5</v>
      </c>
      <c r="AI25" s="18">
        <f t="shared" si="18"/>
        <v>0</v>
      </c>
      <c r="AJ25" s="18">
        <f t="shared" si="18"/>
        <v>0</v>
      </c>
      <c r="AK25" s="24">
        <f t="shared" si="18"/>
        <v>30</v>
      </c>
      <c r="AL25" s="1" t="s">
        <v>3</v>
      </c>
    </row>
    <row r="26" spans="2:38" s="1" customFormat="1" ht="15" customHeight="1" outlineLevel="1">
      <c r="B26" s="208"/>
      <c r="C26" s="213" t="s">
        <v>9</v>
      </c>
      <c r="D26" s="214"/>
      <c r="E26" s="121" t="s">
        <v>10</v>
      </c>
      <c r="F26" s="121" t="s">
        <v>10</v>
      </c>
      <c r="G26" s="122" t="s">
        <v>11</v>
      </c>
      <c r="H26" s="123">
        <f>H25</f>
        <v>0</v>
      </c>
      <c r="I26" s="123">
        <f>H26+I25</f>
        <v>0</v>
      </c>
      <c r="J26" s="123">
        <f>I26+J25</f>
        <v>30</v>
      </c>
      <c r="K26" s="123">
        <f t="shared" ref="K26" si="19">J26+K25</f>
        <v>30</v>
      </c>
      <c r="L26" s="123">
        <f t="shared" ref="L26" si="20">K26+L25</f>
        <v>30</v>
      </c>
      <c r="M26" s="123">
        <f t="shared" ref="M26" si="21">L26+M25</f>
        <v>52.5</v>
      </c>
      <c r="N26" s="123">
        <f t="shared" ref="N26" si="22">M26+N25</f>
        <v>75</v>
      </c>
      <c r="O26" s="123">
        <f t="shared" ref="O26" si="23">N26+O25</f>
        <v>97.5</v>
      </c>
      <c r="P26" s="123">
        <f t="shared" ref="P26" si="24">O26+P25</f>
        <v>120</v>
      </c>
      <c r="Q26" s="123">
        <f t="shared" ref="Q26" si="25">P26+Q25</f>
        <v>142.5</v>
      </c>
      <c r="R26" s="123">
        <f t="shared" ref="R26" si="26">Q26+R25</f>
        <v>142.5</v>
      </c>
      <c r="S26" s="123">
        <f t="shared" ref="S26" si="27">R26+S25</f>
        <v>142.5</v>
      </c>
      <c r="T26" s="123">
        <f t="shared" ref="T26" si="28">S26+T25</f>
        <v>165</v>
      </c>
      <c r="U26" s="123">
        <f t="shared" ref="U26" si="29">T26+U25</f>
        <v>195</v>
      </c>
      <c r="V26" s="123">
        <f t="shared" ref="V26" si="30">U26+V25</f>
        <v>225</v>
      </c>
      <c r="W26" s="123">
        <f t="shared" ref="W26" si="31">V26+W25</f>
        <v>255</v>
      </c>
      <c r="X26" s="123">
        <f t="shared" ref="X26" si="32">W26+X25</f>
        <v>285</v>
      </c>
      <c r="Y26" s="123">
        <f t="shared" ref="Y26" si="33">X26+Y25</f>
        <v>285</v>
      </c>
      <c r="Z26" s="123">
        <f t="shared" ref="Z26" si="34">Y26+Z25</f>
        <v>285</v>
      </c>
      <c r="AA26" s="123">
        <f t="shared" ref="AA26" si="35">Z26+AA25</f>
        <v>307.5</v>
      </c>
      <c r="AB26" s="123">
        <f t="shared" ref="AB26" si="36">AA26+AB25</f>
        <v>337.5</v>
      </c>
      <c r="AC26" s="123">
        <f t="shared" ref="AC26" si="37">AB26+AC25</f>
        <v>367.5</v>
      </c>
      <c r="AD26" s="123">
        <f t="shared" ref="AD26" si="38">AC26+AD25</f>
        <v>397.5</v>
      </c>
      <c r="AE26" s="123">
        <f t="shared" ref="AE26" si="39">AD26+AE25</f>
        <v>435</v>
      </c>
      <c r="AF26" s="123">
        <f t="shared" ref="AF26" si="40">AE26+AF25</f>
        <v>435</v>
      </c>
      <c r="AG26" s="123">
        <f t="shared" ref="AG26" si="41">AF26+AG25</f>
        <v>435</v>
      </c>
      <c r="AH26" s="123">
        <f t="shared" ref="AH26" si="42">AG26+AH25</f>
        <v>457.5</v>
      </c>
      <c r="AI26" s="123">
        <f t="shared" ref="AI26" si="43">AH26+AI25</f>
        <v>457.5</v>
      </c>
      <c r="AJ26" s="123">
        <f t="shared" ref="AJ26" si="44">AI26+AJ25</f>
        <v>457.5</v>
      </c>
      <c r="AK26" s="124">
        <f t="shared" ref="AK26" si="45">AJ26+AK25</f>
        <v>487.5</v>
      </c>
    </row>
    <row r="27" spans="2:38" s="1" customFormat="1" ht="15" customHeight="1" outlineLevel="1">
      <c r="B27" s="208"/>
      <c r="C27" s="205" t="s">
        <v>30</v>
      </c>
      <c r="D27" s="206"/>
      <c r="E27" s="39">
        <f t="shared" si="17"/>
        <v>264</v>
      </c>
      <c r="F27" s="39" t="s">
        <v>6</v>
      </c>
      <c r="G27" s="15" t="s">
        <v>7</v>
      </c>
      <c r="H27" s="18"/>
      <c r="I27" s="18"/>
      <c r="J27" s="18">
        <f>SUM(J34*$F$34,J35*$F$35,J36*$F$36,J37*$F$37)</f>
        <v>13</v>
      </c>
      <c r="K27" s="18">
        <f t="shared" ref="K27:AK27" si="46">SUM(K34*$F$34,K35*$F$35,K36*$F$36,K37*$F$37)</f>
        <v>0</v>
      </c>
      <c r="L27" s="18">
        <f t="shared" si="46"/>
        <v>0</v>
      </c>
      <c r="M27" s="18">
        <f t="shared" si="46"/>
        <v>13</v>
      </c>
      <c r="N27" s="18">
        <f t="shared" si="46"/>
        <v>13</v>
      </c>
      <c r="O27" s="18">
        <f t="shared" si="46"/>
        <v>13</v>
      </c>
      <c r="P27" s="18">
        <f t="shared" si="46"/>
        <v>13</v>
      </c>
      <c r="Q27" s="18">
        <f t="shared" si="46"/>
        <v>13</v>
      </c>
      <c r="R27" s="18">
        <f t="shared" si="46"/>
        <v>0</v>
      </c>
      <c r="S27" s="18">
        <f t="shared" si="46"/>
        <v>0</v>
      </c>
      <c r="T27" s="18">
        <f t="shared" si="46"/>
        <v>23</v>
      </c>
      <c r="U27" s="18">
        <f t="shared" si="46"/>
        <v>13</v>
      </c>
      <c r="V27" s="18">
        <f t="shared" si="46"/>
        <v>13</v>
      </c>
      <c r="W27" s="18">
        <f t="shared" si="46"/>
        <v>13</v>
      </c>
      <c r="X27" s="18">
        <f t="shared" si="46"/>
        <v>13</v>
      </c>
      <c r="Y27" s="18">
        <f t="shared" si="46"/>
        <v>0</v>
      </c>
      <c r="Z27" s="18">
        <f t="shared" si="46"/>
        <v>0</v>
      </c>
      <c r="AA27" s="18">
        <f t="shared" si="46"/>
        <v>23</v>
      </c>
      <c r="AB27" s="18">
        <f t="shared" si="46"/>
        <v>13</v>
      </c>
      <c r="AC27" s="18">
        <f t="shared" si="46"/>
        <v>13</v>
      </c>
      <c r="AD27" s="18">
        <f t="shared" si="46"/>
        <v>13</v>
      </c>
      <c r="AE27" s="18">
        <f t="shared" si="46"/>
        <v>13</v>
      </c>
      <c r="AF27" s="18">
        <f t="shared" si="46"/>
        <v>0</v>
      </c>
      <c r="AG27" s="18">
        <f t="shared" si="46"/>
        <v>0</v>
      </c>
      <c r="AH27" s="18">
        <f t="shared" si="46"/>
        <v>23</v>
      </c>
      <c r="AI27" s="18">
        <f t="shared" si="46"/>
        <v>0</v>
      </c>
      <c r="AJ27" s="18">
        <f t="shared" si="46"/>
        <v>0</v>
      </c>
      <c r="AK27" s="24">
        <f t="shared" si="46"/>
        <v>13</v>
      </c>
      <c r="AL27" s="1" t="s">
        <v>3</v>
      </c>
    </row>
    <row r="28" spans="2:38" s="1" customFormat="1" ht="15" customHeight="1" outlineLevel="1">
      <c r="B28" s="208"/>
      <c r="C28" s="213" t="s">
        <v>13</v>
      </c>
      <c r="D28" s="214"/>
      <c r="E28" s="121" t="s">
        <v>10</v>
      </c>
      <c r="F28" s="121" t="s">
        <v>10</v>
      </c>
      <c r="G28" s="122" t="s">
        <v>11</v>
      </c>
      <c r="H28" s="123">
        <f>H27</f>
        <v>0</v>
      </c>
      <c r="I28" s="123">
        <f>H28+I27</f>
        <v>0</v>
      </c>
      <c r="J28" s="123">
        <f t="shared" ref="J28" si="47">I28+J27</f>
        <v>13</v>
      </c>
      <c r="K28" s="123">
        <f t="shared" ref="K28" si="48">J28+K27</f>
        <v>13</v>
      </c>
      <c r="L28" s="123">
        <f t="shared" ref="L28" si="49">K28+L27</f>
        <v>13</v>
      </c>
      <c r="M28" s="123">
        <f>L28+M27</f>
        <v>26</v>
      </c>
      <c r="N28" s="123">
        <f t="shared" ref="N28" si="50">M28+N27</f>
        <v>39</v>
      </c>
      <c r="O28" s="123">
        <f t="shared" ref="O28" si="51">N28+O27</f>
        <v>52</v>
      </c>
      <c r="P28" s="123">
        <f t="shared" ref="P28" si="52">O28+P27</f>
        <v>65</v>
      </c>
      <c r="Q28" s="123">
        <f t="shared" ref="Q28" si="53">P28+Q27</f>
        <v>78</v>
      </c>
      <c r="R28" s="123">
        <f t="shared" ref="R28" si="54">Q28+R27</f>
        <v>78</v>
      </c>
      <c r="S28" s="123">
        <f t="shared" ref="S28" si="55">R28+S27</f>
        <v>78</v>
      </c>
      <c r="T28" s="123">
        <f t="shared" ref="T28" si="56">S28+T27</f>
        <v>101</v>
      </c>
      <c r="U28" s="123">
        <f t="shared" ref="U28" si="57">T28+U27</f>
        <v>114</v>
      </c>
      <c r="V28" s="123">
        <f t="shared" ref="V28" si="58">U28+V27</f>
        <v>127</v>
      </c>
      <c r="W28" s="123">
        <f t="shared" ref="W28" si="59">V28+W27</f>
        <v>140</v>
      </c>
      <c r="X28" s="123">
        <f t="shared" ref="X28" si="60">W28+X27</f>
        <v>153</v>
      </c>
      <c r="Y28" s="123">
        <f t="shared" ref="Y28" si="61">X28+Y27</f>
        <v>153</v>
      </c>
      <c r="Z28" s="123">
        <f t="shared" ref="Z28" si="62">Y28+Z27</f>
        <v>153</v>
      </c>
      <c r="AA28" s="123">
        <f t="shared" ref="AA28" si="63">Z28+AA27</f>
        <v>176</v>
      </c>
      <c r="AB28" s="123">
        <f t="shared" ref="AB28" si="64">AA28+AB27</f>
        <v>189</v>
      </c>
      <c r="AC28" s="123">
        <f t="shared" ref="AC28" si="65">AB28+AC27</f>
        <v>202</v>
      </c>
      <c r="AD28" s="123">
        <f t="shared" ref="AD28" si="66">AC28+AD27</f>
        <v>215</v>
      </c>
      <c r="AE28" s="123">
        <f t="shared" ref="AE28" si="67">AD28+AE27</f>
        <v>228</v>
      </c>
      <c r="AF28" s="123">
        <f t="shared" ref="AF28" si="68">AE28+AF27</f>
        <v>228</v>
      </c>
      <c r="AG28" s="123">
        <f t="shared" ref="AG28" si="69">AF28+AG27</f>
        <v>228</v>
      </c>
      <c r="AH28" s="123">
        <f t="shared" ref="AH28" si="70">AG28+AH27</f>
        <v>251</v>
      </c>
      <c r="AI28" s="123">
        <f t="shared" ref="AI28" si="71">AH28+AI27</f>
        <v>251</v>
      </c>
      <c r="AJ28" s="123">
        <f t="shared" ref="AJ28" si="72">AI28+AJ27</f>
        <v>251</v>
      </c>
      <c r="AK28" s="125">
        <f t="shared" ref="AK28" si="73">AJ28+AK27</f>
        <v>264</v>
      </c>
    </row>
    <row r="29" spans="2:38" s="1" customFormat="1" ht="13.5" outlineLevel="1">
      <c r="B29" s="208"/>
      <c r="C29" s="205" t="s">
        <v>14</v>
      </c>
      <c r="D29" s="206"/>
      <c r="E29" s="39">
        <f>E24-E25</f>
        <v>416.5</v>
      </c>
      <c r="F29" s="39" t="s">
        <v>6</v>
      </c>
      <c r="G29" s="15" t="s">
        <v>7</v>
      </c>
      <c r="H29" s="18"/>
      <c r="I29" s="18"/>
      <c r="J29" s="18">
        <f t="shared" ref="J29" si="74">I29+J24-J25</f>
        <v>144</v>
      </c>
      <c r="K29" s="18">
        <f t="shared" ref="K29" si="75">J29+K24-K25</f>
        <v>144</v>
      </c>
      <c r="L29" s="18">
        <f t="shared" ref="L29" si="76">K29+L24-L25</f>
        <v>144</v>
      </c>
      <c r="M29" s="18">
        <f t="shared" ref="M29" si="77">L29+M24-M25</f>
        <v>137.5</v>
      </c>
      <c r="N29" s="18">
        <f t="shared" ref="N29" si="78">M29+N24-N25</f>
        <v>132</v>
      </c>
      <c r="O29" s="18">
        <f t="shared" ref="O29" si="79">N29+O24-O25</f>
        <v>159.5</v>
      </c>
      <c r="P29" s="18">
        <f t="shared" ref="P29" si="80">O29+P24-P25</f>
        <v>178</v>
      </c>
      <c r="Q29" s="18">
        <f t="shared" ref="Q29" si="81">P29+Q24-Q25</f>
        <v>213.5</v>
      </c>
      <c r="R29" s="18">
        <f t="shared" ref="R29" si="82">Q29+R24-R25</f>
        <v>213.5</v>
      </c>
      <c r="S29" s="18">
        <f t="shared" ref="S29" si="83">R29+S24-S25</f>
        <v>213.5</v>
      </c>
      <c r="T29" s="18">
        <f t="shared" ref="T29" si="84">S29+T24-T25</f>
        <v>216</v>
      </c>
      <c r="U29" s="18">
        <f t="shared" ref="U29" si="85">T29+U24-U25</f>
        <v>243</v>
      </c>
      <c r="V29" s="18">
        <f t="shared" ref="V29" si="86">U29+V24-V25</f>
        <v>228</v>
      </c>
      <c r="W29" s="18">
        <f t="shared" ref="W29" si="87">V29+W24-W25</f>
        <v>238</v>
      </c>
      <c r="X29" s="18">
        <f t="shared" ref="X29" si="88">W29+X24-X25</f>
        <v>306</v>
      </c>
      <c r="Y29" s="18">
        <f t="shared" ref="Y29" si="89">X29+Y24-Y25</f>
        <v>306</v>
      </c>
      <c r="Z29" s="18">
        <f t="shared" ref="Z29" si="90">Y29+Z24-Z25</f>
        <v>306</v>
      </c>
      <c r="AA29" s="18">
        <f t="shared" ref="AA29" si="91">Z29+AA24-AA25</f>
        <v>319.5</v>
      </c>
      <c r="AB29" s="18">
        <f t="shared" ref="AB29" si="92">AA29+AB24-AB25</f>
        <v>306.5</v>
      </c>
      <c r="AC29" s="18">
        <f t="shared" ref="AC29" si="93">AB29+AC24-AC25</f>
        <v>326.5</v>
      </c>
      <c r="AD29" s="18">
        <f t="shared" ref="AD29" si="94">AC29+AD24-AD25</f>
        <v>337.5</v>
      </c>
      <c r="AE29" s="18">
        <f t="shared" ref="AE29" si="95">AD29+AE24-AE25</f>
        <v>358</v>
      </c>
      <c r="AF29" s="18">
        <f t="shared" ref="AF29" si="96">AE29+AF24-AF25</f>
        <v>358</v>
      </c>
      <c r="AG29" s="18">
        <f t="shared" ref="AG29" si="97">AF29+AG24-AG25</f>
        <v>358</v>
      </c>
      <c r="AH29" s="18">
        <f t="shared" ref="AH29" si="98">AG29+AH24-AH25</f>
        <v>360.5</v>
      </c>
      <c r="AI29" s="18">
        <f t="shared" ref="AI29" si="99">AH29+AI24-AI25</f>
        <v>424.5</v>
      </c>
      <c r="AJ29" s="18">
        <f t="shared" ref="AJ29" si="100">AI29+AJ24-AJ25</f>
        <v>424.5</v>
      </c>
      <c r="AK29" s="24">
        <f t="shared" ref="AK29" si="101">AJ29+AK24-AK25</f>
        <v>416.5</v>
      </c>
      <c r="AL29" s="1" t="s">
        <v>3</v>
      </c>
    </row>
    <row r="30" spans="2:38" s="1" customFormat="1" ht="14" outlineLevel="1" thickBot="1">
      <c r="B30" s="208"/>
      <c r="C30" s="205" t="s">
        <v>15</v>
      </c>
      <c r="D30" s="206"/>
      <c r="E30" s="19">
        <f>E24-E27</f>
        <v>640</v>
      </c>
      <c r="F30" s="19" t="s">
        <v>6</v>
      </c>
      <c r="G30" s="15" t="s">
        <v>7</v>
      </c>
      <c r="H30" s="20"/>
      <c r="I30" s="20"/>
      <c r="J30" s="20">
        <f t="shared" ref="J30" si="102">I30+J24-J27</f>
        <v>161</v>
      </c>
      <c r="K30" s="20">
        <f t="shared" ref="K30" si="103">J30+K24-K27</f>
        <v>161</v>
      </c>
      <c r="L30" s="20">
        <f t="shared" ref="L30" si="104">K30+L24-L27</f>
        <v>161</v>
      </c>
      <c r="M30" s="20">
        <f t="shared" ref="M30" si="105">L30+M24-M27</f>
        <v>164</v>
      </c>
      <c r="N30" s="20">
        <f t="shared" ref="N30" si="106">M30+N24-N27</f>
        <v>168</v>
      </c>
      <c r="O30" s="20">
        <f t="shared" ref="O30" si="107">N30+O24-O27</f>
        <v>205</v>
      </c>
      <c r="P30" s="20">
        <f t="shared" ref="P30" si="108">O30+P24-P27</f>
        <v>233</v>
      </c>
      <c r="Q30" s="20">
        <f t="shared" ref="Q30" si="109">P30+Q24-Q27</f>
        <v>278</v>
      </c>
      <c r="R30" s="20">
        <f t="shared" ref="R30" si="110">Q30+R24-R27</f>
        <v>278</v>
      </c>
      <c r="S30" s="20">
        <f t="shared" ref="S30" si="111">R30+S24-S27</f>
        <v>278</v>
      </c>
      <c r="T30" s="20">
        <f t="shared" ref="T30" si="112">S30+T24-T27</f>
        <v>280</v>
      </c>
      <c r="U30" s="20">
        <f t="shared" ref="U30" si="113">T30+U24-U27</f>
        <v>324</v>
      </c>
      <c r="V30" s="20">
        <f t="shared" ref="V30" si="114">U30+V24-V27</f>
        <v>326</v>
      </c>
      <c r="W30" s="20">
        <f t="shared" ref="W30" si="115">V30+W24-W27</f>
        <v>353</v>
      </c>
      <c r="X30" s="20">
        <f t="shared" ref="X30" si="116">W30+X24-X27</f>
        <v>438</v>
      </c>
      <c r="Y30" s="20">
        <f t="shared" ref="Y30" si="117">X30+Y24-Y27</f>
        <v>438</v>
      </c>
      <c r="Z30" s="20">
        <f t="shared" ref="Z30" si="118">Y30+Z24-Z27</f>
        <v>438</v>
      </c>
      <c r="AA30" s="20">
        <f t="shared" ref="AA30" si="119">Z30+AA24-AA27</f>
        <v>451</v>
      </c>
      <c r="AB30" s="20">
        <f t="shared" ref="AB30" si="120">AA30+AB24-AB27</f>
        <v>455</v>
      </c>
      <c r="AC30" s="20">
        <f t="shared" ref="AC30" si="121">AB30+AC24-AC27</f>
        <v>492</v>
      </c>
      <c r="AD30" s="20">
        <f t="shared" ref="AD30" si="122">AC30+AD24-AD27</f>
        <v>520</v>
      </c>
      <c r="AE30" s="20">
        <f t="shared" ref="AE30" si="123">AD30+AE24-AE27</f>
        <v>565</v>
      </c>
      <c r="AF30" s="20">
        <f t="shared" ref="AF30" si="124">AE30+AF24-AF27</f>
        <v>565</v>
      </c>
      <c r="AG30" s="20">
        <f t="shared" ref="AG30" si="125">AF30+AG24-AG27</f>
        <v>565</v>
      </c>
      <c r="AH30" s="20">
        <f t="shared" ref="AH30" si="126">AG30+AH24-AH27</f>
        <v>567</v>
      </c>
      <c r="AI30" s="20">
        <f t="shared" ref="AI30" si="127">AH30+AI24-AI27</f>
        <v>631</v>
      </c>
      <c r="AJ30" s="20">
        <f t="shared" ref="AJ30" si="128">AI30+AJ24-AJ27</f>
        <v>631</v>
      </c>
      <c r="AK30" s="47">
        <f t="shared" ref="AK30" si="129">AJ30+AK24-AK27</f>
        <v>640</v>
      </c>
      <c r="AL30" s="1" t="s">
        <v>3</v>
      </c>
    </row>
    <row r="31" spans="2:38" s="1" customFormat="1" ht="13.5" outlineLevel="1">
      <c r="B31" s="208"/>
      <c r="C31" s="210" t="s">
        <v>16</v>
      </c>
      <c r="D31" s="28" t="s">
        <v>17</v>
      </c>
      <c r="E31" s="33">
        <f>SUM(H31:AK31)*F31</f>
        <v>217.5</v>
      </c>
      <c r="F31" s="40">
        <v>15</v>
      </c>
      <c r="G31" s="16" t="s">
        <v>18</v>
      </c>
      <c r="H31" s="22"/>
      <c r="I31" s="21"/>
      <c r="J31" s="21">
        <v>1</v>
      </c>
      <c r="K31" s="21"/>
      <c r="L31" s="21"/>
      <c r="M31" s="21">
        <v>0.5</v>
      </c>
      <c r="N31" s="21">
        <v>0.5</v>
      </c>
      <c r="O31" s="21">
        <v>0.5</v>
      </c>
      <c r="P31" s="21">
        <v>0.5</v>
      </c>
      <c r="Q31" s="21">
        <v>0.5</v>
      </c>
      <c r="R31" s="21"/>
      <c r="S31" s="21"/>
      <c r="T31" s="21">
        <v>0.5</v>
      </c>
      <c r="U31" s="21">
        <v>1</v>
      </c>
      <c r="V31" s="21">
        <v>1</v>
      </c>
      <c r="W31" s="21">
        <v>1</v>
      </c>
      <c r="X31" s="21">
        <v>1</v>
      </c>
      <c r="Y31" s="21"/>
      <c r="Z31" s="21"/>
      <c r="AA31" s="21">
        <v>0.5</v>
      </c>
      <c r="AB31" s="21">
        <v>1</v>
      </c>
      <c r="AC31" s="21">
        <v>1</v>
      </c>
      <c r="AD31" s="21">
        <v>1</v>
      </c>
      <c r="AE31" s="21">
        <v>1.5</v>
      </c>
      <c r="AF31" s="21"/>
      <c r="AG31" s="21"/>
      <c r="AH31" s="21">
        <v>0.5</v>
      </c>
      <c r="AI31" s="21"/>
      <c r="AJ31" s="21"/>
      <c r="AK31" s="23">
        <v>1</v>
      </c>
      <c r="AL31" s="1" t="s">
        <v>3</v>
      </c>
    </row>
    <row r="32" spans="2:38" s="1" customFormat="1" ht="13.5" outlineLevel="1">
      <c r="B32" s="208"/>
      <c r="C32" s="211"/>
      <c r="D32" s="29" t="s">
        <v>31</v>
      </c>
      <c r="E32" s="34">
        <f>SUM(H32:AK32)*F32</f>
        <v>270</v>
      </c>
      <c r="F32" s="39">
        <v>15</v>
      </c>
      <c r="G32" s="15" t="s">
        <v>18</v>
      </c>
      <c r="H32" s="18"/>
      <c r="I32" s="18"/>
      <c r="J32" s="18">
        <v>1</v>
      </c>
      <c r="K32" s="18"/>
      <c r="L32" s="18"/>
      <c r="M32" s="18">
        <v>1</v>
      </c>
      <c r="N32" s="18">
        <v>1</v>
      </c>
      <c r="O32" s="18">
        <v>1</v>
      </c>
      <c r="P32" s="18">
        <v>1</v>
      </c>
      <c r="Q32" s="18">
        <v>1</v>
      </c>
      <c r="R32" s="18"/>
      <c r="S32" s="18"/>
      <c r="T32" s="18">
        <v>1</v>
      </c>
      <c r="U32" s="18">
        <v>1</v>
      </c>
      <c r="V32" s="18">
        <v>1</v>
      </c>
      <c r="W32" s="18">
        <v>1</v>
      </c>
      <c r="X32" s="18">
        <v>1</v>
      </c>
      <c r="Y32" s="18"/>
      <c r="Z32" s="18"/>
      <c r="AA32" s="18">
        <v>1</v>
      </c>
      <c r="AB32" s="18">
        <v>1</v>
      </c>
      <c r="AC32" s="18">
        <v>1</v>
      </c>
      <c r="AD32" s="18">
        <v>1</v>
      </c>
      <c r="AE32" s="18">
        <v>1</v>
      </c>
      <c r="AF32" s="18"/>
      <c r="AG32" s="18"/>
      <c r="AH32" s="18">
        <v>1</v>
      </c>
      <c r="AI32" s="18"/>
      <c r="AJ32" s="18"/>
      <c r="AK32" s="24">
        <v>1</v>
      </c>
      <c r="AL32" s="1" t="s">
        <v>3</v>
      </c>
    </row>
    <row r="33" spans="2:38" s="1" customFormat="1" ht="14" outlineLevel="1" thickBot="1">
      <c r="B33" s="208"/>
      <c r="C33" s="211"/>
      <c r="D33" s="29"/>
      <c r="E33" s="35"/>
      <c r="F33" s="41"/>
      <c r="G33" s="17" t="s">
        <v>18</v>
      </c>
      <c r="H33" s="26"/>
      <c r="I33" s="25"/>
      <c r="J33" s="18"/>
      <c r="K33" s="18"/>
      <c r="L33" s="18"/>
      <c r="M33" s="18"/>
      <c r="N33" s="18"/>
      <c r="O33" s="18"/>
      <c r="P33" s="18"/>
      <c r="Q33" s="18"/>
      <c r="R33" s="18"/>
      <c r="S33" s="18"/>
      <c r="T33" s="18"/>
      <c r="U33" s="18"/>
      <c r="V33" s="18"/>
      <c r="W33" s="18"/>
      <c r="X33" s="18"/>
      <c r="Y33" s="18"/>
      <c r="Z33" s="18"/>
      <c r="AA33" s="25"/>
      <c r="AB33" s="25"/>
      <c r="AC33" s="25"/>
      <c r="AD33" s="25"/>
      <c r="AE33" s="25"/>
      <c r="AF33" s="25"/>
      <c r="AG33" s="25"/>
      <c r="AH33" s="25"/>
      <c r="AI33" s="25"/>
      <c r="AJ33" s="25"/>
      <c r="AK33" s="27"/>
      <c r="AL33" s="1" t="s">
        <v>3</v>
      </c>
    </row>
    <row r="34" spans="2:38" s="1" customFormat="1" ht="13.5" outlineLevel="1">
      <c r="B34" s="208"/>
      <c r="C34" s="210" t="s">
        <v>25</v>
      </c>
      <c r="D34" s="30" t="s">
        <v>32</v>
      </c>
      <c r="E34" s="36">
        <f>SUM(H34:AK34)*F34</f>
        <v>234</v>
      </c>
      <c r="F34" s="40">
        <v>13</v>
      </c>
      <c r="G34" s="16" t="s">
        <v>18</v>
      </c>
      <c r="H34" s="21"/>
      <c r="I34" s="21"/>
      <c r="J34" s="21">
        <v>1</v>
      </c>
      <c r="K34" s="21"/>
      <c r="L34" s="21"/>
      <c r="M34" s="21">
        <v>1</v>
      </c>
      <c r="N34" s="21">
        <v>1</v>
      </c>
      <c r="O34" s="21">
        <v>1</v>
      </c>
      <c r="P34" s="21">
        <v>1</v>
      </c>
      <c r="Q34" s="21">
        <v>1</v>
      </c>
      <c r="R34" s="21"/>
      <c r="S34" s="21"/>
      <c r="T34" s="21">
        <v>1</v>
      </c>
      <c r="U34" s="21">
        <v>1</v>
      </c>
      <c r="V34" s="21">
        <v>1</v>
      </c>
      <c r="W34" s="21">
        <v>1</v>
      </c>
      <c r="X34" s="21">
        <v>1</v>
      </c>
      <c r="Y34" s="21"/>
      <c r="Z34" s="21"/>
      <c r="AA34" s="21">
        <v>1</v>
      </c>
      <c r="AB34" s="21">
        <v>1</v>
      </c>
      <c r="AC34" s="21">
        <v>1</v>
      </c>
      <c r="AD34" s="21">
        <v>1</v>
      </c>
      <c r="AE34" s="21">
        <v>1</v>
      </c>
      <c r="AF34" s="21"/>
      <c r="AG34" s="21"/>
      <c r="AH34" s="21">
        <v>1</v>
      </c>
      <c r="AI34" s="21"/>
      <c r="AJ34" s="21"/>
      <c r="AK34" s="23">
        <v>1</v>
      </c>
      <c r="AL34" s="1" t="s">
        <v>3</v>
      </c>
    </row>
    <row r="35" spans="2:38" s="1" customFormat="1" ht="13.5" outlineLevel="1">
      <c r="B35" s="208"/>
      <c r="C35" s="211"/>
      <c r="D35" s="31" t="s">
        <v>33</v>
      </c>
      <c r="E35" s="37">
        <f>SUM(H35:AK35)*F35</f>
        <v>30</v>
      </c>
      <c r="F35" s="39">
        <v>10</v>
      </c>
      <c r="G35" s="15" t="s">
        <v>18</v>
      </c>
      <c r="H35" s="18"/>
      <c r="I35" s="18"/>
      <c r="J35" s="18"/>
      <c r="K35" s="18"/>
      <c r="L35" s="18"/>
      <c r="M35" s="18"/>
      <c r="N35" s="18"/>
      <c r="O35" s="18"/>
      <c r="P35" s="18"/>
      <c r="Q35" s="18"/>
      <c r="R35" s="18"/>
      <c r="S35" s="18"/>
      <c r="T35" s="18">
        <v>1</v>
      </c>
      <c r="U35" s="18"/>
      <c r="V35" s="18"/>
      <c r="W35" s="18"/>
      <c r="X35" s="18"/>
      <c r="Y35" s="18"/>
      <c r="Z35" s="18"/>
      <c r="AA35" s="18">
        <v>1</v>
      </c>
      <c r="AB35" s="18"/>
      <c r="AC35" s="18"/>
      <c r="AD35" s="18"/>
      <c r="AE35" s="18"/>
      <c r="AF35" s="18"/>
      <c r="AG35" s="18"/>
      <c r="AH35" s="18">
        <v>1</v>
      </c>
      <c r="AI35" s="18"/>
      <c r="AJ35" s="18"/>
      <c r="AK35" s="24"/>
      <c r="AL35" s="1" t="s">
        <v>3</v>
      </c>
    </row>
    <row r="36" spans="2:38" s="1" customFormat="1" ht="13.5" outlineLevel="1">
      <c r="B36" s="208"/>
      <c r="C36" s="211"/>
      <c r="D36" s="31" t="s">
        <v>34</v>
      </c>
      <c r="E36" s="37">
        <f t="shared" ref="E36" si="130">SUM(H36:AK36)</f>
        <v>0</v>
      </c>
      <c r="F36" s="39"/>
      <c r="G36" s="15" t="s">
        <v>18</v>
      </c>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24"/>
      <c r="AL36" s="1" t="s">
        <v>3</v>
      </c>
    </row>
    <row r="37" spans="2:38" s="1" customFormat="1" ht="14" outlineLevel="1" thickBot="1">
      <c r="B37" s="209"/>
      <c r="C37" s="212"/>
      <c r="D37" s="32"/>
      <c r="E37" s="38"/>
      <c r="F37" s="41"/>
      <c r="G37" s="17" t="s">
        <v>18</v>
      </c>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7"/>
      <c r="AL37" s="1" t="s">
        <v>3</v>
      </c>
    </row>
    <row r="38" spans="2:38" s="1" customFormat="1" ht="15" customHeight="1" outlineLevel="1">
      <c r="B38" s="226" t="s">
        <v>35</v>
      </c>
      <c r="C38" s="220" t="s">
        <v>5</v>
      </c>
      <c r="D38" s="221"/>
      <c r="E38" s="39">
        <f t="shared" ref="E38:E41" si="131">SUM(H38:AK38)</f>
        <v>265</v>
      </c>
      <c r="F38" s="39" t="s">
        <v>10</v>
      </c>
      <c r="G38" s="15" t="s">
        <v>7</v>
      </c>
      <c r="H38" s="71"/>
      <c r="I38" s="71"/>
      <c r="J38" s="18">
        <f>44+39</f>
        <v>83</v>
      </c>
      <c r="K38" s="71">
        <v>0</v>
      </c>
      <c r="L38" s="71">
        <v>0</v>
      </c>
      <c r="M38" s="18">
        <v>1</v>
      </c>
      <c r="N38" s="18">
        <v>47</v>
      </c>
      <c r="O38" s="18">
        <v>0</v>
      </c>
      <c r="P38" s="18">
        <v>1</v>
      </c>
      <c r="Q38" s="18">
        <v>6</v>
      </c>
      <c r="R38" s="71">
        <v>0</v>
      </c>
      <c r="S38" s="71">
        <v>0</v>
      </c>
      <c r="T38" s="18">
        <v>15</v>
      </c>
      <c r="U38" s="18">
        <v>2</v>
      </c>
      <c r="V38" s="18">
        <v>3</v>
      </c>
      <c r="W38" s="18">
        <v>8</v>
      </c>
      <c r="X38" s="18">
        <v>6</v>
      </c>
      <c r="Y38" s="71">
        <v>0</v>
      </c>
      <c r="Z38" s="71">
        <v>0</v>
      </c>
      <c r="AA38" s="18">
        <v>9</v>
      </c>
      <c r="AB38" s="18">
        <v>47</v>
      </c>
      <c r="AC38" s="18">
        <v>0</v>
      </c>
      <c r="AD38" s="18">
        <v>1</v>
      </c>
      <c r="AE38" s="18">
        <v>6</v>
      </c>
      <c r="AF38" s="71">
        <v>0</v>
      </c>
      <c r="AG38" s="71">
        <v>0</v>
      </c>
      <c r="AH38" s="18">
        <v>15</v>
      </c>
      <c r="AI38" s="18">
        <v>5</v>
      </c>
      <c r="AJ38" s="71">
        <v>0</v>
      </c>
      <c r="AK38" s="24">
        <v>10</v>
      </c>
      <c r="AL38" s="1" t="s">
        <v>3</v>
      </c>
    </row>
    <row r="39" spans="2:38" s="1" customFormat="1" ht="15" customHeight="1" outlineLevel="1">
      <c r="B39" s="208"/>
      <c r="C39" s="205" t="s">
        <v>29</v>
      </c>
      <c r="D39" s="206"/>
      <c r="E39" s="39">
        <f t="shared" si="131"/>
        <v>201</v>
      </c>
      <c r="F39" s="39" t="s">
        <v>10</v>
      </c>
      <c r="G39" s="15" t="s">
        <v>7</v>
      </c>
      <c r="H39" s="71"/>
      <c r="I39" s="71"/>
      <c r="J39" s="18">
        <f>SUM(J45*$F$45,J46*$F$46,J47*$F$47)</f>
        <v>0</v>
      </c>
      <c r="K39" s="71">
        <f t="shared" ref="K39:AK39" si="132">SUM(K45*$F$45,K46*$F$46,K47*$F$47)</f>
        <v>0</v>
      </c>
      <c r="L39" s="71">
        <f t="shared" si="132"/>
        <v>0</v>
      </c>
      <c r="M39" s="18">
        <f t="shared" si="132"/>
        <v>0</v>
      </c>
      <c r="N39" s="18">
        <f t="shared" si="132"/>
        <v>6</v>
      </c>
      <c r="O39" s="18">
        <f t="shared" si="132"/>
        <v>6</v>
      </c>
      <c r="P39" s="18">
        <f t="shared" si="132"/>
        <v>6</v>
      </c>
      <c r="Q39" s="18">
        <f t="shared" si="132"/>
        <v>6</v>
      </c>
      <c r="R39" s="71">
        <f t="shared" si="132"/>
        <v>0</v>
      </c>
      <c r="S39" s="71">
        <f t="shared" si="132"/>
        <v>0</v>
      </c>
      <c r="T39" s="18">
        <f t="shared" si="132"/>
        <v>36</v>
      </c>
      <c r="U39" s="18">
        <f t="shared" si="132"/>
        <v>6</v>
      </c>
      <c r="V39" s="18">
        <f t="shared" si="132"/>
        <v>6</v>
      </c>
      <c r="W39" s="18">
        <f t="shared" si="132"/>
        <v>6</v>
      </c>
      <c r="X39" s="18">
        <f t="shared" si="132"/>
        <v>6</v>
      </c>
      <c r="Y39" s="71">
        <f t="shared" si="132"/>
        <v>0</v>
      </c>
      <c r="Z39" s="71">
        <f t="shared" si="132"/>
        <v>0</v>
      </c>
      <c r="AA39" s="18">
        <f t="shared" si="132"/>
        <v>36</v>
      </c>
      <c r="AB39" s="18">
        <f t="shared" si="132"/>
        <v>6</v>
      </c>
      <c r="AC39" s="18">
        <f t="shared" si="132"/>
        <v>6</v>
      </c>
      <c r="AD39" s="18">
        <f t="shared" si="132"/>
        <v>6</v>
      </c>
      <c r="AE39" s="18">
        <f t="shared" si="132"/>
        <v>6</v>
      </c>
      <c r="AF39" s="71">
        <f t="shared" si="132"/>
        <v>0</v>
      </c>
      <c r="AG39" s="71">
        <f t="shared" si="132"/>
        <v>0</v>
      </c>
      <c r="AH39" s="18">
        <f t="shared" si="132"/>
        <v>36</v>
      </c>
      <c r="AI39" s="18">
        <f t="shared" si="132"/>
        <v>0</v>
      </c>
      <c r="AJ39" s="71">
        <f t="shared" si="132"/>
        <v>0</v>
      </c>
      <c r="AK39" s="24">
        <f t="shared" si="132"/>
        <v>21</v>
      </c>
      <c r="AL39" s="1" t="s">
        <v>3</v>
      </c>
    </row>
    <row r="40" spans="2:38" s="1" customFormat="1" ht="15" customHeight="1" outlineLevel="1">
      <c r="B40" s="208"/>
      <c r="C40" s="213" t="s">
        <v>9</v>
      </c>
      <c r="D40" s="214"/>
      <c r="E40" s="121" t="s">
        <v>10</v>
      </c>
      <c r="F40" s="121" t="s">
        <v>10</v>
      </c>
      <c r="G40" s="122" t="s">
        <v>11</v>
      </c>
      <c r="H40" s="123">
        <f>H39</f>
        <v>0</v>
      </c>
      <c r="I40" s="123">
        <f>H40+I39</f>
        <v>0</v>
      </c>
      <c r="J40" s="123">
        <f>I40+J39</f>
        <v>0</v>
      </c>
      <c r="K40" s="123">
        <f t="shared" ref="K40" si="133">J40+K39</f>
        <v>0</v>
      </c>
      <c r="L40" s="123">
        <f t="shared" ref="L40" si="134">K40+L39</f>
        <v>0</v>
      </c>
      <c r="M40" s="123">
        <f t="shared" ref="M40" si="135">L40+M39</f>
        <v>0</v>
      </c>
      <c r="N40" s="123">
        <f t="shared" ref="N40" si="136">M40+N39</f>
        <v>6</v>
      </c>
      <c r="O40" s="123">
        <f t="shared" ref="O40" si="137">N40+O39</f>
        <v>12</v>
      </c>
      <c r="P40" s="123">
        <f t="shared" ref="P40" si="138">O40+P39</f>
        <v>18</v>
      </c>
      <c r="Q40" s="123">
        <f t="shared" ref="Q40" si="139">P40+Q39</f>
        <v>24</v>
      </c>
      <c r="R40" s="123">
        <f t="shared" ref="R40" si="140">Q40+R39</f>
        <v>24</v>
      </c>
      <c r="S40" s="123">
        <f t="shared" ref="S40" si="141">R40+S39</f>
        <v>24</v>
      </c>
      <c r="T40" s="123">
        <f t="shared" ref="T40" si="142">S40+T39</f>
        <v>60</v>
      </c>
      <c r="U40" s="123">
        <f t="shared" ref="U40" si="143">T40+U39</f>
        <v>66</v>
      </c>
      <c r="V40" s="123">
        <f t="shared" ref="V40" si="144">U40+V39</f>
        <v>72</v>
      </c>
      <c r="W40" s="123">
        <f t="shared" ref="W40" si="145">V40+W39</f>
        <v>78</v>
      </c>
      <c r="X40" s="123">
        <f t="shared" ref="X40" si="146">W40+X39</f>
        <v>84</v>
      </c>
      <c r="Y40" s="123">
        <f t="shared" ref="Y40" si="147">X40+Y39</f>
        <v>84</v>
      </c>
      <c r="Z40" s="123">
        <f t="shared" ref="Z40" si="148">Y40+Z39</f>
        <v>84</v>
      </c>
      <c r="AA40" s="123">
        <f t="shared" ref="AA40" si="149">Z40+AA39</f>
        <v>120</v>
      </c>
      <c r="AB40" s="123">
        <f t="shared" ref="AB40" si="150">AA40+AB39</f>
        <v>126</v>
      </c>
      <c r="AC40" s="123">
        <f t="shared" ref="AC40" si="151">AB40+AC39</f>
        <v>132</v>
      </c>
      <c r="AD40" s="123">
        <f t="shared" ref="AD40" si="152">AC40+AD39</f>
        <v>138</v>
      </c>
      <c r="AE40" s="123">
        <f t="shared" ref="AE40" si="153">AD40+AE39</f>
        <v>144</v>
      </c>
      <c r="AF40" s="123">
        <f t="shared" ref="AF40" si="154">AE40+AF39</f>
        <v>144</v>
      </c>
      <c r="AG40" s="123">
        <f t="shared" ref="AG40" si="155">AF40+AG39</f>
        <v>144</v>
      </c>
      <c r="AH40" s="123">
        <f t="shared" ref="AH40" si="156">AG40+AH39</f>
        <v>180</v>
      </c>
      <c r="AI40" s="123">
        <f t="shared" ref="AI40" si="157">AH40+AI39</f>
        <v>180</v>
      </c>
      <c r="AJ40" s="123">
        <f t="shared" ref="AJ40" si="158">AI40+AJ39</f>
        <v>180</v>
      </c>
      <c r="AK40" s="124">
        <f t="shared" ref="AK40" si="159">AJ40+AK39</f>
        <v>201</v>
      </c>
    </row>
    <row r="41" spans="2:38" s="1" customFormat="1" ht="15" customHeight="1" outlineLevel="1">
      <c r="B41" s="208"/>
      <c r="C41" s="205" t="s">
        <v>30</v>
      </c>
      <c r="D41" s="206"/>
      <c r="E41" s="39">
        <f t="shared" si="131"/>
        <v>173</v>
      </c>
      <c r="F41" s="39" t="s">
        <v>10</v>
      </c>
      <c r="G41" s="15" t="s">
        <v>7</v>
      </c>
      <c r="H41" s="71"/>
      <c r="I41" s="71"/>
      <c r="J41" s="18">
        <f>SUM(J48*$F$48,J49*$F$49,J50*$F$50,J51*$F$51)</f>
        <v>8.5</v>
      </c>
      <c r="K41" s="71">
        <f t="shared" ref="K41:AK41" si="160">SUM(K48*$F$48,K49*$F$49,K50*$F$50,K51*$F$51)</f>
        <v>0</v>
      </c>
      <c r="L41" s="71">
        <f t="shared" si="160"/>
        <v>0</v>
      </c>
      <c r="M41" s="18">
        <f t="shared" si="160"/>
        <v>8.5</v>
      </c>
      <c r="N41" s="18">
        <f t="shared" si="160"/>
        <v>8.5</v>
      </c>
      <c r="O41" s="18">
        <f t="shared" si="160"/>
        <v>8.5</v>
      </c>
      <c r="P41" s="18">
        <f t="shared" si="160"/>
        <v>8.5</v>
      </c>
      <c r="Q41" s="18">
        <f t="shared" si="160"/>
        <v>8.5</v>
      </c>
      <c r="R41" s="71">
        <f t="shared" si="160"/>
        <v>0</v>
      </c>
      <c r="S41" s="71">
        <f t="shared" si="160"/>
        <v>0</v>
      </c>
      <c r="T41" s="18">
        <f t="shared" si="160"/>
        <v>13.5</v>
      </c>
      <c r="U41" s="18">
        <f t="shared" si="160"/>
        <v>8.5</v>
      </c>
      <c r="V41" s="18">
        <f t="shared" si="160"/>
        <v>8.5</v>
      </c>
      <c r="W41" s="18">
        <f t="shared" si="160"/>
        <v>8.5</v>
      </c>
      <c r="X41" s="18">
        <f t="shared" si="160"/>
        <v>8.5</v>
      </c>
      <c r="Y41" s="71">
        <f t="shared" si="160"/>
        <v>0</v>
      </c>
      <c r="Z41" s="71">
        <f t="shared" si="160"/>
        <v>0</v>
      </c>
      <c r="AA41" s="18">
        <f t="shared" si="160"/>
        <v>13.5</v>
      </c>
      <c r="AB41" s="18">
        <f t="shared" si="160"/>
        <v>8.5</v>
      </c>
      <c r="AC41" s="18">
        <f t="shared" si="160"/>
        <v>8.5</v>
      </c>
      <c r="AD41" s="18">
        <f t="shared" si="160"/>
        <v>8.5</v>
      </c>
      <c r="AE41" s="18">
        <f t="shared" si="160"/>
        <v>8.5</v>
      </c>
      <c r="AF41" s="71">
        <f t="shared" si="160"/>
        <v>0</v>
      </c>
      <c r="AG41" s="71">
        <f t="shared" si="160"/>
        <v>0</v>
      </c>
      <c r="AH41" s="18">
        <f t="shared" si="160"/>
        <v>13.5</v>
      </c>
      <c r="AI41" s="18">
        <f t="shared" si="160"/>
        <v>0</v>
      </c>
      <c r="AJ41" s="71">
        <f t="shared" si="160"/>
        <v>0</v>
      </c>
      <c r="AK41" s="24">
        <f t="shared" si="160"/>
        <v>13.5</v>
      </c>
      <c r="AL41" s="1" t="s">
        <v>3</v>
      </c>
    </row>
    <row r="42" spans="2:38" s="1" customFormat="1" ht="15" customHeight="1" outlineLevel="1">
      <c r="B42" s="208"/>
      <c r="C42" s="213" t="s">
        <v>13</v>
      </c>
      <c r="D42" s="214"/>
      <c r="E42" s="121" t="s">
        <v>10</v>
      </c>
      <c r="F42" s="121" t="s">
        <v>10</v>
      </c>
      <c r="G42" s="122" t="s">
        <v>11</v>
      </c>
      <c r="H42" s="123">
        <f>H41</f>
        <v>0</v>
      </c>
      <c r="I42" s="123">
        <f>H42+I41</f>
        <v>0</v>
      </c>
      <c r="J42" s="123">
        <f t="shared" ref="J42" si="161">I42+J41</f>
        <v>8.5</v>
      </c>
      <c r="K42" s="123">
        <f t="shared" ref="K42" si="162">J42+K41</f>
        <v>8.5</v>
      </c>
      <c r="L42" s="123">
        <f t="shared" ref="L42" si="163">K42+L41</f>
        <v>8.5</v>
      </c>
      <c r="M42" s="123">
        <f>L42+M41</f>
        <v>17</v>
      </c>
      <c r="N42" s="123">
        <f t="shared" ref="N42" si="164">M42+N41</f>
        <v>25.5</v>
      </c>
      <c r="O42" s="123">
        <f t="shared" ref="O42" si="165">N42+O41</f>
        <v>34</v>
      </c>
      <c r="P42" s="123">
        <f t="shared" ref="P42" si="166">O42+P41</f>
        <v>42.5</v>
      </c>
      <c r="Q42" s="123">
        <f t="shared" ref="Q42" si="167">P42+Q41</f>
        <v>51</v>
      </c>
      <c r="R42" s="123">
        <f t="shared" ref="R42" si="168">Q42+R41</f>
        <v>51</v>
      </c>
      <c r="S42" s="123">
        <f t="shared" ref="S42" si="169">R42+S41</f>
        <v>51</v>
      </c>
      <c r="T42" s="123">
        <f t="shared" ref="T42" si="170">S42+T41</f>
        <v>64.5</v>
      </c>
      <c r="U42" s="123">
        <f t="shared" ref="U42" si="171">T42+U41</f>
        <v>73</v>
      </c>
      <c r="V42" s="123">
        <f t="shared" ref="V42" si="172">U42+V41</f>
        <v>81.5</v>
      </c>
      <c r="W42" s="123">
        <f t="shared" ref="W42" si="173">V42+W41</f>
        <v>90</v>
      </c>
      <c r="X42" s="123">
        <f t="shared" ref="X42" si="174">W42+X41</f>
        <v>98.5</v>
      </c>
      <c r="Y42" s="123">
        <f t="shared" ref="Y42" si="175">X42+Y41</f>
        <v>98.5</v>
      </c>
      <c r="Z42" s="123">
        <f t="shared" ref="Z42" si="176">Y42+Z41</f>
        <v>98.5</v>
      </c>
      <c r="AA42" s="123">
        <f t="shared" ref="AA42" si="177">Z42+AA41</f>
        <v>112</v>
      </c>
      <c r="AB42" s="123">
        <f t="shared" ref="AB42" si="178">AA42+AB41</f>
        <v>120.5</v>
      </c>
      <c r="AC42" s="123">
        <f t="shared" ref="AC42" si="179">AB42+AC41</f>
        <v>129</v>
      </c>
      <c r="AD42" s="123">
        <f t="shared" ref="AD42" si="180">AC42+AD41</f>
        <v>137.5</v>
      </c>
      <c r="AE42" s="123">
        <f t="shared" ref="AE42" si="181">AD42+AE41</f>
        <v>146</v>
      </c>
      <c r="AF42" s="123">
        <f t="shared" ref="AF42" si="182">AE42+AF41</f>
        <v>146</v>
      </c>
      <c r="AG42" s="123">
        <f t="shared" ref="AG42" si="183">AF42+AG41</f>
        <v>146</v>
      </c>
      <c r="AH42" s="123">
        <f t="shared" ref="AH42" si="184">AG42+AH41</f>
        <v>159.5</v>
      </c>
      <c r="AI42" s="123">
        <f t="shared" ref="AI42" si="185">AH42+AI41</f>
        <v>159.5</v>
      </c>
      <c r="AJ42" s="123">
        <f t="shared" ref="AJ42" si="186">AI42+AJ41</f>
        <v>159.5</v>
      </c>
      <c r="AK42" s="125">
        <f t="shared" ref="AK42" si="187">AJ42+AK41</f>
        <v>173</v>
      </c>
    </row>
    <row r="43" spans="2:38" s="1" customFormat="1" ht="13.5" outlineLevel="1">
      <c r="B43" s="208"/>
      <c r="C43" s="205" t="s">
        <v>14</v>
      </c>
      <c r="D43" s="206"/>
      <c r="E43" s="39">
        <f>E38-E39</f>
        <v>64</v>
      </c>
      <c r="F43" s="39" t="s">
        <v>10</v>
      </c>
      <c r="G43" s="15" t="s">
        <v>7</v>
      </c>
      <c r="H43" s="71"/>
      <c r="I43" s="71"/>
      <c r="J43" s="18">
        <f t="shared" ref="J43:AK43" si="188">I43+J38-J39</f>
        <v>83</v>
      </c>
      <c r="K43" s="71">
        <f t="shared" si="188"/>
        <v>83</v>
      </c>
      <c r="L43" s="71">
        <f t="shared" si="188"/>
        <v>83</v>
      </c>
      <c r="M43" s="18">
        <f t="shared" si="188"/>
        <v>84</v>
      </c>
      <c r="N43" s="18">
        <f t="shared" si="188"/>
        <v>125</v>
      </c>
      <c r="O43" s="18">
        <f t="shared" si="188"/>
        <v>119</v>
      </c>
      <c r="P43" s="18">
        <f t="shared" si="188"/>
        <v>114</v>
      </c>
      <c r="Q43" s="18">
        <f t="shared" si="188"/>
        <v>114</v>
      </c>
      <c r="R43" s="71">
        <f t="shared" si="188"/>
        <v>114</v>
      </c>
      <c r="S43" s="71">
        <f t="shared" si="188"/>
        <v>114</v>
      </c>
      <c r="T43" s="18">
        <f t="shared" si="188"/>
        <v>93</v>
      </c>
      <c r="U43" s="18">
        <f t="shared" si="188"/>
        <v>89</v>
      </c>
      <c r="V43" s="18">
        <f t="shared" si="188"/>
        <v>86</v>
      </c>
      <c r="W43" s="18">
        <f t="shared" si="188"/>
        <v>88</v>
      </c>
      <c r="X43" s="18">
        <f t="shared" si="188"/>
        <v>88</v>
      </c>
      <c r="Y43" s="71">
        <f t="shared" si="188"/>
        <v>88</v>
      </c>
      <c r="Z43" s="71">
        <f t="shared" si="188"/>
        <v>88</v>
      </c>
      <c r="AA43" s="18">
        <f t="shared" si="188"/>
        <v>61</v>
      </c>
      <c r="AB43" s="18">
        <f t="shared" si="188"/>
        <v>102</v>
      </c>
      <c r="AC43" s="18">
        <f t="shared" si="188"/>
        <v>96</v>
      </c>
      <c r="AD43" s="18">
        <f t="shared" si="188"/>
        <v>91</v>
      </c>
      <c r="AE43" s="18">
        <f t="shared" si="188"/>
        <v>91</v>
      </c>
      <c r="AF43" s="71">
        <f t="shared" si="188"/>
        <v>91</v>
      </c>
      <c r="AG43" s="71">
        <f t="shared" si="188"/>
        <v>91</v>
      </c>
      <c r="AH43" s="18">
        <f t="shared" si="188"/>
        <v>70</v>
      </c>
      <c r="AI43" s="18">
        <f t="shared" si="188"/>
        <v>75</v>
      </c>
      <c r="AJ43" s="71">
        <f t="shared" si="188"/>
        <v>75</v>
      </c>
      <c r="AK43" s="24">
        <f t="shared" si="188"/>
        <v>64</v>
      </c>
      <c r="AL43" s="1" t="s">
        <v>3</v>
      </c>
    </row>
    <row r="44" spans="2:38" s="1" customFormat="1" ht="14" outlineLevel="1" thickBot="1">
      <c r="B44" s="208"/>
      <c r="C44" s="205" t="s">
        <v>15</v>
      </c>
      <c r="D44" s="206"/>
      <c r="E44" s="19">
        <f>E38-E41</f>
        <v>92</v>
      </c>
      <c r="F44" s="19" t="s">
        <v>10</v>
      </c>
      <c r="G44" s="15" t="s">
        <v>7</v>
      </c>
      <c r="H44" s="72"/>
      <c r="I44" s="72"/>
      <c r="J44" s="20">
        <f t="shared" ref="J44:AK44" si="189">I44+J38-J41</f>
        <v>74.5</v>
      </c>
      <c r="K44" s="72">
        <f t="shared" si="189"/>
        <v>74.5</v>
      </c>
      <c r="L44" s="72">
        <f t="shared" si="189"/>
        <v>74.5</v>
      </c>
      <c r="M44" s="20">
        <f t="shared" si="189"/>
        <v>67</v>
      </c>
      <c r="N44" s="20">
        <f t="shared" si="189"/>
        <v>105.5</v>
      </c>
      <c r="O44" s="20">
        <f t="shared" si="189"/>
        <v>97</v>
      </c>
      <c r="P44" s="20">
        <f t="shared" si="189"/>
        <v>89.5</v>
      </c>
      <c r="Q44" s="20">
        <f t="shared" si="189"/>
        <v>87</v>
      </c>
      <c r="R44" s="72">
        <f t="shared" si="189"/>
        <v>87</v>
      </c>
      <c r="S44" s="72">
        <f t="shared" si="189"/>
        <v>87</v>
      </c>
      <c r="T44" s="20">
        <f t="shared" si="189"/>
        <v>88.5</v>
      </c>
      <c r="U44" s="20">
        <f t="shared" si="189"/>
        <v>82</v>
      </c>
      <c r="V44" s="20">
        <f t="shared" si="189"/>
        <v>76.5</v>
      </c>
      <c r="W44" s="20">
        <f t="shared" si="189"/>
        <v>76</v>
      </c>
      <c r="X44" s="20">
        <f t="shared" si="189"/>
        <v>73.5</v>
      </c>
      <c r="Y44" s="72">
        <f t="shared" si="189"/>
        <v>73.5</v>
      </c>
      <c r="Z44" s="72">
        <f t="shared" si="189"/>
        <v>73.5</v>
      </c>
      <c r="AA44" s="20">
        <f t="shared" si="189"/>
        <v>69</v>
      </c>
      <c r="AB44" s="20">
        <f t="shared" si="189"/>
        <v>107.5</v>
      </c>
      <c r="AC44" s="20">
        <f t="shared" si="189"/>
        <v>99</v>
      </c>
      <c r="AD44" s="20">
        <f t="shared" si="189"/>
        <v>91.5</v>
      </c>
      <c r="AE44" s="20">
        <f t="shared" si="189"/>
        <v>89</v>
      </c>
      <c r="AF44" s="72">
        <f t="shared" si="189"/>
        <v>89</v>
      </c>
      <c r="AG44" s="72">
        <f t="shared" si="189"/>
        <v>89</v>
      </c>
      <c r="AH44" s="20">
        <f t="shared" si="189"/>
        <v>90.5</v>
      </c>
      <c r="AI44" s="20">
        <f t="shared" si="189"/>
        <v>95.5</v>
      </c>
      <c r="AJ44" s="72">
        <f t="shared" si="189"/>
        <v>95.5</v>
      </c>
      <c r="AK44" s="47">
        <f t="shared" si="189"/>
        <v>92</v>
      </c>
      <c r="AL44" s="1" t="s">
        <v>3</v>
      </c>
    </row>
    <row r="45" spans="2:38" s="1" customFormat="1" ht="13.5" outlineLevel="1">
      <c r="B45" s="208"/>
      <c r="C45" s="210" t="s">
        <v>16</v>
      </c>
      <c r="D45" s="28" t="s">
        <v>17</v>
      </c>
      <c r="E45" s="33">
        <f t="shared" ref="E45:E50" si="190">SUM(H45:AK45)*F45</f>
        <v>0</v>
      </c>
      <c r="F45" s="40">
        <v>40</v>
      </c>
      <c r="G45" s="16" t="s">
        <v>18</v>
      </c>
      <c r="H45" s="22"/>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3"/>
      <c r="AL45" s="1" t="s">
        <v>3</v>
      </c>
    </row>
    <row r="46" spans="2:38" s="1" customFormat="1" ht="13.5" outlineLevel="1">
      <c r="B46" s="208"/>
      <c r="C46" s="211"/>
      <c r="D46" s="29" t="s">
        <v>36</v>
      </c>
      <c r="E46" s="34">
        <f t="shared" si="190"/>
        <v>96.000000000000014</v>
      </c>
      <c r="F46" s="39">
        <v>30</v>
      </c>
      <c r="G46" s="15" t="s">
        <v>18</v>
      </c>
      <c r="H46" s="18"/>
      <c r="I46" s="18"/>
      <c r="J46" s="18"/>
      <c r="K46" s="18"/>
      <c r="L46" s="18"/>
      <c r="M46" s="18"/>
      <c r="N46" s="18">
        <v>0.2</v>
      </c>
      <c r="O46" s="18">
        <v>0.2</v>
      </c>
      <c r="P46" s="18">
        <v>0.2</v>
      </c>
      <c r="Q46" s="18">
        <v>0.2</v>
      </c>
      <c r="R46" s="18"/>
      <c r="S46" s="18"/>
      <c r="T46" s="18">
        <v>0.2</v>
      </c>
      <c r="U46" s="18">
        <v>0.2</v>
      </c>
      <c r="V46" s="18">
        <v>0.2</v>
      </c>
      <c r="W46" s="18">
        <v>0.2</v>
      </c>
      <c r="X46" s="18">
        <v>0.2</v>
      </c>
      <c r="Y46" s="18"/>
      <c r="Z46" s="18"/>
      <c r="AA46" s="18">
        <v>0.2</v>
      </c>
      <c r="AB46" s="18">
        <v>0.2</v>
      </c>
      <c r="AC46" s="18">
        <v>0.2</v>
      </c>
      <c r="AD46" s="18">
        <v>0.2</v>
      </c>
      <c r="AE46" s="18">
        <v>0.2</v>
      </c>
      <c r="AF46" s="18"/>
      <c r="AG46" s="18"/>
      <c r="AH46" s="18">
        <v>0.2</v>
      </c>
      <c r="AI46" s="18"/>
      <c r="AJ46" s="18"/>
      <c r="AK46" s="24">
        <v>0.2</v>
      </c>
      <c r="AL46" s="1" t="s">
        <v>3</v>
      </c>
    </row>
    <row r="47" spans="2:38" s="1" customFormat="1" ht="14" outlineLevel="1" thickBot="1">
      <c r="B47" s="208"/>
      <c r="C47" s="211"/>
      <c r="D47" s="29" t="s">
        <v>37</v>
      </c>
      <c r="E47" s="35">
        <f t="shared" si="190"/>
        <v>105</v>
      </c>
      <c r="F47" s="41">
        <v>30</v>
      </c>
      <c r="G47" s="17" t="s">
        <v>18</v>
      </c>
      <c r="H47" s="26"/>
      <c r="I47" s="25"/>
      <c r="J47" s="18"/>
      <c r="K47" s="18"/>
      <c r="L47" s="18"/>
      <c r="M47" s="18"/>
      <c r="N47" s="18"/>
      <c r="O47" s="18"/>
      <c r="P47" s="18"/>
      <c r="Q47" s="18"/>
      <c r="R47" s="18"/>
      <c r="S47" s="18"/>
      <c r="T47" s="18">
        <v>1</v>
      </c>
      <c r="U47" s="18"/>
      <c r="V47" s="18"/>
      <c r="W47" s="18"/>
      <c r="X47" s="18"/>
      <c r="Y47" s="18"/>
      <c r="Z47" s="18"/>
      <c r="AA47" s="25">
        <v>1</v>
      </c>
      <c r="AB47" s="25"/>
      <c r="AC47" s="25"/>
      <c r="AD47" s="25"/>
      <c r="AE47" s="25"/>
      <c r="AF47" s="25"/>
      <c r="AG47" s="25"/>
      <c r="AH47" s="25">
        <v>1</v>
      </c>
      <c r="AI47" s="25"/>
      <c r="AJ47" s="25"/>
      <c r="AK47" s="27">
        <v>0.5</v>
      </c>
      <c r="AL47" s="1" t="s">
        <v>3</v>
      </c>
    </row>
    <row r="48" spans="2:38" s="1" customFormat="1" ht="13.5" outlineLevel="1">
      <c r="B48" s="208"/>
      <c r="C48" s="210" t="s">
        <v>25</v>
      </c>
      <c r="D48" s="30" t="s">
        <v>32</v>
      </c>
      <c r="E48" s="36">
        <f t="shared" si="190"/>
        <v>0</v>
      </c>
      <c r="F48" s="40">
        <v>8</v>
      </c>
      <c r="G48" s="16" t="s">
        <v>18</v>
      </c>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3"/>
      <c r="AL48" s="1" t="s">
        <v>3</v>
      </c>
    </row>
    <row r="49" spans="2:38" s="1" customFormat="1" ht="13.5" outlineLevel="1">
      <c r="B49" s="208"/>
      <c r="C49" s="211"/>
      <c r="D49" s="31" t="s">
        <v>33</v>
      </c>
      <c r="E49" s="37">
        <f t="shared" si="190"/>
        <v>63.000000000000014</v>
      </c>
      <c r="F49" s="39">
        <v>35</v>
      </c>
      <c r="G49" s="15" t="s">
        <v>18</v>
      </c>
      <c r="H49" s="18"/>
      <c r="I49" s="18"/>
      <c r="J49" s="18">
        <v>0.1</v>
      </c>
      <c r="K49" s="18"/>
      <c r="L49" s="18"/>
      <c r="M49" s="18">
        <v>0.1</v>
      </c>
      <c r="N49" s="18">
        <v>0.1</v>
      </c>
      <c r="O49" s="18">
        <v>0.1</v>
      </c>
      <c r="P49" s="18">
        <v>0.1</v>
      </c>
      <c r="Q49" s="18">
        <v>0.1</v>
      </c>
      <c r="R49" s="18"/>
      <c r="S49" s="18"/>
      <c r="T49" s="18">
        <v>0.1</v>
      </c>
      <c r="U49" s="18">
        <v>0.1</v>
      </c>
      <c r="V49" s="18">
        <v>0.1</v>
      </c>
      <c r="W49" s="18">
        <v>0.1</v>
      </c>
      <c r="X49" s="18">
        <v>0.1</v>
      </c>
      <c r="Y49" s="18"/>
      <c r="Z49" s="18"/>
      <c r="AA49" s="18">
        <v>0.1</v>
      </c>
      <c r="AB49" s="18">
        <v>0.1</v>
      </c>
      <c r="AC49" s="18">
        <v>0.1</v>
      </c>
      <c r="AD49" s="18">
        <v>0.1</v>
      </c>
      <c r="AE49" s="18">
        <v>0.1</v>
      </c>
      <c r="AF49" s="18"/>
      <c r="AG49" s="18"/>
      <c r="AH49" s="18">
        <v>0.1</v>
      </c>
      <c r="AI49" s="18"/>
      <c r="AJ49" s="18"/>
      <c r="AK49" s="24">
        <v>0.1</v>
      </c>
      <c r="AL49" s="1" t="s">
        <v>3</v>
      </c>
    </row>
    <row r="50" spans="2:38" s="1" customFormat="1" ht="13.5" outlineLevel="1">
      <c r="B50" s="208"/>
      <c r="C50" s="211"/>
      <c r="D50" s="31" t="s">
        <v>34</v>
      </c>
      <c r="E50" s="37">
        <f t="shared" si="190"/>
        <v>110</v>
      </c>
      <c r="F50" s="39">
        <v>10</v>
      </c>
      <c r="G50" s="15" t="s">
        <v>18</v>
      </c>
      <c r="H50" s="18"/>
      <c r="I50" s="18"/>
      <c r="J50" s="18">
        <v>0.5</v>
      </c>
      <c r="K50" s="18"/>
      <c r="L50" s="18"/>
      <c r="M50" s="18">
        <v>0.5</v>
      </c>
      <c r="N50" s="18">
        <v>0.5</v>
      </c>
      <c r="O50" s="18">
        <v>0.5</v>
      </c>
      <c r="P50" s="18">
        <v>0.5</v>
      </c>
      <c r="Q50" s="18">
        <v>0.5</v>
      </c>
      <c r="R50" s="18"/>
      <c r="S50" s="18"/>
      <c r="T50" s="18">
        <v>1</v>
      </c>
      <c r="U50" s="18">
        <v>0.5</v>
      </c>
      <c r="V50" s="18">
        <v>0.5</v>
      </c>
      <c r="W50" s="18">
        <v>0.5</v>
      </c>
      <c r="X50" s="18">
        <v>0.5</v>
      </c>
      <c r="Y50" s="18"/>
      <c r="Z50" s="18"/>
      <c r="AA50" s="18">
        <v>1</v>
      </c>
      <c r="AB50" s="18">
        <v>0.5</v>
      </c>
      <c r="AC50" s="18">
        <v>0.5</v>
      </c>
      <c r="AD50" s="18">
        <v>0.5</v>
      </c>
      <c r="AE50" s="18">
        <v>0.5</v>
      </c>
      <c r="AF50" s="18"/>
      <c r="AG50" s="18"/>
      <c r="AH50" s="18">
        <v>1</v>
      </c>
      <c r="AI50" s="18"/>
      <c r="AJ50" s="18"/>
      <c r="AK50" s="24">
        <v>1</v>
      </c>
      <c r="AL50" s="1" t="s">
        <v>3</v>
      </c>
    </row>
    <row r="51" spans="2:38" s="1" customFormat="1" ht="14" outlineLevel="1" thickBot="1">
      <c r="B51" s="208"/>
      <c r="C51" s="211"/>
      <c r="D51" s="31"/>
      <c r="E51" s="35"/>
      <c r="F51" s="41"/>
      <c r="G51" s="17" t="s">
        <v>18</v>
      </c>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7"/>
      <c r="AL51" s="1" t="s">
        <v>3</v>
      </c>
    </row>
    <row r="52" spans="2:38" s="1" customFormat="1" ht="15" customHeight="1" outlineLevel="1">
      <c r="B52" s="226" t="s">
        <v>38</v>
      </c>
      <c r="C52" s="220" t="s">
        <v>5</v>
      </c>
      <c r="D52" s="221"/>
      <c r="E52" s="56">
        <f t="shared" ref="E52:E55" si="191">SUM(H52:AK52)</f>
        <v>356</v>
      </c>
      <c r="F52" s="56" t="s">
        <v>10</v>
      </c>
      <c r="G52" s="65" t="s">
        <v>7</v>
      </c>
      <c r="H52" s="73"/>
      <c r="I52" s="73"/>
      <c r="J52" s="66">
        <f>115+28</f>
        <v>143</v>
      </c>
      <c r="K52" s="73">
        <v>0</v>
      </c>
      <c r="L52" s="73">
        <v>0</v>
      </c>
      <c r="M52" s="66">
        <v>9</v>
      </c>
      <c r="N52" s="66">
        <v>11</v>
      </c>
      <c r="O52" s="66">
        <v>5</v>
      </c>
      <c r="P52" s="66">
        <v>10</v>
      </c>
      <c r="Q52" s="66">
        <v>13</v>
      </c>
      <c r="R52" s="73">
        <v>0</v>
      </c>
      <c r="S52" s="73">
        <v>0</v>
      </c>
      <c r="T52" s="66">
        <v>4</v>
      </c>
      <c r="U52" s="66">
        <v>51</v>
      </c>
      <c r="V52" s="66">
        <v>7</v>
      </c>
      <c r="W52" s="66">
        <v>18</v>
      </c>
      <c r="X52" s="66">
        <v>10</v>
      </c>
      <c r="Y52" s="73">
        <v>0</v>
      </c>
      <c r="Z52" s="73">
        <v>0</v>
      </c>
      <c r="AA52" s="66">
        <v>15</v>
      </c>
      <c r="AB52" s="66">
        <v>11</v>
      </c>
      <c r="AC52" s="66">
        <v>5</v>
      </c>
      <c r="AD52" s="66">
        <v>10</v>
      </c>
      <c r="AE52" s="66">
        <v>13</v>
      </c>
      <c r="AF52" s="73">
        <v>0</v>
      </c>
      <c r="AG52" s="73">
        <v>0</v>
      </c>
      <c r="AH52" s="66">
        <v>4</v>
      </c>
      <c r="AI52" s="66">
        <v>7</v>
      </c>
      <c r="AJ52" s="73">
        <v>0</v>
      </c>
      <c r="AK52" s="67">
        <v>10</v>
      </c>
      <c r="AL52" s="1" t="s">
        <v>3</v>
      </c>
    </row>
    <row r="53" spans="2:38" s="1" customFormat="1" ht="15" customHeight="1" outlineLevel="1">
      <c r="B53" s="208"/>
      <c r="C53" s="205" t="s">
        <v>29</v>
      </c>
      <c r="D53" s="206"/>
      <c r="E53" s="39">
        <f t="shared" si="191"/>
        <v>208</v>
      </c>
      <c r="F53" s="39" t="s">
        <v>10</v>
      </c>
      <c r="G53" s="15" t="s">
        <v>7</v>
      </c>
      <c r="H53" s="71"/>
      <c r="I53" s="71"/>
      <c r="J53" s="18">
        <f>SUM(J59*$F$59,J60*$F$60,J61*$F$61)</f>
        <v>0</v>
      </c>
      <c r="K53" s="71">
        <f t="shared" ref="K53:AK53" si="192">SUM(K59*$F$59,K60*$F$60,K61*$F$61)</f>
        <v>0</v>
      </c>
      <c r="L53" s="71">
        <f t="shared" si="192"/>
        <v>0</v>
      </c>
      <c r="M53" s="18">
        <f t="shared" si="192"/>
        <v>10</v>
      </c>
      <c r="N53" s="18">
        <f t="shared" si="192"/>
        <v>18</v>
      </c>
      <c r="O53" s="18">
        <f t="shared" si="192"/>
        <v>18</v>
      </c>
      <c r="P53" s="18">
        <f t="shared" si="192"/>
        <v>18</v>
      </c>
      <c r="Q53" s="18">
        <f t="shared" si="192"/>
        <v>18</v>
      </c>
      <c r="R53" s="71">
        <f t="shared" si="192"/>
        <v>0</v>
      </c>
      <c r="S53" s="71">
        <f t="shared" si="192"/>
        <v>0</v>
      </c>
      <c r="T53" s="18">
        <f t="shared" si="192"/>
        <v>18</v>
      </c>
      <c r="U53" s="18">
        <f t="shared" si="192"/>
        <v>8</v>
      </c>
      <c r="V53" s="18">
        <f t="shared" si="192"/>
        <v>8</v>
      </c>
      <c r="W53" s="18">
        <f t="shared" si="192"/>
        <v>8</v>
      </c>
      <c r="X53" s="18">
        <f t="shared" si="192"/>
        <v>8</v>
      </c>
      <c r="Y53" s="71">
        <f t="shared" si="192"/>
        <v>0</v>
      </c>
      <c r="Z53" s="71">
        <f t="shared" si="192"/>
        <v>0</v>
      </c>
      <c r="AA53" s="18">
        <f t="shared" si="192"/>
        <v>18</v>
      </c>
      <c r="AB53" s="18">
        <f t="shared" si="192"/>
        <v>8</v>
      </c>
      <c r="AC53" s="18">
        <f t="shared" si="192"/>
        <v>8</v>
      </c>
      <c r="AD53" s="18">
        <f t="shared" si="192"/>
        <v>8</v>
      </c>
      <c r="AE53" s="18">
        <f t="shared" si="192"/>
        <v>8</v>
      </c>
      <c r="AF53" s="71">
        <f t="shared" si="192"/>
        <v>0</v>
      </c>
      <c r="AG53" s="71">
        <f t="shared" si="192"/>
        <v>0</v>
      </c>
      <c r="AH53" s="18">
        <f t="shared" si="192"/>
        <v>18</v>
      </c>
      <c r="AI53" s="18">
        <f t="shared" si="192"/>
        <v>0</v>
      </c>
      <c r="AJ53" s="71">
        <f t="shared" si="192"/>
        <v>0</v>
      </c>
      <c r="AK53" s="18">
        <f t="shared" si="192"/>
        <v>8</v>
      </c>
      <c r="AL53" s="1" t="s">
        <v>3</v>
      </c>
    </row>
    <row r="54" spans="2:38" s="1" customFormat="1" ht="15" customHeight="1" outlineLevel="1">
      <c r="B54" s="208"/>
      <c r="C54" s="213" t="s">
        <v>9</v>
      </c>
      <c r="D54" s="214"/>
      <c r="E54" s="121" t="s">
        <v>10</v>
      </c>
      <c r="F54" s="121" t="s">
        <v>10</v>
      </c>
      <c r="G54" s="122" t="s">
        <v>11</v>
      </c>
      <c r="H54" s="123">
        <f>H53</f>
        <v>0</v>
      </c>
      <c r="I54" s="123">
        <f>H54+I53</f>
        <v>0</v>
      </c>
      <c r="J54" s="123">
        <f>I54+J53</f>
        <v>0</v>
      </c>
      <c r="K54" s="123">
        <f t="shared" ref="K54" si="193">J54+K53</f>
        <v>0</v>
      </c>
      <c r="L54" s="123">
        <f t="shared" ref="L54" si="194">K54+L53</f>
        <v>0</v>
      </c>
      <c r="M54" s="123">
        <f t="shared" ref="M54" si="195">L54+M53</f>
        <v>10</v>
      </c>
      <c r="N54" s="123">
        <f t="shared" ref="N54" si="196">M54+N53</f>
        <v>28</v>
      </c>
      <c r="O54" s="123">
        <f t="shared" ref="O54" si="197">N54+O53</f>
        <v>46</v>
      </c>
      <c r="P54" s="123">
        <f t="shared" ref="P54" si="198">O54+P53</f>
        <v>64</v>
      </c>
      <c r="Q54" s="123">
        <f t="shared" ref="Q54" si="199">P54+Q53</f>
        <v>82</v>
      </c>
      <c r="R54" s="123">
        <f t="shared" ref="R54" si="200">Q54+R53</f>
        <v>82</v>
      </c>
      <c r="S54" s="123">
        <f t="shared" ref="S54" si="201">R54+S53</f>
        <v>82</v>
      </c>
      <c r="T54" s="123">
        <f t="shared" ref="T54" si="202">S54+T53</f>
        <v>100</v>
      </c>
      <c r="U54" s="123">
        <f t="shared" ref="U54" si="203">T54+U53</f>
        <v>108</v>
      </c>
      <c r="V54" s="123">
        <f t="shared" ref="V54" si="204">U54+V53</f>
        <v>116</v>
      </c>
      <c r="W54" s="123">
        <f t="shared" ref="W54" si="205">V54+W53</f>
        <v>124</v>
      </c>
      <c r="X54" s="123">
        <f t="shared" ref="X54" si="206">W54+X53</f>
        <v>132</v>
      </c>
      <c r="Y54" s="123">
        <f t="shared" ref="Y54" si="207">X54+Y53</f>
        <v>132</v>
      </c>
      <c r="Z54" s="123">
        <f t="shared" ref="Z54" si="208">Y54+Z53</f>
        <v>132</v>
      </c>
      <c r="AA54" s="123">
        <f t="shared" ref="AA54" si="209">Z54+AA53</f>
        <v>150</v>
      </c>
      <c r="AB54" s="123">
        <f t="shared" ref="AB54" si="210">AA54+AB53</f>
        <v>158</v>
      </c>
      <c r="AC54" s="123">
        <f t="shared" ref="AC54" si="211">AB54+AC53</f>
        <v>166</v>
      </c>
      <c r="AD54" s="123">
        <f t="shared" ref="AD54" si="212">AC54+AD53</f>
        <v>174</v>
      </c>
      <c r="AE54" s="123">
        <f t="shared" ref="AE54" si="213">AD54+AE53</f>
        <v>182</v>
      </c>
      <c r="AF54" s="123">
        <f t="shared" ref="AF54" si="214">AE54+AF53</f>
        <v>182</v>
      </c>
      <c r="AG54" s="123">
        <f t="shared" ref="AG54" si="215">AF54+AG53</f>
        <v>182</v>
      </c>
      <c r="AH54" s="123">
        <f t="shared" ref="AH54" si="216">AG54+AH53</f>
        <v>200</v>
      </c>
      <c r="AI54" s="123">
        <f t="shared" ref="AI54" si="217">AH54+AI53</f>
        <v>200</v>
      </c>
      <c r="AJ54" s="123">
        <f t="shared" ref="AJ54" si="218">AI54+AJ53</f>
        <v>200</v>
      </c>
      <c r="AK54" s="124">
        <f t="shared" ref="AK54" si="219">AJ54+AK53</f>
        <v>208</v>
      </c>
    </row>
    <row r="55" spans="2:38" s="1" customFormat="1" ht="15" customHeight="1" outlineLevel="1">
      <c r="B55" s="208"/>
      <c r="C55" s="205" t="s">
        <v>30</v>
      </c>
      <c r="D55" s="206"/>
      <c r="E55" s="39">
        <f t="shared" si="191"/>
        <v>210.59999999999994</v>
      </c>
      <c r="F55" s="39" t="s">
        <v>10</v>
      </c>
      <c r="G55" s="15" t="s">
        <v>7</v>
      </c>
      <c r="H55" s="71"/>
      <c r="I55" s="71"/>
      <c r="J55" s="18">
        <f>SUM(J62*$F$62,J63*$F$63,J64*$F$64,J65*$F$65)</f>
        <v>11.700000000000001</v>
      </c>
      <c r="K55" s="71">
        <f t="shared" ref="K55:AK55" si="220">SUM(K62*$F$62,K63*$F$63,K64*$F$64,K65*$F$65)</f>
        <v>0</v>
      </c>
      <c r="L55" s="71">
        <f t="shared" si="220"/>
        <v>0</v>
      </c>
      <c r="M55" s="18">
        <f t="shared" si="220"/>
        <v>11.700000000000001</v>
      </c>
      <c r="N55" s="18">
        <f t="shared" si="220"/>
        <v>11.700000000000001</v>
      </c>
      <c r="O55" s="18">
        <f t="shared" si="220"/>
        <v>11.700000000000001</v>
      </c>
      <c r="P55" s="18">
        <f t="shared" si="220"/>
        <v>11.700000000000001</v>
      </c>
      <c r="Q55" s="18">
        <f t="shared" si="220"/>
        <v>11.700000000000001</v>
      </c>
      <c r="R55" s="71">
        <f t="shared" si="220"/>
        <v>0</v>
      </c>
      <c r="S55" s="71">
        <f t="shared" si="220"/>
        <v>0</v>
      </c>
      <c r="T55" s="18">
        <f t="shared" si="220"/>
        <v>11.700000000000001</v>
      </c>
      <c r="U55" s="18">
        <f t="shared" si="220"/>
        <v>11.700000000000001</v>
      </c>
      <c r="V55" s="18">
        <f t="shared" si="220"/>
        <v>11.700000000000001</v>
      </c>
      <c r="W55" s="18">
        <f t="shared" si="220"/>
        <v>11.700000000000001</v>
      </c>
      <c r="X55" s="18">
        <f t="shared" si="220"/>
        <v>11.700000000000001</v>
      </c>
      <c r="Y55" s="71">
        <f t="shared" si="220"/>
        <v>0</v>
      </c>
      <c r="Z55" s="71">
        <f t="shared" si="220"/>
        <v>0</v>
      </c>
      <c r="AA55" s="18">
        <f t="shared" si="220"/>
        <v>11.700000000000001</v>
      </c>
      <c r="AB55" s="18">
        <f t="shared" si="220"/>
        <v>11.700000000000001</v>
      </c>
      <c r="AC55" s="18">
        <f t="shared" si="220"/>
        <v>11.700000000000001</v>
      </c>
      <c r="AD55" s="18">
        <f t="shared" si="220"/>
        <v>11.700000000000001</v>
      </c>
      <c r="AE55" s="18">
        <f t="shared" si="220"/>
        <v>11.700000000000001</v>
      </c>
      <c r="AF55" s="71">
        <f t="shared" si="220"/>
        <v>0</v>
      </c>
      <c r="AG55" s="71">
        <f t="shared" si="220"/>
        <v>0</v>
      </c>
      <c r="AH55" s="18">
        <f t="shared" si="220"/>
        <v>11.700000000000001</v>
      </c>
      <c r="AI55" s="18">
        <f t="shared" si="220"/>
        <v>0</v>
      </c>
      <c r="AJ55" s="71">
        <f t="shared" si="220"/>
        <v>0</v>
      </c>
      <c r="AK55" s="18">
        <f t="shared" si="220"/>
        <v>11.700000000000001</v>
      </c>
      <c r="AL55" s="1" t="s">
        <v>3</v>
      </c>
    </row>
    <row r="56" spans="2:38" s="1" customFormat="1" ht="15" customHeight="1" outlineLevel="1">
      <c r="B56" s="208"/>
      <c r="C56" s="213" t="s">
        <v>13</v>
      </c>
      <c r="D56" s="214"/>
      <c r="E56" s="121" t="s">
        <v>10</v>
      </c>
      <c r="F56" s="121" t="s">
        <v>10</v>
      </c>
      <c r="G56" s="122" t="s">
        <v>11</v>
      </c>
      <c r="H56" s="123">
        <f>H55</f>
        <v>0</v>
      </c>
      <c r="I56" s="123">
        <f>H56+I55</f>
        <v>0</v>
      </c>
      <c r="J56" s="123">
        <f t="shared" ref="J56" si="221">I56+J55</f>
        <v>11.700000000000001</v>
      </c>
      <c r="K56" s="123">
        <f t="shared" ref="K56" si="222">J56+K55</f>
        <v>11.700000000000001</v>
      </c>
      <c r="L56" s="123">
        <f t="shared" ref="L56" si="223">K56+L55</f>
        <v>11.700000000000001</v>
      </c>
      <c r="M56" s="123">
        <f>L56+M55</f>
        <v>23.400000000000002</v>
      </c>
      <c r="N56" s="123">
        <f t="shared" ref="N56" si="224">M56+N55</f>
        <v>35.1</v>
      </c>
      <c r="O56" s="123">
        <f t="shared" ref="O56" si="225">N56+O55</f>
        <v>46.800000000000004</v>
      </c>
      <c r="P56" s="123">
        <f t="shared" ref="P56" si="226">O56+P55</f>
        <v>58.500000000000007</v>
      </c>
      <c r="Q56" s="123">
        <f t="shared" ref="Q56" si="227">P56+Q55</f>
        <v>70.2</v>
      </c>
      <c r="R56" s="123">
        <f t="shared" ref="R56" si="228">Q56+R55</f>
        <v>70.2</v>
      </c>
      <c r="S56" s="123">
        <f t="shared" ref="S56" si="229">R56+S55</f>
        <v>70.2</v>
      </c>
      <c r="T56" s="123">
        <f t="shared" ref="T56" si="230">S56+T55</f>
        <v>81.900000000000006</v>
      </c>
      <c r="U56" s="123">
        <f t="shared" ref="U56" si="231">T56+U55</f>
        <v>93.600000000000009</v>
      </c>
      <c r="V56" s="123">
        <f t="shared" ref="V56" si="232">U56+V55</f>
        <v>105.30000000000001</v>
      </c>
      <c r="W56" s="123">
        <f t="shared" ref="W56" si="233">V56+W55</f>
        <v>117.00000000000001</v>
      </c>
      <c r="X56" s="123">
        <f t="shared" ref="X56" si="234">W56+X55</f>
        <v>128.70000000000002</v>
      </c>
      <c r="Y56" s="123">
        <f t="shared" ref="Y56" si="235">X56+Y55</f>
        <v>128.70000000000002</v>
      </c>
      <c r="Z56" s="123">
        <f t="shared" ref="Z56" si="236">Y56+Z55</f>
        <v>128.70000000000002</v>
      </c>
      <c r="AA56" s="123">
        <f t="shared" ref="AA56" si="237">Z56+AA55</f>
        <v>140.4</v>
      </c>
      <c r="AB56" s="123">
        <f t="shared" ref="AB56" si="238">AA56+AB55</f>
        <v>152.1</v>
      </c>
      <c r="AC56" s="123">
        <f t="shared" ref="AC56" si="239">AB56+AC55</f>
        <v>163.79999999999998</v>
      </c>
      <c r="AD56" s="123">
        <f t="shared" ref="AD56" si="240">AC56+AD55</f>
        <v>175.49999999999997</v>
      </c>
      <c r="AE56" s="123">
        <f t="shared" ref="AE56" si="241">AD56+AE55</f>
        <v>187.19999999999996</v>
      </c>
      <c r="AF56" s="123">
        <f t="shared" ref="AF56" si="242">AE56+AF55</f>
        <v>187.19999999999996</v>
      </c>
      <c r="AG56" s="123">
        <f t="shared" ref="AG56" si="243">AF56+AG55</f>
        <v>187.19999999999996</v>
      </c>
      <c r="AH56" s="123">
        <f t="shared" ref="AH56" si="244">AG56+AH55</f>
        <v>198.89999999999995</v>
      </c>
      <c r="AI56" s="123">
        <f t="shared" ref="AI56" si="245">AH56+AI55</f>
        <v>198.89999999999995</v>
      </c>
      <c r="AJ56" s="123">
        <f t="shared" ref="AJ56" si="246">AI56+AJ55</f>
        <v>198.89999999999995</v>
      </c>
      <c r="AK56" s="125">
        <f t="shared" ref="AK56" si="247">AJ56+AK55</f>
        <v>210.59999999999994</v>
      </c>
    </row>
    <row r="57" spans="2:38" s="1" customFormat="1" ht="13.5" outlineLevel="1">
      <c r="B57" s="208"/>
      <c r="C57" s="205" t="s">
        <v>14</v>
      </c>
      <c r="D57" s="206"/>
      <c r="E57" s="39">
        <f>E52-E53</f>
        <v>148</v>
      </c>
      <c r="F57" s="39" t="s">
        <v>10</v>
      </c>
      <c r="G57" s="15" t="s">
        <v>7</v>
      </c>
      <c r="H57" s="71"/>
      <c r="I57" s="71"/>
      <c r="J57" s="18">
        <f t="shared" ref="J57:AK57" si="248">I57+J52-J53</f>
        <v>143</v>
      </c>
      <c r="K57" s="71">
        <f t="shared" si="248"/>
        <v>143</v>
      </c>
      <c r="L57" s="71">
        <f t="shared" si="248"/>
        <v>143</v>
      </c>
      <c r="M57" s="18">
        <f t="shared" si="248"/>
        <v>142</v>
      </c>
      <c r="N57" s="18">
        <f t="shared" si="248"/>
        <v>135</v>
      </c>
      <c r="O57" s="18">
        <f t="shared" si="248"/>
        <v>122</v>
      </c>
      <c r="P57" s="18">
        <f t="shared" si="248"/>
        <v>114</v>
      </c>
      <c r="Q57" s="18">
        <f t="shared" si="248"/>
        <v>109</v>
      </c>
      <c r="R57" s="71">
        <f t="shared" si="248"/>
        <v>109</v>
      </c>
      <c r="S57" s="71">
        <f t="shared" si="248"/>
        <v>109</v>
      </c>
      <c r="T57" s="18">
        <f t="shared" si="248"/>
        <v>95</v>
      </c>
      <c r="U57" s="18">
        <f t="shared" si="248"/>
        <v>138</v>
      </c>
      <c r="V57" s="18">
        <f t="shared" si="248"/>
        <v>137</v>
      </c>
      <c r="W57" s="18">
        <f t="shared" si="248"/>
        <v>147</v>
      </c>
      <c r="X57" s="18">
        <f t="shared" si="248"/>
        <v>149</v>
      </c>
      <c r="Y57" s="71">
        <f t="shared" si="248"/>
        <v>149</v>
      </c>
      <c r="Z57" s="71">
        <f t="shared" si="248"/>
        <v>149</v>
      </c>
      <c r="AA57" s="18">
        <f t="shared" si="248"/>
        <v>146</v>
      </c>
      <c r="AB57" s="18">
        <f t="shared" si="248"/>
        <v>149</v>
      </c>
      <c r="AC57" s="18">
        <f t="shared" si="248"/>
        <v>146</v>
      </c>
      <c r="AD57" s="18">
        <f t="shared" si="248"/>
        <v>148</v>
      </c>
      <c r="AE57" s="18">
        <f t="shared" si="248"/>
        <v>153</v>
      </c>
      <c r="AF57" s="71">
        <f t="shared" si="248"/>
        <v>153</v>
      </c>
      <c r="AG57" s="71">
        <f t="shared" si="248"/>
        <v>153</v>
      </c>
      <c r="AH57" s="18">
        <f t="shared" si="248"/>
        <v>139</v>
      </c>
      <c r="AI57" s="18">
        <f t="shared" si="248"/>
        <v>146</v>
      </c>
      <c r="AJ57" s="71">
        <f t="shared" si="248"/>
        <v>146</v>
      </c>
      <c r="AK57" s="24">
        <f t="shared" si="248"/>
        <v>148</v>
      </c>
      <c r="AL57" s="1" t="s">
        <v>3</v>
      </c>
    </row>
    <row r="58" spans="2:38" s="1" customFormat="1" ht="14" outlineLevel="1" thickBot="1">
      <c r="B58" s="208"/>
      <c r="C58" s="205" t="s">
        <v>15</v>
      </c>
      <c r="D58" s="206"/>
      <c r="E58" s="19">
        <f>E52-E55</f>
        <v>145.40000000000006</v>
      </c>
      <c r="F58" s="19" t="s">
        <v>10</v>
      </c>
      <c r="G58" s="15" t="s">
        <v>7</v>
      </c>
      <c r="H58" s="72"/>
      <c r="I58" s="72"/>
      <c r="J58" s="20">
        <f t="shared" ref="J58:AK58" si="249">I58+J52-J55</f>
        <v>131.30000000000001</v>
      </c>
      <c r="K58" s="72">
        <f t="shared" si="249"/>
        <v>131.30000000000001</v>
      </c>
      <c r="L58" s="72">
        <f t="shared" si="249"/>
        <v>131.30000000000001</v>
      </c>
      <c r="M58" s="20">
        <f t="shared" si="249"/>
        <v>128.60000000000002</v>
      </c>
      <c r="N58" s="20">
        <f t="shared" si="249"/>
        <v>127.90000000000002</v>
      </c>
      <c r="O58" s="20">
        <f t="shared" si="249"/>
        <v>121.20000000000003</v>
      </c>
      <c r="P58" s="20">
        <f t="shared" si="249"/>
        <v>119.50000000000004</v>
      </c>
      <c r="Q58" s="20">
        <f t="shared" si="249"/>
        <v>120.80000000000005</v>
      </c>
      <c r="R58" s="72">
        <f t="shared" si="249"/>
        <v>120.80000000000005</v>
      </c>
      <c r="S58" s="72">
        <f t="shared" si="249"/>
        <v>120.80000000000005</v>
      </c>
      <c r="T58" s="20">
        <f t="shared" si="249"/>
        <v>113.10000000000005</v>
      </c>
      <c r="U58" s="20">
        <f t="shared" si="249"/>
        <v>152.40000000000006</v>
      </c>
      <c r="V58" s="20">
        <f t="shared" si="249"/>
        <v>147.70000000000007</v>
      </c>
      <c r="W58" s="20">
        <f t="shared" si="249"/>
        <v>154.00000000000009</v>
      </c>
      <c r="X58" s="20">
        <f t="shared" si="249"/>
        <v>152.3000000000001</v>
      </c>
      <c r="Y58" s="72">
        <f t="shared" si="249"/>
        <v>152.3000000000001</v>
      </c>
      <c r="Z58" s="72">
        <f t="shared" si="249"/>
        <v>152.3000000000001</v>
      </c>
      <c r="AA58" s="20">
        <f t="shared" si="249"/>
        <v>155.60000000000011</v>
      </c>
      <c r="AB58" s="20">
        <f t="shared" si="249"/>
        <v>154.90000000000012</v>
      </c>
      <c r="AC58" s="20">
        <f t="shared" si="249"/>
        <v>148.20000000000013</v>
      </c>
      <c r="AD58" s="20">
        <f t="shared" si="249"/>
        <v>146.50000000000014</v>
      </c>
      <c r="AE58" s="20">
        <f t="shared" si="249"/>
        <v>147.80000000000015</v>
      </c>
      <c r="AF58" s="72">
        <f t="shared" si="249"/>
        <v>147.80000000000015</v>
      </c>
      <c r="AG58" s="72">
        <f t="shared" si="249"/>
        <v>147.80000000000015</v>
      </c>
      <c r="AH58" s="20">
        <f t="shared" si="249"/>
        <v>140.10000000000016</v>
      </c>
      <c r="AI58" s="20">
        <f t="shared" si="249"/>
        <v>147.10000000000016</v>
      </c>
      <c r="AJ58" s="72">
        <f t="shared" si="249"/>
        <v>147.10000000000016</v>
      </c>
      <c r="AK58" s="47">
        <f t="shared" si="249"/>
        <v>145.40000000000018</v>
      </c>
      <c r="AL58" s="1" t="s">
        <v>3</v>
      </c>
    </row>
    <row r="59" spans="2:38" s="1" customFormat="1" ht="13.5" outlineLevel="1">
      <c r="B59" s="208"/>
      <c r="C59" s="210" t="s">
        <v>16</v>
      </c>
      <c r="D59" s="28" t="s">
        <v>17</v>
      </c>
      <c r="E59" s="33">
        <f t="shared" ref="E59:E64" si="250">SUM(H59:AK59)*F59</f>
        <v>80</v>
      </c>
      <c r="F59" s="40">
        <v>20</v>
      </c>
      <c r="G59" s="16" t="s">
        <v>18</v>
      </c>
      <c r="H59" s="74"/>
      <c r="I59" s="74"/>
      <c r="J59" s="21"/>
      <c r="K59" s="74"/>
      <c r="L59" s="74"/>
      <c r="M59" s="21">
        <v>0.5</v>
      </c>
      <c r="N59" s="21">
        <v>0.5</v>
      </c>
      <c r="O59" s="21">
        <v>0.5</v>
      </c>
      <c r="P59" s="21">
        <v>0.5</v>
      </c>
      <c r="Q59" s="21">
        <v>0.5</v>
      </c>
      <c r="R59" s="74"/>
      <c r="S59" s="74"/>
      <c r="T59" s="21">
        <v>0.5</v>
      </c>
      <c r="U59" s="21"/>
      <c r="V59" s="21"/>
      <c r="W59" s="21"/>
      <c r="X59" s="21"/>
      <c r="Y59" s="74"/>
      <c r="Z59" s="74"/>
      <c r="AA59" s="21">
        <v>0.5</v>
      </c>
      <c r="AB59" s="21"/>
      <c r="AC59" s="21"/>
      <c r="AD59" s="21"/>
      <c r="AE59" s="21"/>
      <c r="AF59" s="74"/>
      <c r="AG59" s="74"/>
      <c r="AH59" s="21">
        <v>0.5</v>
      </c>
      <c r="AI59" s="21"/>
      <c r="AJ59" s="74"/>
      <c r="AK59" s="23"/>
      <c r="AL59" s="1" t="s">
        <v>3</v>
      </c>
    </row>
    <row r="60" spans="2:38" s="1" customFormat="1" ht="13.5" outlineLevel="1">
      <c r="B60" s="208"/>
      <c r="C60" s="211"/>
      <c r="D60" s="29" t="s">
        <v>36</v>
      </c>
      <c r="E60" s="34">
        <f t="shared" si="250"/>
        <v>128.00000000000003</v>
      </c>
      <c r="F60" s="39">
        <v>10</v>
      </c>
      <c r="G60" s="15" t="s">
        <v>18</v>
      </c>
      <c r="H60" s="71"/>
      <c r="I60" s="71"/>
      <c r="J60" s="18"/>
      <c r="K60" s="18"/>
      <c r="L60" s="18"/>
      <c r="M60" s="18"/>
      <c r="N60" s="18">
        <v>0.8</v>
      </c>
      <c r="O60" s="18">
        <v>0.8</v>
      </c>
      <c r="P60" s="18">
        <v>0.8</v>
      </c>
      <c r="Q60" s="18">
        <v>0.8</v>
      </c>
      <c r="R60" s="18"/>
      <c r="S60" s="18"/>
      <c r="T60" s="18">
        <v>0.8</v>
      </c>
      <c r="U60" s="18">
        <v>0.8</v>
      </c>
      <c r="V60" s="18">
        <v>0.8</v>
      </c>
      <c r="W60" s="18">
        <v>0.8</v>
      </c>
      <c r="X60" s="18">
        <v>0.8</v>
      </c>
      <c r="Y60" s="18"/>
      <c r="Z60" s="18"/>
      <c r="AA60" s="18">
        <v>0.8</v>
      </c>
      <c r="AB60" s="18">
        <v>0.8</v>
      </c>
      <c r="AC60" s="18">
        <v>0.8</v>
      </c>
      <c r="AD60" s="18">
        <v>0.8</v>
      </c>
      <c r="AE60" s="18">
        <v>0.8</v>
      </c>
      <c r="AF60" s="18"/>
      <c r="AG60" s="18"/>
      <c r="AH60" s="18">
        <v>0.8</v>
      </c>
      <c r="AI60" s="18"/>
      <c r="AJ60" s="71"/>
      <c r="AK60" s="24">
        <v>0.8</v>
      </c>
      <c r="AL60" s="1" t="s">
        <v>3</v>
      </c>
    </row>
    <row r="61" spans="2:38" s="1" customFormat="1" ht="14" outlineLevel="1" thickBot="1">
      <c r="B61" s="208"/>
      <c r="C61" s="211"/>
      <c r="D61" s="29"/>
      <c r="E61" s="35">
        <f t="shared" si="250"/>
        <v>0</v>
      </c>
      <c r="F61" s="41"/>
      <c r="G61" s="17" t="s">
        <v>18</v>
      </c>
      <c r="H61" s="26"/>
      <c r="I61" s="25"/>
      <c r="J61" s="18"/>
      <c r="K61" s="18"/>
      <c r="L61" s="18"/>
      <c r="M61" s="18"/>
      <c r="N61" s="18"/>
      <c r="O61" s="18"/>
      <c r="P61" s="18"/>
      <c r="Q61" s="18"/>
      <c r="R61" s="18"/>
      <c r="S61" s="18"/>
      <c r="T61" s="18"/>
      <c r="U61" s="18"/>
      <c r="V61" s="18"/>
      <c r="W61" s="18"/>
      <c r="X61" s="18"/>
      <c r="Y61" s="18"/>
      <c r="Z61" s="18"/>
      <c r="AA61" s="25"/>
      <c r="AB61" s="25"/>
      <c r="AC61" s="25"/>
      <c r="AD61" s="25"/>
      <c r="AE61" s="25"/>
      <c r="AF61" s="25"/>
      <c r="AG61" s="25"/>
      <c r="AH61" s="25"/>
      <c r="AI61" s="25"/>
      <c r="AJ61" s="25"/>
      <c r="AK61" s="27"/>
      <c r="AL61" s="1" t="s">
        <v>3</v>
      </c>
    </row>
    <row r="62" spans="2:38" s="1" customFormat="1" ht="13.5" outlineLevel="1">
      <c r="B62" s="208"/>
      <c r="C62" s="210" t="s">
        <v>25</v>
      </c>
      <c r="D62" s="30" t="s">
        <v>32</v>
      </c>
      <c r="E62" s="36">
        <f t="shared" si="250"/>
        <v>0</v>
      </c>
      <c r="F62" s="40">
        <v>8</v>
      </c>
      <c r="G62" s="16" t="s">
        <v>18</v>
      </c>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3"/>
      <c r="AL62" s="1" t="s">
        <v>3</v>
      </c>
    </row>
    <row r="63" spans="2:38" s="1" customFormat="1" ht="13.5" outlineLevel="1">
      <c r="B63" s="208"/>
      <c r="C63" s="211"/>
      <c r="D63" s="31" t="s">
        <v>33</v>
      </c>
      <c r="E63" s="37">
        <f t="shared" si="250"/>
        <v>210.60000000000002</v>
      </c>
      <c r="F63" s="39">
        <v>13</v>
      </c>
      <c r="G63" s="15" t="s">
        <v>18</v>
      </c>
      <c r="H63" s="18"/>
      <c r="I63" s="18"/>
      <c r="J63" s="18">
        <v>0.9</v>
      </c>
      <c r="K63" s="18"/>
      <c r="L63" s="18"/>
      <c r="M63" s="18">
        <v>0.9</v>
      </c>
      <c r="N63" s="18">
        <v>0.9</v>
      </c>
      <c r="O63" s="18">
        <v>0.9</v>
      </c>
      <c r="P63" s="18">
        <v>0.9</v>
      </c>
      <c r="Q63" s="18">
        <v>0.9</v>
      </c>
      <c r="R63" s="18"/>
      <c r="S63" s="18"/>
      <c r="T63" s="18">
        <v>0.9</v>
      </c>
      <c r="U63" s="18">
        <v>0.9</v>
      </c>
      <c r="V63" s="18">
        <v>0.9</v>
      </c>
      <c r="W63" s="18">
        <v>0.9</v>
      </c>
      <c r="X63" s="18">
        <v>0.9</v>
      </c>
      <c r="Y63" s="18"/>
      <c r="Z63" s="18"/>
      <c r="AA63" s="18">
        <v>0.9</v>
      </c>
      <c r="AB63" s="18">
        <v>0.9</v>
      </c>
      <c r="AC63" s="18">
        <v>0.9</v>
      </c>
      <c r="AD63" s="18">
        <v>0.9</v>
      </c>
      <c r="AE63" s="18">
        <v>0.9</v>
      </c>
      <c r="AF63" s="18"/>
      <c r="AG63" s="18"/>
      <c r="AH63" s="18">
        <v>0.9</v>
      </c>
      <c r="AI63" s="18"/>
      <c r="AJ63" s="18"/>
      <c r="AK63" s="24">
        <v>0.9</v>
      </c>
      <c r="AL63" s="1" t="s">
        <v>3</v>
      </c>
    </row>
    <row r="64" spans="2:38" s="1" customFormat="1" ht="13.5" outlineLevel="1">
      <c r="B64" s="208"/>
      <c r="C64" s="211"/>
      <c r="D64" s="31" t="s">
        <v>34</v>
      </c>
      <c r="E64" s="37">
        <f t="shared" si="250"/>
        <v>0</v>
      </c>
      <c r="F64" s="39"/>
      <c r="G64" s="15" t="s">
        <v>18</v>
      </c>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24"/>
      <c r="AL64" s="1" t="s">
        <v>3</v>
      </c>
    </row>
    <row r="65" spans="2:38" s="1" customFormat="1" ht="14" outlineLevel="1" thickBot="1">
      <c r="B65" s="208"/>
      <c r="C65" s="211"/>
      <c r="D65" s="31"/>
      <c r="E65" s="45"/>
      <c r="F65" s="19"/>
      <c r="G65" s="46" t="s">
        <v>18</v>
      </c>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47"/>
      <c r="AL65" s="1" t="s">
        <v>3</v>
      </c>
    </row>
    <row r="66" spans="2:38">
      <c r="B66" s="227" t="s">
        <v>39</v>
      </c>
      <c r="C66" s="228"/>
      <c r="D66" s="228"/>
      <c r="E66" s="228"/>
      <c r="F66" s="228"/>
      <c r="G66" s="228"/>
      <c r="H66" s="49">
        <f>H13+H23+H31+H45+H59</f>
        <v>0</v>
      </c>
      <c r="I66" s="49">
        <f t="shared" ref="I66:AK66" si="251">I13+I23+I31+I45+I59</f>
        <v>0</v>
      </c>
      <c r="J66" s="49">
        <f>J13+J23+J31+J45+J59</f>
        <v>2.5</v>
      </c>
      <c r="K66" s="49">
        <f t="shared" si="251"/>
        <v>0</v>
      </c>
      <c r="L66" s="49">
        <f t="shared" si="251"/>
        <v>0</v>
      </c>
      <c r="M66" s="49">
        <f t="shared" si="251"/>
        <v>1.5</v>
      </c>
      <c r="N66" s="49">
        <f t="shared" si="251"/>
        <v>2</v>
      </c>
      <c r="O66" s="49">
        <f t="shared" si="251"/>
        <v>1.5</v>
      </c>
      <c r="P66" s="49">
        <f t="shared" si="251"/>
        <v>1.5</v>
      </c>
      <c r="Q66" s="49">
        <f>Q13+Q23+Q31+Q45+Q59</f>
        <v>2.5</v>
      </c>
      <c r="R66" s="49">
        <f t="shared" si="251"/>
        <v>0</v>
      </c>
      <c r="S66" s="49">
        <f t="shared" si="251"/>
        <v>0</v>
      </c>
      <c r="T66" s="49">
        <f t="shared" si="251"/>
        <v>1.5</v>
      </c>
      <c r="U66" s="49">
        <f t="shared" si="251"/>
        <v>2</v>
      </c>
      <c r="V66" s="49">
        <f t="shared" si="251"/>
        <v>1.5</v>
      </c>
      <c r="W66" s="49">
        <f t="shared" si="251"/>
        <v>1.5</v>
      </c>
      <c r="X66" s="49">
        <f t="shared" si="251"/>
        <v>2.5</v>
      </c>
      <c r="Y66" s="49">
        <f t="shared" si="251"/>
        <v>0</v>
      </c>
      <c r="Z66" s="49">
        <f t="shared" si="251"/>
        <v>0</v>
      </c>
      <c r="AA66" s="49">
        <f t="shared" si="251"/>
        <v>1.5</v>
      </c>
      <c r="AB66" s="49">
        <f t="shared" si="251"/>
        <v>2</v>
      </c>
      <c r="AC66" s="49">
        <f t="shared" si="251"/>
        <v>1.5</v>
      </c>
      <c r="AD66" s="49">
        <f t="shared" si="251"/>
        <v>1.5</v>
      </c>
      <c r="AE66" s="49">
        <f t="shared" si="251"/>
        <v>2.5</v>
      </c>
      <c r="AF66" s="49">
        <f t="shared" si="251"/>
        <v>0</v>
      </c>
      <c r="AG66" s="49">
        <f t="shared" si="251"/>
        <v>0</v>
      </c>
      <c r="AH66" s="49">
        <f t="shared" si="251"/>
        <v>1.5</v>
      </c>
      <c r="AI66" s="49">
        <f t="shared" si="251"/>
        <v>0</v>
      </c>
      <c r="AJ66" s="49">
        <f t="shared" si="251"/>
        <v>0</v>
      </c>
      <c r="AK66" s="49">
        <f t="shared" si="251"/>
        <v>1.5</v>
      </c>
      <c r="AL66" s="1" t="s">
        <v>3</v>
      </c>
    </row>
    <row r="67" spans="2:38">
      <c r="B67" s="229" t="s">
        <v>40</v>
      </c>
      <c r="C67" s="230"/>
      <c r="D67" s="230"/>
      <c r="E67" s="230"/>
      <c r="F67" s="230"/>
      <c r="G67" s="230"/>
      <c r="H67" s="48">
        <v>0</v>
      </c>
      <c r="I67" s="48">
        <v>0</v>
      </c>
      <c r="J67" s="48">
        <v>4</v>
      </c>
      <c r="K67" s="48">
        <v>0</v>
      </c>
      <c r="L67" s="48">
        <v>0</v>
      </c>
      <c r="M67" s="48">
        <v>3</v>
      </c>
      <c r="N67" s="48">
        <v>4</v>
      </c>
      <c r="O67" s="48">
        <v>3</v>
      </c>
      <c r="P67" s="48">
        <v>3</v>
      </c>
      <c r="Q67" s="48">
        <v>4</v>
      </c>
      <c r="R67" s="48">
        <v>0</v>
      </c>
      <c r="S67" s="48">
        <v>0</v>
      </c>
      <c r="T67" s="48">
        <v>3</v>
      </c>
      <c r="U67" s="48">
        <v>4</v>
      </c>
      <c r="V67" s="48">
        <v>3</v>
      </c>
      <c r="W67" s="48">
        <v>3</v>
      </c>
      <c r="X67" s="48">
        <v>4</v>
      </c>
      <c r="Y67" s="48">
        <v>0</v>
      </c>
      <c r="Z67" s="48">
        <v>0</v>
      </c>
      <c r="AA67" s="48">
        <v>3</v>
      </c>
      <c r="AB67" s="48">
        <v>4</v>
      </c>
      <c r="AC67" s="48">
        <v>3</v>
      </c>
      <c r="AD67" s="48">
        <v>3</v>
      </c>
      <c r="AE67" s="48">
        <v>4</v>
      </c>
      <c r="AF67" s="48">
        <v>0</v>
      </c>
      <c r="AG67" s="48">
        <v>0</v>
      </c>
      <c r="AH67" s="48">
        <v>3</v>
      </c>
      <c r="AI67" s="48">
        <v>4</v>
      </c>
      <c r="AJ67" s="48">
        <v>0</v>
      </c>
      <c r="AK67" s="50">
        <v>3</v>
      </c>
      <c r="AL67" s="1" t="s">
        <v>3</v>
      </c>
    </row>
    <row r="68" spans="2:38">
      <c r="B68" s="229" t="s">
        <v>41</v>
      </c>
      <c r="C68" s="230"/>
      <c r="D68" s="230"/>
      <c r="E68" s="230"/>
      <c r="F68" s="230"/>
      <c r="G68" s="230"/>
      <c r="H68" s="48">
        <v>0</v>
      </c>
      <c r="I68" s="48">
        <v>0</v>
      </c>
      <c r="J68" s="48">
        <v>1.5</v>
      </c>
      <c r="K68" s="48">
        <v>0</v>
      </c>
      <c r="L68" s="48">
        <v>0</v>
      </c>
      <c r="M68" s="48">
        <v>1.5</v>
      </c>
      <c r="N68" s="48">
        <v>2</v>
      </c>
      <c r="O68" s="48">
        <v>1.5</v>
      </c>
      <c r="P68" s="48">
        <v>1.5</v>
      </c>
      <c r="Q68" s="48">
        <v>1.5</v>
      </c>
      <c r="R68" s="48">
        <v>0</v>
      </c>
      <c r="S68" s="48">
        <v>0</v>
      </c>
      <c r="T68" s="48">
        <v>1.5</v>
      </c>
      <c r="U68" s="48">
        <v>2</v>
      </c>
      <c r="V68" s="48">
        <v>1.5</v>
      </c>
      <c r="W68" s="48">
        <v>1.5</v>
      </c>
      <c r="X68" s="48">
        <v>1.5</v>
      </c>
      <c r="Y68" s="48">
        <v>0</v>
      </c>
      <c r="Z68" s="48">
        <v>0</v>
      </c>
      <c r="AA68" s="48">
        <v>1.5</v>
      </c>
      <c r="AB68" s="48">
        <v>2</v>
      </c>
      <c r="AC68" s="48">
        <v>1.5</v>
      </c>
      <c r="AD68" s="48">
        <v>1.5</v>
      </c>
      <c r="AE68" s="48">
        <v>1.5</v>
      </c>
      <c r="AF68" s="48">
        <v>0</v>
      </c>
      <c r="AG68" s="48">
        <v>0</v>
      </c>
      <c r="AH68" s="48">
        <v>1.5</v>
      </c>
      <c r="AI68" s="48">
        <v>2</v>
      </c>
      <c r="AJ68" s="48">
        <v>0</v>
      </c>
      <c r="AK68" s="50">
        <v>1.5</v>
      </c>
      <c r="AL68" s="1" t="s">
        <v>3</v>
      </c>
    </row>
    <row r="69" spans="2:38" ht="15.5" thickBot="1">
      <c r="B69" s="231" t="s">
        <v>42</v>
      </c>
      <c r="C69" s="232"/>
      <c r="D69" s="232"/>
      <c r="E69" s="232"/>
      <c r="F69" s="232"/>
      <c r="G69" s="232"/>
      <c r="H69" s="51">
        <f>H67-(H66+H68)</f>
        <v>0</v>
      </c>
      <c r="I69" s="51">
        <f t="shared" ref="I69:AK69" si="252">I67-(I66+I68)</f>
        <v>0</v>
      </c>
      <c r="J69" s="51">
        <f>J67-(J66+J68)</f>
        <v>0</v>
      </c>
      <c r="K69" s="51">
        <f t="shared" si="252"/>
        <v>0</v>
      </c>
      <c r="L69" s="51">
        <f t="shared" si="252"/>
        <v>0</v>
      </c>
      <c r="M69" s="51">
        <f t="shared" si="252"/>
        <v>0</v>
      </c>
      <c r="N69" s="51">
        <f>N67-(N66+N68)</f>
        <v>0</v>
      </c>
      <c r="O69" s="51">
        <f t="shared" si="252"/>
        <v>0</v>
      </c>
      <c r="P69" s="51">
        <f t="shared" si="252"/>
        <v>0</v>
      </c>
      <c r="Q69" s="51">
        <f t="shared" si="252"/>
        <v>0</v>
      </c>
      <c r="R69" s="51">
        <f t="shared" si="252"/>
        <v>0</v>
      </c>
      <c r="S69" s="51">
        <f t="shared" si="252"/>
        <v>0</v>
      </c>
      <c r="T69" s="51">
        <f t="shared" si="252"/>
        <v>0</v>
      </c>
      <c r="U69" s="51">
        <f t="shared" si="252"/>
        <v>0</v>
      </c>
      <c r="V69" s="51">
        <f t="shared" si="252"/>
        <v>0</v>
      </c>
      <c r="W69" s="51">
        <f t="shared" si="252"/>
        <v>0</v>
      </c>
      <c r="X69" s="51">
        <f t="shared" si="252"/>
        <v>0</v>
      </c>
      <c r="Y69" s="51">
        <f t="shared" si="252"/>
        <v>0</v>
      </c>
      <c r="Z69" s="51">
        <f t="shared" si="252"/>
        <v>0</v>
      </c>
      <c r="AA69" s="51">
        <f t="shared" si="252"/>
        <v>0</v>
      </c>
      <c r="AB69" s="51">
        <f>AB67-(AB66+AB68)</f>
        <v>0</v>
      </c>
      <c r="AC69" s="51">
        <f t="shared" si="252"/>
        <v>0</v>
      </c>
      <c r="AD69" s="51">
        <f t="shared" si="252"/>
        <v>0</v>
      </c>
      <c r="AE69" s="51">
        <f t="shared" si="252"/>
        <v>0</v>
      </c>
      <c r="AF69" s="51">
        <f t="shared" si="252"/>
        <v>0</v>
      </c>
      <c r="AG69" s="51">
        <f t="shared" si="252"/>
        <v>0</v>
      </c>
      <c r="AH69" s="51">
        <f t="shared" si="252"/>
        <v>0</v>
      </c>
      <c r="AI69" s="51">
        <f t="shared" si="252"/>
        <v>2</v>
      </c>
      <c r="AJ69" s="51">
        <f t="shared" si="252"/>
        <v>0</v>
      </c>
      <c r="AK69" s="64">
        <f t="shared" si="252"/>
        <v>0</v>
      </c>
      <c r="AL69" s="1" t="s">
        <v>3</v>
      </c>
    </row>
    <row r="70" spans="2:38">
      <c r="J70" s="58"/>
    </row>
  </sheetData>
  <mergeCells count="47">
    <mergeCell ref="C62:C65"/>
    <mergeCell ref="B66:G66"/>
    <mergeCell ref="B67:G67"/>
    <mergeCell ref="B68:G68"/>
    <mergeCell ref="B69:G69"/>
    <mergeCell ref="B52:B65"/>
    <mergeCell ref="C52:D52"/>
    <mergeCell ref="C53:D53"/>
    <mergeCell ref="C55:D55"/>
    <mergeCell ref="C57:D57"/>
    <mergeCell ref="C58:D58"/>
    <mergeCell ref="C59:C61"/>
    <mergeCell ref="C54:D54"/>
    <mergeCell ref="C56:D56"/>
    <mergeCell ref="B38:B51"/>
    <mergeCell ref="C38:D38"/>
    <mergeCell ref="C39:D39"/>
    <mergeCell ref="C41:D41"/>
    <mergeCell ref="C43:D43"/>
    <mergeCell ref="C44:D44"/>
    <mergeCell ref="C45:C47"/>
    <mergeCell ref="C48:C51"/>
    <mergeCell ref="C40:D40"/>
    <mergeCell ref="C42:D42"/>
    <mergeCell ref="B24:B37"/>
    <mergeCell ref="C24:D24"/>
    <mergeCell ref="C25:D25"/>
    <mergeCell ref="C27:D27"/>
    <mergeCell ref="C29:D29"/>
    <mergeCell ref="C30:D30"/>
    <mergeCell ref="C31:C33"/>
    <mergeCell ref="C34:C37"/>
    <mergeCell ref="C26:D26"/>
    <mergeCell ref="C28:D28"/>
    <mergeCell ref="F3:F5"/>
    <mergeCell ref="E3:E5"/>
    <mergeCell ref="C6:D6"/>
    <mergeCell ref="C7:D7"/>
    <mergeCell ref="C9:D9"/>
    <mergeCell ref="C3:D5"/>
    <mergeCell ref="C8:D8"/>
    <mergeCell ref="C11:D11"/>
    <mergeCell ref="B6:B23"/>
    <mergeCell ref="C20:C23"/>
    <mergeCell ref="C12:D12"/>
    <mergeCell ref="C13:C19"/>
    <mergeCell ref="C10:D10"/>
  </mergeCells>
  <phoneticPr fontId="2"/>
  <conditionalFormatting sqref="H4:AK5">
    <cfRule type="timePeriod" dxfId="36" priority="1" timePeriod="today">
      <formula>FLOOR(H4,1)=TODAY()</formula>
    </cfRule>
  </conditionalFormatting>
  <conditionalFormatting sqref="H69:AK69">
    <cfRule type="cellIs" dxfId="30" priority="6" operator="notEqual">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7" id="{2C743BD1-2B38-4977-A80C-5B36AF8DD719}">
            <xm:f>OR(WEEKDAY(H$4,2)&gt;=6,COUNTIF(祝日!$A:$A,H$4)&gt;=1)</xm:f>
            <x14:dxf>
              <fill>
                <patternFill>
                  <bgColor theme="1" tint="0.499984740745262"/>
                </patternFill>
              </fill>
            </x14:dxf>
          </x14:cfRule>
          <xm:sqref>H4:AK37 H45:AK51 H59:AK65</xm:sqref>
        </x14:conditionalFormatting>
        <x14:conditionalFormatting xmlns:xm="http://schemas.microsoft.com/office/excel/2006/main">
          <x14:cfRule type="expression" priority="5" id="{3DDE0BAC-50D4-4053-9486-B570CD267363}">
            <xm:f>OR(WEEKDAY(H$4,2)&gt;=6,COUNTIF(祝日!$A:$A,H$4)&gt;=1)</xm:f>
            <x14:dxf>
              <fill>
                <patternFill>
                  <bgColor theme="1" tint="0.499984740745262"/>
                </patternFill>
              </fill>
            </x14:dxf>
          </x14:cfRule>
          <xm:sqref>H40:AK40</xm:sqref>
        </x14:conditionalFormatting>
        <x14:conditionalFormatting xmlns:xm="http://schemas.microsoft.com/office/excel/2006/main">
          <x14:cfRule type="expression" priority="3" id="{BD1F5E07-08CE-4317-8ABC-80CDFDEE8DB2}">
            <xm:f>OR(WEEKDAY(H$4,2)&gt;=6,COUNTIF(祝日!$A:$A,H$4)&gt;=1)</xm:f>
            <x14:dxf>
              <fill>
                <patternFill>
                  <bgColor theme="1" tint="0.499984740745262"/>
                </patternFill>
              </fill>
            </x14:dxf>
          </x14:cfRule>
          <xm:sqref>H42:AK42</xm:sqref>
        </x14:conditionalFormatting>
        <x14:conditionalFormatting xmlns:xm="http://schemas.microsoft.com/office/excel/2006/main">
          <x14:cfRule type="expression" priority="4" id="{6665E511-C718-4AED-956F-3825121945A4}">
            <xm:f>OR(WEEKDAY(H$4,2)&gt;=6,COUNTIF(祝日!$A:$A,H$4)&gt;=1)</xm:f>
            <x14:dxf>
              <fill>
                <patternFill>
                  <bgColor theme="1" tint="0.499984740745262"/>
                </patternFill>
              </fill>
            </x14:dxf>
          </x14:cfRule>
          <xm:sqref>H54:AK54</xm:sqref>
        </x14:conditionalFormatting>
        <x14:conditionalFormatting xmlns:xm="http://schemas.microsoft.com/office/excel/2006/main">
          <x14:cfRule type="expression" priority="2" id="{B07CBEC7-E420-411A-9019-E5E334921560}">
            <xm:f>OR(WEEKDAY(H$4,2)&gt;=6,COUNTIF(祝日!$A:$A,H$4)&gt;=1)</xm:f>
            <x14:dxf>
              <fill>
                <patternFill>
                  <bgColor theme="1" tint="0.499984740745262"/>
                </patternFill>
              </fill>
            </x14:dxf>
          </x14:cfRule>
          <xm:sqref>H56:AK56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FED05-275A-48DC-B6F6-AB786863D2A3}">
  <dimension ref="B2:AL84"/>
  <sheetViews>
    <sheetView zoomScale="183" zoomScaleNormal="145" workbookViewId="0">
      <pane xSplit="7" ySplit="5" topLeftCell="AD6" activePane="bottomRight" state="frozen"/>
      <selection pane="topRight" activeCell="H9" sqref="H9"/>
      <selection pane="bottomLeft" activeCell="H9" sqref="H9"/>
      <selection pane="bottomRight" activeCell="J29" sqref="J29"/>
    </sheetView>
  </sheetViews>
  <sheetFormatPr defaultRowHeight="15" outlineLevelRow="1"/>
  <cols>
    <col min="1" max="1" width="3.42578125" customWidth="1"/>
    <col min="2" max="2" width="4.2109375" customWidth="1"/>
    <col min="3" max="3" width="3.35546875" bestFit="1" customWidth="1"/>
    <col min="4" max="4" width="8.5703125" customWidth="1"/>
    <col min="5" max="5" width="6.85546875" style="11" bestFit="1" customWidth="1"/>
    <col min="6" max="6" width="6" customWidth="1"/>
    <col min="7" max="7" width="4.640625" bestFit="1" customWidth="1"/>
    <col min="8" max="8" width="4.5703125" customWidth="1"/>
    <col min="9" max="9" width="4.35546875" bestFit="1" customWidth="1"/>
    <col min="10" max="10" width="4.640625" customWidth="1"/>
    <col min="11" max="11" width="4.140625" customWidth="1"/>
    <col min="12" max="12" width="4.35546875" bestFit="1" customWidth="1"/>
    <col min="13" max="13" width="5.640625" customWidth="1"/>
    <col min="14" max="14" width="6.640625" bestFit="1" customWidth="1"/>
    <col min="15" max="15" width="5.85546875" customWidth="1"/>
    <col min="16" max="21" width="4.35546875" bestFit="1" customWidth="1"/>
    <col min="22" max="22" width="4" customWidth="1"/>
    <col min="23" max="37" width="4.140625" customWidth="1"/>
    <col min="38" max="38" width="7.42578125" customWidth="1"/>
  </cols>
  <sheetData>
    <row r="2" spans="2:38" ht="15.5" thickBot="1">
      <c r="E2"/>
      <c r="J2">
        <v>1</v>
      </c>
      <c r="M2">
        <v>1</v>
      </c>
      <c r="N2">
        <v>1</v>
      </c>
      <c r="O2">
        <v>1</v>
      </c>
      <c r="P2">
        <v>1</v>
      </c>
      <c r="Q2">
        <v>1</v>
      </c>
      <c r="T2">
        <v>1</v>
      </c>
      <c r="U2">
        <v>1</v>
      </c>
      <c r="V2">
        <v>1</v>
      </c>
      <c r="W2">
        <v>1</v>
      </c>
      <c r="X2">
        <v>1</v>
      </c>
      <c r="AA2">
        <v>1</v>
      </c>
      <c r="AB2">
        <v>1</v>
      </c>
      <c r="AC2">
        <v>1</v>
      </c>
      <c r="AD2">
        <v>1</v>
      </c>
      <c r="AE2">
        <v>1</v>
      </c>
      <c r="AH2">
        <v>1</v>
      </c>
      <c r="AI2">
        <v>1</v>
      </c>
      <c r="AK2">
        <v>1</v>
      </c>
      <c r="AL2">
        <f>SUM(H2:AK2)</f>
        <v>19</v>
      </c>
    </row>
    <row r="3" spans="2:38" s="1" customFormat="1" ht="15" customHeight="1">
      <c r="C3" s="241"/>
      <c r="D3" s="242"/>
      <c r="E3" s="245" t="s">
        <v>0</v>
      </c>
      <c r="F3" s="247" t="s">
        <v>1</v>
      </c>
      <c r="G3" s="81"/>
      <c r="H3" s="82">
        <v>46113</v>
      </c>
      <c r="I3" s="83"/>
      <c r="J3" s="83"/>
      <c r="K3" s="83"/>
      <c r="L3" s="83"/>
      <c r="M3" s="83"/>
      <c r="N3" s="84" t="s">
        <v>2</v>
      </c>
      <c r="O3" s="83"/>
      <c r="P3" s="83"/>
      <c r="Q3" s="83"/>
      <c r="R3" s="83"/>
      <c r="S3" s="83"/>
      <c r="T3" s="84" t="s">
        <v>2</v>
      </c>
      <c r="U3" s="83"/>
      <c r="V3" s="83"/>
      <c r="W3" s="83"/>
      <c r="X3" s="83"/>
      <c r="Y3" s="83"/>
      <c r="Z3" s="83"/>
      <c r="AA3" s="83"/>
      <c r="AB3" s="83"/>
      <c r="AC3" s="83"/>
      <c r="AD3" s="83"/>
      <c r="AE3" s="83"/>
      <c r="AF3" s="83"/>
      <c r="AG3" s="83"/>
      <c r="AH3" s="83"/>
      <c r="AI3" s="83"/>
      <c r="AJ3" s="83"/>
      <c r="AK3" s="85"/>
      <c r="AL3" s="1" t="s">
        <v>3</v>
      </c>
    </row>
    <row r="4" spans="2:38" s="1" customFormat="1" ht="13.5" customHeight="1">
      <c r="C4" s="243"/>
      <c r="D4" s="244"/>
      <c r="E4" s="246"/>
      <c r="F4" s="248"/>
      <c r="G4" s="86"/>
      <c r="H4" s="87">
        <f>H3</f>
        <v>46113</v>
      </c>
      <c r="I4" s="88">
        <f t="shared" ref="I4:AK4" si="0">H4+1</f>
        <v>46114</v>
      </c>
      <c r="J4" s="88">
        <f t="shared" si="0"/>
        <v>46115</v>
      </c>
      <c r="K4" s="88">
        <f t="shared" si="0"/>
        <v>46116</v>
      </c>
      <c r="L4" s="88">
        <f t="shared" si="0"/>
        <v>46117</v>
      </c>
      <c r="M4" s="88">
        <f t="shared" si="0"/>
        <v>46118</v>
      </c>
      <c r="N4" s="88">
        <f t="shared" si="0"/>
        <v>46119</v>
      </c>
      <c r="O4" s="88">
        <f t="shared" si="0"/>
        <v>46120</v>
      </c>
      <c r="P4" s="88">
        <f t="shared" si="0"/>
        <v>46121</v>
      </c>
      <c r="Q4" s="88">
        <f t="shared" si="0"/>
        <v>46122</v>
      </c>
      <c r="R4" s="88">
        <f t="shared" si="0"/>
        <v>46123</v>
      </c>
      <c r="S4" s="88">
        <f t="shared" si="0"/>
        <v>46124</v>
      </c>
      <c r="T4" s="88">
        <f t="shared" si="0"/>
        <v>46125</v>
      </c>
      <c r="U4" s="88">
        <f t="shared" si="0"/>
        <v>46126</v>
      </c>
      <c r="V4" s="88">
        <f t="shared" si="0"/>
        <v>46127</v>
      </c>
      <c r="W4" s="88">
        <f t="shared" si="0"/>
        <v>46128</v>
      </c>
      <c r="X4" s="88">
        <f t="shared" si="0"/>
        <v>46129</v>
      </c>
      <c r="Y4" s="88">
        <f t="shared" si="0"/>
        <v>46130</v>
      </c>
      <c r="Z4" s="88">
        <f t="shared" si="0"/>
        <v>46131</v>
      </c>
      <c r="AA4" s="88">
        <f t="shared" si="0"/>
        <v>46132</v>
      </c>
      <c r="AB4" s="88">
        <f t="shared" si="0"/>
        <v>46133</v>
      </c>
      <c r="AC4" s="88">
        <f t="shared" si="0"/>
        <v>46134</v>
      </c>
      <c r="AD4" s="88">
        <f t="shared" si="0"/>
        <v>46135</v>
      </c>
      <c r="AE4" s="88">
        <f t="shared" si="0"/>
        <v>46136</v>
      </c>
      <c r="AF4" s="88">
        <f t="shared" si="0"/>
        <v>46137</v>
      </c>
      <c r="AG4" s="88">
        <f t="shared" si="0"/>
        <v>46138</v>
      </c>
      <c r="AH4" s="88">
        <f t="shared" si="0"/>
        <v>46139</v>
      </c>
      <c r="AI4" s="88">
        <f t="shared" si="0"/>
        <v>46140</v>
      </c>
      <c r="AJ4" s="88">
        <f t="shared" si="0"/>
        <v>46141</v>
      </c>
      <c r="AK4" s="89">
        <f t="shared" si="0"/>
        <v>46142</v>
      </c>
      <c r="AL4" s="1" t="s">
        <v>3</v>
      </c>
    </row>
    <row r="5" spans="2:38" s="1" customFormat="1" ht="14" thickBot="1">
      <c r="C5" s="243"/>
      <c r="D5" s="244"/>
      <c r="E5" s="246"/>
      <c r="F5" s="249"/>
      <c r="G5" s="90"/>
      <c r="H5" s="91">
        <f>H4</f>
        <v>46113</v>
      </c>
      <c r="I5" s="92">
        <f t="shared" ref="I5:AK5" si="1">I4</f>
        <v>46114</v>
      </c>
      <c r="J5" s="92">
        <f t="shared" si="1"/>
        <v>46115</v>
      </c>
      <c r="K5" s="92">
        <f t="shared" si="1"/>
        <v>46116</v>
      </c>
      <c r="L5" s="92">
        <f t="shared" si="1"/>
        <v>46117</v>
      </c>
      <c r="M5" s="92">
        <f t="shared" si="1"/>
        <v>46118</v>
      </c>
      <c r="N5" s="92">
        <f t="shared" si="1"/>
        <v>46119</v>
      </c>
      <c r="O5" s="92">
        <f t="shared" si="1"/>
        <v>46120</v>
      </c>
      <c r="P5" s="92">
        <f t="shared" si="1"/>
        <v>46121</v>
      </c>
      <c r="Q5" s="92">
        <f t="shared" si="1"/>
        <v>46122</v>
      </c>
      <c r="R5" s="92">
        <f t="shared" si="1"/>
        <v>46123</v>
      </c>
      <c r="S5" s="92">
        <f t="shared" si="1"/>
        <v>46124</v>
      </c>
      <c r="T5" s="92">
        <f t="shared" si="1"/>
        <v>46125</v>
      </c>
      <c r="U5" s="92">
        <f t="shared" si="1"/>
        <v>46126</v>
      </c>
      <c r="V5" s="92">
        <f t="shared" si="1"/>
        <v>46127</v>
      </c>
      <c r="W5" s="92">
        <f t="shared" si="1"/>
        <v>46128</v>
      </c>
      <c r="X5" s="92">
        <f t="shared" si="1"/>
        <v>46129</v>
      </c>
      <c r="Y5" s="92">
        <f t="shared" si="1"/>
        <v>46130</v>
      </c>
      <c r="Z5" s="92">
        <f t="shared" si="1"/>
        <v>46131</v>
      </c>
      <c r="AA5" s="92">
        <f t="shared" si="1"/>
        <v>46132</v>
      </c>
      <c r="AB5" s="92">
        <f t="shared" si="1"/>
        <v>46133</v>
      </c>
      <c r="AC5" s="92">
        <f t="shared" si="1"/>
        <v>46134</v>
      </c>
      <c r="AD5" s="92">
        <f t="shared" si="1"/>
        <v>46135</v>
      </c>
      <c r="AE5" s="92">
        <f t="shared" si="1"/>
        <v>46136</v>
      </c>
      <c r="AF5" s="92">
        <f t="shared" si="1"/>
        <v>46137</v>
      </c>
      <c r="AG5" s="92">
        <f t="shared" si="1"/>
        <v>46138</v>
      </c>
      <c r="AH5" s="92">
        <f t="shared" si="1"/>
        <v>46139</v>
      </c>
      <c r="AI5" s="92">
        <f t="shared" si="1"/>
        <v>46140</v>
      </c>
      <c r="AJ5" s="92">
        <f t="shared" si="1"/>
        <v>46141</v>
      </c>
      <c r="AK5" s="93">
        <f t="shared" si="1"/>
        <v>46142</v>
      </c>
      <c r="AL5" s="1" t="s">
        <v>3</v>
      </c>
    </row>
    <row r="6" spans="2:38" s="1" customFormat="1" ht="15" customHeight="1">
      <c r="B6" s="207" t="s">
        <v>4</v>
      </c>
      <c r="C6" s="235" t="s">
        <v>5</v>
      </c>
      <c r="D6" s="236"/>
      <c r="E6" s="94">
        <f>SUM(H6:AK6)</f>
        <v>2876</v>
      </c>
      <c r="F6" s="94" t="s">
        <v>6</v>
      </c>
      <c r="G6" s="157" t="s">
        <v>7</v>
      </c>
      <c r="H6" s="159"/>
      <c r="I6" s="103"/>
      <c r="J6" s="103">
        <f>104+91</f>
        <v>195</v>
      </c>
      <c r="K6" s="103"/>
      <c r="L6" s="103"/>
      <c r="M6" s="103">
        <v>113</v>
      </c>
      <c r="N6" s="103">
        <v>144</v>
      </c>
      <c r="O6" s="103">
        <v>122</v>
      </c>
      <c r="P6" s="103">
        <v>156</v>
      </c>
      <c r="Q6" s="103">
        <v>139</v>
      </c>
      <c r="R6" s="103"/>
      <c r="S6" s="103"/>
      <c r="T6" s="103">
        <v>144</v>
      </c>
      <c r="U6" s="103">
        <v>229</v>
      </c>
      <c r="V6" s="103">
        <v>126</v>
      </c>
      <c r="W6" s="103">
        <v>127</v>
      </c>
      <c r="X6" s="103">
        <v>109</v>
      </c>
      <c r="Y6" s="103"/>
      <c r="Z6" s="103"/>
      <c r="AA6" s="103">
        <v>188</v>
      </c>
      <c r="AB6" s="103">
        <v>86</v>
      </c>
      <c r="AC6" s="103">
        <v>277</v>
      </c>
      <c r="AD6" s="103">
        <v>136</v>
      </c>
      <c r="AE6" s="103">
        <v>124</v>
      </c>
      <c r="AF6" s="103"/>
      <c r="AG6" s="103"/>
      <c r="AH6" s="103">
        <v>110</v>
      </c>
      <c r="AI6" s="103">
        <v>159</v>
      </c>
      <c r="AJ6" s="103"/>
      <c r="AK6" s="104">
        <v>192</v>
      </c>
      <c r="AL6" s="1">
        <f>SUM(H6:AK6)</f>
        <v>2876</v>
      </c>
    </row>
    <row r="7" spans="2:38" s="1" customFormat="1" ht="15" customHeight="1">
      <c r="B7" s="208"/>
      <c r="C7" s="233" t="s">
        <v>29</v>
      </c>
      <c r="D7" s="234"/>
      <c r="E7" s="94">
        <f>SUM(H7:AK7)</f>
        <v>1831</v>
      </c>
      <c r="F7" s="94" t="s">
        <v>6</v>
      </c>
      <c r="G7" s="157" t="s">
        <v>7</v>
      </c>
      <c r="H7" s="96">
        <f>SUM(H13:H23)</f>
        <v>0</v>
      </c>
      <c r="I7" s="96">
        <f t="shared" ref="I7:AK7" si="2">SUM(I13:I23)</f>
        <v>0</v>
      </c>
      <c r="J7" s="96">
        <f t="shared" si="2"/>
        <v>29</v>
      </c>
      <c r="K7" s="96">
        <f t="shared" si="2"/>
        <v>0</v>
      </c>
      <c r="L7" s="96">
        <f t="shared" si="2"/>
        <v>0</v>
      </c>
      <c r="M7" s="96">
        <f t="shared" si="2"/>
        <v>73</v>
      </c>
      <c r="N7" s="96">
        <f t="shared" si="2"/>
        <v>88</v>
      </c>
      <c r="O7" s="96">
        <f t="shared" si="2"/>
        <v>78</v>
      </c>
      <c r="P7" s="96">
        <f t="shared" si="2"/>
        <v>72</v>
      </c>
      <c r="Q7" s="96">
        <f t="shared" si="2"/>
        <v>56</v>
      </c>
      <c r="R7" s="96">
        <f t="shared" si="2"/>
        <v>0</v>
      </c>
      <c r="S7" s="96">
        <f t="shared" si="2"/>
        <v>0</v>
      </c>
      <c r="T7" s="96">
        <f t="shared" si="2"/>
        <v>32</v>
      </c>
      <c r="U7" s="96">
        <f t="shared" si="2"/>
        <v>88</v>
      </c>
      <c r="V7" s="96">
        <f t="shared" si="2"/>
        <v>142</v>
      </c>
      <c r="W7" s="96">
        <f t="shared" si="2"/>
        <v>117</v>
      </c>
      <c r="X7" s="96">
        <f t="shared" si="2"/>
        <v>122</v>
      </c>
      <c r="Y7" s="96">
        <f t="shared" si="2"/>
        <v>0</v>
      </c>
      <c r="Z7" s="96">
        <f t="shared" si="2"/>
        <v>0</v>
      </c>
      <c r="AA7" s="96">
        <f t="shared" si="2"/>
        <v>111</v>
      </c>
      <c r="AB7" s="96">
        <f t="shared" si="2"/>
        <v>135</v>
      </c>
      <c r="AC7" s="96">
        <f t="shared" si="2"/>
        <v>131</v>
      </c>
      <c r="AD7" s="96">
        <f t="shared" si="2"/>
        <v>111</v>
      </c>
      <c r="AE7" s="96">
        <f t="shared" si="2"/>
        <v>85</v>
      </c>
      <c r="AF7" s="96">
        <f t="shared" si="2"/>
        <v>0</v>
      </c>
      <c r="AG7" s="96">
        <f t="shared" si="2"/>
        <v>0</v>
      </c>
      <c r="AH7" s="96">
        <f t="shared" si="2"/>
        <v>121</v>
      </c>
      <c r="AI7" s="96">
        <f t="shared" si="2"/>
        <v>121</v>
      </c>
      <c r="AJ7" s="96">
        <f t="shared" si="2"/>
        <v>0</v>
      </c>
      <c r="AK7" s="97">
        <f t="shared" si="2"/>
        <v>119</v>
      </c>
      <c r="AL7" s="1" t="s">
        <v>3</v>
      </c>
    </row>
    <row r="8" spans="2:38" s="1" customFormat="1" ht="15" customHeight="1">
      <c r="B8" s="208"/>
      <c r="C8" s="237" t="s">
        <v>43</v>
      </c>
      <c r="D8" s="238"/>
      <c r="E8" s="117">
        <f>AK8</f>
        <v>1831</v>
      </c>
      <c r="F8" s="117" t="s">
        <v>6</v>
      </c>
      <c r="G8" s="158" t="s">
        <v>7</v>
      </c>
      <c r="H8" s="166">
        <f>H7</f>
        <v>0</v>
      </c>
      <c r="I8" s="119">
        <f t="shared" ref="I8:AK8" si="3">H8+I7</f>
        <v>0</v>
      </c>
      <c r="J8" s="119">
        <f t="shared" si="3"/>
        <v>29</v>
      </c>
      <c r="K8" s="119">
        <f t="shared" si="3"/>
        <v>29</v>
      </c>
      <c r="L8" s="119">
        <f t="shared" si="3"/>
        <v>29</v>
      </c>
      <c r="M8" s="119">
        <f t="shared" si="3"/>
        <v>102</v>
      </c>
      <c r="N8" s="119">
        <f t="shared" si="3"/>
        <v>190</v>
      </c>
      <c r="O8" s="119">
        <f t="shared" si="3"/>
        <v>268</v>
      </c>
      <c r="P8" s="119">
        <f t="shared" si="3"/>
        <v>340</v>
      </c>
      <c r="Q8" s="119">
        <f t="shared" si="3"/>
        <v>396</v>
      </c>
      <c r="R8" s="119">
        <f t="shared" si="3"/>
        <v>396</v>
      </c>
      <c r="S8" s="119">
        <f t="shared" si="3"/>
        <v>396</v>
      </c>
      <c r="T8" s="119">
        <f t="shared" si="3"/>
        <v>428</v>
      </c>
      <c r="U8" s="119">
        <f t="shared" si="3"/>
        <v>516</v>
      </c>
      <c r="V8" s="119">
        <f t="shared" si="3"/>
        <v>658</v>
      </c>
      <c r="W8" s="119">
        <f t="shared" si="3"/>
        <v>775</v>
      </c>
      <c r="X8" s="119">
        <f t="shared" si="3"/>
        <v>897</v>
      </c>
      <c r="Y8" s="119">
        <f t="shared" si="3"/>
        <v>897</v>
      </c>
      <c r="Z8" s="119">
        <f t="shared" si="3"/>
        <v>897</v>
      </c>
      <c r="AA8" s="119">
        <f t="shared" si="3"/>
        <v>1008</v>
      </c>
      <c r="AB8" s="119">
        <f t="shared" si="3"/>
        <v>1143</v>
      </c>
      <c r="AC8" s="119">
        <f t="shared" si="3"/>
        <v>1274</v>
      </c>
      <c r="AD8" s="119">
        <f t="shared" si="3"/>
        <v>1385</v>
      </c>
      <c r="AE8" s="119">
        <f t="shared" si="3"/>
        <v>1470</v>
      </c>
      <c r="AF8" s="119">
        <f t="shared" si="3"/>
        <v>1470</v>
      </c>
      <c r="AG8" s="119">
        <f t="shared" si="3"/>
        <v>1470</v>
      </c>
      <c r="AH8" s="119">
        <f t="shared" si="3"/>
        <v>1591</v>
      </c>
      <c r="AI8" s="119">
        <f t="shared" si="3"/>
        <v>1712</v>
      </c>
      <c r="AJ8" s="119">
        <f t="shared" si="3"/>
        <v>1712</v>
      </c>
      <c r="AK8" s="120">
        <f t="shared" si="3"/>
        <v>1831</v>
      </c>
      <c r="AL8" s="1" t="s">
        <v>3</v>
      </c>
    </row>
    <row r="9" spans="2:38" s="1" customFormat="1" ht="16" customHeight="1">
      <c r="B9" s="208"/>
      <c r="C9" s="233" t="s">
        <v>30</v>
      </c>
      <c r="D9" s="234"/>
      <c r="E9" s="94">
        <f>SUM(H9:AK9)</f>
        <v>1093</v>
      </c>
      <c r="F9" s="94" t="s">
        <v>6</v>
      </c>
      <c r="G9" s="157" t="s">
        <v>7</v>
      </c>
      <c r="H9" s="160">
        <f>SUM(H24:H28)</f>
        <v>0</v>
      </c>
      <c r="I9" s="96">
        <f t="shared" ref="I9:AK9" si="4">SUM(I24:I28)</f>
        <v>0</v>
      </c>
      <c r="J9" s="96">
        <f t="shared" si="4"/>
        <v>24</v>
      </c>
      <c r="K9" s="96">
        <f t="shared" si="4"/>
        <v>0</v>
      </c>
      <c r="L9" s="96">
        <f t="shared" si="4"/>
        <v>0</v>
      </c>
      <c r="M9" s="96">
        <f t="shared" si="4"/>
        <v>17</v>
      </c>
      <c r="N9" s="96">
        <f t="shared" si="4"/>
        <v>32</v>
      </c>
      <c r="O9" s="96">
        <f t="shared" si="4"/>
        <v>44</v>
      </c>
      <c r="P9" s="96">
        <f t="shared" si="4"/>
        <v>40</v>
      </c>
      <c r="Q9" s="96">
        <f t="shared" si="4"/>
        <v>56</v>
      </c>
      <c r="R9" s="96">
        <f t="shared" si="4"/>
        <v>0</v>
      </c>
      <c r="S9" s="96">
        <f t="shared" si="4"/>
        <v>0</v>
      </c>
      <c r="T9" s="96">
        <f t="shared" si="4"/>
        <v>53</v>
      </c>
      <c r="U9" s="96">
        <f t="shared" si="4"/>
        <v>34</v>
      </c>
      <c r="V9" s="96">
        <f t="shared" si="4"/>
        <v>62</v>
      </c>
      <c r="W9" s="96">
        <f t="shared" si="4"/>
        <v>115</v>
      </c>
      <c r="X9" s="96">
        <f t="shared" si="4"/>
        <v>67</v>
      </c>
      <c r="Y9" s="96">
        <f t="shared" si="4"/>
        <v>0</v>
      </c>
      <c r="Z9" s="96">
        <f t="shared" si="4"/>
        <v>0</v>
      </c>
      <c r="AA9" s="96">
        <f t="shared" si="4"/>
        <v>65</v>
      </c>
      <c r="AB9" s="96">
        <f t="shared" si="4"/>
        <v>77</v>
      </c>
      <c r="AC9" s="96">
        <f t="shared" si="4"/>
        <v>75</v>
      </c>
      <c r="AD9" s="96">
        <f t="shared" si="4"/>
        <v>50</v>
      </c>
      <c r="AE9" s="96">
        <f t="shared" si="4"/>
        <v>66</v>
      </c>
      <c r="AF9" s="96">
        <f t="shared" si="4"/>
        <v>0</v>
      </c>
      <c r="AG9" s="96">
        <f t="shared" si="4"/>
        <v>0</v>
      </c>
      <c r="AH9" s="96">
        <f t="shared" si="4"/>
        <v>76</v>
      </c>
      <c r="AI9" s="96">
        <f t="shared" si="4"/>
        <v>70</v>
      </c>
      <c r="AJ9" s="96">
        <f t="shared" si="4"/>
        <v>0</v>
      </c>
      <c r="AK9" s="97">
        <f t="shared" si="4"/>
        <v>70</v>
      </c>
      <c r="AL9" s="1" t="s">
        <v>3</v>
      </c>
    </row>
    <row r="10" spans="2:38" s="1" customFormat="1" ht="16" customHeight="1">
      <c r="B10" s="208"/>
      <c r="C10" s="239" t="s">
        <v>13</v>
      </c>
      <c r="D10" s="240"/>
      <c r="E10" s="117">
        <f>AK10</f>
        <v>1093</v>
      </c>
      <c r="F10" s="117" t="s">
        <v>6</v>
      </c>
      <c r="G10" s="158" t="s">
        <v>7</v>
      </c>
      <c r="H10" s="166">
        <f>H9</f>
        <v>0</v>
      </c>
      <c r="I10" s="119">
        <f t="shared" ref="I10:AK10" si="5">H10+I9</f>
        <v>0</v>
      </c>
      <c r="J10" s="119">
        <f t="shared" si="5"/>
        <v>24</v>
      </c>
      <c r="K10" s="119">
        <f t="shared" si="5"/>
        <v>24</v>
      </c>
      <c r="L10" s="119">
        <f t="shared" si="5"/>
        <v>24</v>
      </c>
      <c r="M10" s="119">
        <f t="shared" si="5"/>
        <v>41</v>
      </c>
      <c r="N10" s="119">
        <f t="shared" si="5"/>
        <v>73</v>
      </c>
      <c r="O10" s="119">
        <f t="shared" si="5"/>
        <v>117</v>
      </c>
      <c r="P10" s="119">
        <f t="shared" si="5"/>
        <v>157</v>
      </c>
      <c r="Q10" s="119">
        <f t="shared" si="5"/>
        <v>213</v>
      </c>
      <c r="R10" s="119">
        <f t="shared" si="5"/>
        <v>213</v>
      </c>
      <c r="S10" s="119">
        <f t="shared" si="5"/>
        <v>213</v>
      </c>
      <c r="T10" s="119">
        <f t="shared" si="5"/>
        <v>266</v>
      </c>
      <c r="U10" s="119">
        <f t="shared" si="5"/>
        <v>300</v>
      </c>
      <c r="V10" s="119">
        <f t="shared" si="5"/>
        <v>362</v>
      </c>
      <c r="W10" s="119">
        <f t="shared" si="5"/>
        <v>477</v>
      </c>
      <c r="X10" s="119">
        <f t="shared" si="5"/>
        <v>544</v>
      </c>
      <c r="Y10" s="119">
        <f t="shared" si="5"/>
        <v>544</v>
      </c>
      <c r="Z10" s="119">
        <f t="shared" si="5"/>
        <v>544</v>
      </c>
      <c r="AA10" s="119">
        <f t="shared" si="5"/>
        <v>609</v>
      </c>
      <c r="AB10" s="119">
        <f t="shared" si="5"/>
        <v>686</v>
      </c>
      <c r="AC10" s="119">
        <f t="shared" si="5"/>
        <v>761</v>
      </c>
      <c r="AD10" s="119">
        <f t="shared" si="5"/>
        <v>811</v>
      </c>
      <c r="AE10" s="119">
        <f t="shared" si="5"/>
        <v>877</v>
      </c>
      <c r="AF10" s="119">
        <f t="shared" si="5"/>
        <v>877</v>
      </c>
      <c r="AG10" s="119">
        <f t="shared" si="5"/>
        <v>877</v>
      </c>
      <c r="AH10" s="119">
        <f t="shared" si="5"/>
        <v>953</v>
      </c>
      <c r="AI10" s="119">
        <f t="shared" si="5"/>
        <v>1023</v>
      </c>
      <c r="AJ10" s="119">
        <f t="shared" si="5"/>
        <v>1023</v>
      </c>
      <c r="AK10" s="120">
        <f t="shared" si="5"/>
        <v>1093</v>
      </c>
      <c r="AL10" s="1" t="s">
        <v>3</v>
      </c>
    </row>
    <row r="11" spans="2:38" s="1" customFormat="1" ht="13.5">
      <c r="B11" s="208"/>
      <c r="C11" s="233" t="s">
        <v>14</v>
      </c>
      <c r="D11" s="234"/>
      <c r="E11" s="94">
        <f>E6-E7</f>
        <v>1045</v>
      </c>
      <c r="F11" s="94" t="s">
        <v>6</v>
      </c>
      <c r="G11" s="157" t="s">
        <v>7</v>
      </c>
      <c r="H11" s="160">
        <f>H6-H7</f>
        <v>0</v>
      </c>
      <c r="I11" s="96">
        <f t="shared" ref="I11:AJ11" si="6">H11+I6-I7</f>
        <v>0</v>
      </c>
      <c r="J11" s="96">
        <f t="shared" si="6"/>
        <v>166</v>
      </c>
      <c r="K11" s="96">
        <f t="shared" si="6"/>
        <v>166</v>
      </c>
      <c r="L11" s="96">
        <f t="shared" si="6"/>
        <v>166</v>
      </c>
      <c r="M11" s="96">
        <f t="shared" si="6"/>
        <v>206</v>
      </c>
      <c r="N11" s="96">
        <f t="shared" si="6"/>
        <v>262</v>
      </c>
      <c r="O11" s="96">
        <f t="shared" si="6"/>
        <v>306</v>
      </c>
      <c r="P11" s="96">
        <f t="shared" si="6"/>
        <v>390</v>
      </c>
      <c r="Q11" s="96">
        <f t="shared" si="6"/>
        <v>473</v>
      </c>
      <c r="R11" s="96">
        <f t="shared" si="6"/>
        <v>473</v>
      </c>
      <c r="S11" s="96">
        <f t="shared" si="6"/>
        <v>473</v>
      </c>
      <c r="T11" s="96">
        <f t="shared" si="6"/>
        <v>585</v>
      </c>
      <c r="U11" s="96">
        <f t="shared" si="6"/>
        <v>726</v>
      </c>
      <c r="V11" s="96">
        <f t="shared" si="6"/>
        <v>710</v>
      </c>
      <c r="W11" s="96">
        <f t="shared" si="6"/>
        <v>720</v>
      </c>
      <c r="X11" s="96">
        <f t="shared" si="6"/>
        <v>707</v>
      </c>
      <c r="Y11" s="96">
        <f t="shared" si="6"/>
        <v>707</v>
      </c>
      <c r="Z11" s="96">
        <f t="shared" si="6"/>
        <v>707</v>
      </c>
      <c r="AA11" s="96">
        <f t="shared" si="6"/>
        <v>784</v>
      </c>
      <c r="AB11" s="96">
        <f t="shared" si="6"/>
        <v>735</v>
      </c>
      <c r="AC11" s="96">
        <f t="shared" si="6"/>
        <v>881</v>
      </c>
      <c r="AD11" s="96">
        <f t="shared" si="6"/>
        <v>906</v>
      </c>
      <c r="AE11" s="96">
        <f t="shared" si="6"/>
        <v>945</v>
      </c>
      <c r="AF11" s="96">
        <f t="shared" si="6"/>
        <v>945</v>
      </c>
      <c r="AG11" s="96">
        <f t="shared" si="6"/>
        <v>945</v>
      </c>
      <c r="AH11" s="96">
        <f t="shared" si="6"/>
        <v>934</v>
      </c>
      <c r="AI11" s="96">
        <f t="shared" si="6"/>
        <v>972</v>
      </c>
      <c r="AJ11" s="96">
        <f t="shared" si="6"/>
        <v>972</v>
      </c>
      <c r="AK11" s="97">
        <f>AJ11+AK6-AK7</f>
        <v>1045</v>
      </c>
      <c r="AL11" s="1" t="s">
        <v>3</v>
      </c>
    </row>
    <row r="12" spans="2:38" s="1" customFormat="1" ht="14" thickBot="1">
      <c r="B12" s="208"/>
      <c r="C12" s="233" t="s">
        <v>15</v>
      </c>
      <c r="D12" s="234"/>
      <c r="E12" s="98">
        <f>E6-E9</f>
        <v>1783</v>
      </c>
      <c r="F12" s="98" t="s">
        <v>6</v>
      </c>
      <c r="G12" s="157" t="s">
        <v>7</v>
      </c>
      <c r="H12" s="161">
        <f>SUM($H$6:H6)-SUM($H$9:H9)</f>
        <v>0</v>
      </c>
      <c r="I12" s="110">
        <f t="shared" ref="I12:AK12" si="7">H12+I6-I9</f>
        <v>0</v>
      </c>
      <c r="J12" s="110">
        <f t="shared" si="7"/>
        <v>171</v>
      </c>
      <c r="K12" s="110">
        <f t="shared" si="7"/>
        <v>171</v>
      </c>
      <c r="L12" s="110">
        <f t="shared" si="7"/>
        <v>171</v>
      </c>
      <c r="M12" s="110">
        <f t="shared" si="7"/>
        <v>267</v>
      </c>
      <c r="N12" s="110">
        <f t="shared" si="7"/>
        <v>379</v>
      </c>
      <c r="O12" s="110">
        <f t="shared" si="7"/>
        <v>457</v>
      </c>
      <c r="P12" s="110">
        <f t="shared" si="7"/>
        <v>573</v>
      </c>
      <c r="Q12" s="110">
        <f t="shared" si="7"/>
        <v>656</v>
      </c>
      <c r="R12" s="110">
        <f t="shared" si="7"/>
        <v>656</v>
      </c>
      <c r="S12" s="110">
        <f t="shared" si="7"/>
        <v>656</v>
      </c>
      <c r="T12" s="110">
        <f t="shared" si="7"/>
        <v>747</v>
      </c>
      <c r="U12" s="110">
        <f t="shared" si="7"/>
        <v>942</v>
      </c>
      <c r="V12" s="110">
        <f t="shared" si="7"/>
        <v>1006</v>
      </c>
      <c r="W12" s="110">
        <f t="shared" si="7"/>
        <v>1018</v>
      </c>
      <c r="X12" s="110">
        <f t="shared" si="7"/>
        <v>1060</v>
      </c>
      <c r="Y12" s="110">
        <f t="shared" si="7"/>
        <v>1060</v>
      </c>
      <c r="Z12" s="110">
        <f t="shared" si="7"/>
        <v>1060</v>
      </c>
      <c r="AA12" s="110">
        <f t="shared" si="7"/>
        <v>1183</v>
      </c>
      <c r="AB12" s="110">
        <f t="shared" si="7"/>
        <v>1192</v>
      </c>
      <c r="AC12" s="110">
        <f t="shared" si="7"/>
        <v>1394</v>
      </c>
      <c r="AD12" s="110">
        <f t="shared" si="7"/>
        <v>1480</v>
      </c>
      <c r="AE12" s="110">
        <f t="shared" si="7"/>
        <v>1538</v>
      </c>
      <c r="AF12" s="110">
        <f t="shared" si="7"/>
        <v>1538</v>
      </c>
      <c r="AG12" s="110">
        <f t="shared" si="7"/>
        <v>1538</v>
      </c>
      <c r="AH12" s="110">
        <f t="shared" si="7"/>
        <v>1572</v>
      </c>
      <c r="AI12" s="110">
        <f t="shared" si="7"/>
        <v>1661</v>
      </c>
      <c r="AJ12" s="110">
        <f t="shared" si="7"/>
        <v>1661</v>
      </c>
      <c r="AK12" s="115">
        <f t="shared" si="7"/>
        <v>1783</v>
      </c>
      <c r="AL12" s="1" t="s">
        <v>3</v>
      </c>
    </row>
    <row r="13" spans="2:38" s="1" customFormat="1" ht="13.5">
      <c r="B13" s="208"/>
      <c r="C13" s="210" t="s">
        <v>16</v>
      </c>
      <c r="D13" s="30" t="s">
        <v>44</v>
      </c>
      <c r="E13" s="111">
        <f t="shared" ref="E13:E30" si="8">SUM(H13:AK13)</f>
        <v>51</v>
      </c>
      <c r="F13" s="102">
        <v>20</v>
      </c>
      <c r="G13" s="162" t="s">
        <v>45</v>
      </c>
      <c r="H13" s="159"/>
      <c r="I13" s="103"/>
      <c r="J13" s="103"/>
      <c r="K13" s="103"/>
      <c r="L13" s="103"/>
      <c r="M13" s="103"/>
      <c r="N13" s="103">
        <v>11</v>
      </c>
      <c r="O13" s="103"/>
      <c r="P13" s="103"/>
      <c r="Q13" s="103"/>
      <c r="R13" s="103"/>
      <c r="S13" s="103"/>
      <c r="T13" s="103"/>
      <c r="U13" s="103"/>
      <c r="V13" s="103">
        <v>13</v>
      </c>
      <c r="W13" s="103"/>
      <c r="X13" s="103"/>
      <c r="Y13" s="103"/>
      <c r="Z13" s="103"/>
      <c r="AA13" s="103"/>
      <c r="AB13" s="103"/>
      <c r="AC13" s="103">
        <v>15</v>
      </c>
      <c r="AD13" s="103"/>
      <c r="AE13" s="103">
        <v>11</v>
      </c>
      <c r="AF13" s="103"/>
      <c r="AG13" s="103"/>
      <c r="AH13" s="103"/>
      <c r="AI13" s="103">
        <v>1</v>
      </c>
      <c r="AJ13" s="103"/>
      <c r="AK13" s="104"/>
      <c r="AL13" s="1" t="s">
        <v>3</v>
      </c>
    </row>
    <row r="14" spans="2:38" s="1" customFormat="1" ht="13.5">
      <c r="B14" s="208"/>
      <c r="C14" s="211"/>
      <c r="D14" s="31" t="s">
        <v>46</v>
      </c>
      <c r="E14" s="174">
        <f t="shared" si="8"/>
        <v>70</v>
      </c>
      <c r="F14" s="106">
        <v>20</v>
      </c>
      <c r="G14" s="163" t="s">
        <v>47</v>
      </c>
      <c r="H14" s="160"/>
      <c r="I14" s="96"/>
      <c r="J14" s="96"/>
      <c r="K14" s="96"/>
      <c r="L14" s="96"/>
      <c r="M14" s="96"/>
      <c r="N14" s="96"/>
      <c r="O14" s="96"/>
      <c r="P14" s="96"/>
      <c r="Q14" s="96">
        <v>7</v>
      </c>
      <c r="R14" s="96"/>
      <c r="S14" s="96"/>
      <c r="T14" s="96"/>
      <c r="U14" s="96">
        <v>11</v>
      </c>
      <c r="V14" s="96"/>
      <c r="W14" s="96">
        <v>13</v>
      </c>
      <c r="X14" s="96"/>
      <c r="Y14" s="96"/>
      <c r="Z14" s="96"/>
      <c r="AA14" s="96"/>
      <c r="AB14" s="96">
        <v>12</v>
      </c>
      <c r="AC14" s="96"/>
      <c r="AD14" s="96">
        <v>11</v>
      </c>
      <c r="AE14" s="96">
        <v>11</v>
      </c>
      <c r="AF14" s="96"/>
      <c r="AG14" s="96"/>
      <c r="AH14" s="96"/>
      <c r="AI14" s="96"/>
      <c r="AJ14" s="96"/>
      <c r="AK14" s="97">
        <v>5</v>
      </c>
      <c r="AL14" s="1" t="s">
        <v>3</v>
      </c>
    </row>
    <row r="15" spans="2:38" s="1" customFormat="1" ht="13.5">
      <c r="B15" s="208"/>
      <c r="C15" s="211"/>
      <c r="D15" s="31" t="s">
        <v>48</v>
      </c>
      <c r="E15" s="174">
        <f t="shared" si="8"/>
        <v>46</v>
      </c>
      <c r="F15" s="106">
        <v>20</v>
      </c>
      <c r="G15" s="163" t="s">
        <v>47</v>
      </c>
      <c r="H15" s="160"/>
      <c r="I15" s="96"/>
      <c r="J15" s="96">
        <v>5</v>
      </c>
      <c r="K15" s="96"/>
      <c r="L15" s="96"/>
      <c r="M15" s="96"/>
      <c r="N15" s="96">
        <v>9</v>
      </c>
      <c r="O15" s="96"/>
      <c r="P15" s="96">
        <v>7</v>
      </c>
      <c r="Q15" s="96"/>
      <c r="R15" s="96"/>
      <c r="S15" s="96"/>
      <c r="T15" s="96"/>
      <c r="U15" s="96">
        <v>6</v>
      </c>
      <c r="V15" s="96"/>
      <c r="W15" s="96"/>
      <c r="X15" s="96"/>
      <c r="Y15" s="96"/>
      <c r="Z15" s="96"/>
      <c r="AA15" s="96">
        <v>9</v>
      </c>
      <c r="AB15" s="96"/>
      <c r="AC15" s="96"/>
      <c r="AD15" s="96"/>
      <c r="AE15" s="96"/>
      <c r="AF15" s="96"/>
      <c r="AG15" s="96"/>
      <c r="AH15" s="96">
        <v>10</v>
      </c>
      <c r="AI15" s="96"/>
      <c r="AJ15" s="96"/>
      <c r="AK15" s="97"/>
      <c r="AL15" s="1" t="s">
        <v>3</v>
      </c>
    </row>
    <row r="16" spans="2:38" s="1" customFormat="1" ht="13.5">
      <c r="B16" s="208"/>
      <c r="C16" s="211"/>
      <c r="D16" s="31" t="s">
        <v>49</v>
      </c>
      <c r="E16" s="174">
        <f t="shared" si="8"/>
        <v>57</v>
      </c>
      <c r="F16" s="106">
        <v>20</v>
      </c>
      <c r="G16" s="163" t="s">
        <v>47</v>
      </c>
      <c r="H16" s="160"/>
      <c r="I16" s="96"/>
      <c r="J16" s="96"/>
      <c r="K16" s="96"/>
      <c r="L16" s="96"/>
      <c r="M16" s="96">
        <v>12</v>
      </c>
      <c r="N16" s="96"/>
      <c r="O16" s="96">
        <v>15</v>
      </c>
      <c r="P16" s="96"/>
      <c r="Q16" s="96"/>
      <c r="R16" s="96"/>
      <c r="S16" s="96"/>
      <c r="T16" s="96"/>
      <c r="U16" s="96"/>
      <c r="V16" s="96"/>
      <c r="W16" s="96"/>
      <c r="X16" s="96">
        <v>17</v>
      </c>
      <c r="Y16" s="96"/>
      <c r="Z16" s="96"/>
      <c r="AA16" s="96"/>
      <c r="AB16" s="96"/>
      <c r="AC16" s="96"/>
      <c r="AD16" s="96"/>
      <c r="AE16" s="96"/>
      <c r="AF16" s="96"/>
      <c r="AG16" s="96"/>
      <c r="AH16" s="96"/>
      <c r="AI16" s="96">
        <v>13</v>
      </c>
      <c r="AJ16" s="96"/>
      <c r="AK16" s="97"/>
      <c r="AL16" s="1" t="s">
        <v>3</v>
      </c>
    </row>
    <row r="17" spans="2:38" s="1" customFormat="1" ht="13.5">
      <c r="B17" s="208"/>
      <c r="C17" s="211"/>
      <c r="D17" s="31" t="s">
        <v>19</v>
      </c>
      <c r="E17" s="174">
        <f t="shared" si="8"/>
        <v>137</v>
      </c>
      <c r="F17" s="106">
        <v>20</v>
      </c>
      <c r="G17" s="163" t="s">
        <v>47</v>
      </c>
      <c r="H17" s="160"/>
      <c r="I17" s="96"/>
      <c r="J17" s="96">
        <v>12</v>
      </c>
      <c r="K17" s="96"/>
      <c r="L17" s="96"/>
      <c r="M17" s="96">
        <v>5</v>
      </c>
      <c r="N17" s="96">
        <v>10</v>
      </c>
      <c r="O17" s="96">
        <v>8</v>
      </c>
      <c r="P17" s="96">
        <v>7</v>
      </c>
      <c r="Q17" s="96"/>
      <c r="R17" s="96"/>
      <c r="S17" s="96"/>
      <c r="T17" s="96">
        <v>11</v>
      </c>
      <c r="U17" s="96">
        <v>7</v>
      </c>
      <c r="V17" s="96">
        <v>12</v>
      </c>
      <c r="W17" s="96">
        <v>11</v>
      </c>
      <c r="X17" s="96">
        <v>6</v>
      </c>
      <c r="Y17" s="96"/>
      <c r="Z17" s="96"/>
      <c r="AA17" s="96">
        <v>5</v>
      </c>
      <c r="AB17" s="96">
        <v>8</v>
      </c>
      <c r="AC17" s="96">
        <v>14</v>
      </c>
      <c r="AD17" s="96">
        <v>6</v>
      </c>
      <c r="AE17" s="96">
        <v>5</v>
      </c>
      <c r="AF17" s="96"/>
      <c r="AG17" s="96"/>
      <c r="AH17" s="96">
        <v>6</v>
      </c>
      <c r="AI17" s="96">
        <v>4</v>
      </c>
      <c r="AJ17" s="96"/>
      <c r="AK17" s="97"/>
      <c r="AL17" s="1" t="s">
        <v>3</v>
      </c>
    </row>
    <row r="18" spans="2:38" s="1" customFormat="1" ht="13.5">
      <c r="B18" s="208"/>
      <c r="C18" s="211"/>
      <c r="D18" s="31" t="s">
        <v>20</v>
      </c>
      <c r="E18" s="174">
        <f t="shared" si="8"/>
        <v>217</v>
      </c>
      <c r="F18" s="106">
        <v>20</v>
      </c>
      <c r="G18" s="163" t="s">
        <v>47</v>
      </c>
      <c r="H18" s="160"/>
      <c r="I18" s="96"/>
      <c r="J18" s="96">
        <v>5</v>
      </c>
      <c r="K18" s="96"/>
      <c r="L18" s="96"/>
      <c r="M18" s="96">
        <v>13</v>
      </c>
      <c r="N18" s="96">
        <v>11</v>
      </c>
      <c r="O18" s="96">
        <v>14</v>
      </c>
      <c r="P18" s="96">
        <v>13</v>
      </c>
      <c r="Q18" s="96">
        <v>10</v>
      </c>
      <c r="R18" s="96"/>
      <c r="S18" s="96"/>
      <c r="T18" s="96">
        <v>12</v>
      </c>
      <c r="U18" s="96">
        <v>10</v>
      </c>
      <c r="V18" s="96">
        <v>11</v>
      </c>
      <c r="W18" s="96">
        <v>10</v>
      </c>
      <c r="X18" s="96">
        <v>15</v>
      </c>
      <c r="Y18" s="96"/>
      <c r="Z18" s="96"/>
      <c r="AA18" s="96">
        <v>17</v>
      </c>
      <c r="AB18" s="96">
        <v>14</v>
      </c>
      <c r="AC18" s="96">
        <v>12</v>
      </c>
      <c r="AD18" s="96">
        <v>7</v>
      </c>
      <c r="AE18" s="96">
        <v>9</v>
      </c>
      <c r="AF18" s="96"/>
      <c r="AG18" s="96"/>
      <c r="AH18" s="96">
        <v>16</v>
      </c>
      <c r="AI18" s="96">
        <v>10</v>
      </c>
      <c r="AJ18" s="96"/>
      <c r="AK18" s="97">
        <v>8</v>
      </c>
      <c r="AL18" s="1" t="s">
        <v>3</v>
      </c>
    </row>
    <row r="19" spans="2:38" s="1" customFormat="1" ht="13.5">
      <c r="B19" s="208"/>
      <c r="C19" s="211"/>
      <c r="D19" s="31" t="s">
        <v>21</v>
      </c>
      <c r="E19" s="112">
        <f t="shared" si="8"/>
        <v>191</v>
      </c>
      <c r="F19" s="94">
        <v>20</v>
      </c>
      <c r="G19" s="157" t="s">
        <v>47</v>
      </c>
      <c r="H19" s="160"/>
      <c r="I19" s="96"/>
      <c r="J19" s="96">
        <v>7</v>
      </c>
      <c r="K19" s="96"/>
      <c r="L19" s="96"/>
      <c r="M19" s="96">
        <v>12</v>
      </c>
      <c r="N19" s="96">
        <v>15</v>
      </c>
      <c r="O19" s="96">
        <v>10</v>
      </c>
      <c r="P19" s="96">
        <v>11</v>
      </c>
      <c r="Q19" s="96">
        <v>4</v>
      </c>
      <c r="R19" s="96"/>
      <c r="S19" s="96"/>
      <c r="T19" s="96">
        <v>9</v>
      </c>
      <c r="U19" s="96">
        <v>7</v>
      </c>
      <c r="V19" s="96"/>
      <c r="W19" s="96">
        <v>15</v>
      </c>
      <c r="X19" s="96">
        <v>10</v>
      </c>
      <c r="Y19" s="96"/>
      <c r="Z19" s="96"/>
      <c r="AA19" s="96">
        <v>12</v>
      </c>
      <c r="AB19" s="96">
        <v>12</v>
      </c>
      <c r="AC19" s="96">
        <v>10</v>
      </c>
      <c r="AD19" s="96">
        <v>12</v>
      </c>
      <c r="AE19" s="96">
        <v>7</v>
      </c>
      <c r="AF19" s="96"/>
      <c r="AG19" s="96"/>
      <c r="AH19" s="96">
        <v>12</v>
      </c>
      <c r="AI19" s="96">
        <v>16</v>
      </c>
      <c r="AJ19" s="96"/>
      <c r="AK19" s="97">
        <v>10</v>
      </c>
      <c r="AL19" s="1" t="s">
        <v>3</v>
      </c>
    </row>
    <row r="20" spans="2:38" s="1" customFormat="1" ht="13.5">
      <c r="B20" s="208"/>
      <c r="C20" s="211"/>
      <c r="D20" s="31" t="s">
        <v>22</v>
      </c>
      <c r="E20" s="112">
        <f t="shared" si="8"/>
        <v>352</v>
      </c>
      <c r="F20" s="94">
        <v>30</v>
      </c>
      <c r="G20" s="157" t="s">
        <v>47</v>
      </c>
      <c r="H20" s="160"/>
      <c r="I20" s="96"/>
      <c r="J20" s="96"/>
      <c r="K20" s="96"/>
      <c r="L20" s="96"/>
      <c r="M20" s="96"/>
      <c r="N20" s="96"/>
      <c r="O20" s="96"/>
      <c r="P20" s="96"/>
      <c r="Q20" s="96"/>
      <c r="R20" s="96"/>
      <c r="S20" s="96"/>
      <c r="T20" s="96"/>
      <c r="U20" s="96">
        <v>14</v>
      </c>
      <c r="V20" s="96">
        <v>26</v>
      </c>
      <c r="W20" s="96">
        <v>29</v>
      </c>
      <c r="X20" s="96">
        <v>34</v>
      </c>
      <c r="Y20" s="96"/>
      <c r="Z20" s="96"/>
      <c r="AA20" s="96">
        <v>33</v>
      </c>
      <c r="AB20" s="96">
        <v>34</v>
      </c>
      <c r="AC20" s="96">
        <v>37</v>
      </c>
      <c r="AD20" s="96">
        <v>33</v>
      </c>
      <c r="AE20" s="96"/>
      <c r="AF20" s="96"/>
      <c r="AG20" s="96"/>
      <c r="AH20" s="96">
        <v>33</v>
      </c>
      <c r="AI20" s="96">
        <v>38</v>
      </c>
      <c r="AJ20" s="96"/>
      <c r="AK20" s="97">
        <v>41</v>
      </c>
      <c r="AL20" s="1" t="s">
        <v>3</v>
      </c>
    </row>
    <row r="21" spans="2:38" s="1" customFormat="1" ht="13.5">
      <c r="B21" s="208"/>
      <c r="C21" s="211"/>
      <c r="D21" s="31" t="s">
        <v>23</v>
      </c>
      <c r="E21" s="112">
        <f t="shared" si="8"/>
        <v>294</v>
      </c>
      <c r="F21" s="94">
        <v>15</v>
      </c>
      <c r="G21" s="157" t="s">
        <v>47</v>
      </c>
      <c r="H21" s="160"/>
      <c r="I21" s="96"/>
      <c r="J21" s="96"/>
      <c r="K21" s="96"/>
      <c r="L21" s="96"/>
      <c r="M21" s="96">
        <v>15</v>
      </c>
      <c r="N21" s="96">
        <v>16</v>
      </c>
      <c r="O21" s="96">
        <v>16</v>
      </c>
      <c r="P21" s="96">
        <v>15</v>
      </c>
      <c r="Q21" s="96">
        <v>16</v>
      </c>
      <c r="R21" s="96"/>
      <c r="S21" s="96"/>
      <c r="T21" s="96"/>
      <c r="U21" s="96">
        <v>15</v>
      </c>
      <c r="V21" s="96">
        <v>19</v>
      </c>
      <c r="W21" s="96">
        <v>15</v>
      </c>
      <c r="X21" s="96">
        <v>15</v>
      </c>
      <c r="Y21" s="96"/>
      <c r="Z21" s="96"/>
      <c r="AA21" s="96">
        <v>14</v>
      </c>
      <c r="AB21" s="96">
        <v>17</v>
      </c>
      <c r="AC21" s="96">
        <v>20</v>
      </c>
      <c r="AD21" s="96">
        <v>17</v>
      </c>
      <c r="AE21" s="96">
        <v>19</v>
      </c>
      <c r="AF21" s="96"/>
      <c r="AG21" s="96"/>
      <c r="AH21" s="96">
        <v>21</v>
      </c>
      <c r="AI21" s="96">
        <v>18</v>
      </c>
      <c r="AJ21" s="96"/>
      <c r="AK21" s="97">
        <v>26</v>
      </c>
      <c r="AL21" s="1" t="s">
        <v>3</v>
      </c>
    </row>
    <row r="22" spans="2:38" s="1" customFormat="1" ht="13.5">
      <c r="B22" s="208"/>
      <c r="C22" s="211"/>
      <c r="D22" s="31" t="s">
        <v>24</v>
      </c>
      <c r="E22" s="112">
        <f t="shared" si="8"/>
        <v>352</v>
      </c>
      <c r="F22" s="94">
        <v>10</v>
      </c>
      <c r="G22" s="157" t="s">
        <v>47</v>
      </c>
      <c r="H22" s="160"/>
      <c r="I22" s="96"/>
      <c r="J22" s="96"/>
      <c r="K22" s="96"/>
      <c r="L22" s="96"/>
      <c r="M22" s="96">
        <v>16</v>
      </c>
      <c r="N22" s="96">
        <v>16</v>
      </c>
      <c r="O22" s="96">
        <v>15</v>
      </c>
      <c r="P22" s="96">
        <v>19</v>
      </c>
      <c r="Q22" s="96">
        <v>19</v>
      </c>
      <c r="R22" s="96"/>
      <c r="S22" s="96"/>
      <c r="T22" s="96"/>
      <c r="U22" s="96">
        <v>18</v>
      </c>
      <c r="V22" s="96">
        <v>21</v>
      </c>
      <c r="W22" s="96">
        <v>23</v>
      </c>
      <c r="X22" s="96">
        <v>25</v>
      </c>
      <c r="Y22" s="96"/>
      <c r="Z22" s="96"/>
      <c r="AA22" s="96">
        <v>21</v>
      </c>
      <c r="AB22" s="96">
        <v>19</v>
      </c>
      <c r="AC22" s="96">
        <v>23</v>
      </c>
      <c r="AD22" s="96">
        <v>25</v>
      </c>
      <c r="AE22" s="96">
        <v>19</v>
      </c>
      <c r="AF22" s="96"/>
      <c r="AG22" s="96"/>
      <c r="AH22" s="96">
        <v>23</v>
      </c>
      <c r="AI22" s="96">
        <v>21</v>
      </c>
      <c r="AJ22" s="96"/>
      <c r="AK22" s="97">
        <v>29</v>
      </c>
      <c r="AL22" s="1" t="s">
        <v>3</v>
      </c>
    </row>
    <row r="23" spans="2:38" s="1" customFormat="1" ht="14" thickBot="1">
      <c r="B23" s="208"/>
      <c r="C23" s="212"/>
      <c r="D23" s="175" t="s">
        <v>50</v>
      </c>
      <c r="E23" s="168" t="s">
        <v>6</v>
      </c>
      <c r="F23" s="106" t="s">
        <v>6</v>
      </c>
      <c r="G23" s="169" t="s">
        <v>47</v>
      </c>
      <c r="H23" s="170"/>
      <c r="I23" s="171"/>
      <c r="J23" s="171"/>
      <c r="K23" s="171"/>
      <c r="L23" s="171"/>
      <c r="M23" s="171"/>
      <c r="N23" s="171"/>
      <c r="O23" s="171"/>
      <c r="P23" s="171"/>
      <c r="Q23" s="171"/>
      <c r="R23" s="171"/>
      <c r="S23" s="171"/>
      <c r="T23" s="171"/>
      <c r="U23" s="171"/>
      <c r="V23" s="171">
        <v>40</v>
      </c>
      <c r="W23" s="171">
        <v>1</v>
      </c>
      <c r="X23" s="171"/>
      <c r="Y23" s="171"/>
      <c r="Z23" s="171"/>
      <c r="AA23" s="171"/>
      <c r="AB23" s="171">
        <v>19</v>
      </c>
      <c r="AC23" s="171"/>
      <c r="AD23" s="171"/>
      <c r="AE23" s="171">
        <v>4</v>
      </c>
      <c r="AF23" s="171"/>
      <c r="AG23" s="171"/>
      <c r="AH23" s="171"/>
      <c r="AI23" s="171"/>
      <c r="AJ23" s="171"/>
      <c r="AK23" s="172"/>
      <c r="AL23" s="1" t="s">
        <v>3</v>
      </c>
    </row>
    <row r="24" spans="2:38" s="1" customFormat="1" ht="13.5">
      <c r="B24" s="208"/>
      <c r="C24" s="210" t="s">
        <v>25</v>
      </c>
      <c r="D24" s="173" t="s">
        <v>26</v>
      </c>
      <c r="E24" s="111">
        <f t="shared" si="8"/>
        <v>221</v>
      </c>
      <c r="F24" s="102">
        <v>30</v>
      </c>
      <c r="G24" s="162" t="s">
        <v>47</v>
      </c>
      <c r="H24" s="159"/>
      <c r="I24" s="103"/>
      <c r="J24" s="103"/>
      <c r="K24" s="103"/>
      <c r="L24" s="103"/>
      <c r="M24" s="103">
        <v>6</v>
      </c>
      <c r="N24" s="103"/>
      <c r="O24" s="103">
        <v>2</v>
      </c>
      <c r="P24" s="103">
        <v>1</v>
      </c>
      <c r="Q24" s="103">
        <v>8</v>
      </c>
      <c r="R24" s="103"/>
      <c r="S24" s="103"/>
      <c r="T24" s="103">
        <v>8</v>
      </c>
      <c r="U24" s="103">
        <v>7</v>
      </c>
      <c r="V24" s="103">
        <v>18</v>
      </c>
      <c r="W24" s="103">
        <v>26</v>
      </c>
      <c r="X24" s="103">
        <v>3</v>
      </c>
      <c r="Y24" s="103"/>
      <c r="Z24" s="103"/>
      <c r="AA24" s="103">
        <v>15</v>
      </c>
      <c r="AB24" s="103">
        <v>18</v>
      </c>
      <c r="AC24" s="103">
        <v>30</v>
      </c>
      <c r="AD24" s="103">
        <v>2</v>
      </c>
      <c r="AE24" s="103">
        <v>6</v>
      </c>
      <c r="AF24" s="103"/>
      <c r="AG24" s="103"/>
      <c r="AH24" s="103">
        <v>26</v>
      </c>
      <c r="AI24" s="103">
        <v>20</v>
      </c>
      <c r="AJ24" s="103"/>
      <c r="AK24" s="104">
        <v>25</v>
      </c>
      <c r="AL24" s="1" t="s">
        <v>3</v>
      </c>
    </row>
    <row r="25" spans="2:38" s="1" customFormat="1" ht="13.5">
      <c r="B25" s="208"/>
      <c r="C25" s="211"/>
      <c r="D25" s="31" t="s">
        <v>27</v>
      </c>
      <c r="E25" s="112">
        <f t="shared" si="8"/>
        <v>714</v>
      </c>
      <c r="F25" s="94">
        <v>40</v>
      </c>
      <c r="G25" s="157" t="s">
        <v>47</v>
      </c>
      <c r="H25" s="160"/>
      <c r="I25" s="96"/>
      <c r="J25" s="96">
        <v>24</v>
      </c>
      <c r="K25" s="96"/>
      <c r="L25" s="96"/>
      <c r="M25" s="96"/>
      <c r="N25" s="96">
        <v>32</v>
      </c>
      <c r="O25" s="96">
        <v>40</v>
      </c>
      <c r="P25" s="96">
        <v>39</v>
      </c>
      <c r="Q25" s="96">
        <v>44</v>
      </c>
      <c r="R25" s="96"/>
      <c r="S25" s="96"/>
      <c r="T25" s="96">
        <v>45</v>
      </c>
      <c r="U25" s="96">
        <v>27</v>
      </c>
      <c r="V25" s="96">
        <v>41</v>
      </c>
      <c r="W25" s="96">
        <v>46</v>
      </c>
      <c r="X25" s="96">
        <v>50</v>
      </c>
      <c r="Y25" s="96"/>
      <c r="Z25" s="96"/>
      <c r="AA25" s="96">
        <v>41</v>
      </c>
      <c r="AB25" s="96">
        <v>30</v>
      </c>
      <c r="AC25" s="96">
        <v>40</v>
      </c>
      <c r="AD25" s="96">
        <v>41</v>
      </c>
      <c r="AE25" s="96">
        <v>45</v>
      </c>
      <c r="AF25" s="96"/>
      <c r="AG25" s="96"/>
      <c r="AH25" s="96">
        <v>40</v>
      </c>
      <c r="AI25" s="96">
        <v>44</v>
      </c>
      <c r="AJ25" s="96"/>
      <c r="AK25" s="97">
        <v>45</v>
      </c>
      <c r="AL25" s="1" t="s">
        <v>3</v>
      </c>
    </row>
    <row r="26" spans="2:38" s="1" customFormat="1" ht="13.5">
      <c r="B26" s="208"/>
      <c r="C26" s="211"/>
      <c r="D26" s="31" t="s">
        <v>19</v>
      </c>
      <c r="E26" s="112">
        <f t="shared" si="8"/>
        <v>69</v>
      </c>
      <c r="F26" s="94">
        <v>20</v>
      </c>
      <c r="G26" s="157" t="s">
        <v>47</v>
      </c>
      <c r="H26" s="160"/>
      <c r="I26" s="96"/>
      <c r="J26" s="96"/>
      <c r="K26" s="96"/>
      <c r="L26" s="96"/>
      <c r="M26" s="96">
        <v>11</v>
      </c>
      <c r="N26" s="96"/>
      <c r="O26" s="96">
        <v>2</v>
      </c>
      <c r="P26" s="96"/>
      <c r="Q26" s="96"/>
      <c r="R26" s="96"/>
      <c r="S26" s="96"/>
      <c r="T26" s="96"/>
      <c r="U26" s="96"/>
      <c r="V26" s="96">
        <v>3</v>
      </c>
      <c r="W26" s="96">
        <v>3</v>
      </c>
      <c r="X26" s="96">
        <v>7</v>
      </c>
      <c r="Y26" s="96"/>
      <c r="Z26" s="96"/>
      <c r="AA26" s="96">
        <v>9</v>
      </c>
      <c r="AB26" s="96">
        <v>3</v>
      </c>
      <c r="AC26" s="96">
        <v>5</v>
      </c>
      <c r="AD26" s="96">
        <v>7</v>
      </c>
      <c r="AE26" s="96">
        <v>7</v>
      </c>
      <c r="AF26" s="96"/>
      <c r="AG26" s="96"/>
      <c r="AH26" s="96">
        <v>10</v>
      </c>
      <c r="AI26" s="96">
        <v>2</v>
      </c>
      <c r="AJ26" s="96"/>
      <c r="AK26" s="97"/>
      <c r="AL26" s="1" t="s">
        <v>3</v>
      </c>
    </row>
    <row r="27" spans="2:38" s="1" customFormat="1" ht="13.5">
      <c r="B27" s="208"/>
      <c r="C27" s="211"/>
      <c r="D27" s="176" t="s">
        <v>51</v>
      </c>
      <c r="E27" s="116" t="s">
        <v>6</v>
      </c>
      <c r="F27" s="98" t="s">
        <v>6</v>
      </c>
      <c r="G27" s="165" t="s">
        <v>47</v>
      </c>
      <c r="H27" s="167"/>
      <c r="I27" s="99"/>
      <c r="J27" s="99"/>
      <c r="K27" s="99"/>
      <c r="L27" s="99"/>
      <c r="M27" s="99"/>
      <c r="N27" s="99"/>
      <c r="O27" s="99"/>
      <c r="P27" s="99"/>
      <c r="Q27" s="99"/>
      <c r="R27" s="99"/>
      <c r="S27" s="99"/>
      <c r="T27" s="99"/>
      <c r="U27" s="99"/>
      <c r="V27" s="99"/>
      <c r="W27" s="99">
        <v>40</v>
      </c>
      <c r="X27" s="99"/>
      <c r="Y27" s="99"/>
      <c r="Z27" s="99"/>
      <c r="AA27" s="99"/>
      <c r="AB27" s="99">
        <v>19</v>
      </c>
      <c r="AC27" s="99"/>
      <c r="AD27" s="99"/>
      <c r="AE27" s="99">
        <v>4</v>
      </c>
      <c r="AF27" s="99"/>
      <c r="AG27" s="99"/>
      <c r="AH27" s="99"/>
      <c r="AI27" s="99"/>
      <c r="AJ27" s="99"/>
      <c r="AK27" s="100"/>
      <c r="AL27" s="1" t="s">
        <v>3</v>
      </c>
    </row>
    <row r="28" spans="2:38" s="1" customFormat="1" ht="14" collapsed="1" thickBot="1">
      <c r="B28" s="209"/>
      <c r="C28" s="212"/>
      <c r="D28" s="32" t="s">
        <v>17</v>
      </c>
      <c r="E28" s="113">
        <f t="shared" si="8"/>
        <v>26</v>
      </c>
      <c r="F28" s="114">
        <v>20</v>
      </c>
      <c r="G28" s="164" t="s">
        <v>47</v>
      </c>
      <c r="H28" s="161"/>
      <c r="I28" s="110"/>
      <c r="J28" s="110"/>
      <c r="K28" s="110"/>
      <c r="L28" s="110"/>
      <c r="M28" s="110"/>
      <c r="N28" s="110"/>
      <c r="O28" s="110"/>
      <c r="P28" s="110"/>
      <c r="Q28" s="110">
        <v>4</v>
      </c>
      <c r="R28" s="110"/>
      <c r="S28" s="110"/>
      <c r="T28" s="110"/>
      <c r="U28" s="110"/>
      <c r="V28" s="110"/>
      <c r="W28" s="110"/>
      <c r="X28" s="110">
        <v>7</v>
      </c>
      <c r="Y28" s="110"/>
      <c r="Z28" s="110"/>
      <c r="AA28" s="110"/>
      <c r="AB28" s="110">
        <v>7</v>
      </c>
      <c r="AC28" s="110"/>
      <c r="AD28" s="110"/>
      <c r="AE28" s="110">
        <v>4</v>
      </c>
      <c r="AF28" s="110"/>
      <c r="AG28" s="110"/>
      <c r="AH28" s="110"/>
      <c r="AI28" s="110">
        <v>4</v>
      </c>
      <c r="AJ28" s="110"/>
      <c r="AK28" s="115"/>
      <c r="AL28" s="1" t="s">
        <v>3</v>
      </c>
    </row>
    <row r="29" spans="2:38" s="1" customFormat="1" ht="15" customHeight="1" outlineLevel="1">
      <c r="B29" s="226" t="s">
        <v>28</v>
      </c>
      <c r="C29" s="235" t="s">
        <v>5</v>
      </c>
      <c r="D29" s="236"/>
      <c r="E29" s="94">
        <f t="shared" si="8"/>
        <v>803</v>
      </c>
      <c r="F29" s="94" t="s">
        <v>6</v>
      </c>
      <c r="G29" s="157" t="s">
        <v>7</v>
      </c>
      <c r="H29" s="159"/>
      <c r="I29" s="103"/>
      <c r="J29" s="103">
        <f>151+36</f>
        <v>187</v>
      </c>
      <c r="K29" s="103"/>
      <c r="L29" s="103"/>
      <c r="M29" s="103">
        <v>21</v>
      </c>
      <c r="N29" s="103">
        <v>39</v>
      </c>
      <c r="O29" s="103">
        <v>28</v>
      </c>
      <c r="P29" s="103">
        <v>34</v>
      </c>
      <c r="Q29" s="103">
        <v>49</v>
      </c>
      <c r="R29" s="103"/>
      <c r="S29" s="103"/>
      <c r="T29" s="103">
        <v>33</v>
      </c>
      <c r="U29" s="103">
        <v>55</v>
      </c>
      <c r="V29" s="103">
        <v>33</v>
      </c>
      <c r="W29" s="103">
        <v>24</v>
      </c>
      <c r="X29" s="103">
        <v>33</v>
      </c>
      <c r="Y29" s="103"/>
      <c r="Z29" s="103"/>
      <c r="AA29" s="103">
        <v>44</v>
      </c>
      <c r="AB29" s="103">
        <v>36</v>
      </c>
      <c r="AC29" s="103">
        <v>29</v>
      </c>
      <c r="AD29" s="103">
        <v>41</v>
      </c>
      <c r="AE29" s="103">
        <v>31</v>
      </c>
      <c r="AF29" s="103"/>
      <c r="AG29" s="103"/>
      <c r="AH29" s="103">
        <v>33</v>
      </c>
      <c r="AI29" s="103">
        <v>29</v>
      </c>
      <c r="AJ29" s="103"/>
      <c r="AK29" s="104">
        <v>24</v>
      </c>
      <c r="AL29" s="1" t="s">
        <v>3</v>
      </c>
    </row>
    <row r="30" spans="2:38" s="1" customFormat="1" ht="15" customHeight="1" outlineLevel="1">
      <c r="B30" s="208"/>
      <c r="C30" s="233" t="s">
        <v>29</v>
      </c>
      <c r="D30" s="234"/>
      <c r="E30" s="94">
        <f t="shared" si="8"/>
        <v>648</v>
      </c>
      <c r="F30" s="94" t="s">
        <v>6</v>
      </c>
      <c r="G30" s="157" t="s">
        <v>7</v>
      </c>
      <c r="H30" s="160"/>
      <c r="I30" s="96"/>
      <c r="J30" s="96">
        <f t="shared" ref="J30:AK30" si="9">SUM(J36:J41)</f>
        <v>21</v>
      </c>
      <c r="K30" s="96">
        <f t="shared" si="9"/>
        <v>0</v>
      </c>
      <c r="L30" s="96">
        <f t="shared" si="9"/>
        <v>0</v>
      </c>
      <c r="M30" s="96">
        <f t="shared" si="9"/>
        <v>12</v>
      </c>
      <c r="N30" s="96">
        <f t="shared" si="9"/>
        <v>24</v>
      </c>
      <c r="O30" s="96">
        <f t="shared" si="9"/>
        <v>24</v>
      </c>
      <c r="P30" s="96">
        <f t="shared" si="9"/>
        <v>32</v>
      </c>
      <c r="Q30" s="96">
        <f t="shared" si="9"/>
        <v>38</v>
      </c>
      <c r="R30" s="96">
        <f t="shared" si="9"/>
        <v>0</v>
      </c>
      <c r="S30" s="96">
        <f t="shared" si="9"/>
        <v>0</v>
      </c>
      <c r="T30" s="96">
        <f t="shared" si="9"/>
        <v>34</v>
      </c>
      <c r="U30" s="96">
        <f t="shared" si="9"/>
        <v>47</v>
      </c>
      <c r="V30" s="96">
        <f t="shared" si="9"/>
        <v>27</v>
      </c>
      <c r="W30" s="96">
        <f t="shared" si="9"/>
        <v>37</v>
      </c>
      <c r="X30" s="96">
        <f t="shared" si="9"/>
        <v>47</v>
      </c>
      <c r="Y30" s="96">
        <f t="shared" si="9"/>
        <v>0</v>
      </c>
      <c r="Z30" s="96">
        <f t="shared" si="9"/>
        <v>0</v>
      </c>
      <c r="AA30" s="96">
        <f t="shared" si="9"/>
        <v>32</v>
      </c>
      <c r="AB30" s="96">
        <f t="shared" si="9"/>
        <v>25</v>
      </c>
      <c r="AC30" s="96">
        <f t="shared" si="9"/>
        <v>61</v>
      </c>
      <c r="AD30" s="96">
        <f t="shared" si="9"/>
        <v>33</v>
      </c>
      <c r="AE30" s="96">
        <f t="shared" si="9"/>
        <v>37</v>
      </c>
      <c r="AF30" s="96">
        <f t="shared" si="9"/>
        <v>0</v>
      </c>
      <c r="AG30" s="96">
        <f t="shared" si="9"/>
        <v>0</v>
      </c>
      <c r="AH30" s="96">
        <f t="shared" si="9"/>
        <v>42</v>
      </c>
      <c r="AI30" s="96">
        <f t="shared" si="9"/>
        <v>41</v>
      </c>
      <c r="AJ30" s="96">
        <f t="shared" si="9"/>
        <v>0</v>
      </c>
      <c r="AK30" s="97">
        <f t="shared" si="9"/>
        <v>34</v>
      </c>
      <c r="AL30" s="1" t="s">
        <v>3</v>
      </c>
    </row>
    <row r="31" spans="2:38" s="1" customFormat="1" ht="15" customHeight="1" outlineLevel="1">
      <c r="B31" s="208"/>
      <c r="C31" s="237" t="s">
        <v>43</v>
      </c>
      <c r="D31" s="238"/>
      <c r="E31" s="117">
        <f>AK31</f>
        <v>648</v>
      </c>
      <c r="F31" s="117" t="s">
        <v>6</v>
      </c>
      <c r="G31" s="158" t="s">
        <v>7</v>
      </c>
      <c r="H31" s="166"/>
      <c r="I31" s="119"/>
      <c r="J31" s="119">
        <f t="shared" ref="J31:AK31" si="10">I31+J30</f>
        <v>21</v>
      </c>
      <c r="K31" s="119">
        <f t="shared" si="10"/>
        <v>21</v>
      </c>
      <c r="L31" s="119">
        <f t="shared" si="10"/>
        <v>21</v>
      </c>
      <c r="M31" s="119">
        <f t="shared" si="10"/>
        <v>33</v>
      </c>
      <c r="N31" s="119">
        <f t="shared" si="10"/>
        <v>57</v>
      </c>
      <c r="O31" s="119">
        <f t="shared" si="10"/>
        <v>81</v>
      </c>
      <c r="P31" s="119">
        <f t="shared" si="10"/>
        <v>113</v>
      </c>
      <c r="Q31" s="119">
        <f t="shared" si="10"/>
        <v>151</v>
      </c>
      <c r="R31" s="119">
        <f t="shared" si="10"/>
        <v>151</v>
      </c>
      <c r="S31" s="119">
        <f t="shared" si="10"/>
        <v>151</v>
      </c>
      <c r="T31" s="119">
        <f t="shared" si="10"/>
        <v>185</v>
      </c>
      <c r="U31" s="119">
        <f t="shared" si="10"/>
        <v>232</v>
      </c>
      <c r="V31" s="119">
        <f t="shared" si="10"/>
        <v>259</v>
      </c>
      <c r="W31" s="119">
        <f t="shared" si="10"/>
        <v>296</v>
      </c>
      <c r="X31" s="119">
        <f t="shared" si="10"/>
        <v>343</v>
      </c>
      <c r="Y31" s="119">
        <f t="shared" si="10"/>
        <v>343</v>
      </c>
      <c r="Z31" s="119">
        <f t="shared" si="10"/>
        <v>343</v>
      </c>
      <c r="AA31" s="119">
        <f t="shared" si="10"/>
        <v>375</v>
      </c>
      <c r="AB31" s="119">
        <f t="shared" si="10"/>
        <v>400</v>
      </c>
      <c r="AC31" s="119">
        <f t="shared" si="10"/>
        <v>461</v>
      </c>
      <c r="AD31" s="119">
        <f t="shared" si="10"/>
        <v>494</v>
      </c>
      <c r="AE31" s="119">
        <f t="shared" si="10"/>
        <v>531</v>
      </c>
      <c r="AF31" s="119">
        <f t="shared" si="10"/>
        <v>531</v>
      </c>
      <c r="AG31" s="119">
        <f t="shared" si="10"/>
        <v>531</v>
      </c>
      <c r="AH31" s="119">
        <f t="shared" si="10"/>
        <v>573</v>
      </c>
      <c r="AI31" s="119">
        <f t="shared" si="10"/>
        <v>614</v>
      </c>
      <c r="AJ31" s="119">
        <f t="shared" si="10"/>
        <v>614</v>
      </c>
      <c r="AK31" s="120">
        <f t="shared" si="10"/>
        <v>648</v>
      </c>
      <c r="AL31" s="1" t="s">
        <v>3</v>
      </c>
    </row>
    <row r="32" spans="2:38" s="1" customFormat="1" ht="15" customHeight="1" outlineLevel="1">
      <c r="B32" s="208"/>
      <c r="C32" s="233" t="s">
        <v>30</v>
      </c>
      <c r="D32" s="234"/>
      <c r="E32" s="94">
        <f>SUM(H32:AK32)</f>
        <v>510</v>
      </c>
      <c r="F32" s="94" t="s">
        <v>6</v>
      </c>
      <c r="G32" s="157" t="s">
        <v>7</v>
      </c>
      <c r="H32" s="160"/>
      <c r="I32" s="96"/>
      <c r="J32" s="96">
        <f t="shared" ref="J32:AK32" si="11">SUM(J42:J45)</f>
        <v>16</v>
      </c>
      <c r="K32" s="96">
        <f t="shared" si="11"/>
        <v>0</v>
      </c>
      <c r="L32" s="96">
        <f t="shared" si="11"/>
        <v>0</v>
      </c>
      <c r="M32" s="96">
        <f t="shared" si="11"/>
        <v>13</v>
      </c>
      <c r="N32" s="96">
        <f t="shared" si="11"/>
        <v>20</v>
      </c>
      <c r="O32" s="96">
        <f t="shared" si="11"/>
        <v>29</v>
      </c>
      <c r="P32" s="96">
        <f t="shared" si="11"/>
        <v>25</v>
      </c>
      <c r="Q32" s="96">
        <f t="shared" si="11"/>
        <v>19</v>
      </c>
      <c r="R32" s="96">
        <f t="shared" si="11"/>
        <v>0</v>
      </c>
      <c r="S32" s="96">
        <f t="shared" si="11"/>
        <v>0</v>
      </c>
      <c r="T32" s="96">
        <f t="shared" si="11"/>
        <v>36</v>
      </c>
      <c r="U32" s="96">
        <f t="shared" si="11"/>
        <v>25</v>
      </c>
      <c r="V32" s="96">
        <f t="shared" si="11"/>
        <v>35</v>
      </c>
      <c r="W32" s="96">
        <f t="shared" si="11"/>
        <v>29</v>
      </c>
      <c r="X32" s="96">
        <f t="shared" si="11"/>
        <v>26</v>
      </c>
      <c r="Y32" s="96">
        <f t="shared" si="11"/>
        <v>0</v>
      </c>
      <c r="Z32" s="96">
        <f t="shared" si="11"/>
        <v>0</v>
      </c>
      <c r="AA32" s="96">
        <f t="shared" si="11"/>
        <v>27</v>
      </c>
      <c r="AB32" s="96">
        <f t="shared" si="11"/>
        <v>26</v>
      </c>
      <c r="AC32" s="96">
        <f t="shared" si="11"/>
        <v>31</v>
      </c>
      <c r="AD32" s="96">
        <f t="shared" si="11"/>
        <v>35</v>
      </c>
      <c r="AE32" s="96">
        <f t="shared" si="11"/>
        <v>33</v>
      </c>
      <c r="AF32" s="96">
        <f t="shared" si="11"/>
        <v>0</v>
      </c>
      <c r="AG32" s="96">
        <f t="shared" si="11"/>
        <v>0</v>
      </c>
      <c r="AH32" s="96">
        <f t="shared" si="11"/>
        <v>31</v>
      </c>
      <c r="AI32" s="96">
        <f t="shared" si="11"/>
        <v>32</v>
      </c>
      <c r="AJ32" s="96">
        <f t="shared" si="11"/>
        <v>0</v>
      </c>
      <c r="AK32" s="97">
        <f t="shared" si="11"/>
        <v>22</v>
      </c>
      <c r="AL32" s="1" t="s">
        <v>3</v>
      </c>
    </row>
    <row r="33" spans="2:38" s="1" customFormat="1" ht="15" customHeight="1" outlineLevel="1">
      <c r="B33" s="208"/>
      <c r="C33" s="239" t="s">
        <v>13</v>
      </c>
      <c r="D33" s="240"/>
      <c r="E33" s="117">
        <f>AK33</f>
        <v>510</v>
      </c>
      <c r="F33" s="117" t="s">
        <v>6</v>
      </c>
      <c r="G33" s="158" t="s">
        <v>7</v>
      </c>
      <c r="H33" s="166"/>
      <c r="I33" s="119"/>
      <c r="J33" s="119">
        <f t="shared" ref="J33:AK33" si="12">I33+J32</f>
        <v>16</v>
      </c>
      <c r="K33" s="119">
        <f t="shared" si="12"/>
        <v>16</v>
      </c>
      <c r="L33" s="119">
        <f t="shared" si="12"/>
        <v>16</v>
      </c>
      <c r="M33" s="119">
        <f t="shared" si="12"/>
        <v>29</v>
      </c>
      <c r="N33" s="119">
        <f t="shared" si="12"/>
        <v>49</v>
      </c>
      <c r="O33" s="119">
        <f t="shared" si="12"/>
        <v>78</v>
      </c>
      <c r="P33" s="119">
        <f t="shared" si="12"/>
        <v>103</v>
      </c>
      <c r="Q33" s="119">
        <f t="shared" si="12"/>
        <v>122</v>
      </c>
      <c r="R33" s="119">
        <f t="shared" si="12"/>
        <v>122</v>
      </c>
      <c r="S33" s="119">
        <f t="shared" si="12"/>
        <v>122</v>
      </c>
      <c r="T33" s="119">
        <f t="shared" si="12"/>
        <v>158</v>
      </c>
      <c r="U33" s="119">
        <f t="shared" si="12"/>
        <v>183</v>
      </c>
      <c r="V33" s="119">
        <f t="shared" si="12"/>
        <v>218</v>
      </c>
      <c r="W33" s="119">
        <f t="shared" si="12"/>
        <v>247</v>
      </c>
      <c r="X33" s="119">
        <f t="shared" si="12"/>
        <v>273</v>
      </c>
      <c r="Y33" s="119">
        <f t="shared" si="12"/>
        <v>273</v>
      </c>
      <c r="Z33" s="119">
        <f t="shared" si="12"/>
        <v>273</v>
      </c>
      <c r="AA33" s="119">
        <f t="shared" si="12"/>
        <v>300</v>
      </c>
      <c r="AB33" s="119">
        <f t="shared" si="12"/>
        <v>326</v>
      </c>
      <c r="AC33" s="119">
        <f t="shared" si="12"/>
        <v>357</v>
      </c>
      <c r="AD33" s="119">
        <f t="shared" si="12"/>
        <v>392</v>
      </c>
      <c r="AE33" s="119">
        <f t="shared" si="12"/>
        <v>425</v>
      </c>
      <c r="AF33" s="119">
        <f t="shared" si="12"/>
        <v>425</v>
      </c>
      <c r="AG33" s="119">
        <f t="shared" si="12"/>
        <v>425</v>
      </c>
      <c r="AH33" s="119">
        <f t="shared" si="12"/>
        <v>456</v>
      </c>
      <c r="AI33" s="119">
        <f t="shared" si="12"/>
        <v>488</v>
      </c>
      <c r="AJ33" s="119">
        <f t="shared" si="12"/>
        <v>488</v>
      </c>
      <c r="AK33" s="120">
        <f t="shared" si="12"/>
        <v>510</v>
      </c>
      <c r="AL33" s="1" t="s">
        <v>3</v>
      </c>
    </row>
    <row r="34" spans="2:38" s="1" customFormat="1" ht="13.5" outlineLevel="1">
      <c r="B34" s="208"/>
      <c r="C34" s="233" t="s">
        <v>14</v>
      </c>
      <c r="D34" s="234"/>
      <c r="E34" s="94">
        <f>E29-E30</f>
        <v>155</v>
      </c>
      <c r="F34" s="94" t="s">
        <v>6</v>
      </c>
      <c r="G34" s="157" t="s">
        <v>7</v>
      </c>
      <c r="H34" s="160"/>
      <c r="I34" s="96"/>
      <c r="J34" s="96">
        <f t="shared" ref="J34:AK34" si="13">I34+J29-J30</f>
        <v>166</v>
      </c>
      <c r="K34" s="96">
        <f t="shared" si="13"/>
        <v>166</v>
      </c>
      <c r="L34" s="96">
        <f t="shared" si="13"/>
        <v>166</v>
      </c>
      <c r="M34" s="96">
        <f t="shared" si="13"/>
        <v>175</v>
      </c>
      <c r="N34" s="96">
        <f t="shared" si="13"/>
        <v>190</v>
      </c>
      <c r="O34" s="96">
        <f t="shared" si="13"/>
        <v>194</v>
      </c>
      <c r="P34" s="96">
        <f t="shared" si="13"/>
        <v>196</v>
      </c>
      <c r="Q34" s="96">
        <f t="shared" si="13"/>
        <v>207</v>
      </c>
      <c r="R34" s="96">
        <f t="shared" si="13"/>
        <v>207</v>
      </c>
      <c r="S34" s="96">
        <f t="shared" si="13"/>
        <v>207</v>
      </c>
      <c r="T34" s="96">
        <f t="shared" si="13"/>
        <v>206</v>
      </c>
      <c r="U34" s="96">
        <f t="shared" si="13"/>
        <v>214</v>
      </c>
      <c r="V34" s="96">
        <f t="shared" si="13"/>
        <v>220</v>
      </c>
      <c r="W34" s="96">
        <f t="shared" si="13"/>
        <v>207</v>
      </c>
      <c r="X34" s="96">
        <f t="shared" si="13"/>
        <v>193</v>
      </c>
      <c r="Y34" s="96">
        <f t="shared" si="13"/>
        <v>193</v>
      </c>
      <c r="Z34" s="96">
        <f t="shared" si="13"/>
        <v>193</v>
      </c>
      <c r="AA34" s="96">
        <f t="shared" si="13"/>
        <v>205</v>
      </c>
      <c r="AB34" s="96">
        <f t="shared" si="13"/>
        <v>216</v>
      </c>
      <c r="AC34" s="96">
        <f t="shared" si="13"/>
        <v>184</v>
      </c>
      <c r="AD34" s="96">
        <f t="shared" si="13"/>
        <v>192</v>
      </c>
      <c r="AE34" s="96">
        <f t="shared" si="13"/>
        <v>186</v>
      </c>
      <c r="AF34" s="96">
        <f t="shared" si="13"/>
        <v>186</v>
      </c>
      <c r="AG34" s="96">
        <f t="shared" si="13"/>
        <v>186</v>
      </c>
      <c r="AH34" s="96">
        <f t="shared" si="13"/>
        <v>177</v>
      </c>
      <c r="AI34" s="96">
        <f t="shared" si="13"/>
        <v>165</v>
      </c>
      <c r="AJ34" s="96">
        <f t="shared" si="13"/>
        <v>165</v>
      </c>
      <c r="AK34" s="97">
        <f t="shared" si="13"/>
        <v>155</v>
      </c>
      <c r="AL34" s="1" t="s">
        <v>3</v>
      </c>
    </row>
    <row r="35" spans="2:38" s="1" customFormat="1" ht="14" outlineLevel="1" thickBot="1">
      <c r="B35" s="208"/>
      <c r="C35" s="233" t="s">
        <v>15</v>
      </c>
      <c r="D35" s="234"/>
      <c r="E35" s="98">
        <f>E29-E32</f>
        <v>293</v>
      </c>
      <c r="F35" s="98" t="s">
        <v>6</v>
      </c>
      <c r="G35" s="157" t="s">
        <v>7</v>
      </c>
      <c r="H35" s="161"/>
      <c r="I35" s="110"/>
      <c r="J35" s="110">
        <f t="shared" ref="J35:AK35" si="14">I35+J29-J32</f>
        <v>171</v>
      </c>
      <c r="K35" s="110">
        <f t="shared" si="14"/>
        <v>171</v>
      </c>
      <c r="L35" s="110">
        <f t="shared" si="14"/>
        <v>171</v>
      </c>
      <c r="M35" s="110">
        <f t="shared" si="14"/>
        <v>179</v>
      </c>
      <c r="N35" s="110">
        <f t="shared" si="14"/>
        <v>198</v>
      </c>
      <c r="O35" s="110">
        <f t="shared" si="14"/>
        <v>197</v>
      </c>
      <c r="P35" s="110">
        <f t="shared" si="14"/>
        <v>206</v>
      </c>
      <c r="Q35" s="110">
        <f t="shared" si="14"/>
        <v>236</v>
      </c>
      <c r="R35" s="110">
        <f t="shared" si="14"/>
        <v>236</v>
      </c>
      <c r="S35" s="110">
        <f t="shared" si="14"/>
        <v>236</v>
      </c>
      <c r="T35" s="110">
        <f t="shared" si="14"/>
        <v>233</v>
      </c>
      <c r="U35" s="110">
        <f t="shared" si="14"/>
        <v>263</v>
      </c>
      <c r="V35" s="110">
        <f t="shared" si="14"/>
        <v>261</v>
      </c>
      <c r="W35" s="110">
        <f t="shared" si="14"/>
        <v>256</v>
      </c>
      <c r="X35" s="110">
        <f t="shared" si="14"/>
        <v>263</v>
      </c>
      <c r="Y35" s="110">
        <f t="shared" si="14"/>
        <v>263</v>
      </c>
      <c r="Z35" s="110">
        <f t="shared" si="14"/>
        <v>263</v>
      </c>
      <c r="AA35" s="110">
        <f t="shared" si="14"/>
        <v>280</v>
      </c>
      <c r="AB35" s="110">
        <f t="shared" si="14"/>
        <v>290</v>
      </c>
      <c r="AC35" s="110">
        <f t="shared" si="14"/>
        <v>288</v>
      </c>
      <c r="AD35" s="110">
        <f t="shared" si="14"/>
        <v>294</v>
      </c>
      <c r="AE35" s="110">
        <f t="shared" si="14"/>
        <v>292</v>
      </c>
      <c r="AF35" s="110">
        <f t="shared" si="14"/>
        <v>292</v>
      </c>
      <c r="AG35" s="110">
        <f t="shared" si="14"/>
        <v>292</v>
      </c>
      <c r="AH35" s="110">
        <f t="shared" si="14"/>
        <v>294</v>
      </c>
      <c r="AI35" s="110">
        <f t="shared" si="14"/>
        <v>291</v>
      </c>
      <c r="AJ35" s="110">
        <f t="shared" si="14"/>
        <v>291</v>
      </c>
      <c r="AK35" s="115">
        <f t="shared" si="14"/>
        <v>293</v>
      </c>
      <c r="AL35" s="1" t="s">
        <v>3</v>
      </c>
    </row>
    <row r="36" spans="2:38" s="1" customFormat="1" ht="13.5" outlineLevel="1">
      <c r="B36" s="208"/>
      <c r="C36" s="210" t="s">
        <v>16</v>
      </c>
      <c r="D36" s="28" t="s">
        <v>44</v>
      </c>
      <c r="E36" s="101">
        <f>SUM(H36:AK36)*F36</f>
        <v>735</v>
      </c>
      <c r="F36" s="102">
        <v>15</v>
      </c>
      <c r="G36" s="162" t="s">
        <v>18</v>
      </c>
      <c r="H36" s="159"/>
      <c r="I36" s="103"/>
      <c r="J36" s="103">
        <v>5</v>
      </c>
      <c r="K36" s="103"/>
      <c r="L36" s="103"/>
      <c r="M36" s="103"/>
      <c r="N36" s="103"/>
      <c r="O36" s="103">
        <v>8</v>
      </c>
      <c r="P36" s="103"/>
      <c r="Q36" s="103"/>
      <c r="R36" s="103"/>
      <c r="S36" s="103"/>
      <c r="T36" s="103"/>
      <c r="U36" s="103">
        <v>11</v>
      </c>
      <c r="V36" s="103"/>
      <c r="W36" s="103">
        <v>8</v>
      </c>
      <c r="X36" s="103">
        <v>6</v>
      </c>
      <c r="Y36" s="103"/>
      <c r="Z36" s="103"/>
      <c r="AA36" s="103"/>
      <c r="AB36" s="103"/>
      <c r="AC36" s="103"/>
      <c r="AD36" s="103">
        <v>4</v>
      </c>
      <c r="AE36" s="103">
        <v>1</v>
      </c>
      <c r="AF36" s="103"/>
      <c r="AG36" s="103"/>
      <c r="AH36" s="103"/>
      <c r="AI36" s="103"/>
      <c r="AJ36" s="103"/>
      <c r="AK36" s="104">
        <v>6</v>
      </c>
      <c r="AL36" s="1" t="s">
        <v>3</v>
      </c>
    </row>
    <row r="37" spans="2:38" s="1" customFormat="1" ht="13.5" outlineLevel="1">
      <c r="B37" s="208"/>
      <c r="C37" s="211"/>
      <c r="D37" s="126" t="s">
        <v>46</v>
      </c>
      <c r="E37" s="108">
        <f>SUM(H37:AK37)*F37</f>
        <v>1470</v>
      </c>
      <c r="F37" s="94">
        <v>15</v>
      </c>
      <c r="G37" s="157" t="s">
        <v>18</v>
      </c>
      <c r="H37" s="160"/>
      <c r="I37" s="96"/>
      <c r="J37" s="96"/>
      <c r="K37" s="96"/>
      <c r="L37" s="96"/>
      <c r="M37" s="96"/>
      <c r="N37" s="96">
        <v>9</v>
      </c>
      <c r="O37" s="96"/>
      <c r="P37" s="96">
        <v>13</v>
      </c>
      <c r="Q37" s="96"/>
      <c r="R37" s="96"/>
      <c r="S37" s="96"/>
      <c r="T37" s="96">
        <v>9</v>
      </c>
      <c r="U37" s="96">
        <v>2</v>
      </c>
      <c r="V37" s="96">
        <v>11</v>
      </c>
      <c r="W37" s="96"/>
      <c r="X37" s="96">
        <v>16</v>
      </c>
      <c r="Y37" s="96"/>
      <c r="Z37" s="96"/>
      <c r="AA37" s="96"/>
      <c r="AB37" s="96"/>
      <c r="AC37" s="96">
        <v>15</v>
      </c>
      <c r="AD37" s="96"/>
      <c r="AE37" s="96"/>
      <c r="AF37" s="96"/>
      <c r="AG37" s="96"/>
      <c r="AH37" s="96">
        <v>12</v>
      </c>
      <c r="AI37" s="96">
        <v>11</v>
      </c>
      <c r="AJ37" s="96"/>
      <c r="AK37" s="97"/>
      <c r="AL37" s="1" t="s">
        <v>3</v>
      </c>
    </row>
    <row r="38" spans="2:38" s="1" customFormat="1" ht="13.5" outlineLevel="1">
      <c r="B38" s="208"/>
      <c r="C38" s="211"/>
      <c r="D38" s="126" t="s">
        <v>48</v>
      </c>
      <c r="E38" s="108">
        <f>SUM(H38:AK38)*F38</f>
        <v>765</v>
      </c>
      <c r="F38" s="94">
        <v>15</v>
      </c>
      <c r="G38" s="157" t="s">
        <v>18</v>
      </c>
      <c r="H38" s="160"/>
      <c r="I38" s="96"/>
      <c r="J38" s="96"/>
      <c r="K38" s="96"/>
      <c r="L38" s="96"/>
      <c r="M38" s="96"/>
      <c r="N38" s="96"/>
      <c r="O38" s="96"/>
      <c r="P38" s="96"/>
      <c r="Q38" s="96">
        <v>2</v>
      </c>
      <c r="R38" s="96"/>
      <c r="S38" s="96"/>
      <c r="T38" s="96">
        <v>5</v>
      </c>
      <c r="U38" s="96"/>
      <c r="V38" s="96"/>
      <c r="W38" s="96">
        <v>6</v>
      </c>
      <c r="X38" s="96"/>
      <c r="Y38" s="96"/>
      <c r="Z38" s="96"/>
      <c r="AA38" s="96"/>
      <c r="AB38" s="96">
        <v>7</v>
      </c>
      <c r="AC38" s="96"/>
      <c r="AD38" s="96">
        <v>9</v>
      </c>
      <c r="AE38" s="96">
        <v>9</v>
      </c>
      <c r="AF38" s="96"/>
      <c r="AG38" s="96"/>
      <c r="AH38" s="96"/>
      <c r="AI38" s="96">
        <v>7</v>
      </c>
      <c r="AJ38" s="96"/>
      <c r="AK38" s="97">
        <v>6</v>
      </c>
      <c r="AL38" s="1" t="s">
        <v>3</v>
      </c>
    </row>
    <row r="39" spans="2:38" s="1" customFormat="1" ht="13.5" outlineLevel="1">
      <c r="B39" s="208"/>
      <c r="C39" s="211"/>
      <c r="D39" s="126" t="s">
        <v>49</v>
      </c>
      <c r="E39" s="108">
        <f>SUM(H39:AK39)*F39</f>
        <v>1395</v>
      </c>
      <c r="F39" s="94">
        <v>15</v>
      </c>
      <c r="G39" s="157" t="s">
        <v>18</v>
      </c>
      <c r="H39" s="160"/>
      <c r="I39" s="96"/>
      <c r="J39" s="96">
        <v>7</v>
      </c>
      <c r="K39" s="96"/>
      <c r="L39" s="96"/>
      <c r="M39" s="96"/>
      <c r="N39" s="96"/>
      <c r="O39" s="96"/>
      <c r="P39" s="96"/>
      <c r="Q39" s="96">
        <v>12</v>
      </c>
      <c r="R39" s="96"/>
      <c r="S39" s="96"/>
      <c r="T39" s="96"/>
      <c r="U39" s="96">
        <v>8</v>
      </c>
      <c r="V39" s="96">
        <v>16</v>
      </c>
      <c r="W39" s="96"/>
      <c r="X39" s="96"/>
      <c r="Y39" s="96"/>
      <c r="Z39" s="96"/>
      <c r="AA39" s="96">
        <v>13</v>
      </c>
      <c r="AB39" s="96"/>
      <c r="AC39" s="96">
        <v>19</v>
      </c>
      <c r="AD39" s="96"/>
      <c r="AE39" s="96">
        <v>7</v>
      </c>
      <c r="AF39" s="96"/>
      <c r="AG39" s="96"/>
      <c r="AH39" s="96">
        <v>11</v>
      </c>
      <c r="AI39" s="96"/>
      <c r="AJ39" s="96"/>
      <c r="AK39" s="97"/>
      <c r="AL39" s="1" t="s">
        <v>3</v>
      </c>
    </row>
    <row r="40" spans="2:38" s="1" customFormat="1" ht="13.5" outlineLevel="1">
      <c r="B40" s="208"/>
      <c r="C40" s="211"/>
      <c r="D40" s="29" t="s">
        <v>31</v>
      </c>
      <c r="E40" s="108">
        <f>SUM(H40:AK40)*F40</f>
        <v>5025</v>
      </c>
      <c r="F40" s="94">
        <v>15</v>
      </c>
      <c r="G40" s="157" t="s">
        <v>18</v>
      </c>
      <c r="H40" s="160"/>
      <c r="I40" s="96"/>
      <c r="J40" s="96">
        <v>9</v>
      </c>
      <c r="K40" s="96"/>
      <c r="L40" s="96"/>
      <c r="M40" s="96">
        <v>12</v>
      </c>
      <c r="N40" s="96">
        <v>15</v>
      </c>
      <c r="O40" s="96">
        <v>16</v>
      </c>
      <c r="P40" s="96">
        <v>19</v>
      </c>
      <c r="Q40" s="96">
        <v>24</v>
      </c>
      <c r="R40" s="96"/>
      <c r="S40" s="96"/>
      <c r="T40" s="96">
        <v>20</v>
      </c>
      <c r="U40" s="96">
        <v>26</v>
      </c>
      <c r="V40" s="96"/>
      <c r="W40" s="96">
        <v>23</v>
      </c>
      <c r="X40" s="96">
        <v>25</v>
      </c>
      <c r="Y40" s="96"/>
      <c r="Z40" s="96"/>
      <c r="AA40" s="96">
        <v>19</v>
      </c>
      <c r="AB40" s="96">
        <v>18</v>
      </c>
      <c r="AC40" s="96">
        <v>27</v>
      </c>
      <c r="AD40" s="96">
        <v>20</v>
      </c>
      <c r="AE40" s="96">
        <v>20</v>
      </c>
      <c r="AF40" s="96"/>
      <c r="AG40" s="96"/>
      <c r="AH40" s="96">
        <v>19</v>
      </c>
      <c r="AI40" s="96">
        <v>23</v>
      </c>
      <c r="AJ40" s="96"/>
      <c r="AK40" s="97"/>
      <c r="AL40" s="1" t="s">
        <v>3</v>
      </c>
    </row>
    <row r="41" spans="2:38" s="1" customFormat="1" ht="14" outlineLevel="1" thickBot="1">
      <c r="B41" s="208"/>
      <c r="C41" s="211"/>
      <c r="D41" s="29"/>
      <c r="E41" s="109"/>
      <c r="F41" s="114"/>
      <c r="G41" s="164" t="s">
        <v>18</v>
      </c>
      <c r="H41" s="160"/>
      <c r="I41" s="96"/>
      <c r="J41" s="96"/>
      <c r="K41" s="96"/>
      <c r="L41" s="96"/>
      <c r="M41" s="96"/>
      <c r="N41" s="96"/>
      <c r="O41" s="96"/>
      <c r="P41" s="96"/>
      <c r="Q41" s="96"/>
      <c r="R41" s="96"/>
      <c r="S41" s="96"/>
      <c r="T41" s="96"/>
      <c r="U41" s="96"/>
      <c r="V41" s="96"/>
      <c r="W41" s="96"/>
      <c r="X41" s="96"/>
      <c r="Y41" s="96"/>
      <c r="Z41" s="96"/>
      <c r="AA41" s="96"/>
      <c r="AB41" s="96"/>
      <c r="AC41" s="96"/>
      <c r="AD41" s="96"/>
      <c r="AE41" s="96"/>
      <c r="AF41" s="96"/>
      <c r="AG41" s="96"/>
      <c r="AH41" s="96"/>
      <c r="AI41" s="96"/>
      <c r="AJ41" s="96"/>
      <c r="AK41" s="97">
        <v>22</v>
      </c>
      <c r="AL41" s="1" t="s">
        <v>3</v>
      </c>
    </row>
    <row r="42" spans="2:38" s="1" customFormat="1" ht="13.5" outlineLevel="1">
      <c r="B42" s="208"/>
      <c r="C42" s="210" t="s">
        <v>25</v>
      </c>
      <c r="D42" s="30" t="s">
        <v>32</v>
      </c>
      <c r="E42" s="111">
        <f>SUM(H42:AK42)*F42</f>
        <v>3770</v>
      </c>
      <c r="F42" s="102">
        <v>13</v>
      </c>
      <c r="G42" s="162" t="s">
        <v>18</v>
      </c>
      <c r="H42" s="160"/>
      <c r="I42" s="96"/>
      <c r="J42" s="96">
        <v>15</v>
      </c>
      <c r="K42" s="96"/>
      <c r="L42" s="96"/>
      <c r="M42" s="96">
        <v>11</v>
      </c>
      <c r="N42" s="96">
        <v>16</v>
      </c>
      <c r="O42" s="96">
        <v>21</v>
      </c>
      <c r="P42" s="96">
        <v>14</v>
      </c>
      <c r="Q42" s="96">
        <v>6</v>
      </c>
      <c r="R42" s="96"/>
      <c r="S42" s="96"/>
      <c r="T42" s="96">
        <v>18</v>
      </c>
      <c r="U42" s="96">
        <v>9</v>
      </c>
      <c r="V42" s="96">
        <v>20</v>
      </c>
      <c r="W42" s="96">
        <v>14</v>
      </c>
      <c r="X42" s="96">
        <v>21</v>
      </c>
      <c r="Y42" s="96"/>
      <c r="Z42" s="96"/>
      <c r="AA42" s="96">
        <v>24</v>
      </c>
      <c r="AB42" s="96">
        <v>9</v>
      </c>
      <c r="AC42" s="96">
        <v>23</v>
      </c>
      <c r="AD42" s="96">
        <v>16</v>
      </c>
      <c r="AE42" s="96">
        <v>13</v>
      </c>
      <c r="AF42" s="96"/>
      <c r="AG42" s="96"/>
      <c r="AH42" s="96">
        <v>8</v>
      </c>
      <c r="AI42" s="96">
        <v>15</v>
      </c>
      <c r="AJ42" s="96"/>
      <c r="AK42" s="97">
        <v>17</v>
      </c>
      <c r="AL42" s="1" t="s">
        <v>3</v>
      </c>
    </row>
    <row r="43" spans="2:38" s="1" customFormat="1" ht="13.5" outlineLevel="1">
      <c r="B43" s="208"/>
      <c r="C43" s="211"/>
      <c r="D43" s="31" t="s">
        <v>33</v>
      </c>
      <c r="E43" s="112">
        <f>SUM(H43:AK43)*F43</f>
        <v>1760</v>
      </c>
      <c r="F43" s="94">
        <v>10</v>
      </c>
      <c r="G43" s="157" t="s">
        <v>18</v>
      </c>
      <c r="H43" s="160"/>
      <c r="I43" s="96"/>
      <c r="J43" s="96">
        <v>1</v>
      </c>
      <c r="K43" s="96"/>
      <c r="L43" s="96"/>
      <c r="M43" s="96">
        <v>2</v>
      </c>
      <c r="N43" s="96">
        <v>4</v>
      </c>
      <c r="O43" s="96">
        <v>8</v>
      </c>
      <c r="P43" s="96">
        <v>11</v>
      </c>
      <c r="Q43" s="96">
        <v>13</v>
      </c>
      <c r="R43" s="96"/>
      <c r="S43" s="96"/>
      <c r="T43" s="96">
        <v>18</v>
      </c>
      <c r="U43" s="96">
        <v>16</v>
      </c>
      <c r="V43" s="96">
        <v>15</v>
      </c>
      <c r="W43" s="96">
        <v>15</v>
      </c>
      <c r="X43" s="96">
        <v>5</v>
      </c>
      <c r="Y43" s="96"/>
      <c r="Z43" s="96"/>
      <c r="AA43" s="96">
        <v>3</v>
      </c>
      <c r="AB43" s="96">
        <v>8</v>
      </c>
      <c r="AC43" s="96">
        <v>8</v>
      </c>
      <c r="AD43" s="96">
        <v>9</v>
      </c>
      <c r="AE43" s="96">
        <v>10</v>
      </c>
      <c r="AF43" s="96"/>
      <c r="AG43" s="96"/>
      <c r="AH43" s="96">
        <v>14</v>
      </c>
      <c r="AI43" s="96">
        <v>13</v>
      </c>
      <c r="AJ43" s="96"/>
      <c r="AK43" s="97">
        <v>3</v>
      </c>
      <c r="AL43" s="1" t="s">
        <v>3</v>
      </c>
    </row>
    <row r="44" spans="2:38" s="1" customFormat="1" ht="13.5" outlineLevel="1">
      <c r="B44" s="208"/>
      <c r="C44" s="211"/>
      <c r="D44" s="31" t="s">
        <v>34</v>
      </c>
      <c r="E44" s="112">
        <f>SUM(H44:AK44)</f>
        <v>44</v>
      </c>
      <c r="F44" s="94"/>
      <c r="G44" s="157" t="s">
        <v>18</v>
      </c>
      <c r="H44" s="160"/>
      <c r="I44" s="96"/>
      <c r="J44" s="96"/>
      <c r="K44" s="96"/>
      <c r="L44" s="96"/>
      <c r="M44" s="96"/>
      <c r="N44" s="96"/>
      <c r="O44" s="96"/>
      <c r="P44" s="96"/>
      <c r="Q44" s="96"/>
      <c r="R44" s="96"/>
      <c r="S44" s="96"/>
      <c r="T44" s="96"/>
      <c r="U44" s="96"/>
      <c r="V44" s="96"/>
      <c r="W44" s="96"/>
      <c r="X44" s="96"/>
      <c r="Y44" s="96"/>
      <c r="Z44" s="96"/>
      <c r="AA44" s="96"/>
      <c r="AB44" s="96">
        <v>9</v>
      </c>
      <c r="AC44" s="96"/>
      <c r="AD44" s="96">
        <v>10</v>
      </c>
      <c r="AE44" s="96">
        <v>10</v>
      </c>
      <c r="AF44" s="96"/>
      <c r="AG44" s="96"/>
      <c r="AH44" s="96">
        <v>9</v>
      </c>
      <c r="AI44" s="96">
        <v>4</v>
      </c>
      <c r="AJ44" s="96"/>
      <c r="AK44" s="97">
        <v>2</v>
      </c>
      <c r="AL44" s="1" t="s">
        <v>3</v>
      </c>
    </row>
    <row r="45" spans="2:38" s="1" customFormat="1" ht="14" outlineLevel="1" thickBot="1">
      <c r="B45" s="209"/>
      <c r="C45" s="212"/>
      <c r="D45" s="32"/>
      <c r="E45" s="113"/>
      <c r="F45" s="114"/>
      <c r="G45" s="164" t="s">
        <v>18</v>
      </c>
      <c r="H45" s="161"/>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c r="AG45" s="110"/>
      <c r="AH45" s="110"/>
      <c r="AI45" s="110"/>
      <c r="AJ45" s="110"/>
      <c r="AK45" s="115"/>
      <c r="AL45" s="1" t="s">
        <v>3</v>
      </c>
    </row>
    <row r="46" spans="2:38" s="1" customFormat="1" ht="15" customHeight="1" outlineLevel="1">
      <c r="B46" s="226" t="s">
        <v>35</v>
      </c>
      <c r="C46" s="235" t="s">
        <v>5</v>
      </c>
      <c r="D46" s="236"/>
      <c r="E46" s="94">
        <f>SUM(H46:AK46)</f>
        <v>254</v>
      </c>
      <c r="F46" s="94" t="s">
        <v>10</v>
      </c>
      <c r="G46" s="95" t="s">
        <v>7</v>
      </c>
      <c r="H46" s="107"/>
      <c r="I46" s="107"/>
      <c r="J46" s="107">
        <f>44+4</f>
        <v>48</v>
      </c>
      <c r="K46" s="107"/>
      <c r="L46" s="107"/>
      <c r="M46" s="107">
        <v>2</v>
      </c>
      <c r="N46" s="107">
        <v>8</v>
      </c>
      <c r="O46" s="107">
        <v>5</v>
      </c>
      <c r="P46" s="107">
        <v>1</v>
      </c>
      <c r="Q46" s="107">
        <v>4</v>
      </c>
      <c r="R46" s="107"/>
      <c r="S46" s="107"/>
      <c r="T46" s="107">
        <v>34</v>
      </c>
      <c r="U46" s="107">
        <v>32</v>
      </c>
      <c r="V46" s="107">
        <v>9</v>
      </c>
      <c r="W46" s="107">
        <v>33</v>
      </c>
      <c r="X46" s="107">
        <v>0</v>
      </c>
      <c r="Y46" s="107"/>
      <c r="Z46" s="107"/>
      <c r="AA46" s="107">
        <v>1</v>
      </c>
      <c r="AB46" s="107">
        <v>23</v>
      </c>
      <c r="AC46" s="107">
        <v>0</v>
      </c>
      <c r="AD46" s="107">
        <v>2</v>
      </c>
      <c r="AE46" s="107">
        <v>5</v>
      </c>
      <c r="AF46" s="107"/>
      <c r="AG46" s="107"/>
      <c r="AH46" s="107">
        <v>41</v>
      </c>
      <c r="AI46" s="107">
        <v>2</v>
      </c>
      <c r="AJ46" s="107"/>
      <c r="AK46" s="107">
        <v>4</v>
      </c>
      <c r="AL46" s="1" t="s">
        <v>3</v>
      </c>
    </row>
    <row r="47" spans="2:38" s="1" customFormat="1" ht="15" customHeight="1" outlineLevel="1">
      <c r="B47" s="208"/>
      <c r="C47" s="233" t="s">
        <v>29</v>
      </c>
      <c r="D47" s="234"/>
      <c r="E47" s="94">
        <f>SUM(H47:AK47)</f>
        <v>195</v>
      </c>
      <c r="F47" s="94" t="s">
        <v>10</v>
      </c>
      <c r="G47" s="95" t="s">
        <v>7</v>
      </c>
      <c r="H47" s="96"/>
      <c r="I47" s="96"/>
      <c r="J47" s="96">
        <f t="shared" ref="J47:AK47" si="15">SUM(J53:J58)</f>
        <v>13</v>
      </c>
      <c r="K47" s="96">
        <f t="shared" si="15"/>
        <v>0</v>
      </c>
      <c r="L47" s="96">
        <f t="shared" si="15"/>
        <v>0</v>
      </c>
      <c r="M47" s="96">
        <f t="shared" si="15"/>
        <v>21</v>
      </c>
      <c r="N47" s="96">
        <f t="shared" si="15"/>
        <v>0</v>
      </c>
      <c r="O47" s="96">
        <f t="shared" si="15"/>
        <v>5</v>
      </c>
      <c r="P47" s="96">
        <f t="shared" si="15"/>
        <v>11</v>
      </c>
      <c r="Q47" s="96">
        <f t="shared" si="15"/>
        <v>5</v>
      </c>
      <c r="R47" s="96">
        <f t="shared" si="15"/>
        <v>0</v>
      </c>
      <c r="S47" s="96">
        <f t="shared" si="15"/>
        <v>0</v>
      </c>
      <c r="T47" s="96">
        <f t="shared" si="15"/>
        <v>34</v>
      </c>
      <c r="U47" s="96">
        <f t="shared" si="15"/>
        <v>0</v>
      </c>
      <c r="V47" s="96">
        <f t="shared" si="15"/>
        <v>3</v>
      </c>
      <c r="W47" s="96">
        <f t="shared" si="15"/>
        <v>20</v>
      </c>
      <c r="X47" s="96">
        <f t="shared" si="15"/>
        <v>3</v>
      </c>
      <c r="Y47" s="96">
        <f t="shared" si="15"/>
        <v>0</v>
      </c>
      <c r="Z47" s="96">
        <f t="shared" si="15"/>
        <v>0</v>
      </c>
      <c r="AA47" s="96">
        <f t="shared" si="15"/>
        <v>7</v>
      </c>
      <c r="AB47" s="96">
        <f t="shared" si="15"/>
        <v>12</v>
      </c>
      <c r="AC47" s="96">
        <f t="shared" si="15"/>
        <v>11</v>
      </c>
      <c r="AD47" s="96">
        <f t="shared" si="15"/>
        <v>9</v>
      </c>
      <c r="AE47" s="96">
        <f t="shared" si="15"/>
        <v>10</v>
      </c>
      <c r="AF47" s="96">
        <f t="shared" si="15"/>
        <v>0</v>
      </c>
      <c r="AG47" s="96">
        <f t="shared" si="15"/>
        <v>0</v>
      </c>
      <c r="AH47" s="96">
        <f t="shared" si="15"/>
        <v>30</v>
      </c>
      <c r="AI47" s="96">
        <f t="shared" si="15"/>
        <v>0</v>
      </c>
      <c r="AJ47" s="96">
        <f t="shared" si="15"/>
        <v>0</v>
      </c>
      <c r="AK47" s="96">
        <f t="shared" si="15"/>
        <v>1</v>
      </c>
      <c r="AL47" s="1" t="s">
        <v>3</v>
      </c>
    </row>
    <row r="48" spans="2:38" s="1" customFormat="1" ht="15" customHeight="1" outlineLevel="1">
      <c r="B48" s="208"/>
      <c r="C48" s="237" t="s">
        <v>43</v>
      </c>
      <c r="D48" s="238"/>
      <c r="E48" s="117">
        <f>AK48</f>
        <v>195</v>
      </c>
      <c r="F48" s="117" t="s">
        <v>6</v>
      </c>
      <c r="G48" s="118" t="s">
        <v>7</v>
      </c>
      <c r="H48" s="119"/>
      <c r="I48" s="119"/>
      <c r="J48" s="119">
        <f t="shared" ref="J48:AK48" si="16">I48+J47</f>
        <v>13</v>
      </c>
      <c r="K48" s="119">
        <f t="shared" si="16"/>
        <v>13</v>
      </c>
      <c r="L48" s="119">
        <f t="shared" si="16"/>
        <v>13</v>
      </c>
      <c r="M48" s="119">
        <f t="shared" si="16"/>
        <v>34</v>
      </c>
      <c r="N48" s="119">
        <f t="shared" si="16"/>
        <v>34</v>
      </c>
      <c r="O48" s="119">
        <f t="shared" si="16"/>
        <v>39</v>
      </c>
      <c r="P48" s="119">
        <f t="shared" si="16"/>
        <v>50</v>
      </c>
      <c r="Q48" s="119">
        <f t="shared" si="16"/>
        <v>55</v>
      </c>
      <c r="R48" s="119">
        <f t="shared" si="16"/>
        <v>55</v>
      </c>
      <c r="S48" s="119">
        <f t="shared" si="16"/>
        <v>55</v>
      </c>
      <c r="T48" s="119">
        <f t="shared" si="16"/>
        <v>89</v>
      </c>
      <c r="U48" s="119">
        <f t="shared" si="16"/>
        <v>89</v>
      </c>
      <c r="V48" s="119">
        <f t="shared" si="16"/>
        <v>92</v>
      </c>
      <c r="W48" s="119">
        <f t="shared" si="16"/>
        <v>112</v>
      </c>
      <c r="X48" s="119">
        <f t="shared" si="16"/>
        <v>115</v>
      </c>
      <c r="Y48" s="119">
        <f t="shared" si="16"/>
        <v>115</v>
      </c>
      <c r="Z48" s="119">
        <f t="shared" si="16"/>
        <v>115</v>
      </c>
      <c r="AA48" s="119">
        <f t="shared" si="16"/>
        <v>122</v>
      </c>
      <c r="AB48" s="119">
        <f t="shared" si="16"/>
        <v>134</v>
      </c>
      <c r="AC48" s="119">
        <f t="shared" si="16"/>
        <v>145</v>
      </c>
      <c r="AD48" s="119">
        <f t="shared" si="16"/>
        <v>154</v>
      </c>
      <c r="AE48" s="119">
        <f t="shared" si="16"/>
        <v>164</v>
      </c>
      <c r="AF48" s="119">
        <f t="shared" si="16"/>
        <v>164</v>
      </c>
      <c r="AG48" s="119">
        <f t="shared" si="16"/>
        <v>164</v>
      </c>
      <c r="AH48" s="119">
        <f t="shared" si="16"/>
        <v>194</v>
      </c>
      <c r="AI48" s="119">
        <f t="shared" si="16"/>
        <v>194</v>
      </c>
      <c r="AJ48" s="119">
        <f t="shared" si="16"/>
        <v>194</v>
      </c>
      <c r="AK48" s="119">
        <f t="shared" si="16"/>
        <v>195</v>
      </c>
      <c r="AL48" s="1" t="s">
        <v>3</v>
      </c>
    </row>
    <row r="49" spans="2:38" s="1" customFormat="1" ht="15" customHeight="1" outlineLevel="1">
      <c r="B49" s="208"/>
      <c r="C49" s="233" t="s">
        <v>30</v>
      </c>
      <c r="D49" s="234"/>
      <c r="E49" s="94">
        <f>SUM(H49:AK49)</f>
        <v>200</v>
      </c>
      <c r="F49" s="94" t="s">
        <v>10</v>
      </c>
      <c r="G49" s="95" t="s">
        <v>7</v>
      </c>
      <c r="H49" s="96"/>
      <c r="I49" s="96"/>
      <c r="J49" s="96">
        <f t="shared" ref="J49:AK49" si="17">SUM(J59:J62)</f>
        <v>3</v>
      </c>
      <c r="K49" s="96">
        <f t="shared" si="17"/>
        <v>0</v>
      </c>
      <c r="L49" s="96">
        <f t="shared" si="17"/>
        <v>0</v>
      </c>
      <c r="M49" s="96">
        <f t="shared" si="17"/>
        <v>20</v>
      </c>
      <c r="N49" s="96">
        <f t="shared" si="17"/>
        <v>10</v>
      </c>
      <c r="O49" s="96">
        <f t="shared" si="17"/>
        <v>6</v>
      </c>
      <c r="P49" s="96">
        <f t="shared" si="17"/>
        <v>0</v>
      </c>
      <c r="Q49" s="96">
        <f t="shared" si="17"/>
        <v>5</v>
      </c>
      <c r="R49" s="96">
        <f t="shared" si="17"/>
        <v>0</v>
      </c>
      <c r="S49" s="96">
        <f t="shared" si="17"/>
        <v>0</v>
      </c>
      <c r="T49" s="96">
        <f t="shared" si="17"/>
        <v>37</v>
      </c>
      <c r="U49" s="96">
        <f t="shared" si="17"/>
        <v>2</v>
      </c>
      <c r="V49" s="96">
        <f t="shared" si="17"/>
        <v>8</v>
      </c>
      <c r="W49" s="96">
        <f t="shared" si="17"/>
        <v>15</v>
      </c>
      <c r="X49" s="96">
        <f t="shared" si="17"/>
        <v>8</v>
      </c>
      <c r="Y49" s="96">
        <f t="shared" si="17"/>
        <v>0</v>
      </c>
      <c r="Z49" s="96">
        <f t="shared" si="17"/>
        <v>0</v>
      </c>
      <c r="AA49" s="96">
        <f t="shared" si="17"/>
        <v>3</v>
      </c>
      <c r="AB49" s="96">
        <f t="shared" si="17"/>
        <v>14</v>
      </c>
      <c r="AC49" s="96">
        <f t="shared" si="17"/>
        <v>5</v>
      </c>
      <c r="AD49" s="96">
        <f t="shared" si="17"/>
        <v>7</v>
      </c>
      <c r="AE49" s="96">
        <f t="shared" si="17"/>
        <v>10</v>
      </c>
      <c r="AF49" s="96">
        <f t="shared" si="17"/>
        <v>0</v>
      </c>
      <c r="AG49" s="96">
        <f t="shared" si="17"/>
        <v>0</v>
      </c>
      <c r="AH49" s="96">
        <f t="shared" si="17"/>
        <v>28</v>
      </c>
      <c r="AI49" s="96">
        <f t="shared" si="17"/>
        <v>12</v>
      </c>
      <c r="AJ49" s="96">
        <f t="shared" si="17"/>
        <v>0</v>
      </c>
      <c r="AK49" s="96">
        <f t="shared" si="17"/>
        <v>7</v>
      </c>
      <c r="AL49" s="1" t="s">
        <v>3</v>
      </c>
    </row>
    <row r="50" spans="2:38" s="1" customFormat="1" ht="15" customHeight="1" outlineLevel="1">
      <c r="B50" s="208"/>
      <c r="C50" s="239" t="s">
        <v>13</v>
      </c>
      <c r="D50" s="240"/>
      <c r="E50" s="117">
        <f>AK50</f>
        <v>200</v>
      </c>
      <c r="F50" s="117" t="s">
        <v>6</v>
      </c>
      <c r="G50" s="118" t="s">
        <v>7</v>
      </c>
      <c r="H50" s="119"/>
      <c r="I50" s="119"/>
      <c r="J50" s="119">
        <f t="shared" ref="J50:AK50" si="18">I50+J49</f>
        <v>3</v>
      </c>
      <c r="K50" s="119">
        <f t="shared" si="18"/>
        <v>3</v>
      </c>
      <c r="L50" s="119">
        <f t="shared" si="18"/>
        <v>3</v>
      </c>
      <c r="M50" s="119">
        <f t="shared" si="18"/>
        <v>23</v>
      </c>
      <c r="N50" s="119">
        <f t="shared" si="18"/>
        <v>33</v>
      </c>
      <c r="O50" s="119">
        <f t="shared" si="18"/>
        <v>39</v>
      </c>
      <c r="P50" s="119">
        <f t="shared" si="18"/>
        <v>39</v>
      </c>
      <c r="Q50" s="119">
        <f t="shared" si="18"/>
        <v>44</v>
      </c>
      <c r="R50" s="119">
        <f t="shared" si="18"/>
        <v>44</v>
      </c>
      <c r="S50" s="119">
        <f t="shared" si="18"/>
        <v>44</v>
      </c>
      <c r="T50" s="119">
        <f t="shared" si="18"/>
        <v>81</v>
      </c>
      <c r="U50" s="119">
        <f t="shared" si="18"/>
        <v>83</v>
      </c>
      <c r="V50" s="119">
        <f t="shared" si="18"/>
        <v>91</v>
      </c>
      <c r="W50" s="119">
        <f t="shared" si="18"/>
        <v>106</v>
      </c>
      <c r="X50" s="119">
        <f t="shared" si="18"/>
        <v>114</v>
      </c>
      <c r="Y50" s="119">
        <f t="shared" si="18"/>
        <v>114</v>
      </c>
      <c r="Z50" s="119">
        <f t="shared" si="18"/>
        <v>114</v>
      </c>
      <c r="AA50" s="119">
        <f t="shared" si="18"/>
        <v>117</v>
      </c>
      <c r="AB50" s="119">
        <f t="shared" si="18"/>
        <v>131</v>
      </c>
      <c r="AC50" s="119">
        <f t="shared" si="18"/>
        <v>136</v>
      </c>
      <c r="AD50" s="119">
        <f t="shared" si="18"/>
        <v>143</v>
      </c>
      <c r="AE50" s="119">
        <f t="shared" si="18"/>
        <v>153</v>
      </c>
      <c r="AF50" s="119">
        <f t="shared" si="18"/>
        <v>153</v>
      </c>
      <c r="AG50" s="119">
        <f t="shared" si="18"/>
        <v>153</v>
      </c>
      <c r="AH50" s="119">
        <f t="shared" si="18"/>
        <v>181</v>
      </c>
      <c r="AI50" s="119">
        <f t="shared" si="18"/>
        <v>193</v>
      </c>
      <c r="AJ50" s="119">
        <f t="shared" si="18"/>
        <v>193</v>
      </c>
      <c r="AK50" s="119">
        <f t="shared" si="18"/>
        <v>200</v>
      </c>
      <c r="AL50" s="1" t="s">
        <v>3</v>
      </c>
    </row>
    <row r="51" spans="2:38" s="1" customFormat="1" ht="13.5" outlineLevel="1">
      <c r="B51" s="208"/>
      <c r="C51" s="233" t="s">
        <v>14</v>
      </c>
      <c r="D51" s="234"/>
      <c r="E51" s="94">
        <f>E46-E47</f>
        <v>59</v>
      </c>
      <c r="F51" s="94" t="s">
        <v>10</v>
      </c>
      <c r="G51" s="95" t="s">
        <v>7</v>
      </c>
      <c r="H51" s="96"/>
      <c r="I51" s="96"/>
      <c r="J51" s="96">
        <f t="shared" ref="J51:AK51" si="19">I51+J46-J47</f>
        <v>35</v>
      </c>
      <c r="K51" s="96">
        <f t="shared" si="19"/>
        <v>35</v>
      </c>
      <c r="L51" s="96">
        <f t="shared" si="19"/>
        <v>35</v>
      </c>
      <c r="M51" s="96">
        <f t="shared" si="19"/>
        <v>16</v>
      </c>
      <c r="N51" s="96">
        <f t="shared" si="19"/>
        <v>24</v>
      </c>
      <c r="O51" s="96">
        <f t="shared" si="19"/>
        <v>24</v>
      </c>
      <c r="P51" s="96">
        <f t="shared" si="19"/>
        <v>14</v>
      </c>
      <c r="Q51" s="96">
        <f t="shared" si="19"/>
        <v>13</v>
      </c>
      <c r="R51" s="96">
        <f t="shared" si="19"/>
        <v>13</v>
      </c>
      <c r="S51" s="96">
        <f t="shared" si="19"/>
        <v>13</v>
      </c>
      <c r="T51" s="96">
        <f t="shared" si="19"/>
        <v>13</v>
      </c>
      <c r="U51" s="96">
        <f t="shared" si="19"/>
        <v>45</v>
      </c>
      <c r="V51" s="96">
        <f t="shared" si="19"/>
        <v>51</v>
      </c>
      <c r="W51" s="96">
        <f t="shared" si="19"/>
        <v>64</v>
      </c>
      <c r="X51" s="96">
        <f t="shared" si="19"/>
        <v>61</v>
      </c>
      <c r="Y51" s="96">
        <f t="shared" si="19"/>
        <v>61</v>
      </c>
      <c r="Z51" s="96">
        <f t="shared" si="19"/>
        <v>61</v>
      </c>
      <c r="AA51" s="96">
        <f t="shared" si="19"/>
        <v>55</v>
      </c>
      <c r="AB51" s="96">
        <f t="shared" si="19"/>
        <v>66</v>
      </c>
      <c r="AC51" s="96">
        <f t="shared" si="19"/>
        <v>55</v>
      </c>
      <c r="AD51" s="96">
        <f t="shared" si="19"/>
        <v>48</v>
      </c>
      <c r="AE51" s="96">
        <f t="shared" si="19"/>
        <v>43</v>
      </c>
      <c r="AF51" s="96">
        <f t="shared" si="19"/>
        <v>43</v>
      </c>
      <c r="AG51" s="96">
        <f t="shared" si="19"/>
        <v>43</v>
      </c>
      <c r="AH51" s="96">
        <f t="shared" si="19"/>
        <v>54</v>
      </c>
      <c r="AI51" s="96">
        <f t="shared" si="19"/>
        <v>56</v>
      </c>
      <c r="AJ51" s="96">
        <f t="shared" si="19"/>
        <v>56</v>
      </c>
      <c r="AK51" s="96">
        <f t="shared" si="19"/>
        <v>59</v>
      </c>
      <c r="AL51" s="1" t="s">
        <v>3</v>
      </c>
    </row>
    <row r="52" spans="2:38" s="1" customFormat="1" ht="14" outlineLevel="1" thickBot="1">
      <c r="B52" s="208"/>
      <c r="C52" s="233" t="s">
        <v>15</v>
      </c>
      <c r="D52" s="234"/>
      <c r="E52" s="98">
        <f>E46-E49</f>
        <v>54</v>
      </c>
      <c r="F52" s="98" t="s">
        <v>10</v>
      </c>
      <c r="G52" s="95" t="s">
        <v>7</v>
      </c>
      <c r="H52" s="99"/>
      <c r="I52" s="99"/>
      <c r="J52" s="99">
        <f t="shared" ref="J52:AK52" si="20">I52+J46-J49</f>
        <v>45</v>
      </c>
      <c r="K52" s="99">
        <f t="shared" si="20"/>
        <v>45</v>
      </c>
      <c r="L52" s="99">
        <f t="shared" si="20"/>
        <v>45</v>
      </c>
      <c r="M52" s="99">
        <f t="shared" si="20"/>
        <v>27</v>
      </c>
      <c r="N52" s="99">
        <f t="shared" si="20"/>
        <v>25</v>
      </c>
      <c r="O52" s="99">
        <f t="shared" si="20"/>
        <v>24</v>
      </c>
      <c r="P52" s="99">
        <f t="shared" si="20"/>
        <v>25</v>
      </c>
      <c r="Q52" s="99">
        <f t="shared" si="20"/>
        <v>24</v>
      </c>
      <c r="R52" s="99">
        <f t="shared" si="20"/>
        <v>24</v>
      </c>
      <c r="S52" s="99">
        <f t="shared" si="20"/>
        <v>24</v>
      </c>
      <c r="T52" s="99">
        <f t="shared" si="20"/>
        <v>21</v>
      </c>
      <c r="U52" s="99">
        <f t="shared" si="20"/>
        <v>51</v>
      </c>
      <c r="V52" s="99">
        <f t="shared" si="20"/>
        <v>52</v>
      </c>
      <c r="W52" s="99">
        <f t="shared" si="20"/>
        <v>70</v>
      </c>
      <c r="X52" s="99">
        <f t="shared" si="20"/>
        <v>62</v>
      </c>
      <c r="Y52" s="99">
        <f t="shared" si="20"/>
        <v>62</v>
      </c>
      <c r="Z52" s="99">
        <f t="shared" si="20"/>
        <v>62</v>
      </c>
      <c r="AA52" s="99">
        <f t="shared" si="20"/>
        <v>60</v>
      </c>
      <c r="AB52" s="99">
        <f t="shared" si="20"/>
        <v>69</v>
      </c>
      <c r="AC52" s="99">
        <f t="shared" si="20"/>
        <v>64</v>
      </c>
      <c r="AD52" s="99">
        <f t="shared" si="20"/>
        <v>59</v>
      </c>
      <c r="AE52" s="99">
        <f t="shared" si="20"/>
        <v>54</v>
      </c>
      <c r="AF52" s="99">
        <f t="shared" si="20"/>
        <v>54</v>
      </c>
      <c r="AG52" s="99">
        <f t="shared" si="20"/>
        <v>54</v>
      </c>
      <c r="AH52" s="99">
        <f t="shared" si="20"/>
        <v>67</v>
      </c>
      <c r="AI52" s="99">
        <f t="shared" si="20"/>
        <v>57</v>
      </c>
      <c r="AJ52" s="99">
        <f t="shared" si="20"/>
        <v>57</v>
      </c>
      <c r="AK52" s="99">
        <f t="shared" si="20"/>
        <v>54</v>
      </c>
      <c r="AL52" s="1" t="s">
        <v>3</v>
      </c>
    </row>
    <row r="53" spans="2:38" s="1" customFormat="1" ht="13.5" outlineLevel="1">
      <c r="B53" s="208"/>
      <c r="C53" s="210" t="s">
        <v>16</v>
      </c>
      <c r="D53" s="28" t="s">
        <v>44</v>
      </c>
      <c r="E53" s="101">
        <f t="shared" ref="E53:E61" si="21">SUM(H53:AK53)*F53</f>
        <v>200</v>
      </c>
      <c r="F53" s="102">
        <v>40</v>
      </c>
      <c r="G53" s="162" t="s">
        <v>18</v>
      </c>
      <c r="H53" s="159"/>
      <c r="I53" s="103"/>
      <c r="J53" s="103"/>
      <c r="K53" s="103"/>
      <c r="L53" s="103"/>
      <c r="M53" s="103"/>
      <c r="N53" s="103"/>
      <c r="O53" s="103"/>
      <c r="P53" s="103"/>
      <c r="Q53" s="103"/>
      <c r="R53" s="103"/>
      <c r="S53" s="103"/>
      <c r="T53" s="103"/>
      <c r="U53" s="103"/>
      <c r="V53" s="103"/>
      <c r="W53" s="103"/>
      <c r="X53" s="103"/>
      <c r="Y53" s="103"/>
      <c r="Z53" s="103"/>
      <c r="AA53" s="103">
        <v>2</v>
      </c>
      <c r="AB53" s="103">
        <v>3</v>
      </c>
      <c r="AC53" s="103"/>
      <c r="AD53" s="103"/>
      <c r="AE53" s="103"/>
      <c r="AF53" s="103"/>
      <c r="AG53" s="103"/>
      <c r="AH53" s="103"/>
      <c r="AI53" s="103"/>
      <c r="AJ53" s="103"/>
      <c r="AK53" s="104"/>
      <c r="AL53" s="1" t="s">
        <v>3</v>
      </c>
    </row>
    <row r="54" spans="2:38" s="1" customFormat="1" ht="13.5" outlineLevel="1">
      <c r="B54" s="208"/>
      <c r="C54" s="211"/>
      <c r="D54" s="126" t="s">
        <v>46</v>
      </c>
      <c r="E54" s="108">
        <f t="shared" si="21"/>
        <v>520</v>
      </c>
      <c r="F54" s="94">
        <v>40</v>
      </c>
      <c r="G54" s="157" t="s">
        <v>18</v>
      </c>
      <c r="H54" s="160"/>
      <c r="I54" s="96"/>
      <c r="J54" s="96">
        <v>13</v>
      </c>
      <c r="K54" s="96"/>
      <c r="L54" s="96"/>
      <c r="M54" s="96"/>
      <c r="N54" s="96"/>
      <c r="O54" s="96"/>
      <c r="P54" s="96"/>
      <c r="Q54" s="96"/>
      <c r="R54" s="96"/>
      <c r="S54" s="96"/>
      <c r="T54" s="96"/>
      <c r="U54" s="96"/>
      <c r="V54" s="96"/>
      <c r="W54" s="96"/>
      <c r="X54" s="96"/>
      <c r="Y54" s="96"/>
      <c r="Z54" s="96"/>
      <c r="AA54" s="96"/>
      <c r="AB54" s="96"/>
      <c r="AC54" s="96"/>
      <c r="AD54" s="96"/>
      <c r="AE54" s="96"/>
      <c r="AF54" s="96"/>
      <c r="AG54" s="96"/>
      <c r="AH54" s="96"/>
      <c r="AI54" s="96"/>
      <c r="AJ54" s="96"/>
      <c r="AK54" s="97"/>
      <c r="AL54" s="1" t="s">
        <v>3</v>
      </c>
    </row>
    <row r="55" spans="2:38" s="1" customFormat="1" ht="13.5" outlineLevel="1">
      <c r="B55" s="208"/>
      <c r="C55" s="211"/>
      <c r="D55" s="126" t="s">
        <v>48</v>
      </c>
      <c r="E55" s="108">
        <f t="shared" si="21"/>
        <v>0</v>
      </c>
      <c r="F55" s="94">
        <v>40</v>
      </c>
      <c r="G55" s="157" t="s">
        <v>18</v>
      </c>
      <c r="H55" s="160"/>
      <c r="I55" s="96"/>
      <c r="J55" s="96"/>
      <c r="K55" s="96"/>
      <c r="L55" s="96"/>
      <c r="M55" s="96"/>
      <c r="N55" s="96"/>
      <c r="O55" s="96"/>
      <c r="P55" s="96"/>
      <c r="Q55" s="96"/>
      <c r="R55" s="96"/>
      <c r="S55" s="96"/>
      <c r="T55" s="96"/>
      <c r="U55" s="96"/>
      <c r="V55" s="96"/>
      <c r="W55" s="96"/>
      <c r="X55" s="96"/>
      <c r="Y55" s="96"/>
      <c r="Z55" s="96"/>
      <c r="AA55" s="96"/>
      <c r="AB55" s="96"/>
      <c r="AC55" s="96"/>
      <c r="AD55" s="96"/>
      <c r="AE55" s="96"/>
      <c r="AF55" s="96"/>
      <c r="AG55" s="96"/>
      <c r="AH55" s="96"/>
      <c r="AI55" s="96"/>
      <c r="AJ55" s="96"/>
      <c r="AK55" s="97"/>
      <c r="AL55" s="1" t="s">
        <v>3</v>
      </c>
    </row>
    <row r="56" spans="2:38" s="1" customFormat="1" ht="13.5" outlineLevel="1">
      <c r="B56" s="208"/>
      <c r="C56" s="211"/>
      <c r="D56" s="126" t="s">
        <v>49</v>
      </c>
      <c r="E56" s="108">
        <f t="shared" si="21"/>
        <v>0</v>
      </c>
      <c r="F56" s="94">
        <v>40</v>
      </c>
      <c r="G56" s="157" t="s">
        <v>18</v>
      </c>
      <c r="H56" s="160"/>
      <c r="I56" s="96"/>
      <c r="J56" s="96"/>
      <c r="K56" s="96"/>
      <c r="L56" s="96"/>
      <c r="M56" s="96"/>
      <c r="N56" s="96"/>
      <c r="O56" s="96"/>
      <c r="P56" s="96"/>
      <c r="Q56" s="96"/>
      <c r="R56" s="96"/>
      <c r="S56" s="96"/>
      <c r="T56" s="96"/>
      <c r="U56" s="96"/>
      <c r="V56" s="96"/>
      <c r="W56" s="96"/>
      <c r="X56" s="96"/>
      <c r="Y56" s="96"/>
      <c r="Z56" s="96"/>
      <c r="AA56" s="96"/>
      <c r="AB56" s="96"/>
      <c r="AC56" s="96"/>
      <c r="AD56" s="96"/>
      <c r="AE56" s="96"/>
      <c r="AF56" s="96"/>
      <c r="AG56" s="96"/>
      <c r="AH56" s="96"/>
      <c r="AI56" s="96"/>
      <c r="AJ56" s="96"/>
      <c r="AK56" s="97"/>
      <c r="AL56" s="1" t="s">
        <v>3</v>
      </c>
    </row>
    <row r="57" spans="2:38" s="1" customFormat="1" ht="13.5" outlineLevel="1">
      <c r="B57" s="208"/>
      <c r="C57" s="211"/>
      <c r="D57" s="29" t="s">
        <v>36</v>
      </c>
      <c r="E57" s="105">
        <f t="shared" si="21"/>
        <v>2940</v>
      </c>
      <c r="F57" s="106">
        <v>30</v>
      </c>
      <c r="G57" s="163" t="s">
        <v>18</v>
      </c>
      <c r="H57" s="160"/>
      <c r="I57" s="96"/>
      <c r="J57" s="96"/>
      <c r="K57" s="96"/>
      <c r="L57" s="96"/>
      <c r="M57" s="96">
        <v>21</v>
      </c>
      <c r="N57" s="96"/>
      <c r="O57" s="96">
        <v>5</v>
      </c>
      <c r="P57" s="96">
        <v>11</v>
      </c>
      <c r="Q57" s="96">
        <v>5</v>
      </c>
      <c r="R57" s="96"/>
      <c r="S57" s="96"/>
      <c r="T57" s="96">
        <v>8</v>
      </c>
      <c r="U57" s="96"/>
      <c r="V57" s="96">
        <v>3</v>
      </c>
      <c r="W57" s="96">
        <v>8</v>
      </c>
      <c r="X57" s="96">
        <v>3</v>
      </c>
      <c r="Y57" s="96"/>
      <c r="Z57" s="96"/>
      <c r="AA57" s="96">
        <v>5</v>
      </c>
      <c r="AB57" s="96"/>
      <c r="AC57" s="96">
        <v>8</v>
      </c>
      <c r="AD57" s="96">
        <v>9</v>
      </c>
      <c r="AE57" s="96">
        <v>10</v>
      </c>
      <c r="AF57" s="96"/>
      <c r="AG57" s="96"/>
      <c r="AH57" s="96">
        <v>2</v>
      </c>
      <c r="AI57" s="96"/>
      <c r="AJ57" s="96"/>
      <c r="AK57" s="97"/>
      <c r="AL57" s="1" t="s">
        <v>3</v>
      </c>
    </row>
    <row r="58" spans="2:38" s="1" customFormat="1" ht="14" outlineLevel="1" thickBot="1">
      <c r="B58" s="208"/>
      <c r="C58" s="211"/>
      <c r="D58" s="29" t="s">
        <v>37</v>
      </c>
      <c r="E58" s="109">
        <f t="shared" si="21"/>
        <v>2370</v>
      </c>
      <c r="F58" s="114">
        <v>30</v>
      </c>
      <c r="G58" s="164" t="s">
        <v>18</v>
      </c>
      <c r="H58" s="161"/>
      <c r="I58" s="110"/>
      <c r="J58" s="110"/>
      <c r="K58" s="110"/>
      <c r="L58" s="110"/>
      <c r="M58" s="110"/>
      <c r="N58" s="110"/>
      <c r="O58" s="110"/>
      <c r="P58" s="110"/>
      <c r="Q58" s="110"/>
      <c r="R58" s="110"/>
      <c r="S58" s="110"/>
      <c r="T58" s="110">
        <v>26</v>
      </c>
      <c r="U58" s="110"/>
      <c r="V58" s="110"/>
      <c r="W58" s="110">
        <v>12</v>
      </c>
      <c r="X58" s="110"/>
      <c r="Y58" s="110"/>
      <c r="Z58" s="110"/>
      <c r="AA58" s="110"/>
      <c r="AB58" s="110">
        <v>9</v>
      </c>
      <c r="AC58" s="110">
        <v>3</v>
      </c>
      <c r="AD58" s="110"/>
      <c r="AE58" s="110"/>
      <c r="AF58" s="110"/>
      <c r="AG58" s="110"/>
      <c r="AH58" s="110">
        <v>28</v>
      </c>
      <c r="AI58" s="110"/>
      <c r="AJ58" s="110"/>
      <c r="AK58" s="115">
        <v>1</v>
      </c>
      <c r="AL58" s="1" t="s">
        <v>3</v>
      </c>
    </row>
    <row r="59" spans="2:38" s="1" customFormat="1" ht="13.5" outlineLevel="1">
      <c r="B59" s="208"/>
      <c r="C59" s="210" t="s">
        <v>25</v>
      </c>
      <c r="D59" s="30" t="s">
        <v>32</v>
      </c>
      <c r="E59" s="111">
        <f t="shared" si="21"/>
        <v>0</v>
      </c>
      <c r="F59" s="102">
        <v>8</v>
      </c>
      <c r="G59" s="162" t="s">
        <v>18</v>
      </c>
      <c r="H59" s="159"/>
      <c r="I59" s="103"/>
      <c r="J59" s="103"/>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4"/>
      <c r="AL59" s="1" t="s">
        <v>3</v>
      </c>
    </row>
    <row r="60" spans="2:38" s="1" customFormat="1" ht="13.5" outlineLevel="1">
      <c r="B60" s="208"/>
      <c r="C60" s="211"/>
      <c r="D60" s="31" t="s">
        <v>33</v>
      </c>
      <c r="E60" s="112">
        <f t="shared" si="21"/>
        <v>4235</v>
      </c>
      <c r="F60" s="94">
        <v>35</v>
      </c>
      <c r="G60" s="157" t="s">
        <v>18</v>
      </c>
      <c r="H60" s="160"/>
      <c r="I60" s="96"/>
      <c r="J60" s="96">
        <v>3</v>
      </c>
      <c r="K60" s="96"/>
      <c r="L60" s="96"/>
      <c r="M60" s="96">
        <v>20</v>
      </c>
      <c r="N60" s="96">
        <v>10</v>
      </c>
      <c r="O60" s="96">
        <v>6</v>
      </c>
      <c r="P60" s="96"/>
      <c r="Q60" s="96">
        <v>5</v>
      </c>
      <c r="R60" s="96"/>
      <c r="S60" s="96"/>
      <c r="T60" s="96">
        <v>11</v>
      </c>
      <c r="U60" s="96">
        <v>2</v>
      </c>
      <c r="V60" s="96">
        <v>8</v>
      </c>
      <c r="W60" s="96">
        <v>3</v>
      </c>
      <c r="X60" s="96">
        <v>8</v>
      </c>
      <c r="Y60" s="96"/>
      <c r="Z60" s="96"/>
      <c r="AA60" s="96">
        <v>3</v>
      </c>
      <c r="AB60" s="96">
        <v>5</v>
      </c>
      <c r="AC60" s="96">
        <v>2</v>
      </c>
      <c r="AD60" s="96">
        <v>7</v>
      </c>
      <c r="AE60" s="96">
        <v>10</v>
      </c>
      <c r="AF60" s="96"/>
      <c r="AG60" s="96"/>
      <c r="AH60" s="96"/>
      <c r="AI60" s="96">
        <v>12</v>
      </c>
      <c r="AJ60" s="96"/>
      <c r="AK60" s="97">
        <v>6</v>
      </c>
      <c r="AL60" s="1" t="s">
        <v>3</v>
      </c>
    </row>
    <row r="61" spans="2:38" s="1" customFormat="1" ht="13.5" outlineLevel="1">
      <c r="B61" s="208"/>
      <c r="C61" s="211"/>
      <c r="D61" s="31" t="s">
        <v>34</v>
      </c>
      <c r="E61" s="112">
        <f t="shared" si="21"/>
        <v>790</v>
      </c>
      <c r="F61" s="94">
        <v>10</v>
      </c>
      <c r="G61" s="157" t="s">
        <v>18</v>
      </c>
      <c r="H61" s="160"/>
      <c r="I61" s="96"/>
      <c r="J61" s="96"/>
      <c r="K61" s="96"/>
      <c r="L61" s="96"/>
      <c r="M61" s="96"/>
      <c r="N61" s="96"/>
      <c r="O61" s="96"/>
      <c r="P61" s="96"/>
      <c r="Q61" s="96"/>
      <c r="R61" s="96"/>
      <c r="S61" s="96"/>
      <c r="T61" s="96">
        <v>26</v>
      </c>
      <c r="U61" s="96"/>
      <c r="V61" s="96"/>
      <c r="W61" s="96">
        <v>12</v>
      </c>
      <c r="X61" s="96"/>
      <c r="Y61" s="96"/>
      <c r="Z61" s="96"/>
      <c r="AA61" s="96"/>
      <c r="AB61" s="96">
        <v>9</v>
      </c>
      <c r="AC61" s="96">
        <v>3</v>
      </c>
      <c r="AD61" s="96"/>
      <c r="AE61" s="96"/>
      <c r="AF61" s="96"/>
      <c r="AG61" s="96"/>
      <c r="AH61" s="96">
        <v>28</v>
      </c>
      <c r="AI61" s="96"/>
      <c r="AJ61" s="96"/>
      <c r="AK61" s="97">
        <v>1</v>
      </c>
      <c r="AL61" s="1" t="s">
        <v>3</v>
      </c>
    </row>
    <row r="62" spans="2:38" s="1" customFormat="1" ht="14" outlineLevel="1" thickBot="1">
      <c r="B62" s="208"/>
      <c r="C62" s="211"/>
      <c r="D62" s="31"/>
      <c r="E62" s="109"/>
      <c r="F62" s="114"/>
      <c r="G62" s="164" t="s">
        <v>18</v>
      </c>
      <c r="H62" s="161"/>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c r="AJ62" s="110"/>
      <c r="AK62" s="115"/>
      <c r="AL62" s="1" t="s">
        <v>3</v>
      </c>
    </row>
    <row r="63" spans="2:38" s="1" customFormat="1" ht="15" customHeight="1" outlineLevel="1">
      <c r="B63" s="226" t="s">
        <v>38</v>
      </c>
      <c r="C63" s="235" t="s">
        <v>5</v>
      </c>
      <c r="D63" s="236"/>
      <c r="E63" s="106">
        <f>SUM(H63:AK63)</f>
        <v>324</v>
      </c>
      <c r="F63" s="106" t="s">
        <v>10</v>
      </c>
      <c r="G63" s="163" t="s">
        <v>7</v>
      </c>
      <c r="H63" s="159"/>
      <c r="I63" s="103"/>
      <c r="J63" s="103">
        <f>115+24</f>
        <v>139</v>
      </c>
      <c r="K63" s="103"/>
      <c r="L63" s="103"/>
      <c r="M63" s="103">
        <v>10</v>
      </c>
      <c r="N63" s="103">
        <v>9</v>
      </c>
      <c r="O63" s="103">
        <v>13</v>
      </c>
      <c r="P63" s="103">
        <v>11</v>
      </c>
      <c r="Q63" s="103">
        <v>10</v>
      </c>
      <c r="R63" s="103"/>
      <c r="S63" s="103"/>
      <c r="T63" s="103">
        <v>7</v>
      </c>
      <c r="U63" s="103">
        <v>11</v>
      </c>
      <c r="V63" s="103">
        <v>19</v>
      </c>
      <c r="W63" s="103">
        <v>8</v>
      </c>
      <c r="X63" s="103">
        <v>14</v>
      </c>
      <c r="Y63" s="103"/>
      <c r="Z63" s="103"/>
      <c r="AA63" s="103">
        <v>11</v>
      </c>
      <c r="AB63" s="103">
        <v>7</v>
      </c>
      <c r="AC63" s="103">
        <v>6</v>
      </c>
      <c r="AD63" s="103">
        <v>9</v>
      </c>
      <c r="AE63" s="103">
        <v>10</v>
      </c>
      <c r="AF63" s="103"/>
      <c r="AG63" s="103"/>
      <c r="AH63" s="103">
        <v>5</v>
      </c>
      <c r="AI63" s="103">
        <v>10</v>
      </c>
      <c r="AJ63" s="103"/>
      <c r="AK63" s="104">
        <v>15</v>
      </c>
      <c r="AL63" s="1" t="s">
        <v>3</v>
      </c>
    </row>
    <row r="64" spans="2:38" s="1" customFormat="1" ht="15" customHeight="1" outlineLevel="1">
      <c r="B64" s="208"/>
      <c r="C64" s="233" t="s">
        <v>29</v>
      </c>
      <c r="D64" s="234"/>
      <c r="E64" s="94">
        <f>SUM(H64:AK64)</f>
        <v>213</v>
      </c>
      <c r="F64" s="94" t="s">
        <v>10</v>
      </c>
      <c r="G64" s="157" t="s">
        <v>7</v>
      </c>
      <c r="H64" s="160"/>
      <c r="I64" s="96"/>
      <c r="J64" s="96">
        <f t="shared" ref="J64:AK64" si="22">SUM(J70:J75)</f>
        <v>6</v>
      </c>
      <c r="K64" s="96">
        <f t="shared" si="22"/>
        <v>0</v>
      </c>
      <c r="L64" s="96">
        <f t="shared" si="22"/>
        <v>0</v>
      </c>
      <c r="M64" s="96">
        <f t="shared" si="22"/>
        <v>14</v>
      </c>
      <c r="N64" s="96">
        <f t="shared" si="22"/>
        <v>24</v>
      </c>
      <c r="O64" s="96">
        <f t="shared" si="22"/>
        <v>15</v>
      </c>
      <c r="P64" s="96">
        <f t="shared" si="22"/>
        <v>17</v>
      </c>
      <c r="Q64" s="96">
        <f t="shared" si="22"/>
        <v>0</v>
      </c>
      <c r="R64" s="96">
        <f t="shared" si="22"/>
        <v>0</v>
      </c>
      <c r="S64" s="96">
        <f t="shared" si="22"/>
        <v>0</v>
      </c>
      <c r="T64" s="96">
        <f t="shared" si="22"/>
        <v>9</v>
      </c>
      <c r="U64" s="96">
        <f t="shared" si="22"/>
        <v>0</v>
      </c>
      <c r="V64" s="96">
        <f t="shared" si="22"/>
        <v>14</v>
      </c>
      <c r="W64" s="96">
        <f t="shared" si="22"/>
        <v>10</v>
      </c>
      <c r="X64" s="96">
        <f t="shared" si="22"/>
        <v>10</v>
      </c>
      <c r="Y64" s="96">
        <f t="shared" si="22"/>
        <v>0</v>
      </c>
      <c r="Z64" s="96">
        <f t="shared" si="22"/>
        <v>0</v>
      </c>
      <c r="AA64" s="96">
        <f t="shared" si="22"/>
        <v>12</v>
      </c>
      <c r="AB64" s="96">
        <f t="shared" si="22"/>
        <v>18</v>
      </c>
      <c r="AC64" s="96">
        <f t="shared" si="22"/>
        <v>10</v>
      </c>
      <c r="AD64" s="96">
        <f t="shared" si="22"/>
        <v>11</v>
      </c>
      <c r="AE64" s="96">
        <f t="shared" si="22"/>
        <v>17</v>
      </c>
      <c r="AF64" s="96">
        <f t="shared" si="22"/>
        <v>0</v>
      </c>
      <c r="AG64" s="96">
        <f t="shared" si="22"/>
        <v>0</v>
      </c>
      <c r="AH64" s="96">
        <f t="shared" si="22"/>
        <v>12</v>
      </c>
      <c r="AI64" s="96">
        <f t="shared" si="22"/>
        <v>0</v>
      </c>
      <c r="AJ64" s="96">
        <f t="shared" si="22"/>
        <v>0</v>
      </c>
      <c r="AK64" s="97">
        <f t="shared" si="22"/>
        <v>14</v>
      </c>
      <c r="AL64" s="1" t="s">
        <v>3</v>
      </c>
    </row>
    <row r="65" spans="2:38" s="1" customFormat="1" ht="15" customHeight="1" outlineLevel="1">
      <c r="B65" s="208"/>
      <c r="C65" s="237" t="s">
        <v>43</v>
      </c>
      <c r="D65" s="238"/>
      <c r="E65" s="117">
        <f>AK65</f>
        <v>213</v>
      </c>
      <c r="F65" s="117" t="s">
        <v>6</v>
      </c>
      <c r="G65" s="158" t="s">
        <v>7</v>
      </c>
      <c r="H65" s="166"/>
      <c r="I65" s="119"/>
      <c r="J65" s="119">
        <f t="shared" ref="J65:AK65" si="23">I65+J64</f>
        <v>6</v>
      </c>
      <c r="K65" s="119">
        <f t="shared" si="23"/>
        <v>6</v>
      </c>
      <c r="L65" s="119">
        <f t="shared" si="23"/>
        <v>6</v>
      </c>
      <c r="M65" s="119">
        <f t="shared" si="23"/>
        <v>20</v>
      </c>
      <c r="N65" s="119">
        <f t="shared" si="23"/>
        <v>44</v>
      </c>
      <c r="O65" s="119">
        <f t="shared" si="23"/>
        <v>59</v>
      </c>
      <c r="P65" s="119">
        <f t="shared" si="23"/>
        <v>76</v>
      </c>
      <c r="Q65" s="119">
        <f t="shared" si="23"/>
        <v>76</v>
      </c>
      <c r="R65" s="119">
        <f t="shared" si="23"/>
        <v>76</v>
      </c>
      <c r="S65" s="119">
        <f t="shared" si="23"/>
        <v>76</v>
      </c>
      <c r="T65" s="119">
        <f t="shared" si="23"/>
        <v>85</v>
      </c>
      <c r="U65" s="119">
        <f t="shared" si="23"/>
        <v>85</v>
      </c>
      <c r="V65" s="119">
        <f t="shared" si="23"/>
        <v>99</v>
      </c>
      <c r="W65" s="119">
        <f t="shared" si="23"/>
        <v>109</v>
      </c>
      <c r="X65" s="119">
        <f t="shared" si="23"/>
        <v>119</v>
      </c>
      <c r="Y65" s="119">
        <f t="shared" si="23"/>
        <v>119</v>
      </c>
      <c r="Z65" s="119">
        <f t="shared" si="23"/>
        <v>119</v>
      </c>
      <c r="AA65" s="119">
        <f t="shared" si="23"/>
        <v>131</v>
      </c>
      <c r="AB65" s="119">
        <f t="shared" si="23"/>
        <v>149</v>
      </c>
      <c r="AC65" s="119">
        <f t="shared" si="23"/>
        <v>159</v>
      </c>
      <c r="AD65" s="119">
        <f t="shared" si="23"/>
        <v>170</v>
      </c>
      <c r="AE65" s="119">
        <f t="shared" si="23"/>
        <v>187</v>
      </c>
      <c r="AF65" s="119">
        <f t="shared" si="23"/>
        <v>187</v>
      </c>
      <c r="AG65" s="119">
        <f t="shared" si="23"/>
        <v>187</v>
      </c>
      <c r="AH65" s="119">
        <f t="shared" si="23"/>
        <v>199</v>
      </c>
      <c r="AI65" s="119">
        <f t="shared" si="23"/>
        <v>199</v>
      </c>
      <c r="AJ65" s="119">
        <f t="shared" si="23"/>
        <v>199</v>
      </c>
      <c r="AK65" s="120">
        <f t="shared" si="23"/>
        <v>213</v>
      </c>
      <c r="AL65" s="1" t="s">
        <v>3</v>
      </c>
    </row>
    <row r="66" spans="2:38" s="1" customFormat="1" ht="15" customHeight="1" outlineLevel="1">
      <c r="B66" s="208"/>
      <c r="C66" s="233" t="s">
        <v>30</v>
      </c>
      <c r="D66" s="234"/>
      <c r="E66" s="94">
        <f>SUM(H66:AK66)</f>
        <v>255</v>
      </c>
      <c r="F66" s="94" t="s">
        <v>10</v>
      </c>
      <c r="G66" s="157" t="s">
        <v>7</v>
      </c>
      <c r="H66" s="160"/>
      <c r="I66" s="96"/>
      <c r="J66" s="96">
        <f t="shared" ref="J66:AK66" si="24">SUM(J76:J79)</f>
        <v>22</v>
      </c>
      <c r="K66" s="96">
        <f t="shared" si="24"/>
        <v>0</v>
      </c>
      <c r="L66" s="96">
        <f t="shared" si="24"/>
        <v>0</v>
      </c>
      <c r="M66" s="96">
        <f t="shared" si="24"/>
        <v>4</v>
      </c>
      <c r="N66" s="96">
        <f t="shared" si="24"/>
        <v>11</v>
      </c>
      <c r="O66" s="96">
        <f t="shared" si="24"/>
        <v>15</v>
      </c>
      <c r="P66" s="96">
        <f t="shared" si="24"/>
        <v>14</v>
      </c>
      <c r="Q66" s="96">
        <f t="shared" si="24"/>
        <v>9</v>
      </c>
      <c r="R66" s="96">
        <f t="shared" si="24"/>
        <v>0</v>
      </c>
      <c r="S66" s="96">
        <f t="shared" si="24"/>
        <v>0</v>
      </c>
      <c r="T66" s="96">
        <f t="shared" si="24"/>
        <v>11</v>
      </c>
      <c r="U66" s="96">
        <f t="shared" si="24"/>
        <v>13</v>
      </c>
      <c r="V66" s="96">
        <f t="shared" si="24"/>
        <v>7</v>
      </c>
      <c r="W66" s="96">
        <f t="shared" si="24"/>
        <v>12</v>
      </c>
      <c r="X66" s="96">
        <f t="shared" si="24"/>
        <v>6</v>
      </c>
      <c r="Y66" s="96">
        <f t="shared" si="24"/>
        <v>0</v>
      </c>
      <c r="Z66" s="96">
        <f t="shared" si="24"/>
        <v>0</v>
      </c>
      <c r="AA66" s="96">
        <f t="shared" si="24"/>
        <v>12</v>
      </c>
      <c r="AB66" s="96">
        <f t="shared" si="24"/>
        <v>18</v>
      </c>
      <c r="AC66" s="96">
        <f t="shared" si="24"/>
        <v>11</v>
      </c>
      <c r="AD66" s="96">
        <f t="shared" si="24"/>
        <v>11</v>
      </c>
      <c r="AE66" s="96">
        <f t="shared" si="24"/>
        <v>14</v>
      </c>
      <c r="AF66" s="96">
        <f t="shared" si="24"/>
        <v>0</v>
      </c>
      <c r="AG66" s="96">
        <f t="shared" si="24"/>
        <v>0</v>
      </c>
      <c r="AH66" s="96">
        <f t="shared" si="24"/>
        <v>28</v>
      </c>
      <c r="AI66" s="96">
        <f t="shared" si="24"/>
        <v>22</v>
      </c>
      <c r="AJ66" s="96">
        <f t="shared" si="24"/>
        <v>0</v>
      </c>
      <c r="AK66" s="97">
        <f t="shared" si="24"/>
        <v>15</v>
      </c>
      <c r="AL66" s="1" t="s">
        <v>3</v>
      </c>
    </row>
    <row r="67" spans="2:38" s="1" customFormat="1" ht="15" customHeight="1" outlineLevel="1">
      <c r="B67" s="208"/>
      <c r="C67" s="239" t="s">
        <v>13</v>
      </c>
      <c r="D67" s="240"/>
      <c r="E67" s="117">
        <f>AK67</f>
        <v>255</v>
      </c>
      <c r="F67" s="117" t="s">
        <v>6</v>
      </c>
      <c r="G67" s="158" t="s">
        <v>7</v>
      </c>
      <c r="H67" s="166"/>
      <c r="I67" s="119"/>
      <c r="J67" s="119">
        <f t="shared" ref="J67:AK67" si="25">I67+J66</f>
        <v>22</v>
      </c>
      <c r="K67" s="119">
        <f t="shared" si="25"/>
        <v>22</v>
      </c>
      <c r="L67" s="119">
        <f t="shared" si="25"/>
        <v>22</v>
      </c>
      <c r="M67" s="119">
        <f t="shared" si="25"/>
        <v>26</v>
      </c>
      <c r="N67" s="119">
        <f t="shared" si="25"/>
        <v>37</v>
      </c>
      <c r="O67" s="119">
        <f t="shared" si="25"/>
        <v>52</v>
      </c>
      <c r="P67" s="119">
        <f t="shared" si="25"/>
        <v>66</v>
      </c>
      <c r="Q67" s="119">
        <f t="shared" si="25"/>
        <v>75</v>
      </c>
      <c r="R67" s="119">
        <f t="shared" si="25"/>
        <v>75</v>
      </c>
      <c r="S67" s="119">
        <f t="shared" si="25"/>
        <v>75</v>
      </c>
      <c r="T67" s="119">
        <f t="shared" si="25"/>
        <v>86</v>
      </c>
      <c r="U67" s="119">
        <f t="shared" si="25"/>
        <v>99</v>
      </c>
      <c r="V67" s="119">
        <f t="shared" si="25"/>
        <v>106</v>
      </c>
      <c r="W67" s="119">
        <f t="shared" si="25"/>
        <v>118</v>
      </c>
      <c r="X67" s="119">
        <f t="shared" si="25"/>
        <v>124</v>
      </c>
      <c r="Y67" s="119">
        <f t="shared" si="25"/>
        <v>124</v>
      </c>
      <c r="Z67" s="119">
        <f t="shared" si="25"/>
        <v>124</v>
      </c>
      <c r="AA67" s="119">
        <f t="shared" si="25"/>
        <v>136</v>
      </c>
      <c r="AB67" s="119">
        <f t="shared" si="25"/>
        <v>154</v>
      </c>
      <c r="AC67" s="119">
        <f t="shared" si="25"/>
        <v>165</v>
      </c>
      <c r="AD67" s="119">
        <f t="shared" si="25"/>
        <v>176</v>
      </c>
      <c r="AE67" s="119">
        <f t="shared" si="25"/>
        <v>190</v>
      </c>
      <c r="AF67" s="119">
        <f t="shared" si="25"/>
        <v>190</v>
      </c>
      <c r="AG67" s="119">
        <f t="shared" si="25"/>
        <v>190</v>
      </c>
      <c r="AH67" s="119">
        <f t="shared" si="25"/>
        <v>218</v>
      </c>
      <c r="AI67" s="119">
        <f t="shared" si="25"/>
        <v>240</v>
      </c>
      <c r="AJ67" s="119">
        <f t="shared" si="25"/>
        <v>240</v>
      </c>
      <c r="AK67" s="120">
        <f t="shared" si="25"/>
        <v>255</v>
      </c>
      <c r="AL67" s="1" t="s">
        <v>3</v>
      </c>
    </row>
    <row r="68" spans="2:38" s="1" customFormat="1" ht="13.5" outlineLevel="1">
      <c r="B68" s="208"/>
      <c r="C68" s="233" t="s">
        <v>14</v>
      </c>
      <c r="D68" s="234"/>
      <c r="E68" s="94">
        <f>E63-E64</f>
        <v>111</v>
      </c>
      <c r="F68" s="94" t="s">
        <v>10</v>
      </c>
      <c r="G68" s="157" t="s">
        <v>7</v>
      </c>
      <c r="H68" s="160"/>
      <c r="I68" s="96"/>
      <c r="J68" s="96">
        <f t="shared" ref="J68:AK68" si="26">I68+J63-J64</f>
        <v>133</v>
      </c>
      <c r="K68" s="96">
        <f t="shared" si="26"/>
        <v>133</v>
      </c>
      <c r="L68" s="96">
        <f t="shared" si="26"/>
        <v>133</v>
      </c>
      <c r="M68" s="96">
        <f t="shared" si="26"/>
        <v>129</v>
      </c>
      <c r="N68" s="96">
        <f t="shared" si="26"/>
        <v>114</v>
      </c>
      <c r="O68" s="96">
        <f t="shared" si="26"/>
        <v>112</v>
      </c>
      <c r="P68" s="96">
        <f t="shared" si="26"/>
        <v>106</v>
      </c>
      <c r="Q68" s="96">
        <f t="shared" si="26"/>
        <v>116</v>
      </c>
      <c r="R68" s="96">
        <f t="shared" si="26"/>
        <v>116</v>
      </c>
      <c r="S68" s="96">
        <f t="shared" si="26"/>
        <v>116</v>
      </c>
      <c r="T68" s="96">
        <f t="shared" si="26"/>
        <v>114</v>
      </c>
      <c r="U68" s="96">
        <f t="shared" si="26"/>
        <v>125</v>
      </c>
      <c r="V68" s="96">
        <f t="shared" si="26"/>
        <v>130</v>
      </c>
      <c r="W68" s="96">
        <f t="shared" si="26"/>
        <v>128</v>
      </c>
      <c r="X68" s="96">
        <f t="shared" si="26"/>
        <v>132</v>
      </c>
      <c r="Y68" s="96">
        <f t="shared" si="26"/>
        <v>132</v>
      </c>
      <c r="Z68" s="96">
        <f t="shared" si="26"/>
        <v>132</v>
      </c>
      <c r="AA68" s="96">
        <f t="shared" si="26"/>
        <v>131</v>
      </c>
      <c r="AB68" s="96">
        <f t="shared" si="26"/>
        <v>120</v>
      </c>
      <c r="AC68" s="96">
        <f t="shared" si="26"/>
        <v>116</v>
      </c>
      <c r="AD68" s="96">
        <f t="shared" si="26"/>
        <v>114</v>
      </c>
      <c r="AE68" s="96">
        <f t="shared" si="26"/>
        <v>107</v>
      </c>
      <c r="AF68" s="96">
        <f t="shared" si="26"/>
        <v>107</v>
      </c>
      <c r="AG68" s="96">
        <f t="shared" si="26"/>
        <v>107</v>
      </c>
      <c r="AH68" s="96">
        <f t="shared" si="26"/>
        <v>100</v>
      </c>
      <c r="AI68" s="96">
        <f t="shared" si="26"/>
        <v>110</v>
      </c>
      <c r="AJ68" s="96">
        <f t="shared" si="26"/>
        <v>110</v>
      </c>
      <c r="AK68" s="97">
        <f t="shared" si="26"/>
        <v>111</v>
      </c>
      <c r="AL68" s="1" t="s">
        <v>3</v>
      </c>
    </row>
    <row r="69" spans="2:38" s="1" customFormat="1" ht="14" outlineLevel="1" thickBot="1">
      <c r="B69" s="208"/>
      <c r="C69" s="233" t="s">
        <v>15</v>
      </c>
      <c r="D69" s="234"/>
      <c r="E69" s="98">
        <f>E63-E66</f>
        <v>69</v>
      </c>
      <c r="F69" s="98" t="s">
        <v>10</v>
      </c>
      <c r="G69" s="157" t="s">
        <v>7</v>
      </c>
      <c r="H69" s="161"/>
      <c r="I69" s="110"/>
      <c r="J69" s="110">
        <f t="shared" ref="J69:AK69" si="27">I69+J63-J66</f>
        <v>117</v>
      </c>
      <c r="K69" s="110">
        <f t="shared" si="27"/>
        <v>117</v>
      </c>
      <c r="L69" s="110">
        <f t="shared" si="27"/>
        <v>117</v>
      </c>
      <c r="M69" s="110">
        <f t="shared" si="27"/>
        <v>123</v>
      </c>
      <c r="N69" s="110">
        <f t="shared" si="27"/>
        <v>121</v>
      </c>
      <c r="O69" s="110">
        <f t="shared" si="27"/>
        <v>119</v>
      </c>
      <c r="P69" s="110">
        <f t="shared" si="27"/>
        <v>116</v>
      </c>
      <c r="Q69" s="110">
        <f t="shared" si="27"/>
        <v>117</v>
      </c>
      <c r="R69" s="110">
        <f t="shared" si="27"/>
        <v>117</v>
      </c>
      <c r="S69" s="110">
        <f t="shared" si="27"/>
        <v>117</v>
      </c>
      <c r="T69" s="110">
        <f t="shared" si="27"/>
        <v>113</v>
      </c>
      <c r="U69" s="110">
        <f t="shared" si="27"/>
        <v>111</v>
      </c>
      <c r="V69" s="110">
        <f t="shared" si="27"/>
        <v>123</v>
      </c>
      <c r="W69" s="110">
        <f t="shared" si="27"/>
        <v>119</v>
      </c>
      <c r="X69" s="110">
        <f t="shared" si="27"/>
        <v>127</v>
      </c>
      <c r="Y69" s="110">
        <f t="shared" si="27"/>
        <v>127</v>
      </c>
      <c r="Z69" s="110">
        <f t="shared" si="27"/>
        <v>127</v>
      </c>
      <c r="AA69" s="110">
        <f t="shared" si="27"/>
        <v>126</v>
      </c>
      <c r="AB69" s="110">
        <f t="shared" si="27"/>
        <v>115</v>
      </c>
      <c r="AC69" s="110">
        <f t="shared" si="27"/>
        <v>110</v>
      </c>
      <c r="AD69" s="110">
        <f t="shared" si="27"/>
        <v>108</v>
      </c>
      <c r="AE69" s="110">
        <f t="shared" si="27"/>
        <v>104</v>
      </c>
      <c r="AF69" s="110">
        <f t="shared" si="27"/>
        <v>104</v>
      </c>
      <c r="AG69" s="110">
        <f t="shared" si="27"/>
        <v>104</v>
      </c>
      <c r="AH69" s="110">
        <f t="shared" si="27"/>
        <v>81</v>
      </c>
      <c r="AI69" s="110">
        <f t="shared" si="27"/>
        <v>69</v>
      </c>
      <c r="AJ69" s="110">
        <f t="shared" si="27"/>
        <v>69</v>
      </c>
      <c r="AK69" s="115">
        <f t="shared" si="27"/>
        <v>69</v>
      </c>
      <c r="AL69" s="1" t="s">
        <v>3</v>
      </c>
    </row>
    <row r="70" spans="2:38" s="1" customFormat="1" ht="13.5" outlineLevel="1">
      <c r="B70" s="208"/>
      <c r="C70" s="210" t="s">
        <v>16</v>
      </c>
      <c r="D70" s="28" t="s">
        <v>44</v>
      </c>
      <c r="E70" s="101">
        <f t="shared" ref="E70:E78" si="28">SUM(H70:AK70)*F70</f>
        <v>700</v>
      </c>
      <c r="F70" s="102">
        <v>20</v>
      </c>
      <c r="G70" s="162" t="s">
        <v>18</v>
      </c>
      <c r="H70" s="159"/>
      <c r="I70" s="103"/>
      <c r="J70" s="103"/>
      <c r="K70" s="103"/>
      <c r="L70" s="103"/>
      <c r="M70" s="103"/>
      <c r="N70" s="103"/>
      <c r="O70" s="103"/>
      <c r="P70" s="103">
        <v>17</v>
      </c>
      <c r="Q70" s="103"/>
      <c r="R70" s="103"/>
      <c r="S70" s="103"/>
      <c r="T70" s="103"/>
      <c r="U70" s="103"/>
      <c r="V70" s="103"/>
      <c r="W70" s="103"/>
      <c r="X70" s="103"/>
      <c r="Y70" s="103"/>
      <c r="Z70" s="103"/>
      <c r="AA70" s="103"/>
      <c r="AB70" s="103">
        <v>18</v>
      </c>
      <c r="AC70" s="103"/>
      <c r="AD70" s="103"/>
      <c r="AE70" s="103"/>
      <c r="AF70" s="103"/>
      <c r="AG70" s="103"/>
      <c r="AH70" s="103"/>
      <c r="AI70" s="103"/>
      <c r="AJ70" s="103"/>
      <c r="AK70" s="104"/>
      <c r="AL70" s="1" t="s">
        <v>3</v>
      </c>
    </row>
    <row r="71" spans="2:38" s="1" customFormat="1" ht="13.5" outlineLevel="1">
      <c r="B71" s="208"/>
      <c r="C71" s="211"/>
      <c r="D71" s="126" t="s">
        <v>46</v>
      </c>
      <c r="E71" s="108">
        <f t="shared" si="28"/>
        <v>420</v>
      </c>
      <c r="F71" s="94">
        <v>20</v>
      </c>
      <c r="G71" s="157" t="s">
        <v>18</v>
      </c>
      <c r="H71" s="160"/>
      <c r="I71" s="96"/>
      <c r="J71" s="96">
        <v>6</v>
      </c>
      <c r="K71" s="96"/>
      <c r="L71" s="96"/>
      <c r="M71" s="96"/>
      <c r="N71" s="96"/>
      <c r="O71" s="96">
        <v>15</v>
      </c>
      <c r="P71" s="96"/>
      <c r="Q71" s="96"/>
      <c r="R71" s="96"/>
      <c r="S71" s="96"/>
      <c r="T71" s="96"/>
      <c r="U71" s="96"/>
      <c r="V71" s="96"/>
      <c r="W71" s="96"/>
      <c r="X71" s="96"/>
      <c r="Y71" s="96"/>
      <c r="Z71" s="96"/>
      <c r="AA71" s="96"/>
      <c r="AB71" s="96"/>
      <c r="AC71" s="96"/>
      <c r="AD71" s="96"/>
      <c r="AE71" s="96"/>
      <c r="AF71" s="96"/>
      <c r="AG71" s="96"/>
      <c r="AH71" s="96"/>
      <c r="AI71" s="96"/>
      <c r="AJ71" s="96"/>
      <c r="AK71" s="97"/>
      <c r="AL71" s="1" t="s">
        <v>3</v>
      </c>
    </row>
    <row r="72" spans="2:38" s="1" customFormat="1" ht="13.5" outlineLevel="1">
      <c r="B72" s="208"/>
      <c r="C72" s="211"/>
      <c r="D72" s="126" t="s">
        <v>48</v>
      </c>
      <c r="E72" s="108">
        <f t="shared" si="28"/>
        <v>340</v>
      </c>
      <c r="F72" s="94">
        <v>20</v>
      </c>
      <c r="G72" s="157" t="s">
        <v>18</v>
      </c>
      <c r="H72" s="160"/>
      <c r="I72" s="96"/>
      <c r="J72" s="96"/>
      <c r="K72" s="96"/>
      <c r="L72" s="96"/>
      <c r="M72" s="96">
        <v>14</v>
      </c>
      <c r="N72" s="96"/>
      <c r="O72" s="96"/>
      <c r="P72" s="96"/>
      <c r="Q72" s="96"/>
      <c r="R72" s="96"/>
      <c r="S72" s="96"/>
      <c r="T72" s="96"/>
      <c r="U72" s="96"/>
      <c r="V72" s="96"/>
      <c r="W72" s="96"/>
      <c r="X72" s="96"/>
      <c r="Y72" s="96"/>
      <c r="Z72" s="96"/>
      <c r="AA72" s="96"/>
      <c r="AB72" s="96"/>
      <c r="AC72" s="96"/>
      <c r="AD72" s="96"/>
      <c r="AE72" s="96"/>
      <c r="AF72" s="96"/>
      <c r="AG72" s="96"/>
      <c r="AH72" s="96"/>
      <c r="AI72" s="96"/>
      <c r="AJ72" s="96"/>
      <c r="AK72" s="97">
        <v>3</v>
      </c>
      <c r="AL72" s="1" t="s">
        <v>3</v>
      </c>
    </row>
    <row r="73" spans="2:38" s="1" customFormat="1" ht="13.5" outlineLevel="1">
      <c r="B73" s="208"/>
      <c r="C73" s="211"/>
      <c r="D73" s="126" t="s">
        <v>49</v>
      </c>
      <c r="E73" s="108">
        <f t="shared" si="28"/>
        <v>620</v>
      </c>
      <c r="F73" s="94">
        <v>20</v>
      </c>
      <c r="G73" s="157" t="s">
        <v>18</v>
      </c>
      <c r="H73" s="160"/>
      <c r="I73" s="96"/>
      <c r="J73" s="96"/>
      <c r="K73" s="96"/>
      <c r="L73" s="96"/>
      <c r="M73" s="96"/>
      <c r="N73" s="96">
        <v>24</v>
      </c>
      <c r="O73" s="96"/>
      <c r="P73" s="96"/>
      <c r="Q73" s="96"/>
      <c r="R73" s="96"/>
      <c r="S73" s="96"/>
      <c r="T73" s="96"/>
      <c r="U73" s="96"/>
      <c r="V73" s="96"/>
      <c r="W73" s="96"/>
      <c r="X73" s="96"/>
      <c r="Y73" s="96"/>
      <c r="Z73" s="96"/>
      <c r="AA73" s="96"/>
      <c r="AB73" s="96"/>
      <c r="AC73" s="96"/>
      <c r="AD73" s="96"/>
      <c r="AE73" s="96">
        <v>7</v>
      </c>
      <c r="AF73" s="96"/>
      <c r="AG73" s="96"/>
      <c r="AH73" s="96"/>
      <c r="AI73" s="96"/>
      <c r="AJ73" s="96"/>
      <c r="AK73" s="97"/>
      <c r="AL73" s="1" t="s">
        <v>3</v>
      </c>
    </row>
    <row r="74" spans="2:38" s="1" customFormat="1" ht="13.5" outlineLevel="1">
      <c r="B74" s="208"/>
      <c r="C74" s="211"/>
      <c r="D74" s="29" t="s">
        <v>36</v>
      </c>
      <c r="E74" s="108">
        <f t="shared" si="28"/>
        <v>1090</v>
      </c>
      <c r="F74" s="94">
        <v>10</v>
      </c>
      <c r="G74" s="157" t="s">
        <v>18</v>
      </c>
      <c r="H74" s="160"/>
      <c r="I74" s="96"/>
      <c r="J74" s="96"/>
      <c r="K74" s="96"/>
      <c r="L74" s="96"/>
      <c r="M74" s="96"/>
      <c r="N74" s="96"/>
      <c r="O74" s="96"/>
      <c r="P74" s="96"/>
      <c r="Q74" s="96"/>
      <c r="R74" s="96"/>
      <c r="S74" s="96"/>
      <c r="T74" s="96">
        <v>9</v>
      </c>
      <c r="U74" s="96"/>
      <c r="V74" s="96">
        <v>14</v>
      </c>
      <c r="W74" s="96">
        <v>10</v>
      </c>
      <c r="X74" s="96">
        <v>10</v>
      </c>
      <c r="Y74" s="96"/>
      <c r="Z74" s="96"/>
      <c r="AA74" s="96">
        <v>12</v>
      </c>
      <c r="AB74" s="96"/>
      <c r="AC74" s="96">
        <v>10</v>
      </c>
      <c r="AD74" s="96">
        <v>11</v>
      </c>
      <c r="AE74" s="96">
        <v>10</v>
      </c>
      <c r="AF74" s="96"/>
      <c r="AG74" s="96"/>
      <c r="AH74" s="96">
        <v>12</v>
      </c>
      <c r="AI74" s="96"/>
      <c r="AJ74" s="96"/>
      <c r="AK74" s="97">
        <v>11</v>
      </c>
      <c r="AL74" s="1" t="s">
        <v>3</v>
      </c>
    </row>
    <row r="75" spans="2:38" s="1" customFormat="1" ht="14" outlineLevel="1" thickBot="1">
      <c r="B75" s="208"/>
      <c r="C75" s="211"/>
      <c r="D75" s="29"/>
      <c r="E75" s="109">
        <f t="shared" si="28"/>
        <v>0</v>
      </c>
      <c r="F75" s="114"/>
      <c r="G75" s="164" t="s">
        <v>18</v>
      </c>
      <c r="H75" s="161"/>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c r="AI75" s="110"/>
      <c r="AJ75" s="110"/>
      <c r="AK75" s="115"/>
      <c r="AL75" s="1" t="s">
        <v>3</v>
      </c>
    </row>
    <row r="76" spans="2:38" s="1" customFormat="1" ht="13.5" outlineLevel="1">
      <c r="B76" s="208"/>
      <c r="C76" s="210" t="s">
        <v>25</v>
      </c>
      <c r="D76" s="30" t="s">
        <v>32</v>
      </c>
      <c r="E76" s="111">
        <f t="shared" si="28"/>
        <v>0</v>
      </c>
      <c r="F76" s="102">
        <v>8</v>
      </c>
      <c r="G76" s="162" t="s">
        <v>18</v>
      </c>
      <c r="H76" s="159"/>
      <c r="I76" s="103"/>
      <c r="J76" s="103"/>
      <c r="K76" s="103"/>
      <c r="L76" s="103"/>
      <c r="M76" s="103"/>
      <c r="N76" s="103"/>
      <c r="O76" s="103"/>
      <c r="P76" s="103"/>
      <c r="Q76" s="103"/>
      <c r="R76" s="103"/>
      <c r="S76" s="103"/>
      <c r="T76" s="103"/>
      <c r="U76" s="103"/>
      <c r="V76" s="103"/>
      <c r="W76" s="103"/>
      <c r="X76" s="103"/>
      <c r="Y76" s="103"/>
      <c r="Z76" s="103"/>
      <c r="AA76" s="103"/>
      <c r="AB76" s="103"/>
      <c r="AC76" s="103"/>
      <c r="AD76" s="103"/>
      <c r="AE76" s="103"/>
      <c r="AF76" s="103"/>
      <c r="AG76" s="103"/>
      <c r="AH76" s="103"/>
      <c r="AI76" s="103"/>
      <c r="AJ76" s="103"/>
      <c r="AK76" s="104"/>
      <c r="AL76" s="1" t="s">
        <v>3</v>
      </c>
    </row>
    <row r="77" spans="2:38" s="1" customFormat="1" ht="13.5" outlineLevel="1">
      <c r="B77" s="208"/>
      <c r="C77" s="211"/>
      <c r="D77" s="31" t="s">
        <v>33</v>
      </c>
      <c r="E77" s="112">
        <f t="shared" si="28"/>
        <v>3315</v>
      </c>
      <c r="F77" s="94">
        <v>13</v>
      </c>
      <c r="G77" s="157" t="s">
        <v>18</v>
      </c>
      <c r="H77" s="160"/>
      <c r="I77" s="96"/>
      <c r="J77" s="96">
        <v>22</v>
      </c>
      <c r="K77" s="96"/>
      <c r="L77" s="96"/>
      <c r="M77" s="96">
        <v>4</v>
      </c>
      <c r="N77" s="96">
        <v>11</v>
      </c>
      <c r="O77" s="96">
        <v>15</v>
      </c>
      <c r="P77" s="96">
        <v>14</v>
      </c>
      <c r="Q77" s="96">
        <v>9</v>
      </c>
      <c r="R77" s="96"/>
      <c r="S77" s="96"/>
      <c r="T77" s="96">
        <v>11</v>
      </c>
      <c r="U77" s="96">
        <v>13</v>
      </c>
      <c r="V77" s="96">
        <v>7</v>
      </c>
      <c r="W77" s="96">
        <v>12</v>
      </c>
      <c r="X77" s="96">
        <v>6</v>
      </c>
      <c r="Y77" s="96"/>
      <c r="Z77" s="96"/>
      <c r="AA77" s="96">
        <v>12</v>
      </c>
      <c r="AB77" s="96">
        <v>18</v>
      </c>
      <c r="AC77" s="96">
        <v>11</v>
      </c>
      <c r="AD77" s="96">
        <v>11</v>
      </c>
      <c r="AE77" s="96">
        <v>14</v>
      </c>
      <c r="AF77" s="96"/>
      <c r="AG77" s="96"/>
      <c r="AH77" s="96">
        <v>28</v>
      </c>
      <c r="AI77" s="96">
        <v>22</v>
      </c>
      <c r="AJ77" s="96"/>
      <c r="AK77" s="97">
        <v>15</v>
      </c>
      <c r="AL77" s="1" t="s">
        <v>3</v>
      </c>
    </row>
    <row r="78" spans="2:38" s="1" customFormat="1" ht="13.5" outlineLevel="1">
      <c r="B78" s="208"/>
      <c r="C78" s="211"/>
      <c r="D78" s="31" t="s">
        <v>34</v>
      </c>
      <c r="E78" s="112">
        <f t="shared" si="28"/>
        <v>0</v>
      </c>
      <c r="F78" s="94"/>
      <c r="G78" s="157" t="s">
        <v>18</v>
      </c>
      <c r="H78" s="160"/>
      <c r="I78" s="96"/>
      <c r="J78" s="96"/>
      <c r="K78" s="96"/>
      <c r="L78" s="96"/>
      <c r="M78" s="96"/>
      <c r="N78" s="96"/>
      <c r="O78" s="96"/>
      <c r="P78" s="96"/>
      <c r="Q78" s="96"/>
      <c r="R78" s="96"/>
      <c r="S78" s="96"/>
      <c r="T78" s="96"/>
      <c r="U78" s="96"/>
      <c r="V78" s="96"/>
      <c r="W78" s="96"/>
      <c r="X78" s="96"/>
      <c r="Y78" s="96"/>
      <c r="Z78" s="96"/>
      <c r="AA78" s="96"/>
      <c r="AB78" s="96"/>
      <c r="AC78" s="96"/>
      <c r="AD78" s="96"/>
      <c r="AE78" s="96"/>
      <c r="AF78" s="96"/>
      <c r="AG78" s="96"/>
      <c r="AH78" s="96"/>
      <c r="AI78" s="96"/>
      <c r="AJ78" s="96"/>
      <c r="AK78" s="97"/>
      <c r="AL78" s="1" t="s">
        <v>3</v>
      </c>
    </row>
    <row r="79" spans="2:38" s="1" customFormat="1" ht="14" outlineLevel="1" thickBot="1">
      <c r="B79" s="208"/>
      <c r="C79" s="211"/>
      <c r="D79" s="31"/>
      <c r="E79" s="116"/>
      <c r="F79" s="98"/>
      <c r="G79" s="165" t="s">
        <v>18</v>
      </c>
      <c r="H79" s="161"/>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5"/>
      <c r="AL79" s="1" t="s">
        <v>3</v>
      </c>
    </row>
    <row r="80" spans="2:38">
      <c r="B80" s="227" t="s">
        <v>39</v>
      </c>
      <c r="C80" s="228"/>
      <c r="D80" s="228"/>
      <c r="E80" s="228"/>
      <c r="F80" s="228"/>
      <c r="G80" s="228"/>
      <c r="H80" s="49">
        <f t="shared" ref="H80:AK80" si="29">H13+H28+H36+H53+H70</f>
        <v>0</v>
      </c>
      <c r="I80" s="49">
        <f t="shared" si="29"/>
        <v>0</v>
      </c>
      <c r="J80" s="49">
        <f t="shared" si="29"/>
        <v>5</v>
      </c>
      <c r="K80" s="49">
        <f t="shared" si="29"/>
        <v>0</v>
      </c>
      <c r="L80" s="49">
        <f t="shared" si="29"/>
        <v>0</v>
      </c>
      <c r="M80" s="49">
        <f t="shared" si="29"/>
        <v>0</v>
      </c>
      <c r="N80" s="49">
        <f t="shared" si="29"/>
        <v>11</v>
      </c>
      <c r="O80" s="49">
        <f t="shared" si="29"/>
        <v>8</v>
      </c>
      <c r="P80" s="49">
        <f t="shared" si="29"/>
        <v>17</v>
      </c>
      <c r="Q80" s="49">
        <f t="shared" si="29"/>
        <v>4</v>
      </c>
      <c r="R80" s="49">
        <f t="shared" si="29"/>
        <v>0</v>
      </c>
      <c r="S80" s="49">
        <f t="shared" si="29"/>
        <v>0</v>
      </c>
      <c r="T80" s="49">
        <f t="shared" si="29"/>
        <v>0</v>
      </c>
      <c r="U80" s="49">
        <f t="shared" si="29"/>
        <v>11</v>
      </c>
      <c r="V80" s="49">
        <f t="shared" si="29"/>
        <v>13</v>
      </c>
      <c r="W80" s="49">
        <f t="shared" si="29"/>
        <v>8</v>
      </c>
      <c r="X80" s="49">
        <f t="shared" si="29"/>
        <v>13</v>
      </c>
      <c r="Y80" s="49">
        <f t="shared" si="29"/>
        <v>0</v>
      </c>
      <c r="Z80" s="49">
        <f t="shared" si="29"/>
        <v>0</v>
      </c>
      <c r="AA80" s="49">
        <f t="shared" si="29"/>
        <v>2</v>
      </c>
      <c r="AB80" s="49">
        <f t="shared" si="29"/>
        <v>28</v>
      </c>
      <c r="AC80" s="49">
        <f t="shared" si="29"/>
        <v>15</v>
      </c>
      <c r="AD80" s="49">
        <f t="shared" si="29"/>
        <v>4</v>
      </c>
      <c r="AE80" s="49">
        <f t="shared" si="29"/>
        <v>16</v>
      </c>
      <c r="AF80" s="49">
        <f t="shared" si="29"/>
        <v>0</v>
      </c>
      <c r="AG80" s="49">
        <f t="shared" si="29"/>
        <v>0</v>
      </c>
      <c r="AH80" s="49">
        <f t="shared" si="29"/>
        <v>0</v>
      </c>
      <c r="AI80" s="49">
        <f t="shared" si="29"/>
        <v>5</v>
      </c>
      <c r="AJ80" s="49">
        <f t="shared" si="29"/>
        <v>0</v>
      </c>
      <c r="AK80" s="49">
        <f t="shared" si="29"/>
        <v>6</v>
      </c>
      <c r="AL80" s="1" t="s">
        <v>3</v>
      </c>
    </row>
    <row r="81" spans="2:38">
      <c r="B81" s="229" t="s">
        <v>40</v>
      </c>
      <c r="C81" s="230"/>
      <c r="D81" s="230"/>
      <c r="E81" s="230"/>
      <c r="F81" s="230"/>
      <c r="G81" s="230"/>
      <c r="H81" s="48">
        <v>0</v>
      </c>
      <c r="I81" s="48">
        <v>0</v>
      </c>
      <c r="J81" s="48">
        <v>4</v>
      </c>
      <c r="K81" s="48">
        <v>0</v>
      </c>
      <c r="L81" s="48">
        <v>0</v>
      </c>
      <c r="M81" s="48">
        <v>3</v>
      </c>
      <c r="N81" s="48">
        <v>4</v>
      </c>
      <c r="O81" s="48">
        <v>3</v>
      </c>
      <c r="P81" s="48">
        <v>3</v>
      </c>
      <c r="Q81" s="48">
        <v>4</v>
      </c>
      <c r="R81" s="48">
        <v>0</v>
      </c>
      <c r="S81" s="48">
        <v>0</v>
      </c>
      <c r="T81" s="48">
        <v>3</v>
      </c>
      <c r="U81" s="48">
        <v>4</v>
      </c>
      <c r="V81" s="48">
        <v>3</v>
      </c>
      <c r="W81" s="48">
        <v>3</v>
      </c>
      <c r="X81" s="48">
        <v>4</v>
      </c>
      <c r="Y81" s="48">
        <v>0</v>
      </c>
      <c r="Z81" s="48">
        <v>0</v>
      </c>
      <c r="AA81" s="48">
        <v>3</v>
      </c>
      <c r="AB81" s="48">
        <v>4</v>
      </c>
      <c r="AC81" s="48">
        <v>3</v>
      </c>
      <c r="AD81" s="48">
        <v>3</v>
      </c>
      <c r="AE81" s="48">
        <v>4</v>
      </c>
      <c r="AF81" s="48">
        <v>0</v>
      </c>
      <c r="AG81" s="48">
        <v>0</v>
      </c>
      <c r="AH81" s="48">
        <v>3</v>
      </c>
      <c r="AI81" s="48">
        <v>4</v>
      </c>
      <c r="AJ81" s="48">
        <v>0</v>
      </c>
      <c r="AK81" s="50">
        <v>3</v>
      </c>
      <c r="AL81" s="1" t="s">
        <v>3</v>
      </c>
    </row>
    <row r="82" spans="2:38">
      <c r="B82" s="229" t="s">
        <v>41</v>
      </c>
      <c r="C82" s="230"/>
      <c r="D82" s="230"/>
      <c r="E82" s="230"/>
      <c r="F82" s="230"/>
      <c r="G82" s="230"/>
      <c r="H82" s="48">
        <v>0</v>
      </c>
      <c r="I82" s="48">
        <v>0</v>
      </c>
      <c r="J82" s="48">
        <v>1.5</v>
      </c>
      <c r="K82" s="48">
        <v>0</v>
      </c>
      <c r="L82" s="48">
        <v>0</v>
      </c>
      <c r="M82" s="48">
        <v>1.5</v>
      </c>
      <c r="N82" s="48">
        <v>2</v>
      </c>
      <c r="O82" s="48">
        <v>1.5</v>
      </c>
      <c r="P82" s="48">
        <v>1.5</v>
      </c>
      <c r="Q82" s="48">
        <v>1.5</v>
      </c>
      <c r="R82" s="48">
        <v>0</v>
      </c>
      <c r="S82" s="48">
        <v>0</v>
      </c>
      <c r="T82" s="48">
        <v>1.5</v>
      </c>
      <c r="U82" s="48">
        <v>2</v>
      </c>
      <c r="V82" s="48">
        <v>1.5</v>
      </c>
      <c r="W82" s="48">
        <v>1.5</v>
      </c>
      <c r="X82" s="48">
        <v>1.5</v>
      </c>
      <c r="Y82" s="48">
        <v>0</v>
      </c>
      <c r="Z82" s="48">
        <v>0</v>
      </c>
      <c r="AA82" s="48">
        <v>1.5</v>
      </c>
      <c r="AB82" s="48">
        <v>2</v>
      </c>
      <c r="AC82" s="48">
        <v>1.5</v>
      </c>
      <c r="AD82" s="48">
        <v>1.5</v>
      </c>
      <c r="AE82" s="48">
        <v>1.5</v>
      </c>
      <c r="AF82" s="48">
        <v>0</v>
      </c>
      <c r="AG82" s="48">
        <v>0</v>
      </c>
      <c r="AH82" s="48">
        <v>1.5</v>
      </c>
      <c r="AI82" s="48">
        <v>2</v>
      </c>
      <c r="AJ82" s="48">
        <v>0</v>
      </c>
      <c r="AK82" s="50">
        <v>1.5</v>
      </c>
      <c r="AL82" s="1" t="s">
        <v>3</v>
      </c>
    </row>
    <row r="83" spans="2:38" ht="15.5" thickBot="1">
      <c r="B83" s="231" t="s">
        <v>42</v>
      </c>
      <c r="C83" s="232"/>
      <c r="D83" s="232"/>
      <c r="E83" s="232"/>
      <c r="F83" s="232"/>
      <c r="G83" s="232"/>
      <c r="H83" s="51">
        <f t="shared" ref="H83:AK83" si="30">H81-(H80+H82)</f>
        <v>0</v>
      </c>
      <c r="I83" s="51">
        <f t="shared" si="30"/>
        <v>0</v>
      </c>
      <c r="J83" s="51">
        <f t="shared" si="30"/>
        <v>-2.5</v>
      </c>
      <c r="K83" s="51">
        <f t="shared" si="30"/>
        <v>0</v>
      </c>
      <c r="L83" s="51">
        <f t="shared" si="30"/>
        <v>0</v>
      </c>
      <c r="M83" s="51">
        <f t="shared" si="30"/>
        <v>1.5</v>
      </c>
      <c r="N83" s="51">
        <f t="shared" si="30"/>
        <v>-9</v>
      </c>
      <c r="O83" s="51">
        <f t="shared" si="30"/>
        <v>-6.5</v>
      </c>
      <c r="P83" s="51">
        <f t="shared" si="30"/>
        <v>-15.5</v>
      </c>
      <c r="Q83" s="51">
        <f t="shared" si="30"/>
        <v>-1.5</v>
      </c>
      <c r="R83" s="51">
        <f t="shared" si="30"/>
        <v>0</v>
      </c>
      <c r="S83" s="51">
        <f t="shared" si="30"/>
        <v>0</v>
      </c>
      <c r="T83" s="51">
        <f t="shared" si="30"/>
        <v>1.5</v>
      </c>
      <c r="U83" s="51">
        <f t="shared" si="30"/>
        <v>-9</v>
      </c>
      <c r="V83" s="51">
        <f t="shared" si="30"/>
        <v>-11.5</v>
      </c>
      <c r="W83" s="51">
        <f t="shared" si="30"/>
        <v>-6.5</v>
      </c>
      <c r="X83" s="51">
        <f t="shared" si="30"/>
        <v>-10.5</v>
      </c>
      <c r="Y83" s="51">
        <f t="shared" si="30"/>
        <v>0</v>
      </c>
      <c r="Z83" s="51">
        <f t="shared" si="30"/>
        <v>0</v>
      </c>
      <c r="AA83" s="51">
        <f t="shared" si="30"/>
        <v>-0.5</v>
      </c>
      <c r="AB83" s="51">
        <f t="shared" si="30"/>
        <v>-26</v>
      </c>
      <c r="AC83" s="51">
        <f t="shared" si="30"/>
        <v>-13.5</v>
      </c>
      <c r="AD83" s="51">
        <f t="shared" si="30"/>
        <v>-2.5</v>
      </c>
      <c r="AE83" s="51">
        <f t="shared" si="30"/>
        <v>-13.5</v>
      </c>
      <c r="AF83" s="51">
        <f t="shared" si="30"/>
        <v>0</v>
      </c>
      <c r="AG83" s="51">
        <f t="shared" si="30"/>
        <v>0</v>
      </c>
      <c r="AH83" s="51">
        <f t="shared" si="30"/>
        <v>1.5</v>
      </c>
      <c r="AI83" s="51">
        <f t="shared" si="30"/>
        <v>-3</v>
      </c>
      <c r="AJ83" s="51">
        <f t="shared" si="30"/>
        <v>0</v>
      </c>
      <c r="AK83" s="64">
        <f t="shared" si="30"/>
        <v>-4.5</v>
      </c>
      <c r="AL83" s="1" t="s">
        <v>3</v>
      </c>
    </row>
    <row r="84" spans="2:38">
      <c r="J84" s="58"/>
    </row>
  </sheetData>
  <mergeCells count="47">
    <mergeCell ref="C3:D5"/>
    <mergeCell ref="E3:E5"/>
    <mergeCell ref="F3:F5"/>
    <mergeCell ref="B6:B28"/>
    <mergeCell ref="C6:D6"/>
    <mergeCell ref="C7:D7"/>
    <mergeCell ref="C8:D8"/>
    <mergeCell ref="C9:D9"/>
    <mergeCell ref="C10:D10"/>
    <mergeCell ref="C11:D11"/>
    <mergeCell ref="C12:D12"/>
    <mergeCell ref="C24:C28"/>
    <mergeCell ref="C13:C23"/>
    <mergeCell ref="B29:B45"/>
    <mergeCell ref="C29:D29"/>
    <mergeCell ref="C30:D30"/>
    <mergeCell ref="C31:D31"/>
    <mergeCell ref="C32:D32"/>
    <mergeCell ref="C33:D33"/>
    <mergeCell ref="C34:D34"/>
    <mergeCell ref="C35:D35"/>
    <mergeCell ref="C36:C41"/>
    <mergeCell ref="C42:C45"/>
    <mergeCell ref="B46:B62"/>
    <mergeCell ref="C46:D46"/>
    <mergeCell ref="C47:D47"/>
    <mergeCell ref="C48:D48"/>
    <mergeCell ref="C49:D49"/>
    <mergeCell ref="C50:D50"/>
    <mergeCell ref="C51:D51"/>
    <mergeCell ref="C52:D52"/>
    <mergeCell ref="C53:C58"/>
    <mergeCell ref="C59:C62"/>
    <mergeCell ref="B83:G83"/>
    <mergeCell ref="C69:D69"/>
    <mergeCell ref="C70:C75"/>
    <mergeCell ref="C76:C79"/>
    <mergeCell ref="B80:G80"/>
    <mergeCell ref="B81:G81"/>
    <mergeCell ref="B82:G82"/>
    <mergeCell ref="B63:B79"/>
    <mergeCell ref="C63:D63"/>
    <mergeCell ref="C64:D64"/>
    <mergeCell ref="C65:D65"/>
    <mergeCell ref="C66:D66"/>
    <mergeCell ref="C67:D67"/>
    <mergeCell ref="C68:D68"/>
  </mergeCells>
  <phoneticPr fontId="2"/>
  <conditionalFormatting sqref="H4:AK5">
    <cfRule type="timePeriod" dxfId="29" priority="1" timePeriod="today">
      <formula>FLOOR(H4,1)=TODAY()</formula>
    </cfRule>
  </conditionalFormatting>
  <conditionalFormatting sqref="H83:AK83">
    <cfRule type="cellIs" dxfId="27" priority="6" operator="notEqual">
      <formula>0</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4" id="{AA86CE84-B8FC-419E-BA99-78A802866DB2}">
            <xm:f>OR(WEEKDAY(H$4,2)&gt;=6,COUNTIF(祝日!$A:$A,H$4)&gt;=1)</xm:f>
            <x14:dxf>
              <fill>
                <patternFill>
                  <bgColor theme="1" tint="0.499984740745262"/>
                </patternFill>
              </fill>
            </x14:dxf>
          </x14:cfRule>
          <xm:sqref>H6:AK79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178E2-01B1-4F8D-8337-46FC6440BB43}">
  <dimension ref="B2:AL29"/>
  <sheetViews>
    <sheetView zoomScale="130" zoomScaleNormal="130" workbookViewId="0">
      <pane xSplit="7" ySplit="5" topLeftCell="AH6" activePane="bottomRight" state="frozen"/>
      <selection pane="topRight" activeCell="Q66" sqref="Q66"/>
      <selection pane="bottomLeft" activeCell="Q66" sqref="Q66"/>
      <selection pane="bottomRight" activeCell="H6" sqref="H6"/>
    </sheetView>
  </sheetViews>
  <sheetFormatPr defaultRowHeight="15" outlineLevelRow="1"/>
  <cols>
    <col min="1" max="1" width="3.42578125" customWidth="1"/>
    <col min="2" max="2" width="4.640625" customWidth="1"/>
    <col min="3" max="3" width="3.35546875" bestFit="1" customWidth="1"/>
    <col min="4" max="4" width="8.5703125" customWidth="1"/>
    <col min="5" max="5" width="6.85546875" style="11" bestFit="1" customWidth="1"/>
    <col min="6" max="6" width="6" customWidth="1"/>
    <col min="7" max="7" width="4.640625" hidden="1" customWidth="1"/>
    <col min="8" max="8" width="4.5703125" customWidth="1"/>
    <col min="9" max="9" width="4.35546875" bestFit="1" customWidth="1"/>
    <col min="10" max="10" width="4.640625" customWidth="1"/>
    <col min="11" max="11" width="4.140625" customWidth="1"/>
    <col min="12" max="12" width="4.35546875" bestFit="1" customWidth="1"/>
    <col min="13" max="13" width="5.640625" customWidth="1"/>
    <col min="14" max="14" width="6.640625" bestFit="1" customWidth="1"/>
    <col min="15" max="15" width="5.85546875" customWidth="1"/>
    <col min="16" max="21" width="4.35546875" bestFit="1" customWidth="1"/>
    <col min="22" max="22" width="4" customWidth="1"/>
    <col min="23" max="37" width="4.140625" customWidth="1"/>
    <col min="38" max="38" width="7.42578125" customWidth="1"/>
  </cols>
  <sheetData>
    <row r="2" spans="2:38">
      <c r="E2"/>
      <c r="J2">
        <v>1</v>
      </c>
      <c r="M2">
        <v>1</v>
      </c>
      <c r="N2">
        <v>1</v>
      </c>
      <c r="O2">
        <v>1</v>
      </c>
      <c r="P2">
        <v>1</v>
      </c>
      <c r="Q2">
        <v>1</v>
      </c>
      <c r="T2">
        <v>1</v>
      </c>
      <c r="U2">
        <v>1</v>
      </c>
      <c r="V2">
        <v>1</v>
      </c>
      <c r="W2">
        <v>1</v>
      </c>
      <c r="X2">
        <v>1</v>
      </c>
      <c r="AA2">
        <v>1</v>
      </c>
      <c r="AB2">
        <v>1</v>
      </c>
      <c r="AC2">
        <v>1</v>
      </c>
      <c r="AD2">
        <v>1</v>
      </c>
      <c r="AE2">
        <v>1</v>
      </c>
      <c r="AH2">
        <v>1</v>
      </c>
      <c r="AI2">
        <v>1</v>
      </c>
      <c r="AK2">
        <v>1</v>
      </c>
      <c r="AL2">
        <f>SUM(H2:AK2)</f>
        <v>19</v>
      </c>
    </row>
    <row r="3" spans="2:38" s="1" customFormat="1" ht="15" customHeight="1">
      <c r="C3" s="266"/>
      <c r="D3" s="267"/>
      <c r="E3" s="262" t="s">
        <v>0</v>
      </c>
      <c r="F3" s="264" t="s">
        <v>1</v>
      </c>
      <c r="G3" s="132"/>
      <c r="H3" s="133">
        <v>46113</v>
      </c>
      <c r="I3" s="134"/>
      <c r="J3" s="134"/>
      <c r="K3" s="134"/>
      <c r="L3" s="134"/>
      <c r="M3" s="134"/>
      <c r="N3" s="135" t="s">
        <v>2</v>
      </c>
      <c r="O3" s="134"/>
      <c r="P3" s="134"/>
      <c r="Q3" s="134"/>
      <c r="R3" s="134"/>
      <c r="S3" s="134"/>
      <c r="T3" s="135" t="s">
        <v>2</v>
      </c>
      <c r="U3" s="134"/>
      <c r="V3" s="134"/>
      <c r="W3" s="134"/>
      <c r="X3" s="134"/>
      <c r="Y3" s="134"/>
      <c r="Z3" s="134"/>
      <c r="AA3" s="134"/>
      <c r="AB3" s="134"/>
      <c r="AC3" s="134"/>
      <c r="AD3" s="134"/>
      <c r="AE3" s="134"/>
      <c r="AF3" s="134"/>
      <c r="AG3" s="134"/>
      <c r="AH3" s="134"/>
      <c r="AI3" s="134"/>
      <c r="AJ3" s="134"/>
      <c r="AK3" s="136"/>
      <c r="AL3" s="1" t="s">
        <v>3</v>
      </c>
    </row>
    <row r="4" spans="2:38" s="1" customFormat="1" ht="13.5" customHeight="1">
      <c r="C4" s="268"/>
      <c r="D4" s="269"/>
      <c r="E4" s="263"/>
      <c r="F4" s="265"/>
      <c r="G4" s="137"/>
      <c r="H4" s="138">
        <f>H3</f>
        <v>46113</v>
      </c>
      <c r="I4" s="139">
        <f t="shared" ref="I4:AK4" si="0">H4+1</f>
        <v>46114</v>
      </c>
      <c r="J4" s="139">
        <f t="shared" si="0"/>
        <v>46115</v>
      </c>
      <c r="K4" s="139">
        <f t="shared" si="0"/>
        <v>46116</v>
      </c>
      <c r="L4" s="139">
        <f t="shared" si="0"/>
        <v>46117</v>
      </c>
      <c r="M4" s="139">
        <f t="shared" si="0"/>
        <v>46118</v>
      </c>
      <c r="N4" s="139">
        <f t="shared" si="0"/>
        <v>46119</v>
      </c>
      <c r="O4" s="139">
        <f t="shared" si="0"/>
        <v>46120</v>
      </c>
      <c r="P4" s="139">
        <f t="shared" si="0"/>
        <v>46121</v>
      </c>
      <c r="Q4" s="139">
        <f t="shared" si="0"/>
        <v>46122</v>
      </c>
      <c r="R4" s="139">
        <f t="shared" si="0"/>
        <v>46123</v>
      </c>
      <c r="S4" s="139">
        <f t="shared" si="0"/>
        <v>46124</v>
      </c>
      <c r="T4" s="139">
        <f t="shared" si="0"/>
        <v>46125</v>
      </c>
      <c r="U4" s="139">
        <f t="shared" si="0"/>
        <v>46126</v>
      </c>
      <c r="V4" s="139">
        <f t="shared" si="0"/>
        <v>46127</v>
      </c>
      <c r="W4" s="139">
        <f t="shared" si="0"/>
        <v>46128</v>
      </c>
      <c r="X4" s="139">
        <f t="shared" si="0"/>
        <v>46129</v>
      </c>
      <c r="Y4" s="139">
        <f t="shared" si="0"/>
        <v>46130</v>
      </c>
      <c r="Z4" s="139">
        <f t="shared" si="0"/>
        <v>46131</v>
      </c>
      <c r="AA4" s="139">
        <f t="shared" si="0"/>
        <v>46132</v>
      </c>
      <c r="AB4" s="139">
        <f t="shared" si="0"/>
        <v>46133</v>
      </c>
      <c r="AC4" s="139">
        <f t="shared" si="0"/>
        <v>46134</v>
      </c>
      <c r="AD4" s="139">
        <f t="shared" si="0"/>
        <v>46135</v>
      </c>
      <c r="AE4" s="139">
        <f t="shared" si="0"/>
        <v>46136</v>
      </c>
      <c r="AF4" s="139">
        <f t="shared" si="0"/>
        <v>46137</v>
      </c>
      <c r="AG4" s="139">
        <f t="shared" si="0"/>
        <v>46138</v>
      </c>
      <c r="AH4" s="139">
        <f t="shared" si="0"/>
        <v>46139</v>
      </c>
      <c r="AI4" s="139">
        <f t="shared" si="0"/>
        <v>46140</v>
      </c>
      <c r="AJ4" s="139">
        <f t="shared" si="0"/>
        <v>46141</v>
      </c>
      <c r="AK4" s="140">
        <f t="shared" si="0"/>
        <v>46142</v>
      </c>
      <c r="AL4" s="1" t="s">
        <v>3</v>
      </c>
    </row>
    <row r="5" spans="2:38" s="1" customFormat="1" ht="14" thickBot="1">
      <c r="C5" s="268"/>
      <c r="D5" s="269"/>
      <c r="E5" s="263"/>
      <c r="F5" s="265"/>
      <c r="G5" s="141"/>
      <c r="H5" s="142">
        <f>H4</f>
        <v>46113</v>
      </c>
      <c r="I5" s="143">
        <f t="shared" ref="I5:AK5" si="1">I4</f>
        <v>46114</v>
      </c>
      <c r="J5" s="143">
        <f t="shared" si="1"/>
        <v>46115</v>
      </c>
      <c r="K5" s="143">
        <f t="shared" si="1"/>
        <v>46116</v>
      </c>
      <c r="L5" s="143">
        <f t="shared" si="1"/>
        <v>46117</v>
      </c>
      <c r="M5" s="143">
        <f t="shared" si="1"/>
        <v>46118</v>
      </c>
      <c r="N5" s="143">
        <f t="shared" si="1"/>
        <v>46119</v>
      </c>
      <c r="O5" s="143">
        <f t="shared" si="1"/>
        <v>46120</v>
      </c>
      <c r="P5" s="143">
        <f t="shared" si="1"/>
        <v>46121</v>
      </c>
      <c r="Q5" s="143">
        <f t="shared" si="1"/>
        <v>46122</v>
      </c>
      <c r="R5" s="143">
        <f t="shared" si="1"/>
        <v>46123</v>
      </c>
      <c r="S5" s="143">
        <f t="shared" si="1"/>
        <v>46124</v>
      </c>
      <c r="T5" s="143">
        <f t="shared" si="1"/>
        <v>46125</v>
      </c>
      <c r="U5" s="143">
        <f t="shared" si="1"/>
        <v>46126</v>
      </c>
      <c r="V5" s="143">
        <f t="shared" si="1"/>
        <v>46127</v>
      </c>
      <c r="W5" s="143">
        <f t="shared" si="1"/>
        <v>46128</v>
      </c>
      <c r="X5" s="143">
        <f t="shared" si="1"/>
        <v>46129</v>
      </c>
      <c r="Y5" s="143">
        <f t="shared" si="1"/>
        <v>46130</v>
      </c>
      <c r="Z5" s="143">
        <f t="shared" si="1"/>
        <v>46131</v>
      </c>
      <c r="AA5" s="143">
        <f t="shared" si="1"/>
        <v>46132</v>
      </c>
      <c r="AB5" s="143">
        <f t="shared" si="1"/>
        <v>46133</v>
      </c>
      <c r="AC5" s="143">
        <f t="shared" si="1"/>
        <v>46134</v>
      </c>
      <c r="AD5" s="143">
        <f t="shared" si="1"/>
        <v>46135</v>
      </c>
      <c r="AE5" s="143">
        <f t="shared" si="1"/>
        <v>46136</v>
      </c>
      <c r="AF5" s="143">
        <f t="shared" si="1"/>
        <v>46137</v>
      </c>
      <c r="AG5" s="143">
        <f t="shared" si="1"/>
        <v>46138</v>
      </c>
      <c r="AH5" s="143">
        <f t="shared" si="1"/>
        <v>46139</v>
      </c>
      <c r="AI5" s="143">
        <f t="shared" si="1"/>
        <v>46140</v>
      </c>
      <c r="AJ5" s="143">
        <f t="shared" si="1"/>
        <v>46141</v>
      </c>
      <c r="AK5" s="144">
        <f t="shared" si="1"/>
        <v>46142</v>
      </c>
      <c r="AL5" s="1" t="s">
        <v>3</v>
      </c>
    </row>
    <row r="6" spans="2:38" s="1" customFormat="1" ht="15" customHeight="1">
      <c r="B6" s="226" t="s">
        <v>4</v>
      </c>
      <c r="C6" s="259" t="s">
        <v>52</v>
      </c>
      <c r="D6" s="260"/>
      <c r="E6" s="149">
        <f>'0401(予定）'!E6</f>
        <v>4525</v>
      </c>
      <c r="F6" s="149" t="str">
        <f>'0401(予定）'!F6</f>
        <v>-</v>
      </c>
      <c r="G6" s="150" t="str">
        <f>'0401(予定）'!G6</f>
        <v>件数</v>
      </c>
      <c r="H6" s="151">
        <f>'0401(予定）'!H6</f>
        <v>0</v>
      </c>
      <c r="I6" s="151">
        <f>'0401(予定）'!I6</f>
        <v>0</v>
      </c>
      <c r="J6" s="151">
        <f>'0401(予定）'!J6</f>
        <v>568</v>
      </c>
      <c r="K6" s="151">
        <f>'0401(予定）'!K6</f>
        <v>0</v>
      </c>
      <c r="L6" s="151">
        <f>'0401(予定）'!L6</f>
        <v>0</v>
      </c>
      <c r="M6" s="151">
        <f>'0401(予定）'!M6</f>
        <v>487</v>
      </c>
      <c r="N6" s="151">
        <f>'0401(予定）'!N6</f>
        <v>0</v>
      </c>
      <c r="O6" s="151">
        <f>'0401(予定）'!O6</f>
        <v>498</v>
      </c>
      <c r="P6" s="151">
        <f>'0401(予定）'!P6</f>
        <v>43</v>
      </c>
      <c r="Q6" s="151">
        <f>'0401(予定）'!Q6</f>
        <v>43</v>
      </c>
      <c r="R6" s="151">
        <f>'0401(予定）'!R6</f>
        <v>0</v>
      </c>
      <c r="S6" s="151">
        <f>'0401(予定）'!S6</f>
        <v>0</v>
      </c>
      <c r="T6" s="151">
        <f>'0401(予定）'!T6</f>
        <v>0</v>
      </c>
      <c r="U6" s="151">
        <f>'0401(予定）'!U6</f>
        <v>226</v>
      </c>
      <c r="V6" s="151">
        <f>'0401(予定）'!V6</f>
        <v>162</v>
      </c>
      <c r="W6" s="151">
        <f>'0401(予定）'!W6</f>
        <v>86</v>
      </c>
      <c r="X6" s="151">
        <f>'0401(予定）'!X6</f>
        <v>866</v>
      </c>
      <c r="Y6" s="151">
        <f>'0401(予定）'!Y6</f>
        <v>0</v>
      </c>
      <c r="Z6" s="151">
        <f>'0401(予定）'!Z6</f>
        <v>0</v>
      </c>
      <c r="AA6" s="151">
        <f>'0401(予定）'!AA6</f>
        <v>356</v>
      </c>
      <c r="AB6" s="151">
        <f>'0401(予定）'!AB6</f>
        <v>220</v>
      </c>
      <c r="AC6" s="151">
        <f>'0401(予定）'!AC6</f>
        <v>228</v>
      </c>
      <c r="AD6" s="151">
        <f>'0401(予定）'!AD6</f>
        <v>161</v>
      </c>
      <c r="AE6" s="151">
        <f>'0401(予定）'!AE6</f>
        <v>116</v>
      </c>
      <c r="AF6" s="151">
        <f>'0401(予定）'!AF6</f>
        <v>0</v>
      </c>
      <c r="AG6" s="151">
        <f>'0401(予定）'!AG6</f>
        <v>0</v>
      </c>
      <c r="AH6" s="151">
        <f>'0401(予定）'!AH6</f>
        <v>81</v>
      </c>
      <c r="AI6" s="151">
        <f>'0401(予定）'!AI6</f>
        <v>179</v>
      </c>
      <c r="AJ6" s="151">
        <f>'0401(予定）'!AJ6</f>
        <v>0</v>
      </c>
      <c r="AK6" s="152">
        <f>'0401(予定）'!AK6</f>
        <v>205</v>
      </c>
      <c r="AL6" s="1">
        <f>SUM(H6:AK6)</f>
        <v>4525</v>
      </c>
    </row>
    <row r="7" spans="2:38" s="1" customFormat="1" ht="15" customHeight="1">
      <c r="B7" s="208"/>
      <c r="C7" s="237" t="s">
        <v>5</v>
      </c>
      <c r="D7" s="238"/>
      <c r="E7" s="117">
        <f>'0401(実績)'!E6</f>
        <v>2876</v>
      </c>
      <c r="F7" s="117" t="str">
        <f>'0401(実績)'!F6</f>
        <v>-</v>
      </c>
      <c r="G7" s="118" t="str">
        <f>'0401(実績)'!G6</f>
        <v>件数</v>
      </c>
      <c r="H7" s="119">
        <f>'0401(実績)'!H6</f>
        <v>0</v>
      </c>
      <c r="I7" s="119">
        <f>'0401(実績)'!I6</f>
        <v>0</v>
      </c>
      <c r="J7" s="119">
        <f>'0401(実績)'!J6</f>
        <v>195</v>
      </c>
      <c r="K7" s="119">
        <f>'0401(実績)'!K6</f>
        <v>0</v>
      </c>
      <c r="L7" s="119">
        <f>'0401(実績)'!L6</f>
        <v>0</v>
      </c>
      <c r="M7" s="119">
        <f>'0401(実績)'!M6</f>
        <v>113</v>
      </c>
      <c r="N7" s="119">
        <f>'0401(実績)'!N6</f>
        <v>144</v>
      </c>
      <c r="O7" s="119">
        <f>'0401(実績)'!O6</f>
        <v>122</v>
      </c>
      <c r="P7" s="119">
        <f>'0401(実績)'!P6</f>
        <v>156</v>
      </c>
      <c r="Q7" s="119">
        <f>'0401(実績)'!Q6</f>
        <v>139</v>
      </c>
      <c r="R7" s="119">
        <f>'0401(実績)'!R6</f>
        <v>0</v>
      </c>
      <c r="S7" s="119">
        <f>'0401(実績)'!S6</f>
        <v>0</v>
      </c>
      <c r="T7" s="119">
        <f>'0401(実績)'!T6</f>
        <v>144</v>
      </c>
      <c r="U7" s="119">
        <f>'0401(実績)'!U6</f>
        <v>229</v>
      </c>
      <c r="V7" s="119">
        <f>'0401(実績)'!V6</f>
        <v>126</v>
      </c>
      <c r="W7" s="119">
        <f>'0401(実績)'!W6</f>
        <v>127</v>
      </c>
      <c r="X7" s="119">
        <f>'0401(実績)'!X6</f>
        <v>109</v>
      </c>
      <c r="Y7" s="119">
        <f>'0401(実績)'!Y6</f>
        <v>0</v>
      </c>
      <c r="Z7" s="119">
        <f>'0401(実績)'!Z6</f>
        <v>0</v>
      </c>
      <c r="AA7" s="119">
        <f>'0401(実績)'!AA6</f>
        <v>188</v>
      </c>
      <c r="AB7" s="119">
        <f>'0401(実績)'!AB6</f>
        <v>86</v>
      </c>
      <c r="AC7" s="119">
        <f>'0401(実績)'!AC6</f>
        <v>277</v>
      </c>
      <c r="AD7" s="119">
        <f>'0401(実績)'!AD6</f>
        <v>136</v>
      </c>
      <c r="AE7" s="119">
        <f>'0401(実績)'!AE6</f>
        <v>124</v>
      </c>
      <c r="AF7" s="119">
        <f>'0401(実績)'!AF6</f>
        <v>0</v>
      </c>
      <c r="AG7" s="119">
        <f>'0401(実績)'!AG6</f>
        <v>0</v>
      </c>
      <c r="AH7" s="119">
        <f>'0401(実績)'!AH6</f>
        <v>110</v>
      </c>
      <c r="AI7" s="119">
        <f>'0401(実績)'!AI6</f>
        <v>159</v>
      </c>
      <c r="AJ7" s="119">
        <f>'0401(実績)'!AJ6</f>
        <v>0</v>
      </c>
      <c r="AK7" s="120">
        <f>'0401(実績)'!AK6</f>
        <v>192</v>
      </c>
      <c r="AL7" s="1">
        <f>SUM(H7:AK7)</f>
        <v>2876</v>
      </c>
    </row>
    <row r="8" spans="2:38" s="1" customFormat="1" ht="15" customHeight="1">
      <c r="B8" s="208"/>
      <c r="C8" s="255" t="s">
        <v>9</v>
      </c>
      <c r="D8" s="261"/>
      <c r="E8" s="153" t="str">
        <f>'0401(予定）'!E8</f>
        <v>-</v>
      </c>
      <c r="F8" s="153" t="str">
        <f>'0401(予定）'!F8</f>
        <v>-</v>
      </c>
      <c r="G8" s="154" t="str">
        <f>'0401(予定）'!G8</f>
        <v>件数</v>
      </c>
      <c r="H8" s="155">
        <f>'0401(予定）'!H8</f>
        <v>0</v>
      </c>
      <c r="I8" s="155">
        <f>'0401(予定）'!I8</f>
        <v>0</v>
      </c>
      <c r="J8" s="155">
        <f>'0401(予定）'!J8</f>
        <v>85</v>
      </c>
      <c r="K8" s="155">
        <f>'0401(予定）'!K8</f>
        <v>85</v>
      </c>
      <c r="L8" s="155">
        <f>'0401(予定）'!L8</f>
        <v>85</v>
      </c>
      <c r="M8" s="155">
        <f>'0401(予定）'!M8</f>
        <v>160</v>
      </c>
      <c r="N8" s="155">
        <f>'0401(予定）'!N8</f>
        <v>235</v>
      </c>
      <c r="O8" s="155">
        <f>'0401(予定）'!O8</f>
        <v>310</v>
      </c>
      <c r="P8" s="155">
        <f>'0401(予定）'!P8</f>
        <v>385</v>
      </c>
      <c r="Q8" s="155">
        <f>'0401(予定）'!Q8</f>
        <v>470</v>
      </c>
      <c r="R8" s="155">
        <f>'0401(予定）'!R8</f>
        <v>470</v>
      </c>
      <c r="S8" s="155">
        <f>'0401(予定）'!S8</f>
        <v>470</v>
      </c>
      <c r="T8" s="155">
        <f>'0401(予定）'!T8</f>
        <v>535</v>
      </c>
      <c r="U8" s="155">
        <f>'0401(予定）'!U8</f>
        <v>600</v>
      </c>
      <c r="V8" s="155">
        <f>'0401(予定）'!V8</f>
        <v>665</v>
      </c>
      <c r="W8" s="155">
        <f>'0401(予定）'!W8</f>
        <v>730</v>
      </c>
      <c r="X8" s="155">
        <f>'0401(予定）'!X8</f>
        <v>805</v>
      </c>
      <c r="Y8" s="155">
        <f>'0401(予定）'!Y8</f>
        <v>805</v>
      </c>
      <c r="Z8" s="155">
        <f>'0401(予定）'!Z8</f>
        <v>805</v>
      </c>
      <c r="AA8" s="155">
        <f>'0401(予定）'!AA8</f>
        <v>910</v>
      </c>
      <c r="AB8" s="155">
        <f>'0401(予定）'!AB8</f>
        <v>1015</v>
      </c>
      <c r="AC8" s="155">
        <f>'0401(予定）'!AC8</f>
        <v>1120</v>
      </c>
      <c r="AD8" s="155">
        <f>'0401(予定）'!AD8</f>
        <v>1225</v>
      </c>
      <c r="AE8" s="155">
        <f>'0401(予定）'!AE8</f>
        <v>1330</v>
      </c>
      <c r="AF8" s="155">
        <f>'0401(予定）'!AF8</f>
        <v>1330</v>
      </c>
      <c r="AG8" s="155">
        <f>'0401(予定）'!AG8</f>
        <v>1330</v>
      </c>
      <c r="AH8" s="155">
        <f>'0401(予定）'!AH8</f>
        <v>1425</v>
      </c>
      <c r="AI8" s="155">
        <f>'0401(予定）'!AI8</f>
        <v>1425</v>
      </c>
      <c r="AJ8" s="155">
        <f>'0401(予定）'!AJ8</f>
        <v>1425</v>
      </c>
      <c r="AK8" s="156">
        <f>'0401(予定）'!AK8</f>
        <v>1520</v>
      </c>
      <c r="AL8" s="1" t="s">
        <v>3</v>
      </c>
    </row>
    <row r="9" spans="2:38" s="1" customFormat="1" ht="15" customHeight="1">
      <c r="B9" s="208"/>
      <c r="C9" s="237" t="s">
        <v>43</v>
      </c>
      <c r="D9" s="238"/>
      <c r="E9" s="117">
        <f>'0401(実績)'!E8</f>
        <v>1831</v>
      </c>
      <c r="F9" s="117" t="str">
        <f>'0401(実績)'!F8</f>
        <v>-</v>
      </c>
      <c r="G9" s="118" t="str">
        <f>'0401(実績)'!G8</f>
        <v>件数</v>
      </c>
      <c r="H9" s="119">
        <f>'0401(実績)'!H8</f>
        <v>0</v>
      </c>
      <c r="I9" s="119">
        <f>'0401(実績)'!I8</f>
        <v>0</v>
      </c>
      <c r="J9" s="119">
        <f>'0401(実績)'!J8</f>
        <v>29</v>
      </c>
      <c r="K9" s="119">
        <f>'0401(実績)'!K8</f>
        <v>29</v>
      </c>
      <c r="L9" s="119">
        <f>'0401(実績)'!L8</f>
        <v>29</v>
      </c>
      <c r="M9" s="119">
        <f>'0401(実績)'!M8</f>
        <v>102</v>
      </c>
      <c r="N9" s="119">
        <f>'0401(実績)'!N8</f>
        <v>190</v>
      </c>
      <c r="O9" s="119">
        <f>'0401(実績)'!O8</f>
        <v>268</v>
      </c>
      <c r="P9" s="119">
        <f>'0401(実績)'!P8</f>
        <v>340</v>
      </c>
      <c r="Q9" s="119">
        <f>'0401(実績)'!Q8</f>
        <v>396</v>
      </c>
      <c r="R9" s="119">
        <f>'0401(実績)'!R8</f>
        <v>396</v>
      </c>
      <c r="S9" s="119">
        <f>'0401(実績)'!S8</f>
        <v>396</v>
      </c>
      <c r="T9" s="119">
        <f>'0401(実績)'!T8</f>
        <v>428</v>
      </c>
      <c r="U9" s="119">
        <f>'0401(実績)'!U8</f>
        <v>516</v>
      </c>
      <c r="V9" s="119">
        <f>'0401(実績)'!V8</f>
        <v>658</v>
      </c>
      <c r="W9" s="119">
        <f>'0401(実績)'!W8</f>
        <v>775</v>
      </c>
      <c r="X9" s="119">
        <f>'0401(実績)'!X8</f>
        <v>897</v>
      </c>
      <c r="Y9" s="119">
        <f>'0401(実績)'!Y8</f>
        <v>897</v>
      </c>
      <c r="Z9" s="119">
        <f>'0401(実績)'!Z8</f>
        <v>897</v>
      </c>
      <c r="AA9" s="119">
        <f>'0401(実績)'!AA8</f>
        <v>1008</v>
      </c>
      <c r="AB9" s="119">
        <f>'0401(実績)'!AB8</f>
        <v>1143</v>
      </c>
      <c r="AC9" s="119">
        <f>'0401(実績)'!AC8</f>
        <v>1274</v>
      </c>
      <c r="AD9" s="119">
        <f>'0401(実績)'!AD8</f>
        <v>1385</v>
      </c>
      <c r="AE9" s="119">
        <f>'0401(実績)'!AE8</f>
        <v>1470</v>
      </c>
      <c r="AF9" s="119">
        <f>'0401(実績)'!AF8</f>
        <v>1470</v>
      </c>
      <c r="AG9" s="119">
        <f>'0401(実績)'!AG8</f>
        <v>1470</v>
      </c>
      <c r="AH9" s="119">
        <f>'0401(実績)'!AH8</f>
        <v>1591</v>
      </c>
      <c r="AI9" s="119">
        <f>'0401(実績)'!AI8</f>
        <v>1712</v>
      </c>
      <c r="AJ9" s="119">
        <f>'0401(実績)'!AJ8</f>
        <v>1712</v>
      </c>
      <c r="AK9" s="120">
        <f>'0401(実績)'!AK8</f>
        <v>1831</v>
      </c>
      <c r="AL9" s="1" t="s">
        <v>3</v>
      </c>
    </row>
    <row r="10" spans="2:38" s="1" customFormat="1" ht="15" customHeight="1">
      <c r="B10" s="208"/>
      <c r="C10" s="255" t="s">
        <v>13</v>
      </c>
      <c r="D10" s="251"/>
      <c r="E10" s="153" t="str">
        <f>'0401(予定）'!E10</f>
        <v>-</v>
      </c>
      <c r="F10" s="153" t="str">
        <f>'0401(予定）'!F10</f>
        <v>-</v>
      </c>
      <c r="G10" s="154" t="str">
        <f>'0401(予定）'!G10</f>
        <v>件数</v>
      </c>
      <c r="H10" s="155">
        <f>'0401(予定）'!H10</f>
        <v>0</v>
      </c>
      <c r="I10" s="155">
        <f>'0401(予定）'!I10</f>
        <v>0</v>
      </c>
      <c r="J10" s="155">
        <f>'0401(予定）'!J10</f>
        <v>39</v>
      </c>
      <c r="K10" s="155">
        <f>'0401(予定）'!K10</f>
        <v>39</v>
      </c>
      <c r="L10" s="155">
        <f>'0401(予定）'!L10</f>
        <v>39</v>
      </c>
      <c r="M10" s="155">
        <f>'0401(予定）'!M10</f>
        <v>74</v>
      </c>
      <c r="N10" s="155">
        <f>'0401(予定）'!N10</f>
        <v>119</v>
      </c>
      <c r="O10" s="155">
        <f>'0401(予定）'!O10</f>
        <v>154</v>
      </c>
      <c r="P10" s="155">
        <f>'0401(予定）'!P10</f>
        <v>189</v>
      </c>
      <c r="Q10" s="155">
        <f>'0401(予定）'!Q10</f>
        <v>234</v>
      </c>
      <c r="R10" s="155">
        <f>'0401(予定）'!R10</f>
        <v>234</v>
      </c>
      <c r="S10" s="155">
        <f>'0401(予定）'!S10</f>
        <v>234</v>
      </c>
      <c r="T10" s="155">
        <f>'0401(予定）'!T10</f>
        <v>279</v>
      </c>
      <c r="U10" s="155">
        <f>'0401(予定）'!U10</f>
        <v>334</v>
      </c>
      <c r="V10" s="155">
        <f>'0401(予定）'!V10</f>
        <v>379</v>
      </c>
      <c r="W10" s="155">
        <f>'0401(予定）'!W10</f>
        <v>424</v>
      </c>
      <c r="X10" s="155">
        <f>'0401(予定）'!X10</f>
        <v>479</v>
      </c>
      <c r="Y10" s="155">
        <f>'0401(予定）'!Y10</f>
        <v>479</v>
      </c>
      <c r="Z10" s="155">
        <f>'0401(予定）'!Z10</f>
        <v>479</v>
      </c>
      <c r="AA10" s="155">
        <f>'0401(予定）'!AA10</f>
        <v>549</v>
      </c>
      <c r="AB10" s="155">
        <f>'0401(予定）'!AB10</f>
        <v>621</v>
      </c>
      <c r="AC10" s="155">
        <f>'0401(予定）'!AC10</f>
        <v>691</v>
      </c>
      <c r="AD10" s="155">
        <f>'0401(予定）'!AD10</f>
        <v>761</v>
      </c>
      <c r="AE10" s="155">
        <f>'0401(予定）'!AE10</f>
        <v>841</v>
      </c>
      <c r="AF10" s="155">
        <f>'0401(予定）'!AF10</f>
        <v>841</v>
      </c>
      <c r="AG10" s="155">
        <f>'0401(予定）'!AG10</f>
        <v>841</v>
      </c>
      <c r="AH10" s="155">
        <f>'0401(予定）'!AH10</f>
        <v>921</v>
      </c>
      <c r="AI10" s="155">
        <f>'0401(予定）'!AI10</f>
        <v>921</v>
      </c>
      <c r="AJ10" s="155">
        <f>'0401(予定）'!AJ10</f>
        <v>921</v>
      </c>
      <c r="AK10" s="156">
        <f>'0401(予定）'!AK10</f>
        <v>1001</v>
      </c>
      <c r="AL10" s="1" t="s">
        <v>3</v>
      </c>
    </row>
    <row r="11" spans="2:38" s="1" customFormat="1" ht="16" customHeight="1" thickBot="1">
      <c r="B11" s="209"/>
      <c r="C11" s="252" t="s">
        <v>13</v>
      </c>
      <c r="D11" s="256"/>
      <c r="E11" s="145">
        <f>'0401(実績)'!E10</f>
        <v>1093</v>
      </c>
      <c r="F11" s="145" t="str">
        <f>'0401(実績)'!F10</f>
        <v>-</v>
      </c>
      <c r="G11" s="146" t="str">
        <f>'0401(実績)'!G10</f>
        <v>件数</v>
      </c>
      <c r="H11" s="147">
        <f>'0401(実績)'!H10</f>
        <v>0</v>
      </c>
      <c r="I11" s="147">
        <f>'0401(実績)'!I10</f>
        <v>0</v>
      </c>
      <c r="J11" s="147">
        <f>'0401(実績)'!J10</f>
        <v>24</v>
      </c>
      <c r="K11" s="147">
        <f>'0401(実績)'!K10</f>
        <v>24</v>
      </c>
      <c r="L11" s="147">
        <f>'0401(実績)'!L10</f>
        <v>24</v>
      </c>
      <c r="M11" s="147">
        <f>'0401(実績)'!M10</f>
        <v>41</v>
      </c>
      <c r="N11" s="147">
        <f>'0401(実績)'!N10</f>
        <v>73</v>
      </c>
      <c r="O11" s="147">
        <f>'0401(実績)'!O10</f>
        <v>117</v>
      </c>
      <c r="P11" s="147">
        <f>'0401(実績)'!P10</f>
        <v>157</v>
      </c>
      <c r="Q11" s="147">
        <f>'0401(実績)'!Q10</f>
        <v>213</v>
      </c>
      <c r="R11" s="147">
        <f>'0401(実績)'!R10</f>
        <v>213</v>
      </c>
      <c r="S11" s="147">
        <f>'0401(実績)'!S10</f>
        <v>213</v>
      </c>
      <c r="T11" s="147">
        <f>'0401(実績)'!T10</f>
        <v>266</v>
      </c>
      <c r="U11" s="147">
        <f>'0401(実績)'!U10</f>
        <v>300</v>
      </c>
      <c r="V11" s="147">
        <f>'0401(実績)'!V10</f>
        <v>362</v>
      </c>
      <c r="W11" s="147">
        <f>'0401(実績)'!W10</f>
        <v>477</v>
      </c>
      <c r="X11" s="147">
        <f>'0401(実績)'!X10</f>
        <v>544</v>
      </c>
      <c r="Y11" s="147">
        <f>'0401(実績)'!Y10</f>
        <v>544</v>
      </c>
      <c r="Z11" s="147">
        <f>'0401(実績)'!Z10</f>
        <v>544</v>
      </c>
      <c r="AA11" s="147">
        <f>'0401(実績)'!AA10</f>
        <v>609</v>
      </c>
      <c r="AB11" s="147">
        <f>'0401(実績)'!AB10</f>
        <v>686</v>
      </c>
      <c r="AC11" s="147">
        <f>'0401(実績)'!AC10</f>
        <v>761</v>
      </c>
      <c r="AD11" s="147">
        <f>'0401(実績)'!AD10</f>
        <v>811</v>
      </c>
      <c r="AE11" s="147">
        <f>'0401(実績)'!AE10</f>
        <v>877</v>
      </c>
      <c r="AF11" s="147">
        <f>'0401(実績)'!AF10</f>
        <v>877</v>
      </c>
      <c r="AG11" s="147">
        <f>'0401(実績)'!AG10</f>
        <v>877</v>
      </c>
      <c r="AH11" s="147">
        <f>'0401(実績)'!AH10</f>
        <v>953</v>
      </c>
      <c r="AI11" s="147">
        <f>'0401(実績)'!AI10</f>
        <v>1023</v>
      </c>
      <c r="AJ11" s="147">
        <f>'0401(実績)'!AJ10</f>
        <v>1023</v>
      </c>
      <c r="AK11" s="148">
        <f>'0401(実績)'!AK10</f>
        <v>1093</v>
      </c>
      <c r="AL11" s="1" t="s">
        <v>3</v>
      </c>
    </row>
    <row r="12" spans="2:38" s="1" customFormat="1" ht="15" customHeight="1" outlineLevel="1">
      <c r="B12" s="254" t="s">
        <v>28</v>
      </c>
      <c r="C12" s="259" t="s">
        <v>52</v>
      </c>
      <c r="D12" s="260"/>
      <c r="E12" s="149">
        <f>'0401(予定）'!E24</f>
        <v>904</v>
      </c>
      <c r="F12" s="149" t="str">
        <f>'0401(予定）'!F24</f>
        <v>-</v>
      </c>
      <c r="G12" s="150" t="str">
        <f>'0401(予定）'!G24</f>
        <v>件数</v>
      </c>
      <c r="H12" s="151">
        <f>'0401(予定）'!H24</f>
        <v>0</v>
      </c>
      <c r="I12" s="151">
        <f>'0401(予定）'!I24</f>
        <v>0</v>
      </c>
      <c r="J12" s="151">
        <f>'0401(予定）'!J24</f>
        <v>174</v>
      </c>
      <c r="K12" s="151">
        <f>'0401(予定）'!K24</f>
        <v>0</v>
      </c>
      <c r="L12" s="151">
        <f>'0401(予定）'!L24</f>
        <v>0</v>
      </c>
      <c r="M12" s="151">
        <f>'0401(予定）'!M24</f>
        <v>16</v>
      </c>
      <c r="N12" s="151">
        <f>'0401(予定）'!N24</f>
        <v>17</v>
      </c>
      <c r="O12" s="151">
        <f>'0401(予定）'!O24</f>
        <v>50</v>
      </c>
      <c r="P12" s="151">
        <f>'0401(予定）'!P24</f>
        <v>41</v>
      </c>
      <c r="Q12" s="151">
        <f>'0401(予定）'!Q24</f>
        <v>58</v>
      </c>
      <c r="R12" s="151">
        <f>'0401(予定）'!R24</f>
        <v>0</v>
      </c>
      <c r="S12" s="151">
        <f>'0401(予定）'!S24</f>
        <v>0</v>
      </c>
      <c r="T12" s="151">
        <f>'0401(予定）'!T24</f>
        <v>25</v>
      </c>
      <c r="U12" s="151">
        <f>'0401(予定）'!U24</f>
        <v>57</v>
      </c>
      <c r="V12" s="151">
        <f>'0401(予定）'!V24</f>
        <v>15</v>
      </c>
      <c r="W12" s="151">
        <f>'0401(予定）'!W24</f>
        <v>40</v>
      </c>
      <c r="X12" s="151">
        <f>'0401(予定）'!X24</f>
        <v>98</v>
      </c>
      <c r="Y12" s="151">
        <f>'0401(予定）'!Y24</f>
        <v>0</v>
      </c>
      <c r="Z12" s="151">
        <f>'0401(予定）'!Z24</f>
        <v>0</v>
      </c>
      <c r="AA12" s="151">
        <f>'0401(予定）'!AA24</f>
        <v>36</v>
      </c>
      <c r="AB12" s="151">
        <f>'0401(予定）'!AB24</f>
        <v>17</v>
      </c>
      <c r="AC12" s="151">
        <f>'0401(予定）'!AC24</f>
        <v>50</v>
      </c>
      <c r="AD12" s="151">
        <f>'0401(予定）'!AD24</f>
        <v>41</v>
      </c>
      <c r="AE12" s="151">
        <f>'0401(予定）'!AE24</f>
        <v>58</v>
      </c>
      <c r="AF12" s="151">
        <f>'0401(予定）'!AF24</f>
        <v>0</v>
      </c>
      <c r="AG12" s="151">
        <f>'0401(予定）'!AG24</f>
        <v>0</v>
      </c>
      <c r="AH12" s="151">
        <f>'0401(予定）'!AH24</f>
        <v>25</v>
      </c>
      <c r="AI12" s="151">
        <f>'0401(予定）'!AI24</f>
        <v>64</v>
      </c>
      <c r="AJ12" s="151">
        <f>'0401(予定）'!AJ24</f>
        <v>0</v>
      </c>
      <c r="AK12" s="152">
        <f>'0401(予定）'!AK24</f>
        <v>22</v>
      </c>
      <c r="AL12" s="1" t="s">
        <v>3</v>
      </c>
    </row>
    <row r="13" spans="2:38" s="1" customFormat="1" ht="15" customHeight="1" outlineLevel="1">
      <c r="B13" s="208"/>
      <c r="C13" s="237" t="s">
        <v>5</v>
      </c>
      <c r="D13" s="238"/>
      <c r="E13" s="117">
        <f>'0401(実績)'!E29</f>
        <v>803</v>
      </c>
      <c r="F13" s="117" t="str">
        <f>'0401(実績)'!F29</f>
        <v>-</v>
      </c>
      <c r="G13" s="118" t="str">
        <f>'0401(実績)'!G29</f>
        <v>件数</v>
      </c>
      <c r="H13" s="119">
        <f>'0401(実績)'!H29</f>
        <v>0</v>
      </c>
      <c r="I13" s="119">
        <f>'0401(実績)'!I29</f>
        <v>0</v>
      </c>
      <c r="J13" s="119">
        <f>'0401(実績)'!J29</f>
        <v>187</v>
      </c>
      <c r="K13" s="119">
        <f>'0401(実績)'!K29</f>
        <v>0</v>
      </c>
      <c r="L13" s="119">
        <f>'0401(実績)'!L29</f>
        <v>0</v>
      </c>
      <c r="M13" s="119">
        <f>'0401(実績)'!M29</f>
        <v>21</v>
      </c>
      <c r="N13" s="119">
        <f>'0401(実績)'!N29</f>
        <v>39</v>
      </c>
      <c r="O13" s="119">
        <f>'0401(実績)'!O29</f>
        <v>28</v>
      </c>
      <c r="P13" s="119">
        <f>'0401(実績)'!P29</f>
        <v>34</v>
      </c>
      <c r="Q13" s="119">
        <f>'0401(実績)'!Q29</f>
        <v>49</v>
      </c>
      <c r="R13" s="119">
        <f>'0401(実績)'!R29</f>
        <v>0</v>
      </c>
      <c r="S13" s="119">
        <f>'0401(実績)'!S29</f>
        <v>0</v>
      </c>
      <c r="T13" s="119">
        <f>'0401(実績)'!T29</f>
        <v>33</v>
      </c>
      <c r="U13" s="119">
        <f>'0401(実績)'!U29</f>
        <v>55</v>
      </c>
      <c r="V13" s="119">
        <f>'0401(実績)'!V29</f>
        <v>33</v>
      </c>
      <c r="W13" s="119">
        <f>'0401(実績)'!W29</f>
        <v>24</v>
      </c>
      <c r="X13" s="119">
        <f>'0401(実績)'!X29</f>
        <v>33</v>
      </c>
      <c r="Y13" s="119">
        <f>'0401(実績)'!Y29</f>
        <v>0</v>
      </c>
      <c r="Z13" s="119">
        <f>'0401(実績)'!Z29</f>
        <v>0</v>
      </c>
      <c r="AA13" s="119">
        <f>'0401(実績)'!AA29</f>
        <v>44</v>
      </c>
      <c r="AB13" s="119">
        <f>'0401(実績)'!AB29</f>
        <v>36</v>
      </c>
      <c r="AC13" s="119">
        <f>'0401(実績)'!AC29</f>
        <v>29</v>
      </c>
      <c r="AD13" s="119">
        <f>'0401(実績)'!AD29</f>
        <v>41</v>
      </c>
      <c r="AE13" s="119">
        <f>'0401(実績)'!AE29</f>
        <v>31</v>
      </c>
      <c r="AF13" s="119">
        <f>'0401(実績)'!AF29</f>
        <v>0</v>
      </c>
      <c r="AG13" s="119">
        <f>'0401(実績)'!AG29</f>
        <v>0</v>
      </c>
      <c r="AH13" s="119">
        <f>'0401(実績)'!AH29</f>
        <v>33</v>
      </c>
      <c r="AI13" s="119">
        <f>'0401(実績)'!AI29</f>
        <v>29</v>
      </c>
      <c r="AJ13" s="119">
        <f>'0401(実績)'!AJ29</f>
        <v>0</v>
      </c>
      <c r="AK13" s="120">
        <f>'0401(実績)'!AK29</f>
        <v>24</v>
      </c>
      <c r="AL13" s="1" t="s">
        <v>3</v>
      </c>
    </row>
    <row r="14" spans="2:38" s="1" customFormat="1" ht="15" customHeight="1" outlineLevel="1">
      <c r="B14" s="208"/>
      <c r="C14" s="255" t="s">
        <v>9</v>
      </c>
      <c r="D14" s="261"/>
      <c r="E14" s="153">
        <f>'0401(予定）'!E14</f>
        <v>110</v>
      </c>
      <c r="F14" s="153">
        <f>'0401(予定）'!F14</f>
        <v>20</v>
      </c>
      <c r="G14" s="154" t="str">
        <f>'0401(予定）'!G14</f>
        <v>人数</v>
      </c>
      <c r="H14" s="155">
        <f>'0401(予定）'!H14</f>
        <v>0</v>
      </c>
      <c r="I14" s="155">
        <f>'0401(予定）'!I14</f>
        <v>0</v>
      </c>
      <c r="J14" s="155">
        <f>'0401(予定）'!J14</f>
        <v>0.5</v>
      </c>
      <c r="K14" s="155">
        <f>'0401(予定）'!K14</f>
        <v>0</v>
      </c>
      <c r="L14" s="155">
        <f>'0401(予定）'!L14</f>
        <v>0</v>
      </c>
      <c r="M14" s="155">
        <f>'0401(予定）'!M14</f>
        <v>0.5</v>
      </c>
      <c r="N14" s="155">
        <f>'0401(予定）'!N14</f>
        <v>0.5</v>
      </c>
      <c r="O14" s="155">
        <f>'0401(予定）'!O14</f>
        <v>0.5</v>
      </c>
      <c r="P14" s="155">
        <f>'0401(予定）'!P14</f>
        <v>0.5</v>
      </c>
      <c r="Q14" s="155">
        <f>'0401(予定）'!Q14</f>
        <v>0.5</v>
      </c>
      <c r="R14" s="155">
        <f>'0401(予定）'!R14</f>
        <v>0</v>
      </c>
      <c r="S14" s="155">
        <f>'0401(予定）'!S14</f>
        <v>0</v>
      </c>
      <c r="T14" s="155">
        <f>'0401(予定）'!T14</f>
        <v>0</v>
      </c>
      <c r="U14" s="155">
        <f>'0401(予定）'!U14</f>
        <v>0</v>
      </c>
      <c r="V14" s="155">
        <f>'0401(予定）'!V14</f>
        <v>0</v>
      </c>
      <c r="W14" s="155">
        <f>'0401(予定）'!W14</f>
        <v>0</v>
      </c>
      <c r="X14" s="155">
        <f>'0401(予定）'!X14</f>
        <v>0</v>
      </c>
      <c r="Y14" s="155">
        <f>'0401(予定）'!Y14</f>
        <v>0</v>
      </c>
      <c r="Z14" s="155">
        <f>'0401(予定）'!Z14</f>
        <v>0</v>
      </c>
      <c r="AA14" s="155">
        <f>'0401(予定）'!AA14</f>
        <v>0.5</v>
      </c>
      <c r="AB14" s="155">
        <f>'0401(予定）'!AB14</f>
        <v>0.5</v>
      </c>
      <c r="AC14" s="155">
        <f>'0401(予定）'!AC14</f>
        <v>0.5</v>
      </c>
      <c r="AD14" s="155">
        <f>'0401(予定）'!AD14</f>
        <v>0.5</v>
      </c>
      <c r="AE14" s="155">
        <f>'0401(予定）'!AE14</f>
        <v>0.5</v>
      </c>
      <c r="AF14" s="155">
        <f>'0401(予定）'!AF14</f>
        <v>0</v>
      </c>
      <c r="AG14" s="155">
        <f>'0401(予定）'!AG14</f>
        <v>0</v>
      </c>
      <c r="AH14" s="155">
        <f>'0401(予定）'!AH14</f>
        <v>0</v>
      </c>
      <c r="AI14" s="155">
        <f>'0401(予定）'!AI14</f>
        <v>0</v>
      </c>
      <c r="AJ14" s="155">
        <f>'0401(予定）'!AJ14</f>
        <v>0</v>
      </c>
      <c r="AK14" s="156">
        <f>'0401(予定）'!AK14</f>
        <v>0</v>
      </c>
      <c r="AL14" s="1" t="s">
        <v>3</v>
      </c>
    </row>
    <row r="15" spans="2:38" s="1" customFormat="1" ht="15" customHeight="1" outlineLevel="1">
      <c r="B15" s="208"/>
      <c r="C15" s="237" t="s">
        <v>43</v>
      </c>
      <c r="D15" s="238"/>
      <c r="E15" s="117">
        <f>'0401(実績)'!E14</f>
        <v>70</v>
      </c>
      <c r="F15" s="117">
        <f>'0401(実績)'!F14</f>
        <v>20</v>
      </c>
      <c r="G15" s="118" t="str">
        <f>'0401(実績)'!G14</f>
        <v>件数</v>
      </c>
      <c r="H15" s="119">
        <f>'0401(実績)'!H14</f>
        <v>0</v>
      </c>
      <c r="I15" s="119">
        <f>'0401(実績)'!I14</f>
        <v>0</v>
      </c>
      <c r="J15" s="119">
        <f>'0401(実績)'!J14</f>
        <v>0</v>
      </c>
      <c r="K15" s="119">
        <f>'0401(実績)'!K14</f>
        <v>0</v>
      </c>
      <c r="L15" s="119">
        <f>'0401(実績)'!L14</f>
        <v>0</v>
      </c>
      <c r="M15" s="119">
        <f>'0401(実績)'!M14</f>
        <v>0</v>
      </c>
      <c r="N15" s="119">
        <f>'0401(実績)'!N14</f>
        <v>0</v>
      </c>
      <c r="O15" s="119">
        <f>'0401(実績)'!O14</f>
        <v>0</v>
      </c>
      <c r="P15" s="119">
        <f>'0401(実績)'!P14</f>
        <v>0</v>
      </c>
      <c r="Q15" s="119">
        <f>'0401(実績)'!Q14</f>
        <v>7</v>
      </c>
      <c r="R15" s="119">
        <f>'0401(実績)'!R14</f>
        <v>0</v>
      </c>
      <c r="S15" s="119">
        <f>'0401(実績)'!S14</f>
        <v>0</v>
      </c>
      <c r="T15" s="119">
        <f>'0401(実績)'!T14</f>
        <v>0</v>
      </c>
      <c r="U15" s="119">
        <f>'0401(実績)'!U14</f>
        <v>11</v>
      </c>
      <c r="V15" s="119">
        <f>'0401(実績)'!V14</f>
        <v>0</v>
      </c>
      <c r="W15" s="119">
        <f>'0401(実績)'!W14</f>
        <v>13</v>
      </c>
      <c r="X15" s="119">
        <f>'0401(実績)'!X14</f>
        <v>0</v>
      </c>
      <c r="Y15" s="119">
        <f>'0401(実績)'!Y14</f>
        <v>0</v>
      </c>
      <c r="Z15" s="119">
        <f>'0401(実績)'!Z14</f>
        <v>0</v>
      </c>
      <c r="AA15" s="119">
        <f>'0401(実績)'!AA14</f>
        <v>0</v>
      </c>
      <c r="AB15" s="119">
        <f>'0401(実績)'!AB14</f>
        <v>12</v>
      </c>
      <c r="AC15" s="119">
        <f>'0401(実績)'!AC14</f>
        <v>0</v>
      </c>
      <c r="AD15" s="119">
        <f>'0401(実績)'!AD14</f>
        <v>11</v>
      </c>
      <c r="AE15" s="119">
        <f>'0401(実績)'!AE14</f>
        <v>11</v>
      </c>
      <c r="AF15" s="119">
        <f>'0401(実績)'!AF14</f>
        <v>0</v>
      </c>
      <c r="AG15" s="119">
        <f>'0401(実績)'!AG14</f>
        <v>0</v>
      </c>
      <c r="AH15" s="119">
        <f>'0401(実績)'!AH14</f>
        <v>0</v>
      </c>
      <c r="AI15" s="119">
        <f>'0401(実績)'!AI14</f>
        <v>0</v>
      </c>
      <c r="AJ15" s="119">
        <f>'0401(実績)'!AJ14</f>
        <v>0</v>
      </c>
      <c r="AK15" s="120">
        <f>'0401(実績)'!AK14</f>
        <v>5</v>
      </c>
      <c r="AL15" s="1" t="s">
        <v>3</v>
      </c>
    </row>
    <row r="16" spans="2:38" s="1" customFormat="1" ht="15" customHeight="1" outlineLevel="1">
      <c r="B16" s="208"/>
      <c r="C16" s="255" t="s">
        <v>13</v>
      </c>
      <c r="D16" s="251"/>
      <c r="E16" s="153">
        <f>'0401(予定）'!E16</f>
        <v>180</v>
      </c>
      <c r="F16" s="153">
        <f>'0401(予定）'!F16</f>
        <v>20</v>
      </c>
      <c r="G16" s="154" t="str">
        <f>'0401(予定）'!G16</f>
        <v>人数</v>
      </c>
      <c r="H16" s="155">
        <f>'0401(予定）'!H16</f>
        <v>0</v>
      </c>
      <c r="I16" s="155">
        <f>'0401(予定）'!I16</f>
        <v>0</v>
      </c>
      <c r="J16" s="155">
        <f>'0401(予定）'!J16</f>
        <v>0.5</v>
      </c>
      <c r="K16" s="155">
        <f>'0401(予定）'!K16</f>
        <v>0</v>
      </c>
      <c r="L16" s="155">
        <f>'0401(予定）'!L16</f>
        <v>0</v>
      </c>
      <c r="M16" s="155">
        <f>'0401(予定）'!M16</f>
        <v>0.5</v>
      </c>
      <c r="N16" s="155">
        <f>'0401(予定）'!N16</f>
        <v>0.5</v>
      </c>
      <c r="O16" s="155">
        <f>'0401(予定）'!O16</f>
        <v>0.5</v>
      </c>
      <c r="P16" s="155">
        <f>'0401(予定）'!P16</f>
        <v>0.5</v>
      </c>
      <c r="Q16" s="155">
        <f>'0401(予定）'!Q16</f>
        <v>0.5</v>
      </c>
      <c r="R16" s="155">
        <f>'0401(予定）'!R16</f>
        <v>0</v>
      </c>
      <c r="S16" s="155">
        <f>'0401(予定）'!S16</f>
        <v>0</v>
      </c>
      <c r="T16" s="155">
        <f>'0401(予定）'!T16</f>
        <v>0.5</v>
      </c>
      <c r="U16" s="155">
        <f>'0401(予定）'!U16</f>
        <v>0.5</v>
      </c>
      <c r="V16" s="155">
        <f>'0401(予定）'!V16</f>
        <v>0.5</v>
      </c>
      <c r="W16" s="155">
        <f>'0401(予定）'!W16</f>
        <v>0.5</v>
      </c>
      <c r="X16" s="155">
        <f>'0401(予定）'!X16</f>
        <v>0.5</v>
      </c>
      <c r="Y16" s="155">
        <f>'0401(予定）'!Y16</f>
        <v>0</v>
      </c>
      <c r="Z16" s="155">
        <f>'0401(予定）'!Z16</f>
        <v>0</v>
      </c>
      <c r="AA16" s="155">
        <f>'0401(予定）'!AA16</f>
        <v>0.5</v>
      </c>
      <c r="AB16" s="155">
        <f>'0401(予定）'!AB16</f>
        <v>0.5</v>
      </c>
      <c r="AC16" s="155">
        <f>'0401(予定）'!AC16</f>
        <v>0.5</v>
      </c>
      <c r="AD16" s="155">
        <f>'0401(予定）'!AD16</f>
        <v>0.5</v>
      </c>
      <c r="AE16" s="155">
        <f>'0401(予定）'!AE16</f>
        <v>0.5</v>
      </c>
      <c r="AF16" s="155">
        <f>'0401(予定）'!AF16</f>
        <v>0</v>
      </c>
      <c r="AG16" s="155">
        <f>'0401(予定）'!AG16</f>
        <v>0</v>
      </c>
      <c r="AH16" s="155">
        <f>'0401(予定）'!AH16</f>
        <v>0.5</v>
      </c>
      <c r="AI16" s="155">
        <f>'0401(予定）'!AI16</f>
        <v>0</v>
      </c>
      <c r="AJ16" s="155">
        <f>'0401(予定）'!AJ16</f>
        <v>0</v>
      </c>
      <c r="AK16" s="156">
        <f>'0401(予定）'!AK16</f>
        <v>0.5</v>
      </c>
      <c r="AL16" s="1" t="s">
        <v>3</v>
      </c>
    </row>
    <row r="17" spans="2:38" s="1" customFormat="1" ht="14" outlineLevel="1" thickBot="1">
      <c r="B17" s="208"/>
      <c r="C17" s="252" t="s">
        <v>13</v>
      </c>
      <c r="D17" s="256"/>
      <c r="E17" s="145">
        <f>'0401(実績)'!E16</f>
        <v>57</v>
      </c>
      <c r="F17" s="145">
        <f>'0401(実績)'!F16</f>
        <v>20</v>
      </c>
      <c r="G17" s="146" t="str">
        <f>'0401(実績)'!G16</f>
        <v>件数</v>
      </c>
      <c r="H17" s="147">
        <f>'0401(実績)'!H16</f>
        <v>0</v>
      </c>
      <c r="I17" s="147">
        <f>'0401(実績)'!I16</f>
        <v>0</v>
      </c>
      <c r="J17" s="147">
        <f>'0401(実績)'!J16</f>
        <v>0</v>
      </c>
      <c r="K17" s="147">
        <f>'0401(実績)'!K16</f>
        <v>0</v>
      </c>
      <c r="L17" s="147">
        <f>'0401(実績)'!L16</f>
        <v>0</v>
      </c>
      <c r="M17" s="147">
        <f>'0401(実績)'!M16</f>
        <v>12</v>
      </c>
      <c r="N17" s="147">
        <f>'0401(実績)'!N16</f>
        <v>0</v>
      </c>
      <c r="O17" s="147">
        <f>'0401(実績)'!O16</f>
        <v>15</v>
      </c>
      <c r="P17" s="147">
        <f>'0401(実績)'!P16</f>
        <v>0</v>
      </c>
      <c r="Q17" s="147">
        <f>'0401(実績)'!Q16</f>
        <v>0</v>
      </c>
      <c r="R17" s="147">
        <f>'0401(実績)'!R16</f>
        <v>0</v>
      </c>
      <c r="S17" s="147">
        <f>'0401(実績)'!S16</f>
        <v>0</v>
      </c>
      <c r="T17" s="147">
        <f>'0401(実績)'!T16</f>
        <v>0</v>
      </c>
      <c r="U17" s="147">
        <f>'0401(実績)'!U16</f>
        <v>0</v>
      </c>
      <c r="V17" s="147">
        <f>'0401(実績)'!V16</f>
        <v>0</v>
      </c>
      <c r="W17" s="147">
        <f>'0401(実績)'!W16</f>
        <v>0</v>
      </c>
      <c r="X17" s="147">
        <f>'0401(実績)'!X16</f>
        <v>17</v>
      </c>
      <c r="Y17" s="147">
        <f>'0401(実績)'!Y16</f>
        <v>0</v>
      </c>
      <c r="Z17" s="147">
        <f>'0401(実績)'!Z16</f>
        <v>0</v>
      </c>
      <c r="AA17" s="147">
        <f>'0401(実績)'!AA16</f>
        <v>0</v>
      </c>
      <c r="AB17" s="147">
        <f>'0401(実績)'!AB16</f>
        <v>0</v>
      </c>
      <c r="AC17" s="147">
        <f>'0401(実績)'!AC16</f>
        <v>0</v>
      </c>
      <c r="AD17" s="147">
        <f>'0401(実績)'!AD16</f>
        <v>0</v>
      </c>
      <c r="AE17" s="147">
        <f>'0401(実績)'!AE16</f>
        <v>0</v>
      </c>
      <c r="AF17" s="147">
        <f>'0401(実績)'!AF16</f>
        <v>0</v>
      </c>
      <c r="AG17" s="147">
        <f>'0401(実績)'!AG16</f>
        <v>0</v>
      </c>
      <c r="AH17" s="147">
        <f>'0401(実績)'!AH16</f>
        <v>0</v>
      </c>
      <c r="AI17" s="147">
        <f>'0401(実績)'!AI16</f>
        <v>13</v>
      </c>
      <c r="AJ17" s="147">
        <f>'0401(実績)'!AJ16</f>
        <v>0</v>
      </c>
      <c r="AK17" s="148">
        <f>'0401(実績)'!AK16</f>
        <v>0</v>
      </c>
      <c r="AL17" s="1" t="s">
        <v>3</v>
      </c>
    </row>
    <row r="18" spans="2:38" s="1" customFormat="1" ht="15" customHeight="1" outlineLevel="1">
      <c r="B18" s="226" t="s">
        <v>35</v>
      </c>
      <c r="C18" s="257" t="s">
        <v>52</v>
      </c>
      <c r="D18" s="258"/>
      <c r="E18" s="149">
        <f>'0401(予定）'!E38</f>
        <v>265</v>
      </c>
      <c r="F18" s="149" t="str">
        <f>'0401(予定）'!F38</f>
        <v>-</v>
      </c>
      <c r="G18" s="150" t="str">
        <f>'0401(予定）'!G38</f>
        <v>件数</v>
      </c>
      <c r="H18" s="151">
        <f>'0401(予定）'!H38</f>
        <v>0</v>
      </c>
      <c r="I18" s="151">
        <f>'0401(予定）'!I38</f>
        <v>0</v>
      </c>
      <c r="J18" s="151">
        <f>'0401(予定）'!J38</f>
        <v>83</v>
      </c>
      <c r="K18" s="151">
        <f>'0401(予定）'!K38</f>
        <v>0</v>
      </c>
      <c r="L18" s="151">
        <f>'0401(予定）'!L38</f>
        <v>0</v>
      </c>
      <c r="M18" s="151">
        <f>'0401(予定）'!M38</f>
        <v>1</v>
      </c>
      <c r="N18" s="151">
        <f>'0401(予定）'!N38</f>
        <v>47</v>
      </c>
      <c r="O18" s="151">
        <f>'0401(予定）'!O38</f>
        <v>0</v>
      </c>
      <c r="P18" s="151">
        <f>'0401(予定）'!P38</f>
        <v>1</v>
      </c>
      <c r="Q18" s="151">
        <f>'0401(予定）'!Q38</f>
        <v>6</v>
      </c>
      <c r="R18" s="151">
        <f>'0401(予定）'!R38</f>
        <v>0</v>
      </c>
      <c r="S18" s="151">
        <f>'0401(予定）'!S38</f>
        <v>0</v>
      </c>
      <c r="T18" s="151">
        <f>'0401(予定）'!T38</f>
        <v>15</v>
      </c>
      <c r="U18" s="151">
        <f>'0401(予定）'!U38</f>
        <v>2</v>
      </c>
      <c r="V18" s="151">
        <f>'0401(予定）'!V38</f>
        <v>3</v>
      </c>
      <c r="W18" s="151">
        <f>'0401(予定）'!W38</f>
        <v>8</v>
      </c>
      <c r="X18" s="151">
        <f>'0401(予定）'!X38</f>
        <v>6</v>
      </c>
      <c r="Y18" s="151">
        <f>'0401(予定）'!Y38</f>
        <v>0</v>
      </c>
      <c r="Z18" s="151">
        <f>'0401(予定）'!Z38</f>
        <v>0</v>
      </c>
      <c r="AA18" s="151">
        <f>'0401(予定）'!AA38</f>
        <v>9</v>
      </c>
      <c r="AB18" s="151">
        <f>'0401(予定）'!AB38</f>
        <v>47</v>
      </c>
      <c r="AC18" s="151">
        <f>'0401(予定）'!AC38</f>
        <v>0</v>
      </c>
      <c r="AD18" s="151">
        <f>'0401(予定）'!AD38</f>
        <v>1</v>
      </c>
      <c r="AE18" s="151">
        <f>'0401(予定）'!AE38</f>
        <v>6</v>
      </c>
      <c r="AF18" s="151">
        <f>'0401(予定）'!AF38</f>
        <v>0</v>
      </c>
      <c r="AG18" s="151">
        <f>'0401(予定）'!AG38</f>
        <v>0</v>
      </c>
      <c r="AH18" s="151">
        <f>'0401(予定）'!AH38</f>
        <v>15</v>
      </c>
      <c r="AI18" s="151">
        <f>'0401(予定）'!AI38</f>
        <v>5</v>
      </c>
      <c r="AJ18" s="151">
        <f>'0401(予定）'!AJ38</f>
        <v>0</v>
      </c>
      <c r="AK18" s="152">
        <f>'0401(予定）'!AK38</f>
        <v>10</v>
      </c>
      <c r="AL18" s="1" t="s">
        <v>3</v>
      </c>
    </row>
    <row r="19" spans="2:38" s="1" customFormat="1" ht="15" customHeight="1" outlineLevel="1">
      <c r="B19" s="254"/>
      <c r="C19" s="237" t="s">
        <v>5</v>
      </c>
      <c r="D19" s="238"/>
      <c r="E19" s="117">
        <f>'0401(実績)'!E46</f>
        <v>254</v>
      </c>
      <c r="F19" s="117" t="str">
        <f>'0401(実績)'!F46</f>
        <v>-</v>
      </c>
      <c r="G19" s="118" t="str">
        <f>'0401(実績)'!G46</f>
        <v>件数</v>
      </c>
      <c r="H19" s="119">
        <f>'0401(実績)'!H46</f>
        <v>0</v>
      </c>
      <c r="I19" s="119">
        <f>'0401(実績)'!I46</f>
        <v>0</v>
      </c>
      <c r="J19" s="119">
        <f>'0401(実績)'!J46</f>
        <v>48</v>
      </c>
      <c r="K19" s="119">
        <f>'0401(実績)'!K46</f>
        <v>0</v>
      </c>
      <c r="L19" s="119">
        <f>'0401(実績)'!L46</f>
        <v>0</v>
      </c>
      <c r="M19" s="119">
        <f>'0401(実績)'!M46</f>
        <v>2</v>
      </c>
      <c r="N19" s="119">
        <f>'0401(実績)'!N46</f>
        <v>8</v>
      </c>
      <c r="O19" s="119">
        <f>'0401(実績)'!O46</f>
        <v>5</v>
      </c>
      <c r="P19" s="119">
        <f>'0401(実績)'!P46</f>
        <v>1</v>
      </c>
      <c r="Q19" s="119">
        <f>'0401(実績)'!Q46</f>
        <v>4</v>
      </c>
      <c r="R19" s="119">
        <f>'0401(実績)'!R46</f>
        <v>0</v>
      </c>
      <c r="S19" s="119">
        <f>'0401(実績)'!S46</f>
        <v>0</v>
      </c>
      <c r="T19" s="119">
        <f>'0401(実績)'!T46</f>
        <v>34</v>
      </c>
      <c r="U19" s="119">
        <f>'0401(実績)'!U46</f>
        <v>32</v>
      </c>
      <c r="V19" s="119">
        <f>'0401(実績)'!V46</f>
        <v>9</v>
      </c>
      <c r="W19" s="119">
        <f>'0401(実績)'!W46</f>
        <v>33</v>
      </c>
      <c r="X19" s="119">
        <f>'0401(実績)'!X46</f>
        <v>0</v>
      </c>
      <c r="Y19" s="119">
        <f>'0401(実績)'!Y46</f>
        <v>0</v>
      </c>
      <c r="Z19" s="119">
        <f>'0401(実績)'!Z46</f>
        <v>0</v>
      </c>
      <c r="AA19" s="119">
        <f>'0401(実績)'!AA46</f>
        <v>1</v>
      </c>
      <c r="AB19" s="119">
        <f>'0401(実績)'!AB46</f>
        <v>23</v>
      </c>
      <c r="AC19" s="119">
        <f>'0401(実績)'!AC46</f>
        <v>0</v>
      </c>
      <c r="AD19" s="119">
        <f>'0401(実績)'!AD46</f>
        <v>2</v>
      </c>
      <c r="AE19" s="119">
        <f>'0401(実績)'!AE46</f>
        <v>5</v>
      </c>
      <c r="AF19" s="119">
        <f>'0401(実績)'!AF46</f>
        <v>0</v>
      </c>
      <c r="AG19" s="119">
        <f>'0401(実績)'!AG46</f>
        <v>0</v>
      </c>
      <c r="AH19" s="119">
        <f>'0401(実績)'!AH46</f>
        <v>41</v>
      </c>
      <c r="AI19" s="119">
        <f>'0401(実績)'!AI46</f>
        <v>2</v>
      </c>
      <c r="AJ19" s="119">
        <f>'0401(実績)'!AJ46</f>
        <v>0</v>
      </c>
      <c r="AK19" s="120">
        <f>'0401(実績)'!AK46</f>
        <v>4</v>
      </c>
      <c r="AL19" s="1" t="s">
        <v>3</v>
      </c>
    </row>
    <row r="20" spans="2:38" s="1" customFormat="1" ht="15" customHeight="1" outlineLevel="1">
      <c r="B20" s="208"/>
      <c r="C20" s="250" t="s">
        <v>9</v>
      </c>
      <c r="D20" s="251"/>
      <c r="E20" s="153" t="str">
        <f>'0401(予定）'!E40</f>
        <v>-</v>
      </c>
      <c r="F20" s="153" t="str">
        <f>'0401(予定）'!F40</f>
        <v>-</v>
      </c>
      <c r="G20" s="154" t="str">
        <f>'0401(予定）'!G40</f>
        <v>件数</v>
      </c>
      <c r="H20" s="155">
        <f>'0401(予定）'!H40</f>
        <v>0</v>
      </c>
      <c r="I20" s="155">
        <f>'0401(予定）'!I40</f>
        <v>0</v>
      </c>
      <c r="J20" s="155">
        <f>'0401(予定）'!J40</f>
        <v>0</v>
      </c>
      <c r="K20" s="155">
        <f>'0401(予定）'!K40</f>
        <v>0</v>
      </c>
      <c r="L20" s="155">
        <f>'0401(予定）'!L40</f>
        <v>0</v>
      </c>
      <c r="M20" s="155">
        <f>'0401(予定）'!M40</f>
        <v>0</v>
      </c>
      <c r="N20" s="155">
        <f>'0401(予定）'!N40</f>
        <v>6</v>
      </c>
      <c r="O20" s="155">
        <f>'0401(予定）'!O40</f>
        <v>12</v>
      </c>
      <c r="P20" s="155">
        <f>'0401(予定）'!P40</f>
        <v>18</v>
      </c>
      <c r="Q20" s="155">
        <f>'0401(予定）'!Q40</f>
        <v>24</v>
      </c>
      <c r="R20" s="155">
        <f>'0401(予定）'!R40</f>
        <v>24</v>
      </c>
      <c r="S20" s="155">
        <f>'0401(予定）'!S40</f>
        <v>24</v>
      </c>
      <c r="T20" s="155">
        <f>'0401(予定）'!T40</f>
        <v>60</v>
      </c>
      <c r="U20" s="155">
        <f>'0401(予定）'!U40</f>
        <v>66</v>
      </c>
      <c r="V20" s="155">
        <f>'0401(予定）'!V40</f>
        <v>72</v>
      </c>
      <c r="W20" s="155">
        <f>'0401(予定）'!W40</f>
        <v>78</v>
      </c>
      <c r="X20" s="155">
        <f>'0401(予定）'!X40</f>
        <v>84</v>
      </c>
      <c r="Y20" s="155">
        <f>'0401(予定）'!Y40</f>
        <v>84</v>
      </c>
      <c r="Z20" s="155">
        <f>'0401(予定）'!Z40</f>
        <v>84</v>
      </c>
      <c r="AA20" s="155">
        <f>'0401(予定）'!AA40</f>
        <v>120</v>
      </c>
      <c r="AB20" s="155">
        <f>'0401(予定）'!AB40</f>
        <v>126</v>
      </c>
      <c r="AC20" s="155">
        <f>'0401(予定）'!AC40</f>
        <v>132</v>
      </c>
      <c r="AD20" s="155">
        <f>'0401(予定）'!AD40</f>
        <v>138</v>
      </c>
      <c r="AE20" s="155">
        <f>'0401(予定）'!AE40</f>
        <v>144</v>
      </c>
      <c r="AF20" s="155">
        <f>'0401(予定）'!AF40</f>
        <v>144</v>
      </c>
      <c r="AG20" s="155">
        <f>'0401(予定）'!AG40</f>
        <v>144</v>
      </c>
      <c r="AH20" s="155">
        <f>'0401(予定）'!AH40</f>
        <v>180</v>
      </c>
      <c r="AI20" s="155">
        <f>'0401(予定）'!AI40</f>
        <v>180</v>
      </c>
      <c r="AJ20" s="155">
        <f>'0401(予定）'!AJ40</f>
        <v>180</v>
      </c>
      <c r="AK20" s="156">
        <f>'0401(予定）'!AK40</f>
        <v>201</v>
      </c>
      <c r="AL20" s="1" t="s">
        <v>3</v>
      </c>
    </row>
    <row r="21" spans="2:38" s="1" customFormat="1" ht="15" customHeight="1" outlineLevel="1">
      <c r="B21" s="208"/>
      <c r="C21" s="237" t="s">
        <v>43</v>
      </c>
      <c r="D21" s="238"/>
      <c r="E21" s="117">
        <f>'0401(実績)'!E48</f>
        <v>195</v>
      </c>
      <c r="F21" s="117" t="str">
        <f>'0401(実績)'!F48</f>
        <v>-</v>
      </c>
      <c r="G21" s="118" t="str">
        <f>'0401(実績)'!G48</f>
        <v>件数</v>
      </c>
      <c r="H21" s="119">
        <f>'0401(実績)'!H48</f>
        <v>0</v>
      </c>
      <c r="I21" s="119">
        <f>'0401(実績)'!I48</f>
        <v>0</v>
      </c>
      <c r="J21" s="119">
        <f>'0401(実績)'!J48</f>
        <v>13</v>
      </c>
      <c r="K21" s="119">
        <f>'0401(実績)'!K48</f>
        <v>13</v>
      </c>
      <c r="L21" s="119">
        <f>'0401(実績)'!L48</f>
        <v>13</v>
      </c>
      <c r="M21" s="119">
        <f>'0401(実績)'!M48</f>
        <v>34</v>
      </c>
      <c r="N21" s="119">
        <f>'0401(実績)'!N48</f>
        <v>34</v>
      </c>
      <c r="O21" s="119">
        <f>'0401(実績)'!O48</f>
        <v>39</v>
      </c>
      <c r="P21" s="119">
        <f>'0401(実績)'!P48</f>
        <v>50</v>
      </c>
      <c r="Q21" s="119">
        <f>'0401(実績)'!Q48</f>
        <v>55</v>
      </c>
      <c r="R21" s="119">
        <f>'0401(実績)'!R48</f>
        <v>55</v>
      </c>
      <c r="S21" s="119">
        <f>'0401(実績)'!S48</f>
        <v>55</v>
      </c>
      <c r="T21" s="119">
        <f>'0401(実績)'!T48</f>
        <v>89</v>
      </c>
      <c r="U21" s="119">
        <f>'0401(実績)'!U48</f>
        <v>89</v>
      </c>
      <c r="V21" s="119">
        <f>'0401(実績)'!V48</f>
        <v>92</v>
      </c>
      <c r="W21" s="119">
        <f>'0401(実績)'!W48</f>
        <v>112</v>
      </c>
      <c r="X21" s="119">
        <f>'0401(実績)'!X48</f>
        <v>115</v>
      </c>
      <c r="Y21" s="119">
        <f>'0401(実績)'!Y48</f>
        <v>115</v>
      </c>
      <c r="Z21" s="119">
        <f>'0401(実績)'!Z48</f>
        <v>115</v>
      </c>
      <c r="AA21" s="119">
        <f>'0401(実績)'!AA48</f>
        <v>122</v>
      </c>
      <c r="AB21" s="119">
        <f>'0401(実績)'!AB48</f>
        <v>134</v>
      </c>
      <c r="AC21" s="119">
        <f>'0401(実績)'!AC48</f>
        <v>145</v>
      </c>
      <c r="AD21" s="119">
        <f>'0401(実績)'!AD48</f>
        <v>154</v>
      </c>
      <c r="AE21" s="119">
        <f>'0401(実績)'!AE48</f>
        <v>164</v>
      </c>
      <c r="AF21" s="119">
        <f>'0401(実績)'!AF48</f>
        <v>164</v>
      </c>
      <c r="AG21" s="119">
        <f>'0401(実績)'!AG48</f>
        <v>164</v>
      </c>
      <c r="AH21" s="119">
        <f>'0401(実績)'!AH48</f>
        <v>194</v>
      </c>
      <c r="AI21" s="119">
        <f>'0401(実績)'!AI48</f>
        <v>194</v>
      </c>
      <c r="AJ21" s="119">
        <f>'0401(実績)'!AJ48</f>
        <v>194</v>
      </c>
      <c r="AK21" s="120">
        <f>'0401(実績)'!AK48</f>
        <v>195</v>
      </c>
      <c r="AL21" s="1" t="s">
        <v>3</v>
      </c>
    </row>
    <row r="22" spans="2:38" s="1" customFormat="1" ht="15" customHeight="1" outlineLevel="1">
      <c r="B22" s="208"/>
      <c r="C22" s="250" t="s">
        <v>13</v>
      </c>
      <c r="D22" s="251"/>
      <c r="E22" s="153" t="str">
        <f>'0401(予定）'!E42</f>
        <v>-</v>
      </c>
      <c r="F22" s="153" t="str">
        <f>'0401(予定）'!F42</f>
        <v>-</v>
      </c>
      <c r="G22" s="154" t="str">
        <f>'0401(予定）'!G42</f>
        <v>件数</v>
      </c>
      <c r="H22" s="155">
        <f>'0401(予定）'!H42</f>
        <v>0</v>
      </c>
      <c r="I22" s="155">
        <f>'0401(予定）'!I42</f>
        <v>0</v>
      </c>
      <c r="J22" s="155">
        <f>'0401(予定）'!J42</f>
        <v>8.5</v>
      </c>
      <c r="K22" s="155">
        <f>'0401(予定）'!K42</f>
        <v>8.5</v>
      </c>
      <c r="L22" s="155">
        <f>'0401(予定）'!L42</f>
        <v>8.5</v>
      </c>
      <c r="M22" s="155">
        <f>'0401(予定）'!M42</f>
        <v>17</v>
      </c>
      <c r="N22" s="155">
        <f>'0401(予定）'!N42</f>
        <v>25.5</v>
      </c>
      <c r="O22" s="155">
        <f>'0401(予定）'!O42</f>
        <v>34</v>
      </c>
      <c r="P22" s="155">
        <f>'0401(予定）'!P42</f>
        <v>42.5</v>
      </c>
      <c r="Q22" s="155">
        <f>'0401(予定）'!Q42</f>
        <v>51</v>
      </c>
      <c r="R22" s="155">
        <f>'0401(予定）'!R42</f>
        <v>51</v>
      </c>
      <c r="S22" s="155">
        <f>'0401(予定）'!S42</f>
        <v>51</v>
      </c>
      <c r="T22" s="155">
        <f>'0401(予定）'!T42</f>
        <v>64.5</v>
      </c>
      <c r="U22" s="155">
        <f>'0401(予定）'!U42</f>
        <v>73</v>
      </c>
      <c r="V22" s="155">
        <f>'0401(予定）'!V42</f>
        <v>81.5</v>
      </c>
      <c r="W22" s="155">
        <f>'0401(予定）'!W42</f>
        <v>90</v>
      </c>
      <c r="X22" s="155">
        <f>'0401(予定）'!X42</f>
        <v>98.5</v>
      </c>
      <c r="Y22" s="155">
        <f>'0401(予定）'!Y42</f>
        <v>98.5</v>
      </c>
      <c r="Z22" s="155">
        <f>'0401(予定）'!Z42</f>
        <v>98.5</v>
      </c>
      <c r="AA22" s="155">
        <f>'0401(予定）'!AA42</f>
        <v>112</v>
      </c>
      <c r="AB22" s="155">
        <f>'0401(予定）'!AB42</f>
        <v>120.5</v>
      </c>
      <c r="AC22" s="155">
        <f>'0401(予定）'!AC42</f>
        <v>129</v>
      </c>
      <c r="AD22" s="155">
        <f>'0401(予定）'!AD42</f>
        <v>137.5</v>
      </c>
      <c r="AE22" s="155">
        <f>'0401(予定）'!AE42</f>
        <v>146</v>
      </c>
      <c r="AF22" s="155">
        <f>'0401(予定）'!AF42</f>
        <v>146</v>
      </c>
      <c r="AG22" s="155">
        <f>'0401(予定）'!AG42</f>
        <v>146</v>
      </c>
      <c r="AH22" s="155">
        <f>'0401(予定）'!AH42</f>
        <v>159.5</v>
      </c>
      <c r="AI22" s="155">
        <f>'0401(予定）'!AI42</f>
        <v>159.5</v>
      </c>
      <c r="AJ22" s="155">
        <f>'0401(予定）'!AJ42</f>
        <v>159.5</v>
      </c>
      <c r="AK22" s="156">
        <f>'0401(予定）'!AK42</f>
        <v>173</v>
      </c>
      <c r="AL22" s="1" t="s">
        <v>3</v>
      </c>
    </row>
    <row r="23" spans="2:38" s="1" customFormat="1" ht="15" customHeight="1" outlineLevel="1" thickBot="1">
      <c r="B23" s="208"/>
      <c r="C23" s="252" t="s">
        <v>13</v>
      </c>
      <c r="D23" s="253"/>
      <c r="E23" s="145">
        <f>'0401(実績)'!E50</f>
        <v>200</v>
      </c>
      <c r="F23" s="145" t="str">
        <f>'0401(実績)'!F50</f>
        <v>-</v>
      </c>
      <c r="G23" s="146" t="str">
        <f>'0401(実績)'!G50</f>
        <v>件数</v>
      </c>
      <c r="H23" s="147">
        <f>'0401(実績)'!H50</f>
        <v>0</v>
      </c>
      <c r="I23" s="147">
        <f>'0401(実績)'!I50</f>
        <v>0</v>
      </c>
      <c r="J23" s="147">
        <f>'0401(実績)'!J50</f>
        <v>3</v>
      </c>
      <c r="K23" s="147">
        <f>'0401(実績)'!K50</f>
        <v>3</v>
      </c>
      <c r="L23" s="147">
        <f>'0401(実績)'!L50</f>
        <v>3</v>
      </c>
      <c r="M23" s="147">
        <f>'0401(実績)'!M50</f>
        <v>23</v>
      </c>
      <c r="N23" s="147">
        <f>'0401(実績)'!N50</f>
        <v>33</v>
      </c>
      <c r="O23" s="147">
        <f>'0401(実績)'!O50</f>
        <v>39</v>
      </c>
      <c r="P23" s="147">
        <f>'0401(実績)'!P50</f>
        <v>39</v>
      </c>
      <c r="Q23" s="147">
        <f>'0401(実績)'!Q50</f>
        <v>44</v>
      </c>
      <c r="R23" s="147">
        <f>'0401(実績)'!R50</f>
        <v>44</v>
      </c>
      <c r="S23" s="147">
        <f>'0401(実績)'!S50</f>
        <v>44</v>
      </c>
      <c r="T23" s="147">
        <f>'0401(実績)'!T50</f>
        <v>81</v>
      </c>
      <c r="U23" s="147">
        <f>'0401(実績)'!U50</f>
        <v>83</v>
      </c>
      <c r="V23" s="147">
        <f>'0401(実績)'!V50</f>
        <v>91</v>
      </c>
      <c r="W23" s="147">
        <f>'0401(実績)'!W50</f>
        <v>106</v>
      </c>
      <c r="X23" s="147">
        <f>'0401(実績)'!X50</f>
        <v>114</v>
      </c>
      <c r="Y23" s="147">
        <f>'0401(実績)'!Y50</f>
        <v>114</v>
      </c>
      <c r="Z23" s="147">
        <f>'0401(実績)'!Z50</f>
        <v>114</v>
      </c>
      <c r="AA23" s="147">
        <f>'0401(実績)'!AA50</f>
        <v>117</v>
      </c>
      <c r="AB23" s="147">
        <f>'0401(実績)'!AB50</f>
        <v>131</v>
      </c>
      <c r="AC23" s="147">
        <f>'0401(実績)'!AC50</f>
        <v>136</v>
      </c>
      <c r="AD23" s="147">
        <f>'0401(実績)'!AD50</f>
        <v>143</v>
      </c>
      <c r="AE23" s="147">
        <f>'0401(実績)'!AE50</f>
        <v>153</v>
      </c>
      <c r="AF23" s="147">
        <f>'0401(実績)'!AF50</f>
        <v>153</v>
      </c>
      <c r="AG23" s="147">
        <f>'0401(実績)'!AG50</f>
        <v>153</v>
      </c>
      <c r="AH23" s="147">
        <f>'0401(実績)'!AH50</f>
        <v>181</v>
      </c>
      <c r="AI23" s="147">
        <f>'0401(実績)'!AI50</f>
        <v>193</v>
      </c>
      <c r="AJ23" s="147">
        <f>'0401(実績)'!AJ50</f>
        <v>193</v>
      </c>
      <c r="AK23" s="148">
        <f>'0401(実績)'!AK50</f>
        <v>200</v>
      </c>
      <c r="AL23" s="1" t="s">
        <v>3</v>
      </c>
    </row>
    <row r="24" spans="2:38" s="1" customFormat="1" ht="15" customHeight="1" outlineLevel="1">
      <c r="B24" s="226" t="s">
        <v>38</v>
      </c>
      <c r="C24" s="257" t="s">
        <v>52</v>
      </c>
      <c r="D24" s="258"/>
      <c r="E24" s="149">
        <f>'0401(予定）'!E52</f>
        <v>356</v>
      </c>
      <c r="F24" s="149" t="str">
        <f>'0401(予定）'!F52</f>
        <v>-</v>
      </c>
      <c r="G24" s="150" t="str">
        <f>'0401(予定）'!G52</f>
        <v>件数</v>
      </c>
      <c r="H24" s="151">
        <f>'0401(予定）'!H52</f>
        <v>0</v>
      </c>
      <c r="I24" s="151">
        <f>'0401(予定）'!I52</f>
        <v>0</v>
      </c>
      <c r="J24" s="151">
        <f>'0401(予定）'!J52</f>
        <v>143</v>
      </c>
      <c r="K24" s="151">
        <f>'0401(予定）'!K52</f>
        <v>0</v>
      </c>
      <c r="L24" s="151">
        <f>'0401(予定）'!L52</f>
        <v>0</v>
      </c>
      <c r="M24" s="151">
        <f>'0401(予定）'!M52</f>
        <v>9</v>
      </c>
      <c r="N24" s="151">
        <f>'0401(予定）'!N52</f>
        <v>11</v>
      </c>
      <c r="O24" s="151">
        <f>'0401(予定）'!O52</f>
        <v>5</v>
      </c>
      <c r="P24" s="151">
        <f>'0401(予定）'!P52</f>
        <v>10</v>
      </c>
      <c r="Q24" s="151">
        <f>'0401(予定）'!Q52</f>
        <v>13</v>
      </c>
      <c r="R24" s="151">
        <f>'0401(予定）'!R52</f>
        <v>0</v>
      </c>
      <c r="S24" s="151">
        <f>'0401(予定）'!S52</f>
        <v>0</v>
      </c>
      <c r="T24" s="151">
        <f>'0401(予定）'!T52</f>
        <v>4</v>
      </c>
      <c r="U24" s="151">
        <f>'0401(予定）'!U52</f>
        <v>51</v>
      </c>
      <c r="V24" s="151">
        <f>'0401(予定）'!V52</f>
        <v>7</v>
      </c>
      <c r="W24" s="151">
        <f>'0401(予定）'!W52</f>
        <v>18</v>
      </c>
      <c r="X24" s="151">
        <f>'0401(予定）'!X52</f>
        <v>10</v>
      </c>
      <c r="Y24" s="151">
        <f>'0401(予定）'!Y52</f>
        <v>0</v>
      </c>
      <c r="Z24" s="151">
        <f>'0401(予定）'!Z52</f>
        <v>0</v>
      </c>
      <c r="AA24" s="151">
        <f>'0401(予定）'!AA52</f>
        <v>15</v>
      </c>
      <c r="AB24" s="151">
        <f>'0401(予定）'!AB52</f>
        <v>11</v>
      </c>
      <c r="AC24" s="151">
        <f>'0401(予定）'!AC52</f>
        <v>5</v>
      </c>
      <c r="AD24" s="151">
        <f>'0401(予定）'!AD52</f>
        <v>10</v>
      </c>
      <c r="AE24" s="151">
        <f>'0401(予定）'!AE52</f>
        <v>13</v>
      </c>
      <c r="AF24" s="151">
        <f>'0401(予定）'!AF52</f>
        <v>0</v>
      </c>
      <c r="AG24" s="151">
        <f>'0401(予定）'!AG52</f>
        <v>0</v>
      </c>
      <c r="AH24" s="151">
        <f>'0401(予定）'!AH52</f>
        <v>4</v>
      </c>
      <c r="AI24" s="151">
        <f>'0401(予定）'!AI52</f>
        <v>7</v>
      </c>
      <c r="AJ24" s="151">
        <f>'0401(予定）'!AJ52</f>
        <v>0</v>
      </c>
      <c r="AK24" s="152">
        <f>'0401(予定）'!AK52</f>
        <v>10</v>
      </c>
      <c r="AL24" s="1" t="s">
        <v>3</v>
      </c>
    </row>
    <row r="25" spans="2:38" s="1" customFormat="1" ht="15" customHeight="1" outlineLevel="1">
      <c r="B25" s="254"/>
      <c r="C25" s="237" t="s">
        <v>5</v>
      </c>
      <c r="D25" s="238"/>
      <c r="E25" s="117">
        <f>'0401(実績)'!E63</f>
        <v>324</v>
      </c>
      <c r="F25" s="117" t="str">
        <f>'0401(実績)'!F63</f>
        <v>-</v>
      </c>
      <c r="G25" s="118" t="str">
        <f>'0401(実績)'!G63</f>
        <v>件数</v>
      </c>
      <c r="H25" s="119">
        <f>'0401(実績)'!H63</f>
        <v>0</v>
      </c>
      <c r="I25" s="119">
        <f>'0401(実績)'!I63</f>
        <v>0</v>
      </c>
      <c r="J25" s="119">
        <f>'0401(実績)'!J63</f>
        <v>139</v>
      </c>
      <c r="K25" s="119">
        <f>'0401(実績)'!K63</f>
        <v>0</v>
      </c>
      <c r="L25" s="119">
        <f>'0401(実績)'!L63</f>
        <v>0</v>
      </c>
      <c r="M25" s="119">
        <f>'0401(実績)'!M63</f>
        <v>10</v>
      </c>
      <c r="N25" s="119">
        <f>'0401(実績)'!N63</f>
        <v>9</v>
      </c>
      <c r="O25" s="119">
        <f>'0401(実績)'!O63</f>
        <v>13</v>
      </c>
      <c r="P25" s="119">
        <f>'0401(実績)'!P63</f>
        <v>11</v>
      </c>
      <c r="Q25" s="119">
        <f>'0401(実績)'!Q63</f>
        <v>10</v>
      </c>
      <c r="R25" s="119">
        <f>'0401(実績)'!R63</f>
        <v>0</v>
      </c>
      <c r="S25" s="119">
        <f>'0401(実績)'!S63</f>
        <v>0</v>
      </c>
      <c r="T25" s="119">
        <f>'0401(実績)'!T63</f>
        <v>7</v>
      </c>
      <c r="U25" s="119">
        <f>'0401(実績)'!U63</f>
        <v>11</v>
      </c>
      <c r="V25" s="119">
        <f>'0401(実績)'!V63</f>
        <v>19</v>
      </c>
      <c r="W25" s="119">
        <f>'0401(実績)'!W63</f>
        <v>8</v>
      </c>
      <c r="X25" s="119">
        <f>'0401(実績)'!X63</f>
        <v>14</v>
      </c>
      <c r="Y25" s="119">
        <f>'0401(実績)'!Y63</f>
        <v>0</v>
      </c>
      <c r="Z25" s="119">
        <f>'0401(実績)'!Z63</f>
        <v>0</v>
      </c>
      <c r="AA25" s="119">
        <f>'0401(実績)'!AA63</f>
        <v>11</v>
      </c>
      <c r="AB25" s="119">
        <f>'0401(実績)'!AB63</f>
        <v>7</v>
      </c>
      <c r="AC25" s="119">
        <f>'0401(実績)'!AC63</f>
        <v>6</v>
      </c>
      <c r="AD25" s="119">
        <f>'0401(実績)'!AD63</f>
        <v>9</v>
      </c>
      <c r="AE25" s="119">
        <f>'0401(実績)'!AE63</f>
        <v>10</v>
      </c>
      <c r="AF25" s="119">
        <f>'0401(実績)'!AF63</f>
        <v>0</v>
      </c>
      <c r="AG25" s="119">
        <f>'0401(実績)'!AG63</f>
        <v>0</v>
      </c>
      <c r="AH25" s="119">
        <f>'0401(実績)'!AH63</f>
        <v>5</v>
      </c>
      <c r="AI25" s="119">
        <f>'0401(実績)'!AI63</f>
        <v>10</v>
      </c>
      <c r="AJ25" s="119">
        <f>'0401(実績)'!AJ63</f>
        <v>0</v>
      </c>
      <c r="AK25" s="120">
        <f>'0401(実績)'!AK63</f>
        <v>15</v>
      </c>
      <c r="AL25" s="1" t="s">
        <v>3</v>
      </c>
    </row>
    <row r="26" spans="2:38" s="1" customFormat="1" ht="15" customHeight="1" outlineLevel="1">
      <c r="B26" s="208"/>
      <c r="C26" s="250" t="s">
        <v>9</v>
      </c>
      <c r="D26" s="251"/>
      <c r="E26" s="153" t="str">
        <f>'0401(予定）'!E54</f>
        <v>-</v>
      </c>
      <c r="F26" s="153" t="str">
        <f>'0401(予定）'!F54</f>
        <v>-</v>
      </c>
      <c r="G26" s="154" t="str">
        <f>'0401(予定）'!G54</f>
        <v>件数</v>
      </c>
      <c r="H26" s="155">
        <f>'0401(予定）'!H54</f>
        <v>0</v>
      </c>
      <c r="I26" s="155">
        <f>'0401(予定）'!I54</f>
        <v>0</v>
      </c>
      <c r="J26" s="155">
        <f>'0401(予定）'!J54</f>
        <v>0</v>
      </c>
      <c r="K26" s="155">
        <f>'0401(予定）'!K54</f>
        <v>0</v>
      </c>
      <c r="L26" s="155">
        <f>'0401(予定）'!L54</f>
        <v>0</v>
      </c>
      <c r="M26" s="155">
        <f>'0401(予定）'!M54</f>
        <v>10</v>
      </c>
      <c r="N26" s="155">
        <f>'0401(予定）'!N54</f>
        <v>28</v>
      </c>
      <c r="O26" s="155">
        <f>'0401(予定）'!O54</f>
        <v>46</v>
      </c>
      <c r="P26" s="155">
        <f>'0401(予定）'!P54</f>
        <v>64</v>
      </c>
      <c r="Q26" s="155">
        <f>'0401(予定）'!Q54</f>
        <v>82</v>
      </c>
      <c r="R26" s="155">
        <f>'0401(予定）'!R54</f>
        <v>82</v>
      </c>
      <c r="S26" s="155">
        <f>'0401(予定）'!S54</f>
        <v>82</v>
      </c>
      <c r="T26" s="155">
        <f>'0401(予定）'!T54</f>
        <v>100</v>
      </c>
      <c r="U26" s="155">
        <f>'0401(予定）'!U54</f>
        <v>108</v>
      </c>
      <c r="V26" s="155">
        <f>'0401(予定）'!V54</f>
        <v>116</v>
      </c>
      <c r="W26" s="155">
        <f>'0401(予定）'!W54</f>
        <v>124</v>
      </c>
      <c r="X26" s="155">
        <f>'0401(予定）'!X54</f>
        <v>132</v>
      </c>
      <c r="Y26" s="155">
        <f>'0401(予定）'!Y54</f>
        <v>132</v>
      </c>
      <c r="Z26" s="155">
        <f>'0401(予定）'!Z54</f>
        <v>132</v>
      </c>
      <c r="AA26" s="155">
        <f>'0401(予定）'!AA54</f>
        <v>150</v>
      </c>
      <c r="AB26" s="155">
        <f>'0401(予定）'!AB54</f>
        <v>158</v>
      </c>
      <c r="AC26" s="155">
        <f>'0401(予定）'!AC54</f>
        <v>166</v>
      </c>
      <c r="AD26" s="155">
        <f>'0401(予定）'!AD54</f>
        <v>174</v>
      </c>
      <c r="AE26" s="155">
        <f>'0401(予定）'!AE54</f>
        <v>182</v>
      </c>
      <c r="AF26" s="155">
        <f>'0401(予定）'!AF54</f>
        <v>182</v>
      </c>
      <c r="AG26" s="155">
        <f>'0401(予定）'!AG54</f>
        <v>182</v>
      </c>
      <c r="AH26" s="155">
        <f>'0401(予定）'!AH54</f>
        <v>200</v>
      </c>
      <c r="AI26" s="155">
        <f>'0401(予定）'!AI54</f>
        <v>200</v>
      </c>
      <c r="AJ26" s="155">
        <f>'0401(予定）'!AJ54</f>
        <v>200</v>
      </c>
      <c r="AK26" s="156">
        <f>'0401(予定）'!AK54</f>
        <v>208</v>
      </c>
    </row>
    <row r="27" spans="2:38" s="1" customFormat="1" ht="15" customHeight="1" outlineLevel="1">
      <c r="B27" s="208"/>
      <c r="C27" s="237" t="s">
        <v>43</v>
      </c>
      <c r="D27" s="238"/>
      <c r="E27" s="117">
        <f>'0401(実績)'!E65</f>
        <v>213</v>
      </c>
      <c r="F27" s="117" t="str">
        <f>'0401(実績)'!F65</f>
        <v>-</v>
      </c>
      <c r="G27" s="118" t="str">
        <f>'0401(実績)'!G65</f>
        <v>件数</v>
      </c>
      <c r="H27" s="119">
        <f>'0401(実績)'!H65</f>
        <v>0</v>
      </c>
      <c r="I27" s="119">
        <f>'0401(実績)'!I65</f>
        <v>0</v>
      </c>
      <c r="J27" s="119">
        <f>'0401(実績)'!J65</f>
        <v>6</v>
      </c>
      <c r="K27" s="119">
        <f>'0401(実績)'!K65</f>
        <v>6</v>
      </c>
      <c r="L27" s="119">
        <f>'0401(実績)'!L65</f>
        <v>6</v>
      </c>
      <c r="M27" s="119">
        <f>'0401(実績)'!M65</f>
        <v>20</v>
      </c>
      <c r="N27" s="119">
        <f>'0401(実績)'!N65</f>
        <v>44</v>
      </c>
      <c r="O27" s="119">
        <f>'0401(実績)'!O65</f>
        <v>59</v>
      </c>
      <c r="P27" s="119">
        <f>'0401(実績)'!P65</f>
        <v>76</v>
      </c>
      <c r="Q27" s="119">
        <f>'0401(実績)'!Q65</f>
        <v>76</v>
      </c>
      <c r="R27" s="119">
        <f>'0401(実績)'!R65</f>
        <v>76</v>
      </c>
      <c r="S27" s="119">
        <f>'0401(実績)'!S65</f>
        <v>76</v>
      </c>
      <c r="T27" s="119">
        <f>'0401(実績)'!T65</f>
        <v>85</v>
      </c>
      <c r="U27" s="119">
        <f>'0401(実績)'!U65</f>
        <v>85</v>
      </c>
      <c r="V27" s="119">
        <f>'0401(実績)'!V65</f>
        <v>99</v>
      </c>
      <c r="W27" s="119">
        <f>'0401(実績)'!W65</f>
        <v>109</v>
      </c>
      <c r="X27" s="119">
        <f>'0401(実績)'!X65</f>
        <v>119</v>
      </c>
      <c r="Y27" s="119">
        <f>'0401(実績)'!Y65</f>
        <v>119</v>
      </c>
      <c r="Z27" s="119">
        <f>'0401(実績)'!Z65</f>
        <v>119</v>
      </c>
      <c r="AA27" s="119">
        <f>'0401(実績)'!AA65</f>
        <v>131</v>
      </c>
      <c r="AB27" s="119">
        <f>'0401(実績)'!AB65</f>
        <v>149</v>
      </c>
      <c r="AC27" s="119">
        <f>'0401(実績)'!AC65</f>
        <v>159</v>
      </c>
      <c r="AD27" s="119">
        <f>'0401(実績)'!AD65</f>
        <v>170</v>
      </c>
      <c r="AE27" s="119">
        <f>'0401(実績)'!AE65</f>
        <v>187</v>
      </c>
      <c r="AF27" s="119">
        <f>'0401(実績)'!AF65</f>
        <v>187</v>
      </c>
      <c r="AG27" s="119">
        <f>'0401(実績)'!AG65</f>
        <v>187</v>
      </c>
      <c r="AH27" s="119">
        <f>'0401(実績)'!AH65</f>
        <v>199</v>
      </c>
      <c r="AI27" s="119">
        <f>'0401(実績)'!AI65</f>
        <v>199</v>
      </c>
      <c r="AJ27" s="119">
        <f>'0401(実績)'!AJ65</f>
        <v>199</v>
      </c>
      <c r="AK27" s="120">
        <f>'0401(実績)'!AK65</f>
        <v>213</v>
      </c>
      <c r="AL27" s="1" t="s">
        <v>3</v>
      </c>
    </row>
    <row r="28" spans="2:38" s="1" customFormat="1" ht="15" customHeight="1" outlineLevel="1">
      <c r="B28" s="208"/>
      <c r="C28" s="250" t="s">
        <v>13</v>
      </c>
      <c r="D28" s="251"/>
      <c r="E28" s="153" t="str">
        <f>'0401(予定）'!E56</f>
        <v>-</v>
      </c>
      <c r="F28" s="153" t="str">
        <f>'0401(予定）'!F56</f>
        <v>-</v>
      </c>
      <c r="G28" s="154" t="str">
        <f>'0401(予定）'!G56</f>
        <v>件数</v>
      </c>
      <c r="H28" s="155">
        <f>'0401(予定）'!H56</f>
        <v>0</v>
      </c>
      <c r="I28" s="155">
        <f>'0401(予定）'!I56</f>
        <v>0</v>
      </c>
      <c r="J28" s="155">
        <f>'0401(予定）'!J56</f>
        <v>11.700000000000001</v>
      </c>
      <c r="K28" s="155">
        <f>'0401(予定）'!K56</f>
        <v>11.700000000000001</v>
      </c>
      <c r="L28" s="155">
        <f>'0401(予定）'!L56</f>
        <v>11.700000000000001</v>
      </c>
      <c r="M28" s="155">
        <f>'0401(予定）'!M56</f>
        <v>23.400000000000002</v>
      </c>
      <c r="N28" s="155">
        <f>'0401(予定）'!N56</f>
        <v>35.1</v>
      </c>
      <c r="O28" s="155">
        <f>'0401(予定）'!O56</f>
        <v>46.800000000000004</v>
      </c>
      <c r="P28" s="155">
        <f>'0401(予定）'!P56</f>
        <v>58.500000000000007</v>
      </c>
      <c r="Q28" s="155">
        <f>'0401(予定）'!Q56</f>
        <v>70.2</v>
      </c>
      <c r="R28" s="155">
        <f>'0401(予定）'!R56</f>
        <v>70.2</v>
      </c>
      <c r="S28" s="155">
        <f>'0401(予定）'!S56</f>
        <v>70.2</v>
      </c>
      <c r="T28" s="155">
        <f>'0401(予定）'!T56</f>
        <v>81.900000000000006</v>
      </c>
      <c r="U28" s="155">
        <f>'0401(予定）'!U56</f>
        <v>93.600000000000009</v>
      </c>
      <c r="V28" s="155">
        <f>'0401(予定）'!V56</f>
        <v>105.30000000000001</v>
      </c>
      <c r="W28" s="155">
        <f>'0401(予定）'!W56</f>
        <v>117.00000000000001</v>
      </c>
      <c r="X28" s="155">
        <f>'0401(予定）'!X56</f>
        <v>128.70000000000002</v>
      </c>
      <c r="Y28" s="155">
        <f>'0401(予定）'!Y56</f>
        <v>128.70000000000002</v>
      </c>
      <c r="Z28" s="155">
        <f>'0401(予定）'!Z56</f>
        <v>128.70000000000002</v>
      </c>
      <c r="AA28" s="155">
        <f>'0401(予定）'!AA56</f>
        <v>140.4</v>
      </c>
      <c r="AB28" s="155">
        <f>'0401(予定）'!AB56</f>
        <v>152.1</v>
      </c>
      <c r="AC28" s="155">
        <f>'0401(予定）'!AC56</f>
        <v>163.79999999999998</v>
      </c>
      <c r="AD28" s="155">
        <f>'0401(予定）'!AD56</f>
        <v>175.49999999999997</v>
      </c>
      <c r="AE28" s="155">
        <f>'0401(予定）'!AE56</f>
        <v>187.19999999999996</v>
      </c>
      <c r="AF28" s="155">
        <f>'0401(予定）'!AF56</f>
        <v>187.19999999999996</v>
      </c>
      <c r="AG28" s="155">
        <f>'0401(予定）'!AG56</f>
        <v>187.19999999999996</v>
      </c>
      <c r="AH28" s="155">
        <f>'0401(予定）'!AH56</f>
        <v>198.89999999999995</v>
      </c>
      <c r="AI28" s="155">
        <f>'0401(予定）'!AI56</f>
        <v>198.89999999999995</v>
      </c>
      <c r="AJ28" s="155">
        <f>'0401(予定）'!AJ56</f>
        <v>198.89999999999995</v>
      </c>
      <c r="AK28" s="156">
        <f>'0401(予定）'!AK56</f>
        <v>210.59999999999994</v>
      </c>
    </row>
    <row r="29" spans="2:38" s="1" customFormat="1" ht="14" outlineLevel="1" thickBot="1">
      <c r="B29" s="209"/>
      <c r="C29" s="252" t="s">
        <v>13</v>
      </c>
      <c r="D29" s="253"/>
      <c r="E29" s="145">
        <f>'0401(実績)'!E67</f>
        <v>255</v>
      </c>
      <c r="F29" s="145" t="str">
        <f>'0401(実績)'!F67</f>
        <v>-</v>
      </c>
      <c r="G29" s="146" t="str">
        <f>'0401(実績)'!G67</f>
        <v>件数</v>
      </c>
      <c r="H29" s="147">
        <f>'0401(実績)'!H67</f>
        <v>0</v>
      </c>
      <c r="I29" s="147">
        <f>'0401(実績)'!I67</f>
        <v>0</v>
      </c>
      <c r="J29" s="147">
        <f>'0401(実績)'!J67</f>
        <v>22</v>
      </c>
      <c r="K29" s="147">
        <f>'0401(実績)'!K67</f>
        <v>22</v>
      </c>
      <c r="L29" s="147">
        <f>'0401(実績)'!L67</f>
        <v>22</v>
      </c>
      <c r="M29" s="147">
        <f>'0401(実績)'!M67</f>
        <v>26</v>
      </c>
      <c r="N29" s="147">
        <f>'0401(実績)'!N67</f>
        <v>37</v>
      </c>
      <c r="O29" s="147">
        <f>'0401(実績)'!O67</f>
        <v>52</v>
      </c>
      <c r="P29" s="147">
        <f>'0401(実績)'!P67</f>
        <v>66</v>
      </c>
      <c r="Q29" s="147">
        <f>'0401(実績)'!Q67</f>
        <v>75</v>
      </c>
      <c r="R29" s="147">
        <f>'0401(実績)'!R67</f>
        <v>75</v>
      </c>
      <c r="S29" s="147">
        <f>'0401(実績)'!S67</f>
        <v>75</v>
      </c>
      <c r="T29" s="147">
        <f>'0401(実績)'!T67</f>
        <v>86</v>
      </c>
      <c r="U29" s="147">
        <f>'0401(実績)'!U67</f>
        <v>99</v>
      </c>
      <c r="V29" s="147">
        <f>'0401(実績)'!V67</f>
        <v>106</v>
      </c>
      <c r="W29" s="147">
        <f>'0401(実績)'!W67</f>
        <v>118</v>
      </c>
      <c r="X29" s="147">
        <f>'0401(実績)'!X67</f>
        <v>124</v>
      </c>
      <c r="Y29" s="147">
        <f>'0401(実績)'!Y67</f>
        <v>124</v>
      </c>
      <c r="Z29" s="147">
        <f>'0401(実績)'!Z67</f>
        <v>124</v>
      </c>
      <c r="AA29" s="147">
        <f>'0401(実績)'!AA67</f>
        <v>136</v>
      </c>
      <c r="AB29" s="147">
        <f>'0401(実績)'!AB67</f>
        <v>154</v>
      </c>
      <c r="AC29" s="147">
        <f>'0401(実績)'!AC67</f>
        <v>165</v>
      </c>
      <c r="AD29" s="147">
        <f>'0401(実績)'!AD67</f>
        <v>176</v>
      </c>
      <c r="AE29" s="147">
        <f>'0401(実績)'!AE67</f>
        <v>190</v>
      </c>
      <c r="AF29" s="147">
        <f>'0401(実績)'!AF67</f>
        <v>190</v>
      </c>
      <c r="AG29" s="147">
        <f>'0401(実績)'!AG67</f>
        <v>190</v>
      </c>
      <c r="AH29" s="147">
        <f>'0401(実績)'!AH67</f>
        <v>218</v>
      </c>
      <c r="AI29" s="147">
        <f>'0401(実績)'!AI67</f>
        <v>240</v>
      </c>
      <c r="AJ29" s="147">
        <f>'0401(実績)'!AJ67</f>
        <v>240</v>
      </c>
      <c r="AK29" s="148">
        <f>'0401(実績)'!AK67</f>
        <v>255</v>
      </c>
      <c r="AL29" s="1" t="s">
        <v>3</v>
      </c>
    </row>
  </sheetData>
  <autoFilter ref="B5:AL29" xr:uid="{001178E2-01B1-4F8D-8337-46FC6440BB43}">
    <filterColumn colId="1" showButton="0"/>
  </autoFilter>
  <mergeCells count="31">
    <mergeCell ref="E3:E5"/>
    <mergeCell ref="F3:F5"/>
    <mergeCell ref="C7:D7"/>
    <mergeCell ref="C9:D9"/>
    <mergeCell ref="C24:D24"/>
    <mergeCell ref="C10:D10"/>
    <mergeCell ref="C11:D11"/>
    <mergeCell ref="C8:D8"/>
    <mergeCell ref="C6:D6"/>
    <mergeCell ref="C3:D5"/>
    <mergeCell ref="C26:D26"/>
    <mergeCell ref="C27:D27"/>
    <mergeCell ref="C14:D14"/>
    <mergeCell ref="C15:D15"/>
    <mergeCell ref="C19:D19"/>
    <mergeCell ref="B6:B11"/>
    <mergeCell ref="C28:D28"/>
    <mergeCell ref="C29:D29"/>
    <mergeCell ref="B24:B29"/>
    <mergeCell ref="C16:D16"/>
    <mergeCell ref="C17:D17"/>
    <mergeCell ref="B18:B23"/>
    <mergeCell ref="C18:D18"/>
    <mergeCell ref="C20:D20"/>
    <mergeCell ref="C21:D21"/>
    <mergeCell ref="C22:D22"/>
    <mergeCell ref="C12:D12"/>
    <mergeCell ref="C13:D13"/>
    <mergeCell ref="B12:B17"/>
    <mergeCell ref="C23:D23"/>
    <mergeCell ref="C25:D25"/>
  </mergeCells>
  <phoneticPr fontId="3"/>
  <conditionalFormatting sqref="H4:AK5">
    <cfRule type="timePeriod" dxfId="26" priority="1" timePeriod="today">
      <formula>FLOOR(H4,1)=TODAY()</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3" id="{4C509C7D-2990-488F-AD73-3A04274D4557}">
            <xm:f>OR(WEEKDAY(H$4,2)&gt;=6,COUNTIF(祝日!$A:$A,H$4)&gt;=1)</xm:f>
            <x14:dxf>
              <fill>
                <patternFill>
                  <bgColor theme="1" tint="0.499984740745262"/>
                </patternFill>
              </fill>
            </x14:dxf>
          </x14:cfRule>
          <xm:sqref>H4:AK29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19FC1-FE5B-4312-B415-A45009418CC0}">
  <dimension ref="B2:AM63"/>
  <sheetViews>
    <sheetView zoomScale="175" zoomScaleNormal="175" workbookViewId="0">
      <pane xSplit="7" ySplit="5" topLeftCell="W6" activePane="bottomRight" state="frozen"/>
      <selection pane="topRight" activeCell="F36" sqref="F36"/>
      <selection pane="bottomLeft" activeCell="F36" sqref="F36"/>
      <selection pane="bottomRight" activeCell="AG14" sqref="AG14"/>
    </sheetView>
  </sheetViews>
  <sheetFormatPr defaultRowHeight="15" outlineLevelRow="1"/>
  <cols>
    <col min="1" max="1" width="3.78515625" customWidth="1"/>
    <col min="2" max="2" width="4.640625" customWidth="1"/>
    <col min="3" max="3" width="3.35546875" bestFit="1" customWidth="1"/>
    <col min="4" max="4" width="8.5703125" customWidth="1"/>
    <col min="5" max="5" width="6.85546875" style="11" bestFit="1" customWidth="1"/>
    <col min="6" max="6" width="6" customWidth="1"/>
    <col min="7" max="7" width="4.640625" bestFit="1" customWidth="1"/>
    <col min="8" max="10" width="4.35546875" bestFit="1" customWidth="1"/>
    <col min="11" max="11" width="4.140625" customWidth="1"/>
    <col min="12" max="14" width="4.35546875" bestFit="1" customWidth="1"/>
    <col min="15" max="15" width="4.140625" customWidth="1"/>
    <col min="16" max="22" width="4.35546875" bestFit="1" customWidth="1"/>
    <col min="23" max="38" width="3.640625" customWidth="1"/>
    <col min="39" max="39" width="4.85546875" customWidth="1"/>
  </cols>
  <sheetData>
    <row r="2" spans="2:39" ht="15.5" thickBot="1">
      <c r="E2"/>
      <c r="H2">
        <v>1</v>
      </c>
      <c r="N2">
        <v>1</v>
      </c>
      <c r="O2">
        <v>1</v>
      </c>
      <c r="R2">
        <v>1</v>
      </c>
      <c r="S2">
        <v>1</v>
      </c>
      <c r="T2">
        <v>1</v>
      </c>
      <c r="U2">
        <v>1</v>
      </c>
      <c r="V2">
        <v>1</v>
      </c>
      <c r="Y2">
        <v>1</v>
      </c>
      <c r="Z2">
        <v>1</v>
      </c>
      <c r="AA2">
        <v>1</v>
      </c>
      <c r="AB2">
        <v>1</v>
      </c>
      <c r="AC2">
        <v>1</v>
      </c>
      <c r="AF2">
        <v>1</v>
      </c>
      <c r="AG2">
        <v>1</v>
      </c>
      <c r="AH2">
        <v>1</v>
      </c>
      <c r="AI2">
        <v>1</v>
      </c>
      <c r="AJ2">
        <v>1</v>
      </c>
      <c r="AM2">
        <f>SUM(H2:AL2)</f>
        <v>18</v>
      </c>
    </row>
    <row r="3" spans="2:39" s="1" customFormat="1" ht="15" customHeight="1">
      <c r="C3" s="222"/>
      <c r="D3" s="223"/>
      <c r="E3" s="218" t="s">
        <v>0</v>
      </c>
      <c r="F3" s="215" t="s">
        <v>1</v>
      </c>
      <c r="G3" s="42"/>
      <c r="H3" s="2">
        <v>46143</v>
      </c>
      <c r="I3" s="3"/>
      <c r="J3" s="3"/>
      <c r="K3" s="3"/>
      <c r="L3" s="3"/>
      <c r="M3" s="3"/>
      <c r="N3" s="13" t="s">
        <v>2</v>
      </c>
      <c r="O3" s="13"/>
      <c r="P3" s="3"/>
      <c r="Q3" s="3"/>
      <c r="R3" s="3"/>
      <c r="S3" s="3"/>
      <c r="T3" s="13"/>
      <c r="U3" s="3"/>
      <c r="V3" s="3"/>
      <c r="W3" s="3"/>
      <c r="X3" s="3"/>
      <c r="Y3" s="3"/>
      <c r="Z3" s="3"/>
      <c r="AA3" s="3"/>
      <c r="AB3" s="3"/>
      <c r="AC3" s="3"/>
      <c r="AD3" s="3"/>
      <c r="AE3" s="3"/>
      <c r="AF3" s="3"/>
      <c r="AG3" s="3"/>
      <c r="AH3" s="3"/>
      <c r="AI3" s="3"/>
      <c r="AJ3" s="3"/>
      <c r="AK3" s="3"/>
      <c r="AL3" s="4"/>
      <c r="AM3" s="1" t="s">
        <v>3</v>
      </c>
    </row>
    <row r="4" spans="2:39" s="1" customFormat="1" ht="13.5">
      <c r="C4" s="224"/>
      <c r="D4" s="225"/>
      <c r="E4" s="219"/>
      <c r="F4" s="216"/>
      <c r="G4" s="43"/>
      <c r="H4" s="5">
        <f>H3</f>
        <v>46143</v>
      </c>
      <c r="I4" s="6">
        <f t="shared" ref="I4:AJ4" si="0">H4+1</f>
        <v>46144</v>
      </c>
      <c r="J4" s="6">
        <f t="shared" si="0"/>
        <v>46145</v>
      </c>
      <c r="K4" s="6">
        <f t="shared" si="0"/>
        <v>46146</v>
      </c>
      <c r="L4" s="6">
        <f t="shared" si="0"/>
        <v>46147</v>
      </c>
      <c r="M4" s="6">
        <f t="shared" si="0"/>
        <v>46148</v>
      </c>
      <c r="N4" s="6">
        <f t="shared" si="0"/>
        <v>46149</v>
      </c>
      <c r="O4" s="6">
        <f t="shared" si="0"/>
        <v>46150</v>
      </c>
      <c r="P4" s="6">
        <f t="shared" si="0"/>
        <v>46151</v>
      </c>
      <c r="Q4" s="6">
        <f t="shared" si="0"/>
        <v>46152</v>
      </c>
      <c r="R4" s="6">
        <f t="shared" si="0"/>
        <v>46153</v>
      </c>
      <c r="S4" s="6">
        <f t="shared" si="0"/>
        <v>46154</v>
      </c>
      <c r="T4" s="6">
        <f t="shared" si="0"/>
        <v>46155</v>
      </c>
      <c r="U4" s="6">
        <f t="shared" si="0"/>
        <v>46156</v>
      </c>
      <c r="V4" s="6">
        <f t="shared" si="0"/>
        <v>46157</v>
      </c>
      <c r="W4" s="6">
        <f t="shared" si="0"/>
        <v>46158</v>
      </c>
      <c r="X4" s="6">
        <f t="shared" si="0"/>
        <v>46159</v>
      </c>
      <c r="Y4" s="6">
        <f t="shared" si="0"/>
        <v>46160</v>
      </c>
      <c r="Z4" s="6">
        <f t="shared" si="0"/>
        <v>46161</v>
      </c>
      <c r="AA4" s="6">
        <f t="shared" si="0"/>
        <v>46162</v>
      </c>
      <c r="AB4" s="6">
        <f t="shared" si="0"/>
        <v>46163</v>
      </c>
      <c r="AC4" s="6">
        <f t="shared" si="0"/>
        <v>46164</v>
      </c>
      <c r="AD4" s="6">
        <f t="shared" si="0"/>
        <v>46165</v>
      </c>
      <c r="AE4" s="6">
        <f t="shared" si="0"/>
        <v>46166</v>
      </c>
      <c r="AF4" s="6">
        <f t="shared" si="0"/>
        <v>46167</v>
      </c>
      <c r="AG4" s="6">
        <f t="shared" si="0"/>
        <v>46168</v>
      </c>
      <c r="AH4" s="6">
        <f t="shared" si="0"/>
        <v>46169</v>
      </c>
      <c r="AI4" s="6">
        <f t="shared" si="0"/>
        <v>46170</v>
      </c>
      <c r="AJ4" s="6">
        <f t="shared" si="0"/>
        <v>46171</v>
      </c>
      <c r="AK4" s="6">
        <f t="shared" ref="AK4" si="1">AJ4+1</f>
        <v>46172</v>
      </c>
      <c r="AL4" s="6">
        <f t="shared" ref="AL4" si="2">AK4+1</f>
        <v>46173</v>
      </c>
      <c r="AM4" s="1" t="s">
        <v>3</v>
      </c>
    </row>
    <row r="5" spans="2:39" s="1" customFormat="1" ht="14" thickBot="1">
      <c r="C5" s="224"/>
      <c r="D5" s="225"/>
      <c r="E5" s="219"/>
      <c r="F5" s="217"/>
      <c r="G5" s="44"/>
      <c r="H5" s="8">
        <f>H4</f>
        <v>46143</v>
      </c>
      <c r="I5" s="9">
        <f t="shared" ref="I5:AJ5" si="3">I4</f>
        <v>46144</v>
      </c>
      <c r="J5" s="9">
        <f t="shared" si="3"/>
        <v>46145</v>
      </c>
      <c r="K5" s="9">
        <f t="shared" si="3"/>
        <v>46146</v>
      </c>
      <c r="L5" s="9">
        <f t="shared" si="3"/>
        <v>46147</v>
      </c>
      <c r="M5" s="9">
        <f t="shared" si="3"/>
        <v>46148</v>
      </c>
      <c r="N5" s="9">
        <f t="shared" si="3"/>
        <v>46149</v>
      </c>
      <c r="O5" s="9">
        <f t="shared" si="3"/>
        <v>46150</v>
      </c>
      <c r="P5" s="9">
        <f t="shared" si="3"/>
        <v>46151</v>
      </c>
      <c r="Q5" s="9">
        <f t="shared" si="3"/>
        <v>46152</v>
      </c>
      <c r="R5" s="9">
        <f t="shared" si="3"/>
        <v>46153</v>
      </c>
      <c r="S5" s="9">
        <f t="shared" si="3"/>
        <v>46154</v>
      </c>
      <c r="T5" s="9">
        <f t="shared" si="3"/>
        <v>46155</v>
      </c>
      <c r="U5" s="9">
        <f t="shared" si="3"/>
        <v>46156</v>
      </c>
      <c r="V5" s="9">
        <f t="shared" si="3"/>
        <v>46157</v>
      </c>
      <c r="W5" s="9">
        <f t="shared" si="3"/>
        <v>46158</v>
      </c>
      <c r="X5" s="9">
        <f t="shared" si="3"/>
        <v>46159</v>
      </c>
      <c r="Y5" s="9">
        <f t="shared" si="3"/>
        <v>46160</v>
      </c>
      <c r="Z5" s="9">
        <f t="shared" si="3"/>
        <v>46161</v>
      </c>
      <c r="AA5" s="9">
        <f t="shared" si="3"/>
        <v>46162</v>
      </c>
      <c r="AB5" s="9">
        <f t="shared" si="3"/>
        <v>46163</v>
      </c>
      <c r="AC5" s="9">
        <f t="shared" si="3"/>
        <v>46164</v>
      </c>
      <c r="AD5" s="9">
        <f t="shared" si="3"/>
        <v>46165</v>
      </c>
      <c r="AE5" s="9">
        <f t="shared" si="3"/>
        <v>46166</v>
      </c>
      <c r="AF5" s="9">
        <f t="shared" si="3"/>
        <v>46167</v>
      </c>
      <c r="AG5" s="9">
        <f t="shared" si="3"/>
        <v>46168</v>
      </c>
      <c r="AH5" s="9">
        <f t="shared" si="3"/>
        <v>46169</v>
      </c>
      <c r="AI5" s="9">
        <f t="shared" si="3"/>
        <v>46170</v>
      </c>
      <c r="AJ5" s="9">
        <f t="shared" si="3"/>
        <v>46171</v>
      </c>
      <c r="AK5" s="9">
        <f t="shared" ref="AK5:AL5" si="4">AK4</f>
        <v>46172</v>
      </c>
      <c r="AL5" s="9">
        <f t="shared" si="4"/>
        <v>46173</v>
      </c>
      <c r="AM5" s="1" t="s">
        <v>3</v>
      </c>
    </row>
    <row r="6" spans="2:39" s="1" customFormat="1" ht="15" customHeight="1">
      <c r="B6" s="207" t="s">
        <v>4</v>
      </c>
      <c r="C6" s="220" t="s">
        <v>5</v>
      </c>
      <c r="D6" s="221"/>
      <c r="E6" s="39">
        <f>SUM(H6:AL6)+'0401(予定）'!E6</f>
        <v>5720</v>
      </c>
      <c r="F6" s="39" t="s">
        <v>6</v>
      </c>
      <c r="G6" s="15" t="s">
        <v>7</v>
      </c>
      <c r="H6" s="18">
        <v>96</v>
      </c>
      <c r="I6" s="18">
        <v>0</v>
      </c>
      <c r="J6" s="18">
        <v>0</v>
      </c>
      <c r="K6" s="18">
        <v>0</v>
      </c>
      <c r="L6" s="18">
        <v>0</v>
      </c>
      <c r="M6" s="18">
        <v>0</v>
      </c>
      <c r="N6" s="18">
        <v>0</v>
      </c>
      <c r="O6" s="18">
        <v>102</v>
      </c>
      <c r="P6" s="18">
        <v>0</v>
      </c>
      <c r="Q6" s="18">
        <v>0</v>
      </c>
      <c r="R6" s="18">
        <v>75</v>
      </c>
      <c r="S6" s="18">
        <v>213</v>
      </c>
      <c r="T6" s="18">
        <v>153</v>
      </c>
      <c r="U6" s="18">
        <v>98</v>
      </c>
      <c r="V6" s="18">
        <v>147</v>
      </c>
      <c r="W6" s="18">
        <v>0</v>
      </c>
      <c r="X6" s="18">
        <v>0</v>
      </c>
      <c r="Y6" s="18">
        <v>100</v>
      </c>
      <c r="Z6" s="18">
        <v>76</v>
      </c>
      <c r="AA6" s="18">
        <v>41</v>
      </c>
      <c r="AB6" s="18">
        <v>11</v>
      </c>
      <c r="AC6" s="18">
        <v>17</v>
      </c>
      <c r="AD6" s="18">
        <v>0</v>
      </c>
      <c r="AE6" s="18">
        <v>0</v>
      </c>
      <c r="AF6" s="18">
        <v>14</v>
      </c>
      <c r="AG6" s="18">
        <v>13</v>
      </c>
      <c r="AH6" s="18">
        <v>13</v>
      </c>
      <c r="AI6" s="18">
        <v>13</v>
      </c>
      <c r="AJ6" s="18">
        <v>13</v>
      </c>
      <c r="AK6" s="18">
        <v>0</v>
      </c>
      <c r="AL6" s="18">
        <v>0</v>
      </c>
      <c r="AM6" s="1">
        <f>SUM(H6:AL6)</f>
        <v>1195</v>
      </c>
    </row>
    <row r="7" spans="2:39" s="1" customFormat="1" ht="15" customHeight="1">
      <c r="B7" s="208"/>
      <c r="C7" s="205" t="s">
        <v>29</v>
      </c>
      <c r="D7" s="206"/>
      <c r="E7" s="39">
        <f>SUM(H7:AL7)+'0401(予定）'!E7</f>
        <v>3305</v>
      </c>
      <c r="F7" s="39" t="s">
        <v>6</v>
      </c>
      <c r="G7" s="15" t="s">
        <v>7</v>
      </c>
      <c r="H7" s="18">
        <f t="shared" ref="H7:AL7" si="5">SUM(H13*$F$13,H14*$F$14,H15*$F$15,$F$16*H16,$F$17*H17,$F$18*H18,$F$19*H19)</f>
        <v>115</v>
      </c>
      <c r="I7" s="18">
        <f t="shared" si="5"/>
        <v>0</v>
      </c>
      <c r="J7" s="18">
        <f t="shared" si="5"/>
        <v>0</v>
      </c>
      <c r="K7" s="18">
        <f t="shared" si="5"/>
        <v>0</v>
      </c>
      <c r="L7" s="18">
        <f t="shared" si="5"/>
        <v>0</v>
      </c>
      <c r="M7" s="18">
        <f t="shared" si="5"/>
        <v>0</v>
      </c>
      <c r="N7" s="18">
        <f t="shared" si="5"/>
        <v>105</v>
      </c>
      <c r="O7" s="18">
        <f t="shared" si="5"/>
        <v>115</v>
      </c>
      <c r="P7" s="18">
        <f t="shared" si="5"/>
        <v>0</v>
      </c>
      <c r="Q7" s="18">
        <f t="shared" si="5"/>
        <v>0</v>
      </c>
      <c r="R7" s="18">
        <f t="shared" si="5"/>
        <v>105</v>
      </c>
      <c r="S7" s="18">
        <f t="shared" si="5"/>
        <v>105</v>
      </c>
      <c r="T7" s="18">
        <f t="shared" si="5"/>
        <v>105</v>
      </c>
      <c r="U7" s="18">
        <f t="shared" si="5"/>
        <v>105</v>
      </c>
      <c r="V7" s="18">
        <f t="shared" si="5"/>
        <v>115</v>
      </c>
      <c r="W7" s="18">
        <f t="shared" si="5"/>
        <v>0</v>
      </c>
      <c r="X7" s="18">
        <f t="shared" si="5"/>
        <v>0</v>
      </c>
      <c r="Y7" s="18">
        <f t="shared" si="5"/>
        <v>105</v>
      </c>
      <c r="Z7" s="18">
        <f t="shared" si="5"/>
        <v>105</v>
      </c>
      <c r="AA7" s="18">
        <f t="shared" si="5"/>
        <v>105</v>
      </c>
      <c r="AB7" s="18">
        <f t="shared" si="5"/>
        <v>105</v>
      </c>
      <c r="AC7" s="18">
        <f t="shared" si="5"/>
        <v>115</v>
      </c>
      <c r="AD7" s="18">
        <f t="shared" si="5"/>
        <v>0</v>
      </c>
      <c r="AE7" s="18">
        <f t="shared" si="5"/>
        <v>0</v>
      </c>
      <c r="AF7" s="18">
        <f t="shared" si="5"/>
        <v>95</v>
      </c>
      <c r="AG7" s="18">
        <f t="shared" si="5"/>
        <v>95</v>
      </c>
      <c r="AH7" s="18">
        <f t="shared" si="5"/>
        <v>95</v>
      </c>
      <c r="AI7" s="18">
        <f t="shared" si="5"/>
        <v>95</v>
      </c>
      <c r="AJ7" s="18">
        <f t="shared" si="5"/>
        <v>0</v>
      </c>
      <c r="AK7" s="18">
        <f t="shared" si="5"/>
        <v>0</v>
      </c>
      <c r="AL7" s="18">
        <f t="shared" si="5"/>
        <v>0</v>
      </c>
      <c r="AM7" s="1" t="s">
        <v>3</v>
      </c>
    </row>
    <row r="8" spans="2:39" s="1" customFormat="1" ht="15" customHeight="1">
      <c r="B8" s="208"/>
      <c r="C8" s="213" t="s">
        <v>9</v>
      </c>
      <c r="D8" s="214"/>
      <c r="E8" s="121" t="s">
        <v>10</v>
      </c>
      <c r="F8" s="121" t="s">
        <v>10</v>
      </c>
      <c r="G8" s="122" t="s">
        <v>11</v>
      </c>
      <c r="H8" s="127">
        <f>'0401(予定）'!AK8+H7</f>
        <v>1635</v>
      </c>
      <c r="I8" s="127">
        <f t="shared" ref="I8:AL8" si="6">H8+I7</f>
        <v>1635</v>
      </c>
      <c r="J8" s="127">
        <f t="shared" si="6"/>
        <v>1635</v>
      </c>
      <c r="K8" s="127">
        <f t="shared" si="6"/>
        <v>1635</v>
      </c>
      <c r="L8" s="127">
        <f t="shared" si="6"/>
        <v>1635</v>
      </c>
      <c r="M8" s="127">
        <f t="shared" si="6"/>
        <v>1635</v>
      </c>
      <c r="N8" s="127">
        <f t="shared" si="6"/>
        <v>1740</v>
      </c>
      <c r="O8" s="127">
        <f t="shared" si="6"/>
        <v>1855</v>
      </c>
      <c r="P8" s="127">
        <f t="shared" si="6"/>
        <v>1855</v>
      </c>
      <c r="Q8" s="127">
        <f t="shared" si="6"/>
        <v>1855</v>
      </c>
      <c r="R8" s="127">
        <f t="shared" si="6"/>
        <v>1960</v>
      </c>
      <c r="S8" s="127">
        <f t="shared" si="6"/>
        <v>2065</v>
      </c>
      <c r="T8" s="127">
        <f t="shared" si="6"/>
        <v>2170</v>
      </c>
      <c r="U8" s="127">
        <f t="shared" si="6"/>
        <v>2275</v>
      </c>
      <c r="V8" s="127">
        <f t="shared" si="6"/>
        <v>2390</v>
      </c>
      <c r="W8" s="127">
        <f t="shared" si="6"/>
        <v>2390</v>
      </c>
      <c r="X8" s="127">
        <f t="shared" si="6"/>
        <v>2390</v>
      </c>
      <c r="Y8" s="127">
        <f t="shared" si="6"/>
        <v>2495</v>
      </c>
      <c r="Z8" s="127">
        <f t="shared" si="6"/>
        <v>2600</v>
      </c>
      <c r="AA8" s="127">
        <f t="shared" si="6"/>
        <v>2705</v>
      </c>
      <c r="AB8" s="127">
        <f t="shared" si="6"/>
        <v>2810</v>
      </c>
      <c r="AC8" s="127">
        <f t="shared" si="6"/>
        <v>2925</v>
      </c>
      <c r="AD8" s="127">
        <f t="shared" si="6"/>
        <v>2925</v>
      </c>
      <c r="AE8" s="127">
        <f t="shared" si="6"/>
        <v>2925</v>
      </c>
      <c r="AF8" s="127">
        <f t="shared" si="6"/>
        <v>3020</v>
      </c>
      <c r="AG8" s="127">
        <f t="shared" si="6"/>
        <v>3115</v>
      </c>
      <c r="AH8" s="127">
        <f t="shared" si="6"/>
        <v>3210</v>
      </c>
      <c r="AI8" s="127">
        <f t="shared" si="6"/>
        <v>3305</v>
      </c>
      <c r="AJ8" s="127">
        <f t="shared" si="6"/>
        <v>3305</v>
      </c>
      <c r="AK8" s="128">
        <f t="shared" si="6"/>
        <v>3305</v>
      </c>
      <c r="AL8" s="128">
        <f t="shared" si="6"/>
        <v>3305</v>
      </c>
      <c r="AM8" s="1" t="s">
        <v>3</v>
      </c>
    </row>
    <row r="9" spans="2:39" s="1" customFormat="1" ht="15" customHeight="1">
      <c r="B9" s="208"/>
      <c r="C9" s="205" t="s">
        <v>30</v>
      </c>
      <c r="D9" s="206"/>
      <c r="E9" s="39">
        <f>SUM(H9:AL9)+'0401(予定）'!E9</f>
        <v>2277</v>
      </c>
      <c r="F9" s="39" t="s">
        <v>6</v>
      </c>
      <c r="G9" s="15" t="s">
        <v>7</v>
      </c>
      <c r="H9" s="18">
        <f>SUM(H20*$F$20,H21*$F$21,H22*$F$22,H23*$F$23)</f>
        <v>80</v>
      </c>
      <c r="I9" s="18">
        <f>SUM(I20*$F$20,I21*$F$21,I22*$F$22,I23*$F$23)</f>
        <v>0</v>
      </c>
      <c r="J9" s="18">
        <f>SUM(J20*$F$20,J21*$F$21,J22*$F$22,J23*$F$23)</f>
        <v>0</v>
      </c>
      <c r="K9" s="18">
        <f t="shared" ref="K9:AJ9" si="7">SUM(K20*$F$20,K21*$F$21,K22*$F$22,K23*$F$23)</f>
        <v>0</v>
      </c>
      <c r="L9" s="18">
        <f t="shared" si="7"/>
        <v>0</v>
      </c>
      <c r="M9" s="18">
        <f t="shared" si="7"/>
        <v>0</v>
      </c>
      <c r="N9" s="18">
        <f t="shared" si="7"/>
        <v>70</v>
      </c>
      <c r="O9" s="18">
        <f t="shared" si="7"/>
        <v>80</v>
      </c>
      <c r="P9" s="18">
        <f t="shared" si="7"/>
        <v>0</v>
      </c>
      <c r="Q9" s="18">
        <f t="shared" si="7"/>
        <v>0</v>
      </c>
      <c r="R9" s="18">
        <f t="shared" si="7"/>
        <v>70</v>
      </c>
      <c r="S9" s="18">
        <f t="shared" si="7"/>
        <v>72</v>
      </c>
      <c r="T9" s="18">
        <f>SUM(T20*$F$20,T21*$F$21,T22*$F$22,T23*$F$23)</f>
        <v>70</v>
      </c>
      <c r="U9" s="18">
        <f>SUM(U20*$F$20,U21*$F$21,U22*$F$22,U23*$F$23)</f>
        <v>70</v>
      </c>
      <c r="V9" s="18">
        <f>SUM(V20*$F$20,V21*$F$21,V22*$F$22,V23*$F$23)</f>
        <v>80</v>
      </c>
      <c r="W9" s="18">
        <f>SUM(W20*$F$20,W21*$F$21,W22*$F$22,W23*$F$23)</f>
        <v>0</v>
      </c>
      <c r="X9" s="18">
        <f>SUM(X20*$F$20,X21*$F$21,X22*$F$22,X23*$F$23)</f>
        <v>0</v>
      </c>
      <c r="Y9" s="18">
        <f t="shared" si="7"/>
        <v>70</v>
      </c>
      <c r="Z9" s="18">
        <f t="shared" si="7"/>
        <v>72</v>
      </c>
      <c r="AA9" s="18">
        <f>SUM(AA20*$F$20,AA21*$F$21,AA22*$F$22,AA23*$F$23)</f>
        <v>70</v>
      </c>
      <c r="AB9" s="18">
        <f>SUM(AB20*$F$20,AB21*$F$21,AB22*$F$22,AB23*$F$23)</f>
        <v>70</v>
      </c>
      <c r="AC9" s="18">
        <f>SUM(AC20*$F$20,AC21*$F$21,AC22*$F$22,AC23*$F$23)</f>
        <v>80</v>
      </c>
      <c r="AD9" s="18">
        <f>SUM(AD20*$F$20,AD21*$F$21,AD22*$F$22,AD23*$F$23)</f>
        <v>0</v>
      </c>
      <c r="AE9" s="18">
        <f>SUM(AE20*$F$20,AE21*$F$21,AE22*$F$22,AE23*$F$23)</f>
        <v>0</v>
      </c>
      <c r="AF9" s="18">
        <f t="shared" si="7"/>
        <v>80</v>
      </c>
      <c r="AG9" s="18">
        <f t="shared" si="7"/>
        <v>82</v>
      </c>
      <c r="AH9" s="18">
        <f t="shared" si="7"/>
        <v>80</v>
      </c>
      <c r="AI9" s="18">
        <f t="shared" si="7"/>
        <v>80</v>
      </c>
      <c r="AJ9" s="18">
        <f t="shared" si="7"/>
        <v>0</v>
      </c>
      <c r="AK9" s="18">
        <f t="shared" ref="AK9:AL9" si="8">SUM(AK20*$F$20,AK21*$F$21,AK22*$F$22,AK23*$F$23)</f>
        <v>0</v>
      </c>
      <c r="AL9" s="18">
        <f t="shared" si="8"/>
        <v>0</v>
      </c>
      <c r="AM9" s="1" t="s">
        <v>3</v>
      </c>
    </row>
    <row r="10" spans="2:39" s="1" customFormat="1" ht="15" customHeight="1">
      <c r="B10" s="208"/>
      <c r="C10" s="213" t="s">
        <v>13</v>
      </c>
      <c r="D10" s="214"/>
      <c r="E10" s="121" t="s">
        <v>10</v>
      </c>
      <c r="F10" s="121" t="s">
        <v>10</v>
      </c>
      <c r="G10" s="122" t="s">
        <v>11</v>
      </c>
      <c r="H10" s="127">
        <f>'0401(予定）'!AK10+H9</f>
        <v>1081</v>
      </c>
      <c r="I10" s="127">
        <f t="shared" ref="I10:AK10" si="9">H10+I9</f>
        <v>1081</v>
      </c>
      <c r="J10" s="127">
        <f t="shared" si="9"/>
        <v>1081</v>
      </c>
      <c r="K10" s="127">
        <f t="shared" si="9"/>
        <v>1081</v>
      </c>
      <c r="L10" s="127">
        <f t="shared" si="9"/>
        <v>1081</v>
      </c>
      <c r="M10" s="127">
        <f t="shared" si="9"/>
        <v>1081</v>
      </c>
      <c r="N10" s="127">
        <f t="shared" si="9"/>
        <v>1151</v>
      </c>
      <c r="O10" s="127">
        <f>N10+O9</f>
        <v>1231</v>
      </c>
      <c r="P10" s="127">
        <f t="shared" si="9"/>
        <v>1231</v>
      </c>
      <c r="Q10" s="127">
        <f t="shared" si="9"/>
        <v>1231</v>
      </c>
      <c r="R10" s="127">
        <f t="shared" si="9"/>
        <v>1301</v>
      </c>
      <c r="S10" s="127">
        <f t="shared" si="9"/>
        <v>1373</v>
      </c>
      <c r="T10" s="127">
        <f t="shared" si="9"/>
        <v>1443</v>
      </c>
      <c r="U10" s="127">
        <f t="shared" si="9"/>
        <v>1513</v>
      </c>
      <c r="V10" s="127">
        <f t="shared" si="9"/>
        <v>1593</v>
      </c>
      <c r="W10" s="127">
        <f t="shared" si="9"/>
        <v>1593</v>
      </c>
      <c r="X10" s="127">
        <f t="shared" si="9"/>
        <v>1593</v>
      </c>
      <c r="Y10" s="127">
        <f t="shared" si="9"/>
        <v>1663</v>
      </c>
      <c r="Z10" s="127">
        <f t="shared" si="9"/>
        <v>1735</v>
      </c>
      <c r="AA10" s="127">
        <f t="shared" si="9"/>
        <v>1805</v>
      </c>
      <c r="AB10" s="127">
        <f t="shared" si="9"/>
        <v>1875</v>
      </c>
      <c r="AC10" s="127">
        <f t="shared" si="9"/>
        <v>1955</v>
      </c>
      <c r="AD10" s="127">
        <f t="shared" si="9"/>
        <v>1955</v>
      </c>
      <c r="AE10" s="127">
        <f t="shared" si="9"/>
        <v>1955</v>
      </c>
      <c r="AF10" s="127">
        <f t="shared" si="9"/>
        <v>2035</v>
      </c>
      <c r="AG10" s="127">
        <f t="shared" si="9"/>
        <v>2117</v>
      </c>
      <c r="AH10" s="127">
        <f t="shared" si="9"/>
        <v>2197</v>
      </c>
      <c r="AI10" s="127">
        <f t="shared" si="9"/>
        <v>2277</v>
      </c>
      <c r="AJ10" s="127">
        <f t="shared" si="9"/>
        <v>2277</v>
      </c>
      <c r="AK10" s="129">
        <f t="shared" si="9"/>
        <v>2277</v>
      </c>
      <c r="AL10" s="18"/>
      <c r="AM10" s="1" t="s">
        <v>3</v>
      </c>
    </row>
    <row r="11" spans="2:39" s="1" customFormat="1" ht="13.5">
      <c r="B11" s="208"/>
      <c r="C11" s="205" t="s">
        <v>14</v>
      </c>
      <c r="D11" s="206"/>
      <c r="E11" s="39">
        <f>E6-E7</f>
        <v>2415</v>
      </c>
      <c r="F11" s="39" t="s">
        <v>6</v>
      </c>
      <c r="G11" s="15" t="s">
        <v>7</v>
      </c>
      <c r="H11" s="18">
        <f>'0401(予定）'!AK11+H6-H7</f>
        <v>2986</v>
      </c>
      <c r="I11" s="18">
        <f>H11+I6-I7</f>
        <v>2986</v>
      </c>
      <c r="J11" s="18">
        <f t="shared" ref="J11:AL11" si="10">I11+J6-J7</f>
        <v>2986</v>
      </c>
      <c r="K11" s="18">
        <f t="shared" si="10"/>
        <v>2986</v>
      </c>
      <c r="L11" s="18">
        <f t="shared" si="10"/>
        <v>2986</v>
      </c>
      <c r="M11" s="18">
        <f t="shared" si="10"/>
        <v>2986</v>
      </c>
      <c r="N11" s="18">
        <f t="shared" si="10"/>
        <v>2881</v>
      </c>
      <c r="O11" s="18">
        <f t="shared" si="10"/>
        <v>2868</v>
      </c>
      <c r="P11" s="18">
        <f t="shared" si="10"/>
        <v>2868</v>
      </c>
      <c r="Q11" s="18">
        <f t="shared" si="10"/>
        <v>2868</v>
      </c>
      <c r="R11" s="18">
        <f t="shared" si="10"/>
        <v>2838</v>
      </c>
      <c r="S11" s="18">
        <f t="shared" si="10"/>
        <v>2946</v>
      </c>
      <c r="T11" s="18">
        <f t="shared" si="10"/>
        <v>2994</v>
      </c>
      <c r="U11" s="18">
        <f t="shared" si="10"/>
        <v>2987</v>
      </c>
      <c r="V11" s="18">
        <f t="shared" si="10"/>
        <v>3019</v>
      </c>
      <c r="W11" s="18">
        <f t="shared" si="10"/>
        <v>3019</v>
      </c>
      <c r="X11" s="18">
        <f t="shared" si="10"/>
        <v>3019</v>
      </c>
      <c r="Y11" s="18">
        <f t="shared" si="10"/>
        <v>3014</v>
      </c>
      <c r="Z11" s="18">
        <f t="shared" si="10"/>
        <v>2985</v>
      </c>
      <c r="AA11" s="18">
        <f t="shared" si="10"/>
        <v>2921</v>
      </c>
      <c r="AB11" s="18">
        <f t="shared" si="10"/>
        <v>2827</v>
      </c>
      <c r="AC11" s="18">
        <f t="shared" si="10"/>
        <v>2729</v>
      </c>
      <c r="AD11" s="18">
        <f t="shared" si="10"/>
        <v>2729</v>
      </c>
      <c r="AE11" s="18">
        <f t="shared" si="10"/>
        <v>2729</v>
      </c>
      <c r="AF11" s="18">
        <f t="shared" si="10"/>
        <v>2648</v>
      </c>
      <c r="AG11" s="18">
        <f t="shared" si="10"/>
        <v>2566</v>
      </c>
      <c r="AH11" s="18">
        <f t="shared" si="10"/>
        <v>2484</v>
      </c>
      <c r="AI11" s="18">
        <f t="shared" si="10"/>
        <v>2402</v>
      </c>
      <c r="AJ11" s="18">
        <f t="shared" si="10"/>
        <v>2415</v>
      </c>
      <c r="AK11" s="18">
        <f t="shared" si="10"/>
        <v>2415</v>
      </c>
      <c r="AL11" s="18">
        <f t="shared" si="10"/>
        <v>2415</v>
      </c>
      <c r="AM11" s="1" t="s">
        <v>3</v>
      </c>
    </row>
    <row r="12" spans="2:39" s="1" customFormat="1" ht="14" thickBot="1">
      <c r="B12" s="208"/>
      <c r="C12" s="205" t="s">
        <v>15</v>
      </c>
      <c r="D12" s="206"/>
      <c r="E12" s="19">
        <f>E6-E9</f>
        <v>3443</v>
      </c>
      <c r="F12" s="19" t="s">
        <v>6</v>
      </c>
      <c r="G12" s="15" t="s">
        <v>7</v>
      </c>
      <c r="H12" s="20">
        <f>'0401(予定）'!AK12+H6-H9</f>
        <v>3540</v>
      </c>
      <c r="I12" s="20">
        <f>H12+I6-I9</f>
        <v>3540</v>
      </c>
      <c r="J12" s="20">
        <f t="shared" ref="J12:AL12" si="11">I12+J6-J9</f>
        <v>3540</v>
      </c>
      <c r="K12" s="20">
        <f t="shared" si="11"/>
        <v>3540</v>
      </c>
      <c r="L12" s="20">
        <f t="shared" si="11"/>
        <v>3540</v>
      </c>
      <c r="M12" s="20">
        <f t="shared" si="11"/>
        <v>3540</v>
      </c>
      <c r="N12" s="20">
        <f t="shared" si="11"/>
        <v>3470</v>
      </c>
      <c r="O12" s="20">
        <f t="shared" si="11"/>
        <v>3492</v>
      </c>
      <c r="P12" s="20">
        <f t="shared" si="11"/>
        <v>3492</v>
      </c>
      <c r="Q12" s="20">
        <f t="shared" si="11"/>
        <v>3492</v>
      </c>
      <c r="R12" s="20">
        <f t="shared" si="11"/>
        <v>3497</v>
      </c>
      <c r="S12" s="20">
        <f t="shared" si="11"/>
        <v>3638</v>
      </c>
      <c r="T12" s="20">
        <f t="shared" si="11"/>
        <v>3721</v>
      </c>
      <c r="U12" s="20">
        <f t="shared" si="11"/>
        <v>3749</v>
      </c>
      <c r="V12" s="20">
        <f t="shared" si="11"/>
        <v>3816</v>
      </c>
      <c r="W12" s="20">
        <f t="shared" si="11"/>
        <v>3816</v>
      </c>
      <c r="X12" s="20">
        <f t="shared" si="11"/>
        <v>3816</v>
      </c>
      <c r="Y12" s="20">
        <f t="shared" si="11"/>
        <v>3846</v>
      </c>
      <c r="Z12" s="20">
        <f t="shared" si="11"/>
        <v>3850</v>
      </c>
      <c r="AA12" s="20">
        <f t="shared" si="11"/>
        <v>3821</v>
      </c>
      <c r="AB12" s="20">
        <f t="shared" si="11"/>
        <v>3762</v>
      </c>
      <c r="AC12" s="20">
        <f t="shared" si="11"/>
        <v>3699</v>
      </c>
      <c r="AD12" s="20">
        <f t="shared" si="11"/>
        <v>3699</v>
      </c>
      <c r="AE12" s="20">
        <f t="shared" si="11"/>
        <v>3699</v>
      </c>
      <c r="AF12" s="20">
        <f t="shared" si="11"/>
        <v>3633</v>
      </c>
      <c r="AG12" s="20">
        <f t="shared" si="11"/>
        <v>3564</v>
      </c>
      <c r="AH12" s="20">
        <f t="shared" si="11"/>
        <v>3497</v>
      </c>
      <c r="AI12" s="20">
        <f t="shared" si="11"/>
        <v>3430</v>
      </c>
      <c r="AJ12" s="20">
        <f t="shared" si="11"/>
        <v>3443</v>
      </c>
      <c r="AK12" s="20">
        <f t="shared" si="11"/>
        <v>3443</v>
      </c>
      <c r="AL12" s="20">
        <f t="shared" si="11"/>
        <v>3443</v>
      </c>
      <c r="AM12" s="1" t="s">
        <v>3</v>
      </c>
    </row>
    <row r="13" spans="2:39" s="1" customFormat="1" ht="13.5">
      <c r="B13" s="208"/>
      <c r="C13" s="210" t="s">
        <v>16</v>
      </c>
      <c r="D13" s="28" t="s">
        <v>17</v>
      </c>
      <c r="E13" s="33">
        <f>SUM(H13:AK13)*F13</f>
        <v>210</v>
      </c>
      <c r="F13" s="40">
        <v>20</v>
      </c>
      <c r="G13" s="16" t="s">
        <v>18</v>
      </c>
      <c r="H13" s="21">
        <v>1</v>
      </c>
      <c r="I13" s="21"/>
      <c r="J13" s="21"/>
      <c r="K13" s="21"/>
      <c r="L13" s="21"/>
      <c r="M13" s="21"/>
      <c r="N13" s="21">
        <v>0.5</v>
      </c>
      <c r="O13" s="21">
        <v>1</v>
      </c>
      <c r="P13" s="21"/>
      <c r="Q13" s="21"/>
      <c r="R13" s="21">
        <v>0.5</v>
      </c>
      <c r="S13" s="21">
        <v>0.5</v>
      </c>
      <c r="T13" s="21">
        <v>0.5</v>
      </c>
      <c r="U13" s="21">
        <v>0.5</v>
      </c>
      <c r="V13" s="21">
        <v>1</v>
      </c>
      <c r="W13" s="21"/>
      <c r="X13" s="21"/>
      <c r="Y13" s="21">
        <v>0.5</v>
      </c>
      <c r="Z13" s="21">
        <v>0.5</v>
      </c>
      <c r="AA13" s="21">
        <v>0.5</v>
      </c>
      <c r="AB13" s="21">
        <v>0.5</v>
      </c>
      <c r="AC13" s="21">
        <v>1</v>
      </c>
      <c r="AD13" s="21"/>
      <c r="AE13" s="21"/>
      <c r="AF13" s="21">
        <v>0.5</v>
      </c>
      <c r="AG13" s="21">
        <v>0.5</v>
      </c>
      <c r="AH13" s="21">
        <v>0.5</v>
      </c>
      <c r="AI13" s="21">
        <v>0.5</v>
      </c>
      <c r="AJ13" s="21"/>
      <c r="AK13" s="21"/>
      <c r="AL13" s="21"/>
      <c r="AM13" s="1" t="s">
        <v>3</v>
      </c>
    </row>
    <row r="14" spans="2:39" s="1" customFormat="1" ht="13.5">
      <c r="B14" s="208"/>
      <c r="C14" s="211"/>
      <c r="D14" s="29" t="s">
        <v>19</v>
      </c>
      <c r="E14" s="53">
        <f t="shared" ref="E14:E19" si="12">SUM(H14:AK14)*F14</f>
        <v>130</v>
      </c>
      <c r="F14" s="56">
        <v>20</v>
      </c>
      <c r="G14" s="65" t="s">
        <v>18</v>
      </c>
      <c r="H14" s="66">
        <v>0.5</v>
      </c>
      <c r="I14" s="66"/>
      <c r="J14" s="66"/>
      <c r="K14" s="66"/>
      <c r="L14" s="66"/>
      <c r="M14" s="66"/>
      <c r="N14" s="66">
        <v>0.5</v>
      </c>
      <c r="O14" s="66">
        <v>0.5</v>
      </c>
      <c r="P14" s="66"/>
      <c r="Q14" s="66"/>
      <c r="R14" s="66">
        <v>0.5</v>
      </c>
      <c r="S14" s="66">
        <v>0.5</v>
      </c>
      <c r="T14" s="66">
        <v>0.5</v>
      </c>
      <c r="U14" s="66">
        <v>0.5</v>
      </c>
      <c r="V14" s="66">
        <v>0.5</v>
      </c>
      <c r="W14" s="66"/>
      <c r="X14" s="66"/>
      <c r="Y14" s="66">
        <v>0.5</v>
      </c>
      <c r="Z14" s="66">
        <v>0.5</v>
      </c>
      <c r="AA14" s="66">
        <v>0.5</v>
      </c>
      <c r="AB14" s="66">
        <v>0.5</v>
      </c>
      <c r="AC14" s="66">
        <v>0.5</v>
      </c>
      <c r="AD14" s="66"/>
      <c r="AE14" s="66"/>
      <c r="AF14" s="66"/>
      <c r="AG14" s="66"/>
      <c r="AH14" s="66"/>
      <c r="AI14" s="66"/>
      <c r="AJ14" s="66"/>
      <c r="AK14" s="66"/>
      <c r="AL14" s="66"/>
      <c r="AM14" s="1" t="s">
        <v>3</v>
      </c>
    </row>
    <row r="15" spans="2:39" s="1" customFormat="1" ht="13.5">
      <c r="B15" s="208"/>
      <c r="C15" s="211"/>
      <c r="D15" s="29" t="s">
        <v>20</v>
      </c>
      <c r="E15" s="53">
        <f t="shared" si="12"/>
        <v>340</v>
      </c>
      <c r="F15" s="56">
        <v>20</v>
      </c>
      <c r="G15" s="65" t="s">
        <v>18</v>
      </c>
      <c r="H15" s="66">
        <v>1</v>
      </c>
      <c r="I15" s="66"/>
      <c r="J15" s="66"/>
      <c r="K15" s="66"/>
      <c r="L15" s="66"/>
      <c r="M15" s="66"/>
      <c r="N15" s="66">
        <v>1</v>
      </c>
      <c r="O15" s="66">
        <v>1</v>
      </c>
      <c r="P15" s="66"/>
      <c r="Q15" s="66"/>
      <c r="R15" s="66">
        <v>1</v>
      </c>
      <c r="S15" s="66">
        <v>1</v>
      </c>
      <c r="T15" s="66">
        <v>1</v>
      </c>
      <c r="U15" s="66">
        <v>1</v>
      </c>
      <c r="V15" s="66">
        <v>1</v>
      </c>
      <c r="W15" s="66"/>
      <c r="X15" s="66"/>
      <c r="Y15" s="66">
        <v>1</v>
      </c>
      <c r="Z15" s="66">
        <v>1</v>
      </c>
      <c r="AA15" s="66">
        <v>1</v>
      </c>
      <c r="AB15" s="66">
        <v>1</v>
      </c>
      <c r="AC15" s="66">
        <v>1</v>
      </c>
      <c r="AD15" s="66"/>
      <c r="AE15" s="66"/>
      <c r="AF15" s="66">
        <v>1</v>
      </c>
      <c r="AG15" s="66">
        <v>1</v>
      </c>
      <c r="AH15" s="66">
        <v>1</v>
      </c>
      <c r="AI15" s="66">
        <v>1</v>
      </c>
      <c r="AJ15" s="66"/>
      <c r="AK15" s="66"/>
      <c r="AL15" s="66"/>
      <c r="AM15" s="1" t="s">
        <v>3</v>
      </c>
    </row>
    <row r="16" spans="2:39" s="1" customFormat="1" ht="13.5">
      <c r="B16" s="208"/>
      <c r="C16" s="211"/>
      <c r="D16" s="29" t="s">
        <v>21</v>
      </c>
      <c r="E16" s="34">
        <f t="shared" si="12"/>
        <v>170</v>
      </c>
      <c r="F16" s="39">
        <v>20</v>
      </c>
      <c r="G16" s="15" t="s">
        <v>18</v>
      </c>
      <c r="H16" s="66">
        <v>0.5</v>
      </c>
      <c r="I16" s="66"/>
      <c r="J16" s="66"/>
      <c r="K16" s="66"/>
      <c r="L16" s="66"/>
      <c r="M16" s="66"/>
      <c r="N16" s="66">
        <v>0.5</v>
      </c>
      <c r="O16" s="66">
        <v>0.5</v>
      </c>
      <c r="P16" s="66"/>
      <c r="Q16" s="66"/>
      <c r="R16" s="66">
        <v>0.5</v>
      </c>
      <c r="S16" s="66">
        <v>0.5</v>
      </c>
      <c r="T16" s="66">
        <v>0.5</v>
      </c>
      <c r="U16" s="66">
        <v>0.5</v>
      </c>
      <c r="V16" s="66">
        <v>0.5</v>
      </c>
      <c r="W16" s="66"/>
      <c r="X16" s="66"/>
      <c r="Y16" s="66">
        <v>0.5</v>
      </c>
      <c r="Z16" s="66">
        <v>0.5</v>
      </c>
      <c r="AA16" s="66">
        <v>0.5</v>
      </c>
      <c r="AB16" s="66">
        <v>0.5</v>
      </c>
      <c r="AC16" s="66">
        <v>0.5</v>
      </c>
      <c r="AD16" s="66"/>
      <c r="AE16" s="66"/>
      <c r="AF16" s="66">
        <v>0.5</v>
      </c>
      <c r="AG16" s="66">
        <v>0.5</v>
      </c>
      <c r="AH16" s="66">
        <v>0.5</v>
      </c>
      <c r="AI16" s="66">
        <v>0.5</v>
      </c>
      <c r="AJ16" s="66"/>
      <c r="AK16" s="66"/>
      <c r="AL16" s="66"/>
      <c r="AM16" s="1" t="s">
        <v>3</v>
      </c>
    </row>
    <row r="17" spans="2:39" s="1" customFormat="1" ht="13.5">
      <c r="B17" s="208"/>
      <c r="C17" s="211"/>
      <c r="D17" s="29" t="s">
        <v>22</v>
      </c>
      <c r="E17" s="34">
        <f t="shared" si="12"/>
        <v>510</v>
      </c>
      <c r="F17" s="39">
        <v>30</v>
      </c>
      <c r="G17" s="15" t="s">
        <v>18</v>
      </c>
      <c r="H17" s="66">
        <v>1</v>
      </c>
      <c r="I17" s="66"/>
      <c r="J17" s="66"/>
      <c r="K17" s="66"/>
      <c r="L17" s="66"/>
      <c r="M17" s="66"/>
      <c r="N17" s="66">
        <v>1</v>
      </c>
      <c r="O17" s="66">
        <v>1</v>
      </c>
      <c r="P17" s="66"/>
      <c r="Q17" s="66"/>
      <c r="R17" s="66">
        <v>1</v>
      </c>
      <c r="S17" s="66">
        <v>1</v>
      </c>
      <c r="T17" s="66">
        <v>1</v>
      </c>
      <c r="U17" s="66">
        <v>1</v>
      </c>
      <c r="V17" s="66">
        <v>1</v>
      </c>
      <c r="W17" s="66"/>
      <c r="X17" s="66"/>
      <c r="Y17" s="66">
        <v>1</v>
      </c>
      <c r="Z17" s="66">
        <v>1</v>
      </c>
      <c r="AA17" s="66">
        <v>1</v>
      </c>
      <c r="AB17" s="66">
        <v>1</v>
      </c>
      <c r="AC17" s="66">
        <v>1</v>
      </c>
      <c r="AD17" s="66"/>
      <c r="AE17" s="66"/>
      <c r="AF17" s="66">
        <v>1</v>
      </c>
      <c r="AG17" s="66">
        <v>1</v>
      </c>
      <c r="AH17" s="66">
        <v>1</v>
      </c>
      <c r="AI17" s="66">
        <v>1</v>
      </c>
      <c r="AJ17" s="66"/>
      <c r="AK17" s="66"/>
      <c r="AL17" s="66"/>
      <c r="AM17" s="1" t="s">
        <v>3</v>
      </c>
    </row>
    <row r="18" spans="2:39" s="1" customFormat="1" ht="13.5">
      <c r="B18" s="208"/>
      <c r="C18" s="211"/>
      <c r="D18" s="29" t="s">
        <v>23</v>
      </c>
      <c r="E18" s="34">
        <f t="shared" si="12"/>
        <v>255</v>
      </c>
      <c r="F18" s="39">
        <v>15</v>
      </c>
      <c r="G18" s="15" t="s">
        <v>18</v>
      </c>
      <c r="H18" s="18">
        <v>1</v>
      </c>
      <c r="I18" s="18"/>
      <c r="J18" s="18"/>
      <c r="K18" s="18"/>
      <c r="L18" s="18"/>
      <c r="M18" s="18"/>
      <c r="N18" s="18">
        <v>1</v>
      </c>
      <c r="O18" s="18">
        <v>1</v>
      </c>
      <c r="P18" s="18"/>
      <c r="Q18" s="18"/>
      <c r="R18" s="18">
        <v>1</v>
      </c>
      <c r="S18" s="18">
        <v>1</v>
      </c>
      <c r="T18" s="18">
        <v>1</v>
      </c>
      <c r="U18" s="18">
        <v>1</v>
      </c>
      <c r="V18" s="18">
        <v>1</v>
      </c>
      <c r="W18" s="18"/>
      <c r="X18" s="18"/>
      <c r="Y18" s="18">
        <v>1</v>
      </c>
      <c r="Z18" s="18">
        <v>1</v>
      </c>
      <c r="AA18" s="18">
        <v>1</v>
      </c>
      <c r="AB18" s="18">
        <v>1</v>
      </c>
      <c r="AC18" s="18">
        <v>1</v>
      </c>
      <c r="AD18" s="18"/>
      <c r="AE18" s="18"/>
      <c r="AF18" s="18">
        <v>1</v>
      </c>
      <c r="AG18" s="18">
        <v>1</v>
      </c>
      <c r="AH18" s="18">
        <v>1</v>
      </c>
      <c r="AI18" s="18">
        <v>1</v>
      </c>
      <c r="AJ18" s="18"/>
      <c r="AK18" s="18"/>
      <c r="AL18" s="18"/>
      <c r="AM18" s="1" t="s">
        <v>3</v>
      </c>
    </row>
    <row r="19" spans="2:39" s="1" customFormat="1" ht="14" thickBot="1">
      <c r="B19" s="208"/>
      <c r="C19" s="211"/>
      <c r="D19" s="29" t="s">
        <v>24</v>
      </c>
      <c r="E19" s="35">
        <f t="shared" si="12"/>
        <v>170</v>
      </c>
      <c r="F19" s="39">
        <v>10</v>
      </c>
      <c r="G19" s="17" t="s">
        <v>18</v>
      </c>
      <c r="H19" s="25">
        <v>1</v>
      </c>
      <c r="I19" s="25"/>
      <c r="J19" s="25"/>
      <c r="K19" s="25"/>
      <c r="L19" s="25"/>
      <c r="M19" s="25"/>
      <c r="N19" s="25">
        <v>1</v>
      </c>
      <c r="O19" s="25">
        <v>1</v>
      </c>
      <c r="P19" s="25"/>
      <c r="Q19" s="25"/>
      <c r="R19" s="25">
        <v>1</v>
      </c>
      <c r="S19" s="25">
        <v>1</v>
      </c>
      <c r="T19" s="25">
        <v>1</v>
      </c>
      <c r="U19" s="25">
        <v>1</v>
      </c>
      <c r="V19" s="25">
        <v>1</v>
      </c>
      <c r="W19" s="25"/>
      <c r="X19" s="25"/>
      <c r="Y19" s="25">
        <v>1</v>
      </c>
      <c r="Z19" s="25">
        <v>1</v>
      </c>
      <c r="AA19" s="25">
        <v>1</v>
      </c>
      <c r="AB19" s="25">
        <v>1</v>
      </c>
      <c r="AC19" s="25">
        <v>1</v>
      </c>
      <c r="AD19" s="25"/>
      <c r="AE19" s="25"/>
      <c r="AF19" s="25">
        <v>1</v>
      </c>
      <c r="AG19" s="25">
        <v>1</v>
      </c>
      <c r="AH19" s="25">
        <v>1</v>
      </c>
      <c r="AI19" s="25">
        <v>1</v>
      </c>
      <c r="AJ19" s="25"/>
      <c r="AK19" s="25"/>
      <c r="AL19" s="25"/>
      <c r="AM19" s="1" t="s">
        <v>3</v>
      </c>
    </row>
    <row r="20" spans="2:39" s="1" customFormat="1" ht="13.5">
      <c r="B20" s="208"/>
      <c r="C20" s="210" t="s">
        <v>25</v>
      </c>
      <c r="D20" s="30" t="s">
        <v>26</v>
      </c>
      <c r="E20" s="36">
        <f t="shared" ref="E20:E23" si="13">SUM(H20:AK20)*F20</f>
        <v>510</v>
      </c>
      <c r="F20" s="40">
        <v>30</v>
      </c>
      <c r="G20" s="16" t="s">
        <v>18</v>
      </c>
      <c r="H20" s="21">
        <v>1</v>
      </c>
      <c r="I20" s="21"/>
      <c r="J20" s="21"/>
      <c r="K20" s="21"/>
      <c r="L20" s="21"/>
      <c r="M20" s="21"/>
      <c r="N20" s="21">
        <v>1</v>
      </c>
      <c r="O20" s="21">
        <v>1</v>
      </c>
      <c r="P20" s="21"/>
      <c r="Q20" s="21"/>
      <c r="R20" s="21">
        <v>1</v>
      </c>
      <c r="S20" s="21">
        <v>1</v>
      </c>
      <c r="T20" s="21">
        <v>1</v>
      </c>
      <c r="U20" s="21">
        <v>1</v>
      </c>
      <c r="V20" s="21">
        <v>1</v>
      </c>
      <c r="W20" s="21"/>
      <c r="X20" s="21"/>
      <c r="Y20" s="21">
        <v>1</v>
      </c>
      <c r="Z20" s="21">
        <v>1</v>
      </c>
      <c r="AA20" s="21">
        <v>1</v>
      </c>
      <c r="AB20" s="21">
        <v>1</v>
      </c>
      <c r="AC20" s="21">
        <v>1</v>
      </c>
      <c r="AD20" s="21"/>
      <c r="AE20" s="21"/>
      <c r="AF20" s="21">
        <v>1</v>
      </c>
      <c r="AG20" s="21">
        <v>1</v>
      </c>
      <c r="AH20" s="21">
        <v>1</v>
      </c>
      <c r="AI20" s="21">
        <v>1</v>
      </c>
      <c r="AJ20" s="21"/>
      <c r="AK20" s="21"/>
      <c r="AL20" s="21"/>
      <c r="AM20" s="1" t="s">
        <v>3</v>
      </c>
    </row>
    <row r="21" spans="2:39" s="1" customFormat="1" ht="13.5">
      <c r="B21" s="208"/>
      <c r="C21" s="211"/>
      <c r="D21" s="31" t="s">
        <v>27</v>
      </c>
      <c r="E21" s="37">
        <f t="shared" si="13"/>
        <v>656.00000000000011</v>
      </c>
      <c r="F21" s="39">
        <v>40</v>
      </c>
      <c r="G21" s="15" t="s">
        <v>18</v>
      </c>
      <c r="H21" s="18">
        <v>1</v>
      </c>
      <c r="I21" s="18"/>
      <c r="J21" s="18"/>
      <c r="K21" s="18"/>
      <c r="L21" s="18"/>
      <c r="M21" s="18"/>
      <c r="N21" s="18">
        <v>1</v>
      </c>
      <c r="O21" s="18">
        <v>1</v>
      </c>
      <c r="P21" s="18"/>
      <c r="Q21" s="18"/>
      <c r="R21" s="18">
        <v>1</v>
      </c>
      <c r="S21" s="18">
        <v>0.8</v>
      </c>
      <c r="T21" s="18">
        <v>1</v>
      </c>
      <c r="U21" s="18">
        <v>1</v>
      </c>
      <c r="V21" s="18">
        <v>1</v>
      </c>
      <c r="W21" s="18"/>
      <c r="X21" s="18"/>
      <c r="Y21" s="18">
        <v>1</v>
      </c>
      <c r="Z21" s="18">
        <v>0.8</v>
      </c>
      <c r="AA21" s="18">
        <v>1</v>
      </c>
      <c r="AB21" s="18">
        <v>1</v>
      </c>
      <c r="AC21" s="18">
        <v>1</v>
      </c>
      <c r="AD21" s="18"/>
      <c r="AE21" s="18"/>
      <c r="AF21" s="18">
        <v>1</v>
      </c>
      <c r="AG21" s="18">
        <v>0.8</v>
      </c>
      <c r="AH21" s="18">
        <v>1</v>
      </c>
      <c r="AI21" s="18">
        <v>1</v>
      </c>
      <c r="AJ21" s="18"/>
      <c r="AK21" s="18"/>
      <c r="AL21" s="18"/>
      <c r="AM21" s="1" t="s">
        <v>3</v>
      </c>
    </row>
    <row r="22" spans="2:39" s="1" customFormat="1" ht="13.5">
      <c r="B22" s="208"/>
      <c r="C22" s="211"/>
      <c r="D22" s="31" t="s">
        <v>19</v>
      </c>
      <c r="E22" s="37">
        <f t="shared" si="13"/>
        <v>40</v>
      </c>
      <c r="F22" s="39">
        <v>20</v>
      </c>
      <c r="G22" s="15" t="s">
        <v>18</v>
      </c>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v>0.5</v>
      </c>
      <c r="AG22" s="18">
        <v>0.5</v>
      </c>
      <c r="AH22" s="18">
        <v>0.5</v>
      </c>
      <c r="AI22" s="18">
        <v>0.5</v>
      </c>
      <c r="AJ22" s="18"/>
      <c r="AK22" s="18"/>
      <c r="AL22" s="18"/>
      <c r="AM22" s="1" t="s">
        <v>3</v>
      </c>
    </row>
    <row r="23" spans="2:39" s="1" customFormat="1" ht="14" thickBot="1">
      <c r="B23" s="209"/>
      <c r="C23" s="212"/>
      <c r="D23" s="32" t="s">
        <v>17</v>
      </c>
      <c r="E23" s="38">
        <f t="shared" si="13"/>
        <v>70</v>
      </c>
      <c r="F23" s="41">
        <v>20</v>
      </c>
      <c r="G23" s="17" t="s">
        <v>18</v>
      </c>
      <c r="H23" s="25">
        <v>0.5</v>
      </c>
      <c r="I23" s="25"/>
      <c r="J23" s="25"/>
      <c r="K23" s="25"/>
      <c r="L23" s="25"/>
      <c r="M23" s="25"/>
      <c r="N23" s="25"/>
      <c r="O23" s="25">
        <v>0.5</v>
      </c>
      <c r="P23" s="25"/>
      <c r="Q23" s="25"/>
      <c r="R23" s="25"/>
      <c r="S23" s="25">
        <v>0.5</v>
      </c>
      <c r="T23" s="25"/>
      <c r="U23" s="25"/>
      <c r="V23" s="25">
        <v>0.5</v>
      </c>
      <c r="W23" s="25"/>
      <c r="X23" s="25"/>
      <c r="Y23" s="25"/>
      <c r="Z23" s="25">
        <v>0.5</v>
      </c>
      <c r="AA23" s="25"/>
      <c r="AB23" s="25"/>
      <c r="AC23" s="25">
        <v>0.5</v>
      </c>
      <c r="AD23" s="25"/>
      <c r="AE23" s="25"/>
      <c r="AF23" s="25"/>
      <c r="AG23" s="25">
        <v>0.5</v>
      </c>
      <c r="AH23" s="25"/>
      <c r="AI23" s="25"/>
      <c r="AJ23" s="25"/>
      <c r="AK23" s="25"/>
      <c r="AL23" s="25"/>
      <c r="AM23" s="1" t="s">
        <v>3</v>
      </c>
    </row>
    <row r="24" spans="2:39" s="1" customFormat="1" ht="15" customHeight="1" outlineLevel="1">
      <c r="B24" s="226" t="s">
        <v>28</v>
      </c>
      <c r="C24" s="220" t="s">
        <v>5</v>
      </c>
      <c r="D24" s="221"/>
      <c r="E24" s="39">
        <f>SUM(H24:AL24)+'0401(予定）'!E24</f>
        <v>1362</v>
      </c>
      <c r="F24" s="39" t="s">
        <v>6</v>
      </c>
      <c r="G24" s="15" t="s">
        <v>7</v>
      </c>
      <c r="H24" s="18">
        <v>29</v>
      </c>
      <c r="I24" s="18">
        <v>0</v>
      </c>
      <c r="J24" s="18">
        <v>0</v>
      </c>
      <c r="K24" s="18">
        <v>0</v>
      </c>
      <c r="L24" s="18">
        <v>0</v>
      </c>
      <c r="M24" s="18">
        <v>0</v>
      </c>
      <c r="N24" s="18">
        <v>47</v>
      </c>
      <c r="O24" s="18">
        <v>16</v>
      </c>
      <c r="P24" s="18">
        <v>0</v>
      </c>
      <c r="Q24" s="18">
        <v>0</v>
      </c>
      <c r="R24" s="18">
        <v>23</v>
      </c>
      <c r="S24" s="18">
        <v>28</v>
      </c>
      <c r="T24" s="18">
        <v>12</v>
      </c>
      <c r="U24" s="18">
        <v>29</v>
      </c>
      <c r="V24" s="18">
        <v>26</v>
      </c>
      <c r="W24" s="18">
        <v>0</v>
      </c>
      <c r="X24" s="18">
        <v>0</v>
      </c>
      <c r="Y24" s="18">
        <v>69</v>
      </c>
      <c r="Z24" s="18">
        <v>23</v>
      </c>
      <c r="AA24" s="18">
        <v>31</v>
      </c>
      <c r="AB24" s="18">
        <v>11</v>
      </c>
      <c r="AC24" s="18">
        <v>23</v>
      </c>
      <c r="AD24" s="18">
        <v>0</v>
      </c>
      <c r="AE24" s="18">
        <v>0</v>
      </c>
      <c r="AF24" s="18">
        <v>13</v>
      </c>
      <c r="AG24" s="18">
        <v>19</v>
      </c>
      <c r="AH24" s="18">
        <v>8</v>
      </c>
      <c r="AI24" s="18">
        <v>19</v>
      </c>
      <c r="AJ24" s="18">
        <v>32</v>
      </c>
      <c r="AK24" s="18">
        <v>0</v>
      </c>
      <c r="AL24" s="18">
        <v>0</v>
      </c>
      <c r="AM24" s="1" t="s">
        <v>3</v>
      </c>
    </row>
    <row r="25" spans="2:39" s="1" customFormat="1" ht="15" customHeight="1" outlineLevel="1">
      <c r="B25" s="208"/>
      <c r="C25" s="205" t="s">
        <v>29</v>
      </c>
      <c r="D25" s="206"/>
      <c r="E25" s="39">
        <f>SUM(H25:AL25)+'0401(予定）'!E25</f>
        <v>1031.5</v>
      </c>
      <c r="F25" s="39" t="s">
        <v>6</v>
      </c>
      <c r="G25" s="15" t="s">
        <v>7</v>
      </c>
      <c r="H25" s="18">
        <f>SUM(H29*$F$29,H30*$F$30,H31*$F$31)</f>
        <v>32</v>
      </c>
      <c r="I25" s="18">
        <f t="shared" ref="I25:AL25" si="14">SUM(I29*$F$29,I30*$F$30,I31*$F$31)</f>
        <v>0</v>
      </c>
      <c r="J25" s="18">
        <f t="shared" si="14"/>
        <v>0</v>
      </c>
      <c r="K25" s="18">
        <f t="shared" si="14"/>
        <v>0</v>
      </c>
      <c r="L25" s="18">
        <f t="shared" si="14"/>
        <v>0</v>
      </c>
      <c r="M25" s="18">
        <f t="shared" si="14"/>
        <v>0</v>
      </c>
      <c r="N25" s="18">
        <f t="shared" si="14"/>
        <v>32</v>
      </c>
      <c r="O25" s="18">
        <f t="shared" si="14"/>
        <v>32</v>
      </c>
      <c r="P25" s="18">
        <f t="shared" si="14"/>
        <v>0</v>
      </c>
      <c r="Q25" s="18">
        <f t="shared" si="14"/>
        <v>0</v>
      </c>
      <c r="R25" s="18">
        <f t="shared" si="14"/>
        <v>32</v>
      </c>
      <c r="S25" s="18">
        <f t="shared" si="14"/>
        <v>32</v>
      </c>
      <c r="T25" s="18">
        <f t="shared" si="14"/>
        <v>32</v>
      </c>
      <c r="U25" s="18">
        <f t="shared" si="14"/>
        <v>32</v>
      </c>
      <c r="V25" s="18">
        <f t="shared" si="14"/>
        <v>32</v>
      </c>
      <c r="W25" s="18">
        <f t="shared" si="14"/>
        <v>0</v>
      </c>
      <c r="X25" s="18">
        <f t="shared" si="14"/>
        <v>0</v>
      </c>
      <c r="Y25" s="18">
        <f t="shared" si="14"/>
        <v>32</v>
      </c>
      <c r="Z25" s="18">
        <f t="shared" si="14"/>
        <v>32</v>
      </c>
      <c r="AA25" s="18">
        <f t="shared" si="14"/>
        <v>32</v>
      </c>
      <c r="AB25" s="18">
        <f t="shared" si="14"/>
        <v>32</v>
      </c>
      <c r="AC25" s="18">
        <f t="shared" si="14"/>
        <v>32</v>
      </c>
      <c r="AD25" s="18">
        <f t="shared" si="14"/>
        <v>0</v>
      </c>
      <c r="AE25" s="18">
        <f t="shared" si="14"/>
        <v>0</v>
      </c>
      <c r="AF25" s="18">
        <f t="shared" si="14"/>
        <v>32</v>
      </c>
      <c r="AG25" s="18">
        <f t="shared" si="14"/>
        <v>32</v>
      </c>
      <c r="AH25" s="18">
        <f t="shared" si="14"/>
        <v>32</v>
      </c>
      <c r="AI25" s="18">
        <f t="shared" si="14"/>
        <v>32</v>
      </c>
      <c r="AJ25" s="18">
        <f t="shared" si="14"/>
        <v>0</v>
      </c>
      <c r="AK25" s="18">
        <f t="shared" si="14"/>
        <v>0</v>
      </c>
      <c r="AL25" s="18">
        <f t="shared" si="14"/>
        <v>0</v>
      </c>
      <c r="AM25" s="1" t="s">
        <v>3</v>
      </c>
    </row>
    <row r="26" spans="2:39" s="1" customFormat="1" ht="15" customHeight="1" outlineLevel="1">
      <c r="B26" s="208"/>
      <c r="C26" s="205" t="s">
        <v>30</v>
      </c>
      <c r="D26" s="206"/>
      <c r="E26" s="39">
        <f>SUM(H26:AL26)+'0401(予定）'!E27</f>
        <v>517</v>
      </c>
      <c r="F26" s="39" t="s">
        <v>6</v>
      </c>
      <c r="G26" s="15" t="s">
        <v>7</v>
      </c>
      <c r="H26" s="18">
        <f>SUM(H32*$F$32,H33*$F$33,H34*$F$34,H35*$F$35)</f>
        <v>13</v>
      </c>
      <c r="I26" s="18">
        <f t="shared" ref="I26:AL26" si="15">SUM(I32*$F$32,I33*$F$33,I34*$F$34,I35*$F$35)</f>
        <v>0</v>
      </c>
      <c r="J26" s="18">
        <f t="shared" si="15"/>
        <v>0</v>
      </c>
      <c r="K26" s="18">
        <f t="shared" si="15"/>
        <v>0</v>
      </c>
      <c r="L26" s="18">
        <f t="shared" si="15"/>
        <v>0</v>
      </c>
      <c r="M26" s="18">
        <f t="shared" si="15"/>
        <v>0</v>
      </c>
      <c r="N26" s="18">
        <f t="shared" si="15"/>
        <v>21</v>
      </c>
      <c r="O26" s="18">
        <f t="shared" si="15"/>
        <v>13</v>
      </c>
      <c r="P26" s="18">
        <f t="shared" si="15"/>
        <v>0</v>
      </c>
      <c r="Q26" s="18">
        <f t="shared" si="15"/>
        <v>0</v>
      </c>
      <c r="R26" s="18">
        <f t="shared" si="15"/>
        <v>13</v>
      </c>
      <c r="S26" s="18">
        <f t="shared" si="15"/>
        <v>21</v>
      </c>
      <c r="T26" s="18">
        <f t="shared" si="15"/>
        <v>13</v>
      </c>
      <c r="U26" s="18">
        <f t="shared" si="15"/>
        <v>13</v>
      </c>
      <c r="V26" s="18">
        <f t="shared" si="15"/>
        <v>13</v>
      </c>
      <c r="W26" s="18">
        <f t="shared" si="15"/>
        <v>0</v>
      </c>
      <c r="X26" s="18">
        <f t="shared" si="15"/>
        <v>0</v>
      </c>
      <c r="Y26" s="18">
        <f t="shared" si="15"/>
        <v>13</v>
      </c>
      <c r="Z26" s="18">
        <f t="shared" si="15"/>
        <v>21</v>
      </c>
      <c r="AA26" s="18">
        <f t="shared" si="15"/>
        <v>13</v>
      </c>
      <c r="AB26" s="18">
        <f t="shared" si="15"/>
        <v>13</v>
      </c>
      <c r="AC26" s="18">
        <f t="shared" si="15"/>
        <v>13</v>
      </c>
      <c r="AD26" s="18">
        <f t="shared" si="15"/>
        <v>0</v>
      </c>
      <c r="AE26" s="18">
        <f t="shared" si="15"/>
        <v>0</v>
      </c>
      <c r="AF26" s="18">
        <f t="shared" si="15"/>
        <v>13</v>
      </c>
      <c r="AG26" s="18">
        <f t="shared" si="15"/>
        <v>21</v>
      </c>
      <c r="AH26" s="18">
        <f t="shared" si="15"/>
        <v>13</v>
      </c>
      <c r="AI26" s="18">
        <f t="shared" si="15"/>
        <v>13</v>
      </c>
      <c r="AJ26" s="18">
        <f t="shared" si="15"/>
        <v>0</v>
      </c>
      <c r="AK26" s="18">
        <f t="shared" si="15"/>
        <v>0</v>
      </c>
      <c r="AL26" s="18">
        <f t="shared" si="15"/>
        <v>0</v>
      </c>
      <c r="AM26" s="1" t="s">
        <v>3</v>
      </c>
    </row>
    <row r="27" spans="2:39" s="1" customFormat="1" ht="13.5" outlineLevel="1">
      <c r="B27" s="208"/>
      <c r="C27" s="205" t="s">
        <v>14</v>
      </c>
      <c r="D27" s="206"/>
      <c r="E27" s="39">
        <f>E24-E25</f>
        <v>330.5</v>
      </c>
      <c r="F27" s="39" t="s">
        <v>6</v>
      </c>
      <c r="G27" s="15" t="s">
        <v>7</v>
      </c>
      <c r="H27" s="18">
        <f>'0401(予定）'!AK29+H24-H25</f>
        <v>413.5</v>
      </c>
      <c r="I27" s="18">
        <f>H27+I24-I25</f>
        <v>413.5</v>
      </c>
      <c r="J27" s="18">
        <f t="shared" ref="J27" si="16">I27+J24-J25</f>
        <v>413.5</v>
      </c>
      <c r="K27" s="18">
        <f t="shared" ref="K27" si="17">J27+K24-K25</f>
        <v>413.5</v>
      </c>
      <c r="L27" s="18">
        <f t="shared" ref="L27" si="18">K27+L24-L25</f>
        <v>413.5</v>
      </c>
      <c r="M27" s="18">
        <f t="shared" ref="M27" si="19">L27+M24-M25</f>
        <v>413.5</v>
      </c>
      <c r="N27" s="18">
        <f t="shared" ref="N27" si="20">M27+N24-N25</f>
        <v>428.5</v>
      </c>
      <c r="O27" s="18">
        <f t="shared" ref="O27" si="21">N27+O24-O25</f>
        <v>412.5</v>
      </c>
      <c r="P27" s="18">
        <f t="shared" ref="P27" si="22">O27+P24-P25</f>
        <v>412.5</v>
      </c>
      <c r="Q27" s="18">
        <f t="shared" ref="Q27" si="23">P27+Q24-Q25</f>
        <v>412.5</v>
      </c>
      <c r="R27" s="18">
        <f t="shared" ref="R27" si="24">Q27+R24-R25</f>
        <v>403.5</v>
      </c>
      <c r="S27" s="18">
        <f t="shared" ref="S27" si="25">R27+S24-S25</f>
        <v>399.5</v>
      </c>
      <c r="T27" s="18">
        <f t="shared" ref="T27" si="26">S27+T24-T25</f>
        <v>379.5</v>
      </c>
      <c r="U27" s="18">
        <f t="shared" ref="U27" si="27">T27+U24-U25</f>
        <v>376.5</v>
      </c>
      <c r="V27" s="18">
        <f t="shared" ref="V27" si="28">U27+V24-V25</f>
        <v>370.5</v>
      </c>
      <c r="W27" s="18">
        <f t="shared" ref="W27" si="29">V27+W24-W25</f>
        <v>370.5</v>
      </c>
      <c r="X27" s="18">
        <f t="shared" ref="X27" si="30">W27+X24-X25</f>
        <v>370.5</v>
      </c>
      <c r="Y27" s="18">
        <f t="shared" ref="Y27" si="31">X27+Y24-Y25</f>
        <v>407.5</v>
      </c>
      <c r="Z27" s="18">
        <f t="shared" ref="Z27" si="32">Y27+Z24-Z25</f>
        <v>398.5</v>
      </c>
      <c r="AA27" s="18">
        <f t="shared" ref="AA27" si="33">Z27+AA24-AA25</f>
        <v>397.5</v>
      </c>
      <c r="AB27" s="18">
        <f t="shared" ref="AB27" si="34">AA27+AB24-AB25</f>
        <v>376.5</v>
      </c>
      <c r="AC27" s="18">
        <f t="shared" ref="AC27" si="35">AB27+AC24-AC25</f>
        <v>367.5</v>
      </c>
      <c r="AD27" s="18">
        <f t="shared" ref="AD27" si="36">AC27+AD24-AD25</f>
        <v>367.5</v>
      </c>
      <c r="AE27" s="18">
        <f t="shared" ref="AE27" si="37">AD27+AE24-AE25</f>
        <v>367.5</v>
      </c>
      <c r="AF27" s="18">
        <f t="shared" ref="AF27" si="38">AE27+AF24-AF25</f>
        <v>348.5</v>
      </c>
      <c r="AG27" s="18">
        <f t="shared" ref="AG27" si="39">AF27+AG24-AG25</f>
        <v>335.5</v>
      </c>
      <c r="AH27" s="18">
        <f t="shared" ref="AH27" si="40">AG27+AH24-AH25</f>
        <v>311.5</v>
      </c>
      <c r="AI27" s="18">
        <f t="shared" ref="AI27" si="41">AH27+AI24-AI25</f>
        <v>298.5</v>
      </c>
      <c r="AJ27" s="18">
        <f t="shared" ref="AJ27" si="42">AI27+AJ24-AJ25</f>
        <v>330.5</v>
      </c>
      <c r="AK27" s="18">
        <f t="shared" ref="AK27" si="43">AJ27+AK24-AK25</f>
        <v>330.5</v>
      </c>
      <c r="AL27" s="18">
        <f t="shared" ref="AL27" si="44">AK27+AL24-AL25</f>
        <v>330.5</v>
      </c>
      <c r="AM27" s="1" t="s">
        <v>3</v>
      </c>
    </row>
    <row r="28" spans="2:39" s="1" customFormat="1" ht="14" outlineLevel="1" thickBot="1">
      <c r="B28" s="208"/>
      <c r="C28" s="205" t="s">
        <v>15</v>
      </c>
      <c r="D28" s="206"/>
      <c r="E28" s="19">
        <f>E24-E26</f>
        <v>845</v>
      </c>
      <c r="F28" s="19" t="s">
        <v>6</v>
      </c>
      <c r="G28" s="15" t="s">
        <v>7</v>
      </c>
      <c r="H28" s="20">
        <f>'0401(予定）'!AK30+H24-H26</f>
        <v>656</v>
      </c>
      <c r="I28" s="20">
        <f>H28+I24-I26</f>
        <v>656</v>
      </c>
      <c r="J28" s="20">
        <f t="shared" ref="J28" si="45">I28+J24-J26</f>
        <v>656</v>
      </c>
      <c r="K28" s="20">
        <f t="shared" ref="K28" si="46">J28+K24-K26</f>
        <v>656</v>
      </c>
      <c r="L28" s="20">
        <f t="shared" ref="L28" si="47">K28+L24-L26</f>
        <v>656</v>
      </c>
      <c r="M28" s="20">
        <f t="shared" ref="M28" si="48">L28+M24-M26</f>
        <v>656</v>
      </c>
      <c r="N28" s="20">
        <f t="shared" ref="N28" si="49">M28+N24-N26</f>
        <v>682</v>
      </c>
      <c r="O28" s="20">
        <f t="shared" ref="O28" si="50">N28+O24-O26</f>
        <v>685</v>
      </c>
      <c r="P28" s="20">
        <f t="shared" ref="P28" si="51">O28+P24-P26</f>
        <v>685</v>
      </c>
      <c r="Q28" s="20">
        <f t="shared" ref="Q28" si="52">P28+Q24-Q26</f>
        <v>685</v>
      </c>
      <c r="R28" s="20">
        <f t="shared" ref="R28" si="53">Q28+R24-R26</f>
        <v>695</v>
      </c>
      <c r="S28" s="20">
        <f t="shared" ref="S28" si="54">R28+S24-S26</f>
        <v>702</v>
      </c>
      <c r="T28" s="20">
        <f t="shared" ref="T28" si="55">S28+T24-T26</f>
        <v>701</v>
      </c>
      <c r="U28" s="20">
        <f t="shared" ref="U28" si="56">T28+U24-U26</f>
        <v>717</v>
      </c>
      <c r="V28" s="20">
        <f t="shared" ref="V28" si="57">U28+V24-V26</f>
        <v>730</v>
      </c>
      <c r="W28" s="20">
        <f t="shared" ref="W28" si="58">V28+W24-W26</f>
        <v>730</v>
      </c>
      <c r="X28" s="20">
        <f t="shared" ref="X28" si="59">W28+X24-X26</f>
        <v>730</v>
      </c>
      <c r="Y28" s="20">
        <f t="shared" ref="Y28" si="60">X28+Y24-Y26</f>
        <v>786</v>
      </c>
      <c r="Z28" s="20">
        <f t="shared" ref="Z28" si="61">Y28+Z24-Z26</f>
        <v>788</v>
      </c>
      <c r="AA28" s="20">
        <f t="shared" ref="AA28" si="62">Z28+AA24-AA26</f>
        <v>806</v>
      </c>
      <c r="AB28" s="20">
        <f t="shared" ref="AB28" si="63">AA28+AB24-AB26</f>
        <v>804</v>
      </c>
      <c r="AC28" s="20">
        <f t="shared" ref="AC28" si="64">AB28+AC24-AC26</f>
        <v>814</v>
      </c>
      <c r="AD28" s="20">
        <f t="shared" ref="AD28" si="65">AC28+AD24-AD26</f>
        <v>814</v>
      </c>
      <c r="AE28" s="20">
        <f t="shared" ref="AE28" si="66">AD28+AE24-AE26</f>
        <v>814</v>
      </c>
      <c r="AF28" s="20">
        <f t="shared" ref="AF28" si="67">AE28+AF24-AF26</f>
        <v>814</v>
      </c>
      <c r="AG28" s="20">
        <f t="shared" ref="AG28" si="68">AF28+AG24-AG26</f>
        <v>812</v>
      </c>
      <c r="AH28" s="20">
        <f t="shared" ref="AH28" si="69">AG28+AH24-AH26</f>
        <v>807</v>
      </c>
      <c r="AI28" s="20">
        <f t="shared" ref="AI28" si="70">AH28+AI24-AI26</f>
        <v>813</v>
      </c>
      <c r="AJ28" s="20">
        <f t="shared" ref="AJ28" si="71">AI28+AJ24-AJ26</f>
        <v>845</v>
      </c>
      <c r="AK28" s="20">
        <f t="shared" ref="AK28" si="72">AJ28+AK24-AK26</f>
        <v>845</v>
      </c>
      <c r="AL28" s="20">
        <f t="shared" ref="AL28" si="73">AK28+AL24-AL26</f>
        <v>845</v>
      </c>
      <c r="AM28" s="1" t="s">
        <v>3</v>
      </c>
    </row>
    <row r="29" spans="2:39" s="1" customFormat="1" ht="13.5" outlineLevel="1">
      <c r="B29" s="208"/>
      <c r="C29" s="210" t="s">
        <v>16</v>
      </c>
      <c r="D29" s="28" t="s">
        <v>53</v>
      </c>
      <c r="E29" s="33">
        <f>SUM(H29:AL29)*F29</f>
        <v>255</v>
      </c>
      <c r="F29" s="40">
        <v>15</v>
      </c>
      <c r="G29" s="16" t="s">
        <v>18</v>
      </c>
      <c r="H29" s="21">
        <v>1</v>
      </c>
      <c r="I29" s="21"/>
      <c r="J29" s="21"/>
      <c r="K29" s="21"/>
      <c r="L29" s="21"/>
      <c r="M29" s="21"/>
      <c r="N29" s="21">
        <v>1</v>
      </c>
      <c r="O29" s="21">
        <v>1</v>
      </c>
      <c r="P29" s="21"/>
      <c r="Q29" s="21"/>
      <c r="R29" s="21">
        <v>1</v>
      </c>
      <c r="S29" s="21">
        <v>1</v>
      </c>
      <c r="T29" s="21">
        <v>1</v>
      </c>
      <c r="U29" s="21">
        <v>1</v>
      </c>
      <c r="V29" s="21">
        <v>1</v>
      </c>
      <c r="W29" s="21"/>
      <c r="X29" s="21"/>
      <c r="Y29" s="21">
        <v>1</v>
      </c>
      <c r="Z29" s="21">
        <v>1</v>
      </c>
      <c r="AA29" s="21">
        <v>1</v>
      </c>
      <c r="AB29" s="21">
        <v>1</v>
      </c>
      <c r="AC29" s="21">
        <v>1</v>
      </c>
      <c r="AD29" s="21"/>
      <c r="AE29" s="21"/>
      <c r="AF29" s="21">
        <v>1</v>
      </c>
      <c r="AG29" s="21">
        <v>1</v>
      </c>
      <c r="AH29" s="21">
        <v>1</v>
      </c>
      <c r="AI29" s="21">
        <v>1</v>
      </c>
      <c r="AJ29" s="21"/>
      <c r="AK29" s="21"/>
      <c r="AL29" s="21"/>
      <c r="AM29" s="1" t="s">
        <v>3</v>
      </c>
    </row>
    <row r="30" spans="2:39" s="1" customFormat="1" ht="13.5" outlineLevel="1">
      <c r="B30" s="208"/>
      <c r="C30" s="211"/>
      <c r="D30" s="29" t="s">
        <v>31</v>
      </c>
      <c r="E30" s="34">
        <f>SUM(H30:AL30)*F30</f>
        <v>289</v>
      </c>
      <c r="F30" s="39">
        <v>17</v>
      </c>
      <c r="G30" s="15" t="s">
        <v>18</v>
      </c>
      <c r="H30" s="18">
        <v>1</v>
      </c>
      <c r="I30" s="18"/>
      <c r="J30" s="18"/>
      <c r="K30" s="18"/>
      <c r="L30" s="18"/>
      <c r="M30" s="18"/>
      <c r="N30" s="18">
        <v>1</v>
      </c>
      <c r="O30" s="18">
        <v>1</v>
      </c>
      <c r="P30" s="18"/>
      <c r="Q30" s="18"/>
      <c r="R30" s="18">
        <v>1</v>
      </c>
      <c r="S30" s="18">
        <v>1</v>
      </c>
      <c r="T30" s="18">
        <v>1</v>
      </c>
      <c r="U30" s="18">
        <v>1</v>
      </c>
      <c r="V30" s="18">
        <v>1</v>
      </c>
      <c r="W30" s="18"/>
      <c r="X30" s="18"/>
      <c r="Y30" s="18">
        <v>1</v>
      </c>
      <c r="Z30" s="18">
        <v>1</v>
      </c>
      <c r="AA30" s="18">
        <v>1</v>
      </c>
      <c r="AB30" s="18">
        <v>1</v>
      </c>
      <c r="AC30" s="18">
        <v>1</v>
      </c>
      <c r="AD30" s="18"/>
      <c r="AE30" s="18"/>
      <c r="AF30" s="18">
        <v>1</v>
      </c>
      <c r="AG30" s="18">
        <v>1</v>
      </c>
      <c r="AH30" s="18">
        <v>1</v>
      </c>
      <c r="AI30" s="18">
        <v>1</v>
      </c>
      <c r="AJ30" s="18"/>
      <c r="AK30" s="18"/>
      <c r="AL30" s="18"/>
      <c r="AM30" s="1" t="s">
        <v>3</v>
      </c>
    </row>
    <row r="31" spans="2:39" s="1" customFormat="1" ht="14" outlineLevel="1" thickBot="1">
      <c r="B31" s="208"/>
      <c r="C31" s="211"/>
      <c r="D31" s="29"/>
      <c r="E31" s="35">
        <f t="shared" ref="E31:E35" si="74">SUM(H31:AL31)</f>
        <v>0</v>
      </c>
      <c r="F31" s="41"/>
      <c r="G31" s="17" t="s">
        <v>18</v>
      </c>
      <c r="H31" s="25"/>
      <c r="I31" s="25"/>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 t="s">
        <v>3</v>
      </c>
    </row>
    <row r="32" spans="2:39" s="1" customFormat="1" ht="13.5" outlineLevel="1">
      <c r="B32" s="208"/>
      <c r="C32" s="210" t="s">
        <v>25</v>
      </c>
      <c r="D32" s="30" t="s">
        <v>32</v>
      </c>
      <c r="E32" s="33">
        <f>SUM(H32:AL32)*F32</f>
        <v>221</v>
      </c>
      <c r="F32" s="40">
        <v>13</v>
      </c>
      <c r="G32" s="16" t="s">
        <v>18</v>
      </c>
      <c r="H32" s="21">
        <v>1</v>
      </c>
      <c r="I32" s="21"/>
      <c r="J32" s="21"/>
      <c r="K32" s="21"/>
      <c r="L32" s="21"/>
      <c r="M32" s="21"/>
      <c r="N32" s="21">
        <v>1</v>
      </c>
      <c r="O32" s="21">
        <v>1</v>
      </c>
      <c r="P32" s="21"/>
      <c r="Q32" s="21"/>
      <c r="R32" s="21">
        <v>1</v>
      </c>
      <c r="S32" s="21">
        <v>1</v>
      </c>
      <c r="T32" s="21">
        <v>1</v>
      </c>
      <c r="U32" s="21">
        <v>1</v>
      </c>
      <c r="V32" s="21">
        <v>1</v>
      </c>
      <c r="W32" s="21"/>
      <c r="X32" s="21"/>
      <c r="Y32" s="21">
        <v>1</v>
      </c>
      <c r="Z32" s="21">
        <v>1</v>
      </c>
      <c r="AA32" s="21">
        <v>1</v>
      </c>
      <c r="AB32" s="21">
        <v>1</v>
      </c>
      <c r="AC32" s="21">
        <v>1</v>
      </c>
      <c r="AD32" s="21"/>
      <c r="AE32" s="21"/>
      <c r="AF32" s="21">
        <v>1</v>
      </c>
      <c r="AG32" s="21">
        <v>1</v>
      </c>
      <c r="AH32" s="21">
        <v>1</v>
      </c>
      <c r="AI32" s="21">
        <v>1</v>
      </c>
      <c r="AJ32" s="21"/>
      <c r="AK32" s="21"/>
      <c r="AL32" s="21"/>
      <c r="AM32" s="1" t="s">
        <v>3</v>
      </c>
    </row>
    <row r="33" spans="2:39" s="1" customFormat="1" ht="13.5" outlineLevel="1">
      <c r="B33" s="208"/>
      <c r="C33" s="211"/>
      <c r="D33" s="31" t="s">
        <v>33</v>
      </c>
      <c r="E33" s="76">
        <f>SUM(H33:AL33)*F33</f>
        <v>32</v>
      </c>
      <c r="F33" s="39">
        <v>10</v>
      </c>
      <c r="G33" s="15" t="s">
        <v>18</v>
      </c>
      <c r="H33" s="18"/>
      <c r="I33" s="18"/>
      <c r="J33" s="18"/>
      <c r="K33" s="18"/>
      <c r="L33" s="18"/>
      <c r="M33" s="18"/>
      <c r="N33" s="18">
        <v>0.8</v>
      </c>
      <c r="O33" s="18"/>
      <c r="P33" s="18"/>
      <c r="Q33" s="18"/>
      <c r="R33" s="18"/>
      <c r="S33" s="18">
        <v>0.8</v>
      </c>
      <c r="T33" s="18"/>
      <c r="U33" s="18"/>
      <c r="V33" s="18"/>
      <c r="W33" s="18"/>
      <c r="X33" s="18"/>
      <c r="Y33" s="18"/>
      <c r="Z33" s="18">
        <v>0.8</v>
      </c>
      <c r="AA33" s="18"/>
      <c r="AB33" s="18"/>
      <c r="AC33" s="18"/>
      <c r="AD33" s="18"/>
      <c r="AE33" s="18"/>
      <c r="AF33" s="18"/>
      <c r="AG33" s="18">
        <v>0.8</v>
      </c>
      <c r="AH33" s="18"/>
      <c r="AI33" s="18"/>
      <c r="AJ33" s="18"/>
      <c r="AK33" s="18"/>
      <c r="AL33" s="18"/>
      <c r="AM33" s="1" t="s">
        <v>3</v>
      </c>
    </row>
    <row r="34" spans="2:39" s="1" customFormat="1" ht="13.5" outlineLevel="1">
      <c r="B34" s="208"/>
      <c r="C34" s="211"/>
      <c r="D34" s="31" t="s">
        <v>34</v>
      </c>
      <c r="E34" s="37">
        <f t="shared" si="74"/>
        <v>0</v>
      </c>
      <c r="F34" s="39">
        <v>10</v>
      </c>
      <c r="G34" s="15" t="s">
        <v>18</v>
      </c>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 t="s">
        <v>3</v>
      </c>
    </row>
    <row r="35" spans="2:39" s="1" customFormat="1" ht="14" outlineLevel="1" thickBot="1">
      <c r="B35" s="209"/>
      <c r="C35" s="212"/>
      <c r="D35" s="32"/>
      <c r="E35" s="38">
        <f t="shared" si="74"/>
        <v>0</v>
      </c>
      <c r="F35" s="41"/>
      <c r="G35" s="17" t="s">
        <v>18</v>
      </c>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1" t="s">
        <v>3</v>
      </c>
    </row>
    <row r="36" spans="2:39" s="1" customFormat="1" ht="15" customHeight="1" outlineLevel="1">
      <c r="B36" s="226" t="s">
        <v>35</v>
      </c>
      <c r="C36" s="220" t="s">
        <v>5</v>
      </c>
      <c r="D36" s="221"/>
      <c r="E36" s="39">
        <f>SUM(H36:AL36)+'0401(予定）'!E38</f>
        <v>495</v>
      </c>
      <c r="F36" s="39" t="s">
        <v>10</v>
      </c>
      <c r="G36" s="15" t="s">
        <v>7</v>
      </c>
      <c r="H36" s="18">
        <v>1</v>
      </c>
      <c r="I36" s="71">
        <v>0</v>
      </c>
      <c r="J36" s="71">
        <v>0</v>
      </c>
      <c r="K36" s="71">
        <v>0</v>
      </c>
      <c r="L36" s="71">
        <v>0</v>
      </c>
      <c r="M36" s="71">
        <v>0</v>
      </c>
      <c r="N36" s="18">
        <v>11</v>
      </c>
      <c r="O36" s="18">
        <v>10</v>
      </c>
      <c r="P36" s="71">
        <v>0</v>
      </c>
      <c r="Q36" s="71">
        <v>0</v>
      </c>
      <c r="R36" s="18">
        <v>15</v>
      </c>
      <c r="S36" s="18">
        <v>13</v>
      </c>
      <c r="T36" s="18">
        <v>19</v>
      </c>
      <c r="U36" s="18">
        <v>14</v>
      </c>
      <c r="V36" s="18">
        <v>3</v>
      </c>
      <c r="W36" s="71">
        <v>0</v>
      </c>
      <c r="X36" s="71">
        <v>0</v>
      </c>
      <c r="Y36" s="18">
        <v>1</v>
      </c>
      <c r="Z36" s="18">
        <v>27</v>
      </c>
      <c r="AA36" s="18">
        <v>17</v>
      </c>
      <c r="AB36" s="18">
        <v>11</v>
      </c>
      <c r="AC36" s="18">
        <v>10</v>
      </c>
      <c r="AD36" s="71">
        <v>0</v>
      </c>
      <c r="AE36" s="71">
        <v>0</v>
      </c>
      <c r="AF36" s="18">
        <v>15</v>
      </c>
      <c r="AG36" s="18">
        <v>17</v>
      </c>
      <c r="AH36" s="18">
        <v>16</v>
      </c>
      <c r="AI36" s="18">
        <v>3</v>
      </c>
      <c r="AJ36" s="18">
        <v>27</v>
      </c>
      <c r="AK36" s="71">
        <v>0</v>
      </c>
      <c r="AL36" s="71">
        <v>0</v>
      </c>
      <c r="AM36" s="1" t="s">
        <v>3</v>
      </c>
    </row>
    <row r="37" spans="2:39" s="1" customFormat="1" ht="15" customHeight="1" outlineLevel="1">
      <c r="B37" s="208"/>
      <c r="C37" s="205" t="s">
        <v>29</v>
      </c>
      <c r="D37" s="206"/>
      <c r="E37" s="39">
        <f>SUM(H37:AL37)+'0401(予定）'!E39</f>
        <v>420</v>
      </c>
      <c r="F37" s="39" t="s">
        <v>10</v>
      </c>
      <c r="G37" s="15" t="s">
        <v>7</v>
      </c>
      <c r="H37" s="18">
        <f>SUM(H41*$F$41,H42*$F$42,H43*$F$43)</f>
        <v>17</v>
      </c>
      <c r="I37" s="71">
        <f t="shared" ref="I37:AL37" si="75">SUM(I41*$F$41,I42*$F$42,I43*$F$43)</f>
        <v>0</v>
      </c>
      <c r="J37" s="71">
        <f t="shared" si="75"/>
        <v>0</v>
      </c>
      <c r="K37" s="71">
        <f t="shared" si="75"/>
        <v>0</v>
      </c>
      <c r="L37" s="71">
        <f t="shared" si="75"/>
        <v>0</v>
      </c>
      <c r="M37" s="71">
        <f t="shared" si="75"/>
        <v>0</v>
      </c>
      <c r="N37" s="18">
        <f t="shared" si="75"/>
        <v>7</v>
      </c>
      <c r="O37" s="18">
        <f t="shared" si="75"/>
        <v>17</v>
      </c>
      <c r="P37" s="71">
        <f t="shared" si="75"/>
        <v>0</v>
      </c>
      <c r="Q37" s="71">
        <f t="shared" si="75"/>
        <v>0</v>
      </c>
      <c r="R37" s="18">
        <f t="shared" si="75"/>
        <v>17</v>
      </c>
      <c r="S37" s="18">
        <f t="shared" si="75"/>
        <v>7</v>
      </c>
      <c r="T37" s="18">
        <f t="shared" si="75"/>
        <v>17</v>
      </c>
      <c r="U37" s="18">
        <f t="shared" si="75"/>
        <v>7</v>
      </c>
      <c r="V37" s="18">
        <f t="shared" si="75"/>
        <v>17</v>
      </c>
      <c r="W37" s="71">
        <f t="shared" si="75"/>
        <v>0</v>
      </c>
      <c r="X37" s="71">
        <f t="shared" si="75"/>
        <v>0</v>
      </c>
      <c r="Y37" s="18">
        <f t="shared" si="75"/>
        <v>17</v>
      </c>
      <c r="Z37" s="18">
        <f t="shared" si="75"/>
        <v>7</v>
      </c>
      <c r="AA37" s="18">
        <f t="shared" si="75"/>
        <v>17</v>
      </c>
      <c r="AB37" s="18">
        <f t="shared" si="75"/>
        <v>7</v>
      </c>
      <c r="AC37" s="18">
        <f t="shared" si="75"/>
        <v>17</v>
      </c>
      <c r="AD37" s="71">
        <f t="shared" si="75"/>
        <v>0</v>
      </c>
      <c r="AE37" s="71">
        <f t="shared" si="75"/>
        <v>0</v>
      </c>
      <c r="AF37" s="18">
        <f t="shared" si="75"/>
        <v>17</v>
      </c>
      <c r="AG37" s="18">
        <f t="shared" si="75"/>
        <v>7</v>
      </c>
      <c r="AH37" s="18">
        <f t="shared" si="75"/>
        <v>17</v>
      </c>
      <c r="AI37" s="18">
        <f t="shared" si="75"/>
        <v>7</v>
      </c>
      <c r="AJ37" s="18">
        <f t="shared" si="75"/>
        <v>0</v>
      </c>
      <c r="AK37" s="71">
        <f t="shared" si="75"/>
        <v>0</v>
      </c>
      <c r="AL37" s="71">
        <f t="shared" si="75"/>
        <v>0</v>
      </c>
      <c r="AM37" s="1" t="s">
        <v>3</v>
      </c>
    </row>
    <row r="38" spans="2:39" s="1" customFormat="1" ht="15" customHeight="1" outlineLevel="1">
      <c r="B38" s="208"/>
      <c r="C38" s="205" t="s">
        <v>30</v>
      </c>
      <c r="D38" s="206"/>
      <c r="E38" s="39">
        <f>SUM(H38:AL38)+'0401(予定）'!E41</f>
        <v>399</v>
      </c>
      <c r="F38" s="39" t="s">
        <v>10</v>
      </c>
      <c r="G38" s="15" t="s">
        <v>7</v>
      </c>
      <c r="H38" s="18">
        <f>SUM(H44*$F$44,H45*$F$45,H46*$F$46,H47*$F$47)</f>
        <v>17</v>
      </c>
      <c r="I38" s="71">
        <f t="shared" ref="I38:AL38" si="76">SUM(I44*$F$44,I45*$F$45,I46*$F$46,I47*$F$47)</f>
        <v>0</v>
      </c>
      <c r="J38" s="71">
        <f t="shared" si="76"/>
        <v>0</v>
      </c>
      <c r="K38" s="71">
        <f t="shared" si="76"/>
        <v>0</v>
      </c>
      <c r="L38" s="71">
        <f t="shared" si="76"/>
        <v>0</v>
      </c>
      <c r="M38" s="71">
        <f t="shared" si="76"/>
        <v>0</v>
      </c>
      <c r="N38" s="18">
        <f t="shared" si="76"/>
        <v>7</v>
      </c>
      <c r="O38" s="18">
        <f t="shared" si="76"/>
        <v>17</v>
      </c>
      <c r="P38" s="71">
        <f t="shared" si="76"/>
        <v>0</v>
      </c>
      <c r="Q38" s="71">
        <f t="shared" si="76"/>
        <v>0</v>
      </c>
      <c r="R38" s="18">
        <f t="shared" si="76"/>
        <v>17</v>
      </c>
      <c r="S38" s="18">
        <f>SUM(S44*$F$44,S45*$F$45,S46*$F$46,S47*$F$47)</f>
        <v>7</v>
      </c>
      <c r="T38" s="18">
        <f t="shared" si="76"/>
        <v>17</v>
      </c>
      <c r="U38" s="18">
        <f t="shared" si="76"/>
        <v>7</v>
      </c>
      <c r="V38" s="18">
        <f t="shared" si="76"/>
        <v>17</v>
      </c>
      <c r="W38" s="71">
        <f t="shared" si="76"/>
        <v>0</v>
      </c>
      <c r="X38" s="71">
        <f t="shared" si="76"/>
        <v>0</v>
      </c>
      <c r="Y38" s="18">
        <f t="shared" si="76"/>
        <v>17</v>
      </c>
      <c r="Z38" s="18">
        <f t="shared" si="76"/>
        <v>7</v>
      </c>
      <c r="AA38" s="18">
        <f t="shared" si="76"/>
        <v>17</v>
      </c>
      <c r="AB38" s="18">
        <f t="shared" si="76"/>
        <v>7</v>
      </c>
      <c r="AC38" s="18">
        <f t="shared" si="76"/>
        <v>7</v>
      </c>
      <c r="AD38" s="71">
        <f t="shared" si="76"/>
        <v>0</v>
      </c>
      <c r="AE38" s="71">
        <f t="shared" si="76"/>
        <v>0</v>
      </c>
      <c r="AF38" s="18">
        <f t="shared" si="76"/>
        <v>17</v>
      </c>
      <c r="AG38" s="18">
        <f t="shared" si="76"/>
        <v>7</v>
      </c>
      <c r="AH38" s="18">
        <f t="shared" si="76"/>
        <v>17</v>
      </c>
      <c r="AI38" s="18">
        <f t="shared" si="76"/>
        <v>7</v>
      </c>
      <c r="AJ38" s="18">
        <f t="shared" si="76"/>
        <v>17</v>
      </c>
      <c r="AK38" s="71">
        <f t="shared" si="76"/>
        <v>0</v>
      </c>
      <c r="AL38" s="71">
        <f t="shared" si="76"/>
        <v>0</v>
      </c>
      <c r="AM38" s="1" t="s">
        <v>3</v>
      </c>
    </row>
    <row r="39" spans="2:39" s="1" customFormat="1" ht="13.5" outlineLevel="1">
      <c r="B39" s="208"/>
      <c r="C39" s="205" t="s">
        <v>14</v>
      </c>
      <c r="D39" s="206"/>
      <c r="E39" s="39">
        <f>E36-E37</f>
        <v>75</v>
      </c>
      <c r="F39" s="39" t="s">
        <v>10</v>
      </c>
      <c r="G39" s="15" t="s">
        <v>7</v>
      </c>
      <c r="H39" s="18">
        <v>556</v>
      </c>
      <c r="I39" s="71">
        <f>H39+I36-I37</f>
        <v>556</v>
      </c>
      <c r="J39" s="71">
        <f t="shared" ref="J39:AL39" si="77">I39+J36-J37</f>
        <v>556</v>
      </c>
      <c r="K39" s="71">
        <f t="shared" si="77"/>
        <v>556</v>
      </c>
      <c r="L39" s="71">
        <f t="shared" si="77"/>
        <v>556</v>
      </c>
      <c r="M39" s="71">
        <f t="shared" si="77"/>
        <v>556</v>
      </c>
      <c r="N39" s="18">
        <f t="shared" si="77"/>
        <v>560</v>
      </c>
      <c r="O39" s="18">
        <f t="shared" si="77"/>
        <v>553</v>
      </c>
      <c r="P39" s="71">
        <f t="shared" si="77"/>
        <v>553</v>
      </c>
      <c r="Q39" s="71">
        <f t="shared" si="77"/>
        <v>553</v>
      </c>
      <c r="R39" s="18">
        <f t="shared" si="77"/>
        <v>551</v>
      </c>
      <c r="S39" s="18">
        <f t="shared" si="77"/>
        <v>557</v>
      </c>
      <c r="T39" s="18">
        <f t="shared" si="77"/>
        <v>559</v>
      </c>
      <c r="U39" s="18">
        <f t="shared" si="77"/>
        <v>566</v>
      </c>
      <c r="V39" s="18">
        <f t="shared" si="77"/>
        <v>552</v>
      </c>
      <c r="W39" s="71">
        <f t="shared" si="77"/>
        <v>552</v>
      </c>
      <c r="X39" s="71">
        <f t="shared" si="77"/>
        <v>552</v>
      </c>
      <c r="Y39" s="18">
        <f t="shared" si="77"/>
        <v>536</v>
      </c>
      <c r="Z39" s="18">
        <f t="shared" si="77"/>
        <v>556</v>
      </c>
      <c r="AA39" s="18">
        <f t="shared" si="77"/>
        <v>556</v>
      </c>
      <c r="AB39" s="18">
        <f t="shared" si="77"/>
        <v>560</v>
      </c>
      <c r="AC39" s="18">
        <f t="shared" si="77"/>
        <v>553</v>
      </c>
      <c r="AD39" s="71">
        <f t="shared" si="77"/>
        <v>553</v>
      </c>
      <c r="AE39" s="71">
        <f t="shared" si="77"/>
        <v>553</v>
      </c>
      <c r="AF39" s="18">
        <f t="shared" si="77"/>
        <v>551</v>
      </c>
      <c r="AG39" s="18">
        <f t="shared" si="77"/>
        <v>561</v>
      </c>
      <c r="AH39" s="18">
        <f t="shared" si="77"/>
        <v>560</v>
      </c>
      <c r="AI39" s="18">
        <f t="shared" si="77"/>
        <v>556</v>
      </c>
      <c r="AJ39" s="18">
        <f t="shared" si="77"/>
        <v>583</v>
      </c>
      <c r="AK39" s="71">
        <f t="shared" si="77"/>
        <v>583</v>
      </c>
      <c r="AL39" s="71">
        <f t="shared" si="77"/>
        <v>583</v>
      </c>
      <c r="AM39" s="1" t="s">
        <v>3</v>
      </c>
    </row>
    <row r="40" spans="2:39" s="1" customFormat="1" ht="14" outlineLevel="1" thickBot="1">
      <c r="B40" s="208"/>
      <c r="C40" s="205" t="s">
        <v>15</v>
      </c>
      <c r="D40" s="206"/>
      <c r="E40" s="19">
        <f>E36-E38</f>
        <v>96</v>
      </c>
      <c r="F40" s="19" t="s">
        <v>10</v>
      </c>
      <c r="G40" s="15" t="s">
        <v>7</v>
      </c>
      <c r="H40" s="20">
        <v>720</v>
      </c>
      <c r="I40" s="72">
        <f>H40+I36-I38</f>
        <v>720</v>
      </c>
      <c r="J40" s="72">
        <f t="shared" ref="J40:AE40" si="78">I40+J36-J38</f>
        <v>720</v>
      </c>
      <c r="K40" s="72">
        <f t="shared" si="78"/>
        <v>720</v>
      </c>
      <c r="L40" s="72">
        <f t="shared" si="78"/>
        <v>720</v>
      </c>
      <c r="M40" s="72">
        <f t="shared" si="78"/>
        <v>720</v>
      </c>
      <c r="N40" s="20">
        <f t="shared" si="78"/>
        <v>724</v>
      </c>
      <c r="O40" s="20">
        <f t="shared" si="78"/>
        <v>717</v>
      </c>
      <c r="P40" s="72">
        <f t="shared" si="78"/>
        <v>717</v>
      </c>
      <c r="Q40" s="72">
        <f t="shared" si="78"/>
        <v>717</v>
      </c>
      <c r="R40" s="20">
        <f t="shared" si="78"/>
        <v>715</v>
      </c>
      <c r="S40" s="20">
        <f t="shared" si="78"/>
        <v>721</v>
      </c>
      <c r="T40" s="20">
        <f t="shared" si="78"/>
        <v>723</v>
      </c>
      <c r="U40" s="20">
        <f t="shared" si="78"/>
        <v>730</v>
      </c>
      <c r="V40" s="20">
        <f t="shared" si="78"/>
        <v>716</v>
      </c>
      <c r="W40" s="72">
        <f t="shared" si="78"/>
        <v>716</v>
      </c>
      <c r="X40" s="72">
        <f t="shared" si="78"/>
        <v>716</v>
      </c>
      <c r="Y40" s="20">
        <f t="shared" si="78"/>
        <v>700</v>
      </c>
      <c r="Z40" s="20">
        <f t="shared" si="78"/>
        <v>720</v>
      </c>
      <c r="AA40" s="20">
        <f t="shared" si="78"/>
        <v>720</v>
      </c>
      <c r="AB40" s="20">
        <f t="shared" si="78"/>
        <v>724</v>
      </c>
      <c r="AC40" s="20">
        <f t="shared" si="78"/>
        <v>727</v>
      </c>
      <c r="AD40" s="72">
        <f t="shared" si="78"/>
        <v>727</v>
      </c>
      <c r="AE40" s="72">
        <f t="shared" si="78"/>
        <v>727</v>
      </c>
      <c r="AF40" s="20"/>
      <c r="AG40" s="20"/>
      <c r="AH40" s="20"/>
      <c r="AI40" s="20"/>
      <c r="AJ40" s="20">
        <f t="shared" ref="AJ40:AL40" si="79">AI40+AJ36-AJ38</f>
        <v>10</v>
      </c>
      <c r="AK40" s="72">
        <f t="shared" si="79"/>
        <v>10</v>
      </c>
      <c r="AL40" s="72">
        <f t="shared" si="79"/>
        <v>10</v>
      </c>
      <c r="AM40" s="1" t="s">
        <v>3</v>
      </c>
    </row>
    <row r="41" spans="2:39" s="1" customFormat="1" ht="13.5" outlineLevel="1">
      <c r="B41" s="208"/>
      <c r="C41" s="210" t="s">
        <v>16</v>
      </c>
      <c r="D41" s="28" t="s">
        <v>53</v>
      </c>
      <c r="E41" s="52">
        <f>SUM(H41:AL41)*F41</f>
        <v>0</v>
      </c>
      <c r="F41" s="40">
        <v>40</v>
      </c>
      <c r="G41" s="16" t="s">
        <v>18</v>
      </c>
      <c r="H41" s="21"/>
      <c r="I41" s="74"/>
      <c r="J41" s="74"/>
      <c r="K41" s="74"/>
      <c r="L41" s="74"/>
      <c r="M41" s="74"/>
      <c r="N41" s="21"/>
      <c r="O41" s="21"/>
      <c r="P41" s="74"/>
      <c r="Q41" s="74"/>
      <c r="R41" s="21"/>
      <c r="S41" s="21"/>
      <c r="T41" s="21"/>
      <c r="U41" s="21"/>
      <c r="V41" s="21"/>
      <c r="W41" s="74"/>
      <c r="X41" s="74"/>
      <c r="Y41" s="21"/>
      <c r="Z41" s="21"/>
      <c r="AA41" s="21"/>
      <c r="AB41" s="21"/>
      <c r="AC41" s="21"/>
      <c r="AD41" s="74"/>
      <c r="AE41" s="74"/>
      <c r="AF41" s="21"/>
      <c r="AG41" s="21"/>
      <c r="AH41" s="21"/>
      <c r="AI41" s="21"/>
      <c r="AJ41" s="21"/>
      <c r="AK41" s="74"/>
      <c r="AL41" s="74"/>
      <c r="AM41" s="1" t="s">
        <v>3</v>
      </c>
    </row>
    <row r="42" spans="2:39" s="1" customFormat="1" ht="13.5" outlineLevel="1">
      <c r="B42" s="208"/>
      <c r="C42" s="211"/>
      <c r="D42" s="29" t="s">
        <v>36</v>
      </c>
      <c r="E42" s="34">
        <f t="shared" ref="E42:E46" si="80">SUM(H42:AL42)*F42</f>
        <v>119.00000000000003</v>
      </c>
      <c r="F42" s="39">
        <v>35</v>
      </c>
      <c r="G42" s="15" t="s">
        <v>18</v>
      </c>
      <c r="H42" s="18">
        <v>0.2</v>
      </c>
      <c r="I42" s="71"/>
      <c r="J42" s="71"/>
      <c r="K42" s="71"/>
      <c r="L42" s="71"/>
      <c r="M42" s="71"/>
      <c r="N42" s="18">
        <v>0.2</v>
      </c>
      <c r="O42" s="18">
        <v>0.2</v>
      </c>
      <c r="P42" s="71"/>
      <c r="Q42" s="71"/>
      <c r="R42" s="18">
        <v>0.2</v>
      </c>
      <c r="S42" s="18">
        <v>0.2</v>
      </c>
      <c r="T42" s="18">
        <v>0.2</v>
      </c>
      <c r="U42" s="18">
        <v>0.2</v>
      </c>
      <c r="V42" s="18">
        <v>0.2</v>
      </c>
      <c r="W42" s="71"/>
      <c r="X42" s="71"/>
      <c r="Y42" s="18">
        <v>0.2</v>
      </c>
      <c r="Z42" s="18">
        <v>0.2</v>
      </c>
      <c r="AA42" s="18">
        <v>0.2</v>
      </c>
      <c r="AB42" s="18">
        <v>0.2</v>
      </c>
      <c r="AC42" s="18">
        <v>0.2</v>
      </c>
      <c r="AD42" s="71"/>
      <c r="AE42" s="71"/>
      <c r="AF42" s="18">
        <v>0.2</v>
      </c>
      <c r="AG42" s="18">
        <v>0.2</v>
      </c>
      <c r="AH42" s="18">
        <v>0.2</v>
      </c>
      <c r="AI42" s="18">
        <v>0.2</v>
      </c>
      <c r="AJ42" s="18"/>
      <c r="AK42" s="71"/>
      <c r="AL42" s="71"/>
      <c r="AM42" s="1" t="s">
        <v>3</v>
      </c>
    </row>
    <row r="43" spans="2:39" s="1" customFormat="1" ht="14" outlineLevel="1" thickBot="1">
      <c r="B43" s="208"/>
      <c r="C43" s="211"/>
      <c r="D43" s="29" t="s">
        <v>54</v>
      </c>
      <c r="E43" s="53">
        <f t="shared" si="80"/>
        <v>100</v>
      </c>
      <c r="F43" s="41">
        <v>10</v>
      </c>
      <c r="G43" s="17" t="s">
        <v>18</v>
      </c>
      <c r="H43" s="25">
        <v>1</v>
      </c>
      <c r="I43" s="75"/>
      <c r="J43" s="71"/>
      <c r="K43" s="71"/>
      <c r="L43" s="71"/>
      <c r="M43" s="71"/>
      <c r="N43" s="18"/>
      <c r="O43" s="18">
        <v>1</v>
      </c>
      <c r="P43" s="71"/>
      <c r="Q43" s="71"/>
      <c r="R43" s="18">
        <v>1</v>
      </c>
      <c r="S43" s="18"/>
      <c r="T43" s="18">
        <v>1</v>
      </c>
      <c r="U43" s="18"/>
      <c r="V43" s="18">
        <v>1</v>
      </c>
      <c r="W43" s="71"/>
      <c r="X43" s="71"/>
      <c r="Y43" s="18">
        <v>1</v>
      </c>
      <c r="Z43" s="18"/>
      <c r="AA43" s="18">
        <v>1</v>
      </c>
      <c r="AB43" s="18"/>
      <c r="AC43" s="18">
        <v>1</v>
      </c>
      <c r="AD43" s="71"/>
      <c r="AE43" s="71"/>
      <c r="AF43" s="18">
        <v>1</v>
      </c>
      <c r="AG43" s="18"/>
      <c r="AH43" s="18">
        <v>1</v>
      </c>
      <c r="AI43" s="18"/>
      <c r="AJ43" s="18"/>
      <c r="AK43" s="71"/>
      <c r="AL43" s="71"/>
      <c r="AM43" s="1" t="s">
        <v>3</v>
      </c>
    </row>
    <row r="44" spans="2:39" s="1" customFormat="1" ht="13.5" outlineLevel="1">
      <c r="B44" s="208"/>
      <c r="C44" s="210" t="s">
        <v>25</v>
      </c>
      <c r="D44" s="30" t="s">
        <v>32</v>
      </c>
      <c r="E44" s="52">
        <f t="shared" si="80"/>
        <v>0</v>
      </c>
      <c r="F44" s="40">
        <v>16</v>
      </c>
      <c r="G44" s="16" t="s">
        <v>18</v>
      </c>
      <c r="H44" s="21"/>
      <c r="I44" s="74"/>
      <c r="J44" s="74"/>
      <c r="K44" s="74"/>
      <c r="L44" s="74"/>
      <c r="M44" s="74"/>
      <c r="N44" s="21"/>
      <c r="O44" s="21"/>
      <c r="P44" s="74"/>
      <c r="Q44" s="74"/>
      <c r="R44" s="21"/>
      <c r="S44" s="21"/>
      <c r="T44" s="21"/>
      <c r="U44" s="21"/>
      <c r="V44" s="21"/>
      <c r="W44" s="74"/>
      <c r="X44" s="74"/>
      <c r="Y44" s="21"/>
      <c r="Z44" s="21"/>
      <c r="AA44" s="21"/>
      <c r="AB44" s="21"/>
      <c r="AC44" s="21"/>
      <c r="AD44" s="74"/>
      <c r="AE44" s="74"/>
      <c r="AF44" s="21"/>
      <c r="AG44" s="21"/>
      <c r="AH44" s="21"/>
      <c r="AI44" s="21"/>
      <c r="AJ44" s="21"/>
      <c r="AK44" s="74"/>
      <c r="AL44" s="74"/>
      <c r="AM44" s="1" t="s">
        <v>3</v>
      </c>
    </row>
    <row r="45" spans="2:39" s="1" customFormat="1" ht="13.5" outlineLevel="1">
      <c r="B45" s="208"/>
      <c r="C45" s="211"/>
      <c r="D45" s="31" t="s">
        <v>33</v>
      </c>
      <c r="E45" s="54">
        <f t="shared" si="80"/>
        <v>126.00000000000003</v>
      </c>
      <c r="F45" s="39">
        <v>35</v>
      </c>
      <c r="G45" s="15" t="s">
        <v>18</v>
      </c>
      <c r="H45" s="18">
        <v>0.2</v>
      </c>
      <c r="I45" s="71"/>
      <c r="J45" s="71"/>
      <c r="K45" s="71"/>
      <c r="L45" s="71"/>
      <c r="M45" s="71"/>
      <c r="N45" s="18">
        <v>0.2</v>
      </c>
      <c r="O45" s="18">
        <v>0.2</v>
      </c>
      <c r="P45" s="71"/>
      <c r="Q45" s="71"/>
      <c r="R45" s="18">
        <v>0.2</v>
      </c>
      <c r="S45" s="18">
        <v>0.2</v>
      </c>
      <c r="T45" s="18">
        <v>0.2</v>
      </c>
      <c r="U45" s="18">
        <v>0.2</v>
      </c>
      <c r="V45" s="18">
        <v>0.2</v>
      </c>
      <c r="W45" s="71"/>
      <c r="X45" s="71"/>
      <c r="Y45" s="18">
        <v>0.2</v>
      </c>
      <c r="Z45" s="18">
        <v>0.2</v>
      </c>
      <c r="AA45" s="18">
        <v>0.2</v>
      </c>
      <c r="AB45" s="18">
        <v>0.2</v>
      </c>
      <c r="AC45" s="18">
        <v>0.2</v>
      </c>
      <c r="AD45" s="71"/>
      <c r="AE45" s="71"/>
      <c r="AF45" s="18">
        <v>0.2</v>
      </c>
      <c r="AG45" s="18">
        <v>0.2</v>
      </c>
      <c r="AH45" s="18">
        <v>0.2</v>
      </c>
      <c r="AI45" s="18">
        <v>0.2</v>
      </c>
      <c r="AJ45" s="18">
        <v>0.2</v>
      </c>
      <c r="AK45" s="71"/>
      <c r="AL45" s="71"/>
      <c r="AM45" s="1" t="s">
        <v>3</v>
      </c>
    </row>
    <row r="46" spans="2:39" s="1" customFormat="1" ht="13.5" outlineLevel="1">
      <c r="B46" s="208"/>
      <c r="C46" s="211"/>
      <c r="D46" s="31" t="s">
        <v>34</v>
      </c>
      <c r="E46" s="34">
        <f t="shared" si="80"/>
        <v>100</v>
      </c>
      <c r="F46" s="39">
        <v>10</v>
      </c>
      <c r="G46" s="15" t="s">
        <v>18</v>
      </c>
      <c r="H46" s="18">
        <v>1</v>
      </c>
      <c r="I46" s="71"/>
      <c r="J46" s="71"/>
      <c r="K46" s="71"/>
      <c r="L46" s="71"/>
      <c r="M46" s="71"/>
      <c r="N46" s="18"/>
      <c r="O46" s="18">
        <v>1</v>
      </c>
      <c r="P46" s="71"/>
      <c r="Q46" s="71"/>
      <c r="R46" s="18">
        <v>1</v>
      </c>
      <c r="S46" s="18"/>
      <c r="T46" s="18">
        <v>1</v>
      </c>
      <c r="U46" s="18"/>
      <c r="V46" s="18">
        <v>1</v>
      </c>
      <c r="W46" s="71"/>
      <c r="X46" s="71"/>
      <c r="Y46" s="18">
        <v>1</v>
      </c>
      <c r="Z46" s="18"/>
      <c r="AA46" s="18">
        <v>1</v>
      </c>
      <c r="AB46" s="18"/>
      <c r="AC46" s="18"/>
      <c r="AD46" s="71"/>
      <c r="AE46" s="71"/>
      <c r="AF46" s="18">
        <v>1</v>
      </c>
      <c r="AG46" s="18"/>
      <c r="AH46" s="18">
        <v>1</v>
      </c>
      <c r="AI46" s="18"/>
      <c r="AJ46" s="18">
        <v>1</v>
      </c>
      <c r="AK46" s="71"/>
      <c r="AL46" s="71"/>
      <c r="AM46" s="1" t="s">
        <v>3</v>
      </c>
    </row>
    <row r="47" spans="2:39" s="1" customFormat="1" ht="14" outlineLevel="1" thickBot="1">
      <c r="B47" s="209"/>
      <c r="C47" s="212"/>
      <c r="D47" s="32"/>
      <c r="E47" s="38">
        <f t="shared" ref="E47" si="81">SUM(H47:AL47)</f>
        <v>0</v>
      </c>
      <c r="F47" s="41"/>
      <c r="G47" s="17" t="s">
        <v>18</v>
      </c>
      <c r="H47" s="25"/>
      <c r="I47" s="75"/>
      <c r="J47" s="75"/>
      <c r="K47" s="75"/>
      <c r="L47" s="75"/>
      <c r="M47" s="75"/>
      <c r="N47" s="25"/>
      <c r="O47" s="25"/>
      <c r="P47" s="75"/>
      <c r="Q47" s="75"/>
      <c r="R47" s="25"/>
      <c r="S47" s="25"/>
      <c r="T47" s="25"/>
      <c r="U47" s="25"/>
      <c r="V47" s="25"/>
      <c r="W47" s="75"/>
      <c r="X47" s="75"/>
      <c r="Y47" s="25"/>
      <c r="Z47" s="25"/>
      <c r="AA47" s="25"/>
      <c r="AB47" s="25"/>
      <c r="AC47" s="25"/>
      <c r="AD47" s="75"/>
      <c r="AE47" s="75"/>
      <c r="AF47" s="25"/>
      <c r="AG47" s="25"/>
      <c r="AH47" s="25"/>
      <c r="AI47" s="25"/>
      <c r="AJ47" s="25"/>
      <c r="AK47" s="75"/>
      <c r="AL47" s="75"/>
      <c r="AM47" s="1" t="s">
        <v>3</v>
      </c>
    </row>
    <row r="48" spans="2:39" s="1" customFormat="1" ht="15" customHeight="1" outlineLevel="1">
      <c r="B48" s="226" t="s">
        <v>38</v>
      </c>
      <c r="C48" s="220" t="s">
        <v>5</v>
      </c>
      <c r="D48" s="221"/>
      <c r="E48" s="39">
        <f>SUM(H48:AL48)+'0401(予定）'!E52</f>
        <v>522</v>
      </c>
      <c r="F48" s="39" t="s">
        <v>10</v>
      </c>
      <c r="G48" s="15" t="s">
        <v>7</v>
      </c>
      <c r="H48" s="18">
        <v>5</v>
      </c>
      <c r="I48" s="71">
        <v>0</v>
      </c>
      <c r="J48" s="71">
        <v>0</v>
      </c>
      <c r="K48" s="71">
        <v>0</v>
      </c>
      <c r="L48" s="71">
        <v>0</v>
      </c>
      <c r="M48" s="71">
        <v>0</v>
      </c>
      <c r="N48" s="18">
        <v>17</v>
      </c>
      <c r="O48" s="18">
        <v>8</v>
      </c>
      <c r="P48" s="71">
        <v>0</v>
      </c>
      <c r="Q48" s="71">
        <v>0</v>
      </c>
      <c r="R48" s="18">
        <v>7</v>
      </c>
      <c r="S48" s="18">
        <v>14</v>
      </c>
      <c r="T48" s="18">
        <v>9</v>
      </c>
      <c r="U48" s="18">
        <v>13</v>
      </c>
      <c r="V48" s="18">
        <v>9</v>
      </c>
      <c r="W48" s="71">
        <v>0</v>
      </c>
      <c r="X48" s="71">
        <v>0</v>
      </c>
      <c r="Y48" s="18">
        <v>4</v>
      </c>
      <c r="Z48" s="18">
        <v>9</v>
      </c>
      <c r="AA48" s="18">
        <v>8</v>
      </c>
      <c r="AB48" s="18">
        <v>16</v>
      </c>
      <c r="AC48" s="18">
        <v>12</v>
      </c>
      <c r="AD48" s="71">
        <v>0</v>
      </c>
      <c r="AE48" s="71">
        <v>0</v>
      </c>
      <c r="AF48" s="18">
        <v>6</v>
      </c>
      <c r="AG48" s="18">
        <v>11</v>
      </c>
      <c r="AH48" s="18">
        <v>3</v>
      </c>
      <c r="AI48" s="18">
        <v>9</v>
      </c>
      <c r="AJ48" s="18">
        <v>6</v>
      </c>
      <c r="AK48" s="71">
        <v>0</v>
      </c>
      <c r="AL48" s="71">
        <v>0</v>
      </c>
      <c r="AM48" s="1" t="s">
        <v>3</v>
      </c>
    </row>
    <row r="49" spans="2:39" s="1" customFormat="1" ht="15" customHeight="1" outlineLevel="1">
      <c r="B49" s="208"/>
      <c r="C49" s="205" t="s">
        <v>29</v>
      </c>
      <c r="D49" s="206"/>
      <c r="E49" s="39">
        <f>SUM(H49:AL49)+'0401(予定）'!E53</f>
        <v>346</v>
      </c>
      <c r="F49" s="39" t="s">
        <v>10</v>
      </c>
      <c r="G49" s="15" t="s">
        <v>7</v>
      </c>
      <c r="H49" s="18">
        <f>SUM(H53*$F$53,H54*$F$54,H55*$F$55)</f>
        <v>8</v>
      </c>
      <c r="I49" s="71">
        <f t="shared" ref="I49:AL49" si="82">SUM(I53*$F$53,I54*$F$54,I55*$F$55)</f>
        <v>0</v>
      </c>
      <c r="J49" s="71">
        <f t="shared" si="82"/>
        <v>0</v>
      </c>
      <c r="K49" s="71">
        <f t="shared" si="82"/>
        <v>0</v>
      </c>
      <c r="L49" s="71">
        <f t="shared" si="82"/>
        <v>0</v>
      </c>
      <c r="M49" s="71">
        <f t="shared" si="82"/>
        <v>0</v>
      </c>
      <c r="N49" s="18">
        <f t="shared" si="82"/>
        <v>8</v>
      </c>
      <c r="O49" s="18">
        <f t="shared" si="82"/>
        <v>8</v>
      </c>
      <c r="P49" s="71">
        <f t="shared" si="82"/>
        <v>0</v>
      </c>
      <c r="Q49" s="71">
        <f t="shared" si="82"/>
        <v>0</v>
      </c>
      <c r="R49" s="18">
        <f t="shared" si="82"/>
        <v>8</v>
      </c>
      <c r="S49" s="18">
        <f t="shared" si="82"/>
        <v>8</v>
      </c>
      <c r="T49" s="18">
        <f t="shared" si="82"/>
        <v>8</v>
      </c>
      <c r="U49" s="18">
        <f t="shared" si="82"/>
        <v>8</v>
      </c>
      <c r="V49" s="18">
        <f t="shared" si="82"/>
        <v>8</v>
      </c>
      <c r="W49" s="71">
        <f t="shared" si="82"/>
        <v>0</v>
      </c>
      <c r="X49" s="71">
        <f t="shared" si="82"/>
        <v>0</v>
      </c>
      <c r="Y49" s="18">
        <f t="shared" si="82"/>
        <v>8</v>
      </c>
      <c r="Z49" s="18">
        <f t="shared" si="82"/>
        <v>8</v>
      </c>
      <c r="AA49" s="18">
        <f t="shared" si="82"/>
        <v>8</v>
      </c>
      <c r="AB49" s="18">
        <f t="shared" si="82"/>
        <v>8</v>
      </c>
      <c r="AC49" s="18">
        <f t="shared" si="82"/>
        <v>8</v>
      </c>
      <c r="AD49" s="71">
        <f t="shared" si="82"/>
        <v>0</v>
      </c>
      <c r="AE49" s="71">
        <f t="shared" si="82"/>
        <v>0</v>
      </c>
      <c r="AF49" s="18">
        <f t="shared" si="82"/>
        <v>8</v>
      </c>
      <c r="AG49" s="18">
        <f t="shared" si="82"/>
        <v>8</v>
      </c>
      <c r="AH49" s="18">
        <f t="shared" si="82"/>
        <v>8</v>
      </c>
      <c r="AI49" s="18">
        <f t="shared" si="82"/>
        <v>10</v>
      </c>
      <c r="AJ49" s="18">
        <f t="shared" si="82"/>
        <v>0</v>
      </c>
      <c r="AK49" s="71">
        <f t="shared" si="82"/>
        <v>0</v>
      </c>
      <c r="AL49" s="71">
        <f t="shared" si="82"/>
        <v>0</v>
      </c>
      <c r="AM49" s="1" t="s">
        <v>3</v>
      </c>
    </row>
    <row r="50" spans="2:39" s="1" customFormat="1" ht="15" customHeight="1" outlineLevel="1">
      <c r="B50" s="208"/>
      <c r="C50" s="205" t="s">
        <v>30</v>
      </c>
      <c r="D50" s="206"/>
      <c r="E50" s="39">
        <f>SUM(H50:AL50)+'0401(予定）'!E55</f>
        <v>345.79999999999995</v>
      </c>
      <c r="F50" s="39" t="s">
        <v>10</v>
      </c>
      <c r="G50" s="15" t="s">
        <v>7</v>
      </c>
      <c r="H50" s="18">
        <f>SUM(H56*$F$56,H57*$F$57,H58*$F$58,H59*$F$59)</f>
        <v>10.4</v>
      </c>
      <c r="I50" s="71">
        <f t="shared" ref="I50:AL50" si="83">SUM(I56*$F$56,I57*$F$57,I58*$F$58,I59*$F$59)</f>
        <v>0</v>
      </c>
      <c r="J50" s="71">
        <f t="shared" si="83"/>
        <v>0</v>
      </c>
      <c r="K50" s="71">
        <f t="shared" si="83"/>
        <v>0</v>
      </c>
      <c r="L50" s="71">
        <f t="shared" si="83"/>
        <v>0</v>
      </c>
      <c r="M50" s="71">
        <f t="shared" si="83"/>
        <v>0</v>
      </c>
      <c r="N50" s="18">
        <f t="shared" si="83"/>
        <v>0</v>
      </c>
      <c r="O50" s="18">
        <f t="shared" si="83"/>
        <v>10.4</v>
      </c>
      <c r="P50" s="71">
        <f t="shared" si="83"/>
        <v>0</v>
      </c>
      <c r="Q50" s="71">
        <f t="shared" si="83"/>
        <v>0</v>
      </c>
      <c r="R50" s="18">
        <f t="shared" si="83"/>
        <v>10.4</v>
      </c>
      <c r="S50" s="18">
        <f t="shared" si="83"/>
        <v>0</v>
      </c>
      <c r="T50" s="18">
        <f t="shared" si="83"/>
        <v>10.4</v>
      </c>
      <c r="U50" s="18">
        <f t="shared" si="83"/>
        <v>10.4</v>
      </c>
      <c r="V50" s="18">
        <f t="shared" si="83"/>
        <v>10.4</v>
      </c>
      <c r="W50" s="71">
        <f t="shared" si="83"/>
        <v>0</v>
      </c>
      <c r="X50" s="71">
        <f t="shared" si="83"/>
        <v>0</v>
      </c>
      <c r="Y50" s="18">
        <f t="shared" si="83"/>
        <v>10.4</v>
      </c>
      <c r="Z50" s="18">
        <f t="shared" si="83"/>
        <v>0</v>
      </c>
      <c r="AA50" s="18">
        <f t="shared" si="83"/>
        <v>10.4</v>
      </c>
      <c r="AB50" s="18">
        <f t="shared" si="83"/>
        <v>10.4</v>
      </c>
      <c r="AC50" s="18">
        <f t="shared" si="83"/>
        <v>10.4</v>
      </c>
      <c r="AD50" s="71">
        <f t="shared" si="83"/>
        <v>0</v>
      </c>
      <c r="AE50" s="71">
        <f t="shared" si="83"/>
        <v>0</v>
      </c>
      <c r="AF50" s="18">
        <f t="shared" si="83"/>
        <v>10.4</v>
      </c>
      <c r="AG50" s="18">
        <f t="shared" si="83"/>
        <v>0</v>
      </c>
      <c r="AH50" s="18">
        <f t="shared" si="83"/>
        <v>10.4</v>
      </c>
      <c r="AI50" s="18">
        <f t="shared" si="83"/>
        <v>10.4</v>
      </c>
      <c r="AJ50" s="18">
        <f t="shared" si="83"/>
        <v>0</v>
      </c>
      <c r="AK50" s="71">
        <f t="shared" si="83"/>
        <v>0</v>
      </c>
      <c r="AL50" s="71">
        <f t="shared" si="83"/>
        <v>0</v>
      </c>
      <c r="AM50" s="1" t="s">
        <v>3</v>
      </c>
    </row>
    <row r="51" spans="2:39" s="1" customFormat="1" ht="13.5" outlineLevel="1">
      <c r="B51" s="208"/>
      <c r="C51" s="205" t="s">
        <v>14</v>
      </c>
      <c r="D51" s="206"/>
      <c r="E51" s="39">
        <f>E48-E49</f>
        <v>176</v>
      </c>
      <c r="F51" s="39" t="s">
        <v>10</v>
      </c>
      <c r="G51" s="15" t="s">
        <v>7</v>
      </c>
      <c r="H51" s="18">
        <v>49</v>
      </c>
      <c r="I51" s="71">
        <f>H51+I48-I49</f>
        <v>49</v>
      </c>
      <c r="J51" s="71">
        <f t="shared" ref="J51:AL51" si="84">I51+J48-J49</f>
        <v>49</v>
      </c>
      <c r="K51" s="71">
        <f t="shared" si="84"/>
        <v>49</v>
      </c>
      <c r="L51" s="71">
        <f t="shared" si="84"/>
        <v>49</v>
      </c>
      <c r="M51" s="71">
        <f t="shared" si="84"/>
        <v>49</v>
      </c>
      <c r="N51" s="18">
        <f t="shared" si="84"/>
        <v>58</v>
      </c>
      <c r="O51" s="18">
        <f t="shared" si="84"/>
        <v>58</v>
      </c>
      <c r="P51" s="71">
        <f t="shared" si="84"/>
        <v>58</v>
      </c>
      <c r="Q51" s="71">
        <f t="shared" si="84"/>
        <v>58</v>
      </c>
      <c r="R51" s="18">
        <f t="shared" si="84"/>
        <v>57</v>
      </c>
      <c r="S51" s="18">
        <f t="shared" si="84"/>
        <v>63</v>
      </c>
      <c r="T51" s="18">
        <f t="shared" si="84"/>
        <v>64</v>
      </c>
      <c r="U51" s="18">
        <f t="shared" si="84"/>
        <v>69</v>
      </c>
      <c r="V51" s="18">
        <f t="shared" si="84"/>
        <v>70</v>
      </c>
      <c r="W51" s="71">
        <f t="shared" si="84"/>
        <v>70</v>
      </c>
      <c r="X51" s="71">
        <f t="shared" si="84"/>
        <v>70</v>
      </c>
      <c r="Y51" s="18">
        <f t="shared" si="84"/>
        <v>66</v>
      </c>
      <c r="Z51" s="18">
        <f t="shared" si="84"/>
        <v>67</v>
      </c>
      <c r="AA51" s="18">
        <f t="shared" si="84"/>
        <v>67</v>
      </c>
      <c r="AB51" s="18">
        <f t="shared" si="84"/>
        <v>75</v>
      </c>
      <c r="AC51" s="18">
        <f t="shared" si="84"/>
        <v>79</v>
      </c>
      <c r="AD51" s="71">
        <f t="shared" si="84"/>
        <v>79</v>
      </c>
      <c r="AE51" s="71">
        <f t="shared" si="84"/>
        <v>79</v>
      </c>
      <c r="AF51" s="18">
        <f t="shared" si="84"/>
        <v>77</v>
      </c>
      <c r="AG51" s="18">
        <f t="shared" si="84"/>
        <v>80</v>
      </c>
      <c r="AH51" s="18">
        <f t="shared" si="84"/>
        <v>75</v>
      </c>
      <c r="AI51" s="18">
        <f t="shared" si="84"/>
        <v>74</v>
      </c>
      <c r="AJ51" s="18">
        <f t="shared" si="84"/>
        <v>80</v>
      </c>
      <c r="AK51" s="71">
        <f t="shared" si="84"/>
        <v>80</v>
      </c>
      <c r="AL51" s="71">
        <f t="shared" si="84"/>
        <v>80</v>
      </c>
      <c r="AM51" s="1" t="s">
        <v>3</v>
      </c>
    </row>
    <row r="52" spans="2:39" s="1" customFormat="1" ht="14" outlineLevel="1" thickBot="1">
      <c r="B52" s="208"/>
      <c r="C52" s="205" t="s">
        <v>15</v>
      </c>
      <c r="D52" s="206"/>
      <c r="E52" s="19">
        <f>E48-E50</f>
        <v>176.20000000000005</v>
      </c>
      <c r="F52" s="19" t="s">
        <v>10</v>
      </c>
      <c r="G52" s="15" t="s">
        <v>7</v>
      </c>
      <c r="H52" s="20">
        <v>77.599999999999994</v>
      </c>
      <c r="I52" s="72">
        <f>H52+I48-I50</f>
        <v>77.599999999999994</v>
      </c>
      <c r="J52" s="72">
        <f t="shared" ref="J52:AL52" si="85">I52+J48-J50</f>
        <v>77.599999999999994</v>
      </c>
      <c r="K52" s="72">
        <f t="shared" si="85"/>
        <v>77.599999999999994</v>
      </c>
      <c r="L52" s="72">
        <f t="shared" si="85"/>
        <v>77.599999999999994</v>
      </c>
      <c r="M52" s="72">
        <f t="shared" si="85"/>
        <v>77.599999999999994</v>
      </c>
      <c r="N52" s="20">
        <f t="shared" si="85"/>
        <v>94.6</v>
      </c>
      <c r="O52" s="20">
        <f t="shared" si="85"/>
        <v>92.199999999999989</v>
      </c>
      <c r="P52" s="72">
        <f t="shared" si="85"/>
        <v>92.199999999999989</v>
      </c>
      <c r="Q52" s="72">
        <f t="shared" si="85"/>
        <v>92.199999999999989</v>
      </c>
      <c r="R52" s="20">
        <f t="shared" si="85"/>
        <v>88.799999999999983</v>
      </c>
      <c r="S52" s="20">
        <f t="shared" si="85"/>
        <v>102.79999999999998</v>
      </c>
      <c r="T52" s="20">
        <f t="shared" si="85"/>
        <v>101.39999999999998</v>
      </c>
      <c r="U52" s="20">
        <f t="shared" si="85"/>
        <v>103.99999999999997</v>
      </c>
      <c r="V52" s="20">
        <f t="shared" si="85"/>
        <v>102.59999999999997</v>
      </c>
      <c r="W52" s="72">
        <f t="shared" si="85"/>
        <v>102.59999999999997</v>
      </c>
      <c r="X52" s="72">
        <f t="shared" si="85"/>
        <v>102.59999999999997</v>
      </c>
      <c r="Y52" s="20">
        <f t="shared" si="85"/>
        <v>96.19999999999996</v>
      </c>
      <c r="Z52" s="20">
        <f t="shared" si="85"/>
        <v>105.19999999999996</v>
      </c>
      <c r="AA52" s="20">
        <f t="shared" si="85"/>
        <v>102.79999999999995</v>
      </c>
      <c r="AB52" s="20">
        <f t="shared" si="85"/>
        <v>108.39999999999995</v>
      </c>
      <c r="AC52" s="20">
        <f t="shared" si="85"/>
        <v>109.99999999999994</v>
      </c>
      <c r="AD52" s="72">
        <f t="shared" si="85"/>
        <v>109.99999999999994</v>
      </c>
      <c r="AE52" s="72">
        <f t="shared" si="85"/>
        <v>109.99999999999994</v>
      </c>
      <c r="AF52" s="20">
        <f t="shared" si="85"/>
        <v>105.59999999999994</v>
      </c>
      <c r="AG52" s="20">
        <f t="shared" si="85"/>
        <v>116.59999999999994</v>
      </c>
      <c r="AH52" s="20">
        <f t="shared" si="85"/>
        <v>109.19999999999993</v>
      </c>
      <c r="AI52" s="20">
        <f t="shared" si="85"/>
        <v>107.79999999999993</v>
      </c>
      <c r="AJ52" s="20">
        <f t="shared" si="85"/>
        <v>113.79999999999993</v>
      </c>
      <c r="AK52" s="72">
        <f t="shared" si="85"/>
        <v>113.79999999999993</v>
      </c>
      <c r="AL52" s="72">
        <f t="shared" si="85"/>
        <v>113.79999999999993</v>
      </c>
      <c r="AM52" s="1" t="s">
        <v>3</v>
      </c>
    </row>
    <row r="53" spans="2:39" s="1" customFormat="1" ht="13.5" outlineLevel="1">
      <c r="B53" s="208"/>
      <c r="C53" s="210" t="s">
        <v>16</v>
      </c>
      <c r="D53" s="28" t="s">
        <v>53</v>
      </c>
      <c r="E53" s="52">
        <f>SUM(H53:AL53)*F53</f>
        <v>0</v>
      </c>
      <c r="F53" s="40">
        <v>20</v>
      </c>
      <c r="G53" s="16" t="s">
        <v>18</v>
      </c>
      <c r="H53" s="21"/>
      <c r="I53" s="21"/>
      <c r="J53" s="21"/>
      <c r="K53" s="21"/>
      <c r="L53" s="21"/>
      <c r="M53" s="21"/>
      <c r="N53" s="21"/>
      <c r="O53" s="21"/>
      <c r="P53" s="74"/>
      <c r="Q53" s="74"/>
      <c r="R53" s="21"/>
      <c r="S53" s="21"/>
      <c r="T53" s="21"/>
      <c r="U53" s="21"/>
      <c r="V53" s="21"/>
      <c r="W53" s="21"/>
      <c r="X53" s="21"/>
      <c r="Y53" s="21"/>
      <c r="Z53" s="21"/>
      <c r="AA53" s="21"/>
      <c r="AB53" s="21"/>
      <c r="AC53" s="21"/>
      <c r="AD53" s="74"/>
      <c r="AE53" s="74"/>
      <c r="AF53" s="21"/>
      <c r="AG53" s="21"/>
      <c r="AH53" s="21"/>
      <c r="AI53" s="21"/>
      <c r="AJ53" s="21"/>
      <c r="AK53" s="74"/>
      <c r="AL53" s="74"/>
      <c r="AM53" s="1" t="s">
        <v>3</v>
      </c>
    </row>
    <row r="54" spans="2:39" s="1" customFormat="1" ht="13.5" outlineLevel="1">
      <c r="B54" s="208"/>
      <c r="C54" s="211"/>
      <c r="D54" s="29" t="s">
        <v>36</v>
      </c>
      <c r="E54" s="34">
        <f t="shared" ref="E54:E58" si="86">SUM(H54:AL54)*F54</f>
        <v>138.00000000000003</v>
      </c>
      <c r="F54" s="39">
        <v>10</v>
      </c>
      <c r="G54" s="15" t="s">
        <v>18</v>
      </c>
      <c r="H54" s="18">
        <v>0.8</v>
      </c>
      <c r="I54" s="18"/>
      <c r="J54" s="18"/>
      <c r="K54" s="18"/>
      <c r="L54" s="18"/>
      <c r="M54" s="18"/>
      <c r="N54" s="18">
        <v>0.8</v>
      </c>
      <c r="O54" s="18">
        <v>0.8</v>
      </c>
      <c r="P54" s="18"/>
      <c r="Q54" s="18"/>
      <c r="R54" s="18">
        <v>0.8</v>
      </c>
      <c r="S54" s="18">
        <v>0.8</v>
      </c>
      <c r="T54" s="18">
        <v>0.8</v>
      </c>
      <c r="U54" s="18">
        <v>0.8</v>
      </c>
      <c r="V54" s="18">
        <v>0.8</v>
      </c>
      <c r="W54" s="18"/>
      <c r="X54" s="18"/>
      <c r="Y54" s="18">
        <v>0.8</v>
      </c>
      <c r="Z54" s="18">
        <v>0.8</v>
      </c>
      <c r="AA54" s="18">
        <v>0.8</v>
      </c>
      <c r="AB54" s="18">
        <v>0.8</v>
      </c>
      <c r="AC54" s="18">
        <v>0.8</v>
      </c>
      <c r="AD54" s="18"/>
      <c r="AE54" s="18"/>
      <c r="AF54" s="18">
        <v>0.8</v>
      </c>
      <c r="AG54" s="18">
        <v>0.8</v>
      </c>
      <c r="AH54" s="18">
        <v>0.8</v>
      </c>
      <c r="AI54" s="18">
        <v>1</v>
      </c>
      <c r="AJ54" s="18"/>
      <c r="AK54" s="18"/>
      <c r="AL54" s="18"/>
      <c r="AM54" s="1" t="s">
        <v>3</v>
      </c>
    </row>
    <row r="55" spans="2:39" s="1" customFormat="1" ht="14" outlineLevel="1" thickBot="1">
      <c r="B55" s="208"/>
      <c r="C55" s="211"/>
      <c r="D55" s="29"/>
      <c r="E55" s="53">
        <f t="shared" si="86"/>
        <v>0</v>
      </c>
      <c r="F55" s="41"/>
      <c r="G55" s="17" t="s">
        <v>18</v>
      </c>
      <c r="H55" s="25"/>
      <c r="I55" s="25"/>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 t="s">
        <v>3</v>
      </c>
    </row>
    <row r="56" spans="2:39" s="1" customFormat="1" ht="13.5" outlineLevel="1">
      <c r="B56" s="208"/>
      <c r="C56" s="210" t="s">
        <v>25</v>
      </c>
      <c r="D56" s="30" t="s">
        <v>32</v>
      </c>
      <c r="E56" s="52">
        <f t="shared" si="86"/>
        <v>0</v>
      </c>
      <c r="F56" s="40">
        <v>16</v>
      </c>
      <c r="G56" s="16" t="s">
        <v>18</v>
      </c>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1" t="s">
        <v>3</v>
      </c>
    </row>
    <row r="57" spans="2:39" s="1" customFormat="1" ht="13.5" outlineLevel="1">
      <c r="B57" s="208"/>
      <c r="C57" s="211"/>
      <c r="D57" s="31" t="s">
        <v>33</v>
      </c>
      <c r="E57" s="54">
        <f t="shared" si="86"/>
        <v>135.20000000000002</v>
      </c>
      <c r="F57" s="39">
        <v>13</v>
      </c>
      <c r="G57" s="15" t="s">
        <v>18</v>
      </c>
      <c r="H57" s="18">
        <v>0.8</v>
      </c>
      <c r="I57" s="18"/>
      <c r="J57" s="18"/>
      <c r="K57" s="18"/>
      <c r="L57" s="18"/>
      <c r="M57" s="18"/>
      <c r="N57" s="18"/>
      <c r="O57" s="18">
        <v>0.8</v>
      </c>
      <c r="P57" s="18"/>
      <c r="Q57" s="18"/>
      <c r="R57" s="18">
        <v>0.8</v>
      </c>
      <c r="S57" s="18"/>
      <c r="T57" s="18">
        <v>0.8</v>
      </c>
      <c r="U57" s="18">
        <v>0.8</v>
      </c>
      <c r="V57" s="18">
        <v>0.8</v>
      </c>
      <c r="W57" s="18"/>
      <c r="X57" s="18"/>
      <c r="Y57" s="18">
        <v>0.8</v>
      </c>
      <c r="Z57" s="18"/>
      <c r="AA57" s="18">
        <v>0.8</v>
      </c>
      <c r="AB57" s="18">
        <v>0.8</v>
      </c>
      <c r="AC57" s="18">
        <v>0.8</v>
      </c>
      <c r="AD57" s="18"/>
      <c r="AE57" s="18"/>
      <c r="AF57" s="18">
        <v>0.8</v>
      </c>
      <c r="AG57" s="18"/>
      <c r="AH57" s="18">
        <v>0.8</v>
      </c>
      <c r="AI57" s="18">
        <v>0.8</v>
      </c>
      <c r="AJ57" s="18"/>
      <c r="AK57" s="18"/>
      <c r="AL57" s="18"/>
      <c r="AM57" s="1" t="s">
        <v>3</v>
      </c>
    </row>
    <row r="58" spans="2:39" s="1" customFormat="1" ht="13.5" outlineLevel="1">
      <c r="B58" s="208"/>
      <c r="C58" s="211"/>
      <c r="D58" s="31"/>
      <c r="E58" s="34">
        <f t="shared" si="86"/>
        <v>0</v>
      </c>
      <c r="F58" s="39"/>
      <c r="G58" s="15" t="s">
        <v>18</v>
      </c>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 t="s">
        <v>3</v>
      </c>
    </row>
    <row r="59" spans="2:39" s="1" customFormat="1" ht="14" outlineLevel="1" thickBot="1">
      <c r="B59" s="209"/>
      <c r="C59" s="212"/>
      <c r="D59" s="32"/>
      <c r="E59" s="38">
        <f t="shared" ref="E59" si="87">SUM(H59:AL59)</f>
        <v>0</v>
      </c>
      <c r="F59" s="41"/>
      <c r="G59" s="17" t="s">
        <v>18</v>
      </c>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1" t="s">
        <v>3</v>
      </c>
    </row>
    <row r="60" spans="2:39">
      <c r="B60" s="227" t="s">
        <v>39</v>
      </c>
      <c r="C60" s="228"/>
      <c r="D60" s="228"/>
      <c r="E60" s="228"/>
      <c r="F60" s="228"/>
      <c r="G60" s="228"/>
      <c r="H60" s="49">
        <f t="shared" ref="H60:AL60" si="88">H13+H23+H29+H41+H53</f>
        <v>2.5</v>
      </c>
      <c r="I60" s="49">
        <f t="shared" si="88"/>
        <v>0</v>
      </c>
      <c r="J60" s="49">
        <f t="shared" si="88"/>
        <v>0</v>
      </c>
      <c r="K60" s="49">
        <f t="shared" si="88"/>
        <v>0</v>
      </c>
      <c r="L60" s="49">
        <f t="shared" si="88"/>
        <v>0</v>
      </c>
      <c r="M60" s="49">
        <f t="shared" si="88"/>
        <v>0</v>
      </c>
      <c r="N60" s="49">
        <f t="shared" si="88"/>
        <v>1.5</v>
      </c>
      <c r="O60" s="49">
        <f t="shared" si="88"/>
        <v>2.5</v>
      </c>
      <c r="P60" s="49">
        <f t="shared" si="88"/>
        <v>0</v>
      </c>
      <c r="Q60" s="49">
        <f t="shared" si="88"/>
        <v>0</v>
      </c>
      <c r="R60" s="49">
        <f t="shared" si="88"/>
        <v>1.5</v>
      </c>
      <c r="S60" s="49">
        <f t="shared" si="88"/>
        <v>2</v>
      </c>
      <c r="T60" s="49">
        <f t="shared" si="88"/>
        <v>1.5</v>
      </c>
      <c r="U60" s="49">
        <f t="shared" si="88"/>
        <v>1.5</v>
      </c>
      <c r="V60" s="49">
        <f t="shared" si="88"/>
        <v>2.5</v>
      </c>
      <c r="W60" s="49">
        <f t="shared" si="88"/>
        <v>0</v>
      </c>
      <c r="X60" s="49">
        <f t="shared" si="88"/>
        <v>0</v>
      </c>
      <c r="Y60" s="49">
        <f t="shared" si="88"/>
        <v>1.5</v>
      </c>
      <c r="Z60" s="49">
        <f t="shared" si="88"/>
        <v>2</v>
      </c>
      <c r="AA60" s="49">
        <f t="shared" si="88"/>
        <v>1.5</v>
      </c>
      <c r="AB60" s="49">
        <f t="shared" si="88"/>
        <v>1.5</v>
      </c>
      <c r="AC60" s="49">
        <f t="shared" si="88"/>
        <v>2.5</v>
      </c>
      <c r="AD60" s="49">
        <f t="shared" si="88"/>
        <v>0</v>
      </c>
      <c r="AE60" s="49">
        <f t="shared" si="88"/>
        <v>0</v>
      </c>
      <c r="AF60" s="49">
        <f t="shared" si="88"/>
        <v>1.5</v>
      </c>
      <c r="AG60" s="49">
        <f t="shared" si="88"/>
        <v>2</v>
      </c>
      <c r="AH60" s="49">
        <f t="shared" si="88"/>
        <v>1.5</v>
      </c>
      <c r="AI60" s="49">
        <f t="shared" si="88"/>
        <v>1.5</v>
      </c>
      <c r="AJ60" s="49">
        <f t="shared" si="88"/>
        <v>0</v>
      </c>
      <c r="AK60" s="49">
        <f t="shared" si="88"/>
        <v>0</v>
      </c>
      <c r="AL60" s="49">
        <f t="shared" si="88"/>
        <v>0</v>
      </c>
      <c r="AM60" s="1" t="s">
        <v>3</v>
      </c>
    </row>
    <row r="61" spans="2:39">
      <c r="B61" s="229" t="s">
        <v>40</v>
      </c>
      <c r="C61" s="230"/>
      <c r="D61" s="230"/>
      <c r="E61" s="230"/>
      <c r="F61" s="230"/>
      <c r="G61" s="230"/>
      <c r="H61" s="48">
        <v>4</v>
      </c>
      <c r="I61" s="48">
        <v>0</v>
      </c>
      <c r="J61" s="48">
        <v>0</v>
      </c>
      <c r="K61" s="48">
        <v>0</v>
      </c>
      <c r="L61" s="48">
        <v>0</v>
      </c>
      <c r="M61" s="48">
        <v>0</v>
      </c>
      <c r="N61" s="48">
        <v>3</v>
      </c>
      <c r="O61" s="48">
        <v>4</v>
      </c>
      <c r="P61" s="48">
        <v>0</v>
      </c>
      <c r="Q61" s="48">
        <v>0</v>
      </c>
      <c r="R61" s="48">
        <v>3</v>
      </c>
      <c r="S61" s="48">
        <v>4</v>
      </c>
      <c r="T61" s="48">
        <v>3</v>
      </c>
      <c r="U61" s="48">
        <v>3</v>
      </c>
      <c r="V61" s="48">
        <v>4</v>
      </c>
      <c r="W61" s="48">
        <v>0</v>
      </c>
      <c r="X61" s="48">
        <v>0</v>
      </c>
      <c r="Y61" s="48">
        <v>3</v>
      </c>
      <c r="Z61" s="48">
        <v>4</v>
      </c>
      <c r="AA61" s="48">
        <v>3</v>
      </c>
      <c r="AB61" s="48">
        <v>3</v>
      </c>
      <c r="AC61" s="48">
        <v>4</v>
      </c>
      <c r="AD61" s="48">
        <v>0</v>
      </c>
      <c r="AE61" s="48">
        <v>0</v>
      </c>
      <c r="AF61" s="48">
        <v>3</v>
      </c>
      <c r="AG61" s="48">
        <v>4</v>
      </c>
      <c r="AH61" s="48">
        <v>3</v>
      </c>
      <c r="AI61" s="48">
        <v>3</v>
      </c>
      <c r="AJ61" s="48">
        <v>4</v>
      </c>
      <c r="AK61" s="48">
        <v>0</v>
      </c>
      <c r="AL61" s="48">
        <v>0</v>
      </c>
      <c r="AM61" s="1" t="s">
        <v>3</v>
      </c>
    </row>
    <row r="62" spans="2:39">
      <c r="B62" s="229" t="s">
        <v>41</v>
      </c>
      <c r="C62" s="230"/>
      <c r="D62" s="230"/>
      <c r="E62" s="230"/>
      <c r="F62" s="230"/>
      <c r="G62" s="230"/>
      <c r="H62" s="48">
        <v>1.5</v>
      </c>
      <c r="I62" s="48">
        <v>0</v>
      </c>
      <c r="J62" s="48">
        <v>0</v>
      </c>
      <c r="K62" s="48">
        <v>0</v>
      </c>
      <c r="L62" s="48">
        <v>0</v>
      </c>
      <c r="M62" s="48">
        <v>0</v>
      </c>
      <c r="N62" s="48">
        <v>1.5</v>
      </c>
      <c r="O62" s="48">
        <v>1.5</v>
      </c>
      <c r="P62" s="48">
        <v>0</v>
      </c>
      <c r="Q62" s="48">
        <v>0</v>
      </c>
      <c r="R62" s="48">
        <v>1.5</v>
      </c>
      <c r="S62" s="48">
        <v>2</v>
      </c>
      <c r="T62" s="48">
        <v>1.5</v>
      </c>
      <c r="U62" s="48">
        <v>1.5</v>
      </c>
      <c r="V62" s="48">
        <v>1.5</v>
      </c>
      <c r="W62" s="48">
        <v>0</v>
      </c>
      <c r="X62" s="48">
        <v>0</v>
      </c>
      <c r="Y62" s="48">
        <v>1.5</v>
      </c>
      <c r="Z62" s="48">
        <v>2</v>
      </c>
      <c r="AA62" s="48">
        <v>1.5</v>
      </c>
      <c r="AB62" s="48">
        <v>1.5</v>
      </c>
      <c r="AC62" s="48">
        <v>1.5</v>
      </c>
      <c r="AD62" s="48">
        <v>0</v>
      </c>
      <c r="AE62" s="48">
        <v>0</v>
      </c>
      <c r="AF62" s="48">
        <v>1.5</v>
      </c>
      <c r="AG62" s="48">
        <v>2</v>
      </c>
      <c r="AH62" s="48">
        <v>1.5</v>
      </c>
      <c r="AI62" s="48">
        <v>1.5</v>
      </c>
      <c r="AJ62" s="48">
        <v>1.5</v>
      </c>
      <c r="AK62" s="48">
        <v>0</v>
      </c>
      <c r="AL62" s="48">
        <v>0</v>
      </c>
      <c r="AM62" s="1" t="s">
        <v>3</v>
      </c>
    </row>
    <row r="63" spans="2:39" ht="15.5" thickBot="1">
      <c r="B63" s="231" t="s">
        <v>42</v>
      </c>
      <c r="C63" s="232"/>
      <c r="D63" s="232"/>
      <c r="E63" s="232"/>
      <c r="F63" s="232"/>
      <c r="G63" s="232"/>
      <c r="H63" s="51">
        <f>H61-(H60+H62)</f>
        <v>0</v>
      </c>
      <c r="I63" s="51">
        <f t="shared" ref="I63:AL63" si="89">I61-(I60+I62)</f>
        <v>0</v>
      </c>
      <c r="J63" s="51">
        <f t="shared" si="89"/>
        <v>0</v>
      </c>
      <c r="K63" s="51">
        <f t="shared" si="89"/>
        <v>0</v>
      </c>
      <c r="L63" s="51">
        <f t="shared" si="89"/>
        <v>0</v>
      </c>
      <c r="M63" s="51">
        <f t="shared" si="89"/>
        <v>0</v>
      </c>
      <c r="N63" s="51">
        <f>N61-(N60+N62)</f>
        <v>0</v>
      </c>
      <c r="O63" s="51">
        <f t="shared" si="89"/>
        <v>0</v>
      </c>
      <c r="P63" s="51">
        <f t="shared" si="89"/>
        <v>0</v>
      </c>
      <c r="Q63" s="51">
        <f t="shared" si="89"/>
        <v>0</v>
      </c>
      <c r="R63" s="51">
        <f t="shared" si="89"/>
        <v>0</v>
      </c>
      <c r="S63" s="51">
        <f t="shared" si="89"/>
        <v>0</v>
      </c>
      <c r="T63" s="51">
        <f t="shared" si="89"/>
        <v>0</v>
      </c>
      <c r="U63" s="51">
        <f t="shared" si="89"/>
        <v>0</v>
      </c>
      <c r="V63" s="51">
        <f>V61-(V60+V62)</f>
        <v>0</v>
      </c>
      <c r="W63" s="51">
        <f t="shared" si="89"/>
        <v>0</v>
      </c>
      <c r="X63" s="51">
        <f t="shared" si="89"/>
        <v>0</v>
      </c>
      <c r="Y63" s="51">
        <f t="shared" si="89"/>
        <v>0</v>
      </c>
      <c r="Z63" s="51">
        <f t="shared" si="89"/>
        <v>0</v>
      </c>
      <c r="AA63" s="51">
        <f t="shared" si="89"/>
        <v>0</v>
      </c>
      <c r="AB63" s="51">
        <f t="shared" si="89"/>
        <v>0</v>
      </c>
      <c r="AC63" s="51">
        <f t="shared" si="89"/>
        <v>0</v>
      </c>
      <c r="AD63" s="51">
        <f t="shared" si="89"/>
        <v>0</v>
      </c>
      <c r="AE63" s="51">
        <f t="shared" si="89"/>
        <v>0</v>
      </c>
      <c r="AF63" s="51">
        <f t="shared" si="89"/>
        <v>0</v>
      </c>
      <c r="AG63" s="51">
        <f t="shared" si="89"/>
        <v>0</v>
      </c>
      <c r="AH63" s="51">
        <f t="shared" si="89"/>
        <v>0</v>
      </c>
      <c r="AI63" s="51">
        <f t="shared" si="89"/>
        <v>0</v>
      </c>
      <c r="AJ63" s="51">
        <f t="shared" si="89"/>
        <v>2.5</v>
      </c>
      <c r="AK63" s="51">
        <f t="shared" si="89"/>
        <v>0</v>
      </c>
      <c r="AL63" s="51">
        <f t="shared" si="89"/>
        <v>0</v>
      </c>
      <c r="AM63" s="1" t="s">
        <v>3</v>
      </c>
    </row>
  </sheetData>
  <autoFilter ref="B5:AM63" xr:uid="{72758B5E-EB6B-4A16-B8A9-B59A1AE50C6F}">
    <filterColumn colId="1" showButton="0"/>
  </autoFilter>
  <mergeCells count="41">
    <mergeCell ref="B48:B59"/>
    <mergeCell ref="C48:D48"/>
    <mergeCell ref="C49:D49"/>
    <mergeCell ref="C50:D50"/>
    <mergeCell ref="C51:D51"/>
    <mergeCell ref="C52:D52"/>
    <mergeCell ref="C53:C55"/>
    <mergeCell ref="C56:C59"/>
    <mergeCell ref="B60:G60"/>
    <mergeCell ref="B61:G61"/>
    <mergeCell ref="B62:G62"/>
    <mergeCell ref="B63:G63"/>
    <mergeCell ref="B24:B35"/>
    <mergeCell ref="C24:D24"/>
    <mergeCell ref="C25:D25"/>
    <mergeCell ref="C26:D26"/>
    <mergeCell ref="C27:D27"/>
    <mergeCell ref="C28:D28"/>
    <mergeCell ref="C29:C31"/>
    <mergeCell ref="C32:C35"/>
    <mergeCell ref="B36:B47"/>
    <mergeCell ref="C36:D36"/>
    <mergeCell ref="C37:D37"/>
    <mergeCell ref="C38:D38"/>
    <mergeCell ref="C39:D39"/>
    <mergeCell ref="C40:D40"/>
    <mergeCell ref="C41:C43"/>
    <mergeCell ref="C44:C47"/>
    <mergeCell ref="F3:F5"/>
    <mergeCell ref="E3:E5"/>
    <mergeCell ref="C8:D8"/>
    <mergeCell ref="C10:D10"/>
    <mergeCell ref="B6:B23"/>
    <mergeCell ref="C12:D12"/>
    <mergeCell ref="C13:C19"/>
    <mergeCell ref="C20:C23"/>
    <mergeCell ref="C3:D5"/>
    <mergeCell ref="C6:D6"/>
    <mergeCell ref="C7:D7"/>
    <mergeCell ref="C9:D9"/>
    <mergeCell ref="C11:D11"/>
  </mergeCells>
  <phoneticPr fontId="2"/>
  <conditionalFormatting sqref="H63:AK63">
    <cfRule type="cellIs" dxfId="24" priority="6" operator="notEqual">
      <formula>0</formula>
    </cfRule>
  </conditionalFormatting>
  <conditionalFormatting sqref="H4:AL5">
    <cfRule type="timePeriod" dxfId="23" priority="1" timePeriod="today">
      <formula>FLOOR(H4,1)=TODAY()</formula>
    </cfRule>
  </conditionalFormatting>
  <conditionalFormatting sqref="AL63">
    <cfRule type="cellIs" dxfId="20" priority="7"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4D02BA53-28D0-4BE2-8EB5-FCD4005F3BF0}">
            <xm:f>OR(WEEKDAY(H$4,2)&gt;=6,COUNTIF(祝日!$A:$A,H$4)&gt;=1)</xm:f>
            <x14:dxf>
              <fill>
                <patternFill>
                  <bgColor theme="1" tint="0.499984740745262"/>
                </patternFill>
              </fill>
            </x14:dxf>
          </x14:cfRule>
          <xm:sqref>H4:AL35</xm:sqref>
        </x14:conditionalFormatting>
        <x14:conditionalFormatting xmlns:xm="http://schemas.microsoft.com/office/excel/2006/main">
          <x14:cfRule type="expression" priority="5" id="{DD61F410-8FC7-4C02-9E8A-6E867A0BE0A4}">
            <xm:f>OR(WEEKDAY(H$4,2)&gt;=6,COUNTIF(祝日!$A:$A,H$4)&gt;=1)</xm:f>
            <x14:dxf>
              <fill>
                <patternFill>
                  <bgColor theme="1" tint="0.499984740745262"/>
                </patternFill>
              </fill>
            </x14:dxf>
          </x14:cfRule>
          <xm:sqref>H41:AL47 H53:AL59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13586-93C5-4C54-AEAE-5CAB01884D46}">
  <dimension ref="B2:AL87"/>
  <sheetViews>
    <sheetView zoomScale="170" zoomScaleNormal="145" workbookViewId="0">
      <pane xSplit="7" ySplit="5" topLeftCell="H32" activePane="bottomRight" state="frozen"/>
      <selection pane="topRight" activeCell="H9" sqref="H9"/>
      <selection pane="bottomLeft" activeCell="H9" sqref="H9"/>
      <selection pane="bottomRight" activeCell="AK71" sqref="AK71"/>
    </sheetView>
  </sheetViews>
  <sheetFormatPr defaultRowHeight="15" outlineLevelRow="1"/>
  <cols>
    <col min="1" max="1" width="3.2109375" customWidth="1"/>
    <col min="2" max="2" width="4.2109375" customWidth="1"/>
    <col min="3" max="3" width="3.35546875" bestFit="1" customWidth="1"/>
    <col min="4" max="4" width="8.5703125" customWidth="1"/>
    <col min="5" max="5" width="6.85546875" style="11" bestFit="1" customWidth="1"/>
    <col min="6" max="6" width="6" customWidth="1"/>
    <col min="7" max="7" width="4.640625" hidden="1" customWidth="1"/>
    <col min="8" max="8" width="4.5703125" customWidth="1"/>
    <col min="9" max="9" width="4.35546875" bestFit="1" customWidth="1"/>
    <col min="10" max="10" width="4.640625" customWidth="1"/>
    <col min="11" max="11" width="4.140625" customWidth="1"/>
    <col min="12" max="12" width="4.35546875" bestFit="1" customWidth="1"/>
    <col min="13" max="13" width="5.640625" customWidth="1"/>
    <col min="14" max="14" width="5.2109375" customWidth="1"/>
    <col min="15" max="15" width="4.78515625" customWidth="1"/>
    <col min="16" max="21" width="4.35546875" bestFit="1" customWidth="1"/>
    <col min="22" max="22" width="4" customWidth="1"/>
    <col min="23" max="37" width="4.140625" customWidth="1"/>
    <col min="38" max="38" width="7.42578125" customWidth="1"/>
  </cols>
  <sheetData>
    <row r="2" spans="2:38" ht="15.5" thickBot="1">
      <c r="E2"/>
      <c r="H2">
        <v>1</v>
      </c>
      <c r="N2">
        <v>1</v>
      </c>
      <c r="O2">
        <v>1</v>
      </c>
      <c r="R2">
        <v>1</v>
      </c>
      <c r="S2">
        <v>1</v>
      </c>
      <c r="T2">
        <v>1</v>
      </c>
      <c r="U2">
        <v>1</v>
      </c>
      <c r="V2">
        <v>1</v>
      </c>
      <c r="Y2">
        <v>1</v>
      </c>
      <c r="Z2">
        <v>1</v>
      </c>
      <c r="AA2">
        <v>1</v>
      </c>
      <c r="AB2">
        <v>1</v>
      </c>
      <c r="AC2">
        <v>1</v>
      </c>
      <c r="AF2">
        <v>1</v>
      </c>
      <c r="AG2">
        <v>1</v>
      </c>
      <c r="AH2">
        <v>1</v>
      </c>
      <c r="AI2">
        <v>1</v>
      </c>
      <c r="AJ2">
        <v>1</v>
      </c>
      <c r="AL2">
        <f>SUM(H2:AK2)</f>
        <v>18</v>
      </c>
    </row>
    <row r="3" spans="2:38" s="1" customFormat="1" ht="15" customHeight="1">
      <c r="C3" s="241"/>
      <c r="D3" s="242"/>
      <c r="E3" s="245" t="s">
        <v>0</v>
      </c>
      <c r="F3" s="247" t="s">
        <v>1</v>
      </c>
      <c r="G3" s="81"/>
      <c r="H3" s="82">
        <v>46143</v>
      </c>
      <c r="I3" s="83"/>
      <c r="J3" s="83"/>
      <c r="K3" s="83"/>
      <c r="L3" s="83"/>
      <c r="M3" s="83"/>
      <c r="N3" s="84" t="s">
        <v>2</v>
      </c>
      <c r="O3" s="83"/>
      <c r="P3" s="83"/>
      <c r="Q3" s="83"/>
      <c r="R3" s="83"/>
      <c r="S3" s="83"/>
      <c r="T3" s="84" t="s">
        <v>2</v>
      </c>
      <c r="U3" s="83"/>
      <c r="V3" s="83"/>
      <c r="W3" s="83"/>
      <c r="X3" s="83"/>
      <c r="Y3" s="83"/>
      <c r="Z3" s="83"/>
      <c r="AA3" s="83"/>
      <c r="AB3" s="83"/>
      <c r="AC3" s="83"/>
      <c r="AD3" s="83"/>
      <c r="AE3" s="83"/>
      <c r="AF3" s="83"/>
      <c r="AG3" s="83"/>
      <c r="AH3" s="83"/>
      <c r="AI3" s="83"/>
      <c r="AJ3" s="83"/>
      <c r="AK3" s="85"/>
      <c r="AL3" s="1" t="s">
        <v>3</v>
      </c>
    </row>
    <row r="4" spans="2:38" s="1" customFormat="1" ht="13.5" customHeight="1">
      <c r="C4" s="243"/>
      <c r="D4" s="244"/>
      <c r="E4" s="246"/>
      <c r="F4" s="248"/>
      <c r="G4" s="86"/>
      <c r="H4" s="87">
        <f>H3</f>
        <v>46143</v>
      </c>
      <c r="I4" s="88">
        <f t="shared" ref="I4:AK4" si="0">H4+1</f>
        <v>46144</v>
      </c>
      <c r="J4" s="88">
        <f t="shared" si="0"/>
        <v>46145</v>
      </c>
      <c r="K4" s="88">
        <f t="shared" si="0"/>
        <v>46146</v>
      </c>
      <c r="L4" s="88">
        <f t="shared" si="0"/>
        <v>46147</v>
      </c>
      <c r="M4" s="88">
        <f t="shared" si="0"/>
        <v>46148</v>
      </c>
      <c r="N4" s="88">
        <f t="shared" si="0"/>
        <v>46149</v>
      </c>
      <c r="O4" s="88">
        <f t="shared" si="0"/>
        <v>46150</v>
      </c>
      <c r="P4" s="88">
        <f t="shared" si="0"/>
        <v>46151</v>
      </c>
      <c r="Q4" s="88">
        <f t="shared" si="0"/>
        <v>46152</v>
      </c>
      <c r="R4" s="88">
        <f t="shared" si="0"/>
        <v>46153</v>
      </c>
      <c r="S4" s="88">
        <f t="shared" si="0"/>
        <v>46154</v>
      </c>
      <c r="T4" s="88">
        <f t="shared" si="0"/>
        <v>46155</v>
      </c>
      <c r="U4" s="88">
        <f t="shared" si="0"/>
        <v>46156</v>
      </c>
      <c r="V4" s="88">
        <f t="shared" si="0"/>
        <v>46157</v>
      </c>
      <c r="W4" s="88">
        <f t="shared" si="0"/>
        <v>46158</v>
      </c>
      <c r="X4" s="88">
        <f t="shared" si="0"/>
        <v>46159</v>
      </c>
      <c r="Y4" s="88">
        <f t="shared" si="0"/>
        <v>46160</v>
      </c>
      <c r="Z4" s="88">
        <f t="shared" si="0"/>
        <v>46161</v>
      </c>
      <c r="AA4" s="88">
        <f t="shared" si="0"/>
        <v>46162</v>
      </c>
      <c r="AB4" s="88">
        <f t="shared" si="0"/>
        <v>46163</v>
      </c>
      <c r="AC4" s="88">
        <f t="shared" si="0"/>
        <v>46164</v>
      </c>
      <c r="AD4" s="88">
        <f t="shared" si="0"/>
        <v>46165</v>
      </c>
      <c r="AE4" s="88">
        <f t="shared" si="0"/>
        <v>46166</v>
      </c>
      <c r="AF4" s="88">
        <f t="shared" si="0"/>
        <v>46167</v>
      </c>
      <c r="AG4" s="88">
        <f t="shared" si="0"/>
        <v>46168</v>
      </c>
      <c r="AH4" s="88">
        <f t="shared" si="0"/>
        <v>46169</v>
      </c>
      <c r="AI4" s="88">
        <f t="shared" si="0"/>
        <v>46170</v>
      </c>
      <c r="AJ4" s="88">
        <f t="shared" si="0"/>
        <v>46171</v>
      </c>
      <c r="AK4" s="89">
        <f t="shared" si="0"/>
        <v>46172</v>
      </c>
      <c r="AL4" s="1" t="s">
        <v>3</v>
      </c>
    </row>
    <row r="5" spans="2:38" s="1" customFormat="1" ht="14" thickBot="1">
      <c r="C5" s="243"/>
      <c r="D5" s="244"/>
      <c r="E5" s="246"/>
      <c r="F5" s="249"/>
      <c r="G5" s="90"/>
      <c r="H5" s="91">
        <f>H4</f>
        <v>46143</v>
      </c>
      <c r="I5" s="92">
        <f t="shared" ref="I5:AK5" si="1">I4</f>
        <v>46144</v>
      </c>
      <c r="J5" s="92">
        <f t="shared" si="1"/>
        <v>46145</v>
      </c>
      <c r="K5" s="92">
        <f t="shared" si="1"/>
        <v>46146</v>
      </c>
      <c r="L5" s="92">
        <f t="shared" si="1"/>
        <v>46147</v>
      </c>
      <c r="M5" s="92">
        <f t="shared" si="1"/>
        <v>46148</v>
      </c>
      <c r="N5" s="92">
        <f t="shared" si="1"/>
        <v>46149</v>
      </c>
      <c r="O5" s="92">
        <f t="shared" si="1"/>
        <v>46150</v>
      </c>
      <c r="P5" s="92">
        <f t="shared" si="1"/>
        <v>46151</v>
      </c>
      <c r="Q5" s="92">
        <f t="shared" si="1"/>
        <v>46152</v>
      </c>
      <c r="R5" s="92">
        <f t="shared" si="1"/>
        <v>46153</v>
      </c>
      <c r="S5" s="92">
        <f t="shared" si="1"/>
        <v>46154</v>
      </c>
      <c r="T5" s="92">
        <f t="shared" si="1"/>
        <v>46155</v>
      </c>
      <c r="U5" s="92">
        <f t="shared" si="1"/>
        <v>46156</v>
      </c>
      <c r="V5" s="92">
        <f t="shared" si="1"/>
        <v>46157</v>
      </c>
      <c r="W5" s="92">
        <f t="shared" si="1"/>
        <v>46158</v>
      </c>
      <c r="X5" s="92">
        <f t="shared" si="1"/>
        <v>46159</v>
      </c>
      <c r="Y5" s="92">
        <f t="shared" si="1"/>
        <v>46160</v>
      </c>
      <c r="Z5" s="92">
        <f t="shared" si="1"/>
        <v>46161</v>
      </c>
      <c r="AA5" s="92">
        <f t="shared" si="1"/>
        <v>46162</v>
      </c>
      <c r="AB5" s="92">
        <f t="shared" si="1"/>
        <v>46163</v>
      </c>
      <c r="AC5" s="92">
        <f t="shared" si="1"/>
        <v>46164</v>
      </c>
      <c r="AD5" s="92">
        <f t="shared" si="1"/>
        <v>46165</v>
      </c>
      <c r="AE5" s="92">
        <f t="shared" si="1"/>
        <v>46166</v>
      </c>
      <c r="AF5" s="92">
        <f t="shared" si="1"/>
        <v>46167</v>
      </c>
      <c r="AG5" s="92">
        <f t="shared" si="1"/>
        <v>46168</v>
      </c>
      <c r="AH5" s="92">
        <f t="shared" si="1"/>
        <v>46169</v>
      </c>
      <c r="AI5" s="92">
        <f t="shared" si="1"/>
        <v>46170</v>
      </c>
      <c r="AJ5" s="92">
        <f t="shared" si="1"/>
        <v>46171</v>
      </c>
      <c r="AK5" s="93">
        <f t="shared" si="1"/>
        <v>46172</v>
      </c>
      <c r="AL5" s="1" t="s">
        <v>3</v>
      </c>
    </row>
    <row r="6" spans="2:38" s="1" customFormat="1" ht="15" customHeight="1">
      <c r="B6" s="207" t="s">
        <v>4</v>
      </c>
      <c r="C6" s="235" t="s">
        <v>5</v>
      </c>
      <c r="D6" s="236"/>
      <c r="E6" s="94">
        <f>SUM(H6:AK6)</f>
        <v>1441</v>
      </c>
      <c r="F6" s="94" t="s">
        <v>6</v>
      </c>
      <c r="G6" s="157" t="s">
        <v>7</v>
      </c>
      <c r="H6" s="159">
        <v>102</v>
      </c>
      <c r="I6" s="103"/>
      <c r="J6" s="103"/>
      <c r="K6" s="103"/>
      <c r="L6" s="103"/>
      <c r="M6" s="103"/>
      <c r="N6" s="103">
        <v>119</v>
      </c>
      <c r="O6" s="103">
        <v>213</v>
      </c>
      <c r="P6" s="103"/>
      <c r="Q6" s="103"/>
      <c r="R6" s="103">
        <v>172</v>
      </c>
      <c r="S6" s="103">
        <v>201</v>
      </c>
      <c r="T6" s="103">
        <v>160</v>
      </c>
      <c r="U6" s="103">
        <v>132</v>
      </c>
      <c r="V6" s="103">
        <v>114</v>
      </c>
      <c r="W6" s="103"/>
      <c r="X6" s="103"/>
      <c r="Y6" s="103">
        <v>72</v>
      </c>
      <c r="Z6" s="103">
        <v>9</v>
      </c>
      <c r="AA6" s="103">
        <v>56</v>
      </c>
      <c r="AB6" s="103">
        <v>25</v>
      </c>
      <c r="AC6" s="103">
        <v>12</v>
      </c>
      <c r="AD6" s="103"/>
      <c r="AE6" s="103"/>
      <c r="AF6" s="103">
        <v>8</v>
      </c>
      <c r="AG6" s="103">
        <v>9</v>
      </c>
      <c r="AH6" s="103">
        <v>5</v>
      </c>
      <c r="AI6" s="103">
        <v>18</v>
      </c>
      <c r="AJ6" s="103">
        <v>14</v>
      </c>
      <c r="AK6" s="104"/>
      <c r="AL6" s="1">
        <f>SUM(H6:AK6)</f>
        <v>1441</v>
      </c>
    </row>
    <row r="7" spans="2:38" s="1" customFormat="1" ht="15" customHeight="1">
      <c r="B7" s="208"/>
      <c r="C7" s="233" t="s">
        <v>29</v>
      </c>
      <c r="D7" s="234"/>
      <c r="E7" s="94">
        <f>SUM(H7:AK7)</f>
        <v>1806</v>
      </c>
      <c r="F7" s="94" t="s">
        <v>6</v>
      </c>
      <c r="G7" s="157" t="s">
        <v>7</v>
      </c>
      <c r="H7" s="160">
        <f>SUM(H13:H23)</f>
        <v>128</v>
      </c>
      <c r="I7" s="96">
        <f t="shared" ref="I7:AK7" si="2">SUM(I13:I23)</f>
        <v>0</v>
      </c>
      <c r="J7" s="96">
        <f t="shared" si="2"/>
        <v>0</v>
      </c>
      <c r="K7" s="96">
        <f t="shared" si="2"/>
        <v>0</v>
      </c>
      <c r="L7" s="96">
        <f t="shared" si="2"/>
        <v>0</v>
      </c>
      <c r="M7" s="96">
        <f t="shared" si="2"/>
        <v>0</v>
      </c>
      <c r="N7" s="96">
        <f t="shared" si="2"/>
        <v>129</v>
      </c>
      <c r="O7" s="96">
        <f t="shared" si="2"/>
        <v>140</v>
      </c>
      <c r="P7" s="96">
        <f t="shared" si="2"/>
        <v>0</v>
      </c>
      <c r="Q7" s="96">
        <f t="shared" si="2"/>
        <v>0</v>
      </c>
      <c r="R7" s="96">
        <f t="shared" si="2"/>
        <v>100</v>
      </c>
      <c r="S7" s="96">
        <f t="shared" si="2"/>
        <v>129</v>
      </c>
      <c r="T7" s="96">
        <f t="shared" si="2"/>
        <v>129</v>
      </c>
      <c r="U7" s="96">
        <f t="shared" si="2"/>
        <v>127</v>
      </c>
      <c r="V7" s="96">
        <f t="shared" si="2"/>
        <v>150</v>
      </c>
      <c r="W7" s="96">
        <f t="shared" si="2"/>
        <v>0</v>
      </c>
      <c r="X7" s="96">
        <f t="shared" si="2"/>
        <v>0</v>
      </c>
      <c r="Y7" s="96">
        <f t="shared" si="2"/>
        <v>99</v>
      </c>
      <c r="Z7" s="96">
        <f t="shared" si="2"/>
        <v>85</v>
      </c>
      <c r="AA7" s="96">
        <f t="shared" si="2"/>
        <v>87</v>
      </c>
      <c r="AB7" s="96">
        <f t="shared" si="2"/>
        <v>80</v>
      </c>
      <c r="AC7" s="96">
        <f t="shared" si="2"/>
        <v>47</v>
      </c>
      <c r="AD7" s="96">
        <f t="shared" si="2"/>
        <v>0</v>
      </c>
      <c r="AE7" s="96">
        <f t="shared" si="2"/>
        <v>0</v>
      </c>
      <c r="AF7" s="96">
        <f t="shared" si="2"/>
        <v>53</v>
      </c>
      <c r="AG7" s="96">
        <f t="shared" si="2"/>
        <v>78</v>
      </c>
      <c r="AH7" s="96">
        <f t="shared" si="2"/>
        <v>79</v>
      </c>
      <c r="AI7" s="96">
        <f t="shared" si="2"/>
        <v>84</v>
      </c>
      <c r="AJ7" s="96">
        <f t="shared" si="2"/>
        <v>82</v>
      </c>
      <c r="AK7" s="97">
        <f t="shared" si="2"/>
        <v>0</v>
      </c>
      <c r="AL7" s="1" t="s">
        <v>3</v>
      </c>
    </row>
    <row r="8" spans="2:38" s="1" customFormat="1" ht="15" customHeight="1">
      <c r="B8" s="208"/>
      <c r="C8" s="237" t="s">
        <v>43</v>
      </c>
      <c r="D8" s="238"/>
      <c r="E8" s="117">
        <f>AK8</f>
        <v>3637</v>
      </c>
      <c r="F8" s="117" t="s">
        <v>6</v>
      </c>
      <c r="G8" s="158" t="s">
        <v>7</v>
      </c>
      <c r="H8" s="166">
        <f>'0401(実績)'!AK8+H7</f>
        <v>1959</v>
      </c>
      <c r="I8" s="119">
        <f>H8+I7</f>
        <v>1959</v>
      </c>
      <c r="J8" s="119">
        <f t="shared" ref="J8:AK8" si="3">I8+J7</f>
        <v>1959</v>
      </c>
      <c r="K8" s="119">
        <f t="shared" si="3"/>
        <v>1959</v>
      </c>
      <c r="L8" s="119">
        <f t="shared" si="3"/>
        <v>1959</v>
      </c>
      <c r="M8" s="119">
        <f t="shared" si="3"/>
        <v>1959</v>
      </c>
      <c r="N8" s="119">
        <f t="shared" si="3"/>
        <v>2088</v>
      </c>
      <c r="O8" s="119">
        <f t="shared" si="3"/>
        <v>2228</v>
      </c>
      <c r="P8" s="119">
        <f t="shared" si="3"/>
        <v>2228</v>
      </c>
      <c r="Q8" s="119">
        <f t="shared" si="3"/>
        <v>2228</v>
      </c>
      <c r="R8" s="119">
        <f t="shared" si="3"/>
        <v>2328</v>
      </c>
      <c r="S8" s="119">
        <f t="shared" si="3"/>
        <v>2457</v>
      </c>
      <c r="T8" s="119">
        <f t="shared" si="3"/>
        <v>2586</v>
      </c>
      <c r="U8" s="119">
        <f t="shared" si="3"/>
        <v>2713</v>
      </c>
      <c r="V8" s="119">
        <f t="shared" si="3"/>
        <v>2863</v>
      </c>
      <c r="W8" s="119">
        <f t="shared" si="3"/>
        <v>2863</v>
      </c>
      <c r="X8" s="119">
        <f t="shared" si="3"/>
        <v>2863</v>
      </c>
      <c r="Y8" s="119">
        <f t="shared" si="3"/>
        <v>2962</v>
      </c>
      <c r="Z8" s="119">
        <f t="shared" si="3"/>
        <v>3047</v>
      </c>
      <c r="AA8" s="119">
        <f t="shared" si="3"/>
        <v>3134</v>
      </c>
      <c r="AB8" s="119">
        <f t="shared" si="3"/>
        <v>3214</v>
      </c>
      <c r="AC8" s="119">
        <f t="shared" si="3"/>
        <v>3261</v>
      </c>
      <c r="AD8" s="119">
        <f t="shared" si="3"/>
        <v>3261</v>
      </c>
      <c r="AE8" s="119">
        <f t="shared" si="3"/>
        <v>3261</v>
      </c>
      <c r="AF8" s="119">
        <f t="shared" si="3"/>
        <v>3314</v>
      </c>
      <c r="AG8" s="119">
        <f t="shared" si="3"/>
        <v>3392</v>
      </c>
      <c r="AH8" s="119">
        <f t="shared" si="3"/>
        <v>3471</v>
      </c>
      <c r="AI8" s="119">
        <f t="shared" si="3"/>
        <v>3555</v>
      </c>
      <c r="AJ8" s="119">
        <f t="shared" si="3"/>
        <v>3637</v>
      </c>
      <c r="AK8" s="120">
        <f t="shared" si="3"/>
        <v>3637</v>
      </c>
      <c r="AL8" s="1" t="s">
        <v>3</v>
      </c>
    </row>
    <row r="9" spans="2:38" s="1" customFormat="1" ht="16" customHeight="1">
      <c r="B9" s="208"/>
      <c r="C9" s="233" t="s">
        <v>30</v>
      </c>
      <c r="D9" s="234"/>
      <c r="E9" s="94">
        <f>SUM(H9:AK9)</f>
        <v>1368</v>
      </c>
      <c r="F9" s="94" t="s">
        <v>6</v>
      </c>
      <c r="G9" s="157" t="s">
        <v>7</v>
      </c>
      <c r="H9" s="160">
        <f>SUM(H24:H31)</f>
        <v>68</v>
      </c>
      <c r="I9" s="96">
        <f t="shared" ref="I9:AK9" si="4">SUM(I24:I31)</f>
        <v>0</v>
      </c>
      <c r="J9" s="96">
        <f t="shared" si="4"/>
        <v>0</v>
      </c>
      <c r="K9" s="96">
        <f t="shared" si="4"/>
        <v>0</v>
      </c>
      <c r="L9" s="96">
        <f t="shared" si="4"/>
        <v>0</v>
      </c>
      <c r="M9" s="96">
        <f t="shared" si="4"/>
        <v>0</v>
      </c>
      <c r="N9" s="96">
        <f t="shared" si="4"/>
        <v>59</v>
      </c>
      <c r="O9" s="96">
        <f t="shared" si="4"/>
        <v>52</v>
      </c>
      <c r="P9" s="96">
        <f t="shared" si="4"/>
        <v>0</v>
      </c>
      <c r="Q9" s="96">
        <f t="shared" si="4"/>
        <v>0</v>
      </c>
      <c r="R9" s="96">
        <f t="shared" si="4"/>
        <v>36</v>
      </c>
      <c r="S9" s="96">
        <f t="shared" si="4"/>
        <v>72</v>
      </c>
      <c r="T9" s="96">
        <f t="shared" si="4"/>
        <v>92</v>
      </c>
      <c r="U9" s="96">
        <f t="shared" si="4"/>
        <v>55</v>
      </c>
      <c r="V9" s="96">
        <f t="shared" si="4"/>
        <v>65</v>
      </c>
      <c r="W9" s="96">
        <f t="shared" si="4"/>
        <v>0</v>
      </c>
      <c r="X9" s="96">
        <f t="shared" si="4"/>
        <v>0</v>
      </c>
      <c r="Y9" s="96">
        <f t="shared" si="4"/>
        <v>98</v>
      </c>
      <c r="Z9" s="96">
        <f t="shared" si="4"/>
        <v>65</v>
      </c>
      <c r="AA9" s="96">
        <f t="shared" si="4"/>
        <v>59</v>
      </c>
      <c r="AB9" s="96">
        <f t="shared" si="4"/>
        <v>39</v>
      </c>
      <c r="AC9" s="96">
        <f t="shared" si="4"/>
        <v>75</v>
      </c>
      <c r="AD9" s="96">
        <f t="shared" si="4"/>
        <v>0</v>
      </c>
      <c r="AE9" s="96">
        <f t="shared" si="4"/>
        <v>0</v>
      </c>
      <c r="AF9" s="96">
        <f t="shared" si="4"/>
        <v>96</v>
      </c>
      <c r="AG9" s="96">
        <f t="shared" si="4"/>
        <v>100</v>
      </c>
      <c r="AH9" s="96">
        <f t="shared" si="4"/>
        <v>91</v>
      </c>
      <c r="AI9" s="96">
        <f t="shared" si="4"/>
        <v>120</v>
      </c>
      <c r="AJ9" s="96">
        <f t="shared" si="4"/>
        <v>126</v>
      </c>
      <c r="AK9" s="97">
        <f t="shared" si="4"/>
        <v>0</v>
      </c>
      <c r="AL9" s="1" t="s">
        <v>3</v>
      </c>
    </row>
    <row r="10" spans="2:38" s="1" customFormat="1" ht="16" customHeight="1">
      <c r="B10" s="208"/>
      <c r="C10" s="239" t="s">
        <v>13</v>
      </c>
      <c r="D10" s="240"/>
      <c r="E10" s="117">
        <f>AK10</f>
        <v>2461</v>
      </c>
      <c r="F10" s="117" t="s">
        <v>6</v>
      </c>
      <c r="G10" s="158" t="s">
        <v>7</v>
      </c>
      <c r="H10" s="166">
        <f>'0401(実績)'!AK10+H9</f>
        <v>1161</v>
      </c>
      <c r="I10" s="119">
        <f t="shared" ref="I10:AK10" si="5">H10+I9</f>
        <v>1161</v>
      </c>
      <c r="J10" s="119">
        <f t="shared" si="5"/>
        <v>1161</v>
      </c>
      <c r="K10" s="119">
        <f t="shared" si="5"/>
        <v>1161</v>
      </c>
      <c r="L10" s="119">
        <f t="shared" si="5"/>
        <v>1161</v>
      </c>
      <c r="M10" s="119">
        <f t="shared" si="5"/>
        <v>1161</v>
      </c>
      <c r="N10" s="119">
        <f t="shared" si="5"/>
        <v>1220</v>
      </c>
      <c r="O10" s="119">
        <f t="shared" si="5"/>
        <v>1272</v>
      </c>
      <c r="P10" s="119">
        <f t="shared" si="5"/>
        <v>1272</v>
      </c>
      <c r="Q10" s="119">
        <f t="shared" si="5"/>
        <v>1272</v>
      </c>
      <c r="R10" s="119">
        <f t="shared" si="5"/>
        <v>1308</v>
      </c>
      <c r="S10" s="119">
        <f t="shared" si="5"/>
        <v>1380</v>
      </c>
      <c r="T10" s="119">
        <f t="shared" si="5"/>
        <v>1472</v>
      </c>
      <c r="U10" s="119">
        <f t="shared" si="5"/>
        <v>1527</v>
      </c>
      <c r="V10" s="119">
        <f t="shared" si="5"/>
        <v>1592</v>
      </c>
      <c r="W10" s="119">
        <f t="shared" si="5"/>
        <v>1592</v>
      </c>
      <c r="X10" s="119">
        <f t="shared" si="5"/>
        <v>1592</v>
      </c>
      <c r="Y10" s="119">
        <f t="shared" si="5"/>
        <v>1690</v>
      </c>
      <c r="Z10" s="119">
        <f t="shared" si="5"/>
        <v>1755</v>
      </c>
      <c r="AA10" s="119">
        <f t="shared" si="5"/>
        <v>1814</v>
      </c>
      <c r="AB10" s="119">
        <f t="shared" si="5"/>
        <v>1853</v>
      </c>
      <c r="AC10" s="119">
        <f t="shared" si="5"/>
        <v>1928</v>
      </c>
      <c r="AD10" s="119">
        <f t="shared" si="5"/>
        <v>1928</v>
      </c>
      <c r="AE10" s="119">
        <f t="shared" si="5"/>
        <v>1928</v>
      </c>
      <c r="AF10" s="119">
        <f t="shared" si="5"/>
        <v>2024</v>
      </c>
      <c r="AG10" s="119">
        <f t="shared" si="5"/>
        <v>2124</v>
      </c>
      <c r="AH10" s="119">
        <f t="shared" si="5"/>
        <v>2215</v>
      </c>
      <c r="AI10" s="119">
        <f t="shared" si="5"/>
        <v>2335</v>
      </c>
      <c r="AJ10" s="119">
        <f t="shared" si="5"/>
        <v>2461</v>
      </c>
      <c r="AK10" s="120">
        <f t="shared" si="5"/>
        <v>2461</v>
      </c>
      <c r="AL10" s="1" t="s">
        <v>3</v>
      </c>
    </row>
    <row r="11" spans="2:38" s="1" customFormat="1" ht="13.5">
      <c r="B11" s="208"/>
      <c r="C11" s="233" t="s">
        <v>14</v>
      </c>
      <c r="D11" s="234"/>
      <c r="E11" s="94">
        <f>E6-E7</f>
        <v>-365</v>
      </c>
      <c r="F11" s="94" t="s">
        <v>6</v>
      </c>
      <c r="G11" s="157" t="s">
        <v>7</v>
      </c>
      <c r="H11" s="160">
        <f>'0401(実績)'!AK11+H6-H7</f>
        <v>1019</v>
      </c>
      <c r="I11" s="96">
        <f>H11+I6-I7</f>
        <v>1019</v>
      </c>
      <c r="J11" s="96">
        <f t="shared" ref="J11:AK11" si="6">I11+J6-J7</f>
        <v>1019</v>
      </c>
      <c r="K11" s="96">
        <f t="shared" si="6"/>
        <v>1019</v>
      </c>
      <c r="L11" s="96">
        <f t="shared" si="6"/>
        <v>1019</v>
      </c>
      <c r="M11" s="96">
        <f t="shared" si="6"/>
        <v>1019</v>
      </c>
      <c r="N11" s="96">
        <f t="shared" si="6"/>
        <v>1009</v>
      </c>
      <c r="O11" s="96">
        <f t="shared" si="6"/>
        <v>1082</v>
      </c>
      <c r="P11" s="96">
        <f t="shared" si="6"/>
        <v>1082</v>
      </c>
      <c r="Q11" s="96">
        <f t="shared" si="6"/>
        <v>1082</v>
      </c>
      <c r="R11" s="96">
        <f t="shared" si="6"/>
        <v>1154</v>
      </c>
      <c r="S11" s="96">
        <f t="shared" si="6"/>
        <v>1226</v>
      </c>
      <c r="T11" s="96">
        <f t="shared" si="6"/>
        <v>1257</v>
      </c>
      <c r="U11" s="96">
        <f t="shared" si="6"/>
        <v>1262</v>
      </c>
      <c r="V11" s="96">
        <f t="shared" si="6"/>
        <v>1226</v>
      </c>
      <c r="W11" s="96">
        <f t="shared" si="6"/>
        <v>1226</v>
      </c>
      <c r="X11" s="96">
        <f t="shared" si="6"/>
        <v>1226</v>
      </c>
      <c r="Y11" s="96">
        <f t="shared" si="6"/>
        <v>1199</v>
      </c>
      <c r="Z11" s="96">
        <f t="shared" si="6"/>
        <v>1123</v>
      </c>
      <c r="AA11" s="96">
        <f t="shared" si="6"/>
        <v>1092</v>
      </c>
      <c r="AB11" s="96">
        <f t="shared" si="6"/>
        <v>1037</v>
      </c>
      <c r="AC11" s="96">
        <f t="shared" si="6"/>
        <v>1002</v>
      </c>
      <c r="AD11" s="96">
        <f t="shared" si="6"/>
        <v>1002</v>
      </c>
      <c r="AE11" s="96">
        <f t="shared" si="6"/>
        <v>1002</v>
      </c>
      <c r="AF11" s="96">
        <f t="shared" si="6"/>
        <v>957</v>
      </c>
      <c r="AG11" s="96">
        <f t="shared" si="6"/>
        <v>888</v>
      </c>
      <c r="AH11" s="96">
        <f t="shared" si="6"/>
        <v>814</v>
      </c>
      <c r="AI11" s="96">
        <f t="shared" si="6"/>
        <v>748</v>
      </c>
      <c r="AJ11" s="96">
        <f t="shared" si="6"/>
        <v>680</v>
      </c>
      <c r="AK11" s="97">
        <f t="shared" si="6"/>
        <v>680</v>
      </c>
      <c r="AL11" s="1" t="s">
        <v>3</v>
      </c>
    </row>
    <row r="12" spans="2:38" s="1" customFormat="1" ht="14" thickBot="1">
      <c r="B12" s="208"/>
      <c r="C12" s="233" t="s">
        <v>15</v>
      </c>
      <c r="D12" s="234"/>
      <c r="E12" s="98">
        <f>E6-E9</f>
        <v>73</v>
      </c>
      <c r="F12" s="98" t="s">
        <v>6</v>
      </c>
      <c r="G12" s="157" t="s">
        <v>7</v>
      </c>
      <c r="H12" s="161">
        <f>'0401(実績)'!AK12+SUM($H$6:H6)-SUM($H$9:H9)</f>
        <v>1817</v>
      </c>
      <c r="I12" s="110">
        <f>H12+I6-I9</f>
        <v>1817</v>
      </c>
      <c r="J12" s="110">
        <f t="shared" ref="J12:AK12" si="7">I12+J6-J9</f>
        <v>1817</v>
      </c>
      <c r="K12" s="110">
        <f t="shared" si="7"/>
        <v>1817</v>
      </c>
      <c r="L12" s="110">
        <f t="shared" si="7"/>
        <v>1817</v>
      </c>
      <c r="M12" s="110">
        <f t="shared" si="7"/>
        <v>1817</v>
      </c>
      <c r="N12" s="110">
        <f t="shared" si="7"/>
        <v>1877</v>
      </c>
      <c r="O12" s="110">
        <f t="shared" si="7"/>
        <v>2038</v>
      </c>
      <c r="P12" s="110">
        <f t="shared" si="7"/>
        <v>2038</v>
      </c>
      <c r="Q12" s="110">
        <f t="shared" si="7"/>
        <v>2038</v>
      </c>
      <c r="R12" s="110">
        <f t="shared" si="7"/>
        <v>2174</v>
      </c>
      <c r="S12" s="110">
        <f t="shared" si="7"/>
        <v>2303</v>
      </c>
      <c r="T12" s="110">
        <f t="shared" si="7"/>
        <v>2371</v>
      </c>
      <c r="U12" s="110">
        <f t="shared" si="7"/>
        <v>2448</v>
      </c>
      <c r="V12" s="110">
        <f t="shared" si="7"/>
        <v>2497</v>
      </c>
      <c r="W12" s="110">
        <f t="shared" si="7"/>
        <v>2497</v>
      </c>
      <c r="X12" s="110">
        <f t="shared" si="7"/>
        <v>2497</v>
      </c>
      <c r="Y12" s="110">
        <f t="shared" si="7"/>
        <v>2471</v>
      </c>
      <c r="Z12" s="110">
        <f t="shared" si="7"/>
        <v>2415</v>
      </c>
      <c r="AA12" s="110">
        <f t="shared" si="7"/>
        <v>2412</v>
      </c>
      <c r="AB12" s="110">
        <f t="shared" si="7"/>
        <v>2398</v>
      </c>
      <c r="AC12" s="110">
        <f t="shared" si="7"/>
        <v>2335</v>
      </c>
      <c r="AD12" s="110">
        <f t="shared" si="7"/>
        <v>2335</v>
      </c>
      <c r="AE12" s="110">
        <f t="shared" si="7"/>
        <v>2335</v>
      </c>
      <c r="AF12" s="110">
        <f t="shared" si="7"/>
        <v>2247</v>
      </c>
      <c r="AG12" s="110">
        <f t="shared" si="7"/>
        <v>2156</v>
      </c>
      <c r="AH12" s="110">
        <f t="shared" si="7"/>
        <v>2070</v>
      </c>
      <c r="AI12" s="110">
        <f t="shared" si="7"/>
        <v>1968</v>
      </c>
      <c r="AJ12" s="110">
        <f t="shared" si="7"/>
        <v>1856</v>
      </c>
      <c r="AK12" s="115">
        <f t="shared" si="7"/>
        <v>1856</v>
      </c>
      <c r="AL12" s="1" t="s">
        <v>3</v>
      </c>
    </row>
    <row r="13" spans="2:38" s="1" customFormat="1" ht="13.5">
      <c r="B13" s="208"/>
      <c r="C13" s="210" t="s">
        <v>16</v>
      </c>
      <c r="D13" s="30" t="s">
        <v>44</v>
      </c>
      <c r="E13" s="111">
        <f t="shared" ref="E13:E33" si="8">SUM(H13:AK13)</f>
        <v>46</v>
      </c>
      <c r="F13" s="102">
        <v>20</v>
      </c>
      <c r="G13" s="162" t="s">
        <v>7</v>
      </c>
      <c r="H13" s="159"/>
      <c r="I13" s="103"/>
      <c r="J13" s="103"/>
      <c r="K13" s="103"/>
      <c r="L13" s="103"/>
      <c r="M13" s="103"/>
      <c r="N13" s="103">
        <v>14</v>
      </c>
      <c r="O13" s="103"/>
      <c r="P13" s="103"/>
      <c r="Q13" s="103"/>
      <c r="R13" s="103"/>
      <c r="S13" s="103">
        <v>14</v>
      </c>
      <c r="T13" s="103"/>
      <c r="U13" s="103"/>
      <c r="V13" s="103">
        <v>15</v>
      </c>
      <c r="W13" s="103"/>
      <c r="X13" s="103"/>
      <c r="Y13" s="103">
        <v>2</v>
      </c>
      <c r="Z13" s="103"/>
      <c r="AA13" s="103"/>
      <c r="AB13" s="103"/>
      <c r="AC13" s="103"/>
      <c r="AD13" s="103"/>
      <c r="AE13" s="103"/>
      <c r="AF13" s="103"/>
      <c r="AG13" s="103"/>
      <c r="AH13" s="103"/>
      <c r="AI13" s="103">
        <v>1</v>
      </c>
      <c r="AJ13" s="103"/>
      <c r="AK13" s="104"/>
      <c r="AL13" s="1" t="s">
        <v>3</v>
      </c>
    </row>
    <row r="14" spans="2:38" s="1" customFormat="1" ht="13.5">
      <c r="B14" s="208"/>
      <c r="C14" s="211"/>
      <c r="D14" s="31" t="s">
        <v>46</v>
      </c>
      <c r="E14" s="174">
        <f t="shared" si="8"/>
        <v>9</v>
      </c>
      <c r="F14" s="106">
        <v>20</v>
      </c>
      <c r="G14" s="163" t="s">
        <v>7</v>
      </c>
      <c r="H14" s="160"/>
      <c r="I14" s="96"/>
      <c r="J14" s="96"/>
      <c r="K14" s="96"/>
      <c r="L14" s="96"/>
      <c r="M14" s="96"/>
      <c r="N14" s="96"/>
      <c r="O14" s="96"/>
      <c r="P14" s="96"/>
      <c r="Q14" s="96"/>
      <c r="R14" s="96"/>
      <c r="S14" s="96"/>
      <c r="T14" s="96"/>
      <c r="U14" s="96">
        <v>9</v>
      </c>
      <c r="V14" s="96"/>
      <c r="W14" s="96"/>
      <c r="X14" s="96"/>
      <c r="Y14" s="96"/>
      <c r="Z14" s="96"/>
      <c r="AA14" s="96"/>
      <c r="AB14" s="96"/>
      <c r="AC14" s="96"/>
      <c r="AD14" s="96"/>
      <c r="AE14" s="96"/>
      <c r="AF14" s="96"/>
      <c r="AG14" s="96"/>
      <c r="AH14" s="96"/>
      <c r="AI14" s="96"/>
      <c r="AJ14" s="96"/>
      <c r="AK14" s="97"/>
      <c r="AL14" s="1" t="s">
        <v>3</v>
      </c>
    </row>
    <row r="15" spans="2:38" s="1" customFormat="1" ht="13.5">
      <c r="B15" s="208"/>
      <c r="C15" s="211"/>
      <c r="D15" s="31" t="s">
        <v>48</v>
      </c>
      <c r="E15" s="174">
        <f t="shared" si="8"/>
        <v>28</v>
      </c>
      <c r="F15" s="106">
        <v>20</v>
      </c>
      <c r="G15" s="163" t="s">
        <v>7</v>
      </c>
      <c r="H15" s="160">
        <v>2</v>
      </c>
      <c r="I15" s="96"/>
      <c r="J15" s="96"/>
      <c r="K15" s="96"/>
      <c r="L15" s="96"/>
      <c r="M15" s="96"/>
      <c r="N15" s="96"/>
      <c r="O15" s="96">
        <v>11</v>
      </c>
      <c r="P15" s="96"/>
      <c r="Q15" s="96"/>
      <c r="R15" s="96"/>
      <c r="S15" s="96"/>
      <c r="T15" s="96"/>
      <c r="U15" s="96"/>
      <c r="V15" s="96">
        <v>14</v>
      </c>
      <c r="W15" s="96"/>
      <c r="X15" s="96"/>
      <c r="Y15" s="96"/>
      <c r="Z15" s="96"/>
      <c r="AA15" s="96"/>
      <c r="AB15" s="96"/>
      <c r="AC15" s="96"/>
      <c r="AD15" s="96"/>
      <c r="AE15" s="96"/>
      <c r="AF15" s="96"/>
      <c r="AG15" s="96"/>
      <c r="AH15" s="96"/>
      <c r="AI15" s="96">
        <v>1</v>
      </c>
      <c r="AJ15" s="96"/>
      <c r="AK15" s="97"/>
      <c r="AL15" s="1" t="s">
        <v>3</v>
      </c>
    </row>
    <row r="16" spans="2:38" s="1" customFormat="1" ht="13.5">
      <c r="B16" s="208"/>
      <c r="C16" s="211"/>
      <c r="D16" s="31" t="s">
        <v>49</v>
      </c>
      <c r="E16" s="174">
        <f t="shared" si="8"/>
        <v>35</v>
      </c>
      <c r="F16" s="106">
        <v>20</v>
      </c>
      <c r="G16" s="163" t="s">
        <v>7</v>
      </c>
      <c r="H16" s="160">
        <v>11</v>
      </c>
      <c r="I16" s="96"/>
      <c r="J16" s="96"/>
      <c r="K16" s="96"/>
      <c r="L16" s="96"/>
      <c r="M16" s="96"/>
      <c r="N16" s="96"/>
      <c r="O16" s="96">
        <v>12</v>
      </c>
      <c r="P16" s="96"/>
      <c r="Q16" s="96"/>
      <c r="R16" s="96"/>
      <c r="S16" s="96"/>
      <c r="T16" s="96">
        <v>12</v>
      </c>
      <c r="U16" s="96"/>
      <c r="V16" s="96"/>
      <c r="W16" s="96"/>
      <c r="X16" s="96"/>
      <c r="Y16" s="96"/>
      <c r="Z16" s="96"/>
      <c r="AA16" s="96"/>
      <c r="AB16" s="96"/>
      <c r="AC16" s="96"/>
      <c r="AD16" s="96"/>
      <c r="AE16" s="96"/>
      <c r="AF16" s="96"/>
      <c r="AG16" s="96"/>
      <c r="AH16" s="96"/>
      <c r="AI16" s="96"/>
      <c r="AJ16" s="96"/>
      <c r="AK16" s="97"/>
      <c r="AL16" s="1" t="s">
        <v>3</v>
      </c>
    </row>
    <row r="17" spans="2:38" s="1" customFormat="1" ht="13.5">
      <c r="B17" s="208"/>
      <c r="C17" s="211"/>
      <c r="D17" s="31" t="s">
        <v>19</v>
      </c>
      <c r="E17" s="174">
        <f t="shared" si="8"/>
        <v>142</v>
      </c>
      <c r="F17" s="106">
        <v>20</v>
      </c>
      <c r="G17" s="163" t="s">
        <v>7</v>
      </c>
      <c r="H17" s="160"/>
      <c r="I17" s="96"/>
      <c r="J17" s="96"/>
      <c r="K17" s="96"/>
      <c r="L17" s="96"/>
      <c r="M17" s="96"/>
      <c r="N17" s="96">
        <v>3</v>
      </c>
      <c r="O17" s="96">
        <v>5</v>
      </c>
      <c r="P17" s="96"/>
      <c r="Q17" s="96"/>
      <c r="R17" s="96">
        <v>4</v>
      </c>
      <c r="S17" s="96">
        <v>10</v>
      </c>
      <c r="T17" s="96">
        <v>1</v>
      </c>
      <c r="U17" s="96">
        <v>11</v>
      </c>
      <c r="V17" s="96">
        <v>13</v>
      </c>
      <c r="W17" s="96"/>
      <c r="X17" s="96"/>
      <c r="Y17" s="96">
        <v>6</v>
      </c>
      <c r="Z17" s="96">
        <v>7</v>
      </c>
      <c r="AA17" s="96">
        <v>11</v>
      </c>
      <c r="AB17" s="96">
        <v>18</v>
      </c>
      <c r="AC17" s="96">
        <v>10</v>
      </c>
      <c r="AD17" s="96"/>
      <c r="AE17" s="96"/>
      <c r="AF17" s="96">
        <v>11</v>
      </c>
      <c r="AG17" s="96">
        <v>16</v>
      </c>
      <c r="AH17" s="96">
        <v>8</v>
      </c>
      <c r="AI17" s="96">
        <v>1</v>
      </c>
      <c r="AJ17" s="96">
        <v>7</v>
      </c>
      <c r="AK17" s="97"/>
      <c r="AL17" s="1" t="s">
        <v>3</v>
      </c>
    </row>
    <row r="18" spans="2:38" s="1" customFormat="1" ht="13.5">
      <c r="B18" s="208"/>
      <c r="C18" s="211"/>
      <c r="D18" s="31" t="s">
        <v>20</v>
      </c>
      <c r="E18" s="174">
        <f t="shared" si="8"/>
        <v>133</v>
      </c>
      <c r="F18" s="106">
        <v>20</v>
      </c>
      <c r="G18" s="163" t="s">
        <v>7</v>
      </c>
      <c r="H18" s="160">
        <v>10</v>
      </c>
      <c r="I18" s="96"/>
      <c r="J18" s="96"/>
      <c r="K18" s="96"/>
      <c r="L18" s="96"/>
      <c r="M18" s="96"/>
      <c r="N18" s="96">
        <v>9</v>
      </c>
      <c r="O18" s="96">
        <v>8</v>
      </c>
      <c r="P18" s="96"/>
      <c r="Q18" s="96"/>
      <c r="R18" s="96">
        <v>6</v>
      </c>
      <c r="S18" s="96">
        <v>8</v>
      </c>
      <c r="T18" s="96">
        <v>10</v>
      </c>
      <c r="U18" s="96">
        <v>6</v>
      </c>
      <c r="V18" s="96">
        <v>8</v>
      </c>
      <c r="W18" s="96"/>
      <c r="X18" s="96"/>
      <c r="Y18" s="96">
        <v>7</v>
      </c>
      <c r="Z18" s="96">
        <v>7</v>
      </c>
      <c r="AA18" s="96">
        <v>7</v>
      </c>
      <c r="AB18" s="96">
        <v>8</v>
      </c>
      <c r="AC18" s="96">
        <v>7</v>
      </c>
      <c r="AD18" s="96"/>
      <c r="AE18" s="96"/>
      <c r="AF18" s="96">
        <v>7</v>
      </c>
      <c r="AG18" s="96">
        <v>9</v>
      </c>
      <c r="AH18" s="96">
        <v>6</v>
      </c>
      <c r="AI18" s="96">
        <v>10</v>
      </c>
      <c r="AJ18" s="96"/>
      <c r="AK18" s="97"/>
      <c r="AL18" s="1" t="s">
        <v>3</v>
      </c>
    </row>
    <row r="19" spans="2:38" s="1" customFormat="1" ht="13.5">
      <c r="B19" s="208"/>
      <c r="C19" s="211"/>
      <c r="D19" s="31" t="s">
        <v>21</v>
      </c>
      <c r="E19" s="112">
        <f t="shared" si="8"/>
        <v>180</v>
      </c>
      <c r="F19" s="94">
        <v>20</v>
      </c>
      <c r="G19" s="157" t="s">
        <v>7</v>
      </c>
      <c r="H19" s="160">
        <v>11</v>
      </c>
      <c r="I19" s="96"/>
      <c r="J19" s="96"/>
      <c r="K19" s="96"/>
      <c r="L19" s="96"/>
      <c r="M19" s="96"/>
      <c r="N19" s="96">
        <v>12</v>
      </c>
      <c r="O19" s="96">
        <v>12</v>
      </c>
      <c r="P19" s="96"/>
      <c r="Q19" s="96"/>
      <c r="R19" s="96"/>
      <c r="S19" s="96"/>
      <c r="T19" s="96">
        <v>9</v>
      </c>
      <c r="U19" s="96">
        <v>11</v>
      </c>
      <c r="V19" s="96">
        <v>12</v>
      </c>
      <c r="W19" s="96"/>
      <c r="X19" s="96"/>
      <c r="Y19" s="96">
        <v>9</v>
      </c>
      <c r="Z19" s="96">
        <v>13</v>
      </c>
      <c r="AA19" s="96">
        <v>11</v>
      </c>
      <c r="AB19" s="96">
        <v>12</v>
      </c>
      <c r="AC19" s="96">
        <v>11</v>
      </c>
      <c r="AD19" s="96"/>
      <c r="AE19" s="96"/>
      <c r="AF19" s="96">
        <v>12</v>
      </c>
      <c r="AG19" s="96">
        <v>8</v>
      </c>
      <c r="AH19" s="96">
        <v>11</v>
      </c>
      <c r="AI19" s="96">
        <v>14</v>
      </c>
      <c r="AJ19" s="96">
        <v>12</v>
      </c>
      <c r="AK19" s="97"/>
      <c r="AL19" s="1" t="s">
        <v>3</v>
      </c>
    </row>
    <row r="20" spans="2:38" s="1" customFormat="1" ht="13.5">
      <c r="B20" s="208"/>
      <c r="C20" s="211"/>
      <c r="D20" s="31" t="s">
        <v>22</v>
      </c>
      <c r="E20" s="112">
        <f t="shared" si="8"/>
        <v>582</v>
      </c>
      <c r="F20" s="94">
        <v>30</v>
      </c>
      <c r="G20" s="157" t="s">
        <v>7</v>
      </c>
      <c r="H20" s="160">
        <v>39</v>
      </c>
      <c r="I20" s="96"/>
      <c r="J20" s="96"/>
      <c r="K20" s="96"/>
      <c r="L20" s="96"/>
      <c r="M20" s="96"/>
      <c r="N20" s="96">
        <v>42</v>
      </c>
      <c r="O20" s="96">
        <v>40</v>
      </c>
      <c r="P20" s="96"/>
      <c r="Q20" s="96"/>
      <c r="R20" s="96">
        <v>40</v>
      </c>
      <c r="S20" s="96">
        <v>44</v>
      </c>
      <c r="T20" s="96">
        <v>44</v>
      </c>
      <c r="U20" s="96">
        <v>41</v>
      </c>
      <c r="V20" s="96">
        <v>43</v>
      </c>
      <c r="W20" s="96"/>
      <c r="X20" s="96"/>
      <c r="Y20" s="96">
        <v>28</v>
      </c>
      <c r="Z20" s="96">
        <v>28</v>
      </c>
      <c r="AA20" s="96">
        <v>24</v>
      </c>
      <c r="AB20" s="96">
        <v>21</v>
      </c>
      <c r="AC20" s="96">
        <v>18</v>
      </c>
      <c r="AD20" s="96"/>
      <c r="AE20" s="96"/>
      <c r="AF20" s="96">
        <v>21</v>
      </c>
      <c r="AG20" s="96">
        <v>15</v>
      </c>
      <c r="AH20" s="96">
        <v>31</v>
      </c>
      <c r="AI20" s="96">
        <v>29</v>
      </c>
      <c r="AJ20" s="96">
        <v>34</v>
      </c>
      <c r="AK20" s="97"/>
      <c r="AL20" s="1" t="s">
        <v>3</v>
      </c>
    </row>
    <row r="21" spans="2:38" s="1" customFormat="1" ht="13.5">
      <c r="B21" s="208"/>
      <c r="C21" s="211"/>
      <c r="D21" s="31" t="s">
        <v>23</v>
      </c>
      <c r="E21" s="112">
        <f t="shared" si="8"/>
        <v>302</v>
      </c>
      <c r="F21" s="94">
        <v>15</v>
      </c>
      <c r="G21" s="157" t="s">
        <v>7</v>
      </c>
      <c r="H21" s="160">
        <v>26</v>
      </c>
      <c r="I21" s="96"/>
      <c r="J21" s="96"/>
      <c r="K21" s="96"/>
      <c r="L21" s="96"/>
      <c r="M21" s="96"/>
      <c r="N21" s="96">
        <v>25</v>
      </c>
      <c r="O21" s="96">
        <v>24</v>
      </c>
      <c r="P21" s="96"/>
      <c r="Q21" s="96"/>
      <c r="R21" s="96">
        <v>24</v>
      </c>
      <c r="S21" s="96">
        <v>25</v>
      </c>
      <c r="T21" s="96">
        <v>26</v>
      </c>
      <c r="U21" s="96">
        <v>23</v>
      </c>
      <c r="V21" s="96">
        <v>16</v>
      </c>
      <c r="W21" s="96"/>
      <c r="X21" s="96"/>
      <c r="Y21" s="96">
        <v>21</v>
      </c>
      <c r="Z21" s="96">
        <v>13</v>
      </c>
      <c r="AA21" s="96">
        <v>15</v>
      </c>
      <c r="AB21" s="96">
        <v>12</v>
      </c>
      <c r="AC21" s="96"/>
      <c r="AD21" s="96"/>
      <c r="AE21" s="96"/>
      <c r="AF21" s="96">
        <v>1</v>
      </c>
      <c r="AG21" s="96">
        <v>13</v>
      </c>
      <c r="AH21" s="96">
        <v>11</v>
      </c>
      <c r="AI21" s="96">
        <v>13</v>
      </c>
      <c r="AJ21" s="96">
        <v>14</v>
      </c>
      <c r="AK21" s="97"/>
      <c r="AL21" s="1" t="s">
        <v>3</v>
      </c>
    </row>
    <row r="22" spans="2:38" s="1" customFormat="1" ht="13.5">
      <c r="B22" s="208"/>
      <c r="C22" s="211"/>
      <c r="D22" s="31" t="s">
        <v>24</v>
      </c>
      <c r="E22" s="112">
        <f t="shared" si="8"/>
        <v>347</v>
      </c>
      <c r="F22" s="94">
        <v>10</v>
      </c>
      <c r="G22" s="157" t="s">
        <v>7</v>
      </c>
      <c r="H22" s="160">
        <v>29</v>
      </c>
      <c r="I22" s="96"/>
      <c r="J22" s="96"/>
      <c r="K22" s="96"/>
      <c r="L22" s="96"/>
      <c r="M22" s="96"/>
      <c r="N22" s="96">
        <v>24</v>
      </c>
      <c r="O22" s="96">
        <v>28</v>
      </c>
      <c r="P22" s="96"/>
      <c r="Q22" s="96"/>
      <c r="R22" s="96">
        <v>26</v>
      </c>
      <c r="S22" s="96">
        <v>28</v>
      </c>
      <c r="T22" s="96">
        <v>27</v>
      </c>
      <c r="U22" s="96">
        <v>26</v>
      </c>
      <c r="V22" s="96">
        <v>27</v>
      </c>
      <c r="W22" s="96"/>
      <c r="X22" s="96"/>
      <c r="Y22" s="96">
        <v>26</v>
      </c>
      <c r="Z22" s="96">
        <v>17</v>
      </c>
      <c r="AA22" s="96">
        <v>19</v>
      </c>
      <c r="AB22" s="96">
        <v>9</v>
      </c>
      <c r="AC22" s="96">
        <v>1</v>
      </c>
      <c r="AD22" s="96"/>
      <c r="AE22" s="96"/>
      <c r="AF22" s="96">
        <v>1</v>
      </c>
      <c r="AG22" s="96">
        <v>17</v>
      </c>
      <c r="AH22" s="96">
        <v>12</v>
      </c>
      <c r="AI22" s="96">
        <v>15</v>
      </c>
      <c r="AJ22" s="96">
        <v>15</v>
      </c>
      <c r="AK22" s="97"/>
      <c r="AL22" s="1" t="s">
        <v>3</v>
      </c>
    </row>
    <row r="23" spans="2:38" s="1" customFormat="1" ht="14" thickBot="1">
      <c r="B23" s="208"/>
      <c r="C23" s="212"/>
      <c r="D23" s="175" t="s">
        <v>50</v>
      </c>
      <c r="E23" s="168" t="s">
        <v>6</v>
      </c>
      <c r="F23" s="106" t="s">
        <v>6</v>
      </c>
      <c r="G23" s="169" t="s">
        <v>7</v>
      </c>
      <c r="H23" s="170"/>
      <c r="I23" s="171"/>
      <c r="J23" s="171"/>
      <c r="K23" s="171"/>
      <c r="L23" s="171"/>
      <c r="M23" s="171"/>
      <c r="N23" s="171"/>
      <c r="O23" s="171"/>
      <c r="P23" s="171"/>
      <c r="Q23" s="171"/>
      <c r="R23" s="171"/>
      <c r="S23" s="171"/>
      <c r="T23" s="171"/>
      <c r="U23" s="171"/>
      <c r="V23" s="171">
        <v>2</v>
      </c>
      <c r="W23" s="171"/>
      <c r="X23" s="171"/>
      <c r="Y23" s="171"/>
      <c r="Z23" s="171"/>
      <c r="AA23" s="171"/>
      <c r="AB23" s="171"/>
      <c r="AC23" s="171"/>
      <c r="AD23" s="171"/>
      <c r="AE23" s="171"/>
      <c r="AF23" s="171"/>
      <c r="AG23" s="171"/>
      <c r="AH23" s="171"/>
      <c r="AI23" s="171"/>
      <c r="AJ23" s="171"/>
      <c r="AK23" s="172"/>
      <c r="AL23" s="1" t="s">
        <v>3</v>
      </c>
    </row>
    <row r="24" spans="2:38" s="1" customFormat="1" ht="13.5">
      <c r="B24" s="208"/>
      <c r="C24" s="210" t="s">
        <v>25</v>
      </c>
      <c r="D24" s="30" t="s">
        <v>26</v>
      </c>
      <c r="E24" s="111">
        <f t="shared" si="8"/>
        <v>227</v>
      </c>
      <c r="F24" s="102">
        <v>30</v>
      </c>
      <c r="G24" s="182" t="s">
        <v>7</v>
      </c>
      <c r="H24" s="159">
        <v>28</v>
      </c>
      <c r="I24" s="103"/>
      <c r="J24" s="103"/>
      <c r="K24" s="103"/>
      <c r="L24" s="103"/>
      <c r="M24" s="103"/>
      <c r="N24" s="103">
        <v>3</v>
      </c>
      <c r="O24" s="103">
        <v>2</v>
      </c>
      <c r="P24" s="103"/>
      <c r="Q24" s="103"/>
      <c r="R24" s="103">
        <v>28</v>
      </c>
      <c r="S24" s="103">
        <v>27</v>
      </c>
      <c r="T24" s="103">
        <v>29</v>
      </c>
      <c r="U24" s="103">
        <v>12</v>
      </c>
      <c r="V24" s="103">
        <v>18</v>
      </c>
      <c r="W24" s="103"/>
      <c r="X24" s="103"/>
      <c r="Y24" s="103">
        <v>6</v>
      </c>
      <c r="Z24" s="103">
        <v>2</v>
      </c>
      <c r="AA24" s="103">
        <v>7</v>
      </c>
      <c r="AB24" s="103">
        <v>4</v>
      </c>
      <c r="AC24" s="103">
        <v>10</v>
      </c>
      <c r="AD24" s="103"/>
      <c r="AE24" s="103"/>
      <c r="AF24" s="103">
        <v>15</v>
      </c>
      <c r="AG24" s="103">
        <v>7</v>
      </c>
      <c r="AH24" s="103">
        <v>5</v>
      </c>
      <c r="AI24" s="103">
        <v>13</v>
      </c>
      <c r="AJ24" s="103">
        <v>11</v>
      </c>
      <c r="AK24" s="104"/>
      <c r="AL24" s="1" t="s">
        <v>3</v>
      </c>
    </row>
    <row r="25" spans="2:38" s="1" customFormat="1" ht="13.5">
      <c r="B25" s="208"/>
      <c r="C25" s="211"/>
      <c r="D25" s="31" t="s">
        <v>27</v>
      </c>
      <c r="E25" s="112">
        <f t="shared" si="8"/>
        <v>648</v>
      </c>
      <c r="F25" s="94">
        <v>40</v>
      </c>
      <c r="G25" s="183" t="s">
        <v>7</v>
      </c>
      <c r="H25" s="160">
        <v>40</v>
      </c>
      <c r="I25" s="96"/>
      <c r="J25" s="96"/>
      <c r="K25" s="96"/>
      <c r="L25" s="96"/>
      <c r="M25" s="96"/>
      <c r="N25" s="96">
        <v>39</v>
      </c>
      <c r="O25" s="96">
        <v>42</v>
      </c>
      <c r="P25" s="96"/>
      <c r="Q25" s="96"/>
      <c r="R25" s="96">
        <v>8</v>
      </c>
      <c r="S25" s="96">
        <v>44</v>
      </c>
      <c r="T25" s="96">
        <v>47</v>
      </c>
      <c r="U25" s="96">
        <v>42</v>
      </c>
      <c r="V25" s="96">
        <v>42</v>
      </c>
      <c r="W25" s="96"/>
      <c r="X25" s="96"/>
      <c r="Y25" s="96">
        <v>44</v>
      </c>
      <c r="Z25" s="96">
        <v>25</v>
      </c>
      <c r="AA25" s="96">
        <v>33</v>
      </c>
      <c r="AB25" s="96">
        <v>18</v>
      </c>
      <c r="AC25" s="96">
        <v>23</v>
      </c>
      <c r="AD25" s="96"/>
      <c r="AE25" s="96"/>
      <c r="AF25" s="96">
        <v>38</v>
      </c>
      <c r="AG25" s="96">
        <v>46</v>
      </c>
      <c r="AH25" s="96">
        <v>40</v>
      </c>
      <c r="AI25" s="96">
        <v>43</v>
      </c>
      <c r="AJ25" s="96">
        <v>34</v>
      </c>
      <c r="AK25" s="97"/>
      <c r="AL25" s="1" t="s">
        <v>3</v>
      </c>
    </row>
    <row r="26" spans="2:38" s="1" customFormat="1" ht="13.5">
      <c r="B26" s="208"/>
      <c r="C26" s="211"/>
      <c r="D26" s="31" t="s">
        <v>19</v>
      </c>
      <c r="E26" s="112">
        <f t="shared" si="8"/>
        <v>124</v>
      </c>
      <c r="F26" s="94">
        <v>20</v>
      </c>
      <c r="G26" s="183" t="s">
        <v>7</v>
      </c>
      <c r="H26" s="160"/>
      <c r="I26" s="96"/>
      <c r="J26" s="96"/>
      <c r="K26" s="96"/>
      <c r="L26" s="96"/>
      <c r="M26" s="96"/>
      <c r="N26" s="96">
        <v>17</v>
      </c>
      <c r="O26" s="96">
        <v>7</v>
      </c>
      <c r="P26" s="96"/>
      <c r="Q26" s="96"/>
      <c r="R26" s="96"/>
      <c r="S26" s="96">
        <v>1</v>
      </c>
      <c r="T26" s="96">
        <v>16</v>
      </c>
      <c r="U26" s="96">
        <v>1</v>
      </c>
      <c r="V26" s="96">
        <v>1</v>
      </c>
      <c r="W26" s="96"/>
      <c r="X26" s="96"/>
      <c r="Y26" s="96">
        <v>17</v>
      </c>
      <c r="Z26" s="96">
        <v>2</v>
      </c>
      <c r="AA26" s="96"/>
      <c r="AB26" s="96"/>
      <c r="AC26" s="96"/>
      <c r="AD26" s="96"/>
      <c r="AE26" s="96"/>
      <c r="AF26" s="96"/>
      <c r="AG26" s="96"/>
      <c r="AH26" s="96">
        <v>18</v>
      </c>
      <c r="AI26" s="96">
        <v>30</v>
      </c>
      <c r="AJ26" s="96">
        <v>14</v>
      </c>
      <c r="AK26" s="97"/>
      <c r="AL26" s="1" t="s">
        <v>3</v>
      </c>
    </row>
    <row r="27" spans="2:38" s="1" customFormat="1" ht="13.5">
      <c r="B27" s="208"/>
      <c r="C27" s="211"/>
      <c r="D27" s="31" t="s">
        <v>44</v>
      </c>
      <c r="E27" s="112">
        <f t="shared" si="8"/>
        <v>47</v>
      </c>
      <c r="F27" s="94">
        <v>20</v>
      </c>
      <c r="G27" s="183" t="s">
        <v>7</v>
      </c>
      <c r="H27" s="167"/>
      <c r="I27" s="99"/>
      <c r="J27" s="99"/>
      <c r="K27" s="99"/>
      <c r="L27" s="99"/>
      <c r="M27" s="99"/>
      <c r="N27" s="99"/>
      <c r="O27" s="99"/>
      <c r="P27" s="99"/>
      <c r="Q27" s="99"/>
      <c r="R27" s="99"/>
      <c r="S27" s="99"/>
      <c r="T27" s="99"/>
      <c r="U27" s="99"/>
      <c r="V27" s="99">
        <v>2</v>
      </c>
      <c r="W27" s="99"/>
      <c r="X27" s="99"/>
      <c r="Y27" s="99"/>
      <c r="Z27" s="99">
        <v>10</v>
      </c>
      <c r="AA27" s="99">
        <v>19</v>
      </c>
      <c r="AB27" s="99">
        <v>1</v>
      </c>
      <c r="AC27" s="99"/>
      <c r="AD27" s="99"/>
      <c r="AE27" s="99"/>
      <c r="AF27" s="99"/>
      <c r="AG27" s="99">
        <v>15</v>
      </c>
      <c r="AH27" s="99"/>
      <c r="AI27" s="99"/>
      <c r="AJ27" s="99"/>
      <c r="AK27" s="100"/>
    </row>
    <row r="28" spans="2:38" s="1" customFormat="1" ht="13.5">
      <c r="B28" s="208"/>
      <c r="C28" s="211"/>
      <c r="D28" s="31" t="s">
        <v>46</v>
      </c>
      <c r="E28" s="112">
        <f t="shared" si="8"/>
        <v>163</v>
      </c>
      <c r="F28" s="94">
        <v>20</v>
      </c>
      <c r="G28" s="183" t="s">
        <v>7</v>
      </c>
      <c r="H28" s="167"/>
      <c r="I28" s="99"/>
      <c r="J28" s="99"/>
      <c r="K28" s="99"/>
      <c r="L28" s="99"/>
      <c r="M28" s="99"/>
      <c r="N28" s="99"/>
      <c r="O28" s="99"/>
      <c r="P28" s="99"/>
      <c r="Q28" s="99"/>
      <c r="R28" s="99"/>
      <c r="S28" s="99"/>
      <c r="T28" s="99"/>
      <c r="U28" s="99"/>
      <c r="V28" s="99"/>
      <c r="W28" s="99"/>
      <c r="X28" s="99"/>
      <c r="Y28" s="99">
        <v>14</v>
      </c>
      <c r="Z28" s="99">
        <v>26</v>
      </c>
      <c r="AA28" s="99"/>
      <c r="AB28" s="99">
        <v>2</v>
      </c>
      <c r="AC28" s="99">
        <v>28</v>
      </c>
      <c r="AD28" s="99"/>
      <c r="AE28" s="99"/>
      <c r="AF28" s="99"/>
      <c r="AG28" s="99">
        <v>26</v>
      </c>
      <c r="AH28" s="99">
        <v>28</v>
      </c>
      <c r="AI28" s="99">
        <v>9</v>
      </c>
      <c r="AJ28" s="99">
        <v>30</v>
      </c>
      <c r="AK28" s="100"/>
    </row>
    <row r="29" spans="2:38" s="1" customFormat="1" ht="13.5">
      <c r="B29" s="208"/>
      <c r="C29" s="211"/>
      <c r="D29" s="31" t="s">
        <v>48</v>
      </c>
      <c r="E29" s="112">
        <f t="shared" si="8"/>
        <v>92</v>
      </c>
      <c r="F29" s="94">
        <v>20</v>
      </c>
      <c r="G29" s="183" t="s">
        <v>7</v>
      </c>
      <c r="H29" s="167"/>
      <c r="I29" s="99"/>
      <c r="J29" s="99"/>
      <c r="K29" s="99"/>
      <c r="L29" s="99"/>
      <c r="M29" s="99"/>
      <c r="N29" s="99"/>
      <c r="O29" s="99"/>
      <c r="P29" s="99"/>
      <c r="Q29" s="99"/>
      <c r="R29" s="99"/>
      <c r="S29" s="99"/>
      <c r="T29" s="99"/>
      <c r="U29" s="99"/>
      <c r="V29" s="99"/>
      <c r="W29" s="99"/>
      <c r="X29" s="99"/>
      <c r="Y29" s="99"/>
      <c r="Z29" s="99"/>
      <c r="AA29" s="99"/>
      <c r="AB29" s="99">
        <v>14</v>
      </c>
      <c r="AC29" s="99">
        <v>14</v>
      </c>
      <c r="AD29" s="99"/>
      <c r="AE29" s="99"/>
      <c r="AF29" s="99">
        <v>20</v>
      </c>
      <c r="AG29" s="99"/>
      <c r="AH29" s="99"/>
      <c r="AI29" s="99">
        <v>25</v>
      </c>
      <c r="AJ29" s="99">
        <v>19</v>
      </c>
      <c r="AK29" s="100"/>
    </row>
    <row r="30" spans="2:38" s="1" customFormat="1" ht="13.5">
      <c r="B30" s="208"/>
      <c r="C30" s="211"/>
      <c r="D30" s="180" t="s">
        <v>49</v>
      </c>
      <c r="E30" s="181" t="s">
        <v>6</v>
      </c>
      <c r="F30" s="178">
        <v>20</v>
      </c>
      <c r="G30" s="183" t="s">
        <v>7</v>
      </c>
      <c r="H30" s="167"/>
      <c r="I30" s="99"/>
      <c r="J30" s="99"/>
      <c r="K30" s="99"/>
      <c r="L30" s="99"/>
      <c r="M30" s="99"/>
      <c r="N30" s="99"/>
      <c r="O30" s="99">
        <v>1</v>
      </c>
      <c r="P30" s="99"/>
      <c r="Q30" s="99"/>
      <c r="R30" s="99"/>
      <c r="S30" s="99"/>
      <c r="T30" s="99"/>
      <c r="U30" s="99"/>
      <c r="V30" s="99"/>
      <c r="W30" s="99"/>
      <c r="X30" s="99"/>
      <c r="Y30" s="99">
        <v>17</v>
      </c>
      <c r="Z30" s="99"/>
      <c r="AA30" s="99"/>
      <c r="AB30" s="99"/>
      <c r="AC30" s="99"/>
      <c r="AD30" s="99"/>
      <c r="AE30" s="99"/>
      <c r="AF30" s="99">
        <v>14</v>
      </c>
      <c r="AG30" s="99"/>
      <c r="AH30" s="99"/>
      <c r="AI30" s="99"/>
      <c r="AJ30" s="99">
        <v>18</v>
      </c>
      <c r="AK30" s="100"/>
      <c r="AL30" s="1" t="s">
        <v>3</v>
      </c>
    </row>
    <row r="31" spans="2:38" s="1" customFormat="1" ht="14" collapsed="1" thickBot="1">
      <c r="B31" s="209"/>
      <c r="C31" s="212"/>
      <c r="D31" s="179" t="s">
        <v>50</v>
      </c>
      <c r="E31" s="184" t="s">
        <v>6</v>
      </c>
      <c r="F31" s="185" t="s">
        <v>6</v>
      </c>
      <c r="G31" s="186" t="s">
        <v>7</v>
      </c>
      <c r="H31" s="161"/>
      <c r="I31" s="110"/>
      <c r="J31" s="110"/>
      <c r="K31" s="110"/>
      <c r="L31" s="110"/>
      <c r="M31" s="110"/>
      <c r="N31" s="110"/>
      <c r="O31" s="110"/>
      <c r="P31" s="110"/>
      <c r="Q31" s="110"/>
      <c r="R31" s="110"/>
      <c r="S31" s="110"/>
      <c r="T31" s="110"/>
      <c r="U31" s="110"/>
      <c r="V31" s="110">
        <v>2</v>
      </c>
      <c r="W31" s="110"/>
      <c r="X31" s="110"/>
      <c r="Y31" s="110"/>
      <c r="Z31" s="110"/>
      <c r="AA31" s="110"/>
      <c r="AB31" s="110"/>
      <c r="AC31" s="110"/>
      <c r="AD31" s="110"/>
      <c r="AE31" s="110"/>
      <c r="AF31" s="110">
        <v>9</v>
      </c>
      <c r="AG31" s="110">
        <v>6</v>
      </c>
      <c r="AH31" s="110"/>
      <c r="AI31" s="110"/>
      <c r="AJ31" s="110"/>
      <c r="AK31" s="115"/>
      <c r="AL31" s="1" t="s">
        <v>3</v>
      </c>
    </row>
    <row r="32" spans="2:38" s="1" customFormat="1" ht="15" customHeight="1" outlineLevel="1">
      <c r="B32" s="226" t="s">
        <v>28</v>
      </c>
      <c r="C32" s="272" t="s">
        <v>5</v>
      </c>
      <c r="D32" s="273"/>
      <c r="E32" s="106">
        <f t="shared" si="8"/>
        <v>446</v>
      </c>
      <c r="F32" s="106" t="s">
        <v>6</v>
      </c>
      <c r="G32" s="163" t="s">
        <v>7</v>
      </c>
      <c r="H32" s="159">
        <v>21</v>
      </c>
      <c r="I32" s="103"/>
      <c r="J32" s="103"/>
      <c r="K32" s="103"/>
      <c r="L32" s="103"/>
      <c r="M32" s="103"/>
      <c r="N32" s="103">
        <v>29</v>
      </c>
      <c r="O32" s="103">
        <v>33</v>
      </c>
      <c r="P32" s="103"/>
      <c r="Q32" s="103"/>
      <c r="R32" s="103">
        <v>31</v>
      </c>
      <c r="S32" s="103">
        <v>28</v>
      </c>
      <c r="T32" s="103">
        <v>26</v>
      </c>
      <c r="U32" s="103">
        <v>24</v>
      </c>
      <c r="V32" s="103">
        <v>27</v>
      </c>
      <c r="W32" s="103"/>
      <c r="X32" s="103"/>
      <c r="Y32" s="103">
        <v>21</v>
      </c>
      <c r="Z32" s="103">
        <v>11</v>
      </c>
      <c r="AA32" s="103">
        <v>30</v>
      </c>
      <c r="AB32" s="103">
        <v>26</v>
      </c>
      <c r="AC32" s="103">
        <v>23</v>
      </c>
      <c r="AD32" s="103"/>
      <c r="AE32" s="103"/>
      <c r="AF32" s="103">
        <v>33</v>
      </c>
      <c r="AG32" s="103">
        <v>28</v>
      </c>
      <c r="AH32" s="103">
        <v>11</v>
      </c>
      <c r="AI32" s="103">
        <v>14</v>
      </c>
      <c r="AJ32" s="103">
        <v>30</v>
      </c>
      <c r="AK32" s="104"/>
      <c r="AL32" s="1" t="s">
        <v>3</v>
      </c>
    </row>
    <row r="33" spans="2:38" s="1" customFormat="1" ht="15" customHeight="1" outlineLevel="1">
      <c r="B33" s="208"/>
      <c r="C33" s="233" t="s">
        <v>29</v>
      </c>
      <c r="D33" s="234"/>
      <c r="E33" s="94">
        <f t="shared" si="8"/>
        <v>520</v>
      </c>
      <c r="F33" s="94" t="s">
        <v>6</v>
      </c>
      <c r="G33" s="157" t="s">
        <v>7</v>
      </c>
      <c r="H33" s="160">
        <f t="shared" ref="H33:I33" si="9">SUM(H39:H44)</f>
        <v>34</v>
      </c>
      <c r="I33" s="96">
        <f t="shared" si="9"/>
        <v>0</v>
      </c>
      <c r="J33" s="96">
        <f>SUM(J39:J44)</f>
        <v>0</v>
      </c>
      <c r="K33" s="96">
        <f t="shared" ref="K33:AK33" si="10">SUM(K39:K44)</f>
        <v>0</v>
      </c>
      <c r="L33" s="96">
        <f t="shared" si="10"/>
        <v>0</v>
      </c>
      <c r="M33" s="96">
        <f t="shared" si="10"/>
        <v>0</v>
      </c>
      <c r="N33" s="96">
        <f t="shared" si="10"/>
        <v>26</v>
      </c>
      <c r="O33" s="96">
        <f t="shared" si="10"/>
        <v>27</v>
      </c>
      <c r="P33" s="96">
        <f t="shared" si="10"/>
        <v>0</v>
      </c>
      <c r="Q33" s="96">
        <f t="shared" si="10"/>
        <v>0</v>
      </c>
      <c r="R33" s="96">
        <f t="shared" si="10"/>
        <v>34</v>
      </c>
      <c r="S33" s="96">
        <f t="shared" si="10"/>
        <v>28</v>
      </c>
      <c r="T33" s="96">
        <f t="shared" si="10"/>
        <v>34</v>
      </c>
      <c r="U33" s="96">
        <f t="shared" si="10"/>
        <v>25</v>
      </c>
      <c r="V33" s="96">
        <f t="shared" si="10"/>
        <v>33</v>
      </c>
      <c r="W33" s="96">
        <f t="shared" si="10"/>
        <v>0</v>
      </c>
      <c r="X33" s="96">
        <f t="shared" si="10"/>
        <v>0</v>
      </c>
      <c r="Y33" s="96">
        <f t="shared" si="10"/>
        <v>27</v>
      </c>
      <c r="Z33" s="96">
        <f t="shared" si="10"/>
        <v>29</v>
      </c>
      <c r="AA33" s="96">
        <f t="shared" si="10"/>
        <v>38</v>
      </c>
      <c r="AB33" s="96">
        <f t="shared" si="10"/>
        <v>29</v>
      </c>
      <c r="AC33" s="96">
        <f t="shared" si="10"/>
        <v>31</v>
      </c>
      <c r="AD33" s="96">
        <f t="shared" si="10"/>
        <v>0</v>
      </c>
      <c r="AE33" s="96">
        <f t="shared" si="10"/>
        <v>0</v>
      </c>
      <c r="AF33" s="96">
        <f t="shared" si="10"/>
        <v>14</v>
      </c>
      <c r="AG33" s="96">
        <f t="shared" si="10"/>
        <v>26</v>
      </c>
      <c r="AH33" s="96">
        <f t="shared" si="10"/>
        <v>33</v>
      </c>
      <c r="AI33" s="96">
        <f t="shared" si="10"/>
        <v>34</v>
      </c>
      <c r="AJ33" s="96">
        <f t="shared" si="10"/>
        <v>18</v>
      </c>
      <c r="AK33" s="97">
        <f t="shared" si="10"/>
        <v>0</v>
      </c>
      <c r="AL33" s="1" t="s">
        <v>3</v>
      </c>
    </row>
    <row r="34" spans="2:38" s="1" customFormat="1" ht="15" customHeight="1" outlineLevel="1">
      <c r="B34" s="208"/>
      <c r="C34" s="237" t="s">
        <v>43</v>
      </c>
      <c r="D34" s="238"/>
      <c r="E34" s="117">
        <f>AK34</f>
        <v>1168</v>
      </c>
      <c r="F34" s="117" t="s">
        <v>6</v>
      </c>
      <c r="G34" s="158" t="s">
        <v>7</v>
      </c>
      <c r="H34" s="166">
        <f>'0401(実績)'!AK31+'0501(実績)'!H33</f>
        <v>682</v>
      </c>
      <c r="I34" s="119">
        <f t="shared" ref="I34:AK34" si="11">H34+I33</f>
        <v>682</v>
      </c>
      <c r="J34" s="119">
        <f t="shared" si="11"/>
        <v>682</v>
      </c>
      <c r="K34" s="119">
        <f t="shared" si="11"/>
        <v>682</v>
      </c>
      <c r="L34" s="119">
        <f t="shared" si="11"/>
        <v>682</v>
      </c>
      <c r="M34" s="119">
        <f t="shared" si="11"/>
        <v>682</v>
      </c>
      <c r="N34" s="119">
        <f t="shared" si="11"/>
        <v>708</v>
      </c>
      <c r="O34" s="119">
        <f t="shared" si="11"/>
        <v>735</v>
      </c>
      <c r="P34" s="119">
        <f t="shared" si="11"/>
        <v>735</v>
      </c>
      <c r="Q34" s="119">
        <f t="shared" si="11"/>
        <v>735</v>
      </c>
      <c r="R34" s="119">
        <f t="shared" si="11"/>
        <v>769</v>
      </c>
      <c r="S34" s="119">
        <f t="shared" si="11"/>
        <v>797</v>
      </c>
      <c r="T34" s="119">
        <f t="shared" si="11"/>
        <v>831</v>
      </c>
      <c r="U34" s="119">
        <f t="shared" si="11"/>
        <v>856</v>
      </c>
      <c r="V34" s="119">
        <f t="shared" si="11"/>
        <v>889</v>
      </c>
      <c r="W34" s="119">
        <f t="shared" si="11"/>
        <v>889</v>
      </c>
      <c r="X34" s="119">
        <f t="shared" si="11"/>
        <v>889</v>
      </c>
      <c r="Y34" s="119">
        <f t="shared" si="11"/>
        <v>916</v>
      </c>
      <c r="Z34" s="119">
        <f t="shared" si="11"/>
        <v>945</v>
      </c>
      <c r="AA34" s="119">
        <f t="shared" si="11"/>
        <v>983</v>
      </c>
      <c r="AB34" s="119">
        <f t="shared" si="11"/>
        <v>1012</v>
      </c>
      <c r="AC34" s="119">
        <f t="shared" si="11"/>
        <v>1043</v>
      </c>
      <c r="AD34" s="119">
        <f t="shared" si="11"/>
        <v>1043</v>
      </c>
      <c r="AE34" s="119">
        <f t="shared" si="11"/>
        <v>1043</v>
      </c>
      <c r="AF34" s="119">
        <f t="shared" si="11"/>
        <v>1057</v>
      </c>
      <c r="AG34" s="119">
        <f t="shared" si="11"/>
        <v>1083</v>
      </c>
      <c r="AH34" s="119">
        <f t="shared" si="11"/>
        <v>1116</v>
      </c>
      <c r="AI34" s="119">
        <f t="shared" si="11"/>
        <v>1150</v>
      </c>
      <c r="AJ34" s="119">
        <f t="shared" si="11"/>
        <v>1168</v>
      </c>
      <c r="AK34" s="198">
        <f t="shared" si="11"/>
        <v>1168</v>
      </c>
      <c r="AL34" s="1" t="s">
        <v>3</v>
      </c>
    </row>
    <row r="35" spans="2:38" s="1" customFormat="1" ht="15" customHeight="1" outlineLevel="1">
      <c r="B35" s="208"/>
      <c r="C35" s="233" t="s">
        <v>30</v>
      </c>
      <c r="D35" s="234"/>
      <c r="E35" s="94">
        <f>SUM(H35:AK35)</f>
        <v>470</v>
      </c>
      <c r="F35" s="94" t="s">
        <v>6</v>
      </c>
      <c r="G35" s="157" t="s">
        <v>7</v>
      </c>
      <c r="H35" s="160">
        <f t="shared" ref="H35:AK35" si="12">SUM(H45:H48)</f>
        <v>17</v>
      </c>
      <c r="I35" s="96">
        <f t="shared" si="12"/>
        <v>0</v>
      </c>
      <c r="J35" s="96">
        <f t="shared" si="12"/>
        <v>0</v>
      </c>
      <c r="K35" s="96">
        <f t="shared" si="12"/>
        <v>0</v>
      </c>
      <c r="L35" s="96">
        <f t="shared" si="12"/>
        <v>0</v>
      </c>
      <c r="M35" s="96">
        <f t="shared" si="12"/>
        <v>0</v>
      </c>
      <c r="N35" s="96">
        <f t="shared" si="12"/>
        <v>14</v>
      </c>
      <c r="O35" s="96">
        <f t="shared" si="12"/>
        <v>31</v>
      </c>
      <c r="P35" s="96">
        <f t="shared" si="12"/>
        <v>0</v>
      </c>
      <c r="Q35" s="96">
        <f t="shared" si="12"/>
        <v>0</v>
      </c>
      <c r="R35" s="96">
        <f t="shared" si="12"/>
        <v>25</v>
      </c>
      <c r="S35" s="96">
        <f t="shared" si="12"/>
        <v>16</v>
      </c>
      <c r="T35" s="96">
        <f t="shared" si="12"/>
        <v>26</v>
      </c>
      <c r="U35" s="96">
        <f t="shared" si="12"/>
        <v>43</v>
      </c>
      <c r="V35" s="96">
        <f t="shared" si="12"/>
        <v>26</v>
      </c>
      <c r="W35" s="96">
        <f t="shared" si="12"/>
        <v>0</v>
      </c>
      <c r="X35" s="96">
        <f t="shared" si="12"/>
        <v>0</v>
      </c>
      <c r="Y35" s="96">
        <f t="shared" si="12"/>
        <v>18</v>
      </c>
      <c r="Z35" s="96">
        <f t="shared" si="12"/>
        <v>14</v>
      </c>
      <c r="AA35" s="96">
        <f t="shared" si="12"/>
        <v>23</v>
      </c>
      <c r="AB35" s="96">
        <f t="shared" si="12"/>
        <v>30</v>
      </c>
      <c r="AC35" s="96">
        <f t="shared" si="12"/>
        <v>39</v>
      </c>
      <c r="AD35" s="96">
        <f t="shared" si="12"/>
        <v>0</v>
      </c>
      <c r="AE35" s="96">
        <f t="shared" si="12"/>
        <v>0</v>
      </c>
      <c r="AF35" s="96">
        <f t="shared" si="12"/>
        <v>18</v>
      </c>
      <c r="AG35" s="96">
        <f t="shared" si="12"/>
        <v>41</v>
      </c>
      <c r="AH35" s="96">
        <f t="shared" si="12"/>
        <v>37</v>
      </c>
      <c r="AI35" s="96">
        <f t="shared" si="12"/>
        <v>42</v>
      </c>
      <c r="AJ35" s="96">
        <f t="shared" si="12"/>
        <v>10</v>
      </c>
      <c r="AK35" s="97">
        <f t="shared" si="12"/>
        <v>0</v>
      </c>
      <c r="AL35" s="1" t="s">
        <v>3</v>
      </c>
    </row>
    <row r="36" spans="2:38" s="1" customFormat="1" ht="15" customHeight="1" outlineLevel="1">
      <c r="B36" s="208"/>
      <c r="C36" s="239" t="s">
        <v>13</v>
      </c>
      <c r="D36" s="240"/>
      <c r="E36" s="117">
        <f>AK36</f>
        <v>980</v>
      </c>
      <c r="F36" s="117" t="s">
        <v>6</v>
      </c>
      <c r="G36" s="158" t="s">
        <v>7</v>
      </c>
      <c r="H36" s="166">
        <f>'0401(実績)'!AK33+'0501(実績)'!H35</f>
        <v>527</v>
      </c>
      <c r="I36" s="119">
        <f>H36+I35</f>
        <v>527</v>
      </c>
      <c r="J36" s="119">
        <f>I36+J35</f>
        <v>527</v>
      </c>
      <c r="K36" s="119">
        <f t="shared" ref="K36:AK36" si="13">J36+K35</f>
        <v>527</v>
      </c>
      <c r="L36" s="119">
        <f t="shared" si="13"/>
        <v>527</v>
      </c>
      <c r="M36" s="119">
        <f t="shared" si="13"/>
        <v>527</v>
      </c>
      <c r="N36" s="119">
        <f t="shared" si="13"/>
        <v>541</v>
      </c>
      <c r="O36" s="119">
        <f t="shared" si="13"/>
        <v>572</v>
      </c>
      <c r="P36" s="119">
        <f t="shared" si="13"/>
        <v>572</v>
      </c>
      <c r="Q36" s="119">
        <f t="shared" si="13"/>
        <v>572</v>
      </c>
      <c r="R36" s="119">
        <f t="shared" si="13"/>
        <v>597</v>
      </c>
      <c r="S36" s="119">
        <f t="shared" si="13"/>
        <v>613</v>
      </c>
      <c r="T36" s="119">
        <f t="shared" si="13"/>
        <v>639</v>
      </c>
      <c r="U36" s="119">
        <f t="shared" si="13"/>
        <v>682</v>
      </c>
      <c r="V36" s="119">
        <f t="shared" si="13"/>
        <v>708</v>
      </c>
      <c r="W36" s="119">
        <f t="shared" si="13"/>
        <v>708</v>
      </c>
      <c r="X36" s="119">
        <f t="shared" si="13"/>
        <v>708</v>
      </c>
      <c r="Y36" s="119">
        <f t="shared" si="13"/>
        <v>726</v>
      </c>
      <c r="Z36" s="119">
        <f t="shared" si="13"/>
        <v>740</v>
      </c>
      <c r="AA36" s="119">
        <f t="shared" si="13"/>
        <v>763</v>
      </c>
      <c r="AB36" s="119">
        <f t="shared" si="13"/>
        <v>793</v>
      </c>
      <c r="AC36" s="119">
        <f t="shared" si="13"/>
        <v>832</v>
      </c>
      <c r="AD36" s="119">
        <f t="shared" si="13"/>
        <v>832</v>
      </c>
      <c r="AE36" s="119">
        <f t="shared" si="13"/>
        <v>832</v>
      </c>
      <c r="AF36" s="119">
        <f t="shared" si="13"/>
        <v>850</v>
      </c>
      <c r="AG36" s="119">
        <f t="shared" si="13"/>
        <v>891</v>
      </c>
      <c r="AH36" s="119">
        <f t="shared" si="13"/>
        <v>928</v>
      </c>
      <c r="AI36" s="119">
        <f t="shared" si="13"/>
        <v>970</v>
      </c>
      <c r="AJ36" s="119">
        <f t="shared" si="13"/>
        <v>980</v>
      </c>
      <c r="AK36" s="120">
        <f t="shared" si="13"/>
        <v>980</v>
      </c>
      <c r="AL36" s="1" t="s">
        <v>3</v>
      </c>
    </row>
    <row r="37" spans="2:38" s="1" customFormat="1" ht="13.5" outlineLevel="1">
      <c r="B37" s="208"/>
      <c r="C37" s="233" t="s">
        <v>14</v>
      </c>
      <c r="D37" s="234"/>
      <c r="E37" s="94">
        <f>E32-E33</f>
        <v>-74</v>
      </c>
      <c r="F37" s="94" t="s">
        <v>6</v>
      </c>
      <c r="G37" s="157" t="s">
        <v>7</v>
      </c>
      <c r="H37" s="160">
        <f>'0401(実績)'!AK34+'0501(実績)'!H32-H33</f>
        <v>142</v>
      </c>
      <c r="I37" s="96">
        <f>H37+I32-I33</f>
        <v>142</v>
      </c>
      <c r="J37" s="96">
        <f>I37+J32-J33</f>
        <v>142</v>
      </c>
      <c r="K37" s="96">
        <f t="shared" ref="K37:AK37" si="14">J37+K32-K33</f>
        <v>142</v>
      </c>
      <c r="L37" s="96">
        <f t="shared" si="14"/>
        <v>142</v>
      </c>
      <c r="M37" s="96">
        <f t="shared" si="14"/>
        <v>142</v>
      </c>
      <c r="N37" s="96">
        <f t="shared" si="14"/>
        <v>145</v>
      </c>
      <c r="O37" s="96">
        <f t="shared" si="14"/>
        <v>151</v>
      </c>
      <c r="P37" s="96">
        <f t="shared" si="14"/>
        <v>151</v>
      </c>
      <c r="Q37" s="96">
        <f t="shared" si="14"/>
        <v>151</v>
      </c>
      <c r="R37" s="96">
        <f t="shared" si="14"/>
        <v>148</v>
      </c>
      <c r="S37" s="96">
        <f t="shared" si="14"/>
        <v>148</v>
      </c>
      <c r="T37" s="96">
        <f t="shared" si="14"/>
        <v>140</v>
      </c>
      <c r="U37" s="96">
        <f t="shared" si="14"/>
        <v>139</v>
      </c>
      <c r="V37" s="96">
        <f t="shared" si="14"/>
        <v>133</v>
      </c>
      <c r="W37" s="96">
        <f t="shared" si="14"/>
        <v>133</v>
      </c>
      <c r="X37" s="96">
        <f t="shared" si="14"/>
        <v>133</v>
      </c>
      <c r="Y37" s="96">
        <f t="shared" si="14"/>
        <v>127</v>
      </c>
      <c r="Z37" s="96">
        <f t="shared" si="14"/>
        <v>109</v>
      </c>
      <c r="AA37" s="96">
        <f t="shared" si="14"/>
        <v>101</v>
      </c>
      <c r="AB37" s="96">
        <f t="shared" si="14"/>
        <v>98</v>
      </c>
      <c r="AC37" s="96">
        <f>AB37+AC32-AC33</f>
        <v>90</v>
      </c>
      <c r="AD37" s="96">
        <f>AC37+AD32-AD33</f>
        <v>90</v>
      </c>
      <c r="AE37" s="96">
        <f>AD37+AE32-AE33</f>
        <v>90</v>
      </c>
      <c r="AF37" s="96">
        <f>AE37+AF32-AF33</f>
        <v>109</v>
      </c>
      <c r="AG37" s="96">
        <f>AF37+AG32-AG33</f>
        <v>111</v>
      </c>
      <c r="AH37" s="96">
        <f t="shared" si="14"/>
        <v>89</v>
      </c>
      <c r="AI37" s="96">
        <f t="shared" si="14"/>
        <v>69</v>
      </c>
      <c r="AJ37" s="96">
        <f t="shared" si="14"/>
        <v>81</v>
      </c>
      <c r="AK37" s="97">
        <f t="shared" si="14"/>
        <v>81</v>
      </c>
      <c r="AL37" s="1" t="s">
        <v>3</v>
      </c>
    </row>
    <row r="38" spans="2:38" s="1" customFormat="1" ht="14" outlineLevel="1" thickBot="1">
      <c r="B38" s="208"/>
      <c r="C38" s="233" t="s">
        <v>15</v>
      </c>
      <c r="D38" s="234"/>
      <c r="E38" s="98">
        <f>E32-E35</f>
        <v>-24</v>
      </c>
      <c r="F38" s="98" t="s">
        <v>6</v>
      </c>
      <c r="G38" s="157" t="s">
        <v>7</v>
      </c>
      <c r="H38" s="161">
        <f>'0401(実績)'!AK35+'0501(実績)'!H32-'0501(実績)'!H35</f>
        <v>297</v>
      </c>
      <c r="I38" s="110">
        <f t="shared" ref="I38:AK38" si="15">H38+I32-I35</f>
        <v>297</v>
      </c>
      <c r="J38" s="110">
        <f t="shared" si="15"/>
        <v>297</v>
      </c>
      <c r="K38" s="110">
        <f t="shared" si="15"/>
        <v>297</v>
      </c>
      <c r="L38" s="110">
        <f t="shared" si="15"/>
        <v>297</v>
      </c>
      <c r="M38" s="110">
        <f t="shared" si="15"/>
        <v>297</v>
      </c>
      <c r="N38" s="110">
        <f t="shared" si="15"/>
        <v>312</v>
      </c>
      <c r="O38" s="110">
        <f t="shared" si="15"/>
        <v>314</v>
      </c>
      <c r="P38" s="110">
        <f t="shared" si="15"/>
        <v>314</v>
      </c>
      <c r="Q38" s="110">
        <f t="shared" si="15"/>
        <v>314</v>
      </c>
      <c r="R38" s="110">
        <f t="shared" si="15"/>
        <v>320</v>
      </c>
      <c r="S38" s="110">
        <f t="shared" si="15"/>
        <v>332</v>
      </c>
      <c r="T38" s="110">
        <f t="shared" si="15"/>
        <v>332</v>
      </c>
      <c r="U38" s="110">
        <f t="shared" si="15"/>
        <v>313</v>
      </c>
      <c r="V38" s="110">
        <f t="shared" si="15"/>
        <v>314</v>
      </c>
      <c r="W38" s="110">
        <f t="shared" si="15"/>
        <v>314</v>
      </c>
      <c r="X38" s="110">
        <f t="shared" si="15"/>
        <v>314</v>
      </c>
      <c r="Y38" s="110">
        <f t="shared" si="15"/>
        <v>317</v>
      </c>
      <c r="Z38" s="110">
        <f t="shared" si="15"/>
        <v>314</v>
      </c>
      <c r="AA38" s="110">
        <f t="shared" si="15"/>
        <v>321</v>
      </c>
      <c r="AB38" s="110">
        <f t="shared" si="15"/>
        <v>317</v>
      </c>
      <c r="AC38" s="110">
        <f t="shared" si="15"/>
        <v>301</v>
      </c>
      <c r="AD38" s="110">
        <f t="shared" si="15"/>
        <v>301</v>
      </c>
      <c r="AE38" s="110">
        <f t="shared" si="15"/>
        <v>301</v>
      </c>
      <c r="AF38" s="110">
        <f t="shared" si="15"/>
        <v>316</v>
      </c>
      <c r="AG38" s="110">
        <f t="shared" si="15"/>
        <v>303</v>
      </c>
      <c r="AH38" s="110">
        <f t="shared" si="15"/>
        <v>277</v>
      </c>
      <c r="AI38" s="110">
        <f t="shared" si="15"/>
        <v>249</v>
      </c>
      <c r="AJ38" s="110">
        <f t="shared" si="15"/>
        <v>269</v>
      </c>
      <c r="AK38" s="199">
        <f t="shared" si="15"/>
        <v>269</v>
      </c>
      <c r="AL38" s="1" t="s">
        <v>3</v>
      </c>
    </row>
    <row r="39" spans="2:38" s="1" customFormat="1" ht="13.5" outlineLevel="1">
      <c r="B39" s="208"/>
      <c r="C39" s="210" t="s">
        <v>16</v>
      </c>
      <c r="D39" s="28" t="s">
        <v>44</v>
      </c>
      <c r="E39" s="101">
        <f>SUM(H39:AK39)*F39</f>
        <v>615</v>
      </c>
      <c r="F39" s="102">
        <v>15</v>
      </c>
      <c r="G39" s="162" t="s">
        <v>7</v>
      </c>
      <c r="H39" s="159">
        <v>6</v>
      </c>
      <c r="I39" s="103"/>
      <c r="J39" s="103"/>
      <c r="K39" s="103"/>
      <c r="L39" s="103"/>
      <c r="M39" s="103"/>
      <c r="N39" s="103"/>
      <c r="O39" s="103">
        <v>6</v>
      </c>
      <c r="P39" s="103"/>
      <c r="Q39" s="103"/>
      <c r="R39" s="103"/>
      <c r="S39" s="103"/>
      <c r="T39" s="103"/>
      <c r="U39" s="103">
        <v>8</v>
      </c>
      <c r="V39" s="103"/>
      <c r="W39" s="103"/>
      <c r="X39" s="103"/>
      <c r="Y39" s="103"/>
      <c r="Z39" s="103"/>
      <c r="AA39" s="103"/>
      <c r="AB39" s="103">
        <v>6</v>
      </c>
      <c r="AC39" s="103"/>
      <c r="AD39" s="103"/>
      <c r="AE39" s="103"/>
      <c r="AF39" s="103"/>
      <c r="AG39" s="103"/>
      <c r="AH39" s="103"/>
      <c r="AI39" s="103">
        <v>7</v>
      </c>
      <c r="AJ39" s="103">
        <v>8</v>
      </c>
      <c r="AK39" s="104"/>
      <c r="AL39" s="1" t="s">
        <v>3</v>
      </c>
    </row>
    <row r="40" spans="2:38" s="1" customFormat="1" ht="13.5" outlineLevel="1">
      <c r="B40" s="208"/>
      <c r="C40" s="211"/>
      <c r="D40" s="126" t="s">
        <v>46</v>
      </c>
      <c r="E40" s="108">
        <f>SUM(H40:AK40)*F40</f>
        <v>1095</v>
      </c>
      <c r="F40" s="94">
        <v>15</v>
      </c>
      <c r="G40" s="157" t="s">
        <v>7</v>
      </c>
      <c r="H40" s="160">
        <v>10</v>
      </c>
      <c r="I40" s="96"/>
      <c r="J40" s="96"/>
      <c r="K40" s="96"/>
      <c r="L40" s="96"/>
      <c r="M40" s="96"/>
      <c r="N40" s="96"/>
      <c r="O40" s="96"/>
      <c r="P40" s="96"/>
      <c r="Q40" s="96"/>
      <c r="R40" s="96"/>
      <c r="S40" s="96">
        <v>4</v>
      </c>
      <c r="T40" s="96">
        <v>16</v>
      </c>
      <c r="U40" s="96"/>
      <c r="V40" s="96">
        <v>12</v>
      </c>
      <c r="W40" s="96"/>
      <c r="X40" s="96"/>
      <c r="Y40" s="96"/>
      <c r="Z40" s="96"/>
      <c r="AA40" s="96">
        <v>12</v>
      </c>
      <c r="AB40" s="96">
        <v>8</v>
      </c>
      <c r="AC40" s="96"/>
      <c r="AD40" s="96"/>
      <c r="AE40" s="96"/>
      <c r="AF40" s="96"/>
      <c r="AG40" s="96"/>
      <c r="AH40" s="96"/>
      <c r="AI40" s="96">
        <v>11</v>
      </c>
      <c r="AJ40" s="96"/>
      <c r="AK40" s="97"/>
      <c r="AL40" s="1" t="s">
        <v>3</v>
      </c>
    </row>
    <row r="41" spans="2:38" s="1" customFormat="1" ht="13.5" outlineLevel="1">
      <c r="B41" s="208"/>
      <c r="C41" s="211"/>
      <c r="D41" s="126" t="s">
        <v>48</v>
      </c>
      <c r="E41" s="108">
        <f>SUM(H41:AK41)*F41</f>
        <v>540</v>
      </c>
      <c r="F41" s="94">
        <v>15</v>
      </c>
      <c r="G41" s="157" t="s">
        <v>7</v>
      </c>
      <c r="H41" s="160"/>
      <c r="I41" s="96"/>
      <c r="J41" s="96"/>
      <c r="K41" s="96"/>
      <c r="L41" s="96"/>
      <c r="M41" s="96"/>
      <c r="N41" s="96">
        <v>5</v>
      </c>
      <c r="O41" s="96"/>
      <c r="P41" s="96"/>
      <c r="Q41" s="96"/>
      <c r="R41" s="96">
        <v>7</v>
      </c>
      <c r="S41" s="96">
        <v>2</v>
      </c>
      <c r="T41" s="96"/>
      <c r="U41" s="96">
        <v>4</v>
      </c>
      <c r="V41" s="96"/>
      <c r="W41" s="96"/>
      <c r="X41" s="96"/>
      <c r="Y41" s="96">
        <v>7</v>
      </c>
      <c r="Z41" s="96">
        <v>6</v>
      </c>
      <c r="AA41" s="96"/>
      <c r="AB41" s="96"/>
      <c r="AC41" s="96"/>
      <c r="AD41" s="96"/>
      <c r="AE41" s="96"/>
      <c r="AF41" s="96"/>
      <c r="AG41" s="96">
        <v>5</v>
      </c>
      <c r="AH41" s="96"/>
      <c r="AI41" s="96"/>
      <c r="AJ41" s="96"/>
      <c r="AK41" s="97"/>
      <c r="AL41" s="1" t="s">
        <v>3</v>
      </c>
    </row>
    <row r="42" spans="2:38" s="1" customFormat="1" ht="13.5" outlineLevel="1">
      <c r="B42" s="208"/>
      <c r="C42" s="211"/>
      <c r="D42" s="126" t="s">
        <v>49</v>
      </c>
      <c r="E42" s="108">
        <f>SUM(H42:AK42)*F42</f>
        <v>960</v>
      </c>
      <c r="F42" s="94">
        <v>15</v>
      </c>
      <c r="G42" s="157" t="s">
        <v>7</v>
      </c>
      <c r="H42" s="160"/>
      <c r="I42" s="96"/>
      <c r="J42" s="96"/>
      <c r="K42" s="96"/>
      <c r="L42" s="96"/>
      <c r="M42" s="96"/>
      <c r="N42" s="96"/>
      <c r="O42" s="96"/>
      <c r="P42" s="96"/>
      <c r="Q42" s="96"/>
      <c r="R42" s="96">
        <v>5</v>
      </c>
      <c r="S42" s="96">
        <v>5</v>
      </c>
      <c r="T42" s="96"/>
      <c r="U42" s="96"/>
      <c r="V42" s="96">
        <v>9</v>
      </c>
      <c r="W42" s="96"/>
      <c r="X42" s="96"/>
      <c r="Y42" s="96"/>
      <c r="Z42" s="96">
        <v>9</v>
      </c>
      <c r="AA42" s="96">
        <v>9</v>
      </c>
      <c r="AB42" s="96"/>
      <c r="AC42" s="96">
        <v>15</v>
      </c>
      <c r="AD42" s="96"/>
      <c r="AE42" s="96"/>
      <c r="AF42" s="96"/>
      <c r="AG42" s="96"/>
      <c r="AH42" s="96">
        <v>12</v>
      </c>
      <c r="AI42" s="96"/>
      <c r="AJ42" s="96"/>
      <c r="AK42" s="97"/>
      <c r="AL42" s="1" t="s">
        <v>3</v>
      </c>
    </row>
    <row r="43" spans="2:38" s="1" customFormat="1" ht="13.5" outlineLevel="1">
      <c r="B43" s="208"/>
      <c r="C43" s="211"/>
      <c r="D43" s="29" t="s">
        <v>31</v>
      </c>
      <c r="E43" s="108">
        <f>SUM(H43:AK43)*F43</f>
        <v>4590</v>
      </c>
      <c r="F43" s="94">
        <v>15</v>
      </c>
      <c r="G43" s="157" t="s">
        <v>7</v>
      </c>
      <c r="H43" s="167">
        <v>18</v>
      </c>
      <c r="I43" s="99"/>
      <c r="J43" s="99"/>
      <c r="K43" s="99"/>
      <c r="L43" s="99"/>
      <c r="M43" s="99"/>
      <c r="N43" s="99">
        <v>21</v>
      </c>
      <c r="O43" s="99">
        <v>21</v>
      </c>
      <c r="P43" s="99"/>
      <c r="Q43" s="99"/>
      <c r="R43" s="99">
        <v>22</v>
      </c>
      <c r="S43" s="99">
        <v>17</v>
      </c>
      <c r="T43" s="99">
        <v>18</v>
      </c>
      <c r="U43" s="99">
        <v>13</v>
      </c>
      <c r="V43" s="99">
        <v>12</v>
      </c>
      <c r="W43" s="99"/>
      <c r="X43" s="99"/>
      <c r="Y43" s="99">
        <v>20</v>
      </c>
      <c r="Z43" s="99">
        <v>14</v>
      </c>
      <c r="AA43" s="99">
        <v>17</v>
      </c>
      <c r="AB43" s="99">
        <v>15</v>
      </c>
      <c r="AC43" s="99">
        <v>16</v>
      </c>
      <c r="AD43" s="99"/>
      <c r="AE43" s="99"/>
      <c r="AF43" s="99">
        <v>14</v>
      </c>
      <c r="AG43" s="99">
        <v>21</v>
      </c>
      <c r="AH43" s="99">
        <v>21</v>
      </c>
      <c r="AI43" s="99">
        <v>16</v>
      </c>
      <c r="AJ43" s="99">
        <v>10</v>
      </c>
      <c r="AK43" s="100"/>
      <c r="AL43" s="1" t="s">
        <v>3</v>
      </c>
    </row>
    <row r="44" spans="2:38" s="1" customFormat="1" ht="14" outlineLevel="1" thickBot="1">
      <c r="B44" s="208"/>
      <c r="C44" s="211"/>
      <c r="D44" s="29"/>
      <c r="E44" s="109"/>
      <c r="F44" s="114"/>
      <c r="G44" s="164" t="s">
        <v>7</v>
      </c>
      <c r="H44" s="195"/>
      <c r="I44" s="196"/>
      <c r="J44" s="196"/>
      <c r="K44" s="196"/>
      <c r="L44" s="196"/>
      <c r="M44" s="196"/>
      <c r="N44" s="196"/>
      <c r="O44" s="196"/>
      <c r="P44" s="196"/>
      <c r="Q44" s="196"/>
      <c r="R44" s="196"/>
      <c r="S44" s="196"/>
      <c r="T44" s="196"/>
      <c r="U44" s="196"/>
      <c r="V44" s="196"/>
      <c r="W44" s="196"/>
      <c r="X44" s="196"/>
      <c r="Y44" s="196"/>
      <c r="Z44" s="196"/>
      <c r="AA44" s="196"/>
      <c r="AB44" s="196"/>
      <c r="AC44" s="196"/>
      <c r="AD44" s="196"/>
      <c r="AE44" s="196"/>
      <c r="AF44" s="196"/>
      <c r="AG44" s="196"/>
      <c r="AH44" s="196"/>
      <c r="AI44" s="196"/>
      <c r="AJ44" s="196"/>
      <c r="AK44" s="197"/>
      <c r="AL44" s="1" t="s">
        <v>3</v>
      </c>
    </row>
    <row r="45" spans="2:38" s="1" customFormat="1" ht="13.5" outlineLevel="1">
      <c r="B45" s="208"/>
      <c r="C45" s="210" t="s">
        <v>25</v>
      </c>
      <c r="D45" s="30" t="s">
        <v>32</v>
      </c>
      <c r="E45" s="111">
        <f>SUM(H45:AK45)*F45</f>
        <v>4030</v>
      </c>
      <c r="F45" s="102">
        <v>13</v>
      </c>
      <c r="G45" s="162" t="s">
        <v>7</v>
      </c>
      <c r="H45" s="193">
        <v>17</v>
      </c>
      <c r="I45" s="107"/>
      <c r="J45" s="107"/>
      <c r="K45" s="107"/>
      <c r="L45" s="107"/>
      <c r="M45" s="107"/>
      <c r="N45" s="107">
        <v>14</v>
      </c>
      <c r="O45" s="107">
        <v>31</v>
      </c>
      <c r="P45" s="107"/>
      <c r="Q45" s="107"/>
      <c r="R45" s="107">
        <v>20</v>
      </c>
      <c r="S45" s="107">
        <v>7</v>
      </c>
      <c r="T45" s="107">
        <v>7</v>
      </c>
      <c r="U45" s="107">
        <v>35</v>
      </c>
      <c r="V45" s="107">
        <v>23</v>
      </c>
      <c r="W45" s="107"/>
      <c r="X45" s="107"/>
      <c r="Y45" s="107">
        <v>4</v>
      </c>
      <c r="Z45" s="107">
        <v>6</v>
      </c>
      <c r="AA45" s="107">
        <v>17</v>
      </c>
      <c r="AB45" s="107">
        <v>22</v>
      </c>
      <c r="AC45" s="107">
        <v>19</v>
      </c>
      <c r="AD45" s="107"/>
      <c r="AE45" s="107"/>
      <c r="AF45" s="107">
        <v>8</v>
      </c>
      <c r="AG45" s="107">
        <v>26</v>
      </c>
      <c r="AH45" s="107">
        <v>26</v>
      </c>
      <c r="AI45" s="107">
        <v>24</v>
      </c>
      <c r="AJ45" s="107">
        <v>4</v>
      </c>
      <c r="AK45" s="194"/>
      <c r="AL45" s="1" t="s">
        <v>3</v>
      </c>
    </row>
    <row r="46" spans="2:38" s="1" customFormat="1" ht="13.5" outlineLevel="1">
      <c r="B46" s="208"/>
      <c r="C46" s="211"/>
      <c r="D46" s="31" t="s">
        <v>33</v>
      </c>
      <c r="E46" s="112">
        <f>SUM(H46:AK46)*F46</f>
        <v>1370</v>
      </c>
      <c r="F46" s="94">
        <v>10</v>
      </c>
      <c r="G46" s="157" t="s">
        <v>7</v>
      </c>
      <c r="H46" s="160"/>
      <c r="I46" s="96"/>
      <c r="J46" s="96"/>
      <c r="K46" s="96"/>
      <c r="L46" s="96"/>
      <c r="M46" s="96"/>
      <c r="N46" s="96"/>
      <c r="O46" s="96"/>
      <c r="P46" s="96"/>
      <c r="Q46" s="96"/>
      <c r="R46" s="96">
        <v>5</v>
      </c>
      <c r="S46" s="96">
        <v>9</v>
      </c>
      <c r="T46" s="96">
        <v>19</v>
      </c>
      <c r="U46" s="96">
        <v>8</v>
      </c>
      <c r="V46" s="96">
        <v>3</v>
      </c>
      <c r="W46" s="96"/>
      <c r="X46" s="96"/>
      <c r="Y46" s="96">
        <v>14</v>
      </c>
      <c r="Z46" s="96">
        <v>8</v>
      </c>
      <c r="AA46" s="96">
        <v>6</v>
      </c>
      <c r="AB46" s="96">
        <v>8</v>
      </c>
      <c r="AC46" s="96">
        <v>10</v>
      </c>
      <c r="AD46" s="96"/>
      <c r="AE46" s="96"/>
      <c r="AF46" s="96"/>
      <c r="AG46" s="96">
        <v>15</v>
      </c>
      <c r="AH46" s="96">
        <v>11</v>
      </c>
      <c r="AI46" s="96">
        <v>15</v>
      </c>
      <c r="AJ46" s="96">
        <v>6</v>
      </c>
      <c r="AK46" s="97"/>
      <c r="AL46" s="1" t="s">
        <v>3</v>
      </c>
    </row>
    <row r="47" spans="2:38" s="1" customFormat="1" ht="13.5" outlineLevel="1">
      <c r="B47" s="208"/>
      <c r="C47" s="211"/>
      <c r="D47" s="31" t="s">
        <v>34</v>
      </c>
      <c r="E47" s="112">
        <f>SUM(H47:AK47)</f>
        <v>23</v>
      </c>
      <c r="F47" s="94"/>
      <c r="G47" s="157" t="s">
        <v>7</v>
      </c>
      <c r="H47" s="160"/>
      <c r="I47" s="96"/>
      <c r="J47" s="96"/>
      <c r="K47" s="96"/>
      <c r="L47" s="96"/>
      <c r="M47" s="96"/>
      <c r="N47" s="96"/>
      <c r="O47" s="96"/>
      <c r="P47" s="96"/>
      <c r="Q47" s="96"/>
      <c r="R47" s="96"/>
      <c r="S47" s="96"/>
      <c r="T47" s="96"/>
      <c r="U47" s="96"/>
      <c r="V47" s="96"/>
      <c r="W47" s="96"/>
      <c r="X47" s="96"/>
      <c r="Y47" s="96"/>
      <c r="Z47" s="96"/>
      <c r="AA47" s="96"/>
      <c r="AB47" s="96"/>
      <c r="AC47" s="96">
        <v>10</v>
      </c>
      <c r="AD47" s="96"/>
      <c r="AE47" s="96"/>
      <c r="AF47" s="96">
        <v>10</v>
      </c>
      <c r="AG47" s="96"/>
      <c r="AH47" s="96"/>
      <c r="AI47" s="96">
        <v>3</v>
      </c>
      <c r="AJ47" s="96"/>
      <c r="AK47" s="97"/>
      <c r="AL47" s="1" t="s">
        <v>3</v>
      </c>
    </row>
    <row r="48" spans="2:38" s="1" customFormat="1" ht="14" outlineLevel="1" thickBot="1">
      <c r="B48" s="209"/>
      <c r="C48" s="212"/>
      <c r="D48" s="32"/>
      <c r="E48" s="113"/>
      <c r="F48" s="114"/>
      <c r="G48" s="164" t="s">
        <v>7</v>
      </c>
      <c r="H48" s="161"/>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5"/>
      <c r="AL48" s="1" t="s">
        <v>3</v>
      </c>
    </row>
    <row r="49" spans="2:38" s="1" customFormat="1" ht="15" customHeight="1" outlineLevel="1">
      <c r="B49" s="226" t="s">
        <v>35</v>
      </c>
      <c r="C49" s="235" t="s">
        <v>5</v>
      </c>
      <c r="D49" s="236"/>
      <c r="E49" s="102">
        <f>SUM(H49:AK49)</f>
        <v>212</v>
      </c>
      <c r="F49" s="189" t="s">
        <v>10</v>
      </c>
      <c r="G49" s="187" t="s">
        <v>7</v>
      </c>
      <c r="H49" s="107">
        <v>13</v>
      </c>
      <c r="I49" s="107"/>
      <c r="J49" s="107"/>
      <c r="K49" s="107"/>
      <c r="L49" s="107"/>
      <c r="M49" s="107"/>
      <c r="N49" s="107">
        <v>6</v>
      </c>
      <c r="O49" s="107">
        <v>10</v>
      </c>
      <c r="P49" s="107"/>
      <c r="Q49" s="107"/>
      <c r="R49" s="107">
        <v>6</v>
      </c>
      <c r="S49" s="107">
        <v>7</v>
      </c>
      <c r="T49" s="107">
        <v>44</v>
      </c>
      <c r="U49" s="107">
        <v>3</v>
      </c>
      <c r="V49" s="107">
        <v>3</v>
      </c>
      <c r="W49" s="107"/>
      <c r="X49" s="107"/>
      <c r="Y49" s="107">
        <v>3</v>
      </c>
      <c r="Z49" s="107">
        <v>8</v>
      </c>
      <c r="AA49" s="107">
        <v>8</v>
      </c>
      <c r="AB49" s="107">
        <v>39</v>
      </c>
      <c r="AC49" s="107">
        <v>2</v>
      </c>
      <c r="AD49" s="107"/>
      <c r="AE49" s="107"/>
      <c r="AF49" s="107">
        <v>2</v>
      </c>
      <c r="AG49" s="107">
        <v>38</v>
      </c>
      <c r="AH49" s="107">
        <v>5</v>
      </c>
      <c r="AI49" s="107">
        <v>11</v>
      </c>
      <c r="AJ49" s="107">
        <v>4</v>
      </c>
      <c r="AK49" s="107"/>
      <c r="AL49" s="1" t="s">
        <v>3</v>
      </c>
    </row>
    <row r="50" spans="2:38" s="1" customFormat="1" ht="15" customHeight="1" outlineLevel="1">
      <c r="B50" s="208"/>
      <c r="C50" s="233" t="s">
        <v>29</v>
      </c>
      <c r="D50" s="234"/>
      <c r="E50" s="94">
        <f>SUM(H50:AK50)</f>
        <v>216</v>
      </c>
      <c r="F50" s="190" t="s">
        <v>10</v>
      </c>
      <c r="G50" s="187" t="s">
        <v>7</v>
      </c>
      <c r="H50" s="200">
        <f>SUM(H56:H61)</f>
        <v>14</v>
      </c>
      <c r="I50" s="96">
        <f>SUM(I56:I61)</f>
        <v>0</v>
      </c>
      <c r="J50" s="96">
        <f>SUM(J56:J61)</f>
        <v>0</v>
      </c>
      <c r="K50" s="96">
        <f t="shared" ref="K50:AK50" si="16">SUM(K56:K61)</f>
        <v>0</v>
      </c>
      <c r="L50" s="96">
        <f t="shared" si="16"/>
        <v>0</v>
      </c>
      <c r="M50" s="96">
        <f t="shared" si="16"/>
        <v>0</v>
      </c>
      <c r="N50" s="96">
        <f t="shared" si="16"/>
        <v>12</v>
      </c>
      <c r="O50" s="96">
        <f t="shared" si="16"/>
        <v>4</v>
      </c>
      <c r="P50" s="96">
        <f t="shared" si="16"/>
        <v>0</v>
      </c>
      <c r="Q50" s="96">
        <f t="shared" si="16"/>
        <v>0</v>
      </c>
      <c r="R50" s="96">
        <f t="shared" si="16"/>
        <v>7</v>
      </c>
      <c r="S50" s="96">
        <f t="shared" si="16"/>
        <v>16</v>
      </c>
      <c r="T50" s="96">
        <f t="shared" si="16"/>
        <v>38</v>
      </c>
      <c r="U50" s="96">
        <f t="shared" si="16"/>
        <v>15</v>
      </c>
      <c r="V50" s="96">
        <f t="shared" si="16"/>
        <v>0</v>
      </c>
      <c r="W50" s="96">
        <f t="shared" si="16"/>
        <v>0</v>
      </c>
      <c r="X50" s="96">
        <f t="shared" si="16"/>
        <v>0</v>
      </c>
      <c r="Y50" s="96">
        <f t="shared" si="16"/>
        <v>10</v>
      </c>
      <c r="Z50" s="96">
        <f t="shared" si="16"/>
        <v>0</v>
      </c>
      <c r="AA50" s="96">
        <f t="shared" si="16"/>
        <v>16</v>
      </c>
      <c r="AB50" s="96">
        <f t="shared" si="16"/>
        <v>22</v>
      </c>
      <c r="AC50" s="96">
        <f t="shared" si="16"/>
        <v>1</v>
      </c>
      <c r="AD50" s="96">
        <f t="shared" si="16"/>
        <v>0</v>
      </c>
      <c r="AE50" s="96">
        <f t="shared" si="16"/>
        <v>0</v>
      </c>
      <c r="AF50" s="96">
        <f t="shared" si="16"/>
        <v>3</v>
      </c>
      <c r="AG50" s="96">
        <f t="shared" si="16"/>
        <v>36</v>
      </c>
      <c r="AH50" s="96">
        <f t="shared" si="16"/>
        <v>6</v>
      </c>
      <c r="AI50" s="96">
        <f t="shared" si="16"/>
        <v>7</v>
      </c>
      <c r="AJ50" s="96">
        <f t="shared" si="16"/>
        <v>9</v>
      </c>
      <c r="AK50" s="201">
        <f t="shared" si="16"/>
        <v>0</v>
      </c>
      <c r="AL50" s="1" t="s">
        <v>3</v>
      </c>
    </row>
    <row r="51" spans="2:38" s="1" customFormat="1" ht="15" customHeight="1" outlineLevel="1">
      <c r="B51" s="208"/>
      <c r="C51" s="237" t="s">
        <v>43</v>
      </c>
      <c r="D51" s="238"/>
      <c r="E51" s="117">
        <f>AK51</f>
        <v>411</v>
      </c>
      <c r="F51" s="191" t="s">
        <v>6</v>
      </c>
      <c r="G51" s="188" t="s">
        <v>7</v>
      </c>
      <c r="H51" s="202">
        <f>'0401(実績)'!AK48+'0501(実績)'!H50</f>
        <v>209</v>
      </c>
      <c r="I51" s="119">
        <f>H51+I50</f>
        <v>209</v>
      </c>
      <c r="J51" s="119">
        <f t="shared" ref="J51:AK51" si="17">I51+J50</f>
        <v>209</v>
      </c>
      <c r="K51" s="119">
        <f t="shared" si="17"/>
        <v>209</v>
      </c>
      <c r="L51" s="119">
        <f t="shared" si="17"/>
        <v>209</v>
      </c>
      <c r="M51" s="119">
        <f t="shared" si="17"/>
        <v>209</v>
      </c>
      <c r="N51" s="119">
        <f t="shared" si="17"/>
        <v>221</v>
      </c>
      <c r="O51" s="119">
        <f t="shared" si="17"/>
        <v>225</v>
      </c>
      <c r="P51" s="119">
        <f t="shared" si="17"/>
        <v>225</v>
      </c>
      <c r="Q51" s="119">
        <f t="shared" si="17"/>
        <v>225</v>
      </c>
      <c r="R51" s="119">
        <f t="shared" si="17"/>
        <v>232</v>
      </c>
      <c r="S51" s="119">
        <f t="shared" si="17"/>
        <v>248</v>
      </c>
      <c r="T51" s="119">
        <f t="shared" si="17"/>
        <v>286</v>
      </c>
      <c r="U51" s="119">
        <f t="shared" si="17"/>
        <v>301</v>
      </c>
      <c r="V51" s="119">
        <f t="shared" si="17"/>
        <v>301</v>
      </c>
      <c r="W51" s="119">
        <f t="shared" si="17"/>
        <v>301</v>
      </c>
      <c r="X51" s="119">
        <f t="shared" si="17"/>
        <v>301</v>
      </c>
      <c r="Y51" s="119">
        <f t="shared" si="17"/>
        <v>311</v>
      </c>
      <c r="Z51" s="119">
        <f t="shared" si="17"/>
        <v>311</v>
      </c>
      <c r="AA51" s="119">
        <f t="shared" si="17"/>
        <v>327</v>
      </c>
      <c r="AB51" s="119">
        <f t="shared" si="17"/>
        <v>349</v>
      </c>
      <c r="AC51" s="119">
        <f t="shared" si="17"/>
        <v>350</v>
      </c>
      <c r="AD51" s="119">
        <f t="shared" si="17"/>
        <v>350</v>
      </c>
      <c r="AE51" s="119">
        <f t="shared" si="17"/>
        <v>350</v>
      </c>
      <c r="AF51" s="119">
        <f t="shared" si="17"/>
        <v>353</v>
      </c>
      <c r="AG51" s="119">
        <f t="shared" si="17"/>
        <v>389</v>
      </c>
      <c r="AH51" s="119">
        <f t="shared" si="17"/>
        <v>395</v>
      </c>
      <c r="AI51" s="119">
        <f t="shared" si="17"/>
        <v>402</v>
      </c>
      <c r="AJ51" s="119">
        <f t="shared" si="17"/>
        <v>411</v>
      </c>
      <c r="AK51" s="119">
        <f t="shared" si="17"/>
        <v>411</v>
      </c>
      <c r="AL51" s="1" t="s">
        <v>3</v>
      </c>
    </row>
    <row r="52" spans="2:38" s="1" customFormat="1" ht="15" customHeight="1" outlineLevel="1">
      <c r="B52" s="208"/>
      <c r="C52" s="233" t="s">
        <v>30</v>
      </c>
      <c r="D52" s="234"/>
      <c r="E52" s="94">
        <f>SUM(H52:AK52)</f>
        <v>217</v>
      </c>
      <c r="F52" s="190" t="s">
        <v>10</v>
      </c>
      <c r="G52" s="187" t="s">
        <v>7</v>
      </c>
      <c r="H52" s="200">
        <f>SUM(H62:H65)</f>
        <v>14</v>
      </c>
      <c r="I52" s="96">
        <f>SUM(I62:I65)</f>
        <v>0</v>
      </c>
      <c r="J52" s="96">
        <f t="shared" ref="J52:AK52" si="18">SUM(J62:J65)</f>
        <v>0</v>
      </c>
      <c r="K52" s="96">
        <f t="shared" si="18"/>
        <v>0</v>
      </c>
      <c r="L52" s="96">
        <f t="shared" si="18"/>
        <v>0</v>
      </c>
      <c r="M52" s="96">
        <f t="shared" si="18"/>
        <v>0</v>
      </c>
      <c r="N52" s="96">
        <f t="shared" si="18"/>
        <v>7</v>
      </c>
      <c r="O52" s="96">
        <f t="shared" si="18"/>
        <v>6</v>
      </c>
      <c r="P52" s="96">
        <f t="shared" si="18"/>
        <v>0</v>
      </c>
      <c r="Q52" s="96">
        <f t="shared" si="18"/>
        <v>0</v>
      </c>
      <c r="R52" s="96">
        <f t="shared" si="18"/>
        <v>7</v>
      </c>
      <c r="S52" s="96">
        <f t="shared" si="18"/>
        <v>13</v>
      </c>
      <c r="T52" s="96">
        <f t="shared" si="18"/>
        <v>0</v>
      </c>
      <c r="U52" s="96">
        <f t="shared" si="18"/>
        <v>38</v>
      </c>
      <c r="V52" s="96">
        <f t="shared" si="18"/>
        <v>19</v>
      </c>
      <c r="W52" s="96">
        <f t="shared" si="18"/>
        <v>0</v>
      </c>
      <c r="X52" s="96">
        <f t="shared" si="18"/>
        <v>0</v>
      </c>
      <c r="Y52" s="96">
        <f t="shared" si="18"/>
        <v>1</v>
      </c>
      <c r="Z52" s="96">
        <f t="shared" si="18"/>
        <v>13</v>
      </c>
      <c r="AA52" s="96">
        <f t="shared" si="18"/>
        <v>8</v>
      </c>
      <c r="AB52" s="96">
        <f t="shared" si="18"/>
        <v>38</v>
      </c>
      <c r="AC52" s="96">
        <f t="shared" si="18"/>
        <v>0</v>
      </c>
      <c r="AD52" s="96">
        <f t="shared" si="18"/>
        <v>0</v>
      </c>
      <c r="AE52" s="96">
        <f t="shared" si="18"/>
        <v>0</v>
      </c>
      <c r="AF52" s="96">
        <f t="shared" si="18"/>
        <v>1</v>
      </c>
      <c r="AG52" s="96">
        <f t="shared" si="18"/>
        <v>3</v>
      </c>
      <c r="AH52" s="96">
        <f t="shared" si="18"/>
        <v>36</v>
      </c>
      <c r="AI52" s="96">
        <f t="shared" si="18"/>
        <v>6</v>
      </c>
      <c r="AJ52" s="96">
        <f t="shared" si="18"/>
        <v>7</v>
      </c>
      <c r="AK52" s="201">
        <f t="shared" si="18"/>
        <v>0</v>
      </c>
      <c r="AL52" s="1" t="s">
        <v>3</v>
      </c>
    </row>
    <row r="53" spans="2:38" s="1" customFormat="1" ht="15" customHeight="1" outlineLevel="1">
      <c r="B53" s="208"/>
      <c r="C53" s="239" t="s">
        <v>13</v>
      </c>
      <c r="D53" s="240"/>
      <c r="E53" s="117">
        <f>AK53</f>
        <v>417</v>
      </c>
      <c r="F53" s="191" t="s">
        <v>6</v>
      </c>
      <c r="G53" s="188" t="s">
        <v>7</v>
      </c>
      <c r="H53" s="202">
        <f>'0401(実績)'!AK50+'0501(実績)'!H52</f>
        <v>214</v>
      </c>
      <c r="I53" s="119">
        <f>H53+I52</f>
        <v>214</v>
      </c>
      <c r="J53" s="119">
        <f>I53+J52</f>
        <v>214</v>
      </c>
      <c r="K53" s="119">
        <f t="shared" ref="K53:AK53" si="19">J53+K52</f>
        <v>214</v>
      </c>
      <c r="L53" s="119">
        <f t="shared" si="19"/>
        <v>214</v>
      </c>
      <c r="M53" s="119">
        <f t="shared" si="19"/>
        <v>214</v>
      </c>
      <c r="N53" s="119">
        <f t="shared" si="19"/>
        <v>221</v>
      </c>
      <c r="O53" s="119">
        <f t="shared" si="19"/>
        <v>227</v>
      </c>
      <c r="P53" s="119">
        <f t="shared" si="19"/>
        <v>227</v>
      </c>
      <c r="Q53" s="119">
        <f t="shared" si="19"/>
        <v>227</v>
      </c>
      <c r="R53" s="119">
        <f t="shared" si="19"/>
        <v>234</v>
      </c>
      <c r="S53" s="119">
        <f t="shared" si="19"/>
        <v>247</v>
      </c>
      <c r="T53" s="119">
        <f t="shared" si="19"/>
        <v>247</v>
      </c>
      <c r="U53" s="119">
        <f t="shared" si="19"/>
        <v>285</v>
      </c>
      <c r="V53" s="119">
        <f t="shared" si="19"/>
        <v>304</v>
      </c>
      <c r="W53" s="119">
        <f t="shared" si="19"/>
        <v>304</v>
      </c>
      <c r="X53" s="119">
        <f t="shared" si="19"/>
        <v>304</v>
      </c>
      <c r="Y53" s="119">
        <f t="shared" si="19"/>
        <v>305</v>
      </c>
      <c r="Z53" s="119">
        <f t="shared" si="19"/>
        <v>318</v>
      </c>
      <c r="AA53" s="119">
        <f t="shared" si="19"/>
        <v>326</v>
      </c>
      <c r="AB53" s="119">
        <f t="shared" si="19"/>
        <v>364</v>
      </c>
      <c r="AC53" s="119">
        <f t="shared" si="19"/>
        <v>364</v>
      </c>
      <c r="AD53" s="119">
        <f t="shared" si="19"/>
        <v>364</v>
      </c>
      <c r="AE53" s="119">
        <f t="shared" si="19"/>
        <v>364</v>
      </c>
      <c r="AF53" s="119">
        <f t="shared" si="19"/>
        <v>365</v>
      </c>
      <c r="AG53" s="119">
        <f t="shared" si="19"/>
        <v>368</v>
      </c>
      <c r="AH53" s="119">
        <f t="shared" si="19"/>
        <v>404</v>
      </c>
      <c r="AI53" s="119">
        <f t="shared" si="19"/>
        <v>410</v>
      </c>
      <c r="AJ53" s="119">
        <f t="shared" si="19"/>
        <v>417</v>
      </c>
      <c r="AK53" s="203">
        <f t="shared" si="19"/>
        <v>417</v>
      </c>
      <c r="AL53" s="1" t="s">
        <v>3</v>
      </c>
    </row>
    <row r="54" spans="2:38" s="1" customFormat="1" ht="13.5" outlineLevel="1">
      <c r="B54" s="208"/>
      <c r="C54" s="233" t="s">
        <v>14</v>
      </c>
      <c r="D54" s="234"/>
      <c r="E54" s="94">
        <f>E49-E50</f>
        <v>-4</v>
      </c>
      <c r="F54" s="190" t="s">
        <v>10</v>
      </c>
      <c r="G54" s="187" t="s">
        <v>7</v>
      </c>
      <c r="H54" s="200">
        <f>'0401(実績)'!AK51+'0501(実績)'!H49-H50</f>
        <v>58</v>
      </c>
      <c r="I54" s="96">
        <f>H54+I49-I50</f>
        <v>58</v>
      </c>
      <c r="J54" s="96">
        <f>I54+J49-J50</f>
        <v>58</v>
      </c>
      <c r="K54" s="96">
        <f t="shared" ref="K54:AK54" si="20">J54+K49-K50</f>
        <v>58</v>
      </c>
      <c r="L54" s="96">
        <f t="shared" si="20"/>
        <v>58</v>
      </c>
      <c r="M54" s="96">
        <f t="shared" si="20"/>
        <v>58</v>
      </c>
      <c r="N54" s="96">
        <f t="shared" si="20"/>
        <v>52</v>
      </c>
      <c r="O54" s="96">
        <f t="shared" si="20"/>
        <v>58</v>
      </c>
      <c r="P54" s="96">
        <f t="shared" si="20"/>
        <v>58</v>
      </c>
      <c r="Q54" s="96">
        <f t="shared" si="20"/>
        <v>58</v>
      </c>
      <c r="R54" s="96">
        <f t="shared" si="20"/>
        <v>57</v>
      </c>
      <c r="S54" s="96">
        <f t="shared" si="20"/>
        <v>48</v>
      </c>
      <c r="T54" s="96">
        <f t="shared" si="20"/>
        <v>54</v>
      </c>
      <c r="U54" s="96">
        <f t="shared" si="20"/>
        <v>42</v>
      </c>
      <c r="V54" s="96">
        <f t="shared" si="20"/>
        <v>45</v>
      </c>
      <c r="W54" s="96">
        <f t="shared" si="20"/>
        <v>45</v>
      </c>
      <c r="X54" s="96">
        <f t="shared" si="20"/>
        <v>45</v>
      </c>
      <c r="Y54" s="96">
        <f t="shared" si="20"/>
        <v>38</v>
      </c>
      <c r="Z54" s="96">
        <f t="shared" si="20"/>
        <v>46</v>
      </c>
      <c r="AA54" s="96">
        <f t="shared" si="20"/>
        <v>38</v>
      </c>
      <c r="AB54" s="96">
        <f t="shared" si="20"/>
        <v>55</v>
      </c>
      <c r="AC54" s="96">
        <f t="shared" si="20"/>
        <v>56</v>
      </c>
      <c r="AD54" s="96">
        <f t="shared" si="20"/>
        <v>56</v>
      </c>
      <c r="AE54" s="96">
        <f t="shared" si="20"/>
        <v>56</v>
      </c>
      <c r="AF54" s="96">
        <f t="shared" si="20"/>
        <v>55</v>
      </c>
      <c r="AG54" s="96">
        <f t="shared" si="20"/>
        <v>57</v>
      </c>
      <c r="AH54" s="96">
        <f t="shared" si="20"/>
        <v>56</v>
      </c>
      <c r="AI54" s="96">
        <f t="shared" si="20"/>
        <v>60</v>
      </c>
      <c r="AJ54" s="96">
        <f t="shared" si="20"/>
        <v>55</v>
      </c>
      <c r="AK54" s="201">
        <f t="shared" si="20"/>
        <v>55</v>
      </c>
      <c r="AL54" s="1" t="s">
        <v>3</v>
      </c>
    </row>
    <row r="55" spans="2:38" s="1" customFormat="1" ht="14" outlineLevel="1" thickBot="1">
      <c r="B55" s="208"/>
      <c r="C55" s="270" t="s">
        <v>15</v>
      </c>
      <c r="D55" s="271"/>
      <c r="E55" s="114">
        <f>E49-E52</f>
        <v>-5</v>
      </c>
      <c r="F55" s="192" t="s">
        <v>10</v>
      </c>
      <c r="G55" s="187" t="s">
        <v>7</v>
      </c>
      <c r="H55" s="204">
        <f>'0401(実績)'!AK52+'0501(実績)'!H49-'0501(実績)'!H52</f>
        <v>53</v>
      </c>
      <c r="I55" s="199">
        <f>H55+I49-I52</f>
        <v>53</v>
      </c>
      <c r="J55" s="199">
        <f t="shared" ref="J55:AK55" si="21">I55+J49-J52</f>
        <v>53</v>
      </c>
      <c r="K55" s="199">
        <f t="shared" si="21"/>
        <v>53</v>
      </c>
      <c r="L55" s="199">
        <f t="shared" si="21"/>
        <v>53</v>
      </c>
      <c r="M55" s="199">
        <f t="shared" si="21"/>
        <v>53</v>
      </c>
      <c r="N55" s="199">
        <f t="shared" si="21"/>
        <v>52</v>
      </c>
      <c r="O55" s="199">
        <f t="shared" si="21"/>
        <v>56</v>
      </c>
      <c r="P55" s="199">
        <f t="shared" si="21"/>
        <v>56</v>
      </c>
      <c r="Q55" s="199">
        <f t="shared" si="21"/>
        <v>56</v>
      </c>
      <c r="R55" s="199">
        <f t="shared" si="21"/>
        <v>55</v>
      </c>
      <c r="S55" s="199">
        <f t="shared" si="21"/>
        <v>49</v>
      </c>
      <c r="T55" s="199">
        <f t="shared" si="21"/>
        <v>93</v>
      </c>
      <c r="U55" s="199">
        <f t="shared" si="21"/>
        <v>58</v>
      </c>
      <c r="V55" s="199">
        <f t="shared" si="21"/>
        <v>42</v>
      </c>
      <c r="W55" s="199">
        <f t="shared" si="21"/>
        <v>42</v>
      </c>
      <c r="X55" s="199">
        <f t="shared" si="21"/>
        <v>42</v>
      </c>
      <c r="Y55" s="199">
        <f t="shared" si="21"/>
        <v>44</v>
      </c>
      <c r="Z55" s="199">
        <f t="shared" si="21"/>
        <v>39</v>
      </c>
      <c r="AA55" s="199">
        <f t="shared" si="21"/>
        <v>39</v>
      </c>
      <c r="AB55" s="199">
        <f t="shared" si="21"/>
        <v>40</v>
      </c>
      <c r="AC55" s="199">
        <f t="shared" si="21"/>
        <v>42</v>
      </c>
      <c r="AD55" s="199">
        <f t="shared" si="21"/>
        <v>42</v>
      </c>
      <c r="AE55" s="199">
        <f t="shared" si="21"/>
        <v>42</v>
      </c>
      <c r="AF55" s="199">
        <f t="shared" si="21"/>
        <v>43</v>
      </c>
      <c r="AG55" s="199">
        <f t="shared" si="21"/>
        <v>78</v>
      </c>
      <c r="AH55" s="199">
        <f t="shared" si="21"/>
        <v>47</v>
      </c>
      <c r="AI55" s="199">
        <f t="shared" si="21"/>
        <v>52</v>
      </c>
      <c r="AJ55" s="199">
        <f t="shared" si="21"/>
        <v>49</v>
      </c>
      <c r="AK55" s="199">
        <f t="shared" si="21"/>
        <v>49</v>
      </c>
      <c r="AL55" s="1" t="s">
        <v>3</v>
      </c>
    </row>
    <row r="56" spans="2:38" s="1" customFormat="1" ht="13.5" outlineLevel="1">
      <c r="B56" s="208"/>
      <c r="C56" s="210" t="s">
        <v>16</v>
      </c>
      <c r="D56" s="28" t="s">
        <v>44</v>
      </c>
      <c r="E56" s="101">
        <f t="shared" ref="E56:E64" si="22">SUM(H56:AK56)*F56</f>
        <v>0</v>
      </c>
      <c r="F56" s="102">
        <v>40</v>
      </c>
      <c r="G56" s="162" t="s">
        <v>7</v>
      </c>
      <c r="H56" s="159"/>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4"/>
      <c r="AL56" s="1" t="s">
        <v>3</v>
      </c>
    </row>
    <row r="57" spans="2:38" s="1" customFormat="1" ht="13.5" outlineLevel="1">
      <c r="B57" s="208"/>
      <c r="C57" s="211"/>
      <c r="D57" s="126" t="s">
        <v>46</v>
      </c>
      <c r="E57" s="108">
        <f t="shared" si="22"/>
        <v>640</v>
      </c>
      <c r="F57" s="94">
        <v>40</v>
      </c>
      <c r="G57" s="157" t="s">
        <v>7</v>
      </c>
      <c r="H57" s="160"/>
      <c r="I57" s="96"/>
      <c r="J57" s="96"/>
      <c r="K57" s="96"/>
      <c r="L57" s="96"/>
      <c r="M57" s="96"/>
      <c r="N57" s="96"/>
      <c r="O57" s="96"/>
      <c r="P57" s="96"/>
      <c r="Q57" s="96"/>
      <c r="R57" s="96"/>
      <c r="S57" s="96">
        <v>16</v>
      </c>
      <c r="T57" s="96"/>
      <c r="U57" s="96"/>
      <c r="V57" s="96"/>
      <c r="W57" s="96"/>
      <c r="X57" s="96"/>
      <c r="Y57" s="96"/>
      <c r="Z57" s="96"/>
      <c r="AA57" s="96"/>
      <c r="AB57" s="96"/>
      <c r="AC57" s="96"/>
      <c r="AD57" s="96"/>
      <c r="AE57" s="96"/>
      <c r="AF57" s="96"/>
      <c r="AG57" s="96"/>
      <c r="AH57" s="96"/>
      <c r="AI57" s="96"/>
      <c r="AJ57" s="96"/>
      <c r="AK57" s="97"/>
      <c r="AL57" s="1" t="s">
        <v>3</v>
      </c>
    </row>
    <row r="58" spans="2:38" s="1" customFormat="1" ht="13.5" outlineLevel="1">
      <c r="B58" s="208"/>
      <c r="C58" s="211"/>
      <c r="D58" s="126" t="s">
        <v>48</v>
      </c>
      <c r="E58" s="108">
        <f t="shared" si="22"/>
        <v>0</v>
      </c>
      <c r="F58" s="94">
        <v>40</v>
      </c>
      <c r="G58" s="157" t="s">
        <v>7</v>
      </c>
      <c r="H58" s="160"/>
      <c r="I58" s="96"/>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7"/>
      <c r="AL58" s="1" t="s">
        <v>3</v>
      </c>
    </row>
    <row r="59" spans="2:38" s="1" customFormat="1" ht="13.5" outlineLevel="1">
      <c r="B59" s="208"/>
      <c r="C59" s="211"/>
      <c r="D59" s="126" t="s">
        <v>49</v>
      </c>
      <c r="E59" s="108">
        <f t="shared" si="22"/>
        <v>240</v>
      </c>
      <c r="F59" s="94">
        <v>40</v>
      </c>
      <c r="G59" s="157" t="s">
        <v>7</v>
      </c>
      <c r="H59" s="160"/>
      <c r="I59" s="96"/>
      <c r="J59" s="96"/>
      <c r="K59" s="96"/>
      <c r="L59" s="96"/>
      <c r="M59" s="96"/>
      <c r="N59" s="96"/>
      <c r="O59" s="96"/>
      <c r="P59" s="96"/>
      <c r="Q59" s="96"/>
      <c r="R59" s="96"/>
      <c r="S59" s="96"/>
      <c r="T59" s="96"/>
      <c r="U59" s="96"/>
      <c r="V59" s="96"/>
      <c r="W59" s="96"/>
      <c r="X59" s="96"/>
      <c r="Y59" s="96"/>
      <c r="Z59" s="96"/>
      <c r="AA59" s="96"/>
      <c r="AB59" s="96"/>
      <c r="AC59" s="96"/>
      <c r="AD59" s="96"/>
      <c r="AE59" s="96"/>
      <c r="AF59" s="96"/>
      <c r="AG59" s="96">
        <v>6</v>
      </c>
      <c r="AH59" s="96"/>
      <c r="AI59" s="96"/>
      <c r="AJ59" s="96"/>
      <c r="AK59" s="97"/>
      <c r="AL59" s="1" t="s">
        <v>3</v>
      </c>
    </row>
    <row r="60" spans="2:38" s="1" customFormat="1" ht="13.5" outlineLevel="1">
      <c r="B60" s="208"/>
      <c r="C60" s="211"/>
      <c r="D60" s="29" t="s">
        <v>36</v>
      </c>
      <c r="E60" s="105">
        <f t="shared" si="22"/>
        <v>2910</v>
      </c>
      <c r="F60" s="106">
        <v>30</v>
      </c>
      <c r="G60" s="163" t="s">
        <v>7</v>
      </c>
      <c r="H60" s="160">
        <v>7</v>
      </c>
      <c r="I60" s="96"/>
      <c r="J60" s="96"/>
      <c r="K60" s="96"/>
      <c r="L60" s="96"/>
      <c r="M60" s="96"/>
      <c r="N60" s="96">
        <v>12</v>
      </c>
      <c r="O60" s="96">
        <v>4</v>
      </c>
      <c r="P60" s="96"/>
      <c r="Q60" s="96"/>
      <c r="R60" s="96">
        <v>7</v>
      </c>
      <c r="S60" s="96"/>
      <c r="T60" s="96"/>
      <c r="U60" s="96">
        <v>15</v>
      </c>
      <c r="V60" s="96"/>
      <c r="W60" s="96"/>
      <c r="X60" s="96"/>
      <c r="Y60" s="96">
        <v>10</v>
      </c>
      <c r="Z60" s="96"/>
      <c r="AA60" s="96">
        <v>16</v>
      </c>
      <c r="AB60" s="96"/>
      <c r="AC60" s="96">
        <v>1</v>
      </c>
      <c r="AD60" s="96"/>
      <c r="AE60" s="96"/>
      <c r="AF60" s="96">
        <v>3</v>
      </c>
      <c r="AG60" s="96"/>
      <c r="AH60" s="96">
        <v>6</v>
      </c>
      <c r="AI60" s="96">
        <v>7</v>
      </c>
      <c r="AJ60" s="96">
        <v>9</v>
      </c>
      <c r="AK60" s="97"/>
      <c r="AL60" s="1" t="s">
        <v>3</v>
      </c>
    </row>
    <row r="61" spans="2:38" s="1" customFormat="1" ht="14" outlineLevel="1" thickBot="1">
      <c r="B61" s="208"/>
      <c r="C61" s="211"/>
      <c r="D61" s="29" t="s">
        <v>37</v>
      </c>
      <c r="E61" s="109">
        <f t="shared" si="22"/>
        <v>2910</v>
      </c>
      <c r="F61" s="114">
        <v>30</v>
      </c>
      <c r="G61" s="164" t="s">
        <v>7</v>
      </c>
      <c r="H61" s="161">
        <v>7</v>
      </c>
      <c r="I61" s="110"/>
      <c r="J61" s="110"/>
      <c r="K61" s="110"/>
      <c r="L61" s="110"/>
      <c r="M61" s="110"/>
      <c r="N61" s="110"/>
      <c r="O61" s="110"/>
      <c r="P61" s="110"/>
      <c r="Q61" s="110"/>
      <c r="R61" s="110"/>
      <c r="S61" s="110"/>
      <c r="T61" s="110">
        <v>38</v>
      </c>
      <c r="U61" s="110"/>
      <c r="V61" s="110"/>
      <c r="W61" s="110"/>
      <c r="X61" s="110"/>
      <c r="Y61" s="110"/>
      <c r="Z61" s="110"/>
      <c r="AA61" s="110"/>
      <c r="AB61" s="110">
        <v>22</v>
      </c>
      <c r="AC61" s="110"/>
      <c r="AD61" s="110"/>
      <c r="AE61" s="110"/>
      <c r="AF61" s="110"/>
      <c r="AG61" s="110">
        <v>30</v>
      </c>
      <c r="AH61" s="110"/>
      <c r="AI61" s="110"/>
      <c r="AJ61" s="110"/>
      <c r="AK61" s="115"/>
      <c r="AL61" s="1" t="s">
        <v>3</v>
      </c>
    </row>
    <row r="62" spans="2:38" s="1" customFormat="1" ht="13.5" outlineLevel="1">
      <c r="B62" s="208"/>
      <c r="C62" s="210" t="s">
        <v>25</v>
      </c>
      <c r="D62" s="30" t="s">
        <v>32</v>
      </c>
      <c r="E62" s="111">
        <f t="shared" si="22"/>
        <v>0</v>
      </c>
      <c r="F62" s="102">
        <v>8</v>
      </c>
      <c r="G62" s="162" t="s">
        <v>7</v>
      </c>
      <c r="H62" s="159"/>
      <c r="I62" s="103"/>
      <c r="J62" s="103"/>
      <c r="K62" s="103"/>
      <c r="L62" s="103"/>
      <c r="M62" s="103"/>
      <c r="N62" s="103"/>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4"/>
      <c r="AL62" s="1" t="s">
        <v>3</v>
      </c>
    </row>
    <row r="63" spans="2:38" s="1" customFormat="1" ht="13.5" outlineLevel="1">
      <c r="B63" s="208"/>
      <c r="C63" s="211"/>
      <c r="D63" s="31" t="s">
        <v>33</v>
      </c>
      <c r="E63" s="112">
        <f t="shared" si="22"/>
        <v>4200</v>
      </c>
      <c r="F63" s="94">
        <v>35</v>
      </c>
      <c r="G63" s="157" t="s">
        <v>7</v>
      </c>
      <c r="H63" s="160">
        <v>7</v>
      </c>
      <c r="I63" s="96"/>
      <c r="J63" s="96"/>
      <c r="K63" s="96"/>
      <c r="L63" s="96"/>
      <c r="M63" s="96"/>
      <c r="N63" s="96">
        <v>7</v>
      </c>
      <c r="O63" s="96">
        <v>6</v>
      </c>
      <c r="P63" s="96"/>
      <c r="Q63" s="96"/>
      <c r="R63" s="96">
        <v>7</v>
      </c>
      <c r="S63" s="96">
        <v>13</v>
      </c>
      <c r="T63" s="96"/>
      <c r="U63" s="96"/>
      <c r="V63" s="96">
        <v>19</v>
      </c>
      <c r="W63" s="96"/>
      <c r="X63" s="96"/>
      <c r="Y63" s="96">
        <v>1</v>
      </c>
      <c r="Z63" s="96">
        <v>13</v>
      </c>
      <c r="AA63" s="96">
        <v>8</v>
      </c>
      <c r="AB63" s="96">
        <v>16</v>
      </c>
      <c r="AC63" s="96"/>
      <c r="AD63" s="96"/>
      <c r="AE63" s="96"/>
      <c r="AF63" s="96">
        <v>1</v>
      </c>
      <c r="AG63" s="96">
        <v>3</v>
      </c>
      <c r="AH63" s="96">
        <v>6</v>
      </c>
      <c r="AI63" s="96">
        <v>6</v>
      </c>
      <c r="AJ63" s="96">
        <v>7</v>
      </c>
      <c r="AK63" s="97"/>
      <c r="AL63" s="1" t="s">
        <v>3</v>
      </c>
    </row>
    <row r="64" spans="2:38" s="1" customFormat="1" ht="13.5" outlineLevel="1">
      <c r="B64" s="208"/>
      <c r="C64" s="211"/>
      <c r="D64" s="31" t="s">
        <v>34</v>
      </c>
      <c r="E64" s="112">
        <f t="shared" si="22"/>
        <v>970</v>
      </c>
      <c r="F64" s="94">
        <v>10</v>
      </c>
      <c r="G64" s="157" t="s">
        <v>7</v>
      </c>
      <c r="H64" s="160">
        <v>7</v>
      </c>
      <c r="I64" s="96"/>
      <c r="J64" s="96"/>
      <c r="K64" s="96"/>
      <c r="L64" s="96"/>
      <c r="M64" s="96"/>
      <c r="N64" s="96"/>
      <c r="O64" s="96"/>
      <c r="P64" s="96"/>
      <c r="Q64" s="96"/>
      <c r="R64" s="96"/>
      <c r="S64" s="96"/>
      <c r="T64" s="96"/>
      <c r="U64" s="96">
        <v>38</v>
      </c>
      <c r="V64" s="96"/>
      <c r="W64" s="96"/>
      <c r="X64" s="96"/>
      <c r="Y64" s="96"/>
      <c r="Z64" s="96"/>
      <c r="AA64" s="96"/>
      <c r="AB64" s="96">
        <v>22</v>
      </c>
      <c r="AC64" s="96"/>
      <c r="AD64" s="96"/>
      <c r="AE64" s="96"/>
      <c r="AF64" s="96"/>
      <c r="AG64" s="96"/>
      <c r="AH64" s="96">
        <v>30</v>
      </c>
      <c r="AI64" s="96"/>
      <c r="AJ64" s="96"/>
      <c r="AK64" s="97"/>
      <c r="AL64" s="1" t="s">
        <v>3</v>
      </c>
    </row>
    <row r="65" spans="2:38" s="1" customFormat="1" ht="14" outlineLevel="1" thickBot="1">
      <c r="B65" s="208"/>
      <c r="C65" s="211"/>
      <c r="D65" s="31"/>
      <c r="E65" s="109"/>
      <c r="F65" s="114"/>
      <c r="G65" s="164" t="s">
        <v>7</v>
      </c>
      <c r="H65" s="161"/>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H65" s="110"/>
      <c r="AI65" s="110"/>
      <c r="AJ65" s="110"/>
      <c r="AK65" s="115"/>
      <c r="AL65" s="1" t="s">
        <v>3</v>
      </c>
    </row>
    <row r="66" spans="2:38" s="1" customFormat="1" ht="15" customHeight="1" outlineLevel="1">
      <c r="B66" s="226" t="s">
        <v>38</v>
      </c>
      <c r="C66" s="235" t="s">
        <v>5</v>
      </c>
      <c r="D66" s="236"/>
      <c r="E66" s="106">
        <f>SUM(H66:AK66)</f>
        <v>218</v>
      </c>
      <c r="F66" s="106" t="s">
        <v>10</v>
      </c>
      <c r="G66" s="163" t="s">
        <v>7</v>
      </c>
      <c r="H66" s="159">
        <v>8</v>
      </c>
      <c r="I66" s="103"/>
      <c r="J66" s="103"/>
      <c r="K66" s="103"/>
      <c r="L66" s="103"/>
      <c r="M66" s="103"/>
      <c r="N66" s="103">
        <v>11</v>
      </c>
      <c r="O66" s="103">
        <v>14</v>
      </c>
      <c r="P66" s="103"/>
      <c r="Q66" s="103"/>
      <c r="R66" s="103">
        <v>30</v>
      </c>
      <c r="S66" s="103">
        <v>30</v>
      </c>
      <c r="T66" s="103">
        <v>8</v>
      </c>
      <c r="U66" s="103">
        <v>9</v>
      </c>
      <c r="V66" s="103">
        <v>8</v>
      </c>
      <c r="W66" s="103"/>
      <c r="X66" s="103"/>
      <c r="Y66" s="103">
        <v>10</v>
      </c>
      <c r="Z66" s="103">
        <v>7</v>
      </c>
      <c r="AA66" s="103">
        <v>7</v>
      </c>
      <c r="AB66" s="103">
        <v>9</v>
      </c>
      <c r="AC66" s="103">
        <v>21</v>
      </c>
      <c r="AD66" s="103"/>
      <c r="AE66" s="103"/>
      <c r="AF66" s="103">
        <v>7</v>
      </c>
      <c r="AG66" s="103">
        <v>6</v>
      </c>
      <c r="AH66" s="103">
        <v>6</v>
      </c>
      <c r="AI66" s="103">
        <v>8</v>
      </c>
      <c r="AJ66" s="103">
        <v>19</v>
      </c>
      <c r="AK66" s="104"/>
      <c r="AL66" s="1" t="s">
        <v>3</v>
      </c>
    </row>
    <row r="67" spans="2:38" s="1" customFormat="1" ht="15" customHeight="1" outlineLevel="1">
      <c r="B67" s="208"/>
      <c r="C67" s="233" t="s">
        <v>29</v>
      </c>
      <c r="D67" s="234"/>
      <c r="E67" s="94">
        <f>SUM(H67:AK67)</f>
        <v>202</v>
      </c>
      <c r="F67" s="94" t="s">
        <v>10</v>
      </c>
      <c r="G67" s="157" t="s">
        <v>7</v>
      </c>
      <c r="H67" s="160">
        <f>SUM(H73:H78)</f>
        <v>11</v>
      </c>
      <c r="I67" s="96">
        <f>SUM(I73:I78)</f>
        <v>0</v>
      </c>
      <c r="J67" s="96">
        <f>SUM(J73:J78)</f>
        <v>0</v>
      </c>
      <c r="K67" s="96">
        <f t="shared" ref="K67:AK67" si="23">SUM(K73:K78)</f>
        <v>0</v>
      </c>
      <c r="L67" s="96">
        <f t="shared" si="23"/>
        <v>0</v>
      </c>
      <c r="M67" s="96">
        <f t="shared" si="23"/>
        <v>0</v>
      </c>
      <c r="N67" s="96">
        <f t="shared" si="23"/>
        <v>15</v>
      </c>
      <c r="O67" s="96">
        <f t="shared" si="23"/>
        <v>7</v>
      </c>
      <c r="P67" s="96">
        <f t="shared" si="23"/>
        <v>0</v>
      </c>
      <c r="Q67" s="96">
        <f t="shared" si="23"/>
        <v>0</v>
      </c>
      <c r="R67" s="96">
        <f>SUM(R73:R78)</f>
        <v>13</v>
      </c>
      <c r="S67" s="96">
        <f t="shared" si="23"/>
        <v>0</v>
      </c>
      <c r="T67" s="96">
        <f t="shared" si="23"/>
        <v>31</v>
      </c>
      <c r="U67" s="96">
        <f t="shared" si="23"/>
        <v>7</v>
      </c>
      <c r="V67" s="96">
        <f t="shared" si="23"/>
        <v>11</v>
      </c>
      <c r="W67" s="96">
        <f t="shared" si="23"/>
        <v>0</v>
      </c>
      <c r="X67" s="96">
        <f t="shared" si="23"/>
        <v>0</v>
      </c>
      <c r="Y67" s="96">
        <f t="shared" si="23"/>
        <v>26</v>
      </c>
      <c r="Z67" s="96">
        <f t="shared" si="23"/>
        <v>0</v>
      </c>
      <c r="AA67" s="96">
        <f t="shared" si="23"/>
        <v>10</v>
      </c>
      <c r="AB67" s="96">
        <f t="shared" si="23"/>
        <v>11</v>
      </c>
      <c r="AC67" s="96">
        <f t="shared" si="23"/>
        <v>12</v>
      </c>
      <c r="AD67" s="96">
        <f t="shared" si="23"/>
        <v>0</v>
      </c>
      <c r="AE67" s="96">
        <f t="shared" si="23"/>
        <v>0</v>
      </c>
      <c r="AF67" s="96">
        <f t="shared" si="23"/>
        <v>12</v>
      </c>
      <c r="AG67" s="96">
        <f t="shared" si="23"/>
        <v>19</v>
      </c>
      <c r="AH67" s="96">
        <f t="shared" si="23"/>
        <v>10</v>
      </c>
      <c r="AI67" s="96">
        <f t="shared" si="23"/>
        <v>0</v>
      </c>
      <c r="AJ67" s="96">
        <f t="shared" si="23"/>
        <v>7</v>
      </c>
      <c r="AK67" s="97">
        <f t="shared" si="23"/>
        <v>0</v>
      </c>
      <c r="AL67" s="1" t="s">
        <v>3</v>
      </c>
    </row>
    <row r="68" spans="2:38" s="1" customFormat="1" ht="15" customHeight="1" outlineLevel="1">
      <c r="B68" s="208"/>
      <c r="C68" s="237" t="s">
        <v>43</v>
      </c>
      <c r="D68" s="238"/>
      <c r="E68" s="117">
        <f>AK68</f>
        <v>415</v>
      </c>
      <c r="F68" s="117" t="s">
        <v>6</v>
      </c>
      <c r="G68" s="158" t="s">
        <v>7</v>
      </c>
      <c r="H68" s="166">
        <f>'0401(実績)'!AK65+'0501(実績)'!H67</f>
        <v>224</v>
      </c>
      <c r="I68" s="119">
        <f>H68+I67</f>
        <v>224</v>
      </c>
      <c r="J68" s="119">
        <f t="shared" ref="J68:AK68" si="24">I68+J67</f>
        <v>224</v>
      </c>
      <c r="K68" s="119">
        <f t="shared" si="24"/>
        <v>224</v>
      </c>
      <c r="L68" s="119">
        <f t="shared" si="24"/>
        <v>224</v>
      </c>
      <c r="M68" s="119">
        <f t="shared" si="24"/>
        <v>224</v>
      </c>
      <c r="N68" s="119">
        <f t="shared" si="24"/>
        <v>239</v>
      </c>
      <c r="O68" s="119">
        <f t="shared" si="24"/>
        <v>246</v>
      </c>
      <c r="P68" s="119">
        <f t="shared" si="24"/>
        <v>246</v>
      </c>
      <c r="Q68" s="119">
        <f t="shared" si="24"/>
        <v>246</v>
      </c>
      <c r="R68" s="119">
        <f t="shared" si="24"/>
        <v>259</v>
      </c>
      <c r="S68" s="119">
        <f t="shared" si="24"/>
        <v>259</v>
      </c>
      <c r="T68" s="119">
        <f t="shared" si="24"/>
        <v>290</v>
      </c>
      <c r="U68" s="119">
        <f t="shared" si="24"/>
        <v>297</v>
      </c>
      <c r="V68" s="119">
        <f t="shared" si="24"/>
        <v>308</v>
      </c>
      <c r="W68" s="119">
        <f t="shared" si="24"/>
        <v>308</v>
      </c>
      <c r="X68" s="119">
        <f t="shared" si="24"/>
        <v>308</v>
      </c>
      <c r="Y68" s="119">
        <f t="shared" si="24"/>
        <v>334</v>
      </c>
      <c r="Z68" s="119">
        <f t="shared" si="24"/>
        <v>334</v>
      </c>
      <c r="AA68" s="119">
        <f t="shared" si="24"/>
        <v>344</v>
      </c>
      <c r="AB68" s="119">
        <f t="shared" si="24"/>
        <v>355</v>
      </c>
      <c r="AC68" s="119">
        <f t="shared" si="24"/>
        <v>367</v>
      </c>
      <c r="AD68" s="119">
        <f t="shared" si="24"/>
        <v>367</v>
      </c>
      <c r="AE68" s="119">
        <f t="shared" si="24"/>
        <v>367</v>
      </c>
      <c r="AF68" s="119">
        <f t="shared" si="24"/>
        <v>379</v>
      </c>
      <c r="AG68" s="119">
        <f t="shared" si="24"/>
        <v>398</v>
      </c>
      <c r="AH68" s="119">
        <f t="shared" si="24"/>
        <v>408</v>
      </c>
      <c r="AI68" s="119">
        <f t="shared" si="24"/>
        <v>408</v>
      </c>
      <c r="AJ68" s="119">
        <f t="shared" si="24"/>
        <v>415</v>
      </c>
      <c r="AK68" s="198">
        <f t="shared" si="24"/>
        <v>415</v>
      </c>
      <c r="AL68" s="1" t="s">
        <v>3</v>
      </c>
    </row>
    <row r="69" spans="2:38" s="1" customFormat="1" ht="15" customHeight="1" outlineLevel="1">
      <c r="B69" s="208"/>
      <c r="C69" s="233" t="s">
        <v>30</v>
      </c>
      <c r="D69" s="234"/>
      <c r="E69" s="94">
        <f>SUM(H69:AK69)</f>
        <v>197</v>
      </c>
      <c r="F69" s="94" t="s">
        <v>10</v>
      </c>
      <c r="G69" s="157" t="s">
        <v>7</v>
      </c>
      <c r="H69" s="160">
        <f>SUM(H79:H82)</f>
        <v>10</v>
      </c>
      <c r="I69" s="96">
        <f>SUM(I79:I82)</f>
        <v>0</v>
      </c>
      <c r="J69" s="96">
        <f t="shared" ref="J69:AK69" si="25">SUM(J79:J82)</f>
        <v>0</v>
      </c>
      <c r="K69" s="96">
        <f t="shared" si="25"/>
        <v>0</v>
      </c>
      <c r="L69" s="96">
        <f t="shared" si="25"/>
        <v>0</v>
      </c>
      <c r="M69" s="96">
        <f t="shared" si="25"/>
        <v>0</v>
      </c>
      <c r="N69" s="96">
        <f t="shared" si="25"/>
        <v>17</v>
      </c>
      <c r="O69" s="96">
        <f t="shared" si="25"/>
        <v>10</v>
      </c>
      <c r="P69" s="96">
        <f t="shared" si="25"/>
        <v>0</v>
      </c>
      <c r="Q69" s="96">
        <f t="shared" si="25"/>
        <v>0</v>
      </c>
      <c r="R69" s="96">
        <f t="shared" si="25"/>
        <v>9</v>
      </c>
      <c r="S69" s="96">
        <f t="shared" si="25"/>
        <v>6</v>
      </c>
      <c r="T69" s="96">
        <f t="shared" si="25"/>
        <v>7</v>
      </c>
      <c r="U69" s="96">
        <f t="shared" si="25"/>
        <v>13</v>
      </c>
      <c r="V69" s="96">
        <f t="shared" si="25"/>
        <v>3</v>
      </c>
      <c r="W69" s="96">
        <f t="shared" si="25"/>
        <v>0</v>
      </c>
      <c r="X69" s="96">
        <f t="shared" si="25"/>
        <v>0</v>
      </c>
      <c r="Y69" s="96">
        <f t="shared" si="25"/>
        <v>4</v>
      </c>
      <c r="Z69" s="96">
        <f t="shared" si="25"/>
        <v>25</v>
      </c>
      <c r="AA69" s="96">
        <f t="shared" si="25"/>
        <v>23</v>
      </c>
      <c r="AB69" s="96">
        <f t="shared" si="25"/>
        <v>8</v>
      </c>
      <c r="AC69" s="96">
        <f t="shared" si="25"/>
        <v>0</v>
      </c>
      <c r="AD69" s="96">
        <f t="shared" si="25"/>
        <v>0</v>
      </c>
      <c r="AE69" s="96">
        <f t="shared" si="25"/>
        <v>0</v>
      </c>
      <c r="AF69" s="96">
        <f t="shared" si="25"/>
        <v>14</v>
      </c>
      <c r="AG69" s="96">
        <f t="shared" si="25"/>
        <v>11</v>
      </c>
      <c r="AH69" s="96">
        <f t="shared" si="25"/>
        <v>21</v>
      </c>
      <c r="AI69" s="96">
        <f t="shared" si="25"/>
        <v>12</v>
      </c>
      <c r="AJ69" s="96">
        <f t="shared" si="25"/>
        <v>4</v>
      </c>
      <c r="AK69" s="97">
        <f t="shared" si="25"/>
        <v>0</v>
      </c>
      <c r="AL69" s="1" t="s">
        <v>3</v>
      </c>
    </row>
    <row r="70" spans="2:38" s="1" customFormat="1" ht="15" customHeight="1" outlineLevel="1">
      <c r="B70" s="208"/>
      <c r="C70" s="239" t="s">
        <v>13</v>
      </c>
      <c r="D70" s="240"/>
      <c r="E70" s="117">
        <f>AK70</f>
        <v>452</v>
      </c>
      <c r="F70" s="117" t="s">
        <v>6</v>
      </c>
      <c r="G70" s="158" t="s">
        <v>7</v>
      </c>
      <c r="H70" s="166">
        <f>'0401(実績)'!AK67+'0501(実績)'!H69</f>
        <v>265</v>
      </c>
      <c r="I70" s="119">
        <f>H70+I69</f>
        <v>265</v>
      </c>
      <c r="J70" s="119">
        <f>I70+J69</f>
        <v>265</v>
      </c>
      <c r="K70" s="119">
        <f t="shared" ref="K70:AK70" si="26">J70+K69</f>
        <v>265</v>
      </c>
      <c r="L70" s="119">
        <f t="shared" si="26"/>
        <v>265</v>
      </c>
      <c r="M70" s="119">
        <f t="shared" si="26"/>
        <v>265</v>
      </c>
      <c r="N70" s="119">
        <f t="shared" si="26"/>
        <v>282</v>
      </c>
      <c r="O70" s="119">
        <f t="shared" si="26"/>
        <v>292</v>
      </c>
      <c r="P70" s="119">
        <f t="shared" si="26"/>
        <v>292</v>
      </c>
      <c r="Q70" s="119">
        <f t="shared" si="26"/>
        <v>292</v>
      </c>
      <c r="R70" s="119">
        <f t="shared" si="26"/>
        <v>301</v>
      </c>
      <c r="S70" s="119">
        <f t="shared" si="26"/>
        <v>307</v>
      </c>
      <c r="T70" s="119">
        <f t="shared" si="26"/>
        <v>314</v>
      </c>
      <c r="U70" s="119">
        <f t="shared" si="26"/>
        <v>327</v>
      </c>
      <c r="V70" s="119">
        <f t="shared" si="26"/>
        <v>330</v>
      </c>
      <c r="W70" s="119">
        <f t="shared" si="26"/>
        <v>330</v>
      </c>
      <c r="X70" s="119">
        <f t="shared" si="26"/>
        <v>330</v>
      </c>
      <c r="Y70" s="119">
        <f t="shared" si="26"/>
        <v>334</v>
      </c>
      <c r="Z70" s="119">
        <f t="shared" si="26"/>
        <v>359</v>
      </c>
      <c r="AA70" s="119">
        <f t="shared" si="26"/>
        <v>382</v>
      </c>
      <c r="AB70" s="119">
        <f t="shared" si="26"/>
        <v>390</v>
      </c>
      <c r="AC70" s="119">
        <f t="shared" si="26"/>
        <v>390</v>
      </c>
      <c r="AD70" s="119">
        <f t="shared" si="26"/>
        <v>390</v>
      </c>
      <c r="AE70" s="119">
        <f t="shared" si="26"/>
        <v>390</v>
      </c>
      <c r="AF70" s="119">
        <f t="shared" si="26"/>
        <v>404</v>
      </c>
      <c r="AG70" s="119">
        <f t="shared" si="26"/>
        <v>415</v>
      </c>
      <c r="AH70" s="119">
        <f t="shared" si="26"/>
        <v>436</v>
      </c>
      <c r="AI70" s="119">
        <f t="shared" si="26"/>
        <v>448</v>
      </c>
      <c r="AJ70" s="119">
        <f t="shared" si="26"/>
        <v>452</v>
      </c>
      <c r="AK70" s="120">
        <f t="shared" si="26"/>
        <v>452</v>
      </c>
      <c r="AL70" s="1" t="s">
        <v>3</v>
      </c>
    </row>
    <row r="71" spans="2:38" s="1" customFormat="1" ht="13.5" outlineLevel="1">
      <c r="B71" s="208"/>
      <c r="C71" s="233" t="s">
        <v>14</v>
      </c>
      <c r="D71" s="234"/>
      <c r="E71" s="94">
        <f>E66-E67</f>
        <v>16</v>
      </c>
      <c r="F71" s="94" t="s">
        <v>10</v>
      </c>
      <c r="G71" s="157" t="s">
        <v>7</v>
      </c>
      <c r="H71" s="160">
        <f>'0401(実績)'!AK68+'0501(実績)'!H66-H67</f>
        <v>108</v>
      </c>
      <c r="I71" s="96">
        <f>H71+I66-I67</f>
        <v>108</v>
      </c>
      <c r="J71" s="96">
        <f>I71+J66-J67</f>
        <v>108</v>
      </c>
      <c r="K71" s="96">
        <f t="shared" ref="K71:AK71" si="27">J71+K66-K67</f>
        <v>108</v>
      </c>
      <c r="L71" s="96">
        <f t="shared" si="27"/>
        <v>108</v>
      </c>
      <c r="M71" s="96">
        <f t="shared" si="27"/>
        <v>108</v>
      </c>
      <c r="N71" s="96">
        <f t="shared" si="27"/>
        <v>104</v>
      </c>
      <c r="O71" s="96">
        <f t="shared" si="27"/>
        <v>111</v>
      </c>
      <c r="P71" s="96">
        <f t="shared" si="27"/>
        <v>111</v>
      </c>
      <c r="Q71" s="96">
        <f t="shared" si="27"/>
        <v>111</v>
      </c>
      <c r="R71" s="96">
        <f t="shared" si="27"/>
        <v>128</v>
      </c>
      <c r="S71" s="96">
        <f t="shared" si="27"/>
        <v>158</v>
      </c>
      <c r="T71" s="96">
        <f t="shared" si="27"/>
        <v>135</v>
      </c>
      <c r="U71" s="96">
        <f t="shared" si="27"/>
        <v>137</v>
      </c>
      <c r="V71" s="96">
        <f t="shared" si="27"/>
        <v>134</v>
      </c>
      <c r="W71" s="96">
        <f t="shared" si="27"/>
        <v>134</v>
      </c>
      <c r="X71" s="96">
        <f t="shared" si="27"/>
        <v>134</v>
      </c>
      <c r="Y71" s="96">
        <f t="shared" si="27"/>
        <v>118</v>
      </c>
      <c r="Z71" s="96">
        <f t="shared" si="27"/>
        <v>125</v>
      </c>
      <c r="AA71" s="96">
        <f t="shared" si="27"/>
        <v>122</v>
      </c>
      <c r="AB71" s="96">
        <f t="shared" si="27"/>
        <v>120</v>
      </c>
      <c r="AC71" s="96">
        <f t="shared" si="27"/>
        <v>129</v>
      </c>
      <c r="AD71" s="96">
        <f t="shared" si="27"/>
        <v>129</v>
      </c>
      <c r="AE71" s="96">
        <f t="shared" si="27"/>
        <v>129</v>
      </c>
      <c r="AF71" s="96">
        <f t="shared" si="27"/>
        <v>124</v>
      </c>
      <c r="AG71" s="96">
        <f t="shared" si="27"/>
        <v>111</v>
      </c>
      <c r="AH71" s="96">
        <f t="shared" si="27"/>
        <v>107</v>
      </c>
      <c r="AI71" s="96">
        <f t="shared" si="27"/>
        <v>115</v>
      </c>
      <c r="AJ71" s="96">
        <f t="shared" si="27"/>
        <v>127</v>
      </c>
      <c r="AK71" s="97">
        <f t="shared" si="27"/>
        <v>127</v>
      </c>
      <c r="AL71" s="1" t="s">
        <v>3</v>
      </c>
    </row>
    <row r="72" spans="2:38" s="1" customFormat="1" ht="14" outlineLevel="1" thickBot="1">
      <c r="B72" s="208"/>
      <c r="C72" s="233" t="s">
        <v>15</v>
      </c>
      <c r="D72" s="234"/>
      <c r="E72" s="98">
        <f>E66-E69</f>
        <v>21</v>
      </c>
      <c r="F72" s="98" t="s">
        <v>10</v>
      </c>
      <c r="G72" s="157" t="s">
        <v>7</v>
      </c>
      <c r="H72" s="161">
        <f>'0401(実績)'!AK69+'0501(実績)'!H66-'0501(実績)'!H69</f>
        <v>67</v>
      </c>
      <c r="I72" s="110">
        <f>H72+I66-I69</f>
        <v>67</v>
      </c>
      <c r="J72" s="110">
        <f t="shared" ref="J72:AK72" si="28">I72+J66-J69</f>
        <v>67</v>
      </c>
      <c r="K72" s="110">
        <f t="shared" si="28"/>
        <v>67</v>
      </c>
      <c r="L72" s="110">
        <f t="shared" si="28"/>
        <v>67</v>
      </c>
      <c r="M72" s="110">
        <f t="shared" si="28"/>
        <v>67</v>
      </c>
      <c r="N72" s="110">
        <f t="shared" si="28"/>
        <v>61</v>
      </c>
      <c r="O72" s="110">
        <f t="shared" si="28"/>
        <v>65</v>
      </c>
      <c r="P72" s="110">
        <f t="shared" si="28"/>
        <v>65</v>
      </c>
      <c r="Q72" s="110">
        <f t="shared" si="28"/>
        <v>65</v>
      </c>
      <c r="R72" s="110">
        <f t="shared" si="28"/>
        <v>86</v>
      </c>
      <c r="S72" s="110">
        <f t="shared" si="28"/>
        <v>110</v>
      </c>
      <c r="T72" s="110">
        <f t="shared" si="28"/>
        <v>111</v>
      </c>
      <c r="U72" s="110">
        <f t="shared" si="28"/>
        <v>107</v>
      </c>
      <c r="V72" s="110">
        <f t="shared" si="28"/>
        <v>112</v>
      </c>
      <c r="W72" s="110">
        <f t="shared" si="28"/>
        <v>112</v>
      </c>
      <c r="X72" s="110">
        <f t="shared" si="28"/>
        <v>112</v>
      </c>
      <c r="Y72" s="110">
        <f t="shared" si="28"/>
        <v>118</v>
      </c>
      <c r="Z72" s="110">
        <f t="shared" si="28"/>
        <v>100</v>
      </c>
      <c r="AA72" s="110">
        <f t="shared" si="28"/>
        <v>84</v>
      </c>
      <c r="AB72" s="110">
        <f t="shared" si="28"/>
        <v>85</v>
      </c>
      <c r="AC72" s="110">
        <f t="shared" si="28"/>
        <v>106</v>
      </c>
      <c r="AD72" s="110">
        <f t="shared" si="28"/>
        <v>106</v>
      </c>
      <c r="AE72" s="110">
        <f t="shared" si="28"/>
        <v>106</v>
      </c>
      <c r="AF72" s="110">
        <f t="shared" si="28"/>
        <v>99</v>
      </c>
      <c r="AG72" s="110">
        <f t="shared" si="28"/>
        <v>94</v>
      </c>
      <c r="AH72" s="110">
        <f t="shared" si="28"/>
        <v>79</v>
      </c>
      <c r="AI72" s="110">
        <f t="shared" si="28"/>
        <v>75</v>
      </c>
      <c r="AJ72" s="110">
        <f t="shared" si="28"/>
        <v>90</v>
      </c>
      <c r="AK72" s="199">
        <f t="shared" si="28"/>
        <v>90</v>
      </c>
      <c r="AL72" s="1" t="s">
        <v>3</v>
      </c>
    </row>
    <row r="73" spans="2:38" s="1" customFormat="1" ht="13.5" outlineLevel="1">
      <c r="B73" s="208"/>
      <c r="C73" s="210" t="s">
        <v>16</v>
      </c>
      <c r="D73" s="28" t="s">
        <v>44</v>
      </c>
      <c r="E73" s="101">
        <f t="shared" ref="E73:E81" si="29">SUM(H73:AK73)*F73</f>
        <v>540</v>
      </c>
      <c r="F73" s="102">
        <v>20</v>
      </c>
      <c r="G73" s="162" t="s">
        <v>7</v>
      </c>
      <c r="H73" s="159"/>
      <c r="I73" s="103"/>
      <c r="J73" s="103"/>
      <c r="K73" s="103"/>
      <c r="L73" s="103"/>
      <c r="M73" s="103"/>
      <c r="N73" s="103"/>
      <c r="O73" s="103"/>
      <c r="P73" s="103"/>
      <c r="Q73" s="103"/>
      <c r="R73" s="103"/>
      <c r="S73" s="103"/>
      <c r="T73" s="103">
        <v>14</v>
      </c>
      <c r="U73" s="103"/>
      <c r="V73" s="103"/>
      <c r="W73" s="103"/>
      <c r="X73" s="103"/>
      <c r="Y73" s="103">
        <v>13</v>
      </c>
      <c r="Z73" s="103"/>
      <c r="AA73" s="103"/>
      <c r="AB73" s="103"/>
      <c r="AC73" s="103"/>
      <c r="AD73" s="103"/>
      <c r="AE73" s="103"/>
      <c r="AF73" s="103"/>
      <c r="AG73" s="103"/>
      <c r="AH73" s="103"/>
      <c r="AI73" s="103"/>
      <c r="AJ73" s="103"/>
      <c r="AK73" s="104"/>
      <c r="AL73" s="1" t="s">
        <v>3</v>
      </c>
    </row>
    <row r="74" spans="2:38" s="1" customFormat="1" ht="13.5" outlineLevel="1">
      <c r="B74" s="208"/>
      <c r="C74" s="211"/>
      <c r="D74" s="126" t="s">
        <v>46</v>
      </c>
      <c r="E74" s="108">
        <f t="shared" si="29"/>
        <v>0</v>
      </c>
      <c r="F74" s="94">
        <v>20</v>
      </c>
      <c r="G74" s="157" t="s">
        <v>7</v>
      </c>
      <c r="H74" s="160"/>
      <c r="I74" s="96"/>
      <c r="J74" s="96"/>
      <c r="K74" s="96"/>
      <c r="L74" s="96"/>
      <c r="M74" s="96"/>
      <c r="N74" s="96"/>
      <c r="O74" s="96"/>
      <c r="P74" s="96"/>
      <c r="Q74" s="96"/>
      <c r="R74" s="96"/>
      <c r="S74" s="96"/>
      <c r="T74" s="96"/>
      <c r="U74" s="96"/>
      <c r="V74" s="96"/>
      <c r="W74" s="96"/>
      <c r="X74" s="96"/>
      <c r="Y74" s="96"/>
      <c r="Z74" s="96"/>
      <c r="AA74" s="96"/>
      <c r="AB74" s="96"/>
      <c r="AC74" s="96"/>
      <c r="AD74" s="96"/>
      <c r="AE74" s="96"/>
      <c r="AF74" s="96"/>
      <c r="AG74" s="96"/>
      <c r="AH74" s="96"/>
      <c r="AI74" s="96"/>
      <c r="AJ74" s="96"/>
      <c r="AK74" s="97"/>
      <c r="AL74" s="1" t="s">
        <v>3</v>
      </c>
    </row>
    <row r="75" spans="2:38" s="1" customFormat="1" ht="13.5" outlineLevel="1">
      <c r="B75" s="208"/>
      <c r="C75" s="211"/>
      <c r="D75" s="126" t="s">
        <v>48</v>
      </c>
      <c r="E75" s="108">
        <f t="shared" si="29"/>
        <v>0</v>
      </c>
      <c r="F75" s="94">
        <v>20</v>
      </c>
      <c r="G75" s="157" t="s">
        <v>7</v>
      </c>
      <c r="H75" s="160"/>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7"/>
      <c r="AL75" s="1" t="s">
        <v>3</v>
      </c>
    </row>
    <row r="76" spans="2:38" s="1" customFormat="1" ht="13.5" outlineLevel="1">
      <c r="B76" s="208"/>
      <c r="C76" s="211"/>
      <c r="D76" s="126" t="s">
        <v>49</v>
      </c>
      <c r="E76" s="108">
        <f t="shared" si="29"/>
        <v>460</v>
      </c>
      <c r="F76" s="94">
        <v>20</v>
      </c>
      <c r="G76" s="157" t="s">
        <v>7</v>
      </c>
      <c r="H76" s="160"/>
      <c r="I76" s="96"/>
      <c r="J76" s="96"/>
      <c r="K76" s="96"/>
      <c r="L76" s="96"/>
      <c r="M76" s="96"/>
      <c r="N76" s="96"/>
      <c r="O76" s="96"/>
      <c r="P76" s="96"/>
      <c r="Q76" s="96"/>
      <c r="R76" s="96"/>
      <c r="S76" s="96"/>
      <c r="T76" s="96"/>
      <c r="U76" s="96"/>
      <c r="V76" s="96"/>
      <c r="W76" s="96"/>
      <c r="X76" s="96"/>
      <c r="Y76" s="96"/>
      <c r="Z76" s="96"/>
      <c r="AA76" s="96">
        <v>4</v>
      </c>
      <c r="AB76" s="96"/>
      <c r="AC76" s="96"/>
      <c r="AD76" s="96"/>
      <c r="AE76" s="96"/>
      <c r="AF76" s="96"/>
      <c r="AG76" s="96">
        <v>19</v>
      </c>
      <c r="AH76" s="96"/>
      <c r="AI76" s="96"/>
      <c r="AJ76" s="96"/>
      <c r="AK76" s="97"/>
      <c r="AL76" s="1" t="s">
        <v>3</v>
      </c>
    </row>
    <row r="77" spans="2:38" s="1" customFormat="1" ht="13.5" outlineLevel="1">
      <c r="B77" s="208"/>
      <c r="C77" s="211"/>
      <c r="D77" s="29" t="s">
        <v>36</v>
      </c>
      <c r="E77" s="108">
        <f t="shared" si="29"/>
        <v>1520</v>
      </c>
      <c r="F77" s="94">
        <v>10</v>
      </c>
      <c r="G77" s="157" t="s">
        <v>7</v>
      </c>
      <c r="H77" s="160">
        <v>11</v>
      </c>
      <c r="I77" s="96"/>
      <c r="J77" s="96"/>
      <c r="K77" s="96"/>
      <c r="L77" s="96"/>
      <c r="M77" s="96"/>
      <c r="N77" s="96">
        <v>15</v>
      </c>
      <c r="O77" s="96">
        <v>7</v>
      </c>
      <c r="P77" s="96"/>
      <c r="Q77" s="96"/>
      <c r="R77" s="96">
        <v>13</v>
      </c>
      <c r="S77" s="96"/>
      <c r="T77" s="96">
        <v>17</v>
      </c>
      <c r="U77" s="96">
        <v>7</v>
      </c>
      <c r="V77" s="96">
        <v>11</v>
      </c>
      <c r="W77" s="96"/>
      <c r="X77" s="96"/>
      <c r="Y77" s="96">
        <v>13</v>
      </c>
      <c r="Z77" s="96"/>
      <c r="AA77" s="96">
        <v>6</v>
      </c>
      <c r="AB77" s="96">
        <v>11</v>
      </c>
      <c r="AC77" s="96">
        <v>12</v>
      </c>
      <c r="AD77" s="96"/>
      <c r="AE77" s="96"/>
      <c r="AF77" s="96">
        <v>12</v>
      </c>
      <c r="AG77" s="96"/>
      <c r="AH77" s="96">
        <v>10</v>
      </c>
      <c r="AI77" s="96" t="s">
        <v>55</v>
      </c>
      <c r="AJ77" s="96">
        <v>7</v>
      </c>
      <c r="AK77" s="97"/>
      <c r="AL77" s="1" t="s">
        <v>3</v>
      </c>
    </row>
    <row r="78" spans="2:38" s="1" customFormat="1" ht="14" outlineLevel="1" thickBot="1">
      <c r="B78" s="208"/>
      <c r="C78" s="211"/>
      <c r="D78" s="29"/>
      <c r="E78" s="109">
        <f t="shared" si="29"/>
        <v>0</v>
      </c>
      <c r="F78" s="114"/>
      <c r="G78" s="164" t="s">
        <v>7</v>
      </c>
      <c r="H78" s="161"/>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5"/>
      <c r="AL78" s="1" t="s">
        <v>3</v>
      </c>
    </row>
    <row r="79" spans="2:38" s="1" customFormat="1" ht="13.5" outlineLevel="1">
      <c r="B79" s="208"/>
      <c r="C79" s="210" t="s">
        <v>25</v>
      </c>
      <c r="D79" s="30" t="s">
        <v>32</v>
      </c>
      <c r="E79" s="111">
        <f t="shared" si="29"/>
        <v>0</v>
      </c>
      <c r="F79" s="102">
        <v>8</v>
      </c>
      <c r="G79" s="162" t="s">
        <v>7</v>
      </c>
      <c r="H79" s="159"/>
      <c r="I79" s="103"/>
      <c r="J79" s="103"/>
      <c r="K79" s="103"/>
      <c r="L79" s="103"/>
      <c r="M79" s="103"/>
      <c r="N79" s="103"/>
      <c r="O79" s="103"/>
      <c r="P79" s="103"/>
      <c r="Q79" s="103"/>
      <c r="R79" s="103"/>
      <c r="S79" s="103"/>
      <c r="T79" s="103"/>
      <c r="U79" s="103"/>
      <c r="V79" s="103"/>
      <c r="W79" s="103"/>
      <c r="X79" s="103"/>
      <c r="Y79" s="103"/>
      <c r="Z79" s="103"/>
      <c r="AA79" s="103"/>
      <c r="AB79" s="103"/>
      <c r="AC79" s="103"/>
      <c r="AD79" s="103"/>
      <c r="AE79" s="103"/>
      <c r="AF79" s="103"/>
      <c r="AG79" s="103"/>
      <c r="AH79" s="103"/>
      <c r="AI79" s="103"/>
      <c r="AJ79" s="103"/>
      <c r="AK79" s="104"/>
      <c r="AL79" s="1" t="s">
        <v>3</v>
      </c>
    </row>
    <row r="80" spans="2:38" s="1" customFormat="1" ht="13.5" outlineLevel="1">
      <c r="B80" s="208"/>
      <c r="C80" s="211"/>
      <c r="D80" s="31" t="s">
        <v>33</v>
      </c>
      <c r="E80" s="112">
        <f t="shared" si="29"/>
        <v>2561</v>
      </c>
      <c r="F80" s="94">
        <v>13</v>
      </c>
      <c r="G80" s="157" t="s">
        <v>7</v>
      </c>
      <c r="H80" s="160">
        <v>10</v>
      </c>
      <c r="I80" s="96"/>
      <c r="J80" s="96"/>
      <c r="K80" s="96"/>
      <c r="L80" s="96"/>
      <c r="M80" s="96"/>
      <c r="N80" s="96">
        <v>17</v>
      </c>
      <c r="O80" s="96">
        <v>10</v>
      </c>
      <c r="P80" s="96"/>
      <c r="Q80" s="96"/>
      <c r="R80" s="96">
        <v>9</v>
      </c>
      <c r="S80" s="96">
        <v>6</v>
      </c>
      <c r="T80" s="96">
        <v>7</v>
      </c>
      <c r="U80" s="96">
        <v>13</v>
      </c>
      <c r="V80" s="96">
        <v>3</v>
      </c>
      <c r="W80" s="96"/>
      <c r="X80" s="96"/>
      <c r="Y80" s="96">
        <v>4</v>
      </c>
      <c r="Z80" s="96">
        <v>25</v>
      </c>
      <c r="AA80" s="96">
        <v>23</v>
      </c>
      <c r="AB80" s="96">
        <v>8</v>
      </c>
      <c r="AC80" s="96"/>
      <c r="AD80" s="96"/>
      <c r="AE80" s="96"/>
      <c r="AF80" s="96">
        <v>14</v>
      </c>
      <c r="AG80" s="96">
        <v>11</v>
      </c>
      <c r="AH80" s="96">
        <v>21</v>
      </c>
      <c r="AI80" s="96">
        <v>12</v>
      </c>
      <c r="AJ80" s="96">
        <v>4</v>
      </c>
      <c r="AK80" s="97"/>
      <c r="AL80" s="1" t="s">
        <v>3</v>
      </c>
    </row>
    <row r="81" spans="2:38" s="1" customFormat="1" ht="13.5" outlineLevel="1">
      <c r="B81" s="208"/>
      <c r="C81" s="211"/>
      <c r="D81" s="31" t="s">
        <v>34</v>
      </c>
      <c r="E81" s="112">
        <f t="shared" si="29"/>
        <v>0</v>
      </c>
      <c r="F81" s="94"/>
      <c r="G81" s="157" t="s">
        <v>7</v>
      </c>
      <c r="H81" s="160"/>
      <c r="I81" s="96"/>
      <c r="J81" s="96"/>
      <c r="K81" s="96"/>
      <c r="L81" s="96"/>
      <c r="M81" s="96"/>
      <c r="N81" s="96"/>
      <c r="O81" s="96"/>
      <c r="P81" s="96"/>
      <c r="Q81" s="96"/>
      <c r="R81" s="96"/>
      <c r="S81" s="96"/>
      <c r="T81" s="96"/>
      <c r="U81" s="96"/>
      <c r="V81" s="96"/>
      <c r="W81" s="96"/>
      <c r="X81" s="96"/>
      <c r="Y81" s="96"/>
      <c r="Z81" s="96"/>
      <c r="AA81" s="96"/>
      <c r="AB81" s="96"/>
      <c r="AC81" s="96"/>
      <c r="AD81" s="96"/>
      <c r="AE81" s="96"/>
      <c r="AF81" s="96"/>
      <c r="AG81" s="96"/>
      <c r="AH81" s="96"/>
      <c r="AI81" s="96"/>
      <c r="AJ81" s="96"/>
      <c r="AK81" s="97"/>
      <c r="AL81" s="1" t="s">
        <v>3</v>
      </c>
    </row>
    <row r="82" spans="2:38" s="1" customFormat="1" ht="14" outlineLevel="1" thickBot="1">
      <c r="B82" s="208"/>
      <c r="C82" s="211"/>
      <c r="D82" s="31"/>
      <c r="E82" s="116"/>
      <c r="F82" s="98"/>
      <c r="G82" s="165" t="s">
        <v>7</v>
      </c>
      <c r="H82" s="161"/>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c r="AI82" s="110"/>
      <c r="AJ82" s="110"/>
      <c r="AK82" s="115"/>
      <c r="AL82" s="1" t="s">
        <v>3</v>
      </c>
    </row>
    <row r="83" spans="2:38">
      <c r="B83" s="227" t="s">
        <v>39</v>
      </c>
      <c r="C83" s="228"/>
      <c r="D83" s="228"/>
      <c r="E83" s="228"/>
      <c r="F83" s="228"/>
      <c r="G83" s="228"/>
      <c r="H83" s="49">
        <f t="shared" ref="H83:AK83" si="30">H13+H31+H39+H56+H73</f>
        <v>6</v>
      </c>
      <c r="I83" s="49">
        <f t="shared" si="30"/>
        <v>0</v>
      </c>
      <c r="J83" s="49">
        <f t="shared" si="30"/>
        <v>0</v>
      </c>
      <c r="K83" s="49">
        <f t="shared" si="30"/>
        <v>0</v>
      </c>
      <c r="L83" s="49">
        <f t="shared" si="30"/>
        <v>0</v>
      </c>
      <c r="M83" s="49">
        <f t="shared" si="30"/>
        <v>0</v>
      </c>
      <c r="N83" s="49">
        <f t="shared" si="30"/>
        <v>14</v>
      </c>
      <c r="O83" s="49">
        <f t="shared" si="30"/>
        <v>6</v>
      </c>
      <c r="P83" s="49">
        <f t="shared" si="30"/>
        <v>0</v>
      </c>
      <c r="Q83" s="49">
        <f t="shared" si="30"/>
        <v>0</v>
      </c>
      <c r="R83" s="49">
        <f t="shared" si="30"/>
        <v>0</v>
      </c>
      <c r="S83" s="49">
        <f t="shared" si="30"/>
        <v>14</v>
      </c>
      <c r="T83" s="49">
        <f t="shared" si="30"/>
        <v>14</v>
      </c>
      <c r="U83" s="49">
        <f t="shared" si="30"/>
        <v>8</v>
      </c>
      <c r="V83" s="49">
        <f t="shared" si="30"/>
        <v>17</v>
      </c>
      <c r="W83" s="49">
        <f t="shared" si="30"/>
        <v>0</v>
      </c>
      <c r="X83" s="49">
        <f t="shared" si="30"/>
        <v>0</v>
      </c>
      <c r="Y83" s="49">
        <f t="shared" si="30"/>
        <v>15</v>
      </c>
      <c r="Z83" s="49">
        <f t="shared" si="30"/>
        <v>0</v>
      </c>
      <c r="AA83" s="49">
        <f t="shared" si="30"/>
        <v>0</v>
      </c>
      <c r="AB83" s="49">
        <f t="shared" si="30"/>
        <v>6</v>
      </c>
      <c r="AC83" s="49">
        <f t="shared" si="30"/>
        <v>0</v>
      </c>
      <c r="AD83" s="49">
        <f t="shared" si="30"/>
        <v>0</v>
      </c>
      <c r="AE83" s="49">
        <f t="shared" si="30"/>
        <v>0</v>
      </c>
      <c r="AF83" s="49">
        <f t="shared" si="30"/>
        <v>9</v>
      </c>
      <c r="AG83" s="49">
        <f t="shared" si="30"/>
        <v>6</v>
      </c>
      <c r="AH83" s="49">
        <f t="shared" si="30"/>
        <v>0</v>
      </c>
      <c r="AI83" s="49">
        <f t="shared" si="30"/>
        <v>8</v>
      </c>
      <c r="AJ83" s="49">
        <f t="shared" si="30"/>
        <v>8</v>
      </c>
      <c r="AK83" s="49">
        <f t="shared" si="30"/>
        <v>0</v>
      </c>
      <c r="AL83" s="1" t="s">
        <v>3</v>
      </c>
    </row>
    <row r="84" spans="2:38">
      <c r="B84" s="229" t="s">
        <v>40</v>
      </c>
      <c r="C84" s="230"/>
      <c r="D84" s="230"/>
      <c r="E84" s="230"/>
      <c r="F84" s="230"/>
      <c r="G84" s="230"/>
      <c r="H84" s="48">
        <v>0</v>
      </c>
      <c r="I84" s="48">
        <v>0</v>
      </c>
      <c r="J84" s="48">
        <v>4</v>
      </c>
      <c r="K84" s="48">
        <v>0</v>
      </c>
      <c r="L84" s="48">
        <v>0</v>
      </c>
      <c r="M84" s="48">
        <v>3</v>
      </c>
      <c r="N84" s="48">
        <v>4</v>
      </c>
      <c r="O84" s="48">
        <v>3</v>
      </c>
      <c r="P84" s="48">
        <v>3</v>
      </c>
      <c r="Q84" s="48">
        <v>4</v>
      </c>
      <c r="R84" s="48">
        <v>0</v>
      </c>
      <c r="S84" s="48">
        <v>0</v>
      </c>
      <c r="T84" s="48">
        <v>3</v>
      </c>
      <c r="U84" s="48">
        <v>4</v>
      </c>
      <c r="V84" s="48">
        <v>3</v>
      </c>
      <c r="W84" s="48">
        <v>3</v>
      </c>
      <c r="X84" s="48">
        <v>4</v>
      </c>
      <c r="Y84" s="48">
        <v>0</v>
      </c>
      <c r="Z84" s="48">
        <v>0</v>
      </c>
      <c r="AA84" s="48">
        <v>3</v>
      </c>
      <c r="AB84" s="48">
        <v>4</v>
      </c>
      <c r="AC84" s="48">
        <v>3</v>
      </c>
      <c r="AD84" s="48">
        <v>3</v>
      </c>
      <c r="AE84" s="48">
        <v>4</v>
      </c>
      <c r="AF84" s="48">
        <v>0</v>
      </c>
      <c r="AG84" s="48">
        <v>0</v>
      </c>
      <c r="AH84" s="48">
        <v>3</v>
      </c>
      <c r="AI84" s="48">
        <v>4</v>
      </c>
      <c r="AJ84" s="48">
        <v>0</v>
      </c>
      <c r="AK84" s="50">
        <v>3</v>
      </c>
      <c r="AL84" s="1" t="s">
        <v>3</v>
      </c>
    </row>
    <row r="85" spans="2:38">
      <c r="B85" s="229" t="s">
        <v>41</v>
      </c>
      <c r="C85" s="230"/>
      <c r="D85" s="230"/>
      <c r="E85" s="230"/>
      <c r="F85" s="230"/>
      <c r="G85" s="230"/>
      <c r="H85" s="48">
        <v>0</v>
      </c>
      <c r="I85" s="48">
        <v>0</v>
      </c>
      <c r="J85" s="48">
        <v>1.5</v>
      </c>
      <c r="K85" s="48">
        <v>0</v>
      </c>
      <c r="L85" s="48">
        <v>0</v>
      </c>
      <c r="M85" s="48">
        <v>1.5</v>
      </c>
      <c r="N85" s="48">
        <v>2</v>
      </c>
      <c r="O85" s="48">
        <v>1.5</v>
      </c>
      <c r="P85" s="48">
        <v>1.5</v>
      </c>
      <c r="Q85" s="48">
        <v>1.5</v>
      </c>
      <c r="R85" s="48">
        <v>0</v>
      </c>
      <c r="S85" s="48">
        <v>0</v>
      </c>
      <c r="T85" s="48">
        <v>1.5</v>
      </c>
      <c r="U85" s="48">
        <v>2</v>
      </c>
      <c r="V85" s="48">
        <v>1.5</v>
      </c>
      <c r="W85" s="48">
        <v>1.5</v>
      </c>
      <c r="X85" s="48">
        <v>1.5</v>
      </c>
      <c r="Y85" s="48">
        <v>0</v>
      </c>
      <c r="Z85" s="48">
        <v>0</v>
      </c>
      <c r="AA85" s="48">
        <v>1.5</v>
      </c>
      <c r="AB85" s="48">
        <v>2</v>
      </c>
      <c r="AC85" s="48">
        <v>1.5</v>
      </c>
      <c r="AD85" s="48">
        <v>1.5</v>
      </c>
      <c r="AE85" s="48">
        <v>1.5</v>
      </c>
      <c r="AF85" s="48">
        <v>0</v>
      </c>
      <c r="AG85" s="48">
        <v>0</v>
      </c>
      <c r="AH85" s="48">
        <v>1.5</v>
      </c>
      <c r="AI85" s="48">
        <v>2</v>
      </c>
      <c r="AJ85" s="48">
        <v>0</v>
      </c>
      <c r="AK85" s="50">
        <v>1.5</v>
      </c>
      <c r="AL85" s="1" t="s">
        <v>3</v>
      </c>
    </row>
    <row r="86" spans="2:38" ht="15.5" thickBot="1">
      <c r="B86" s="231" t="s">
        <v>42</v>
      </c>
      <c r="C86" s="232"/>
      <c r="D86" s="232"/>
      <c r="E86" s="232"/>
      <c r="F86" s="232"/>
      <c r="G86" s="232"/>
      <c r="H86" s="51">
        <f t="shared" ref="H86:AK86" si="31">H84-(H83+H85)</f>
        <v>-6</v>
      </c>
      <c r="I86" s="51">
        <f t="shared" si="31"/>
        <v>0</v>
      </c>
      <c r="J86" s="51">
        <f t="shared" si="31"/>
        <v>2.5</v>
      </c>
      <c r="K86" s="51">
        <f t="shared" si="31"/>
        <v>0</v>
      </c>
      <c r="L86" s="51">
        <f t="shared" si="31"/>
        <v>0</v>
      </c>
      <c r="M86" s="51">
        <f t="shared" si="31"/>
        <v>1.5</v>
      </c>
      <c r="N86" s="51">
        <f t="shared" si="31"/>
        <v>-12</v>
      </c>
      <c r="O86" s="51">
        <f t="shared" si="31"/>
        <v>-4.5</v>
      </c>
      <c r="P86" s="51">
        <f t="shared" si="31"/>
        <v>1.5</v>
      </c>
      <c r="Q86" s="51">
        <f t="shared" si="31"/>
        <v>2.5</v>
      </c>
      <c r="R86" s="51">
        <f t="shared" si="31"/>
        <v>0</v>
      </c>
      <c r="S86" s="51">
        <f t="shared" si="31"/>
        <v>-14</v>
      </c>
      <c r="T86" s="51">
        <f t="shared" si="31"/>
        <v>-12.5</v>
      </c>
      <c r="U86" s="51">
        <f t="shared" si="31"/>
        <v>-6</v>
      </c>
      <c r="V86" s="51">
        <f t="shared" si="31"/>
        <v>-15.5</v>
      </c>
      <c r="W86" s="51">
        <f t="shared" si="31"/>
        <v>1.5</v>
      </c>
      <c r="X86" s="51">
        <f t="shared" si="31"/>
        <v>2.5</v>
      </c>
      <c r="Y86" s="51">
        <f t="shared" si="31"/>
        <v>-15</v>
      </c>
      <c r="Z86" s="51">
        <f t="shared" si="31"/>
        <v>0</v>
      </c>
      <c r="AA86" s="51">
        <f t="shared" si="31"/>
        <v>1.5</v>
      </c>
      <c r="AB86" s="51">
        <f t="shared" si="31"/>
        <v>-4</v>
      </c>
      <c r="AC86" s="51">
        <f t="shared" si="31"/>
        <v>1.5</v>
      </c>
      <c r="AD86" s="51">
        <f t="shared" si="31"/>
        <v>1.5</v>
      </c>
      <c r="AE86" s="51">
        <f t="shared" si="31"/>
        <v>2.5</v>
      </c>
      <c r="AF86" s="51">
        <f t="shared" si="31"/>
        <v>-9</v>
      </c>
      <c r="AG86" s="51">
        <f t="shared" si="31"/>
        <v>-6</v>
      </c>
      <c r="AH86" s="51">
        <f t="shared" si="31"/>
        <v>1.5</v>
      </c>
      <c r="AI86" s="51">
        <f t="shared" si="31"/>
        <v>-6</v>
      </c>
      <c r="AJ86" s="51">
        <f t="shared" si="31"/>
        <v>-8</v>
      </c>
      <c r="AK86" s="64">
        <f t="shared" si="31"/>
        <v>1.5</v>
      </c>
      <c r="AL86" s="1" t="s">
        <v>3</v>
      </c>
    </row>
    <row r="87" spans="2:38">
      <c r="J87" s="58"/>
    </row>
  </sheetData>
  <mergeCells count="47">
    <mergeCell ref="C3:D5"/>
    <mergeCell ref="E3:E5"/>
    <mergeCell ref="F3:F5"/>
    <mergeCell ref="B6:B31"/>
    <mergeCell ref="C6:D6"/>
    <mergeCell ref="C7:D7"/>
    <mergeCell ref="C8:D8"/>
    <mergeCell ref="C9:D9"/>
    <mergeCell ref="C10:D10"/>
    <mergeCell ref="C11:D11"/>
    <mergeCell ref="C12:D12"/>
    <mergeCell ref="C13:C23"/>
    <mergeCell ref="C24:C31"/>
    <mergeCell ref="B32:B48"/>
    <mergeCell ref="C32:D32"/>
    <mergeCell ref="C33:D33"/>
    <mergeCell ref="C34:D34"/>
    <mergeCell ref="C35:D35"/>
    <mergeCell ref="C36:D36"/>
    <mergeCell ref="C37:D37"/>
    <mergeCell ref="C38:D38"/>
    <mergeCell ref="C39:C44"/>
    <mergeCell ref="C45:C48"/>
    <mergeCell ref="B49:B65"/>
    <mergeCell ref="C49:D49"/>
    <mergeCell ref="C50:D50"/>
    <mergeCell ref="C51:D51"/>
    <mergeCell ref="C52:D52"/>
    <mergeCell ref="C53:D53"/>
    <mergeCell ref="C54:D54"/>
    <mergeCell ref="C55:D55"/>
    <mergeCell ref="C56:C61"/>
    <mergeCell ref="C62:C65"/>
    <mergeCell ref="B86:G86"/>
    <mergeCell ref="C72:D72"/>
    <mergeCell ref="C73:C78"/>
    <mergeCell ref="C79:C82"/>
    <mergeCell ref="B83:G83"/>
    <mergeCell ref="B84:G84"/>
    <mergeCell ref="B85:G85"/>
    <mergeCell ref="B66:B82"/>
    <mergeCell ref="C66:D66"/>
    <mergeCell ref="C67:D67"/>
    <mergeCell ref="C68:D68"/>
    <mergeCell ref="C69:D69"/>
    <mergeCell ref="C70:D70"/>
    <mergeCell ref="C71:D71"/>
  </mergeCells>
  <phoneticPr fontId="2"/>
  <conditionalFormatting sqref="H4:AK5">
    <cfRule type="timePeriod" dxfId="19" priority="1" timePeriod="today">
      <formula>FLOOR(H4,1)=TODAY()</formula>
    </cfRule>
  </conditionalFormatting>
  <conditionalFormatting sqref="H86:AK86">
    <cfRule type="cellIs" dxfId="17" priority="4" operator="notEqual">
      <formula>0</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 id="{41757ACD-CC4A-4374-94AC-57525F3EEDC1}">
            <xm:f>OR(WEEKDAY(H$4,2)&gt;=6,COUNTIF(祝日!$A:$A,H$4)&gt;=1)</xm:f>
            <x14:dxf>
              <fill>
                <patternFill>
                  <bgColor theme="1" tint="0.499984740745262"/>
                </patternFill>
              </fill>
            </x14:dxf>
          </x14:cfRule>
          <xm:sqref>H6:AK82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01303-6928-4F4F-A036-3C86EE796C4C}">
  <dimension ref="B1:AL67"/>
  <sheetViews>
    <sheetView zoomScale="149" zoomScaleNormal="190" workbookViewId="0">
      <pane xSplit="7" ySplit="5" topLeftCell="S6" activePane="bottomRight" state="frozen"/>
      <selection pane="topRight" activeCell="Q66" sqref="Q66"/>
      <selection pane="bottomLeft" activeCell="Q66" sqref="Q66"/>
      <selection pane="bottomRight" activeCell="AJ8" sqref="AJ8"/>
    </sheetView>
  </sheetViews>
  <sheetFormatPr defaultRowHeight="15" outlineLevelRow="1"/>
  <cols>
    <col min="1" max="1" width="3.42578125" customWidth="1"/>
    <col min="2" max="2" width="4.640625" customWidth="1"/>
    <col min="3" max="3" width="3.35546875" bestFit="1" customWidth="1"/>
    <col min="4" max="4" width="8.5703125" customWidth="1"/>
    <col min="5" max="5" width="6.85546875" style="11" bestFit="1" customWidth="1"/>
    <col min="6" max="6" width="6" customWidth="1"/>
    <col min="7" max="7" width="4.640625" bestFit="1" customWidth="1"/>
    <col min="8" max="8" width="4.5703125" customWidth="1"/>
    <col min="9" max="9" width="4.35546875" bestFit="1" customWidth="1"/>
    <col min="10" max="10" width="4.640625" customWidth="1"/>
    <col min="11" max="11" width="4.140625" customWidth="1"/>
    <col min="12" max="12" width="4.35546875" bestFit="1" customWidth="1"/>
    <col min="13" max="13" width="4.35546875" customWidth="1"/>
    <col min="14" max="14" width="4.85546875" customWidth="1"/>
    <col min="15" max="15" width="4.140625" customWidth="1"/>
    <col min="16" max="21" width="4.35546875" bestFit="1" customWidth="1"/>
    <col min="22" max="22" width="4" customWidth="1"/>
    <col min="23" max="37" width="4.140625" customWidth="1"/>
    <col min="38" max="38" width="5.42578125" customWidth="1"/>
  </cols>
  <sheetData>
    <row r="1" spans="2:38">
      <c r="E1" s="11">
        <f>348-480</f>
        <v>-132</v>
      </c>
    </row>
    <row r="2" spans="2:38" ht="15.5" thickBot="1">
      <c r="E2"/>
      <c r="H2">
        <v>1</v>
      </c>
      <c r="N2">
        <v>1</v>
      </c>
      <c r="O2">
        <v>1</v>
      </c>
      <c r="R2">
        <v>1</v>
      </c>
      <c r="S2">
        <v>1</v>
      </c>
      <c r="T2">
        <v>1</v>
      </c>
      <c r="U2">
        <v>1</v>
      </c>
      <c r="V2">
        <v>1</v>
      </c>
      <c r="Y2">
        <v>1</v>
      </c>
      <c r="Z2">
        <v>1</v>
      </c>
      <c r="AA2">
        <v>1</v>
      </c>
      <c r="AB2">
        <v>1</v>
      </c>
      <c r="AC2">
        <v>1</v>
      </c>
      <c r="AF2">
        <v>1</v>
      </c>
      <c r="AG2">
        <v>1</v>
      </c>
      <c r="AH2">
        <v>1</v>
      </c>
      <c r="AI2">
        <v>1</v>
      </c>
      <c r="AJ2">
        <v>1</v>
      </c>
    </row>
    <row r="3" spans="2:38" s="1" customFormat="1" ht="15" customHeight="1">
      <c r="C3" s="266"/>
      <c r="D3" s="267"/>
      <c r="E3" s="262" t="s">
        <v>0</v>
      </c>
      <c r="F3" s="264" t="s">
        <v>1</v>
      </c>
      <c r="G3" s="132"/>
      <c r="H3" s="133">
        <v>46143</v>
      </c>
      <c r="I3" s="134"/>
      <c r="J3" s="134"/>
      <c r="K3" s="134"/>
      <c r="L3" s="134"/>
      <c r="M3" s="134"/>
      <c r="N3" s="135" t="s">
        <v>2</v>
      </c>
      <c r="O3" s="134"/>
      <c r="P3" s="134"/>
      <c r="Q3" s="134"/>
      <c r="R3" s="134"/>
      <c r="S3" s="134"/>
      <c r="T3" s="135"/>
      <c r="U3" s="134"/>
      <c r="V3" s="134"/>
      <c r="W3" s="134"/>
      <c r="X3" s="134"/>
      <c r="Y3" s="134"/>
      <c r="Z3" s="134"/>
      <c r="AA3" s="134"/>
      <c r="AB3" s="134"/>
      <c r="AC3" s="134"/>
      <c r="AD3" s="134"/>
      <c r="AE3" s="134"/>
      <c r="AF3" s="134"/>
      <c r="AG3" s="134"/>
      <c r="AH3" s="134"/>
      <c r="AI3" s="134"/>
      <c r="AJ3" s="134"/>
      <c r="AK3" s="136"/>
      <c r="AL3" s="1" t="s">
        <v>3</v>
      </c>
    </row>
    <row r="4" spans="2:38" s="1" customFormat="1" ht="13.5" customHeight="1">
      <c r="C4" s="268"/>
      <c r="D4" s="269"/>
      <c r="E4" s="263"/>
      <c r="F4" s="265"/>
      <c r="G4" s="137"/>
      <c r="H4" s="138">
        <f>H3</f>
        <v>46143</v>
      </c>
      <c r="I4" s="139">
        <f t="shared" ref="I4:AK4" si="0">H4+1</f>
        <v>46144</v>
      </c>
      <c r="J4" s="139">
        <f t="shared" si="0"/>
        <v>46145</v>
      </c>
      <c r="K4" s="139">
        <f t="shared" si="0"/>
        <v>46146</v>
      </c>
      <c r="L4" s="139">
        <f t="shared" si="0"/>
        <v>46147</v>
      </c>
      <c r="M4" s="139">
        <f t="shared" si="0"/>
        <v>46148</v>
      </c>
      <c r="N4" s="139">
        <f t="shared" si="0"/>
        <v>46149</v>
      </c>
      <c r="O4" s="139">
        <f t="shared" si="0"/>
        <v>46150</v>
      </c>
      <c r="P4" s="139">
        <f t="shared" si="0"/>
        <v>46151</v>
      </c>
      <c r="Q4" s="139">
        <f t="shared" si="0"/>
        <v>46152</v>
      </c>
      <c r="R4" s="139">
        <f t="shared" si="0"/>
        <v>46153</v>
      </c>
      <c r="S4" s="139">
        <f t="shared" si="0"/>
        <v>46154</v>
      </c>
      <c r="T4" s="139">
        <f t="shared" si="0"/>
        <v>46155</v>
      </c>
      <c r="U4" s="139">
        <f t="shared" si="0"/>
        <v>46156</v>
      </c>
      <c r="V4" s="139">
        <f t="shared" si="0"/>
        <v>46157</v>
      </c>
      <c r="W4" s="139">
        <f t="shared" si="0"/>
        <v>46158</v>
      </c>
      <c r="X4" s="139">
        <f t="shared" si="0"/>
        <v>46159</v>
      </c>
      <c r="Y4" s="139">
        <f t="shared" si="0"/>
        <v>46160</v>
      </c>
      <c r="Z4" s="139">
        <f t="shared" si="0"/>
        <v>46161</v>
      </c>
      <c r="AA4" s="139">
        <f t="shared" si="0"/>
        <v>46162</v>
      </c>
      <c r="AB4" s="139">
        <f t="shared" si="0"/>
        <v>46163</v>
      </c>
      <c r="AC4" s="139">
        <f t="shared" si="0"/>
        <v>46164</v>
      </c>
      <c r="AD4" s="139">
        <f t="shared" si="0"/>
        <v>46165</v>
      </c>
      <c r="AE4" s="139">
        <f t="shared" si="0"/>
        <v>46166</v>
      </c>
      <c r="AF4" s="139">
        <f t="shared" si="0"/>
        <v>46167</v>
      </c>
      <c r="AG4" s="139">
        <f t="shared" si="0"/>
        <v>46168</v>
      </c>
      <c r="AH4" s="139">
        <f t="shared" si="0"/>
        <v>46169</v>
      </c>
      <c r="AI4" s="139">
        <f t="shared" si="0"/>
        <v>46170</v>
      </c>
      <c r="AJ4" s="139">
        <f t="shared" si="0"/>
        <v>46171</v>
      </c>
      <c r="AK4" s="140">
        <f t="shared" si="0"/>
        <v>46172</v>
      </c>
      <c r="AL4" s="1" t="s">
        <v>3</v>
      </c>
    </row>
    <row r="5" spans="2:38" s="1" customFormat="1" ht="14" thickBot="1">
      <c r="C5" s="268"/>
      <c r="D5" s="269"/>
      <c r="E5" s="263"/>
      <c r="F5" s="265"/>
      <c r="G5" s="141"/>
      <c r="H5" s="142">
        <f>H4</f>
        <v>46143</v>
      </c>
      <c r="I5" s="143">
        <f t="shared" ref="I5:AK5" si="1">I4</f>
        <v>46144</v>
      </c>
      <c r="J5" s="143">
        <f t="shared" si="1"/>
        <v>46145</v>
      </c>
      <c r="K5" s="143">
        <f t="shared" si="1"/>
        <v>46146</v>
      </c>
      <c r="L5" s="143">
        <f t="shared" si="1"/>
        <v>46147</v>
      </c>
      <c r="M5" s="143">
        <f t="shared" si="1"/>
        <v>46148</v>
      </c>
      <c r="N5" s="143">
        <f t="shared" si="1"/>
        <v>46149</v>
      </c>
      <c r="O5" s="143">
        <f t="shared" si="1"/>
        <v>46150</v>
      </c>
      <c r="P5" s="143">
        <f t="shared" si="1"/>
        <v>46151</v>
      </c>
      <c r="Q5" s="143">
        <f t="shared" si="1"/>
        <v>46152</v>
      </c>
      <c r="R5" s="143">
        <f t="shared" si="1"/>
        <v>46153</v>
      </c>
      <c r="S5" s="143">
        <f t="shared" si="1"/>
        <v>46154</v>
      </c>
      <c r="T5" s="143">
        <f t="shared" si="1"/>
        <v>46155</v>
      </c>
      <c r="U5" s="143">
        <f t="shared" si="1"/>
        <v>46156</v>
      </c>
      <c r="V5" s="143">
        <f t="shared" si="1"/>
        <v>46157</v>
      </c>
      <c r="W5" s="143">
        <f t="shared" si="1"/>
        <v>46158</v>
      </c>
      <c r="X5" s="143">
        <f t="shared" si="1"/>
        <v>46159</v>
      </c>
      <c r="Y5" s="143">
        <f t="shared" si="1"/>
        <v>46160</v>
      </c>
      <c r="Z5" s="143">
        <f t="shared" si="1"/>
        <v>46161</v>
      </c>
      <c r="AA5" s="143">
        <f t="shared" si="1"/>
        <v>46162</v>
      </c>
      <c r="AB5" s="143">
        <f t="shared" si="1"/>
        <v>46163</v>
      </c>
      <c r="AC5" s="143">
        <f t="shared" si="1"/>
        <v>46164</v>
      </c>
      <c r="AD5" s="143">
        <f t="shared" si="1"/>
        <v>46165</v>
      </c>
      <c r="AE5" s="143">
        <f t="shared" si="1"/>
        <v>46166</v>
      </c>
      <c r="AF5" s="143">
        <f t="shared" si="1"/>
        <v>46167</v>
      </c>
      <c r="AG5" s="143">
        <f t="shared" si="1"/>
        <v>46168</v>
      </c>
      <c r="AH5" s="143">
        <f t="shared" si="1"/>
        <v>46169</v>
      </c>
      <c r="AI5" s="143">
        <f t="shared" si="1"/>
        <v>46170</v>
      </c>
      <c r="AJ5" s="143">
        <f t="shared" si="1"/>
        <v>46171</v>
      </c>
      <c r="AK5" s="144">
        <f t="shared" si="1"/>
        <v>46172</v>
      </c>
      <c r="AL5" s="1" t="s">
        <v>3</v>
      </c>
    </row>
    <row r="6" spans="2:38" s="1" customFormat="1" ht="15" customHeight="1">
      <c r="B6" s="226" t="s">
        <v>4</v>
      </c>
      <c r="C6" s="259" t="s">
        <v>52</v>
      </c>
      <c r="D6" s="260"/>
      <c r="E6" s="149">
        <f>'0501(予定)'!E6</f>
        <v>5720</v>
      </c>
      <c r="F6" s="149" t="str">
        <f>'0501(予定)'!F6</f>
        <v>-</v>
      </c>
      <c r="G6" s="150" t="str">
        <f>'0501(予定)'!G6</f>
        <v>件数</v>
      </c>
      <c r="H6" s="151">
        <f>'0501(予定)'!H6</f>
        <v>96</v>
      </c>
      <c r="I6" s="151">
        <f>'0501(予定)'!I6</f>
        <v>0</v>
      </c>
      <c r="J6" s="151">
        <f>'0501(予定)'!J6</f>
        <v>0</v>
      </c>
      <c r="K6" s="151">
        <f>'0501(予定)'!K6</f>
        <v>0</v>
      </c>
      <c r="L6" s="151">
        <f>'0501(予定)'!L6</f>
        <v>0</v>
      </c>
      <c r="M6" s="151">
        <f>'0501(予定)'!M6</f>
        <v>0</v>
      </c>
      <c r="N6" s="151">
        <f>'0501(予定)'!N6</f>
        <v>0</v>
      </c>
      <c r="O6" s="151">
        <f>'0501(予定)'!O6</f>
        <v>102</v>
      </c>
      <c r="P6" s="151">
        <f>'0501(予定)'!P6</f>
        <v>0</v>
      </c>
      <c r="Q6" s="151">
        <f>'0501(予定)'!Q6</f>
        <v>0</v>
      </c>
      <c r="R6" s="151">
        <f>'0501(予定)'!R6</f>
        <v>75</v>
      </c>
      <c r="S6" s="151">
        <f>'0501(予定)'!S6</f>
        <v>213</v>
      </c>
      <c r="T6" s="151">
        <f>'0501(予定)'!T6</f>
        <v>153</v>
      </c>
      <c r="U6" s="151">
        <f>'0501(予定)'!U6</f>
        <v>98</v>
      </c>
      <c r="V6" s="151">
        <f>'0501(予定)'!V6</f>
        <v>147</v>
      </c>
      <c r="W6" s="151">
        <f>'0501(予定)'!W6</f>
        <v>0</v>
      </c>
      <c r="X6" s="151">
        <f>'0501(予定)'!X6</f>
        <v>0</v>
      </c>
      <c r="Y6" s="151">
        <f>'0501(予定)'!Y6</f>
        <v>100</v>
      </c>
      <c r="Z6" s="151">
        <f>'0501(予定)'!Z6</f>
        <v>76</v>
      </c>
      <c r="AA6" s="151">
        <f>'0501(予定)'!AA6</f>
        <v>41</v>
      </c>
      <c r="AB6" s="151">
        <f>'0501(予定)'!AB6</f>
        <v>11</v>
      </c>
      <c r="AC6" s="151">
        <f>'0501(予定)'!AC6</f>
        <v>17</v>
      </c>
      <c r="AD6" s="151">
        <f>'0501(予定)'!AD6</f>
        <v>0</v>
      </c>
      <c r="AE6" s="151">
        <f>'0501(予定)'!AE6</f>
        <v>0</v>
      </c>
      <c r="AF6" s="151">
        <f>'0501(予定)'!AF6</f>
        <v>14</v>
      </c>
      <c r="AG6" s="151">
        <f>'0501(予定)'!AG6</f>
        <v>13</v>
      </c>
      <c r="AH6" s="151">
        <f>'0501(予定)'!AH6</f>
        <v>13</v>
      </c>
      <c r="AI6" s="151">
        <f>'0501(予定)'!AI6</f>
        <v>13</v>
      </c>
      <c r="AJ6" s="151">
        <f>'0501(予定)'!AJ6</f>
        <v>13</v>
      </c>
      <c r="AK6" s="152">
        <f>'0501(予定)'!AK6</f>
        <v>0</v>
      </c>
      <c r="AL6" s="1">
        <f>SUM(H6:AK6)</f>
        <v>1195</v>
      </c>
    </row>
    <row r="7" spans="2:38" s="1" customFormat="1" ht="15" customHeight="1">
      <c r="B7" s="208"/>
      <c r="C7" s="237" t="s">
        <v>5</v>
      </c>
      <c r="D7" s="238"/>
      <c r="E7" s="117">
        <f>'0501(実績)'!E6</f>
        <v>1441</v>
      </c>
      <c r="F7" s="117" t="str">
        <f>'0501(実績)'!F6</f>
        <v>-</v>
      </c>
      <c r="G7" s="118" t="str">
        <f>'0501(実績)'!G6</f>
        <v>件数</v>
      </c>
      <c r="H7" s="119">
        <f>'0501(実績)'!H6</f>
        <v>102</v>
      </c>
      <c r="I7" s="119">
        <f>'0501(実績)'!I6</f>
        <v>0</v>
      </c>
      <c r="J7" s="119">
        <f>'0501(実績)'!J6</f>
        <v>0</v>
      </c>
      <c r="K7" s="119">
        <f>'0501(実績)'!K6</f>
        <v>0</v>
      </c>
      <c r="L7" s="119">
        <f>'0501(実績)'!L6</f>
        <v>0</v>
      </c>
      <c r="M7" s="119">
        <f>'0501(実績)'!M6</f>
        <v>0</v>
      </c>
      <c r="N7" s="119">
        <f>'0501(実績)'!N6</f>
        <v>119</v>
      </c>
      <c r="O7" s="119">
        <f>'0501(実績)'!O6</f>
        <v>213</v>
      </c>
      <c r="P7" s="119">
        <f>'0501(実績)'!P6</f>
        <v>0</v>
      </c>
      <c r="Q7" s="119">
        <f>'0501(実績)'!Q6</f>
        <v>0</v>
      </c>
      <c r="R7" s="119">
        <f>'0501(実績)'!R6</f>
        <v>172</v>
      </c>
      <c r="S7" s="119">
        <f>'0501(実績)'!S6</f>
        <v>201</v>
      </c>
      <c r="T7" s="119">
        <f>'0501(実績)'!T6</f>
        <v>160</v>
      </c>
      <c r="U7" s="119">
        <f>'0501(実績)'!U6</f>
        <v>132</v>
      </c>
      <c r="V7" s="119">
        <f>'0501(実績)'!V6</f>
        <v>114</v>
      </c>
      <c r="W7" s="119">
        <f>'0501(実績)'!W6</f>
        <v>0</v>
      </c>
      <c r="X7" s="119">
        <f>'0501(実績)'!X6</f>
        <v>0</v>
      </c>
      <c r="Y7" s="119">
        <f>'0501(実績)'!Y6</f>
        <v>72</v>
      </c>
      <c r="Z7" s="119">
        <f>'0501(実績)'!Z6</f>
        <v>9</v>
      </c>
      <c r="AA7" s="119">
        <f>'0501(実績)'!AA6</f>
        <v>56</v>
      </c>
      <c r="AB7" s="119">
        <f>'0501(実績)'!AB6</f>
        <v>25</v>
      </c>
      <c r="AC7" s="119">
        <f>'0501(実績)'!AC6</f>
        <v>12</v>
      </c>
      <c r="AD7" s="119">
        <f>'0501(実績)'!AD6</f>
        <v>0</v>
      </c>
      <c r="AE7" s="119">
        <f>'0501(実績)'!AE6</f>
        <v>0</v>
      </c>
      <c r="AF7" s="119">
        <f>'0501(実績)'!AF6</f>
        <v>8</v>
      </c>
      <c r="AG7" s="119">
        <f>'0501(実績)'!AG6</f>
        <v>9</v>
      </c>
      <c r="AH7" s="119">
        <f>'0501(実績)'!AH6</f>
        <v>5</v>
      </c>
      <c r="AI7" s="119">
        <f>'0501(実績)'!AI6</f>
        <v>18</v>
      </c>
      <c r="AJ7" s="119">
        <f>'0501(実績)'!AJ6</f>
        <v>14</v>
      </c>
      <c r="AK7" s="120">
        <f>'0501(実績)'!AK6</f>
        <v>0</v>
      </c>
      <c r="AL7" s="1">
        <f>SUM(H7:AK7)</f>
        <v>1441</v>
      </c>
    </row>
    <row r="8" spans="2:38" s="1" customFormat="1" ht="15" customHeight="1">
      <c r="B8" s="208"/>
      <c r="C8" s="255" t="s">
        <v>9</v>
      </c>
      <c r="D8" s="261"/>
      <c r="E8" s="153" t="str">
        <f>'0501(予定)'!E8</f>
        <v>-</v>
      </c>
      <c r="F8" s="153" t="str">
        <f>'0501(予定)'!F8</f>
        <v>-</v>
      </c>
      <c r="G8" s="154" t="str">
        <f>'0501(予定)'!G8</f>
        <v>件数</v>
      </c>
      <c r="H8" s="155">
        <f>'0501(予定)'!H8</f>
        <v>1635</v>
      </c>
      <c r="I8" s="155">
        <f>'0501(予定)'!I8</f>
        <v>1635</v>
      </c>
      <c r="J8" s="155">
        <f>'0501(予定)'!J8</f>
        <v>1635</v>
      </c>
      <c r="K8" s="155">
        <f>'0501(予定)'!K8</f>
        <v>1635</v>
      </c>
      <c r="L8" s="155">
        <f>'0501(予定)'!L8</f>
        <v>1635</v>
      </c>
      <c r="M8" s="155">
        <f>'0501(予定)'!M8</f>
        <v>1635</v>
      </c>
      <c r="N8" s="155">
        <f>'0501(予定)'!N8</f>
        <v>1740</v>
      </c>
      <c r="O8" s="155">
        <f>'0501(予定)'!O8</f>
        <v>1855</v>
      </c>
      <c r="P8" s="155">
        <f>'0501(予定)'!P8</f>
        <v>1855</v>
      </c>
      <c r="Q8" s="155">
        <f>'0501(予定)'!Q8</f>
        <v>1855</v>
      </c>
      <c r="R8" s="155">
        <f>'0501(予定)'!R8</f>
        <v>1960</v>
      </c>
      <c r="S8" s="155">
        <f>'0501(予定)'!S8</f>
        <v>2065</v>
      </c>
      <c r="T8" s="155">
        <f>'0501(予定)'!T8</f>
        <v>2170</v>
      </c>
      <c r="U8" s="155">
        <f>'0501(予定)'!U8</f>
        <v>2275</v>
      </c>
      <c r="V8" s="155">
        <f>'0501(予定)'!V8</f>
        <v>2390</v>
      </c>
      <c r="W8" s="155">
        <f>'0501(予定)'!W8</f>
        <v>2390</v>
      </c>
      <c r="X8" s="155">
        <f>'0501(予定)'!X8</f>
        <v>2390</v>
      </c>
      <c r="Y8" s="155">
        <f>'0501(予定)'!Y8</f>
        <v>2495</v>
      </c>
      <c r="Z8" s="155">
        <f>'0501(予定)'!Z8</f>
        <v>2600</v>
      </c>
      <c r="AA8" s="155">
        <f>'0501(予定)'!AA8</f>
        <v>2705</v>
      </c>
      <c r="AB8" s="155">
        <f>'0501(予定)'!AB8</f>
        <v>2810</v>
      </c>
      <c r="AC8" s="155">
        <f>'0501(予定)'!AC8</f>
        <v>2925</v>
      </c>
      <c r="AD8" s="155">
        <f>'0501(予定)'!AD8</f>
        <v>2925</v>
      </c>
      <c r="AE8" s="155">
        <f>'0501(予定)'!AE8</f>
        <v>2925</v>
      </c>
      <c r="AF8" s="155">
        <f>'0501(予定)'!AF8</f>
        <v>3020</v>
      </c>
      <c r="AG8" s="155">
        <f>'0501(予定)'!AG8</f>
        <v>3115</v>
      </c>
      <c r="AH8" s="155">
        <f>'0501(予定)'!AH8</f>
        <v>3210</v>
      </c>
      <c r="AI8" s="155">
        <f>'0501(予定)'!AI8</f>
        <v>3305</v>
      </c>
      <c r="AJ8" s="155">
        <f>'0501(予定)'!AJ8</f>
        <v>3305</v>
      </c>
      <c r="AK8" s="156">
        <f>'0501(予定)'!AK8</f>
        <v>3305</v>
      </c>
      <c r="AL8" s="1" t="s">
        <v>3</v>
      </c>
    </row>
    <row r="9" spans="2:38" s="1" customFormat="1" ht="15" customHeight="1">
      <c r="B9" s="208"/>
      <c r="C9" s="237" t="s">
        <v>43</v>
      </c>
      <c r="D9" s="238"/>
      <c r="E9" s="117">
        <f>'0501(実績)'!E8</f>
        <v>3637</v>
      </c>
      <c r="F9" s="117" t="str">
        <f>'0501(実績)'!F8</f>
        <v>-</v>
      </c>
      <c r="G9" s="118" t="str">
        <f>'0501(実績)'!G8</f>
        <v>件数</v>
      </c>
      <c r="H9" s="119">
        <f>'0501(実績)'!H8</f>
        <v>1959</v>
      </c>
      <c r="I9" s="119">
        <f>'0501(実績)'!I8</f>
        <v>1959</v>
      </c>
      <c r="J9" s="119">
        <f>'0501(実績)'!J8</f>
        <v>1959</v>
      </c>
      <c r="K9" s="119">
        <f>'0501(実績)'!K8</f>
        <v>1959</v>
      </c>
      <c r="L9" s="119">
        <f>'0501(実績)'!L8</f>
        <v>1959</v>
      </c>
      <c r="M9" s="119">
        <f>'0501(実績)'!M8</f>
        <v>1959</v>
      </c>
      <c r="N9" s="119">
        <f>'0501(実績)'!N8</f>
        <v>2088</v>
      </c>
      <c r="O9" s="119">
        <f>'0501(実績)'!O8</f>
        <v>2228</v>
      </c>
      <c r="P9" s="119">
        <f>'0501(実績)'!P8</f>
        <v>2228</v>
      </c>
      <c r="Q9" s="119">
        <f>'0501(実績)'!Q8</f>
        <v>2228</v>
      </c>
      <c r="R9" s="119">
        <f>'0501(実績)'!R8</f>
        <v>2328</v>
      </c>
      <c r="S9" s="119">
        <f>'0501(実績)'!S8</f>
        <v>2457</v>
      </c>
      <c r="T9" s="119">
        <f>'0501(実績)'!T8</f>
        <v>2586</v>
      </c>
      <c r="U9" s="119">
        <f>'0501(実績)'!U8</f>
        <v>2713</v>
      </c>
      <c r="V9" s="119">
        <f>'0501(実績)'!V8</f>
        <v>2863</v>
      </c>
      <c r="W9" s="119">
        <f>'0501(実績)'!W8</f>
        <v>2863</v>
      </c>
      <c r="X9" s="119">
        <f>'0501(実績)'!X8</f>
        <v>2863</v>
      </c>
      <c r="Y9" s="119">
        <f>'0501(実績)'!Y8</f>
        <v>2962</v>
      </c>
      <c r="Z9" s="119">
        <f>'0501(実績)'!Z8</f>
        <v>3047</v>
      </c>
      <c r="AA9" s="119">
        <f>'0501(実績)'!AA8</f>
        <v>3134</v>
      </c>
      <c r="AB9" s="119">
        <f>'0501(実績)'!AB8</f>
        <v>3214</v>
      </c>
      <c r="AC9" s="119">
        <f>'0501(実績)'!AC8</f>
        <v>3261</v>
      </c>
      <c r="AD9" s="119">
        <f>'0501(実績)'!AD8</f>
        <v>3261</v>
      </c>
      <c r="AE9" s="119">
        <f>'0501(実績)'!AE8</f>
        <v>3261</v>
      </c>
      <c r="AF9" s="119">
        <f>'0501(実績)'!AF8</f>
        <v>3314</v>
      </c>
      <c r="AG9" s="119">
        <f>'0501(実績)'!AG8</f>
        <v>3392</v>
      </c>
      <c r="AH9" s="119">
        <f>'0501(実績)'!AH8</f>
        <v>3471</v>
      </c>
      <c r="AI9" s="119">
        <f>'0501(実績)'!AI8</f>
        <v>3555</v>
      </c>
      <c r="AJ9" s="119">
        <f>'0501(実績)'!AJ8</f>
        <v>3637</v>
      </c>
      <c r="AK9" s="120">
        <f>'0501(実績)'!AK8</f>
        <v>3637</v>
      </c>
      <c r="AL9" s="1" t="s">
        <v>3</v>
      </c>
    </row>
    <row r="10" spans="2:38" s="1" customFormat="1" ht="15" customHeight="1">
      <c r="B10" s="208"/>
      <c r="C10" s="255" t="s">
        <v>13</v>
      </c>
      <c r="D10" s="251"/>
      <c r="E10" s="153" t="str">
        <f>'0501(予定)'!E10</f>
        <v>-</v>
      </c>
      <c r="F10" s="153" t="str">
        <f>'0501(予定)'!F10</f>
        <v>-</v>
      </c>
      <c r="G10" s="154" t="str">
        <f>'0501(予定)'!G10</f>
        <v>件数</v>
      </c>
      <c r="H10" s="155">
        <f>'0501(予定)'!H10</f>
        <v>1081</v>
      </c>
      <c r="I10" s="155">
        <f>'0501(予定)'!I10</f>
        <v>1081</v>
      </c>
      <c r="J10" s="155">
        <f>'0501(予定)'!J10</f>
        <v>1081</v>
      </c>
      <c r="K10" s="155">
        <f>'0501(予定)'!K10</f>
        <v>1081</v>
      </c>
      <c r="L10" s="155">
        <f>'0501(予定)'!L10</f>
        <v>1081</v>
      </c>
      <c r="M10" s="155">
        <f>'0501(予定)'!M10</f>
        <v>1081</v>
      </c>
      <c r="N10" s="155">
        <f>'0501(予定)'!N10</f>
        <v>1151</v>
      </c>
      <c r="O10" s="155">
        <f>'0501(予定)'!O10</f>
        <v>1231</v>
      </c>
      <c r="P10" s="155">
        <f>'0501(予定)'!P10</f>
        <v>1231</v>
      </c>
      <c r="Q10" s="155">
        <f>'0501(予定)'!Q10</f>
        <v>1231</v>
      </c>
      <c r="R10" s="155">
        <f>'0501(予定)'!R10</f>
        <v>1301</v>
      </c>
      <c r="S10" s="155">
        <f>'0501(予定)'!S10</f>
        <v>1373</v>
      </c>
      <c r="T10" s="155">
        <f>'0501(予定)'!T10</f>
        <v>1443</v>
      </c>
      <c r="U10" s="155">
        <f>'0501(予定)'!U10</f>
        <v>1513</v>
      </c>
      <c r="V10" s="155">
        <f>'0501(予定)'!V10</f>
        <v>1593</v>
      </c>
      <c r="W10" s="155">
        <f>'0501(予定)'!W10</f>
        <v>1593</v>
      </c>
      <c r="X10" s="155">
        <f>'0501(予定)'!X10</f>
        <v>1593</v>
      </c>
      <c r="Y10" s="155">
        <f>'0501(予定)'!Y10</f>
        <v>1663</v>
      </c>
      <c r="Z10" s="155">
        <f>'0501(予定)'!Z10</f>
        <v>1735</v>
      </c>
      <c r="AA10" s="155">
        <f>'0501(予定)'!AA10</f>
        <v>1805</v>
      </c>
      <c r="AB10" s="155">
        <f>'0501(予定)'!AB10</f>
        <v>1875</v>
      </c>
      <c r="AC10" s="155">
        <f>'0501(予定)'!AC10</f>
        <v>1955</v>
      </c>
      <c r="AD10" s="155">
        <f>'0501(予定)'!AD10</f>
        <v>1955</v>
      </c>
      <c r="AE10" s="155">
        <f>'0501(予定)'!AE10</f>
        <v>1955</v>
      </c>
      <c r="AF10" s="155">
        <f>'0501(予定)'!AF10</f>
        <v>2035</v>
      </c>
      <c r="AG10" s="155">
        <f>'0501(予定)'!AG10</f>
        <v>2117</v>
      </c>
      <c r="AH10" s="155">
        <f>'0501(予定)'!AH10</f>
        <v>2197</v>
      </c>
      <c r="AI10" s="155">
        <f>'0501(予定)'!AI10</f>
        <v>2277</v>
      </c>
      <c r="AJ10" s="155">
        <f>'0501(予定)'!AJ10</f>
        <v>2277</v>
      </c>
      <c r="AK10" s="156">
        <f>'0501(予定)'!AK10</f>
        <v>2277</v>
      </c>
      <c r="AL10" s="1" t="s">
        <v>3</v>
      </c>
    </row>
    <row r="11" spans="2:38" s="1" customFormat="1" ht="16" customHeight="1" thickBot="1">
      <c r="B11" s="209"/>
      <c r="C11" s="252" t="s">
        <v>13</v>
      </c>
      <c r="D11" s="256"/>
      <c r="E11" s="145">
        <f>'0501(実績)'!E10</f>
        <v>2461</v>
      </c>
      <c r="F11" s="145" t="str">
        <f>'0501(実績)'!F10</f>
        <v>-</v>
      </c>
      <c r="G11" s="146" t="str">
        <f>'0501(実績)'!G10</f>
        <v>件数</v>
      </c>
      <c r="H11" s="147">
        <f>'0501(実績)'!H10</f>
        <v>1161</v>
      </c>
      <c r="I11" s="147">
        <f>'0501(実績)'!I10</f>
        <v>1161</v>
      </c>
      <c r="J11" s="147">
        <f>'0501(実績)'!J10</f>
        <v>1161</v>
      </c>
      <c r="K11" s="147">
        <f>'0501(実績)'!K10</f>
        <v>1161</v>
      </c>
      <c r="L11" s="147">
        <f>'0501(実績)'!L10</f>
        <v>1161</v>
      </c>
      <c r="M11" s="147">
        <f>'0501(実績)'!M10</f>
        <v>1161</v>
      </c>
      <c r="N11" s="147">
        <f>'0501(実績)'!N10</f>
        <v>1220</v>
      </c>
      <c r="O11" s="147">
        <f>'0501(実績)'!O10</f>
        <v>1272</v>
      </c>
      <c r="P11" s="147">
        <f>'0501(実績)'!P10</f>
        <v>1272</v>
      </c>
      <c r="Q11" s="147">
        <f>'0501(実績)'!Q10</f>
        <v>1272</v>
      </c>
      <c r="R11" s="147">
        <f>'0501(実績)'!R10</f>
        <v>1308</v>
      </c>
      <c r="S11" s="147">
        <f>'0501(実績)'!S10</f>
        <v>1380</v>
      </c>
      <c r="T11" s="147">
        <f>'0501(実績)'!T10</f>
        <v>1472</v>
      </c>
      <c r="U11" s="147">
        <f>'0501(実績)'!U10</f>
        <v>1527</v>
      </c>
      <c r="V11" s="147">
        <f>'0501(実績)'!V10</f>
        <v>1592</v>
      </c>
      <c r="W11" s="147">
        <f>'0501(実績)'!W10</f>
        <v>1592</v>
      </c>
      <c r="X11" s="147">
        <f>'0501(実績)'!X10</f>
        <v>1592</v>
      </c>
      <c r="Y11" s="147">
        <f>'0501(実績)'!Y10</f>
        <v>1690</v>
      </c>
      <c r="Z11" s="147">
        <f>'0501(実績)'!Z10</f>
        <v>1755</v>
      </c>
      <c r="AA11" s="147">
        <f>'0501(実績)'!AA10</f>
        <v>1814</v>
      </c>
      <c r="AB11" s="147">
        <f>'0501(実績)'!AB10</f>
        <v>1853</v>
      </c>
      <c r="AC11" s="147">
        <f>'0501(実績)'!AC10</f>
        <v>1928</v>
      </c>
      <c r="AD11" s="147">
        <f>'0501(実績)'!AD10</f>
        <v>1928</v>
      </c>
      <c r="AE11" s="147">
        <f>'0501(実績)'!AE10</f>
        <v>1928</v>
      </c>
      <c r="AF11" s="147">
        <f>'0501(実績)'!AF10</f>
        <v>2024</v>
      </c>
      <c r="AG11" s="147">
        <f>'0501(実績)'!AG10</f>
        <v>2124</v>
      </c>
      <c r="AH11" s="147">
        <f>'0501(実績)'!AH10</f>
        <v>2215</v>
      </c>
      <c r="AI11" s="147">
        <f>'0501(実績)'!AI10</f>
        <v>2335</v>
      </c>
      <c r="AJ11" s="147">
        <f>'0501(実績)'!AJ10</f>
        <v>2461</v>
      </c>
      <c r="AK11" s="148">
        <f>'0501(実績)'!AK10</f>
        <v>2461</v>
      </c>
      <c r="AL11" s="1" t="s">
        <v>3</v>
      </c>
    </row>
    <row r="12" spans="2:38" s="1" customFormat="1" ht="15" customHeight="1" outlineLevel="1">
      <c r="B12" s="254" t="s">
        <v>28</v>
      </c>
      <c r="C12" s="259" t="s">
        <v>52</v>
      </c>
      <c r="D12" s="260"/>
      <c r="E12" s="149">
        <f>'0501(予定)'!E24</f>
        <v>1362</v>
      </c>
      <c r="F12" s="149" t="str">
        <f>'0501(予定)'!F24</f>
        <v>-</v>
      </c>
      <c r="G12" s="150" t="str">
        <f>'0501(予定)'!G24</f>
        <v>件数</v>
      </c>
      <c r="H12" s="151">
        <f>'0501(予定)'!H24</f>
        <v>29</v>
      </c>
      <c r="I12" s="151">
        <f>'0501(予定)'!I24</f>
        <v>0</v>
      </c>
      <c r="J12" s="151">
        <f>'0501(予定)'!J24</f>
        <v>0</v>
      </c>
      <c r="K12" s="151">
        <f>'0501(予定)'!K24</f>
        <v>0</v>
      </c>
      <c r="L12" s="151">
        <f>'0501(予定)'!L24</f>
        <v>0</v>
      </c>
      <c r="M12" s="151">
        <f>'0501(予定)'!M24</f>
        <v>0</v>
      </c>
      <c r="N12" s="151">
        <f>'0501(予定)'!N24</f>
        <v>47</v>
      </c>
      <c r="O12" s="151">
        <f>'0501(予定)'!O24</f>
        <v>16</v>
      </c>
      <c r="P12" s="151">
        <f>'0501(予定)'!P24</f>
        <v>0</v>
      </c>
      <c r="Q12" s="151">
        <f>'0501(予定)'!Q24</f>
        <v>0</v>
      </c>
      <c r="R12" s="151">
        <f>'0501(予定)'!R24</f>
        <v>23</v>
      </c>
      <c r="S12" s="151">
        <f>'0501(予定)'!S24</f>
        <v>28</v>
      </c>
      <c r="T12" s="151">
        <f>'0501(予定)'!T24</f>
        <v>12</v>
      </c>
      <c r="U12" s="151">
        <f>'0501(予定)'!U24</f>
        <v>29</v>
      </c>
      <c r="V12" s="151">
        <f>'0501(予定)'!V24</f>
        <v>26</v>
      </c>
      <c r="W12" s="151">
        <f>'0501(予定)'!W24</f>
        <v>0</v>
      </c>
      <c r="X12" s="151">
        <f>'0501(予定)'!X24</f>
        <v>0</v>
      </c>
      <c r="Y12" s="151">
        <f>'0501(予定)'!Y24</f>
        <v>69</v>
      </c>
      <c r="Z12" s="151">
        <f>'0501(予定)'!Z24</f>
        <v>23</v>
      </c>
      <c r="AA12" s="151">
        <f>'0501(予定)'!AA24</f>
        <v>31</v>
      </c>
      <c r="AB12" s="151">
        <f>'0501(予定)'!AB24</f>
        <v>11</v>
      </c>
      <c r="AC12" s="151">
        <f>'0501(予定)'!AC24</f>
        <v>23</v>
      </c>
      <c r="AD12" s="151">
        <f>'0501(予定)'!AD24</f>
        <v>0</v>
      </c>
      <c r="AE12" s="151">
        <f>'0501(予定)'!AE24</f>
        <v>0</v>
      </c>
      <c r="AF12" s="151">
        <f>'0501(予定)'!AF24</f>
        <v>13</v>
      </c>
      <c r="AG12" s="151">
        <f>'0501(予定)'!AG24</f>
        <v>19</v>
      </c>
      <c r="AH12" s="151">
        <f>'0501(予定)'!AH24</f>
        <v>8</v>
      </c>
      <c r="AI12" s="151">
        <f>'0501(予定)'!AI24</f>
        <v>19</v>
      </c>
      <c r="AJ12" s="151">
        <f>'0501(予定)'!AJ24</f>
        <v>32</v>
      </c>
      <c r="AK12" s="152">
        <f>'0501(予定)'!AK24</f>
        <v>0</v>
      </c>
      <c r="AL12" s="1" t="s">
        <v>3</v>
      </c>
    </row>
    <row r="13" spans="2:38" s="1" customFormat="1" ht="15" customHeight="1" outlineLevel="1">
      <c r="B13" s="208"/>
      <c r="C13" s="237" t="s">
        <v>5</v>
      </c>
      <c r="D13" s="238"/>
      <c r="E13" s="117">
        <f>'0501(実績)'!E29</f>
        <v>92</v>
      </c>
      <c r="F13" s="117">
        <f>'0501(実績)'!F29</f>
        <v>20</v>
      </c>
      <c r="G13" s="118" t="str">
        <f>'0501(実績)'!G29</f>
        <v>件数</v>
      </c>
      <c r="H13" s="119">
        <f>'0501(実績)'!H29</f>
        <v>0</v>
      </c>
      <c r="I13" s="119">
        <f>'0501(実績)'!I29</f>
        <v>0</v>
      </c>
      <c r="J13" s="119">
        <f>'0501(実績)'!J29</f>
        <v>0</v>
      </c>
      <c r="K13" s="119">
        <f>'0501(実績)'!K29</f>
        <v>0</v>
      </c>
      <c r="L13" s="119">
        <f>'0501(実績)'!L29</f>
        <v>0</v>
      </c>
      <c r="M13" s="119">
        <f>'0501(実績)'!M29</f>
        <v>0</v>
      </c>
      <c r="N13" s="119">
        <f>'0501(実績)'!N29</f>
        <v>0</v>
      </c>
      <c r="O13" s="119">
        <f>'0501(実績)'!O29</f>
        <v>0</v>
      </c>
      <c r="P13" s="119">
        <f>'0501(実績)'!P29</f>
        <v>0</v>
      </c>
      <c r="Q13" s="119">
        <f>'0501(実績)'!Q29</f>
        <v>0</v>
      </c>
      <c r="R13" s="119">
        <f>'0501(実績)'!R29</f>
        <v>0</v>
      </c>
      <c r="S13" s="119">
        <f>'0501(実績)'!S29</f>
        <v>0</v>
      </c>
      <c r="T13" s="119">
        <f>'0501(実績)'!T29</f>
        <v>0</v>
      </c>
      <c r="U13" s="119">
        <f>'0501(実績)'!U29</f>
        <v>0</v>
      </c>
      <c r="V13" s="119">
        <f>'0501(実績)'!V29</f>
        <v>0</v>
      </c>
      <c r="W13" s="119">
        <f>'0501(実績)'!W29</f>
        <v>0</v>
      </c>
      <c r="X13" s="119">
        <f>'0501(実績)'!X29</f>
        <v>0</v>
      </c>
      <c r="Y13" s="119">
        <f>'0501(実績)'!Y29</f>
        <v>0</v>
      </c>
      <c r="Z13" s="119">
        <f>'0501(実績)'!Z29</f>
        <v>0</v>
      </c>
      <c r="AA13" s="119">
        <f>'0501(実績)'!AA29</f>
        <v>0</v>
      </c>
      <c r="AB13" s="119">
        <f>'0501(実績)'!AB29</f>
        <v>14</v>
      </c>
      <c r="AC13" s="119">
        <f>'0501(実績)'!AC29</f>
        <v>14</v>
      </c>
      <c r="AD13" s="119">
        <f>'0501(実績)'!AD29</f>
        <v>0</v>
      </c>
      <c r="AE13" s="119">
        <f>'0501(実績)'!AE29</f>
        <v>0</v>
      </c>
      <c r="AF13" s="119">
        <f>'0501(実績)'!AF29</f>
        <v>20</v>
      </c>
      <c r="AG13" s="119">
        <f>'0501(実績)'!AG29</f>
        <v>0</v>
      </c>
      <c r="AH13" s="119">
        <f>'0501(実績)'!AH29</f>
        <v>0</v>
      </c>
      <c r="AI13" s="119">
        <f>'0501(実績)'!AI29</f>
        <v>25</v>
      </c>
      <c r="AJ13" s="119">
        <f>'0501(実績)'!AJ29</f>
        <v>19</v>
      </c>
      <c r="AK13" s="120">
        <f>'0501(実績)'!AK29</f>
        <v>0</v>
      </c>
      <c r="AL13" s="1" t="s">
        <v>3</v>
      </c>
    </row>
    <row r="14" spans="2:38" s="1" customFormat="1" ht="15" customHeight="1" outlineLevel="1">
      <c r="B14" s="208"/>
      <c r="C14" s="255" t="s">
        <v>9</v>
      </c>
      <c r="D14" s="261"/>
      <c r="E14" s="153">
        <f>'0501(予定)'!E14</f>
        <v>130</v>
      </c>
      <c r="F14" s="153">
        <f>'0501(予定)'!F14</f>
        <v>20</v>
      </c>
      <c r="G14" s="154" t="str">
        <f>'0501(予定)'!G14</f>
        <v>人数</v>
      </c>
      <c r="H14" s="155">
        <f>'0501(予定)'!H14</f>
        <v>0.5</v>
      </c>
      <c r="I14" s="155">
        <f>'0501(予定)'!I14</f>
        <v>0</v>
      </c>
      <c r="J14" s="155">
        <f>'0501(予定)'!J14</f>
        <v>0</v>
      </c>
      <c r="K14" s="155">
        <f>'0501(予定)'!K14</f>
        <v>0</v>
      </c>
      <c r="L14" s="155">
        <f>'0501(予定)'!L14</f>
        <v>0</v>
      </c>
      <c r="M14" s="155">
        <f>'0501(予定)'!M14</f>
        <v>0</v>
      </c>
      <c r="N14" s="155">
        <f>'0501(予定)'!N14</f>
        <v>0.5</v>
      </c>
      <c r="O14" s="155">
        <f>'0501(予定)'!O14</f>
        <v>0.5</v>
      </c>
      <c r="P14" s="155">
        <f>'0501(予定)'!P14</f>
        <v>0</v>
      </c>
      <c r="Q14" s="155">
        <f>'0501(予定)'!Q14</f>
        <v>0</v>
      </c>
      <c r="R14" s="155">
        <f>'0501(予定)'!R14</f>
        <v>0.5</v>
      </c>
      <c r="S14" s="155">
        <f>'0501(予定)'!S14</f>
        <v>0.5</v>
      </c>
      <c r="T14" s="155">
        <f>'0501(予定)'!T14</f>
        <v>0.5</v>
      </c>
      <c r="U14" s="155">
        <f>'0501(予定)'!U14</f>
        <v>0.5</v>
      </c>
      <c r="V14" s="155">
        <f>'0501(予定)'!V14</f>
        <v>0.5</v>
      </c>
      <c r="W14" s="155">
        <f>'0501(予定)'!W14</f>
        <v>0</v>
      </c>
      <c r="X14" s="155">
        <f>'0501(予定)'!X14</f>
        <v>0</v>
      </c>
      <c r="Y14" s="155">
        <f>'0501(予定)'!Y14</f>
        <v>0.5</v>
      </c>
      <c r="Z14" s="155">
        <f>'0501(予定)'!Z14</f>
        <v>0.5</v>
      </c>
      <c r="AA14" s="155">
        <f>'0501(予定)'!AA14</f>
        <v>0.5</v>
      </c>
      <c r="AB14" s="155">
        <f>'0501(予定)'!AB14</f>
        <v>0.5</v>
      </c>
      <c r="AC14" s="155">
        <f>'0501(予定)'!AC14</f>
        <v>0.5</v>
      </c>
      <c r="AD14" s="155">
        <f>'0501(予定)'!AD14</f>
        <v>0</v>
      </c>
      <c r="AE14" s="155">
        <f>'0501(予定)'!AE14</f>
        <v>0</v>
      </c>
      <c r="AF14" s="155">
        <f>'0501(予定)'!AF14</f>
        <v>0</v>
      </c>
      <c r="AG14" s="155">
        <f>'0501(予定)'!AG14</f>
        <v>0</v>
      </c>
      <c r="AH14" s="155">
        <f>'0501(予定)'!AH14</f>
        <v>0</v>
      </c>
      <c r="AI14" s="155">
        <f>'0501(予定)'!AI14</f>
        <v>0</v>
      </c>
      <c r="AJ14" s="155">
        <f>'0501(予定)'!AJ14</f>
        <v>0</v>
      </c>
      <c r="AK14" s="156">
        <f>'0501(予定)'!AK14</f>
        <v>0</v>
      </c>
      <c r="AL14" s="1" t="s">
        <v>3</v>
      </c>
    </row>
    <row r="15" spans="2:38" s="1" customFormat="1" ht="15" customHeight="1" outlineLevel="1">
      <c r="B15" s="208"/>
      <c r="C15" s="237" t="s">
        <v>43</v>
      </c>
      <c r="D15" s="238"/>
      <c r="E15" s="117">
        <f>'0501(実績)'!E14</f>
        <v>9</v>
      </c>
      <c r="F15" s="117">
        <f>'0501(実績)'!F14</f>
        <v>20</v>
      </c>
      <c r="G15" s="118" t="str">
        <f>'0501(実績)'!G14</f>
        <v>件数</v>
      </c>
      <c r="H15" s="119">
        <f>'0501(実績)'!H14</f>
        <v>0</v>
      </c>
      <c r="I15" s="119">
        <f>'0501(実績)'!I14</f>
        <v>0</v>
      </c>
      <c r="J15" s="119">
        <f>'0501(実績)'!J14</f>
        <v>0</v>
      </c>
      <c r="K15" s="119">
        <f>'0501(実績)'!K14</f>
        <v>0</v>
      </c>
      <c r="L15" s="119">
        <f>'0501(実績)'!L14</f>
        <v>0</v>
      </c>
      <c r="M15" s="119">
        <f>'0501(実績)'!M14</f>
        <v>0</v>
      </c>
      <c r="N15" s="119">
        <f>'0501(実績)'!N14</f>
        <v>0</v>
      </c>
      <c r="O15" s="119">
        <f>'0501(実績)'!O14</f>
        <v>0</v>
      </c>
      <c r="P15" s="119">
        <f>'0501(実績)'!P14</f>
        <v>0</v>
      </c>
      <c r="Q15" s="119">
        <f>'0501(実績)'!Q14</f>
        <v>0</v>
      </c>
      <c r="R15" s="119">
        <f>'0501(実績)'!R14</f>
        <v>0</v>
      </c>
      <c r="S15" s="119">
        <f>'0501(実績)'!S14</f>
        <v>0</v>
      </c>
      <c r="T15" s="119">
        <f>'0501(実績)'!T14</f>
        <v>0</v>
      </c>
      <c r="U15" s="119">
        <f>'0501(実績)'!U14</f>
        <v>9</v>
      </c>
      <c r="V15" s="119">
        <f>'0501(実績)'!V14</f>
        <v>0</v>
      </c>
      <c r="W15" s="119">
        <f>'0501(実績)'!W14</f>
        <v>0</v>
      </c>
      <c r="X15" s="119">
        <f>'0501(実績)'!X14</f>
        <v>0</v>
      </c>
      <c r="Y15" s="119">
        <f>'0501(実績)'!Y14</f>
        <v>0</v>
      </c>
      <c r="Z15" s="119">
        <f>'0501(実績)'!Z14</f>
        <v>0</v>
      </c>
      <c r="AA15" s="119">
        <f>'0501(実績)'!AA14</f>
        <v>0</v>
      </c>
      <c r="AB15" s="119">
        <f>'0501(実績)'!AB14</f>
        <v>0</v>
      </c>
      <c r="AC15" s="119">
        <f>'0501(実績)'!AC14</f>
        <v>0</v>
      </c>
      <c r="AD15" s="119">
        <f>'0501(実績)'!AD14</f>
        <v>0</v>
      </c>
      <c r="AE15" s="119">
        <f>'0501(実績)'!AE14</f>
        <v>0</v>
      </c>
      <c r="AF15" s="119">
        <f>'0501(実績)'!AF14</f>
        <v>0</v>
      </c>
      <c r="AG15" s="119">
        <f>'0501(実績)'!AG14</f>
        <v>0</v>
      </c>
      <c r="AH15" s="119">
        <f>'0501(実績)'!AH14</f>
        <v>0</v>
      </c>
      <c r="AI15" s="119">
        <f>'0501(実績)'!AI14</f>
        <v>0</v>
      </c>
      <c r="AJ15" s="119">
        <f>'0501(実績)'!AJ14</f>
        <v>0</v>
      </c>
      <c r="AK15" s="120">
        <f>'0501(実績)'!AK14</f>
        <v>0</v>
      </c>
      <c r="AL15" s="1" t="s">
        <v>3</v>
      </c>
    </row>
    <row r="16" spans="2:38" s="1" customFormat="1" ht="15" customHeight="1" outlineLevel="1">
      <c r="B16" s="208"/>
      <c r="C16" s="255" t="s">
        <v>13</v>
      </c>
      <c r="D16" s="251"/>
      <c r="E16" s="153">
        <f>'0501(予定)'!E16</f>
        <v>170</v>
      </c>
      <c r="F16" s="153">
        <f>'0501(予定)'!F16</f>
        <v>20</v>
      </c>
      <c r="G16" s="154" t="str">
        <f>'0501(予定)'!G16</f>
        <v>人数</v>
      </c>
      <c r="H16" s="155">
        <f>'0501(予定)'!H16</f>
        <v>0.5</v>
      </c>
      <c r="I16" s="155">
        <f>'0501(予定)'!I16</f>
        <v>0</v>
      </c>
      <c r="J16" s="155">
        <f>'0501(予定)'!J16</f>
        <v>0</v>
      </c>
      <c r="K16" s="155">
        <f>'0501(予定)'!K16</f>
        <v>0</v>
      </c>
      <c r="L16" s="155">
        <f>'0501(予定)'!L16</f>
        <v>0</v>
      </c>
      <c r="M16" s="155">
        <f>'0501(予定)'!M16</f>
        <v>0</v>
      </c>
      <c r="N16" s="155">
        <f>'0501(予定)'!N16</f>
        <v>0.5</v>
      </c>
      <c r="O16" s="155">
        <f>'0501(予定)'!O16</f>
        <v>0.5</v>
      </c>
      <c r="P16" s="155">
        <f>'0501(予定)'!P16</f>
        <v>0</v>
      </c>
      <c r="Q16" s="155">
        <f>'0501(予定)'!Q16</f>
        <v>0</v>
      </c>
      <c r="R16" s="155">
        <f>'0501(予定)'!R16</f>
        <v>0.5</v>
      </c>
      <c r="S16" s="155">
        <f>'0501(予定)'!S16</f>
        <v>0.5</v>
      </c>
      <c r="T16" s="155">
        <f>'0501(予定)'!T16</f>
        <v>0.5</v>
      </c>
      <c r="U16" s="155">
        <f>'0501(予定)'!U16</f>
        <v>0.5</v>
      </c>
      <c r="V16" s="155">
        <f>'0501(予定)'!V16</f>
        <v>0.5</v>
      </c>
      <c r="W16" s="155">
        <f>'0501(予定)'!W16</f>
        <v>0</v>
      </c>
      <c r="X16" s="155">
        <f>'0501(予定)'!X16</f>
        <v>0</v>
      </c>
      <c r="Y16" s="155">
        <f>'0501(予定)'!Y16</f>
        <v>0.5</v>
      </c>
      <c r="Z16" s="155">
        <f>'0501(予定)'!Z16</f>
        <v>0.5</v>
      </c>
      <c r="AA16" s="155">
        <f>'0501(予定)'!AA16</f>
        <v>0.5</v>
      </c>
      <c r="AB16" s="155">
        <f>'0501(予定)'!AB16</f>
        <v>0.5</v>
      </c>
      <c r="AC16" s="155">
        <f>'0501(予定)'!AC16</f>
        <v>0.5</v>
      </c>
      <c r="AD16" s="155">
        <f>'0501(予定)'!AD16</f>
        <v>0</v>
      </c>
      <c r="AE16" s="155">
        <f>'0501(予定)'!AE16</f>
        <v>0</v>
      </c>
      <c r="AF16" s="155">
        <f>'0501(予定)'!AF16</f>
        <v>0.5</v>
      </c>
      <c r="AG16" s="155">
        <f>'0501(予定)'!AG16</f>
        <v>0.5</v>
      </c>
      <c r="AH16" s="155">
        <f>'0501(予定)'!AH16</f>
        <v>0.5</v>
      </c>
      <c r="AI16" s="155">
        <f>'0501(予定)'!AI16</f>
        <v>0.5</v>
      </c>
      <c r="AJ16" s="155">
        <f>'0501(予定)'!AJ16</f>
        <v>0</v>
      </c>
      <c r="AK16" s="156">
        <f>'0501(予定)'!AK16</f>
        <v>0</v>
      </c>
      <c r="AL16" s="1" t="s">
        <v>3</v>
      </c>
    </row>
    <row r="17" spans="2:38" s="1" customFormat="1" ht="14" outlineLevel="1" thickBot="1">
      <c r="B17" s="208"/>
      <c r="C17" s="252" t="s">
        <v>13</v>
      </c>
      <c r="D17" s="256"/>
      <c r="E17" s="145">
        <f>'0501(実績)'!E16</f>
        <v>35</v>
      </c>
      <c r="F17" s="145">
        <f>'0501(実績)'!F16</f>
        <v>20</v>
      </c>
      <c r="G17" s="146" t="str">
        <f>'0501(実績)'!G16</f>
        <v>件数</v>
      </c>
      <c r="H17" s="147">
        <f>'0501(実績)'!H16</f>
        <v>11</v>
      </c>
      <c r="I17" s="147">
        <f>'0501(実績)'!I16</f>
        <v>0</v>
      </c>
      <c r="J17" s="147">
        <f>'0501(実績)'!J16</f>
        <v>0</v>
      </c>
      <c r="K17" s="147">
        <f>'0501(実績)'!K16</f>
        <v>0</v>
      </c>
      <c r="L17" s="147">
        <f>'0501(実績)'!L16</f>
        <v>0</v>
      </c>
      <c r="M17" s="147">
        <f>'0501(実績)'!M16</f>
        <v>0</v>
      </c>
      <c r="N17" s="147">
        <f>'0501(実績)'!N16</f>
        <v>0</v>
      </c>
      <c r="O17" s="147">
        <f>'0501(実績)'!O16</f>
        <v>12</v>
      </c>
      <c r="P17" s="147">
        <f>'0501(実績)'!P16</f>
        <v>0</v>
      </c>
      <c r="Q17" s="147">
        <f>'0501(実績)'!Q16</f>
        <v>0</v>
      </c>
      <c r="R17" s="147">
        <f>'0501(実績)'!R16</f>
        <v>0</v>
      </c>
      <c r="S17" s="147">
        <f>'0501(実績)'!S16</f>
        <v>0</v>
      </c>
      <c r="T17" s="147">
        <f>'0501(実績)'!T16</f>
        <v>12</v>
      </c>
      <c r="U17" s="147">
        <f>'0501(実績)'!U16</f>
        <v>0</v>
      </c>
      <c r="V17" s="147">
        <f>'0501(実績)'!V16</f>
        <v>0</v>
      </c>
      <c r="W17" s="147">
        <f>'0501(実績)'!W16</f>
        <v>0</v>
      </c>
      <c r="X17" s="147">
        <f>'0501(実績)'!X16</f>
        <v>0</v>
      </c>
      <c r="Y17" s="147">
        <f>'0501(実績)'!Y16</f>
        <v>0</v>
      </c>
      <c r="Z17" s="147">
        <f>'0501(実績)'!Z16</f>
        <v>0</v>
      </c>
      <c r="AA17" s="147">
        <f>'0501(実績)'!AA16</f>
        <v>0</v>
      </c>
      <c r="AB17" s="147">
        <f>'0501(実績)'!AB16</f>
        <v>0</v>
      </c>
      <c r="AC17" s="147">
        <f>'0501(実績)'!AC16</f>
        <v>0</v>
      </c>
      <c r="AD17" s="147">
        <f>'0501(実績)'!AD16</f>
        <v>0</v>
      </c>
      <c r="AE17" s="147">
        <f>'0501(実績)'!AE16</f>
        <v>0</v>
      </c>
      <c r="AF17" s="147">
        <f>'0501(実績)'!AF16</f>
        <v>0</v>
      </c>
      <c r="AG17" s="147">
        <f>'0501(実績)'!AG16</f>
        <v>0</v>
      </c>
      <c r="AH17" s="147">
        <f>'0501(実績)'!AH16</f>
        <v>0</v>
      </c>
      <c r="AI17" s="147">
        <f>'0501(実績)'!AI16</f>
        <v>0</v>
      </c>
      <c r="AJ17" s="147">
        <f>'0501(実績)'!AJ16</f>
        <v>0</v>
      </c>
      <c r="AK17" s="148">
        <f>'0501(実績)'!AK16</f>
        <v>0</v>
      </c>
      <c r="AL17" s="1" t="s">
        <v>3</v>
      </c>
    </row>
    <row r="18" spans="2:38" s="1" customFormat="1" ht="15" customHeight="1" outlineLevel="1">
      <c r="B18" s="226" t="s">
        <v>35</v>
      </c>
      <c r="C18" s="257" t="s">
        <v>52</v>
      </c>
      <c r="D18" s="258"/>
      <c r="E18" s="149">
        <f>'0501(予定)'!E38</f>
        <v>399</v>
      </c>
      <c r="F18" s="149" t="str">
        <f>'0501(予定)'!F38</f>
        <v>-</v>
      </c>
      <c r="G18" s="150" t="str">
        <f>'0501(予定)'!G38</f>
        <v>件数</v>
      </c>
      <c r="H18" s="151">
        <f>'0501(予定)'!H38</f>
        <v>17</v>
      </c>
      <c r="I18" s="151">
        <f>'0501(予定)'!I38</f>
        <v>0</v>
      </c>
      <c r="J18" s="151">
        <f>'0501(予定)'!J38</f>
        <v>0</v>
      </c>
      <c r="K18" s="151">
        <f>'0501(予定)'!K38</f>
        <v>0</v>
      </c>
      <c r="L18" s="151">
        <f>'0501(予定)'!L38</f>
        <v>0</v>
      </c>
      <c r="M18" s="151">
        <f>'0501(予定)'!M38</f>
        <v>0</v>
      </c>
      <c r="N18" s="151">
        <f>'0501(予定)'!N38</f>
        <v>7</v>
      </c>
      <c r="O18" s="151">
        <f>'0501(予定)'!O38</f>
        <v>17</v>
      </c>
      <c r="P18" s="151">
        <f>'0501(予定)'!P38</f>
        <v>0</v>
      </c>
      <c r="Q18" s="151">
        <f>'0501(予定)'!Q38</f>
        <v>0</v>
      </c>
      <c r="R18" s="151">
        <f>'0501(予定)'!R38</f>
        <v>17</v>
      </c>
      <c r="S18" s="151">
        <f>'0501(予定)'!S38</f>
        <v>7</v>
      </c>
      <c r="T18" s="151">
        <f>'0501(予定)'!T38</f>
        <v>17</v>
      </c>
      <c r="U18" s="151">
        <f>'0501(予定)'!U38</f>
        <v>7</v>
      </c>
      <c r="V18" s="151">
        <f>'0501(予定)'!V38</f>
        <v>17</v>
      </c>
      <c r="W18" s="151">
        <f>'0501(予定)'!W38</f>
        <v>0</v>
      </c>
      <c r="X18" s="151">
        <f>'0501(予定)'!X38</f>
        <v>0</v>
      </c>
      <c r="Y18" s="151">
        <f>'0501(予定)'!Y38</f>
        <v>17</v>
      </c>
      <c r="Z18" s="151">
        <f>'0501(予定)'!Z38</f>
        <v>7</v>
      </c>
      <c r="AA18" s="151">
        <f>'0501(予定)'!AA38</f>
        <v>17</v>
      </c>
      <c r="AB18" s="151">
        <f>'0501(予定)'!AB38</f>
        <v>7</v>
      </c>
      <c r="AC18" s="151">
        <f>'0501(予定)'!AC38</f>
        <v>7</v>
      </c>
      <c r="AD18" s="151">
        <f>'0501(予定)'!AD38</f>
        <v>0</v>
      </c>
      <c r="AE18" s="151">
        <f>'0501(予定)'!AE38</f>
        <v>0</v>
      </c>
      <c r="AF18" s="151">
        <f>'0501(予定)'!AF38</f>
        <v>17</v>
      </c>
      <c r="AG18" s="151">
        <f>'0501(予定)'!AG38</f>
        <v>7</v>
      </c>
      <c r="AH18" s="151">
        <f>'0501(予定)'!AH38</f>
        <v>17</v>
      </c>
      <c r="AI18" s="151">
        <f>'0501(予定)'!AI38</f>
        <v>7</v>
      </c>
      <c r="AJ18" s="151">
        <f>'0501(予定)'!AJ38</f>
        <v>17</v>
      </c>
      <c r="AK18" s="152">
        <f>'0501(予定)'!AK38</f>
        <v>0</v>
      </c>
      <c r="AL18" s="1" t="s">
        <v>3</v>
      </c>
    </row>
    <row r="19" spans="2:38" s="1" customFormat="1" ht="15" customHeight="1" outlineLevel="1">
      <c r="B19" s="254"/>
      <c r="C19" s="237" t="s">
        <v>5</v>
      </c>
      <c r="D19" s="238"/>
      <c r="E19" s="117">
        <f>'0501(実績)'!E46</f>
        <v>1370</v>
      </c>
      <c r="F19" s="117">
        <f>'0501(実績)'!F46</f>
        <v>10</v>
      </c>
      <c r="G19" s="118" t="str">
        <f>'0501(実績)'!G46</f>
        <v>件数</v>
      </c>
      <c r="H19" s="119">
        <f>'0501(実績)'!H46</f>
        <v>0</v>
      </c>
      <c r="I19" s="119">
        <f>'0501(実績)'!I46</f>
        <v>0</v>
      </c>
      <c r="J19" s="119">
        <f>'0501(実績)'!J46</f>
        <v>0</v>
      </c>
      <c r="K19" s="119">
        <f>'0501(実績)'!K46</f>
        <v>0</v>
      </c>
      <c r="L19" s="119">
        <f>'0501(実績)'!L46</f>
        <v>0</v>
      </c>
      <c r="M19" s="119">
        <f>'0501(実績)'!M46</f>
        <v>0</v>
      </c>
      <c r="N19" s="119">
        <f>'0501(実績)'!N46</f>
        <v>0</v>
      </c>
      <c r="O19" s="119">
        <f>'0501(実績)'!O46</f>
        <v>0</v>
      </c>
      <c r="P19" s="119">
        <f>'0501(実績)'!P46</f>
        <v>0</v>
      </c>
      <c r="Q19" s="119">
        <f>'0501(実績)'!Q46</f>
        <v>0</v>
      </c>
      <c r="R19" s="119">
        <f>'0501(実績)'!R46</f>
        <v>5</v>
      </c>
      <c r="S19" s="119">
        <f>'0501(実績)'!S46</f>
        <v>9</v>
      </c>
      <c r="T19" s="119">
        <f>'0501(実績)'!T46</f>
        <v>19</v>
      </c>
      <c r="U19" s="119">
        <f>'0501(実績)'!U46</f>
        <v>8</v>
      </c>
      <c r="V19" s="119">
        <f>'0501(実績)'!V46</f>
        <v>3</v>
      </c>
      <c r="W19" s="119">
        <f>'0501(実績)'!W46</f>
        <v>0</v>
      </c>
      <c r="X19" s="119">
        <f>'0501(実績)'!X46</f>
        <v>0</v>
      </c>
      <c r="Y19" s="119">
        <f>'0501(実績)'!Y46</f>
        <v>14</v>
      </c>
      <c r="Z19" s="119">
        <f>'0501(実績)'!Z46</f>
        <v>8</v>
      </c>
      <c r="AA19" s="119">
        <f>'0501(実績)'!AA46</f>
        <v>6</v>
      </c>
      <c r="AB19" s="119">
        <f>'0501(実績)'!AB46</f>
        <v>8</v>
      </c>
      <c r="AC19" s="119">
        <f>'0501(実績)'!AC46</f>
        <v>10</v>
      </c>
      <c r="AD19" s="119">
        <f>'0501(実績)'!AD46</f>
        <v>0</v>
      </c>
      <c r="AE19" s="119">
        <f>'0501(実績)'!AE46</f>
        <v>0</v>
      </c>
      <c r="AF19" s="119">
        <f>'0501(実績)'!AF46</f>
        <v>0</v>
      </c>
      <c r="AG19" s="119">
        <f>'0501(実績)'!AG46</f>
        <v>15</v>
      </c>
      <c r="AH19" s="119">
        <f>'0501(実績)'!AH46</f>
        <v>11</v>
      </c>
      <c r="AI19" s="119">
        <f>'0501(実績)'!AI46</f>
        <v>15</v>
      </c>
      <c r="AJ19" s="119">
        <f>'0501(実績)'!AJ46</f>
        <v>6</v>
      </c>
      <c r="AK19" s="120">
        <f>'0501(実績)'!AK46</f>
        <v>0</v>
      </c>
      <c r="AL19" s="1" t="s">
        <v>3</v>
      </c>
    </row>
    <row r="20" spans="2:38" s="1" customFormat="1" ht="15" customHeight="1" outlineLevel="1">
      <c r="B20" s="208"/>
      <c r="C20" s="250" t="s">
        <v>9</v>
      </c>
      <c r="D20" s="251"/>
      <c r="E20" s="153">
        <f>'0501(予定)'!E40</f>
        <v>96</v>
      </c>
      <c r="F20" s="153" t="str">
        <f>'0501(予定)'!F40</f>
        <v>-</v>
      </c>
      <c r="G20" s="154" t="str">
        <f>'0501(予定)'!G40</f>
        <v>件数</v>
      </c>
      <c r="H20" s="155">
        <f>'0501(予定)'!H40</f>
        <v>720</v>
      </c>
      <c r="I20" s="155">
        <f>'0501(予定)'!I40</f>
        <v>720</v>
      </c>
      <c r="J20" s="155">
        <f>'0501(予定)'!J40</f>
        <v>720</v>
      </c>
      <c r="K20" s="155">
        <f>'0501(予定)'!K40</f>
        <v>720</v>
      </c>
      <c r="L20" s="155">
        <f>'0501(予定)'!L40</f>
        <v>720</v>
      </c>
      <c r="M20" s="155">
        <f>'0501(予定)'!M40</f>
        <v>720</v>
      </c>
      <c r="N20" s="155">
        <f>'0501(予定)'!N40</f>
        <v>724</v>
      </c>
      <c r="O20" s="155">
        <f>'0501(予定)'!O40</f>
        <v>717</v>
      </c>
      <c r="P20" s="155">
        <f>'0501(予定)'!P40</f>
        <v>717</v>
      </c>
      <c r="Q20" s="155">
        <f>'0501(予定)'!Q40</f>
        <v>717</v>
      </c>
      <c r="R20" s="155">
        <f>'0501(予定)'!R40</f>
        <v>715</v>
      </c>
      <c r="S20" s="155">
        <f>'0501(予定)'!S40</f>
        <v>721</v>
      </c>
      <c r="T20" s="155">
        <f>'0501(予定)'!T40</f>
        <v>723</v>
      </c>
      <c r="U20" s="155">
        <f>'0501(予定)'!U40</f>
        <v>730</v>
      </c>
      <c r="V20" s="155">
        <f>'0501(予定)'!V40</f>
        <v>716</v>
      </c>
      <c r="W20" s="155">
        <f>'0501(予定)'!W40</f>
        <v>716</v>
      </c>
      <c r="X20" s="155">
        <f>'0501(予定)'!X40</f>
        <v>716</v>
      </c>
      <c r="Y20" s="155">
        <f>'0501(予定)'!Y40</f>
        <v>700</v>
      </c>
      <c r="Z20" s="155">
        <f>'0501(予定)'!Z40</f>
        <v>720</v>
      </c>
      <c r="AA20" s="155">
        <f>'0501(予定)'!AA40</f>
        <v>720</v>
      </c>
      <c r="AB20" s="155">
        <f>'0501(予定)'!AB40</f>
        <v>724</v>
      </c>
      <c r="AC20" s="155">
        <f>'0501(予定)'!AC40</f>
        <v>727</v>
      </c>
      <c r="AD20" s="155">
        <f>'0501(予定)'!AD40</f>
        <v>727</v>
      </c>
      <c r="AE20" s="155">
        <f>'0501(予定)'!AE40</f>
        <v>727</v>
      </c>
      <c r="AF20" s="155">
        <f>'0501(予定)'!AF40</f>
        <v>0</v>
      </c>
      <c r="AG20" s="155">
        <f>'0501(予定)'!AG40</f>
        <v>0</v>
      </c>
      <c r="AH20" s="155">
        <f>'0501(予定)'!AH40</f>
        <v>0</v>
      </c>
      <c r="AI20" s="155">
        <f>'0501(予定)'!AI40</f>
        <v>0</v>
      </c>
      <c r="AJ20" s="155">
        <f>'0501(予定)'!AJ40</f>
        <v>10</v>
      </c>
      <c r="AK20" s="156">
        <f>'0501(予定)'!AK40</f>
        <v>10</v>
      </c>
      <c r="AL20" s="1" t="s">
        <v>3</v>
      </c>
    </row>
    <row r="21" spans="2:38" s="1" customFormat="1" ht="15" customHeight="1" outlineLevel="1">
      <c r="B21" s="208"/>
      <c r="C21" s="237" t="s">
        <v>43</v>
      </c>
      <c r="D21" s="238"/>
      <c r="E21" s="117">
        <f>'0501(実績)'!E48</f>
        <v>0</v>
      </c>
      <c r="F21" s="117">
        <f>'0501(実績)'!F48</f>
        <v>0</v>
      </c>
      <c r="G21" s="118" t="str">
        <f>'0501(実績)'!G48</f>
        <v>件数</v>
      </c>
      <c r="H21" s="119">
        <f>'0501(実績)'!H48</f>
        <v>0</v>
      </c>
      <c r="I21" s="119">
        <f>'0501(実績)'!I48</f>
        <v>0</v>
      </c>
      <c r="J21" s="119">
        <f>'0501(実績)'!J48</f>
        <v>0</v>
      </c>
      <c r="K21" s="119">
        <f>'0501(実績)'!K48</f>
        <v>0</v>
      </c>
      <c r="L21" s="119">
        <f>'0501(実績)'!L48</f>
        <v>0</v>
      </c>
      <c r="M21" s="119">
        <f>'0501(実績)'!M48</f>
        <v>0</v>
      </c>
      <c r="N21" s="119">
        <f>'0501(実績)'!N48</f>
        <v>0</v>
      </c>
      <c r="O21" s="119">
        <f>'0501(実績)'!O48</f>
        <v>0</v>
      </c>
      <c r="P21" s="119">
        <f>'0501(実績)'!P48</f>
        <v>0</v>
      </c>
      <c r="Q21" s="119">
        <f>'0501(実績)'!Q48</f>
        <v>0</v>
      </c>
      <c r="R21" s="119">
        <f>'0501(実績)'!R48</f>
        <v>0</v>
      </c>
      <c r="S21" s="119">
        <f>'0501(実績)'!S48</f>
        <v>0</v>
      </c>
      <c r="T21" s="119">
        <f>'0501(実績)'!T48</f>
        <v>0</v>
      </c>
      <c r="U21" s="119">
        <f>'0501(実績)'!U48</f>
        <v>0</v>
      </c>
      <c r="V21" s="119">
        <f>'0501(実績)'!V48</f>
        <v>0</v>
      </c>
      <c r="W21" s="119">
        <f>'0501(実績)'!W48</f>
        <v>0</v>
      </c>
      <c r="X21" s="119">
        <f>'0501(実績)'!X48</f>
        <v>0</v>
      </c>
      <c r="Y21" s="119">
        <f>'0501(実績)'!Y48</f>
        <v>0</v>
      </c>
      <c r="Z21" s="119">
        <f>'0501(実績)'!Z48</f>
        <v>0</v>
      </c>
      <c r="AA21" s="119">
        <f>'0501(実績)'!AA48</f>
        <v>0</v>
      </c>
      <c r="AB21" s="119">
        <f>'0501(実績)'!AB48</f>
        <v>0</v>
      </c>
      <c r="AC21" s="119">
        <f>'0501(実績)'!AC48</f>
        <v>0</v>
      </c>
      <c r="AD21" s="119">
        <f>'0501(実績)'!AD48</f>
        <v>0</v>
      </c>
      <c r="AE21" s="119">
        <f>'0501(実績)'!AE48</f>
        <v>0</v>
      </c>
      <c r="AF21" s="119">
        <f>'0501(実績)'!AF48</f>
        <v>0</v>
      </c>
      <c r="AG21" s="119">
        <f>'0501(実績)'!AG48</f>
        <v>0</v>
      </c>
      <c r="AH21" s="119">
        <f>'0501(実績)'!AH48</f>
        <v>0</v>
      </c>
      <c r="AI21" s="119">
        <f>'0501(実績)'!AI48</f>
        <v>0</v>
      </c>
      <c r="AJ21" s="119">
        <f>'0501(実績)'!AJ48</f>
        <v>0</v>
      </c>
      <c r="AK21" s="120">
        <f>'0501(実績)'!AK48</f>
        <v>0</v>
      </c>
      <c r="AL21" s="1" t="s">
        <v>3</v>
      </c>
    </row>
    <row r="22" spans="2:38" s="1" customFormat="1" ht="15" customHeight="1" outlineLevel="1">
      <c r="B22" s="208"/>
      <c r="C22" s="250" t="s">
        <v>13</v>
      </c>
      <c r="D22" s="251"/>
      <c r="E22" s="153">
        <f>'0501(予定)'!E42</f>
        <v>119.00000000000003</v>
      </c>
      <c r="F22" s="153">
        <f>'0501(予定)'!F42</f>
        <v>35</v>
      </c>
      <c r="G22" s="154" t="str">
        <f>'0501(予定)'!G42</f>
        <v>人数</v>
      </c>
      <c r="H22" s="155">
        <f>'0501(予定)'!H42</f>
        <v>0.2</v>
      </c>
      <c r="I22" s="155">
        <f>'0501(予定)'!I42</f>
        <v>0</v>
      </c>
      <c r="J22" s="155">
        <f>'0501(予定)'!J42</f>
        <v>0</v>
      </c>
      <c r="K22" s="155">
        <f>'0501(予定)'!K42</f>
        <v>0</v>
      </c>
      <c r="L22" s="155">
        <f>'0501(予定)'!L42</f>
        <v>0</v>
      </c>
      <c r="M22" s="155">
        <f>'0501(予定)'!M42</f>
        <v>0</v>
      </c>
      <c r="N22" s="155">
        <f>'0501(予定)'!N42</f>
        <v>0.2</v>
      </c>
      <c r="O22" s="155">
        <f>'0501(予定)'!O42</f>
        <v>0.2</v>
      </c>
      <c r="P22" s="155">
        <f>'0501(予定)'!P42</f>
        <v>0</v>
      </c>
      <c r="Q22" s="155">
        <f>'0501(予定)'!Q42</f>
        <v>0</v>
      </c>
      <c r="R22" s="155">
        <f>'0501(予定)'!R42</f>
        <v>0.2</v>
      </c>
      <c r="S22" s="155">
        <f>'0501(予定)'!S42</f>
        <v>0.2</v>
      </c>
      <c r="T22" s="155">
        <f>'0501(予定)'!T42</f>
        <v>0.2</v>
      </c>
      <c r="U22" s="155">
        <f>'0501(予定)'!U42</f>
        <v>0.2</v>
      </c>
      <c r="V22" s="155">
        <f>'0501(予定)'!V42</f>
        <v>0.2</v>
      </c>
      <c r="W22" s="155">
        <f>'0501(予定)'!W42</f>
        <v>0</v>
      </c>
      <c r="X22" s="155">
        <f>'0501(予定)'!X42</f>
        <v>0</v>
      </c>
      <c r="Y22" s="155">
        <f>'0501(予定)'!Y42</f>
        <v>0.2</v>
      </c>
      <c r="Z22" s="155">
        <f>'0501(予定)'!Z42</f>
        <v>0.2</v>
      </c>
      <c r="AA22" s="155">
        <f>'0501(予定)'!AA42</f>
        <v>0.2</v>
      </c>
      <c r="AB22" s="155">
        <f>'0501(予定)'!AB42</f>
        <v>0.2</v>
      </c>
      <c r="AC22" s="155">
        <f>'0501(予定)'!AC42</f>
        <v>0.2</v>
      </c>
      <c r="AD22" s="155">
        <f>'0501(予定)'!AD42</f>
        <v>0</v>
      </c>
      <c r="AE22" s="155">
        <f>'0501(予定)'!AE42</f>
        <v>0</v>
      </c>
      <c r="AF22" s="155">
        <f>'0501(予定)'!AF42</f>
        <v>0.2</v>
      </c>
      <c r="AG22" s="155">
        <f>'0501(予定)'!AG42</f>
        <v>0.2</v>
      </c>
      <c r="AH22" s="155">
        <f>'0501(予定)'!AH42</f>
        <v>0.2</v>
      </c>
      <c r="AI22" s="155">
        <f>'0501(予定)'!AI42</f>
        <v>0.2</v>
      </c>
      <c r="AJ22" s="155">
        <f>'0501(予定)'!AJ42</f>
        <v>0</v>
      </c>
      <c r="AK22" s="156">
        <f>'0501(予定)'!AK42</f>
        <v>0</v>
      </c>
      <c r="AL22" s="1" t="s">
        <v>3</v>
      </c>
    </row>
    <row r="23" spans="2:38" s="1" customFormat="1" ht="15" customHeight="1" outlineLevel="1" thickBot="1">
      <c r="B23" s="208"/>
      <c r="C23" s="252" t="s">
        <v>13</v>
      </c>
      <c r="D23" s="253"/>
      <c r="E23" s="145">
        <f>'0501(実績)'!E50</f>
        <v>216</v>
      </c>
      <c r="F23" s="145" t="str">
        <f>'0501(実績)'!F50</f>
        <v>-</v>
      </c>
      <c r="G23" s="146" t="str">
        <f>'0501(実績)'!G50</f>
        <v>件数</v>
      </c>
      <c r="H23" s="147">
        <f>'0501(実績)'!H50</f>
        <v>14</v>
      </c>
      <c r="I23" s="147">
        <f>'0501(実績)'!I50</f>
        <v>0</v>
      </c>
      <c r="J23" s="147">
        <f>'0501(実績)'!J50</f>
        <v>0</v>
      </c>
      <c r="K23" s="147">
        <f>'0501(実績)'!K50</f>
        <v>0</v>
      </c>
      <c r="L23" s="147">
        <f>'0501(実績)'!L50</f>
        <v>0</v>
      </c>
      <c r="M23" s="147">
        <f>'0501(実績)'!M50</f>
        <v>0</v>
      </c>
      <c r="N23" s="147">
        <f>'0501(実績)'!N50</f>
        <v>12</v>
      </c>
      <c r="O23" s="147">
        <f>'0501(実績)'!O50</f>
        <v>4</v>
      </c>
      <c r="P23" s="147">
        <f>'0501(実績)'!P50</f>
        <v>0</v>
      </c>
      <c r="Q23" s="147">
        <f>'0501(実績)'!Q50</f>
        <v>0</v>
      </c>
      <c r="R23" s="147">
        <f>'0501(実績)'!R50</f>
        <v>7</v>
      </c>
      <c r="S23" s="147">
        <f>'0501(実績)'!S50</f>
        <v>16</v>
      </c>
      <c r="T23" s="147">
        <f>'0501(実績)'!T50</f>
        <v>38</v>
      </c>
      <c r="U23" s="147">
        <f>'0501(実績)'!U50</f>
        <v>15</v>
      </c>
      <c r="V23" s="147">
        <f>'0501(実績)'!V50</f>
        <v>0</v>
      </c>
      <c r="W23" s="147">
        <f>'0501(実績)'!W50</f>
        <v>0</v>
      </c>
      <c r="X23" s="147">
        <f>'0501(実績)'!X50</f>
        <v>0</v>
      </c>
      <c r="Y23" s="147">
        <f>'0501(実績)'!Y50</f>
        <v>10</v>
      </c>
      <c r="Z23" s="147">
        <f>'0501(実績)'!Z50</f>
        <v>0</v>
      </c>
      <c r="AA23" s="147">
        <f>'0501(実績)'!AA50</f>
        <v>16</v>
      </c>
      <c r="AB23" s="147">
        <f>'0501(実績)'!AB50</f>
        <v>22</v>
      </c>
      <c r="AC23" s="147">
        <f>'0501(実績)'!AC50</f>
        <v>1</v>
      </c>
      <c r="AD23" s="147">
        <f>'0501(実績)'!AD50</f>
        <v>0</v>
      </c>
      <c r="AE23" s="147">
        <f>'0501(実績)'!AE50</f>
        <v>0</v>
      </c>
      <c r="AF23" s="147">
        <f>'0501(実績)'!AF50</f>
        <v>3</v>
      </c>
      <c r="AG23" s="147">
        <f>'0501(実績)'!AG50</f>
        <v>36</v>
      </c>
      <c r="AH23" s="147">
        <f>'0501(実績)'!AH50</f>
        <v>6</v>
      </c>
      <c r="AI23" s="147">
        <f>'0501(実績)'!AI50</f>
        <v>7</v>
      </c>
      <c r="AJ23" s="147">
        <f>'0501(実績)'!AJ50</f>
        <v>9</v>
      </c>
      <c r="AK23" s="148">
        <f>'0501(実績)'!AK50</f>
        <v>0</v>
      </c>
      <c r="AL23" s="1" t="s">
        <v>3</v>
      </c>
    </row>
    <row r="24" spans="2:38" s="1" customFormat="1" ht="15" customHeight="1" outlineLevel="1">
      <c r="B24" s="226" t="s">
        <v>38</v>
      </c>
      <c r="C24" s="257" t="s">
        <v>52</v>
      </c>
      <c r="D24" s="258"/>
      <c r="E24" s="149">
        <f>'0501(予定)'!E52</f>
        <v>176.20000000000005</v>
      </c>
      <c r="F24" s="149" t="str">
        <f>'0501(予定)'!F52</f>
        <v>-</v>
      </c>
      <c r="G24" s="150" t="str">
        <f>'0501(予定)'!G52</f>
        <v>件数</v>
      </c>
      <c r="H24" s="151">
        <f>'0501(予定)'!H52</f>
        <v>77.599999999999994</v>
      </c>
      <c r="I24" s="151">
        <f>'0501(予定)'!I52</f>
        <v>77.599999999999994</v>
      </c>
      <c r="J24" s="151">
        <f>'0501(予定)'!J52</f>
        <v>77.599999999999994</v>
      </c>
      <c r="K24" s="151">
        <f>'0501(予定)'!K52</f>
        <v>77.599999999999994</v>
      </c>
      <c r="L24" s="151">
        <f>'0501(予定)'!L52</f>
        <v>77.599999999999994</v>
      </c>
      <c r="M24" s="151">
        <f>'0501(予定)'!M52</f>
        <v>77.599999999999994</v>
      </c>
      <c r="N24" s="151">
        <f>'0501(予定)'!N52</f>
        <v>94.6</v>
      </c>
      <c r="O24" s="151">
        <f>'0501(予定)'!O52</f>
        <v>92.199999999999989</v>
      </c>
      <c r="P24" s="151">
        <f>'0501(予定)'!P52</f>
        <v>92.199999999999989</v>
      </c>
      <c r="Q24" s="151">
        <f>'0501(予定)'!Q52</f>
        <v>92.199999999999989</v>
      </c>
      <c r="R24" s="151">
        <f>'0501(予定)'!R52</f>
        <v>88.799999999999983</v>
      </c>
      <c r="S24" s="151">
        <f>'0501(予定)'!S52</f>
        <v>102.79999999999998</v>
      </c>
      <c r="T24" s="151">
        <f>'0501(予定)'!T52</f>
        <v>101.39999999999998</v>
      </c>
      <c r="U24" s="151">
        <f>'0501(予定)'!U52</f>
        <v>103.99999999999997</v>
      </c>
      <c r="V24" s="151">
        <f>'0501(予定)'!V52</f>
        <v>102.59999999999997</v>
      </c>
      <c r="W24" s="151">
        <f>'0501(予定)'!W52</f>
        <v>102.59999999999997</v>
      </c>
      <c r="X24" s="151">
        <f>'0501(予定)'!X52</f>
        <v>102.59999999999997</v>
      </c>
      <c r="Y24" s="151">
        <f>'0501(予定)'!Y52</f>
        <v>96.19999999999996</v>
      </c>
      <c r="Z24" s="151">
        <f>'0501(予定)'!Z52</f>
        <v>105.19999999999996</v>
      </c>
      <c r="AA24" s="151">
        <f>'0501(予定)'!AA52</f>
        <v>102.79999999999995</v>
      </c>
      <c r="AB24" s="151">
        <f>'0501(予定)'!AB52</f>
        <v>108.39999999999995</v>
      </c>
      <c r="AC24" s="151">
        <f>'0501(予定)'!AC52</f>
        <v>109.99999999999994</v>
      </c>
      <c r="AD24" s="151">
        <f>'0501(予定)'!AD52</f>
        <v>109.99999999999994</v>
      </c>
      <c r="AE24" s="151">
        <f>'0501(予定)'!AE52</f>
        <v>109.99999999999994</v>
      </c>
      <c r="AF24" s="151">
        <f>'0501(予定)'!AF52</f>
        <v>105.59999999999994</v>
      </c>
      <c r="AG24" s="151">
        <f>'0501(予定)'!AG52</f>
        <v>116.59999999999994</v>
      </c>
      <c r="AH24" s="151">
        <f>'0501(予定)'!AH52</f>
        <v>109.19999999999993</v>
      </c>
      <c r="AI24" s="151">
        <f>'0501(予定)'!AI52</f>
        <v>107.79999999999993</v>
      </c>
      <c r="AJ24" s="151">
        <f>'0501(予定)'!AJ52</f>
        <v>113.79999999999993</v>
      </c>
      <c r="AK24" s="152">
        <f>'0501(予定)'!AK52</f>
        <v>113.79999999999993</v>
      </c>
      <c r="AL24" s="1" t="s">
        <v>3</v>
      </c>
    </row>
    <row r="25" spans="2:38" s="1" customFormat="1" ht="15" customHeight="1" outlineLevel="1">
      <c r="B25" s="254"/>
      <c r="C25" s="237" t="s">
        <v>5</v>
      </c>
      <c r="D25" s="238"/>
      <c r="E25" s="117">
        <f>'0501(実績)'!E63</f>
        <v>4200</v>
      </c>
      <c r="F25" s="117">
        <f>'0501(実績)'!F63</f>
        <v>35</v>
      </c>
      <c r="G25" s="118" t="str">
        <f>'0501(実績)'!G63</f>
        <v>件数</v>
      </c>
      <c r="H25" s="119">
        <f>'0501(実績)'!H63</f>
        <v>7</v>
      </c>
      <c r="I25" s="119">
        <f>'0501(実績)'!I63</f>
        <v>0</v>
      </c>
      <c r="J25" s="119">
        <f>'0501(実績)'!J63</f>
        <v>0</v>
      </c>
      <c r="K25" s="119">
        <f>'0501(実績)'!K63</f>
        <v>0</v>
      </c>
      <c r="L25" s="119">
        <f>'0501(実績)'!L63</f>
        <v>0</v>
      </c>
      <c r="M25" s="119">
        <f>'0501(実績)'!M63</f>
        <v>0</v>
      </c>
      <c r="N25" s="119">
        <f>'0501(実績)'!N63</f>
        <v>7</v>
      </c>
      <c r="O25" s="119">
        <f>'0501(実績)'!O63</f>
        <v>6</v>
      </c>
      <c r="P25" s="119">
        <f>'0501(実績)'!P63</f>
        <v>0</v>
      </c>
      <c r="Q25" s="119">
        <f>'0501(実績)'!Q63</f>
        <v>0</v>
      </c>
      <c r="R25" s="119">
        <f>'0501(実績)'!R63</f>
        <v>7</v>
      </c>
      <c r="S25" s="119">
        <f>'0501(実績)'!S63</f>
        <v>13</v>
      </c>
      <c r="T25" s="119">
        <f>'0501(実績)'!T63</f>
        <v>0</v>
      </c>
      <c r="U25" s="119">
        <f>'0501(実績)'!U63</f>
        <v>0</v>
      </c>
      <c r="V25" s="119">
        <f>'0501(実績)'!V63</f>
        <v>19</v>
      </c>
      <c r="W25" s="119">
        <f>'0501(実績)'!W63</f>
        <v>0</v>
      </c>
      <c r="X25" s="119">
        <f>'0501(実績)'!X63</f>
        <v>0</v>
      </c>
      <c r="Y25" s="119">
        <f>'0501(実績)'!Y63</f>
        <v>1</v>
      </c>
      <c r="Z25" s="119">
        <f>'0501(実績)'!Z63</f>
        <v>13</v>
      </c>
      <c r="AA25" s="119">
        <f>'0501(実績)'!AA63</f>
        <v>8</v>
      </c>
      <c r="AB25" s="119">
        <f>'0501(実績)'!AB63</f>
        <v>16</v>
      </c>
      <c r="AC25" s="119">
        <f>'0501(実績)'!AC63</f>
        <v>0</v>
      </c>
      <c r="AD25" s="119">
        <f>'0501(実績)'!AD63</f>
        <v>0</v>
      </c>
      <c r="AE25" s="119">
        <f>'0501(実績)'!AE63</f>
        <v>0</v>
      </c>
      <c r="AF25" s="119">
        <f>'0501(実績)'!AF63</f>
        <v>1</v>
      </c>
      <c r="AG25" s="119">
        <f>'0501(実績)'!AG63</f>
        <v>3</v>
      </c>
      <c r="AH25" s="119">
        <f>'0501(実績)'!AH63</f>
        <v>6</v>
      </c>
      <c r="AI25" s="119">
        <f>'0501(実績)'!AI63</f>
        <v>6</v>
      </c>
      <c r="AJ25" s="119">
        <f>'0501(実績)'!AJ63</f>
        <v>7</v>
      </c>
      <c r="AK25" s="120">
        <f>'0501(実績)'!AK63</f>
        <v>0</v>
      </c>
      <c r="AL25" s="1" t="s">
        <v>3</v>
      </c>
    </row>
    <row r="26" spans="2:38" s="1" customFormat="1" ht="15" customHeight="1" outlineLevel="1">
      <c r="B26" s="208"/>
      <c r="C26" s="250" t="s">
        <v>9</v>
      </c>
      <c r="D26" s="251"/>
      <c r="E26" s="153">
        <f>'0501(予定)'!E54</f>
        <v>138.00000000000003</v>
      </c>
      <c r="F26" s="153">
        <f>'0501(予定)'!F54</f>
        <v>10</v>
      </c>
      <c r="G26" s="154" t="str">
        <f>'0501(予定)'!G54</f>
        <v>人数</v>
      </c>
      <c r="H26" s="155">
        <f>'0501(予定)'!H54</f>
        <v>0.8</v>
      </c>
      <c r="I26" s="155">
        <f>'0501(予定)'!I54</f>
        <v>0</v>
      </c>
      <c r="J26" s="155">
        <f>'0501(予定)'!J54</f>
        <v>0</v>
      </c>
      <c r="K26" s="155">
        <f>'0501(予定)'!K54</f>
        <v>0</v>
      </c>
      <c r="L26" s="155">
        <f>'0501(予定)'!L54</f>
        <v>0</v>
      </c>
      <c r="M26" s="155">
        <f>'0501(予定)'!M54</f>
        <v>0</v>
      </c>
      <c r="N26" s="155">
        <f>'0501(予定)'!N54</f>
        <v>0.8</v>
      </c>
      <c r="O26" s="155">
        <f>'0501(予定)'!O54</f>
        <v>0.8</v>
      </c>
      <c r="P26" s="155">
        <f>'0501(予定)'!P54</f>
        <v>0</v>
      </c>
      <c r="Q26" s="155">
        <f>'0501(予定)'!Q54</f>
        <v>0</v>
      </c>
      <c r="R26" s="155">
        <f>'0501(予定)'!R54</f>
        <v>0.8</v>
      </c>
      <c r="S26" s="155">
        <f>'0501(予定)'!S54</f>
        <v>0.8</v>
      </c>
      <c r="T26" s="155">
        <f>'0501(予定)'!T54</f>
        <v>0.8</v>
      </c>
      <c r="U26" s="155">
        <f>'0501(予定)'!U54</f>
        <v>0.8</v>
      </c>
      <c r="V26" s="155">
        <f>'0501(予定)'!V54</f>
        <v>0.8</v>
      </c>
      <c r="W26" s="155">
        <f>'0501(予定)'!W54</f>
        <v>0</v>
      </c>
      <c r="X26" s="155">
        <f>'0501(予定)'!X54</f>
        <v>0</v>
      </c>
      <c r="Y26" s="155">
        <f>'0501(予定)'!Y54</f>
        <v>0.8</v>
      </c>
      <c r="Z26" s="155">
        <f>'0501(予定)'!Z54</f>
        <v>0.8</v>
      </c>
      <c r="AA26" s="155">
        <f>'0501(予定)'!AA54</f>
        <v>0.8</v>
      </c>
      <c r="AB26" s="155">
        <f>'0501(予定)'!AB54</f>
        <v>0.8</v>
      </c>
      <c r="AC26" s="155">
        <f>'0501(予定)'!AC54</f>
        <v>0.8</v>
      </c>
      <c r="AD26" s="155">
        <f>'0501(予定)'!AD54</f>
        <v>0</v>
      </c>
      <c r="AE26" s="155">
        <f>'0501(予定)'!AE54</f>
        <v>0</v>
      </c>
      <c r="AF26" s="155">
        <f>'0501(予定)'!AF54</f>
        <v>0.8</v>
      </c>
      <c r="AG26" s="155">
        <f>'0501(予定)'!AG54</f>
        <v>0.8</v>
      </c>
      <c r="AH26" s="155">
        <f>'0501(予定)'!AH54</f>
        <v>0.8</v>
      </c>
      <c r="AI26" s="155">
        <f>'0501(予定)'!AI54</f>
        <v>1</v>
      </c>
      <c r="AJ26" s="155">
        <f>'0501(予定)'!AJ54</f>
        <v>0</v>
      </c>
      <c r="AK26" s="156">
        <f>'0501(予定)'!AK54</f>
        <v>0</v>
      </c>
    </row>
    <row r="27" spans="2:38" s="1" customFormat="1" ht="15" customHeight="1" outlineLevel="1">
      <c r="B27" s="208"/>
      <c r="C27" s="237" t="s">
        <v>43</v>
      </c>
      <c r="D27" s="238"/>
      <c r="E27" s="117">
        <f>'0501(実績)'!E65</f>
        <v>0</v>
      </c>
      <c r="F27" s="117">
        <f>'0501(実績)'!F65</f>
        <v>0</v>
      </c>
      <c r="G27" s="118" t="str">
        <f>'0501(実績)'!G65</f>
        <v>件数</v>
      </c>
      <c r="H27" s="119">
        <f>'0501(実績)'!H65</f>
        <v>0</v>
      </c>
      <c r="I27" s="119">
        <f>'0501(実績)'!I65</f>
        <v>0</v>
      </c>
      <c r="J27" s="119">
        <f>'0501(実績)'!J65</f>
        <v>0</v>
      </c>
      <c r="K27" s="119">
        <f>'0501(実績)'!K65</f>
        <v>0</v>
      </c>
      <c r="L27" s="119">
        <f>'0501(実績)'!L65</f>
        <v>0</v>
      </c>
      <c r="M27" s="119">
        <f>'0501(実績)'!M65</f>
        <v>0</v>
      </c>
      <c r="N27" s="119">
        <f>'0501(実績)'!N65</f>
        <v>0</v>
      </c>
      <c r="O27" s="119">
        <f>'0501(実績)'!O65</f>
        <v>0</v>
      </c>
      <c r="P27" s="119">
        <f>'0501(実績)'!P65</f>
        <v>0</v>
      </c>
      <c r="Q27" s="119">
        <f>'0501(実績)'!Q65</f>
        <v>0</v>
      </c>
      <c r="R27" s="119">
        <f>'0501(実績)'!R65</f>
        <v>0</v>
      </c>
      <c r="S27" s="119">
        <f>'0501(実績)'!S65</f>
        <v>0</v>
      </c>
      <c r="T27" s="119">
        <f>'0501(実績)'!T65</f>
        <v>0</v>
      </c>
      <c r="U27" s="119">
        <f>'0501(実績)'!U65</f>
        <v>0</v>
      </c>
      <c r="V27" s="119">
        <f>'0501(実績)'!V65</f>
        <v>0</v>
      </c>
      <c r="W27" s="119">
        <f>'0501(実績)'!W65</f>
        <v>0</v>
      </c>
      <c r="X27" s="119">
        <f>'0501(実績)'!X65</f>
        <v>0</v>
      </c>
      <c r="Y27" s="119">
        <f>'0501(実績)'!Y65</f>
        <v>0</v>
      </c>
      <c r="Z27" s="119">
        <f>'0501(実績)'!Z65</f>
        <v>0</v>
      </c>
      <c r="AA27" s="119">
        <f>'0501(実績)'!AA65</f>
        <v>0</v>
      </c>
      <c r="AB27" s="119">
        <f>'0501(実績)'!AB65</f>
        <v>0</v>
      </c>
      <c r="AC27" s="119">
        <f>'0501(実績)'!AC65</f>
        <v>0</v>
      </c>
      <c r="AD27" s="119">
        <f>'0501(実績)'!AD65</f>
        <v>0</v>
      </c>
      <c r="AE27" s="119">
        <f>'0501(実績)'!AE65</f>
        <v>0</v>
      </c>
      <c r="AF27" s="119">
        <f>'0501(実績)'!AF65</f>
        <v>0</v>
      </c>
      <c r="AG27" s="119">
        <f>'0501(実績)'!AG65</f>
        <v>0</v>
      </c>
      <c r="AH27" s="119">
        <f>'0501(実績)'!AH65</f>
        <v>0</v>
      </c>
      <c r="AI27" s="119">
        <f>'0501(実績)'!AI65</f>
        <v>0</v>
      </c>
      <c r="AJ27" s="119">
        <f>'0501(実績)'!AJ65</f>
        <v>0</v>
      </c>
      <c r="AK27" s="120">
        <f>'0501(実績)'!AK65</f>
        <v>0</v>
      </c>
      <c r="AL27" s="1" t="s">
        <v>3</v>
      </c>
    </row>
    <row r="28" spans="2:38" s="1" customFormat="1" ht="15" customHeight="1" outlineLevel="1">
      <c r="B28" s="208"/>
      <c r="C28" s="250" t="s">
        <v>13</v>
      </c>
      <c r="D28" s="251"/>
      <c r="E28" s="153">
        <f>'0501(予定)'!E56</f>
        <v>0</v>
      </c>
      <c r="F28" s="153">
        <f>'0501(予定)'!F56</f>
        <v>16</v>
      </c>
      <c r="G28" s="154" t="str">
        <f>'0501(予定)'!G56</f>
        <v>人数</v>
      </c>
      <c r="H28" s="155">
        <f>'0501(予定)'!H56</f>
        <v>0</v>
      </c>
      <c r="I28" s="155">
        <f>'0501(予定)'!I56</f>
        <v>0</v>
      </c>
      <c r="J28" s="155">
        <f>'0501(予定)'!J56</f>
        <v>0</v>
      </c>
      <c r="K28" s="155">
        <f>'0501(予定)'!K56</f>
        <v>0</v>
      </c>
      <c r="L28" s="155">
        <f>'0501(予定)'!L56</f>
        <v>0</v>
      </c>
      <c r="M28" s="155">
        <f>'0501(予定)'!M56</f>
        <v>0</v>
      </c>
      <c r="N28" s="155">
        <f>'0501(予定)'!N56</f>
        <v>0</v>
      </c>
      <c r="O28" s="155">
        <f>'0501(予定)'!O56</f>
        <v>0</v>
      </c>
      <c r="P28" s="155">
        <f>'0501(予定)'!P56</f>
        <v>0</v>
      </c>
      <c r="Q28" s="155">
        <f>'0501(予定)'!Q56</f>
        <v>0</v>
      </c>
      <c r="R28" s="155">
        <f>'0501(予定)'!R56</f>
        <v>0</v>
      </c>
      <c r="S28" s="155">
        <f>'0501(予定)'!S56</f>
        <v>0</v>
      </c>
      <c r="T28" s="155">
        <f>'0501(予定)'!T56</f>
        <v>0</v>
      </c>
      <c r="U28" s="155">
        <f>'0501(予定)'!U56</f>
        <v>0</v>
      </c>
      <c r="V28" s="155">
        <f>'0501(予定)'!V56</f>
        <v>0</v>
      </c>
      <c r="W28" s="155">
        <f>'0501(予定)'!W56</f>
        <v>0</v>
      </c>
      <c r="X28" s="155">
        <f>'0501(予定)'!X56</f>
        <v>0</v>
      </c>
      <c r="Y28" s="155">
        <f>'0501(予定)'!Y56</f>
        <v>0</v>
      </c>
      <c r="Z28" s="155">
        <f>'0501(予定)'!Z56</f>
        <v>0</v>
      </c>
      <c r="AA28" s="155">
        <f>'0501(予定)'!AA56</f>
        <v>0</v>
      </c>
      <c r="AB28" s="155">
        <f>'0501(予定)'!AB56</f>
        <v>0</v>
      </c>
      <c r="AC28" s="155">
        <f>'0501(予定)'!AC56</f>
        <v>0</v>
      </c>
      <c r="AD28" s="155">
        <f>'0501(予定)'!AD56</f>
        <v>0</v>
      </c>
      <c r="AE28" s="155">
        <f>'0501(予定)'!AE56</f>
        <v>0</v>
      </c>
      <c r="AF28" s="155">
        <f>'0501(予定)'!AF56</f>
        <v>0</v>
      </c>
      <c r="AG28" s="155">
        <f>'0501(予定)'!AG56</f>
        <v>0</v>
      </c>
      <c r="AH28" s="155">
        <f>'0501(予定)'!AH56</f>
        <v>0</v>
      </c>
      <c r="AI28" s="155">
        <f>'0501(予定)'!AI56</f>
        <v>0</v>
      </c>
      <c r="AJ28" s="155">
        <f>'0501(予定)'!AJ56</f>
        <v>0</v>
      </c>
      <c r="AK28" s="156">
        <f>'0501(予定)'!AK56</f>
        <v>0</v>
      </c>
    </row>
    <row r="29" spans="2:38" s="1" customFormat="1" ht="14" outlineLevel="1" thickBot="1">
      <c r="B29" s="209"/>
      <c r="C29" s="252" t="s">
        <v>13</v>
      </c>
      <c r="D29" s="253"/>
      <c r="E29" s="145">
        <f>'0501(実績)'!E67</f>
        <v>202</v>
      </c>
      <c r="F29" s="145" t="str">
        <f>'0501(実績)'!F67</f>
        <v>-</v>
      </c>
      <c r="G29" s="146" t="str">
        <f>'0501(実績)'!G67</f>
        <v>件数</v>
      </c>
      <c r="H29" s="147">
        <f>'0501(実績)'!H67</f>
        <v>11</v>
      </c>
      <c r="I29" s="147">
        <f>'0501(実績)'!I67</f>
        <v>0</v>
      </c>
      <c r="J29" s="147">
        <f>'0501(実績)'!J67</f>
        <v>0</v>
      </c>
      <c r="K29" s="147">
        <f>'0501(実績)'!K67</f>
        <v>0</v>
      </c>
      <c r="L29" s="147">
        <f>'0501(実績)'!L67</f>
        <v>0</v>
      </c>
      <c r="M29" s="147">
        <f>'0501(実績)'!M67</f>
        <v>0</v>
      </c>
      <c r="N29" s="147">
        <f>'0501(実績)'!N67</f>
        <v>15</v>
      </c>
      <c r="O29" s="147">
        <f>'0501(実績)'!O67</f>
        <v>7</v>
      </c>
      <c r="P29" s="147">
        <f>'0501(実績)'!P67</f>
        <v>0</v>
      </c>
      <c r="Q29" s="147">
        <f>'0501(実績)'!Q67</f>
        <v>0</v>
      </c>
      <c r="R29" s="147">
        <f>'0501(実績)'!R67</f>
        <v>13</v>
      </c>
      <c r="S29" s="147">
        <f>'0501(実績)'!S67</f>
        <v>0</v>
      </c>
      <c r="T29" s="147">
        <f>'0501(実績)'!T67</f>
        <v>31</v>
      </c>
      <c r="U29" s="147">
        <f>'0501(実績)'!U67</f>
        <v>7</v>
      </c>
      <c r="V29" s="147">
        <f>'0501(実績)'!V67</f>
        <v>11</v>
      </c>
      <c r="W29" s="147">
        <f>'0501(実績)'!W67</f>
        <v>0</v>
      </c>
      <c r="X29" s="147">
        <f>'0501(実績)'!X67</f>
        <v>0</v>
      </c>
      <c r="Y29" s="147">
        <f>'0501(実績)'!Y67</f>
        <v>26</v>
      </c>
      <c r="Z29" s="147">
        <f>'0501(実績)'!Z67</f>
        <v>0</v>
      </c>
      <c r="AA29" s="147">
        <f>'0501(実績)'!AA67</f>
        <v>10</v>
      </c>
      <c r="AB29" s="147">
        <f>'0501(実績)'!AB67</f>
        <v>11</v>
      </c>
      <c r="AC29" s="147">
        <f>'0501(実績)'!AC67</f>
        <v>12</v>
      </c>
      <c r="AD29" s="147">
        <f>'0501(実績)'!AD67</f>
        <v>0</v>
      </c>
      <c r="AE29" s="147">
        <f>'0501(実績)'!AE67</f>
        <v>0</v>
      </c>
      <c r="AF29" s="147">
        <f>'0501(実績)'!AF67</f>
        <v>12</v>
      </c>
      <c r="AG29" s="147">
        <f>'0501(実績)'!AG67</f>
        <v>19</v>
      </c>
      <c r="AH29" s="147">
        <f>'0501(実績)'!AH67</f>
        <v>10</v>
      </c>
      <c r="AI29" s="147">
        <f>'0501(実績)'!AI67</f>
        <v>0</v>
      </c>
      <c r="AJ29" s="147">
        <f>'0501(実績)'!AJ67</f>
        <v>7</v>
      </c>
      <c r="AK29" s="148">
        <f>'0501(実績)'!AK67</f>
        <v>0</v>
      </c>
      <c r="AL29" s="1" t="s">
        <v>3</v>
      </c>
    </row>
    <row r="48" spans="8:3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row>
    <row r="50" spans="8:3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row>
    <row r="65" spans="7:37">
      <c r="H65" s="177"/>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row>
    <row r="67" spans="7:3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c r="AD67" s="177"/>
      <c r="AE67" s="177"/>
      <c r="AF67" s="177"/>
      <c r="AG67" s="177"/>
      <c r="AH67" s="177"/>
      <c r="AI67" s="177"/>
      <c r="AJ67" s="177"/>
      <c r="AK67" s="177"/>
    </row>
  </sheetData>
  <autoFilter ref="B5:AL29" xr:uid="{001178E2-01B1-4F8D-8337-46FC6440BB43}">
    <filterColumn colId="1" showButton="0"/>
  </autoFilter>
  <mergeCells count="31">
    <mergeCell ref="C3:D5"/>
    <mergeCell ref="E3:E5"/>
    <mergeCell ref="F3:F5"/>
    <mergeCell ref="B6:B11"/>
    <mergeCell ref="C6:D6"/>
    <mergeCell ref="C7:D7"/>
    <mergeCell ref="C8:D8"/>
    <mergeCell ref="C9:D9"/>
    <mergeCell ref="C10:D10"/>
    <mergeCell ref="C11:D11"/>
    <mergeCell ref="B12:B17"/>
    <mergeCell ref="C12:D12"/>
    <mergeCell ref="C13:D13"/>
    <mergeCell ref="C14:D14"/>
    <mergeCell ref="C15:D15"/>
    <mergeCell ref="C16:D16"/>
    <mergeCell ref="C17:D17"/>
    <mergeCell ref="B18:B23"/>
    <mergeCell ref="C18:D18"/>
    <mergeCell ref="C19:D19"/>
    <mergeCell ref="C20:D20"/>
    <mergeCell ref="C21:D21"/>
    <mergeCell ref="C22:D22"/>
    <mergeCell ref="C23:D23"/>
    <mergeCell ref="B24:B29"/>
    <mergeCell ref="C24:D24"/>
    <mergeCell ref="C25:D25"/>
    <mergeCell ref="C26:D26"/>
    <mergeCell ref="C27:D27"/>
    <mergeCell ref="C28:D28"/>
    <mergeCell ref="C29:D29"/>
  </mergeCells>
  <phoneticPr fontId="2"/>
  <conditionalFormatting sqref="H4:AK5">
    <cfRule type="timePeriod" dxfId="16" priority="1" timePeriod="today">
      <formula>FLOOR(H4,1)=TODAY()</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33333D87-7600-4DA2-905B-B206587E2716}">
            <xm:f>OR(WEEKDAY(H$4,2)&gt;=6,COUNTIF(祝日!$A:$A,H$4)&gt;=1)</xm:f>
            <x14:dxf>
              <fill>
                <patternFill>
                  <bgColor theme="1" tint="0.499984740745262"/>
                </patternFill>
              </fill>
            </x14:dxf>
          </x14:cfRule>
          <xm:sqref>H4:AK29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859E5-41B1-42DD-BFB4-5F7F2890115F}">
  <dimension ref="B2:AL59"/>
  <sheetViews>
    <sheetView zoomScale="115" zoomScaleNormal="115" workbookViewId="0">
      <pane xSplit="7" ySplit="5" topLeftCell="H6" activePane="bottomRight" state="frozen"/>
      <selection pane="topRight" activeCell="H39" sqref="H39:AJ39"/>
      <selection pane="bottomLeft" activeCell="H39" sqref="H39:AJ39"/>
      <selection pane="bottomRight" activeCell="S10" sqref="S10"/>
    </sheetView>
  </sheetViews>
  <sheetFormatPr defaultRowHeight="15" outlineLevelRow="1"/>
  <cols>
    <col min="1" max="1" width="3.5703125" customWidth="1"/>
    <col min="2" max="2" width="4.640625" customWidth="1"/>
    <col min="3" max="3" width="3.35546875" bestFit="1" customWidth="1"/>
    <col min="4" max="4" width="8.5703125" customWidth="1"/>
    <col min="5" max="5" width="6.85546875" style="11" bestFit="1" customWidth="1"/>
    <col min="6" max="6" width="5.85546875" customWidth="1"/>
    <col min="7" max="7" width="4.640625" bestFit="1" customWidth="1"/>
    <col min="8" max="10" width="4.35546875" bestFit="1" customWidth="1"/>
    <col min="11" max="11" width="6.35546875" bestFit="1" customWidth="1"/>
    <col min="12" max="22" width="4.35546875" bestFit="1" customWidth="1"/>
    <col min="23" max="30" width="3.640625" customWidth="1"/>
    <col min="31" max="31" width="4.5703125" customWidth="1"/>
    <col min="32" max="37" width="3.640625" customWidth="1"/>
    <col min="38" max="38" width="4.42578125" customWidth="1"/>
  </cols>
  <sheetData>
    <row r="2" spans="2:38" ht="15.5" thickBot="1">
      <c r="E2"/>
      <c r="H2">
        <v>1</v>
      </c>
      <c r="I2">
        <v>1</v>
      </c>
      <c r="J2">
        <v>1</v>
      </c>
      <c r="K2">
        <v>1</v>
      </c>
      <c r="L2">
        <v>1</v>
      </c>
      <c r="O2">
        <v>1</v>
      </c>
      <c r="P2">
        <v>1</v>
      </c>
      <c r="Q2">
        <v>1</v>
      </c>
      <c r="R2">
        <v>1</v>
      </c>
      <c r="S2">
        <v>1</v>
      </c>
      <c r="V2">
        <v>1</v>
      </c>
      <c r="W2">
        <v>1</v>
      </c>
      <c r="X2">
        <v>1</v>
      </c>
      <c r="Y2">
        <v>1</v>
      </c>
      <c r="Z2">
        <v>1</v>
      </c>
      <c r="AC2">
        <v>1</v>
      </c>
      <c r="AD2">
        <v>1</v>
      </c>
      <c r="AE2">
        <v>1</v>
      </c>
      <c r="AF2">
        <v>1</v>
      </c>
      <c r="AG2">
        <v>1</v>
      </c>
      <c r="AJ2">
        <v>1</v>
      </c>
      <c r="AK2">
        <v>1</v>
      </c>
      <c r="AL2">
        <f>SUM(H2:AK2)</f>
        <v>22</v>
      </c>
    </row>
    <row r="3" spans="2:38" s="1" customFormat="1" ht="15" customHeight="1">
      <c r="C3" s="222"/>
      <c r="D3" s="223"/>
      <c r="E3" s="218" t="s">
        <v>0</v>
      </c>
      <c r="F3" s="215" t="s">
        <v>1</v>
      </c>
      <c r="G3" s="42"/>
      <c r="H3" s="2">
        <v>46174</v>
      </c>
      <c r="I3" s="3"/>
      <c r="J3" s="3"/>
      <c r="K3" s="3"/>
      <c r="L3" s="13" t="s">
        <v>2</v>
      </c>
      <c r="M3" s="3"/>
      <c r="N3" s="3"/>
      <c r="O3" s="3"/>
      <c r="P3" s="3"/>
      <c r="Q3" s="3"/>
      <c r="R3" s="3"/>
      <c r="S3" s="3"/>
      <c r="T3" s="3"/>
      <c r="U3" s="3"/>
      <c r="V3" s="3"/>
      <c r="W3" s="3"/>
      <c r="X3" s="3"/>
      <c r="Y3" s="3"/>
      <c r="Z3" s="3"/>
      <c r="AA3" s="3"/>
      <c r="AB3" s="3"/>
      <c r="AC3" s="3"/>
      <c r="AD3" s="3"/>
      <c r="AE3" s="13" t="s">
        <v>56</v>
      </c>
      <c r="AF3" s="3"/>
      <c r="AG3" s="3"/>
      <c r="AH3" s="3"/>
      <c r="AI3" s="3"/>
      <c r="AJ3" s="3"/>
      <c r="AK3" s="4"/>
      <c r="AL3" s="1" t="s">
        <v>3</v>
      </c>
    </row>
    <row r="4" spans="2:38" s="1" customFormat="1" ht="13.5">
      <c r="C4" s="224"/>
      <c r="D4" s="225"/>
      <c r="E4" s="219"/>
      <c r="F4" s="216"/>
      <c r="G4" s="43"/>
      <c r="H4" s="5">
        <f>H3</f>
        <v>46174</v>
      </c>
      <c r="I4" s="6">
        <f t="shared" ref="I4:AK4" si="0">H4+1</f>
        <v>46175</v>
      </c>
      <c r="J4" s="6">
        <f t="shared" si="0"/>
        <v>46176</v>
      </c>
      <c r="K4" s="6">
        <f t="shared" si="0"/>
        <v>46177</v>
      </c>
      <c r="L4" s="6">
        <f t="shared" si="0"/>
        <v>46178</v>
      </c>
      <c r="M4" s="6">
        <f t="shared" si="0"/>
        <v>46179</v>
      </c>
      <c r="N4" s="6">
        <f t="shared" si="0"/>
        <v>46180</v>
      </c>
      <c r="O4" s="6">
        <f t="shared" si="0"/>
        <v>46181</v>
      </c>
      <c r="P4" s="6">
        <f t="shared" si="0"/>
        <v>46182</v>
      </c>
      <c r="Q4" s="6">
        <f t="shared" si="0"/>
        <v>46183</v>
      </c>
      <c r="R4" s="6">
        <f t="shared" si="0"/>
        <v>46184</v>
      </c>
      <c r="S4" s="6">
        <f t="shared" si="0"/>
        <v>46185</v>
      </c>
      <c r="T4" s="6">
        <f t="shared" si="0"/>
        <v>46186</v>
      </c>
      <c r="U4" s="6">
        <f t="shared" si="0"/>
        <v>46187</v>
      </c>
      <c r="V4" s="6">
        <f t="shared" si="0"/>
        <v>46188</v>
      </c>
      <c r="W4" s="6">
        <f t="shared" si="0"/>
        <v>46189</v>
      </c>
      <c r="X4" s="6">
        <f t="shared" si="0"/>
        <v>46190</v>
      </c>
      <c r="Y4" s="6">
        <f t="shared" si="0"/>
        <v>46191</v>
      </c>
      <c r="Z4" s="6">
        <f t="shared" si="0"/>
        <v>46192</v>
      </c>
      <c r="AA4" s="6">
        <f t="shared" si="0"/>
        <v>46193</v>
      </c>
      <c r="AB4" s="6">
        <f t="shared" si="0"/>
        <v>46194</v>
      </c>
      <c r="AC4" s="6">
        <f t="shared" si="0"/>
        <v>46195</v>
      </c>
      <c r="AD4" s="6">
        <f t="shared" si="0"/>
        <v>46196</v>
      </c>
      <c r="AE4" s="6">
        <f t="shared" si="0"/>
        <v>46197</v>
      </c>
      <c r="AF4" s="6">
        <f t="shared" si="0"/>
        <v>46198</v>
      </c>
      <c r="AG4" s="6">
        <f t="shared" si="0"/>
        <v>46199</v>
      </c>
      <c r="AH4" s="6">
        <f t="shared" si="0"/>
        <v>46200</v>
      </c>
      <c r="AI4" s="6">
        <f t="shared" si="0"/>
        <v>46201</v>
      </c>
      <c r="AJ4" s="6">
        <f t="shared" si="0"/>
        <v>46202</v>
      </c>
      <c r="AK4" s="7">
        <f t="shared" si="0"/>
        <v>46203</v>
      </c>
      <c r="AL4" s="1" t="s">
        <v>3</v>
      </c>
    </row>
    <row r="5" spans="2:38" s="1" customFormat="1" ht="14" thickBot="1">
      <c r="C5" s="224"/>
      <c r="D5" s="225"/>
      <c r="E5" s="219"/>
      <c r="F5" s="217"/>
      <c r="G5" s="44"/>
      <c r="H5" s="8">
        <f>H4</f>
        <v>46174</v>
      </c>
      <c r="I5" s="9">
        <f t="shared" ref="I5:AK5" si="1">I4</f>
        <v>46175</v>
      </c>
      <c r="J5" s="9">
        <f t="shared" si="1"/>
        <v>46176</v>
      </c>
      <c r="K5" s="9">
        <f t="shared" si="1"/>
        <v>46177</v>
      </c>
      <c r="L5" s="9">
        <f t="shared" si="1"/>
        <v>46178</v>
      </c>
      <c r="M5" s="9">
        <f t="shared" si="1"/>
        <v>46179</v>
      </c>
      <c r="N5" s="9">
        <f t="shared" si="1"/>
        <v>46180</v>
      </c>
      <c r="O5" s="9">
        <f t="shared" si="1"/>
        <v>46181</v>
      </c>
      <c r="P5" s="9">
        <f t="shared" si="1"/>
        <v>46182</v>
      </c>
      <c r="Q5" s="9">
        <f t="shared" si="1"/>
        <v>46183</v>
      </c>
      <c r="R5" s="9">
        <f t="shared" si="1"/>
        <v>46184</v>
      </c>
      <c r="S5" s="9">
        <f t="shared" si="1"/>
        <v>46185</v>
      </c>
      <c r="T5" s="9">
        <f t="shared" si="1"/>
        <v>46186</v>
      </c>
      <c r="U5" s="9">
        <f t="shared" si="1"/>
        <v>46187</v>
      </c>
      <c r="V5" s="9">
        <f t="shared" si="1"/>
        <v>46188</v>
      </c>
      <c r="W5" s="9">
        <f t="shared" si="1"/>
        <v>46189</v>
      </c>
      <c r="X5" s="9">
        <f t="shared" si="1"/>
        <v>46190</v>
      </c>
      <c r="Y5" s="9">
        <f t="shared" si="1"/>
        <v>46191</v>
      </c>
      <c r="Z5" s="9">
        <f t="shared" si="1"/>
        <v>46192</v>
      </c>
      <c r="AA5" s="9">
        <f t="shared" si="1"/>
        <v>46193</v>
      </c>
      <c r="AB5" s="9">
        <f t="shared" si="1"/>
        <v>46194</v>
      </c>
      <c r="AC5" s="9">
        <f t="shared" si="1"/>
        <v>46195</v>
      </c>
      <c r="AD5" s="9">
        <f t="shared" si="1"/>
        <v>46196</v>
      </c>
      <c r="AE5" s="9">
        <f t="shared" si="1"/>
        <v>46197</v>
      </c>
      <c r="AF5" s="9">
        <f t="shared" si="1"/>
        <v>46198</v>
      </c>
      <c r="AG5" s="9">
        <f t="shared" si="1"/>
        <v>46199</v>
      </c>
      <c r="AH5" s="9">
        <f t="shared" si="1"/>
        <v>46200</v>
      </c>
      <c r="AI5" s="9">
        <f t="shared" si="1"/>
        <v>46201</v>
      </c>
      <c r="AJ5" s="9">
        <f t="shared" si="1"/>
        <v>46202</v>
      </c>
      <c r="AK5" s="10">
        <f t="shared" si="1"/>
        <v>46203</v>
      </c>
      <c r="AL5" s="1" t="s">
        <v>3</v>
      </c>
    </row>
    <row r="6" spans="2:38" s="1" customFormat="1" ht="15" customHeight="1">
      <c r="B6" s="207" t="s">
        <v>4</v>
      </c>
      <c r="C6" s="220" t="s">
        <v>5</v>
      </c>
      <c r="D6" s="221"/>
      <c r="E6" s="39">
        <f>SUM(H6:AK6)+'0501(予定)'!E6</f>
        <v>5720</v>
      </c>
      <c r="F6" s="39" t="s">
        <v>6</v>
      </c>
      <c r="G6" s="15" t="s">
        <v>7</v>
      </c>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
        <f>SUM(H6:AK6)</f>
        <v>0</v>
      </c>
    </row>
    <row r="7" spans="2:38" s="1" customFormat="1" ht="15" customHeight="1">
      <c r="B7" s="208"/>
      <c r="C7" s="205" t="s">
        <v>29</v>
      </c>
      <c r="D7" s="206"/>
      <c r="E7" s="39">
        <f>SUM(H7:AK7)+'0501(予定)'!E7</f>
        <v>4515</v>
      </c>
      <c r="F7" s="39" t="s">
        <v>6</v>
      </c>
      <c r="G7" s="15" t="s">
        <v>7</v>
      </c>
      <c r="H7" s="18">
        <f>SUM(H13*$F$13,H14*$F$14,H15*$F$15)</f>
        <v>60</v>
      </c>
      <c r="I7" s="18">
        <f>SUM(I13*$F$13,I14*$F$14,I15*$F$15)</f>
        <v>60</v>
      </c>
      <c r="J7" s="18">
        <f>SUM(J13*$F$13,J14*$F$14,J15*$F$15)</f>
        <v>60</v>
      </c>
      <c r="K7" s="18">
        <f t="shared" ref="K7:AK7" si="2">SUM(K13*$F$13,K14*$F$14,K15*$F$15)</f>
        <v>60</v>
      </c>
      <c r="L7" s="18">
        <f t="shared" si="2"/>
        <v>70</v>
      </c>
      <c r="M7" s="18">
        <f t="shared" si="2"/>
        <v>0</v>
      </c>
      <c r="N7" s="18">
        <f t="shared" si="2"/>
        <v>0</v>
      </c>
      <c r="O7" s="18">
        <f t="shared" si="2"/>
        <v>60</v>
      </c>
      <c r="P7" s="18">
        <f t="shared" si="2"/>
        <v>60</v>
      </c>
      <c r="Q7" s="18">
        <f t="shared" si="2"/>
        <v>60</v>
      </c>
      <c r="R7" s="18">
        <f t="shared" si="2"/>
        <v>60</v>
      </c>
      <c r="S7" s="18">
        <f t="shared" si="2"/>
        <v>70</v>
      </c>
      <c r="T7" s="18">
        <f t="shared" si="2"/>
        <v>0</v>
      </c>
      <c r="U7" s="18">
        <f t="shared" si="2"/>
        <v>0</v>
      </c>
      <c r="V7" s="18">
        <f t="shared" si="2"/>
        <v>60</v>
      </c>
      <c r="W7" s="18">
        <f t="shared" si="2"/>
        <v>60</v>
      </c>
      <c r="X7" s="18">
        <f t="shared" si="2"/>
        <v>60</v>
      </c>
      <c r="Y7" s="18">
        <f t="shared" si="2"/>
        <v>60</v>
      </c>
      <c r="Z7" s="18">
        <f t="shared" si="2"/>
        <v>70</v>
      </c>
      <c r="AA7" s="18">
        <f t="shared" si="2"/>
        <v>0</v>
      </c>
      <c r="AB7" s="18">
        <f t="shared" si="2"/>
        <v>0</v>
      </c>
      <c r="AC7" s="18">
        <f t="shared" si="2"/>
        <v>60</v>
      </c>
      <c r="AD7" s="18">
        <f t="shared" si="2"/>
        <v>40</v>
      </c>
      <c r="AE7" s="18">
        <f t="shared" si="2"/>
        <v>30</v>
      </c>
      <c r="AF7" s="18">
        <f t="shared" si="2"/>
        <v>40</v>
      </c>
      <c r="AG7" s="18">
        <f t="shared" si="2"/>
        <v>50</v>
      </c>
      <c r="AH7" s="18">
        <f t="shared" si="2"/>
        <v>0</v>
      </c>
      <c r="AI7" s="18">
        <f t="shared" si="2"/>
        <v>0</v>
      </c>
      <c r="AJ7" s="18">
        <f t="shared" si="2"/>
        <v>60</v>
      </c>
      <c r="AK7" s="18">
        <f t="shared" si="2"/>
        <v>0</v>
      </c>
      <c r="AL7" s="1" t="s">
        <v>3</v>
      </c>
    </row>
    <row r="8" spans="2:38" s="1" customFormat="1" ht="15" customHeight="1">
      <c r="B8" s="208"/>
      <c r="C8" s="213" t="s">
        <v>9</v>
      </c>
      <c r="D8" s="214"/>
      <c r="E8" s="121" t="s">
        <v>10</v>
      </c>
      <c r="F8" s="121" t="s">
        <v>10</v>
      </c>
      <c r="G8" s="122" t="s">
        <v>11</v>
      </c>
      <c r="H8" s="127">
        <f>'0501(予定)'!AK8+H7</f>
        <v>3365</v>
      </c>
      <c r="I8" s="127">
        <f t="shared" ref="I8:AK8" si="3">H8+I7</f>
        <v>3425</v>
      </c>
      <c r="J8" s="127">
        <f t="shared" si="3"/>
        <v>3485</v>
      </c>
      <c r="K8" s="127">
        <f t="shared" si="3"/>
        <v>3545</v>
      </c>
      <c r="L8" s="127">
        <f t="shared" si="3"/>
        <v>3615</v>
      </c>
      <c r="M8" s="127">
        <f t="shared" si="3"/>
        <v>3615</v>
      </c>
      <c r="N8" s="127">
        <f t="shared" si="3"/>
        <v>3615</v>
      </c>
      <c r="O8" s="127">
        <f t="shared" si="3"/>
        <v>3675</v>
      </c>
      <c r="P8" s="127">
        <f t="shared" si="3"/>
        <v>3735</v>
      </c>
      <c r="Q8" s="127">
        <f t="shared" si="3"/>
        <v>3795</v>
      </c>
      <c r="R8" s="127">
        <f t="shared" si="3"/>
        <v>3855</v>
      </c>
      <c r="S8" s="127">
        <f t="shared" si="3"/>
        <v>3925</v>
      </c>
      <c r="T8" s="127">
        <f t="shared" si="3"/>
        <v>3925</v>
      </c>
      <c r="U8" s="127">
        <f t="shared" si="3"/>
        <v>3925</v>
      </c>
      <c r="V8" s="127">
        <f t="shared" si="3"/>
        <v>3985</v>
      </c>
      <c r="W8" s="127">
        <f t="shared" si="3"/>
        <v>4045</v>
      </c>
      <c r="X8" s="127">
        <f t="shared" si="3"/>
        <v>4105</v>
      </c>
      <c r="Y8" s="127">
        <f t="shared" si="3"/>
        <v>4165</v>
      </c>
      <c r="Z8" s="127">
        <f t="shared" si="3"/>
        <v>4235</v>
      </c>
      <c r="AA8" s="127">
        <f t="shared" si="3"/>
        <v>4235</v>
      </c>
      <c r="AB8" s="127">
        <f t="shared" si="3"/>
        <v>4235</v>
      </c>
      <c r="AC8" s="127">
        <f t="shared" si="3"/>
        <v>4295</v>
      </c>
      <c r="AD8" s="127">
        <f t="shared" si="3"/>
        <v>4335</v>
      </c>
      <c r="AE8" s="127">
        <f t="shared" si="3"/>
        <v>4365</v>
      </c>
      <c r="AF8" s="127">
        <f t="shared" si="3"/>
        <v>4405</v>
      </c>
      <c r="AG8" s="127">
        <f t="shared" si="3"/>
        <v>4455</v>
      </c>
      <c r="AH8" s="127">
        <f t="shared" si="3"/>
        <v>4455</v>
      </c>
      <c r="AI8" s="127">
        <f t="shared" si="3"/>
        <v>4455</v>
      </c>
      <c r="AJ8" s="127">
        <f t="shared" si="3"/>
        <v>4515</v>
      </c>
      <c r="AK8" s="128">
        <f t="shared" si="3"/>
        <v>4515</v>
      </c>
    </row>
    <row r="9" spans="2:38" s="1" customFormat="1" ht="15" customHeight="1">
      <c r="B9" s="208"/>
      <c r="C9" s="205" t="s">
        <v>30</v>
      </c>
      <c r="D9" s="206"/>
      <c r="E9" s="39">
        <f>SUM(H9:AK9)+'0501(予定)'!E9</f>
        <v>3857</v>
      </c>
      <c r="F9" s="39" t="s">
        <v>6</v>
      </c>
      <c r="G9" s="15" t="s">
        <v>7</v>
      </c>
      <c r="H9" s="130">
        <f t="shared" ref="H9:AK9" si="4">SUM(H16*$F$16,H17*$F$17,H18*$F$18,H19*$F$19)</f>
        <v>70</v>
      </c>
      <c r="I9" s="130">
        <f t="shared" si="4"/>
        <v>72</v>
      </c>
      <c r="J9" s="130">
        <f t="shared" si="4"/>
        <v>70</v>
      </c>
      <c r="K9" s="130">
        <f t="shared" si="4"/>
        <v>70</v>
      </c>
      <c r="L9" s="130">
        <f t="shared" si="4"/>
        <v>80</v>
      </c>
      <c r="M9" s="130">
        <f t="shared" si="4"/>
        <v>0</v>
      </c>
      <c r="N9" s="130">
        <f t="shared" si="4"/>
        <v>0</v>
      </c>
      <c r="O9" s="130">
        <f t="shared" si="4"/>
        <v>70</v>
      </c>
      <c r="P9" s="130">
        <f t="shared" si="4"/>
        <v>72</v>
      </c>
      <c r="Q9" s="130">
        <f t="shared" si="4"/>
        <v>70</v>
      </c>
      <c r="R9" s="130">
        <f t="shared" si="4"/>
        <v>70</v>
      </c>
      <c r="S9" s="130">
        <f t="shared" si="4"/>
        <v>80</v>
      </c>
      <c r="T9" s="130">
        <f t="shared" si="4"/>
        <v>0</v>
      </c>
      <c r="U9" s="130">
        <f t="shared" si="4"/>
        <v>0</v>
      </c>
      <c r="V9" s="130">
        <f t="shared" si="4"/>
        <v>70</v>
      </c>
      <c r="W9" s="130">
        <f t="shared" si="4"/>
        <v>72</v>
      </c>
      <c r="X9" s="130">
        <f t="shared" si="4"/>
        <v>70</v>
      </c>
      <c r="Y9" s="130">
        <f t="shared" si="4"/>
        <v>70</v>
      </c>
      <c r="Z9" s="130">
        <f t="shared" si="4"/>
        <v>80</v>
      </c>
      <c r="AA9" s="130">
        <f t="shared" si="4"/>
        <v>0</v>
      </c>
      <c r="AB9" s="130">
        <f t="shared" si="4"/>
        <v>0</v>
      </c>
      <c r="AC9" s="130">
        <f t="shared" si="4"/>
        <v>70</v>
      </c>
      <c r="AD9" s="130">
        <f t="shared" si="4"/>
        <v>92</v>
      </c>
      <c r="AE9" s="130">
        <f t="shared" si="4"/>
        <v>72</v>
      </c>
      <c r="AF9" s="130">
        <f t="shared" si="4"/>
        <v>90</v>
      </c>
      <c r="AG9" s="130">
        <f t="shared" si="4"/>
        <v>100</v>
      </c>
      <c r="AH9" s="130">
        <f t="shared" si="4"/>
        <v>0</v>
      </c>
      <c r="AI9" s="130">
        <f t="shared" si="4"/>
        <v>0</v>
      </c>
      <c r="AJ9" s="130">
        <f t="shared" si="4"/>
        <v>70</v>
      </c>
      <c r="AK9" s="130">
        <f t="shared" si="4"/>
        <v>0</v>
      </c>
      <c r="AL9" s="1" t="s">
        <v>3</v>
      </c>
    </row>
    <row r="10" spans="2:38" s="1" customFormat="1" ht="15" customHeight="1">
      <c r="B10" s="208"/>
      <c r="C10" s="213" t="s">
        <v>13</v>
      </c>
      <c r="D10" s="214"/>
      <c r="E10" s="121" t="s">
        <v>10</v>
      </c>
      <c r="F10" s="121" t="s">
        <v>10</v>
      </c>
      <c r="G10" s="122" t="s">
        <v>11</v>
      </c>
      <c r="H10" s="127">
        <f>'0501(予定)'!AK10+H9</f>
        <v>2347</v>
      </c>
      <c r="I10" s="127">
        <f t="shared" ref="I10:AK10" si="5">H10+I9</f>
        <v>2419</v>
      </c>
      <c r="J10" s="127">
        <f t="shared" si="5"/>
        <v>2489</v>
      </c>
      <c r="K10" s="127">
        <f t="shared" si="5"/>
        <v>2559</v>
      </c>
      <c r="L10" s="127">
        <f t="shared" si="5"/>
        <v>2639</v>
      </c>
      <c r="M10" s="127">
        <f t="shared" si="5"/>
        <v>2639</v>
      </c>
      <c r="N10" s="127">
        <f t="shared" si="5"/>
        <v>2639</v>
      </c>
      <c r="O10" s="127">
        <f t="shared" si="5"/>
        <v>2709</v>
      </c>
      <c r="P10" s="127">
        <f t="shared" si="5"/>
        <v>2781</v>
      </c>
      <c r="Q10" s="127">
        <f t="shared" si="5"/>
        <v>2851</v>
      </c>
      <c r="R10" s="127">
        <f t="shared" si="5"/>
        <v>2921</v>
      </c>
      <c r="S10" s="127">
        <f t="shared" si="5"/>
        <v>3001</v>
      </c>
      <c r="T10" s="127">
        <f t="shared" si="5"/>
        <v>3001</v>
      </c>
      <c r="U10" s="127">
        <f t="shared" si="5"/>
        <v>3001</v>
      </c>
      <c r="V10" s="127">
        <f t="shared" si="5"/>
        <v>3071</v>
      </c>
      <c r="W10" s="127">
        <f t="shared" si="5"/>
        <v>3143</v>
      </c>
      <c r="X10" s="127">
        <f t="shared" si="5"/>
        <v>3213</v>
      </c>
      <c r="Y10" s="127">
        <f t="shared" si="5"/>
        <v>3283</v>
      </c>
      <c r="Z10" s="127">
        <f t="shared" si="5"/>
        <v>3363</v>
      </c>
      <c r="AA10" s="127">
        <f t="shared" si="5"/>
        <v>3363</v>
      </c>
      <c r="AB10" s="127">
        <f t="shared" si="5"/>
        <v>3363</v>
      </c>
      <c r="AC10" s="127">
        <f t="shared" si="5"/>
        <v>3433</v>
      </c>
      <c r="AD10" s="127">
        <f t="shared" si="5"/>
        <v>3525</v>
      </c>
      <c r="AE10" s="127">
        <f t="shared" si="5"/>
        <v>3597</v>
      </c>
      <c r="AF10" s="127">
        <f t="shared" si="5"/>
        <v>3687</v>
      </c>
      <c r="AG10" s="127">
        <f t="shared" si="5"/>
        <v>3787</v>
      </c>
      <c r="AH10" s="127">
        <f t="shared" si="5"/>
        <v>3787</v>
      </c>
      <c r="AI10" s="127">
        <f t="shared" si="5"/>
        <v>3787</v>
      </c>
      <c r="AJ10" s="127">
        <f t="shared" si="5"/>
        <v>3857</v>
      </c>
      <c r="AK10" s="129">
        <f t="shared" si="5"/>
        <v>3857</v>
      </c>
    </row>
    <row r="11" spans="2:38" s="1" customFormat="1" ht="13.5">
      <c r="B11" s="208"/>
      <c r="C11" s="205" t="s">
        <v>14</v>
      </c>
      <c r="D11" s="206"/>
      <c r="E11" s="39">
        <f>E6-E7</f>
        <v>1205</v>
      </c>
      <c r="F11" s="39" t="s">
        <v>6</v>
      </c>
      <c r="G11" s="15" t="s">
        <v>7</v>
      </c>
      <c r="H11" s="18">
        <f>'0501(予定)'!AK11+H6-H7</f>
        <v>2355</v>
      </c>
      <c r="I11" s="18">
        <f t="shared" ref="I11:AK11" si="6">H11+I6-I7</f>
        <v>2295</v>
      </c>
      <c r="J11" s="18">
        <f t="shared" si="6"/>
        <v>2235</v>
      </c>
      <c r="K11" s="18">
        <f t="shared" si="6"/>
        <v>2175</v>
      </c>
      <c r="L11" s="18">
        <f t="shared" si="6"/>
        <v>2105</v>
      </c>
      <c r="M11" s="18">
        <f t="shared" si="6"/>
        <v>2105</v>
      </c>
      <c r="N11" s="18">
        <f t="shared" si="6"/>
        <v>2105</v>
      </c>
      <c r="O11" s="18">
        <f t="shared" si="6"/>
        <v>2045</v>
      </c>
      <c r="P11" s="18">
        <f t="shared" si="6"/>
        <v>1985</v>
      </c>
      <c r="Q11" s="18">
        <f t="shared" si="6"/>
        <v>1925</v>
      </c>
      <c r="R11" s="18">
        <f t="shared" si="6"/>
        <v>1865</v>
      </c>
      <c r="S11" s="18">
        <f t="shared" si="6"/>
        <v>1795</v>
      </c>
      <c r="T11" s="18">
        <f t="shared" si="6"/>
        <v>1795</v>
      </c>
      <c r="U11" s="18">
        <f t="shared" si="6"/>
        <v>1795</v>
      </c>
      <c r="V11" s="18">
        <f t="shared" si="6"/>
        <v>1735</v>
      </c>
      <c r="W11" s="18">
        <f t="shared" si="6"/>
        <v>1675</v>
      </c>
      <c r="X11" s="18">
        <f t="shared" si="6"/>
        <v>1615</v>
      </c>
      <c r="Y11" s="18">
        <f t="shared" si="6"/>
        <v>1555</v>
      </c>
      <c r="Z11" s="18">
        <f t="shared" si="6"/>
        <v>1485</v>
      </c>
      <c r="AA11" s="18">
        <f t="shared" si="6"/>
        <v>1485</v>
      </c>
      <c r="AB11" s="18">
        <f t="shared" si="6"/>
        <v>1485</v>
      </c>
      <c r="AC11" s="18">
        <f t="shared" si="6"/>
        <v>1425</v>
      </c>
      <c r="AD11" s="18">
        <f t="shared" si="6"/>
        <v>1385</v>
      </c>
      <c r="AE11" s="18">
        <f t="shared" si="6"/>
        <v>1355</v>
      </c>
      <c r="AF11" s="18">
        <f t="shared" si="6"/>
        <v>1315</v>
      </c>
      <c r="AG11" s="18">
        <f t="shared" si="6"/>
        <v>1265</v>
      </c>
      <c r="AH11" s="18">
        <f t="shared" si="6"/>
        <v>1265</v>
      </c>
      <c r="AI11" s="18">
        <f t="shared" si="6"/>
        <v>1265</v>
      </c>
      <c r="AJ11" s="18">
        <f t="shared" si="6"/>
        <v>1205</v>
      </c>
      <c r="AK11" s="18">
        <f t="shared" si="6"/>
        <v>1205</v>
      </c>
      <c r="AL11" s="1" t="s">
        <v>3</v>
      </c>
    </row>
    <row r="12" spans="2:38" s="1" customFormat="1" ht="14" thickBot="1">
      <c r="B12" s="208"/>
      <c r="C12" s="205" t="s">
        <v>15</v>
      </c>
      <c r="D12" s="206"/>
      <c r="E12" s="19">
        <f>E6-E9</f>
        <v>1863</v>
      </c>
      <c r="F12" s="19" t="s">
        <v>6</v>
      </c>
      <c r="G12" s="15" t="s">
        <v>7</v>
      </c>
      <c r="H12" s="20">
        <f>'0501(予定)'!AK12+H6-H9</f>
        <v>3373</v>
      </c>
      <c r="I12" s="20">
        <f t="shared" ref="I12:AK12" si="7">H12+I6-I9</f>
        <v>3301</v>
      </c>
      <c r="J12" s="20">
        <f t="shared" si="7"/>
        <v>3231</v>
      </c>
      <c r="K12" s="20">
        <f t="shared" si="7"/>
        <v>3161</v>
      </c>
      <c r="L12" s="20">
        <f t="shared" si="7"/>
        <v>3081</v>
      </c>
      <c r="M12" s="20">
        <f t="shared" si="7"/>
        <v>3081</v>
      </c>
      <c r="N12" s="20">
        <f t="shared" si="7"/>
        <v>3081</v>
      </c>
      <c r="O12" s="20">
        <f t="shared" si="7"/>
        <v>3011</v>
      </c>
      <c r="P12" s="20">
        <f t="shared" si="7"/>
        <v>2939</v>
      </c>
      <c r="Q12" s="20">
        <f t="shared" si="7"/>
        <v>2869</v>
      </c>
      <c r="R12" s="20">
        <f t="shared" si="7"/>
        <v>2799</v>
      </c>
      <c r="S12" s="20">
        <f t="shared" si="7"/>
        <v>2719</v>
      </c>
      <c r="T12" s="20">
        <f t="shared" si="7"/>
        <v>2719</v>
      </c>
      <c r="U12" s="20">
        <f t="shared" si="7"/>
        <v>2719</v>
      </c>
      <c r="V12" s="20">
        <f t="shared" si="7"/>
        <v>2649</v>
      </c>
      <c r="W12" s="20">
        <f t="shared" si="7"/>
        <v>2577</v>
      </c>
      <c r="X12" s="20">
        <f t="shared" si="7"/>
        <v>2507</v>
      </c>
      <c r="Y12" s="20">
        <f t="shared" si="7"/>
        <v>2437</v>
      </c>
      <c r="Z12" s="20">
        <f t="shared" si="7"/>
        <v>2357</v>
      </c>
      <c r="AA12" s="20">
        <f t="shared" si="7"/>
        <v>2357</v>
      </c>
      <c r="AB12" s="20">
        <f t="shared" si="7"/>
        <v>2357</v>
      </c>
      <c r="AC12" s="20">
        <f t="shared" si="7"/>
        <v>2287</v>
      </c>
      <c r="AD12" s="20">
        <f t="shared" si="7"/>
        <v>2195</v>
      </c>
      <c r="AE12" s="20">
        <f t="shared" si="7"/>
        <v>2123</v>
      </c>
      <c r="AF12" s="20">
        <f t="shared" si="7"/>
        <v>2033</v>
      </c>
      <c r="AG12" s="20">
        <f t="shared" si="7"/>
        <v>1933</v>
      </c>
      <c r="AH12" s="20">
        <f t="shared" si="7"/>
        <v>1933</v>
      </c>
      <c r="AI12" s="20">
        <f t="shared" si="7"/>
        <v>1933</v>
      </c>
      <c r="AJ12" s="20">
        <f t="shared" si="7"/>
        <v>1863</v>
      </c>
      <c r="AK12" s="20">
        <f t="shared" si="7"/>
        <v>1863</v>
      </c>
      <c r="AL12" s="1" t="s">
        <v>3</v>
      </c>
    </row>
    <row r="13" spans="2:38" s="1" customFormat="1" ht="13.5">
      <c r="B13" s="208"/>
      <c r="C13" s="210" t="s">
        <v>16</v>
      </c>
      <c r="D13" s="28" t="s">
        <v>17</v>
      </c>
      <c r="E13" s="33">
        <f>SUM(H13:AK13)*F13</f>
        <v>246</v>
      </c>
      <c r="F13" s="40">
        <v>20</v>
      </c>
      <c r="G13" s="16" t="s">
        <v>18</v>
      </c>
      <c r="H13" s="21">
        <v>0.5</v>
      </c>
      <c r="I13" s="21">
        <v>0.5</v>
      </c>
      <c r="J13" s="21">
        <v>0.5</v>
      </c>
      <c r="K13" s="21">
        <v>0.5</v>
      </c>
      <c r="L13" s="21">
        <v>1</v>
      </c>
      <c r="M13" s="21"/>
      <c r="N13" s="21"/>
      <c r="O13" s="21">
        <v>0.5</v>
      </c>
      <c r="P13" s="21">
        <v>0.5</v>
      </c>
      <c r="Q13" s="21">
        <v>0.5</v>
      </c>
      <c r="R13" s="21">
        <v>0.5</v>
      </c>
      <c r="S13" s="21">
        <v>1</v>
      </c>
      <c r="T13" s="21"/>
      <c r="U13" s="21"/>
      <c r="V13" s="21">
        <v>0.5</v>
      </c>
      <c r="W13" s="21">
        <v>0.5</v>
      </c>
      <c r="X13" s="21">
        <v>0.5</v>
      </c>
      <c r="Y13" s="21">
        <v>0.5</v>
      </c>
      <c r="Z13" s="21">
        <v>1</v>
      </c>
      <c r="AA13" s="21"/>
      <c r="AB13" s="21"/>
      <c r="AC13" s="21">
        <v>0.5</v>
      </c>
      <c r="AD13" s="21">
        <v>0.5</v>
      </c>
      <c r="AE13" s="21">
        <v>0.3</v>
      </c>
      <c r="AF13" s="21">
        <v>0.5</v>
      </c>
      <c r="AG13" s="21">
        <v>1</v>
      </c>
      <c r="AH13" s="21"/>
      <c r="AI13" s="21"/>
      <c r="AJ13" s="21">
        <v>0.5</v>
      </c>
      <c r="AK13" s="23"/>
      <c r="AL13" s="1" t="s">
        <v>3</v>
      </c>
    </row>
    <row r="14" spans="2:38" s="1" customFormat="1" ht="13.5">
      <c r="B14" s="208"/>
      <c r="C14" s="211"/>
      <c r="D14" s="29" t="s">
        <v>19</v>
      </c>
      <c r="E14" s="34">
        <f t="shared" ref="E14:E19" si="8">SUM(H14:AK14)*F14</f>
        <v>340</v>
      </c>
      <c r="F14" s="39">
        <v>20</v>
      </c>
      <c r="G14" s="15" t="s">
        <v>18</v>
      </c>
      <c r="H14" s="18">
        <v>1</v>
      </c>
      <c r="I14" s="18">
        <v>1</v>
      </c>
      <c r="J14" s="18">
        <v>1</v>
      </c>
      <c r="K14" s="18">
        <v>1</v>
      </c>
      <c r="L14" s="18">
        <v>1</v>
      </c>
      <c r="M14" s="18"/>
      <c r="N14" s="18"/>
      <c r="O14" s="18">
        <v>1</v>
      </c>
      <c r="P14" s="18">
        <v>1</v>
      </c>
      <c r="Q14" s="18">
        <v>1</v>
      </c>
      <c r="R14" s="18">
        <v>1</v>
      </c>
      <c r="S14" s="18">
        <v>1</v>
      </c>
      <c r="T14" s="18"/>
      <c r="U14" s="18"/>
      <c r="V14" s="18">
        <v>1</v>
      </c>
      <c r="W14" s="18">
        <v>1</v>
      </c>
      <c r="X14" s="18">
        <v>1</v>
      </c>
      <c r="Y14" s="18">
        <v>1</v>
      </c>
      <c r="Z14" s="18">
        <v>1</v>
      </c>
      <c r="AA14" s="18"/>
      <c r="AB14" s="18"/>
      <c r="AC14" s="18">
        <v>1</v>
      </c>
      <c r="AD14" s="18"/>
      <c r="AE14" s="18"/>
      <c r="AF14" s="18"/>
      <c r="AG14" s="18"/>
      <c r="AH14" s="18"/>
      <c r="AI14" s="18"/>
      <c r="AJ14" s="18">
        <v>1</v>
      </c>
      <c r="AK14" s="24"/>
      <c r="AL14" s="1" t="s">
        <v>3</v>
      </c>
    </row>
    <row r="15" spans="2:38" s="1" customFormat="1" ht="14" thickBot="1">
      <c r="B15" s="208"/>
      <c r="C15" s="211"/>
      <c r="D15" s="29" t="s">
        <v>57</v>
      </c>
      <c r="E15" s="35">
        <f t="shared" si="8"/>
        <v>624</v>
      </c>
      <c r="F15" s="41">
        <v>30</v>
      </c>
      <c r="G15" s="17" t="s">
        <v>18</v>
      </c>
      <c r="H15" s="25">
        <v>1</v>
      </c>
      <c r="I15" s="25">
        <v>1</v>
      </c>
      <c r="J15" s="18">
        <v>1</v>
      </c>
      <c r="K15" s="18">
        <v>1</v>
      </c>
      <c r="L15" s="18">
        <v>1</v>
      </c>
      <c r="M15" s="18"/>
      <c r="N15" s="18"/>
      <c r="O15" s="18">
        <v>1</v>
      </c>
      <c r="P15" s="18">
        <v>1</v>
      </c>
      <c r="Q15" s="18">
        <v>1</v>
      </c>
      <c r="R15" s="18">
        <v>1</v>
      </c>
      <c r="S15" s="18">
        <v>1</v>
      </c>
      <c r="T15" s="18"/>
      <c r="U15" s="18"/>
      <c r="V15" s="18">
        <v>1</v>
      </c>
      <c r="W15" s="18">
        <v>1</v>
      </c>
      <c r="X15" s="18">
        <v>1</v>
      </c>
      <c r="Y15" s="18">
        <v>1</v>
      </c>
      <c r="Z15" s="18">
        <v>1</v>
      </c>
      <c r="AA15" s="18"/>
      <c r="AB15" s="18"/>
      <c r="AC15" s="18">
        <v>1</v>
      </c>
      <c r="AD15" s="18">
        <v>1</v>
      </c>
      <c r="AE15" s="18">
        <v>0.8</v>
      </c>
      <c r="AF15" s="18">
        <v>1</v>
      </c>
      <c r="AG15" s="18">
        <v>1</v>
      </c>
      <c r="AH15" s="18"/>
      <c r="AI15" s="18"/>
      <c r="AJ15" s="18">
        <v>1</v>
      </c>
      <c r="AK15" s="27"/>
      <c r="AL15" s="1" t="s">
        <v>3</v>
      </c>
    </row>
    <row r="16" spans="2:38" s="1" customFormat="1" ht="13.5">
      <c r="B16" s="208"/>
      <c r="C16" s="210" t="s">
        <v>25</v>
      </c>
      <c r="D16" s="30" t="s">
        <v>26</v>
      </c>
      <c r="E16" s="36">
        <f t="shared" si="8"/>
        <v>624</v>
      </c>
      <c r="F16" s="40">
        <v>30</v>
      </c>
      <c r="G16" s="16" t="s">
        <v>18</v>
      </c>
      <c r="H16" s="21">
        <v>1</v>
      </c>
      <c r="I16" s="21">
        <v>1</v>
      </c>
      <c r="J16" s="21">
        <v>1</v>
      </c>
      <c r="K16" s="21">
        <v>1</v>
      </c>
      <c r="L16" s="21">
        <v>1</v>
      </c>
      <c r="M16" s="21"/>
      <c r="N16" s="21"/>
      <c r="O16" s="21">
        <v>1</v>
      </c>
      <c r="P16" s="21">
        <v>1</v>
      </c>
      <c r="Q16" s="21">
        <v>1</v>
      </c>
      <c r="R16" s="21">
        <v>1</v>
      </c>
      <c r="S16" s="21">
        <v>1</v>
      </c>
      <c r="T16" s="21"/>
      <c r="U16" s="21"/>
      <c r="V16" s="21">
        <v>1</v>
      </c>
      <c r="W16" s="21">
        <v>1</v>
      </c>
      <c r="X16" s="21">
        <v>1</v>
      </c>
      <c r="Y16" s="21">
        <v>1</v>
      </c>
      <c r="Z16" s="21">
        <v>1</v>
      </c>
      <c r="AA16" s="21"/>
      <c r="AB16" s="21"/>
      <c r="AC16" s="21">
        <v>1</v>
      </c>
      <c r="AD16" s="21">
        <v>1</v>
      </c>
      <c r="AE16" s="21">
        <v>0.8</v>
      </c>
      <c r="AF16" s="21">
        <v>1</v>
      </c>
      <c r="AG16" s="21">
        <v>1</v>
      </c>
      <c r="AH16" s="21"/>
      <c r="AI16" s="21"/>
      <c r="AJ16" s="21">
        <v>1</v>
      </c>
      <c r="AK16" s="23"/>
      <c r="AL16" s="1" t="s">
        <v>3</v>
      </c>
    </row>
    <row r="17" spans="2:38" s="1" customFormat="1" ht="13.5">
      <c r="B17" s="208"/>
      <c r="C17" s="211"/>
      <c r="D17" s="31" t="s">
        <v>27</v>
      </c>
      <c r="E17" s="37">
        <f t="shared" si="8"/>
        <v>800</v>
      </c>
      <c r="F17" s="39">
        <v>40</v>
      </c>
      <c r="G17" s="15" t="s">
        <v>18</v>
      </c>
      <c r="H17" s="18">
        <v>1</v>
      </c>
      <c r="I17" s="18">
        <v>0.8</v>
      </c>
      <c r="J17" s="18">
        <v>1</v>
      </c>
      <c r="K17" s="18">
        <v>1</v>
      </c>
      <c r="L17" s="18">
        <v>1</v>
      </c>
      <c r="M17" s="18"/>
      <c r="N17" s="18"/>
      <c r="O17" s="18">
        <v>1</v>
      </c>
      <c r="P17" s="18">
        <v>0.8</v>
      </c>
      <c r="Q17" s="18">
        <v>1</v>
      </c>
      <c r="R17" s="18">
        <v>1</v>
      </c>
      <c r="S17" s="18">
        <v>1</v>
      </c>
      <c r="T17" s="18"/>
      <c r="U17" s="18"/>
      <c r="V17" s="18">
        <v>1</v>
      </c>
      <c r="W17" s="18">
        <v>0.8</v>
      </c>
      <c r="X17" s="18">
        <v>1</v>
      </c>
      <c r="Y17" s="18">
        <v>1</v>
      </c>
      <c r="Z17" s="18">
        <v>1</v>
      </c>
      <c r="AA17" s="18"/>
      <c r="AB17" s="18"/>
      <c r="AC17" s="18">
        <v>1</v>
      </c>
      <c r="AD17" s="18">
        <v>0.8</v>
      </c>
      <c r="AE17" s="18">
        <v>0.8</v>
      </c>
      <c r="AF17" s="18">
        <v>1</v>
      </c>
      <c r="AG17" s="18">
        <v>1</v>
      </c>
      <c r="AH17" s="18"/>
      <c r="AI17" s="18"/>
      <c r="AJ17" s="18">
        <v>1</v>
      </c>
      <c r="AK17" s="24"/>
      <c r="AL17" s="1" t="s">
        <v>3</v>
      </c>
    </row>
    <row r="18" spans="2:38" s="1" customFormat="1" ht="13.5">
      <c r="B18" s="208"/>
      <c r="C18" s="211"/>
      <c r="D18" s="31" t="s">
        <v>19</v>
      </c>
      <c r="E18" s="37">
        <f t="shared" si="8"/>
        <v>76</v>
      </c>
      <c r="F18" s="39">
        <v>20</v>
      </c>
      <c r="G18" s="15" t="s">
        <v>18</v>
      </c>
      <c r="H18" s="18"/>
      <c r="I18" s="18"/>
      <c r="J18" s="18"/>
      <c r="K18" s="18"/>
      <c r="L18" s="18"/>
      <c r="M18" s="18"/>
      <c r="N18" s="18"/>
      <c r="O18" s="18"/>
      <c r="P18" s="18"/>
      <c r="Q18" s="18"/>
      <c r="R18" s="18"/>
      <c r="S18" s="18"/>
      <c r="T18" s="18"/>
      <c r="U18" s="18"/>
      <c r="V18" s="18"/>
      <c r="W18" s="18"/>
      <c r="X18" s="18"/>
      <c r="Y18" s="18"/>
      <c r="Z18" s="18"/>
      <c r="AA18" s="18"/>
      <c r="AB18" s="18"/>
      <c r="AC18" s="18"/>
      <c r="AD18" s="18">
        <v>1</v>
      </c>
      <c r="AE18" s="18">
        <v>0.8</v>
      </c>
      <c r="AF18" s="18">
        <v>1</v>
      </c>
      <c r="AG18" s="18">
        <v>1</v>
      </c>
      <c r="AH18" s="18"/>
      <c r="AI18" s="18"/>
      <c r="AJ18" s="18"/>
      <c r="AK18" s="24"/>
      <c r="AL18" s="1" t="s">
        <v>3</v>
      </c>
    </row>
    <row r="19" spans="2:38" s="1" customFormat="1" ht="14" thickBot="1">
      <c r="B19" s="209"/>
      <c r="C19" s="212"/>
      <c r="D19" s="32" t="s">
        <v>17</v>
      </c>
      <c r="E19" s="38">
        <f t="shared" si="8"/>
        <v>80</v>
      </c>
      <c r="F19" s="41">
        <v>20</v>
      </c>
      <c r="G19" s="17" t="s">
        <v>18</v>
      </c>
      <c r="H19" s="25">
        <v>0</v>
      </c>
      <c r="I19" s="25">
        <v>0.5</v>
      </c>
      <c r="J19" s="25">
        <v>0</v>
      </c>
      <c r="K19" s="25">
        <v>0</v>
      </c>
      <c r="L19" s="25">
        <v>0.5</v>
      </c>
      <c r="M19" s="25"/>
      <c r="N19" s="25"/>
      <c r="O19" s="25">
        <v>0</v>
      </c>
      <c r="P19" s="25">
        <v>0.5</v>
      </c>
      <c r="Q19" s="25">
        <v>0</v>
      </c>
      <c r="R19" s="25">
        <v>0</v>
      </c>
      <c r="S19" s="25">
        <v>0.5</v>
      </c>
      <c r="T19" s="25"/>
      <c r="U19" s="25"/>
      <c r="V19" s="25">
        <v>0</v>
      </c>
      <c r="W19" s="25">
        <v>0.5</v>
      </c>
      <c r="X19" s="25">
        <v>0</v>
      </c>
      <c r="Y19" s="25">
        <v>0</v>
      </c>
      <c r="Z19" s="25">
        <v>0.5</v>
      </c>
      <c r="AA19" s="25"/>
      <c r="AB19" s="25"/>
      <c r="AC19" s="25">
        <v>0</v>
      </c>
      <c r="AD19" s="25">
        <v>0.5</v>
      </c>
      <c r="AE19" s="25">
        <v>0</v>
      </c>
      <c r="AF19" s="25">
        <v>0</v>
      </c>
      <c r="AG19" s="25">
        <v>0.5</v>
      </c>
      <c r="AH19" s="25"/>
      <c r="AI19" s="25"/>
      <c r="AJ19" s="25">
        <v>0</v>
      </c>
      <c r="AK19" s="27"/>
      <c r="AL19" s="1" t="s">
        <v>3</v>
      </c>
    </row>
    <row r="20" spans="2:38" s="1" customFormat="1" ht="15" customHeight="1" outlineLevel="1">
      <c r="B20" s="226" t="s">
        <v>28</v>
      </c>
      <c r="C20" s="220" t="s">
        <v>5</v>
      </c>
      <c r="D20" s="221"/>
      <c r="E20" s="39">
        <f>SUM(H20:AK20)+'0501(予定)'!E24</f>
        <v>1764</v>
      </c>
      <c r="F20" s="39" t="s">
        <v>6</v>
      </c>
      <c r="G20" s="15" t="s">
        <v>7</v>
      </c>
      <c r="H20" s="18">
        <v>14</v>
      </c>
      <c r="I20" s="18">
        <v>16</v>
      </c>
      <c r="J20" s="18">
        <v>23</v>
      </c>
      <c r="K20" s="18">
        <v>14</v>
      </c>
      <c r="L20" s="18">
        <v>0</v>
      </c>
      <c r="M20" s="18">
        <v>0</v>
      </c>
      <c r="N20" s="18">
        <v>0</v>
      </c>
      <c r="O20" s="18">
        <v>33</v>
      </c>
      <c r="P20" s="18">
        <v>16</v>
      </c>
      <c r="Q20" s="18">
        <v>14</v>
      </c>
      <c r="R20" s="18">
        <v>11</v>
      </c>
      <c r="S20" s="18">
        <v>30</v>
      </c>
      <c r="T20" s="18">
        <v>0</v>
      </c>
      <c r="U20" s="18">
        <v>0</v>
      </c>
      <c r="V20" s="18">
        <v>55</v>
      </c>
      <c r="W20" s="18">
        <v>13</v>
      </c>
      <c r="X20" s="18">
        <v>14</v>
      </c>
      <c r="Y20" s="18">
        <v>20</v>
      </c>
      <c r="Z20" s="18">
        <v>12</v>
      </c>
      <c r="AA20" s="18">
        <v>0</v>
      </c>
      <c r="AB20" s="18">
        <v>0</v>
      </c>
      <c r="AC20" s="18">
        <v>6</v>
      </c>
      <c r="AD20" s="18">
        <v>22</v>
      </c>
      <c r="AE20" s="18">
        <v>12</v>
      </c>
      <c r="AF20" s="18">
        <v>19</v>
      </c>
      <c r="AG20" s="18">
        <v>10</v>
      </c>
      <c r="AH20" s="18">
        <v>0</v>
      </c>
      <c r="AI20" s="18">
        <v>0</v>
      </c>
      <c r="AJ20" s="18">
        <v>38</v>
      </c>
      <c r="AK20" s="18">
        <v>10</v>
      </c>
      <c r="AL20" s="1" t="s">
        <v>3</v>
      </c>
    </row>
    <row r="21" spans="2:38" s="1" customFormat="1" ht="15" customHeight="1" outlineLevel="1">
      <c r="B21" s="208"/>
      <c r="C21" s="205" t="s">
        <v>29</v>
      </c>
      <c r="D21" s="206"/>
      <c r="E21" s="39">
        <f>SUM(H21:AK21)+'0501(予定)'!E25</f>
        <v>1219</v>
      </c>
      <c r="F21" s="39" t="s">
        <v>6</v>
      </c>
      <c r="G21" s="15" t="s">
        <v>7</v>
      </c>
      <c r="H21" s="18">
        <f>SUM(H25*$F$25,H26*$F$26,H27*$F$27)</f>
        <v>7.5</v>
      </c>
      <c r="I21" s="18">
        <f t="shared" ref="I21:AK21" si="9">SUM(I25*$F$25,I26*$F$26,I27*$F$27)</f>
        <v>15</v>
      </c>
      <c r="J21" s="18">
        <f t="shared" si="9"/>
        <v>7.5</v>
      </c>
      <c r="K21" s="18">
        <f t="shared" si="9"/>
        <v>7.5</v>
      </c>
      <c r="L21" s="18">
        <f t="shared" si="9"/>
        <v>7.5</v>
      </c>
      <c r="M21" s="18">
        <f t="shared" si="9"/>
        <v>0</v>
      </c>
      <c r="N21" s="18">
        <f t="shared" si="9"/>
        <v>0</v>
      </c>
      <c r="O21" s="18">
        <f t="shared" si="9"/>
        <v>7.5</v>
      </c>
      <c r="P21" s="18">
        <f t="shared" si="9"/>
        <v>15</v>
      </c>
      <c r="Q21" s="18">
        <f t="shared" si="9"/>
        <v>7.5</v>
      </c>
      <c r="R21" s="18">
        <f t="shared" si="9"/>
        <v>7.5</v>
      </c>
      <c r="S21" s="18">
        <f t="shared" si="9"/>
        <v>7.5</v>
      </c>
      <c r="T21" s="18">
        <f t="shared" si="9"/>
        <v>0</v>
      </c>
      <c r="U21" s="18">
        <f t="shared" si="9"/>
        <v>0</v>
      </c>
      <c r="V21" s="18">
        <f t="shared" si="9"/>
        <v>7.5</v>
      </c>
      <c r="W21" s="18">
        <f t="shared" si="9"/>
        <v>15</v>
      </c>
      <c r="X21" s="18">
        <f t="shared" si="9"/>
        <v>7.5</v>
      </c>
      <c r="Y21" s="18">
        <f t="shared" si="9"/>
        <v>7.5</v>
      </c>
      <c r="Z21" s="18">
        <f t="shared" si="9"/>
        <v>7.5</v>
      </c>
      <c r="AA21" s="18">
        <f t="shared" si="9"/>
        <v>0</v>
      </c>
      <c r="AB21" s="18">
        <f t="shared" si="9"/>
        <v>0</v>
      </c>
      <c r="AC21" s="18">
        <f t="shared" si="9"/>
        <v>7.5</v>
      </c>
      <c r="AD21" s="18">
        <f t="shared" si="9"/>
        <v>15</v>
      </c>
      <c r="AE21" s="18">
        <f t="shared" si="9"/>
        <v>7.5</v>
      </c>
      <c r="AF21" s="18">
        <f t="shared" si="9"/>
        <v>7.5</v>
      </c>
      <c r="AG21" s="18">
        <f t="shared" si="9"/>
        <v>7.5</v>
      </c>
      <c r="AH21" s="18">
        <f t="shared" si="9"/>
        <v>0</v>
      </c>
      <c r="AI21" s="18">
        <f t="shared" si="9"/>
        <v>0</v>
      </c>
      <c r="AJ21" s="18">
        <f t="shared" si="9"/>
        <v>7.5</v>
      </c>
      <c r="AK21" s="18">
        <f t="shared" si="9"/>
        <v>0</v>
      </c>
      <c r="AL21" s="1" t="s">
        <v>3</v>
      </c>
    </row>
    <row r="22" spans="2:38" s="1" customFormat="1" ht="15" customHeight="1" outlineLevel="1">
      <c r="B22" s="208"/>
      <c r="C22" s="205" t="s">
        <v>30</v>
      </c>
      <c r="D22" s="206"/>
      <c r="E22" s="39">
        <f>SUM(H22:AK22)+'0501(予定)'!E26</f>
        <v>895</v>
      </c>
      <c r="F22" s="39" t="s">
        <v>6</v>
      </c>
      <c r="G22" s="15" t="s">
        <v>7</v>
      </c>
      <c r="H22" s="18">
        <f>SUM(H28*$F$28,H29*$F$29,H30*$F$30,H31*$F$31)</f>
        <v>18</v>
      </c>
      <c r="I22" s="18">
        <f t="shared" ref="I22:AK22" si="10">SUM(I28*$F$28,I29*$F$29,I30*$F$30,I31*$F$31)</f>
        <v>18</v>
      </c>
      <c r="J22" s="18">
        <f t="shared" si="10"/>
        <v>18</v>
      </c>
      <c r="K22" s="18">
        <f t="shared" si="10"/>
        <v>18</v>
      </c>
      <c r="L22" s="18">
        <f t="shared" si="10"/>
        <v>18</v>
      </c>
      <c r="M22" s="18">
        <f t="shared" si="10"/>
        <v>0</v>
      </c>
      <c r="N22" s="18">
        <f t="shared" si="10"/>
        <v>0</v>
      </c>
      <c r="O22" s="18">
        <f t="shared" si="10"/>
        <v>18</v>
      </c>
      <c r="P22" s="18">
        <f t="shared" si="10"/>
        <v>18</v>
      </c>
      <c r="Q22" s="18">
        <f t="shared" si="10"/>
        <v>18</v>
      </c>
      <c r="R22" s="18">
        <f t="shared" si="10"/>
        <v>18</v>
      </c>
      <c r="S22" s="18">
        <f t="shared" si="10"/>
        <v>18</v>
      </c>
      <c r="T22" s="18">
        <f t="shared" si="10"/>
        <v>0</v>
      </c>
      <c r="U22" s="18">
        <f t="shared" si="10"/>
        <v>0</v>
      </c>
      <c r="V22" s="18">
        <f t="shared" si="10"/>
        <v>18</v>
      </c>
      <c r="W22" s="18">
        <f t="shared" si="10"/>
        <v>18</v>
      </c>
      <c r="X22" s="18">
        <f t="shared" si="10"/>
        <v>18</v>
      </c>
      <c r="Y22" s="18">
        <f t="shared" si="10"/>
        <v>18</v>
      </c>
      <c r="Z22" s="18">
        <f t="shared" si="10"/>
        <v>18</v>
      </c>
      <c r="AA22" s="18">
        <f t="shared" si="10"/>
        <v>0</v>
      </c>
      <c r="AB22" s="18">
        <f t="shared" si="10"/>
        <v>0</v>
      </c>
      <c r="AC22" s="18">
        <f t="shared" si="10"/>
        <v>18</v>
      </c>
      <c r="AD22" s="18">
        <f t="shared" si="10"/>
        <v>18</v>
      </c>
      <c r="AE22" s="18">
        <f t="shared" si="10"/>
        <v>18</v>
      </c>
      <c r="AF22" s="18">
        <f t="shared" si="10"/>
        <v>18</v>
      </c>
      <c r="AG22" s="18">
        <f t="shared" si="10"/>
        <v>18</v>
      </c>
      <c r="AH22" s="18">
        <f t="shared" si="10"/>
        <v>0</v>
      </c>
      <c r="AI22" s="18">
        <f t="shared" si="10"/>
        <v>0</v>
      </c>
      <c r="AJ22" s="18">
        <f t="shared" si="10"/>
        <v>18</v>
      </c>
      <c r="AK22" s="18">
        <f t="shared" si="10"/>
        <v>0</v>
      </c>
      <c r="AL22" s="1" t="s">
        <v>3</v>
      </c>
    </row>
    <row r="23" spans="2:38" s="1" customFormat="1" ht="13.5" outlineLevel="1">
      <c r="B23" s="208"/>
      <c r="C23" s="205" t="s">
        <v>14</v>
      </c>
      <c r="D23" s="206"/>
      <c r="E23" s="39">
        <f>E20-E21</f>
        <v>545</v>
      </c>
      <c r="F23" s="39" t="s">
        <v>6</v>
      </c>
      <c r="G23" s="15" t="s">
        <v>7</v>
      </c>
      <c r="H23" s="18">
        <f>'0501(予定)'!AK27+H20-H21</f>
        <v>337</v>
      </c>
      <c r="I23" s="18">
        <f>H23+I20-I21</f>
        <v>338</v>
      </c>
      <c r="J23" s="18">
        <f t="shared" ref="J23" si="11">I23+J20-J21</f>
        <v>353.5</v>
      </c>
      <c r="K23" s="18">
        <f t="shared" ref="K23" si="12">J23+K20-K21</f>
        <v>360</v>
      </c>
      <c r="L23" s="18">
        <f t="shared" ref="L23" si="13">K23+L20-L21</f>
        <v>352.5</v>
      </c>
      <c r="M23" s="18">
        <f t="shared" ref="M23" si="14">L23+M20-M21</f>
        <v>352.5</v>
      </c>
      <c r="N23" s="18">
        <f t="shared" ref="N23" si="15">M23+N20-N21</f>
        <v>352.5</v>
      </c>
      <c r="O23" s="18">
        <f t="shared" ref="O23" si="16">N23+O20-O21</f>
        <v>378</v>
      </c>
      <c r="P23" s="18">
        <f t="shared" ref="P23" si="17">O23+P20-P21</f>
        <v>379</v>
      </c>
      <c r="Q23" s="18">
        <f t="shared" ref="Q23" si="18">P23+Q20-Q21</f>
        <v>385.5</v>
      </c>
      <c r="R23" s="18">
        <f t="shared" ref="R23" si="19">Q23+R20-R21</f>
        <v>389</v>
      </c>
      <c r="S23" s="18">
        <f t="shared" ref="S23" si="20">R23+S20-S21</f>
        <v>411.5</v>
      </c>
      <c r="T23" s="18">
        <f t="shared" ref="T23" si="21">S23+T20-T21</f>
        <v>411.5</v>
      </c>
      <c r="U23" s="18">
        <f t="shared" ref="U23" si="22">T23+U20-U21</f>
        <v>411.5</v>
      </c>
      <c r="V23" s="18">
        <f t="shared" ref="V23" si="23">U23+V20-V21</f>
        <v>459</v>
      </c>
      <c r="W23" s="18">
        <f t="shared" ref="W23" si="24">V23+W20-W21</f>
        <v>457</v>
      </c>
      <c r="X23" s="18">
        <f t="shared" ref="X23" si="25">W23+X20-X21</f>
        <v>463.5</v>
      </c>
      <c r="Y23" s="18">
        <f t="shared" ref="Y23" si="26">X23+Y20-Y21</f>
        <v>476</v>
      </c>
      <c r="Z23" s="18">
        <f t="shared" ref="Z23" si="27">Y23+Z20-Z21</f>
        <v>480.5</v>
      </c>
      <c r="AA23" s="18">
        <f t="shared" ref="AA23" si="28">Z23+AA20-AA21</f>
        <v>480.5</v>
      </c>
      <c r="AB23" s="18">
        <f t="shared" ref="AB23" si="29">AA23+AB20-AB21</f>
        <v>480.5</v>
      </c>
      <c r="AC23" s="18">
        <f t="shared" ref="AC23" si="30">AB23+AC20-AC21</f>
        <v>479</v>
      </c>
      <c r="AD23" s="18">
        <f t="shared" ref="AD23" si="31">AC23+AD20-AD21</f>
        <v>486</v>
      </c>
      <c r="AE23" s="18">
        <f t="shared" ref="AE23" si="32">AD23+AE20-AE21</f>
        <v>490.5</v>
      </c>
      <c r="AF23" s="18">
        <f t="shared" ref="AF23" si="33">AE23+AF20-AF21</f>
        <v>502</v>
      </c>
      <c r="AG23" s="18">
        <f t="shared" ref="AG23" si="34">AF23+AG20-AG21</f>
        <v>504.5</v>
      </c>
      <c r="AH23" s="18">
        <f t="shared" ref="AH23" si="35">AG23+AH20-AH21</f>
        <v>504.5</v>
      </c>
      <c r="AI23" s="18">
        <f t="shared" ref="AI23" si="36">AH23+AI20-AI21</f>
        <v>504.5</v>
      </c>
      <c r="AJ23" s="18">
        <f t="shared" ref="AJ23" si="37">AI23+AJ20-AJ21</f>
        <v>535</v>
      </c>
      <c r="AK23" s="18">
        <f t="shared" ref="AK23" si="38">AJ23+AK20-AK21</f>
        <v>545</v>
      </c>
      <c r="AL23" s="1" t="s">
        <v>3</v>
      </c>
    </row>
    <row r="24" spans="2:38" s="1" customFormat="1" ht="14" outlineLevel="1" thickBot="1">
      <c r="B24" s="208"/>
      <c r="C24" s="205" t="s">
        <v>15</v>
      </c>
      <c r="D24" s="206"/>
      <c r="E24" s="19">
        <f>E20-E22</f>
        <v>869</v>
      </c>
      <c r="F24" s="19" t="s">
        <v>6</v>
      </c>
      <c r="G24" s="15" t="s">
        <v>7</v>
      </c>
      <c r="H24" s="20">
        <f>'0501(予定)'!AK28+H20-H22</f>
        <v>841</v>
      </c>
      <c r="I24" s="20">
        <f>H24+I20-I22</f>
        <v>839</v>
      </c>
      <c r="J24" s="20">
        <f t="shared" ref="J24" si="39">I24+J20-J22</f>
        <v>844</v>
      </c>
      <c r="K24" s="20">
        <f t="shared" ref="K24" si="40">J24+K20-K22</f>
        <v>840</v>
      </c>
      <c r="L24" s="20">
        <f t="shared" ref="L24" si="41">K24+L20-L22</f>
        <v>822</v>
      </c>
      <c r="M24" s="20">
        <f t="shared" ref="M24" si="42">L24+M20-M22</f>
        <v>822</v>
      </c>
      <c r="N24" s="20">
        <f t="shared" ref="N24" si="43">M24+N20-N22</f>
        <v>822</v>
      </c>
      <c r="O24" s="20">
        <f t="shared" ref="O24" si="44">N24+O20-O22</f>
        <v>837</v>
      </c>
      <c r="P24" s="20">
        <f t="shared" ref="P24" si="45">O24+P20-P22</f>
        <v>835</v>
      </c>
      <c r="Q24" s="20">
        <f t="shared" ref="Q24" si="46">P24+Q20-Q22</f>
        <v>831</v>
      </c>
      <c r="R24" s="20">
        <f t="shared" ref="R24" si="47">Q24+R20-R22</f>
        <v>824</v>
      </c>
      <c r="S24" s="20">
        <f t="shared" ref="S24" si="48">R24+S20-S22</f>
        <v>836</v>
      </c>
      <c r="T24" s="20">
        <f t="shared" ref="T24" si="49">S24+T20-T22</f>
        <v>836</v>
      </c>
      <c r="U24" s="20">
        <f t="shared" ref="U24" si="50">T24+U20-U22</f>
        <v>836</v>
      </c>
      <c r="V24" s="20">
        <f t="shared" ref="V24" si="51">U24+V20-V22</f>
        <v>873</v>
      </c>
      <c r="W24" s="20">
        <f t="shared" ref="W24" si="52">V24+W20-W22</f>
        <v>868</v>
      </c>
      <c r="X24" s="20">
        <f t="shared" ref="X24" si="53">W24+X20-X22</f>
        <v>864</v>
      </c>
      <c r="Y24" s="20">
        <f t="shared" ref="Y24" si="54">X24+Y20-Y22</f>
        <v>866</v>
      </c>
      <c r="Z24" s="20">
        <f t="shared" ref="Z24" si="55">Y24+Z20-Z22</f>
        <v>860</v>
      </c>
      <c r="AA24" s="20">
        <f t="shared" ref="AA24" si="56">Z24+AA20-AA22</f>
        <v>860</v>
      </c>
      <c r="AB24" s="20">
        <f t="shared" ref="AB24" si="57">AA24+AB20-AB22</f>
        <v>860</v>
      </c>
      <c r="AC24" s="20">
        <f t="shared" ref="AC24" si="58">AB24+AC20-AC22</f>
        <v>848</v>
      </c>
      <c r="AD24" s="20">
        <f t="shared" ref="AD24" si="59">AC24+AD20-AD22</f>
        <v>852</v>
      </c>
      <c r="AE24" s="20">
        <f t="shared" ref="AE24" si="60">AD24+AE20-AE22</f>
        <v>846</v>
      </c>
      <c r="AF24" s="20">
        <f t="shared" ref="AF24" si="61">AE24+AF20-AF22</f>
        <v>847</v>
      </c>
      <c r="AG24" s="20">
        <f t="shared" ref="AG24" si="62">AF24+AG20-AG22</f>
        <v>839</v>
      </c>
      <c r="AH24" s="20">
        <f t="shared" ref="AH24" si="63">AG24+AH20-AH22</f>
        <v>839</v>
      </c>
      <c r="AI24" s="20">
        <f t="shared" ref="AI24" si="64">AH24+AI20-AI22</f>
        <v>839</v>
      </c>
      <c r="AJ24" s="20">
        <f t="shared" ref="AJ24:AK24" si="65">AI24+AJ20-AJ22</f>
        <v>859</v>
      </c>
      <c r="AK24" s="20">
        <f t="shared" si="65"/>
        <v>869</v>
      </c>
      <c r="AL24" s="1" t="s">
        <v>3</v>
      </c>
    </row>
    <row r="25" spans="2:38" s="1" customFormat="1" ht="13.5" outlineLevel="1">
      <c r="B25" s="208"/>
      <c r="C25" s="210" t="s">
        <v>16</v>
      </c>
      <c r="D25" s="28" t="s">
        <v>58</v>
      </c>
      <c r="E25" s="52">
        <f>SUM(H25:AK25)*F25</f>
        <v>187.5</v>
      </c>
      <c r="F25" s="40">
        <v>15</v>
      </c>
      <c r="G25" s="16" t="s">
        <v>18</v>
      </c>
      <c r="H25" s="21">
        <v>0.5</v>
      </c>
      <c r="I25" s="21">
        <v>1</v>
      </c>
      <c r="J25" s="21">
        <v>0.5</v>
      </c>
      <c r="K25" s="21">
        <v>0.5</v>
      </c>
      <c r="L25" s="21">
        <v>0.5</v>
      </c>
      <c r="M25" s="21"/>
      <c r="N25" s="21"/>
      <c r="O25" s="21">
        <v>0.5</v>
      </c>
      <c r="P25" s="21">
        <v>1</v>
      </c>
      <c r="Q25" s="21">
        <v>0.5</v>
      </c>
      <c r="R25" s="21">
        <v>0.5</v>
      </c>
      <c r="S25" s="21">
        <v>0.5</v>
      </c>
      <c r="T25" s="21"/>
      <c r="U25" s="21"/>
      <c r="V25" s="21">
        <v>0.5</v>
      </c>
      <c r="W25" s="21">
        <v>1</v>
      </c>
      <c r="X25" s="21">
        <v>0.5</v>
      </c>
      <c r="Y25" s="21">
        <v>0.5</v>
      </c>
      <c r="Z25" s="21">
        <v>0.5</v>
      </c>
      <c r="AA25" s="21"/>
      <c r="AB25" s="21"/>
      <c r="AC25" s="21">
        <v>0.5</v>
      </c>
      <c r="AD25" s="21">
        <v>1</v>
      </c>
      <c r="AE25" s="21">
        <v>0.5</v>
      </c>
      <c r="AF25" s="21">
        <v>0.5</v>
      </c>
      <c r="AG25" s="21">
        <v>0.5</v>
      </c>
      <c r="AH25" s="21"/>
      <c r="AI25" s="21"/>
      <c r="AJ25" s="21">
        <v>0.5</v>
      </c>
      <c r="AK25" s="23"/>
      <c r="AL25" s="1" t="s">
        <v>3</v>
      </c>
    </row>
    <row r="26" spans="2:38" s="1" customFormat="1" ht="13.5" outlineLevel="1">
      <c r="B26" s="208"/>
      <c r="C26" s="211"/>
      <c r="D26" s="29" t="s">
        <v>31</v>
      </c>
      <c r="E26" s="34">
        <f t="shared" ref="E26:E31" si="66">SUM(H26:AK26)*F26</f>
        <v>0</v>
      </c>
      <c r="F26" s="39"/>
      <c r="G26" s="15" t="s">
        <v>18</v>
      </c>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24"/>
      <c r="AL26" s="1" t="s">
        <v>3</v>
      </c>
    </row>
    <row r="27" spans="2:38" s="1" customFormat="1" ht="14" outlineLevel="1" thickBot="1">
      <c r="B27" s="208"/>
      <c r="C27" s="211"/>
      <c r="D27" s="29"/>
      <c r="E27" s="53">
        <f t="shared" si="66"/>
        <v>0</v>
      </c>
      <c r="F27" s="41"/>
      <c r="G27" s="17" t="s">
        <v>18</v>
      </c>
      <c r="H27" s="25"/>
      <c r="I27" s="25"/>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27"/>
      <c r="AL27" s="1" t="s">
        <v>3</v>
      </c>
    </row>
    <row r="28" spans="2:38" s="1" customFormat="1" ht="13.5" outlineLevel="1">
      <c r="B28" s="208"/>
      <c r="C28" s="210" t="s">
        <v>25</v>
      </c>
      <c r="D28" s="30" t="s">
        <v>32</v>
      </c>
      <c r="E28" s="33">
        <f t="shared" si="66"/>
        <v>273</v>
      </c>
      <c r="F28" s="40">
        <v>13</v>
      </c>
      <c r="G28" s="16" t="s">
        <v>18</v>
      </c>
      <c r="H28" s="21">
        <v>1</v>
      </c>
      <c r="I28" s="21">
        <v>1</v>
      </c>
      <c r="J28" s="21">
        <v>1</v>
      </c>
      <c r="K28" s="21">
        <v>1</v>
      </c>
      <c r="L28" s="21">
        <v>1</v>
      </c>
      <c r="M28" s="21"/>
      <c r="N28" s="21"/>
      <c r="O28" s="21">
        <v>1</v>
      </c>
      <c r="P28" s="21">
        <v>1</v>
      </c>
      <c r="Q28" s="21">
        <v>1</v>
      </c>
      <c r="R28" s="21">
        <v>1</v>
      </c>
      <c r="S28" s="21">
        <v>1</v>
      </c>
      <c r="T28" s="21"/>
      <c r="U28" s="21"/>
      <c r="V28" s="21">
        <v>1</v>
      </c>
      <c r="W28" s="21">
        <v>1</v>
      </c>
      <c r="X28" s="21">
        <v>1</v>
      </c>
      <c r="Y28" s="21">
        <v>1</v>
      </c>
      <c r="Z28" s="21">
        <v>1</v>
      </c>
      <c r="AA28" s="21"/>
      <c r="AB28" s="21"/>
      <c r="AC28" s="21">
        <v>1</v>
      </c>
      <c r="AD28" s="21">
        <v>1</v>
      </c>
      <c r="AE28" s="21">
        <v>1</v>
      </c>
      <c r="AF28" s="21">
        <v>1</v>
      </c>
      <c r="AG28" s="21">
        <v>1</v>
      </c>
      <c r="AH28" s="21"/>
      <c r="AI28" s="21"/>
      <c r="AJ28" s="21">
        <v>1</v>
      </c>
      <c r="AK28" s="23"/>
      <c r="AL28" s="1" t="s">
        <v>3</v>
      </c>
    </row>
    <row r="29" spans="2:38" s="1" customFormat="1" ht="13.5" outlineLevel="1">
      <c r="B29" s="208"/>
      <c r="C29" s="211"/>
      <c r="D29" s="31" t="s">
        <v>33</v>
      </c>
      <c r="E29" s="55">
        <f t="shared" si="66"/>
        <v>105</v>
      </c>
      <c r="F29" s="39">
        <v>10</v>
      </c>
      <c r="G29" s="15" t="s">
        <v>18</v>
      </c>
      <c r="H29" s="18">
        <v>0.5</v>
      </c>
      <c r="I29" s="18">
        <v>0.5</v>
      </c>
      <c r="J29" s="18">
        <v>0.5</v>
      </c>
      <c r="K29" s="18">
        <v>0.5</v>
      </c>
      <c r="L29" s="18">
        <v>0.5</v>
      </c>
      <c r="M29" s="18"/>
      <c r="N29" s="18"/>
      <c r="O29" s="18">
        <v>0.5</v>
      </c>
      <c r="P29" s="18">
        <v>0.5</v>
      </c>
      <c r="Q29" s="18">
        <v>0.5</v>
      </c>
      <c r="R29" s="18">
        <v>0.5</v>
      </c>
      <c r="S29" s="18">
        <v>0.5</v>
      </c>
      <c r="T29" s="18"/>
      <c r="U29" s="18"/>
      <c r="V29" s="18">
        <v>0.5</v>
      </c>
      <c r="W29" s="18">
        <v>0.5</v>
      </c>
      <c r="X29" s="18">
        <v>0.5</v>
      </c>
      <c r="Y29" s="18">
        <v>0.5</v>
      </c>
      <c r="Z29" s="18">
        <v>0.5</v>
      </c>
      <c r="AA29" s="18"/>
      <c r="AB29" s="18"/>
      <c r="AC29" s="18">
        <v>0.5</v>
      </c>
      <c r="AD29" s="18">
        <v>0.5</v>
      </c>
      <c r="AE29" s="18">
        <v>0.5</v>
      </c>
      <c r="AF29" s="18">
        <v>0.5</v>
      </c>
      <c r="AG29" s="18">
        <v>0.5</v>
      </c>
      <c r="AH29" s="18"/>
      <c r="AI29" s="18"/>
      <c r="AJ29" s="18">
        <v>0.5</v>
      </c>
      <c r="AK29" s="24"/>
      <c r="AL29" s="1" t="s">
        <v>3</v>
      </c>
    </row>
    <row r="30" spans="2:38" s="1" customFormat="1" ht="13.5" outlineLevel="1">
      <c r="B30" s="208"/>
      <c r="C30" s="211"/>
      <c r="D30" s="31" t="s">
        <v>34</v>
      </c>
      <c r="E30" s="54">
        <f t="shared" si="66"/>
        <v>0</v>
      </c>
      <c r="F30" s="39"/>
      <c r="G30" s="15" t="s">
        <v>18</v>
      </c>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24"/>
      <c r="AL30" s="1" t="s">
        <v>3</v>
      </c>
    </row>
    <row r="31" spans="2:38" s="1" customFormat="1" ht="14" outlineLevel="1" thickBot="1">
      <c r="B31" s="209"/>
      <c r="C31" s="212"/>
      <c r="D31" s="32"/>
      <c r="E31" s="35">
        <f t="shared" si="66"/>
        <v>0</v>
      </c>
      <c r="F31" s="41"/>
      <c r="G31" s="17" t="s">
        <v>18</v>
      </c>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7"/>
      <c r="AL31" s="1" t="s">
        <v>3</v>
      </c>
    </row>
    <row r="32" spans="2:38" s="1" customFormat="1" ht="15" customHeight="1" outlineLevel="1">
      <c r="B32" s="226" t="s">
        <v>35</v>
      </c>
      <c r="C32" s="220" t="s">
        <v>5</v>
      </c>
      <c r="D32" s="221"/>
      <c r="E32" s="56">
        <f>SUM(H32:AK32)+'0501(予定)'!E36</f>
        <v>678</v>
      </c>
      <c r="F32" s="39" t="s">
        <v>10</v>
      </c>
      <c r="G32" s="15" t="s">
        <v>7</v>
      </c>
      <c r="H32" s="18">
        <v>10</v>
      </c>
      <c r="I32" s="18">
        <v>7</v>
      </c>
      <c r="J32" s="18">
        <v>3</v>
      </c>
      <c r="K32" s="18">
        <v>2</v>
      </c>
      <c r="L32" s="18">
        <v>0</v>
      </c>
      <c r="M32" s="71">
        <v>0</v>
      </c>
      <c r="N32" s="71">
        <v>0</v>
      </c>
      <c r="O32" s="18">
        <v>26</v>
      </c>
      <c r="P32" s="18">
        <v>1</v>
      </c>
      <c r="Q32" s="18">
        <v>0</v>
      </c>
      <c r="R32" s="18">
        <v>2</v>
      </c>
      <c r="S32" s="18">
        <v>13</v>
      </c>
      <c r="T32" s="71">
        <v>0</v>
      </c>
      <c r="U32" s="71">
        <v>0</v>
      </c>
      <c r="V32" s="18">
        <v>11</v>
      </c>
      <c r="W32" s="18">
        <v>11</v>
      </c>
      <c r="X32" s="18">
        <v>1</v>
      </c>
      <c r="Y32" s="18">
        <v>1</v>
      </c>
      <c r="Z32" s="18">
        <v>17</v>
      </c>
      <c r="AA32" s="71">
        <v>0</v>
      </c>
      <c r="AB32" s="71">
        <v>0</v>
      </c>
      <c r="AC32" s="18">
        <v>11</v>
      </c>
      <c r="AD32" s="18">
        <v>7</v>
      </c>
      <c r="AE32" s="18">
        <v>2</v>
      </c>
      <c r="AF32" s="18">
        <v>4</v>
      </c>
      <c r="AG32" s="18">
        <v>33</v>
      </c>
      <c r="AH32" s="71">
        <v>0</v>
      </c>
      <c r="AI32" s="71">
        <v>0</v>
      </c>
      <c r="AJ32" s="18">
        <v>10</v>
      </c>
      <c r="AK32" s="18">
        <v>11</v>
      </c>
      <c r="AL32" s="1" t="s">
        <v>3</v>
      </c>
    </row>
    <row r="33" spans="2:38" s="1" customFormat="1" ht="15" customHeight="1" outlineLevel="1">
      <c r="B33" s="208"/>
      <c r="C33" s="205" t="s">
        <v>29</v>
      </c>
      <c r="D33" s="206"/>
      <c r="E33" s="56">
        <f>SUM(H33:AK33)+'0501(予定)'!E37</f>
        <v>578</v>
      </c>
      <c r="F33" s="39" t="s">
        <v>10</v>
      </c>
      <c r="G33" s="15" t="s">
        <v>7</v>
      </c>
      <c r="H33" s="18">
        <f>SUM(H37*$F$37,H38*$F$38,H39*$F$39)</f>
        <v>14</v>
      </c>
      <c r="I33" s="18">
        <f t="shared" ref="I33:AK33" si="67">SUM(I37*$F$37,I38*$F$38,I39*$F$39)</f>
        <v>4</v>
      </c>
      <c r="J33" s="18">
        <f t="shared" si="67"/>
        <v>4</v>
      </c>
      <c r="K33" s="18">
        <f t="shared" si="67"/>
        <v>14</v>
      </c>
      <c r="L33" s="18">
        <f t="shared" si="67"/>
        <v>4</v>
      </c>
      <c r="M33" s="71">
        <f t="shared" si="67"/>
        <v>0</v>
      </c>
      <c r="N33" s="71">
        <f t="shared" si="67"/>
        <v>0</v>
      </c>
      <c r="O33" s="18">
        <f t="shared" si="67"/>
        <v>4</v>
      </c>
      <c r="P33" s="18">
        <f t="shared" si="67"/>
        <v>4</v>
      </c>
      <c r="Q33" s="18">
        <f t="shared" si="67"/>
        <v>4</v>
      </c>
      <c r="R33" s="18">
        <f t="shared" si="67"/>
        <v>14</v>
      </c>
      <c r="S33" s="18">
        <f t="shared" si="67"/>
        <v>4</v>
      </c>
      <c r="T33" s="71">
        <f t="shared" si="67"/>
        <v>0</v>
      </c>
      <c r="U33" s="71">
        <f t="shared" si="67"/>
        <v>0</v>
      </c>
      <c r="V33" s="18">
        <f t="shared" si="67"/>
        <v>14</v>
      </c>
      <c r="W33" s="18">
        <f t="shared" si="67"/>
        <v>4</v>
      </c>
      <c r="X33" s="18">
        <f t="shared" si="67"/>
        <v>4</v>
      </c>
      <c r="Y33" s="18">
        <f t="shared" si="67"/>
        <v>14</v>
      </c>
      <c r="Z33" s="18">
        <f t="shared" si="67"/>
        <v>4</v>
      </c>
      <c r="AA33" s="71">
        <f t="shared" si="67"/>
        <v>0</v>
      </c>
      <c r="AB33" s="71">
        <f t="shared" si="67"/>
        <v>0</v>
      </c>
      <c r="AC33" s="18">
        <f t="shared" si="67"/>
        <v>14</v>
      </c>
      <c r="AD33" s="18">
        <f t="shared" si="67"/>
        <v>4</v>
      </c>
      <c r="AE33" s="18">
        <f t="shared" si="67"/>
        <v>4</v>
      </c>
      <c r="AF33" s="18">
        <f t="shared" si="67"/>
        <v>14</v>
      </c>
      <c r="AG33" s="18">
        <f t="shared" si="67"/>
        <v>4</v>
      </c>
      <c r="AH33" s="71">
        <f t="shared" si="67"/>
        <v>0</v>
      </c>
      <c r="AI33" s="71">
        <f t="shared" si="67"/>
        <v>0</v>
      </c>
      <c r="AJ33" s="18">
        <f t="shared" si="67"/>
        <v>4</v>
      </c>
      <c r="AK33" s="18">
        <f t="shared" si="67"/>
        <v>4</v>
      </c>
      <c r="AL33" s="1" t="s">
        <v>3</v>
      </c>
    </row>
    <row r="34" spans="2:38" s="1" customFormat="1" ht="15" customHeight="1" outlineLevel="1">
      <c r="B34" s="208"/>
      <c r="C34" s="205" t="s">
        <v>30</v>
      </c>
      <c r="D34" s="206"/>
      <c r="E34" s="56">
        <f>SUM(H34:AK34)+'0501(予定)'!E38</f>
        <v>542.5</v>
      </c>
      <c r="F34" s="39" t="s">
        <v>10</v>
      </c>
      <c r="G34" s="15" t="s">
        <v>7</v>
      </c>
      <c r="H34" s="18">
        <f>SUM(H40*$F$40,H41*$F$41,H42*$F$42,H43*$F$43)</f>
        <v>13.5</v>
      </c>
      <c r="I34" s="18">
        <f t="shared" ref="I34:AK34" si="68">SUM(I40*$F$40,I41*$F$41,I42*$F$42,I43*$F$43)</f>
        <v>3.5</v>
      </c>
      <c r="J34" s="18">
        <f t="shared" si="68"/>
        <v>3.5</v>
      </c>
      <c r="K34" s="18">
        <f t="shared" si="68"/>
        <v>13.5</v>
      </c>
      <c r="L34" s="18">
        <f t="shared" si="68"/>
        <v>3.5</v>
      </c>
      <c r="M34" s="71">
        <f t="shared" si="68"/>
        <v>0</v>
      </c>
      <c r="N34" s="71">
        <f t="shared" si="68"/>
        <v>0</v>
      </c>
      <c r="O34" s="18">
        <f t="shared" si="68"/>
        <v>13.5</v>
      </c>
      <c r="P34" s="18">
        <f t="shared" si="68"/>
        <v>3.5</v>
      </c>
      <c r="Q34" s="18">
        <f t="shared" si="68"/>
        <v>3.5</v>
      </c>
      <c r="R34" s="18">
        <f t="shared" si="68"/>
        <v>13.5</v>
      </c>
      <c r="S34" s="18">
        <f t="shared" si="68"/>
        <v>3.5</v>
      </c>
      <c r="T34" s="71">
        <f t="shared" si="68"/>
        <v>0</v>
      </c>
      <c r="U34" s="71">
        <f t="shared" si="68"/>
        <v>0</v>
      </c>
      <c r="V34" s="18">
        <f t="shared" si="68"/>
        <v>13.5</v>
      </c>
      <c r="W34" s="18">
        <f t="shared" si="68"/>
        <v>3.5</v>
      </c>
      <c r="X34" s="18">
        <f t="shared" si="68"/>
        <v>3.5</v>
      </c>
      <c r="Y34" s="18">
        <f t="shared" si="68"/>
        <v>13.5</v>
      </c>
      <c r="Z34" s="18">
        <f t="shared" si="68"/>
        <v>3.5</v>
      </c>
      <c r="AA34" s="71">
        <f t="shared" si="68"/>
        <v>0</v>
      </c>
      <c r="AB34" s="71">
        <f t="shared" si="68"/>
        <v>0</v>
      </c>
      <c r="AC34" s="18">
        <f t="shared" si="68"/>
        <v>13.5</v>
      </c>
      <c r="AD34" s="18">
        <f t="shared" si="68"/>
        <v>3.5</v>
      </c>
      <c r="AE34" s="18">
        <f t="shared" si="68"/>
        <v>3.5</v>
      </c>
      <c r="AF34" s="18">
        <f t="shared" si="68"/>
        <v>3.5</v>
      </c>
      <c r="AG34" s="18">
        <f t="shared" si="68"/>
        <v>3.5</v>
      </c>
      <c r="AH34" s="71">
        <f t="shared" si="68"/>
        <v>0</v>
      </c>
      <c r="AI34" s="71">
        <f t="shared" si="68"/>
        <v>0</v>
      </c>
      <c r="AJ34" s="18">
        <f t="shared" si="68"/>
        <v>3.5</v>
      </c>
      <c r="AK34" s="18">
        <f t="shared" si="68"/>
        <v>0</v>
      </c>
      <c r="AL34" s="1" t="s">
        <v>3</v>
      </c>
    </row>
    <row r="35" spans="2:38" s="1" customFormat="1" ht="13.5" outlineLevel="1">
      <c r="B35" s="208"/>
      <c r="C35" s="205" t="s">
        <v>14</v>
      </c>
      <c r="D35" s="206"/>
      <c r="E35" s="39">
        <f>E32-E33</f>
        <v>100</v>
      </c>
      <c r="F35" s="39" t="s">
        <v>10</v>
      </c>
      <c r="G35" s="15" t="s">
        <v>7</v>
      </c>
      <c r="H35" s="18">
        <v>465</v>
      </c>
      <c r="I35" s="18">
        <f>H35+I32-I33</f>
        <v>468</v>
      </c>
      <c r="J35" s="18">
        <f t="shared" ref="J35:AK35" si="69">I35+J32-J33</f>
        <v>467</v>
      </c>
      <c r="K35" s="18">
        <f t="shared" si="69"/>
        <v>455</v>
      </c>
      <c r="L35" s="18">
        <f t="shared" si="69"/>
        <v>451</v>
      </c>
      <c r="M35" s="71">
        <f t="shared" si="69"/>
        <v>451</v>
      </c>
      <c r="N35" s="71">
        <f t="shared" si="69"/>
        <v>451</v>
      </c>
      <c r="O35" s="18">
        <f t="shared" si="69"/>
        <v>473</v>
      </c>
      <c r="P35" s="18">
        <f t="shared" si="69"/>
        <v>470</v>
      </c>
      <c r="Q35" s="18">
        <f t="shared" si="69"/>
        <v>466</v>
      </c>
      <c r="R35" s="18">
        <f t="shared" si="69"/>
        <v>454</v>
      </c>
      <c r="S35" s="18">
        <f t="shared" si="69"/>
        <v>463</v>
      </c>
      <c r="T35" s="71">
        <f t="shared" si="69"/>
        <v>463</v>
      </c>
      <c r="U35" s="71">
        <f t="shared" si="69"/>
        <v>463</v>
      </c>
      <c r="V35" s="18">
        <f t="shared" si="69"/>
        <v>460</v>
      </c>
      <c r="W35" s="18">
        <f t="shared" si="69"/>
        <v>467</v>
      </c>
      <c r="X35" s="18">
        <f t="shared" si="69"/>
        <v>464</v>
      </c>
      <c r="Y35" s="18">
        <f t="shared" si="69"/>
        <v>451</v>
      </c>
      <c r="Z35" s="18">
        <f t="shared" si="69"/>
        <v>464</v>
      </c>
      <c r="AA35" s="71">
        <f t="shared" si="69"/>
        <v>464</v>
      </c>
      <c r="AB35" s="71">
        <f t="shared" si="69"/>
        <v>464</v>
      </c>
      <c r="AC35" s="18">
        <f t="shared" si="69"/>
        <v>461</v>
      </c>
      <c r="AD35" s="18">
        <f t="shared" si="69"/>
        <v>464</v>
      </c>
      <c r="AE35" s="18">
        <f t="shared" si="69"/>
        <v>462</v>
      </c>
      <c r="AF35" s="18">
        <f t="shared" si="69"/>
        <v>452</v>
      </c>
      <c r="AG35" s="18">
        <f t="shared" si="69"/>
        <v>481</v>
      </c>
      <c r="AH35" s="71">
        <f t="shared" si="69"/>
        <v>481</v>
      </c>
      <c r="AI35" s="71">
        <f t="shared" si="69"/>
        <v>481</v>
      </c>
      <c r="AJ35" s="18">
        <f t="shared" si="69"/>
        <v>487</v>
      </c>
      <c r="AK35" s="18">
        <f t="shared" si="69"/>
        <v>494</v>
      </c>
      <c r="AL35" s="1" t="s">
        <v>3</v>
      </c>
    </row>
    <row r="36" spans="2:38" s="1" customFormat="1" ht="14" outlineLevel="1" thickBot="1">
      <c r="B36" s="208"/>
      <c r="C36" s="205" t="s">
        <v>15</v>
      </c>
      <c r="D36" s="206"/>
      <c r="E36" s="19">
        <f>E32-E34</f>
        <v>135.5</v>
      </c>
      <c r="F36" s="19" t="s">
        <v>10</v>
      </c>
      <c r="G36" s="15" t="s">
        <v>7</v>
      </c>
      <c r="H36" s="20">
        <v>1003.5</v>
      </c>
      <c r="I36" s="20">
        <f>H36+I32-I34</f>
        <v>1007</v>
      </c>
      <c r="J36" s="20">
        <f t="shared" ref="J36:AK36" si="70">I36+J32-J34</f>
        <v>1006.5</v>
      </c>
      <c r="K36" s="20">
        <f t="shared" si="70"/>
        <v>995</v>
      </c>
      <c r="L36" s="20">
        <f t="shared" si="70"/>
        <v>991.5</v>
      </c>
      <c r="M36" s="72">
        <f t="shared" si="70"/>
        <v>991.5</v>
      </c>
      <c r="N36" s="72">
        <f t="shared" si="70"/>
        <v>991.5</v>
      </c>
      <c r="O36" s="20">
        <f t="shared" si="70"/>
        <v>1004</v>
      </c>
      <c r="P36" s="20">
        <f t="shared" si="70"/>
        <v>1001.5</v>
      </c>
      <c r="Q36" s="20">
        <f t="shared" si="70"/>
        <v>998</v>
      </c>
      <c r="R36" s="20">
        <f t="shared" si="70"/>
        <v>986.5</v>
      </c>
      <c r="S36" s="20">
        <f t="shared" si="70"/>
        <v>996</v>
      </c>
      <c r="T36" s="72">
        <f t="shared" si="70"/>
        <v>996</v>
      </c>
      <c r="U36" s="72">
        <f t="shared" si="70"/>
        <v>996</v>
      </c>
      <c r="V36" s="20">
        <f t="shared" si="70"/>
        <v>993.5</v>
      </c>
      <c r="W36" s="20">
        <f t="shared" si="70"/>
        <v>1001</v>
      </c>
      <c r="X36" s="20">
        <f t="shared" si="70"/>
        <v>998.5</v>
      </c>
      <c r="Y36" s="20">
        <f t="shared" si="70"/>
        <v>986</v>
      </c>
      <c r="Z36" s="20">
        <f t="shared" si="70"/>
        <v>999.5</v>
      </c>
      <c r="AA36" s="72">
        <f t="shared" si="70"/>
        <v>999.5</v>
      </c>
      <c r="AB36" s="72">
        <f t="shared" si="70"/>
        <v>999.5</v>
      </c>
      <c r="AC36" s="20">
        <f t="shared" si="70"/>
        <v>997</v>
      </c>
      <c r="AD36" s="20">
        <f t="shared" si="70"/>
        <v>1000.5</v>
      </c>
      <c r="AE36" s="20">
        <f t="shared" si="70"/>
        <v>999</v>
      </c>
      <c r="AF36" s="20">
        <f t="shared" si="70"/>
        <v>999.5</v>
      </c>
      <c r="AG36" s="20">
        <f t="shared" si="70"/>
        <v>1029</v>
      </c>
      <c r="AH36" s="72">
        <f t="shared" si="70"/>
        <v>1029</v>
      </c>
      <c r="AI36" s="72">
        <f t="shared" si="70"/>
        <v>1029</v>
      </c>
      <c r="AJ36" s="20">
        <f t="shared" si="70"/>
        <v>1035.5</v>
      </c>
      <c r="AK36" s="20">
        <f t="shared" si="70"/>
        <v>1046.5</v>
      </c>
      <c r="AL36" s="1" t="s">
        <v>3</v>
      </c>
    </row>
    <row r="37" spans="2:38" s="1" customFormat="1" ht="13.5" outlineLevel="1">
      <c r="B37" s="208"/>
      <c r="C37" s="210" t="s">
        <v>16</v>
      </c>
      <c r="D37" s="28" t="s">
        <v>53</v>
      </c>
      <c r="E37" s="33">
        <f>SUM(H37:AK37)*F37</f>
        <v>88.000000000000028</v>
      </c>
      <c r="F37" s="40">
        <v>40</v>
      </c>
      <c r="G37" s="16" t="s">
        <v>18</v>
      </c>
      <c r="H37" s="21">
        <v>0.1</v>
      </c>
      <c r="I37" s="21">
        <v>0.1</v>
      </c>
      <c r="J37" s="21">
        <v>0.1</v>
      </c>
      <c r="K37" s="21">
        <v>0.1</v>
      </c>
      <c r="L37" s="21">
        <v>0.1</v>
      </c>
      <c r="M37" s="74"/>
      <c r="N37" s="74"/>
      <c r="O37" s="21">
        <v>0.1</v>
      </c>
      <c r="P37" s="21">
        <v>0.1</v>
      </c>
      <c r="Q37" s="21">
        <v>0.1</v>
      </c>
      <c r="R37" s="21">
        <v>0.1</v>
      </c>
      <c r="S37" s="21">
        <v>0.1</v>
      </c>
      <c r="T37" s="74"/>
      <c r="U37" s="74"/>
      <c r="V37" s="21">
        <v>0.1</v>
      </c>
      <c r="W37" s="21">
        <v>0.1</v>
      </c>
      <c r="X37" s="21">
        <v>0.1</v>
      </c>
      <c r="Y37" s="21">
        <v>0.1</v>
      </c>
      <c r="Z37" s="21">
        <v>0.1</v>
      </c>
      <c r="AA37" s="74"/>
      <c r="AB37" s="74"/>
      <c r="AC37" s="21">
        <v>0.1</v>
      </c>
      <c r="AD37" s="21">
        <v>0.1</v>
      </c>
      <c r="AE37" s="21">
        <v>0.1</v>
      </c>
      <c r="AF37" s="21">
        <v>0.1</v>
      </c>
      <c r="AG37" s="21">
        <v>0.1</v>
      </c>
      <c r="AH37" s="74"/>
      <c r="AI37" s="74"/>
      <c r="AJ37" s="21">
        <v>0.1</v>
      </c>
      <c r="AK37" s="23">
        <v>0.1</v>
      </c>
      <c r="AL37" s="1" t="s">
        <v>3</v>
      </c>
    </row>
    <row r="38" spans="2:38" s="1" customFormat="1" ht="13.5" outlineLevel="1">
      <c r="B38" s="208"/>
      <c r="C38" s="211"/>
      <c r="D38" s="29" t="s">
        <v>36</v>
      </c>
      <c r="E38" s="55">
        <f t="shared" ref="E38:E42" si="71">SUM(H38:AK38)*F38</f>
        <v>0</v>
      </c>
      <c r="F38" s="39"/>
      <c r="G38" s="15" t="s">
        <v>18</v>
      </c>
      <c r="H38" s="18"/>
      <c r="I38" s="18"/>
      <c r="J38" s="18"/>
      <c r="K38" s="18"/>
      <c r="L38" s="18"/>
      <c r="M38" s="71"/>
      <c r="N38" s="71"/>
      <c r="O38" s="18"/>
      <c r="P38" s="18"/>
      <c r="Q38" s="18"/>
      <c r="R38" s="18"/>
      <c r="S38" s="18"/>
      <c r="T38" s="71"/>
      <c r="U38" s="71"/>
      <c r="V38" s="18"/>
      <c r="W38" s="18"/>
      <c r="X38" s="18"/>
      <c r="Y38" s="18"/>
      <c r="Z38" s="18"/>
      <c r="AA38" s="71"/>
      <c r="AB38" s="71"/>
      <c r="AC38" s="18"/>
      <c r="AD38" s="18"/>
      <c r="AE38" s="18"/>
      <c r="AF38" s="18"/>
      <c r="AG38" s="18"/>
      <c r="AH38" s="71"/>
      <c r="AI38" s="71"/>
      <c r="AJ38" s="18"/>
      <c r="AK38" s="24"/>
      <c r="AL38" s="1" t="s">
        <v>3</v>
      </c>
    </row>
    <row r="39" spans="2:38" s="1" customFormat="1" ht="14" outlineLevel="1" thickBot="1">
      <c r="B39" s="208"/>
      <c r="C39" s="211"/>
      <c r="D39" s="29" t="s">
        <v>54</v>
      </c>
      <c r="E39" s="35">
        <f t="shared" si="71"/>
        <v>70</v>
      </c>
      <c r="F39" s="41">
        <v>10</v>
      </c>
      <c r="G39" s="17" t="s">
        <v>18</v>
      </c>
      <c r="H39" s="25">
        <v>1</v>
      </c>
      <c r="I39" s="25"/>
      <c r="J39" s="18"/>
      <c r="K39" s="18">
        <v>1</v>
      </c>
      <c r="L39" s="18"/>
      <c r="M39" s="71"/>
      <c r="N39" s="71"/>
      <c r="O39" s="18"/>
      <c r="P39" s="18"/>
      <c r="Q39" s="18"/>
      <c r="R39" s="18">
        <v>1</v>
      </c>
      <c r="S39" s="18"/>
      <c r="T39" s="71"/>
      <c r="U39" s="71"/>
      <c r="V39" s="18">
        <v>1</v>
      </c>
      <c r="W39" s="18"/>
      <c r="X39" s="18"/>
      <c r="Y39" s="18">
        <v>1</v>
      </c>
      <c r="Z39" s="18"/>
      <c r="AA39" s="71"/>
      <c r="AB39" s="71"/>
      <c r="AC39" s="18">
        <v>1</v>
      </c>
      <c r="AD39" s="18"/>
      <c r="AE39" s="18"/>
      <c r="AF39" s="18">
        <v>1</v>
      </c>
      <c r="AG39" s="18"/>
      <c r="AH39" s="71"/>
      <c r="AI39" s="71"/>
      <c r="AJ39" s="18"/>
      <c r="AK39" s="27"/>
      <c r="AL39" s="1" t="s">
        <v>3</v>
      </c>
    </row>
    <row r="40" spans="2:38" s="1" customFormat="1" ht="13.5" outlineLevel="1">
      <c r="B40" s="208"/>
      <c r="C40" s="210" t="s">
        <v>25</v>
      </c>
      <c r="D40" s="30" t="s">
        <v>32</v>
      </c>
      <c r="E40" s="52">
        <f t="shared" si="71"/>
        <v>0</v>
      </c>
      <c r="F40" s="40"/>
      <c r="G40" s="16" t="s">
        <v>18</v>
      </c>
      <c r="H40" s="21"/>
      <c r="I40" s="21"/>
      <c r="J40" s="21"/>
      <c r="K40" s="21"/>
      <c r="L40" s="21"/>
      <c r="M40" s="74"/>
      <c r="N40" s="74"/>
      <c r="O40" s="21"/>
      <c r="P40" s="21"/>
      <c r="Q40" s="21"/>
      <c r="R40" s="21"/>
      <c r="S40" s="21"/>
      <c r="T40" s="74"/>
      <c r="U40" s="74"/>
      <c r="V40" s="21"/>
      <c r="W40" s="21"/>
      <c r="X40" s="21"/>
      <c r="Y40" s="21"/>
      <c r="Z40" s="21"/>
      <c r="AA40" s="74"/>
      <c r="AB40" s="74"/>
      <c r="AC40" s="21"/>
      <c r="AD40" s="21"/>
      <c r="AE40" s="21"/>
      <c r="AF40" s="21"/>
      <c r="AG40" s="21"/>
      <c r="AH40" s="74"/>
      <c r="AI40" s="74"/>
      <c r="AJ40" s="21"/>
      <c r="AK40" s="23"/>
      <c r="AL40" s="1" t="s">
        <v>3</v>
      </c>
    </row>
    <row r="41" spans="2:38" s="1" customFormat="1" ht="13.5" outlineLevel="1">
      <c r="B41" s="208"/>
      <c r="C41" s="211"/>
      <c r="D41" s="31" t="s">
        <v>33</v>
      </c>
      <c r="E41" s="54">
        <f t="shared" si="71"/>
        <v>73.500000000000014</v>
      </c>
      <c r="F41" s="39">
        <v>35</v>
      </c>
      <c r="G41" s="15" t="s">
        <v>18</v>
      </c>
      <c r="H41" s="18">
        <v>0.1</v>
      </c>
      <c r="I41" s="18">
        <v>0.1</v>
      </c>
      <c r="J41" s="18">
        <v>0.1</v>
      </c>
      <c r="K41" s="18">
        <v>0.1</v>
      </c>
      <c r="L41" s="18">
        <v>0.1</v>
      </c>
      <c r="M41" s="71"/>
      <c r="N41" s="71"/>
      <c r="O41" s="18">
        <v>0.1</v>
      </c>
      <c r="P41" s="18">
        <v>0.1</v>
      </c>
      <c r="Q41" s="18">
        <v>0.1</v>
      </c>
      <c r="R41" s="18">
        <v>0.1</v>
      </c>
      <c r="S41" s="18">
        <v>0.1</v>
      </c>
      <c r="T41" s="71"/>
      <c r="U41" s="71"/>
      <c r="V41" s="18">
        <v>0.1</v>
      </c>
      <c r="W41" s="18">
        <v>0.1</v>
      </c>
      <c r="X41" s="18">
        <v>0.1</v>
      </c>
      <c r="Y41" s="18">
        <v>0.1</v>
      </c>
      <c r="Z41" s="18">
        <v>0.1</v>
      </c>
      <c r="AA41" s="71"/>
      <c r="AB41" s="71"/>
      <c r="AC41" s="18">
        <v>0.1</v>
      </c>
      <c r="AD41" s="18">
        <v>0.1</v>
      </c>
      <c r="AE41" s="18">
        <v>0.1</v>
      </c>
      <c r="AF41" s="18">
        <v>0.1</v>
      </c>
      <c r="AG41" s="18">
        <v>0.1</v>
      </c>
      <c r="AH41" s="71"/>
      <c r="AI41" s="71"/>
      <c r="AJ41" s="18">
        <v>0.1</v>
      </c>
      <c r="AK41" s="24"/>
      <c r="AL41" s="1" t="s">
        <v>3</v>
      </c>
    </row>
    <row r="42" spans="2:38" s="1" customFormat="1" ht="13.5" outlineLevel="1">
      <c r="B42" s="208"/>
      <c r="C42" s="211"/>
      <c r="D42" s="31" t="s">
        <v>34</v>
      </c>
      <c r="E42" s="34">
        <f t="shared" si="71"/>
        <v>70</v>
      </c>
      <c r="F42" s="39">
        <v>10</v>
      </c>
      <c r="G42" s="15" t="s">
        <v>18</v>
      </c>
      <c r="H42" s="18">
        <v>1</v>
      </c>
      <c r="I42" s="18"/>
      <c r="J42" s="18"/>
      <c r="K42" s="18">
        <v>1</v>
      </c>
      <c r="L42" s="18"/>
      <c r="M42" s="71"/>
      <c r="N42" s="71"/>
      <c r="O42" s="18">
        <v>1</v>
      </c>
      <c r="P42" s="18"/>
      <c r="Q42" s="18"/>
      <c r="R42" s="18">
        <v>1</v>
      </c>
      <c r="S42" s="18"/>
      <c r="T42" s="71"/>
      <c r="U42" s="71"/>
      <c r="V42" s="18">
        <v>1</v>
      </c>
      <c r="W42" s="18"/>
      <c r="X42" s="18"/>
      <c r="Y42" s="18">
        <v>1</v>
      </c>
      <c r="Z42" s="18"/>
      <c r="AA42" s="71"/>
      <c r="AB42" s="71"/>
      <c r="AC42" s="18">
        <v>1</v>
      </c>
      <c r="AD42" s="18"/>
      <c r="AE42" s="18"/>
      <c r="AF42" s="18"/>
      <c r="AG42" s="18"/>
      <c r="AH42" s="71"/>
      <c r="AI42" s="71"/>
      <c r="AJ42" s="18"/>
      <c r="AK42" s="24"/>
      <c r="AL42" s="1" t="s">
        <v>3</v>
      </c>
    </row>
    <row r="43" spans="2:38" s="1" customFormat="1" ht="14" outlineLevel="1" thickBot="1">
      <c r="B43" s="209"/>
      <c r="C43" s="212"/>
      <c r="D43" s="32"/>
      <c r="E43" s="38">
        <f t="shared" ref="E43" si="72">SUM(H43:AK43)</f>
        <v>0</v>
      </c>
      <c r="F43" s="41"/>
      <c r="G43" s="17" t="s">
        <v>18</v>
      </c>
      <c r="H43" s="25"/>
      <c r="I43" s="25"/>
      <c r="J43" s="25"/>
      <c r="K43" s="25"/>
      <c r="L43" s="25"/>
      <c r="M43" s="75"/>
      <c r="N43" s="75"/>
      <c r="O43" s="25"/>
      <c r="P43" s="25"/>
      <c r="Q43" s="25"/>
      <c r="R43" s="25"/>
      <c r="S43" s="25"/>
      <c r="T43" s="75"/>
      <c r="U43" s="75"/>
      <c r="V43" s="25"/>
      <c r="W43" s="25"/>
      <c r="X43" s="25"/>
      <c r="Y43" s="25"/>
      <c r="Z43" s="25"/>
      <c r="AA43" s="75"/>
      <c r="AB43" s="75"/>
      <c r="AC43" s="25"/>
      <c r="AD43" s="25"/>
      <c r="AE43" s="25"/>
      <c r="AF43" s="25"/>
      <c r="AG43" s="25"/>
      <c r="AH43" s="75"/>
      <c r="AI43" s="75"/>
      <c r="AJ43" s="25"/>
      <c r="AK43" s="27"/>
      <c r="AL43" s="1" t="s">
        <v>3</v>
      </c>
    </row>
    <row r="44" spans="2:38" s="1" customFormat="1" ht="15" customHeight="1" outlineLevel="1">
      <c r="B44" s="226" t="s">
        <v>38</v>
      </c>
      <c r="C44" s="220" t="s">
        <v>5</v>
      </c>
      <c r="D44" s="221"/>
      <c r="E44" s="56">
        <f>SUM(H44:AK44)+'0401(予定）'!E52</f>
        <v>557</v>
      </c>
      <c r="F44" s="39" t="s">
        <v>10</v>
      </c>
      <c r="G44" s="15" t="s">
        <v>7</v>
      </c>
      <c r="H44" s="18">
        <v>9</v>
      </c>
      <c r="I44" s="18">
        <v>13</v>
      </c>
      <c r="J44" s="18">
        <v>16</v>
      </c>
      <c r="K44" s="18">
        <v>12</v>
      </c>
      <c r="L44" s="18">
        <v>0</v>
      </c>
      <c r="M44" s="71">
        <v>0</v>
      </c>
      <c r="N44" s="71">
        <v>0</v>
      </c>
      <c r="O44" s="18">
        <v>14</v>
      </c>
      <c r="P44" s="18">
        <v>5</v>
      </c>
      <c r="Q44" s="18">
        <v>8</v>
      </c>
      <c r="R44" s="18">
        <v>3</v>
      </c>
      <c r="S44" s="18">
        <v>11</v>
      </c>
      <c r="T44" s="71">
        <v>0</v>
      </c>
      <c r="U44" s="71">
        <v>0</v>
      </c>
      <c r="V44" s="18">
        <v>12</v>
      </c>
      <c r="W44" s="18">
        <v>9</v>
      </c>
      <c r="X44" s="18">
        <v>4</v>
      </c>
      <c r="Y44" s="18">
        <v>14</v>
      </c>
      <c r="Z44" s="18">
        <v>3</v>
      </c>
      <c r="AA44" s="71">
        <v>0</v>
      </c>
      <c r="AB44" s="71">
        <v>0</v>
      </c>
      <c r="AC44" s="18">
        <v>12</v>
      </c>
      <c r="AD44" s="18">
        <v>10</v>
      </c>
      <c r="AE44" s="18">
        <v>8</v>
      </c>
      <c r="AF44" s="18">
        <v>10</v>
      </c>
      <c r="AG44" s="18">
        <v>4</v>
      </c>
      <c r="AH44" s="71">
        <v>0</v>
      </c>
      <c r="AI44" s="71">
        <v>0</v>
      </c>
      <c r="AJ44" s="18">
        <v>9</v>
      </c>
      <c r="AK44" s="18">
        <v>15</v>
      </c>
      <c r="AL44" s="1" t="s">
        <v>3</v>
      </c>
    </row>
    <row r="45" spans="2:38" s="1" customFormat="1" ht="15" customHeight="1" outlineLevel="1">
      <c r="B45" s="208"/>
      <c r="C45" s="205" t="s">
        <v>29</v>
      </c>
      <c r="D45" s="206"/>
      <c r="E45" s="56">
        <f>SUM(H45:AK45)+'0401(予定）'!E53</f>
        <v>376</v>
      </c>
      <c r="F45" s="39" t="s">
        <v>10</v>
      </c>
      <c r="G45" s="15" t="s">
        <v>7</v>
      </c>
      <c r="H45" s="18">
        <f>SUM(H49*$F$49,H50*$F$50,H51*$F$51)</f>
        <v>8</v>
      </c>
      <c r="I45" s="18">
        <f t="shared" ref="I45:AK45" si="73">SUM(I49*$F$49,I50*$F$50,I51*$F$51)</f>
        <v>8</v>
      </c>
      <c r="J45" s="18">
        <f t="shared" si="73"/>
        <v>8</v>
      </c>
      <c r="K45" s="18">
        <f t="shared" si="73"/>
        <v>8</v>
      </c>
      <c r="L45" s="18">
        <f t="shared" si="73"/>
        <v>8</v>
      </c>
      <c r="M45" s="71">
        <f t="shared" si="73"/>
        <v>0</v>
      </c>
      <c r="N45" s="71">
        <f t="shared" si="73"/>
        <v>0</v>
      </c>
      <c r="O45" s="18">
        <f t="shared" si="73"/>
        <v>8</v>
      </c>
      <c r="P45" s="18">
        <f t="shared" si="73"/>
        <v>8</v>
      </c>
      <c r="Q45" s="18">
        <f t="shared" si="73"/>
        <v>8</v>
      </c>
      <c r="R45" s="18">
        <f t="shared" si="73"/>
        <v>8</v>
      </c>
      <c r="S45" s="18">
        <f t="shared" si="73"/>
        <v>8</v>
      </c>
      <c r="T45" s="71">
        <f t="shared" si="73"/>
        <v>0</v>
      </c>
      <c r="U45" s="71">
        <f t="shared" si="73"/>
        <v>0</v>
      </c>
      <c r="V45" s="18">
        <f t="shared" si="73"/>
        <v>8</v>
      </c>
      <c r="W45" s="18">
        <f t="shared" si="73"/>
        <v>8</v>
      </c>
      <c r="X45" s="18">
        <f t="shared" si="73"/>
        <v>8</v>
      </c>
      <c r="Y45" s="18">
        <f t="shared" si="73"/>
        <v>8</v>
      </c>
      <c r="Z45" s="18">
        <f t="shared" si="73"/>
        <v>8</v>
      </c>
      <c r="AA45" s="71">
        <f t="shared" si="73"/>
        <v>0</v>
      </c>
      <c r="AB45" s="71">
        <f t="shared" si="73"/>
        <v>0</v>
      </c>
      <c r="AC45" s="18">
        <f t="shared" si="73"/>
        <v>8</v>
      </c>
      <c r="AD45" s="18">
        <f t="shared" si="73"/>
        <v>8</v>
      </c>
      <c r="AE45" s="18">
        <f t="shared" si="73"/>
        <v>8</v>
      </c>
      <c r="AF45" s="18">
        <f t="shared" si="73"/>
        <v>8</v>
      </c>
      <c r="AG45" s="18">
        <f t="shared" si="73"/>
        <v>8</v>
      </c>
      <c r="AH45" s="71">
        <f t="shared" si="73"/>
        <v>0</v>
      </c>
      <c r="AI45" s="71">
        <f t="shared" si="73"/>
        <v>0</v>
      </c>
      <c r="AJ45" s="18">
        <f t="shared" si="73"/>
        <v>8</v>
      </c>
      <c r="AK45" s="18">
        <f t="shared" si="73"/>
        <v>0</v>
      </c>
      <c r="AL45" s="1" t="s">
        <v>3</v>
      </c>
    </row>
    <row r="46" spans="2:38" s="1" customFormat="1" ht="15" customHeight="1" outlineLevel="1">
      <c r="B46" s="208"/>
      <c r="C46" s="205" t="s">
        <v>30</v>
      </c>
      <c r="D46" s="206"/>
      <c r="E46" s="56">
        <f>SUM(H46:AK46)+'0401(予定）'!E55</f>
        <v>319.79999999999995</v>
      </c>
      <c r="F46" s="39" t="s">
        <v>10</v>
      </c>
      <c r="G46" s="15" t="s">
        <v>7</v>
      </c>
      <c r="H46" s="18">
        <f>SUM(H52*$F$52,H53*$F$53,H54*$F$54,H55*$F$55)</f>
        <v>5.2</v>
      </c>
      <c r="I46" s="18">
        <f t="shared" ref="I46:AK46" si="74">SUM(I52*$F$52,I53*$F$53,I54*$F$54,I55*$F$55)</f>
        <v>5.2</v>
      </c>
      <c r="J46" s="18">
        <f t="shared" si="74"/>
        <v>5.2</v>
      </c>
      <c r="K46" s="18">
        <f t="shared" si="74"/>
        <v>5.2</v>
      </c>
      <c r="L46" s="18">
        <f t="shared" si="74"/>
        <v>5.2</v>
      </c>
      <c r="M46" s="71">
        <f t="shared" si="74"/>
        <v>0</v>
      </c>
      <c r="N46" s="71">
        <f t="shared" si="74"/>
        <v>0</v>
      </c>
      <c r="O46" s="18">
        <f t="shared" si="74"/>
        <v>5.2</v>
      </c>
      <c r="P46" s="18">
        <f t="shared" si="74"/>
        <v>5.2</v>
      </c>
      <c r="Q46" s="18">
        <f t="shared" si="74"/>
        <v>5.2</v>
      </c>
      <c r="R46" s="18">
        <f t="shared" si="74"/>
        <v>5.2</v>
      </c>
      <c r="S46" s="18">
        <f t="shared" si="74"/>
        <v>5.2</v>
      </c>
      <c r="T46" s="71">
        <f t="shared" si="74"/>
        <v>0</v>
      </c>
      <c r="U46" s="71">
        <f t="shared" si="74"/>
        <v>0</v>
      </c>
      <c r="V46" s="18">
        <f t="shared" si="74"/>
        <v>5.2</v>
      </c>
      <c r="W46" s="18">
        <f t="shared" si="74"/>
        <v>5.2</v>
      </c>
      <c r="X46" s="18">
        <f t="shared" si="74"/>
        <v>5.2</v>
      </c>
      <c r="Y46" s="18">
        <f t="shared" si="74"/>
        <v>5.2</v>
      </c>
      <c r="Z46" s="18">
        <f t="shared" si="74"/>
        <v>5.2</v>
      </c>
      <c r="AA46" s="71">
        <f t="shared" si="74"/>
        <v>0</v>
      </c>
      <c r="AB46" s="71">
        <f t="shared" si="74"/>
        <v>0</v>
      </c>
      <c r="AC46" s="18">
        <f t="shared" si="74"/>
        <v>5.2</v>
      </c>
      <c r="AD46" s="18">
        <f t="shared" si="74"/>
        <v>5.2</v>
      </c>
      <c r="AE46" s="18">
        <f t="shared" si="74"/>
        <v>5.2</v>
      </c>
      <c r="AF46" s="18">
        <f t="shared" si="74"/>
        <v>5.2</v>
      </c>
      <c r="AG46" s="18">
        <f t="shared" si="74"/>
        <v>5.2</v>
      </c>
      <c r="AH46" s="71">
        <f t="shared" si="74"/>
        <v>0</v>
      </c>
      <c r="AI46" s="71">
        <f t="shared" si="74"/>
        <v>0</v>
      </c>
      <c r="AJ46" s="18">
        <f t="shared" si="74"/>
        <v>5.2</v>
      </c>
      <c r="AK46" s="18">
        <f t="shared" si="74"/>
        <v>0</v>
      </c>
      <c r="AL46" s="1" t="s">
        <v>3</v>
      </c>
    </row>
    <row r="47" spans="2:38" s="1" customFormat="1" ht="13.5" outlineLevel="1">
      <c r="B47" s="208"/>
      <c r="C47" s="205" t="s">
        <v>14</v>
      </c>
      <c r="D47" s="206"/>
      <c r="E47" s="39">
        <f>E44-E45</f>
        <v>181</v>
      </c>
      <c r="F47" s="39" t="s">
        <v>10</v>
      </c>
      <c r="G47" s="15" t="s">
        <v>7</v>
      </c>
      <c r="H47" s="18">
        <v>584</v>
      </c>
      <c r="I47" s="18">
        <f>H47+I44-I45</f>
        <v>589</v>
      </c>
      <c r="J47" s="18">
        <f t="shared" ref="J47:AK47" si="75">I47+J44-J45</f>
        <v>597</v>
      </c>
      <c r="K47" s="18">
        <f t="shared" si="75"/>
        <v>601</v>
      </c>
      <c r="L47" s="18">
        <f t="shared" si="75"/>
        <v>593</v>
      </c>
      <c r="M47" s="71">
        <f t="shared" si="75"/>
        <v>593</v>
      </c>
      <c r="N47" s="71">
        <f t="shared" si="75"/>
        <v>593</v>
      </c>
      <c r="O47" s="18">
        <f t="shared" si="75"/>
        <v>599</v>
      </c>
      <c r="P47" s="18">
        <f t="shared" si="75"/>
        <v>596</v>
      </c>
      <c r="Q47" s="18">
        <f t="shared" si="75"/>
        <v>596</v>
      </c>
      <c r="R47" s="18">
        <f t="shared" si="75"/>
        <v>591</v>
      </c>
      <c r="S47" s="18">
        <f t="shared" si="75"/>
        <v>594</v>
      </c>
      <c r="T47" s="71">
        <f t="shared" si="75"/>
        <v>594</v>
      </c>
      <c r="U47" s="71">
        <f t="shared" si="75"/>
        <v>594</v>
      </c>
      <c r="V47" s="18">
        <f t="shared" si="75"/>
        <v>598</v>
      </c>
      <c r="W47" s="18">
        <f t="shared" si="75"/>
        <v>599</v>
      </c>
      <c r="X47" s="18">
        <f t="shared" si="75"/>
        <v>595</v>
      </c>
      <c r="Y47" s="18">
        <f t="shared" si="75"/>
        <v>601</v>
      </c>
      <c r="Z47" s="18">
        <f t="shared" si="75"/>
        <v>596</v>
      </c>
      <c r="AA47" s="71">
        <f t="shared" si="75"/>
        <v>596</v>
      </c>
      <c r="AB47" s="71">
        <f t="shared" si="75"/>
        <v>596</v>
      </c>
      <c r="AC47" s="18">
        <f t="shared" si="75"/>
        <v>600</v>
      </c>
      <c r="AD47" s="18">
        <f t="shared" si="75"/>
        <v>602</v>
      </c>
      <c r="AE47" s="18">
        <f t="shared" si="75"/>
        <v>602</v>
      </c>
      <c r="AF47" s="18">
        <f t="shared" si="75"/>
        <v>604</v>
      </c>
      <c r="AG47" s="18">
        <f t="shared" si="75"/>
        <v>600</v>
      </c>
      <c r="AH47" s="71">
        <f t="shared" si="75"/>
        <v>600</v>
      </c>
      <c r="AI47" s="71">
        <f t="shared" si="75"/>
        <v>600</v>
      </c>
      <c r="AJ47" s="18">
        <f t="shared" si="75"/>
        <v>601</v>
      </c>
      <c r="AK47" s="18">
        <f t="shared" si="75"/>
        <v>616</v>
      </c>
      <c r="AL47" s="1" t="s">
        <v>3</v>
      </c>
    </row>
    <row r="48" spans="2:38" s="1" customFormat="1" ht="14" outlineLevel="1" thickBot="1">
      <c r="B48" s="208"/>
      <c r="C48" s="205" t="s">
        <v>15</v>
      </c>
      <c r="D48" s="206"/>
      <c r="E48" s="19">
        <f>E44-E46</f>
        <v>237.20000000000005</v>
      </c>
      <c r="F48" s="19" t="s">
        <v>10</v>
      </c>
      <c r="G48" s="15" t="s">
        <v>7</v>
      </c>
      <c r="H48" s="20">
        <v>30.8</v>
      </c>
      <c r="I48" s="20">
        <f>H48+I44-I46</f>
        <v>38.599999999999994</v>
      </c>
      <c r="J48" s="20">
        <f t="shared" ref="J48:AK48" si="76">I48+J44-J46</f>
        <v>49.399999999999991</v>
      </c>
      <c r="K48" s="20">
        <f t="shared" si="76"/>
        <v>56.199999999999989</v>
      </c>
      <c r="L48" s="20">
        <f t="shared" si="76"/>
        <v>50.999999999999986</v>
      </c>
      <c r="M48" s="72">
        <f t="shared" si="76"/>
        <v>50.999999999999986</v>
      </c>
      <c r="N48" s="72">
        <f t="shared" si="76"/>
        <v>50.999999999999986</v>
      </c>
      <c r="O48" s="20">
        <f t="shared" si="76"/>
        <v>59.799999999999983</v>
      </c>
      <c r="P48" s="20">
        <f t="shared" si="76"/>
        <v>59.59999999999998</v>
      </c>
      <c r="Q48" s="20">
        <f t="shared" si="76"/>
        <v>62.399999999999977</v>
      </c>
      <c r="R48" s="20">
        <f t="shared" si="76"/>
        <v>60.199999999999974</v>
      </c>
      <c r="S48" s="20">
        <f t="shared" si="76"/>
        <v>65.999999999999972</v>
      </c>
      <c r="T48" s="72">
        <f t="shared" si="76"/>
        <v>65.999999999999972</v>
      </c>
      <c r="U48" s="72">
        <f t="shared" si="76"/>
        <v>65.999999999999972</v>
      </c>
      <c r="V48" s="20">
        <f t="shared" si="76"/>
        <v>72.799999999999969</v>
      </c>
      <c r="W48" s="20">
        <f t="shared" si="76"/>
        <v>76.599999999999966</v>
      </c>
      <c r="X48" s="20">
        <f t="shared" si="76"/>
        <v>75.399999999999963</v>
      </c>
      <c r="Y48" s="20">
        <f t="shared" si="76"/>
        <v>84.19999999999996</v>
      </c>
      <c r="Z48" s="20">
        <f t="shared" si="76"/>
        <v>81.999999999999957</v>
      </c>
      <c r="AA48" s="72">
        <f t="shared" si="76"/>
        <v>81.999999999999957</v>
      </c>
      <c r="AB48" s="72">
        <f t="shared" si="76"/>
        <v>81.999999999999957</v>
      </c>
      <c r="AC48" s="20">
        <f t="shared" si="76"/>
        <v>88.799999999999955</v>
      </c>
      <c r="AD48" s="20">
        <f t="shared" si="76"/>
        <v>93.599999999999952</v>
      </c>
      <c r="AE48" s="20">
        <f t="shared" si="76"/>
        <v>96.399999999999949</v>
      </c>
      <c r="AF48" s="20">
        <f t="shared" si="76"/>
        <v>101.19999999999995</v>
      </c>
      <c r="AG48" s="20">
        <f t="shared" si="76"/>
        <v>99.999999999999943</v>
      </c>
      <c r="AH48" s="72">
        <f t="shared" si="76"/>
        <v>99.999999999999943</v>
      </c>
      <c r="AI48" s="72">
        <f t="shared" si="76"/>
        <v>99.999999999999943</v>
      </c>
      <c r="AJ48" s="20">
        <f t="shared" si="76"/>
        <v>103.79999999999994</v>
      </c>
      <c r="AK48" s="20">
        <f t="shared" si="76"/>
        <v>118.79999999999994</v>
      </c>
      <c r="AL48" s="1" t="s">
        <v>3</v>
      </c>
    </row>
    <row r="49" spans="2:38" s="1" customFormat="1" ht="13.5" outlineLevel="1">
      <c r="B49" s="208"/>
      <c r="C49" s="210" t="s">
        <v>16</v>
      </c>
      <c r="D49" s="28" t="s">
        <v>53</v>
      </c>
      <c r="E49" s="33">
        <f>SUM(H49:AK49)*F49</f>
        <v>168.00000000000006</v>
      </c>
      <c r="F49" s="40">
        <v>20</v>
      </c>
      <c r="G49" s="16" t="s">
        <v>18</v>
      </c>
      <c r="H49" s="21">
        <v>0.4</v>
      </c>
      <c r="I49" s="21">
        <v>0.4</v>
      </c>
      <c r="J49" s="21">
        <v>0.4</v>
      </c>
      <c r="K49" s="21">
        <v>0.4</v>
      </c>
      <c r="L49" s="21">
        <v>0.4</v>
      </c>
      <c r="M49" s="74"/>
      <c r="N49" s="74"/>
      <c r="O49" s="21">
        <v>0.4</v>
      </c>
      <c r="P49" s="21">
        <v>0.4</v>
      </c>
      <c r="Q49" s="21">
        <v>0.4</v>
      </c>
      <c r="R49" s="21">
        <v>0.4</v>
      </c>
      <c r="S49" s="21">
        <v>0.4</v>
      </c>
      <c r="T49" s="74"/>
      <c r="U49" s="74"/>
      <c r="V49" s="21">
        <v>0.4</v>
      </c>
      <c r="W49" s="21">
        <v>0.4</v>
      </c>
      <c r="X49" s="21">
        <v>0.4</v>
      </c>
      <c r="Y49" s="21">
        <v>0.4</v>
      </c>
      <c r="Z49" s="21">
        <v>0.4</v>
      </c>
      <c r="AA49" s="74"/>
      <c r="AB49" s="74"/>
      <c r="AC49" s="21">
        <v>0.4</v>
      </c>
      <c r="AD49" s="21">
        <v>0.4</v>
      </c>
      <c r="AE49" s="21">
        <v>0.4</v>
      </c>
      <c r="AF49" s="21">
        <v>0.4</v>
      </c>
      <c r="AG49" s="21">
        <v>0.4</v>
      </c>
      <c r="AH49" s="74"/>
      <c r="AI49" s="74"/>
      <c r="AJ49" s="21">
        <v>0.4</v>
      </c>
      <c r="AK49" s="23"/>
      <c r="AL49" s="1" t="s">
        <v>3</v>
      </c>
    </row>
    <row r="50" spans="2:38" s="1" customFormat="1" ht="13.5" outlineLevel="1">
      <c r="B50" s="208"/>
      <c r="C50" s="211"/>
      <c r="D50" s="29" t="s">
        <v>36</v>
      </c>
      <c r="E50" s="55">
        <f t="shared" ref="E50:E54" si="77">SUM(H50:AK50)*F50</f>
        <v>0</v>
      </c>
      <c r="F50" s="39"/>
      <c r="G50" s="15" t="s">
        <v>18</v>
      </c>
      <c r="H50" s="18"/>
      <c r="I50" s="18"/>
      <c r="J50" s="18"/>
      <c r="K50" s="18"/>
      <c r="L50" s="18"/>
      <c r="M50" s="18"/>
      <c r="N50" s="18"/>
      <c r="O50" s="18"/>
      <c r="P50" s="18"/>
      <c r="Q50" s="18"/>
      <c r="R50" s="18"/>
      <c r="S50" s="18"/>
      <c r="T50" s="71"/>
      <c r="U50" s="71"/>
      <c r="V50" s="18"/>
      <c r="W50" s="18"/>
      <c r="X50" s="18"/>
      <c r="Y50" s="18"/>
      <c r="Z50" s="18"/>
      <c r="AA50" s="71"/>
      <c r="AB50" s="71"/>
      <c r="AC50" s="18"/>
      <c r="AD50" s="18"/>
      <c r="AE50" s="18"/>
      <c r="AF50" s="18"/>
      <c r="AG50" s="18"/>
      <c r="AH50" s="71"/>
      <c r="AI50" s="71"/>
      <c r="AJ50" s="18"/>
      <c r="AK50" s="24"/>
      <c r="AL50" s="1" t="s">
        <v>3</v>
      </c>
    </row>
    <row r="51" spans="2:38" s="1" customFormat="1" ht="14" outlineLevel="1" thickBot="1">
      <c r="B51" s="208"/>
      <c r="C51" s="211"/>
      <c r="D51" s="29"/>
      <c r="E51" s="35">
        <f t="shared" si="77"/>
        <v>0</v>
      </c>
      <c r="F51" s="41"/>
      <c r="G51" s="17" t="s">
        <v>18</v>
      </c>
      <c r="H51" s="25"/>
      <c r="I51" s="25"/>
      <c r="J51" s="18"/>
      <c r="K51" s="18"/>
      <c r="L51" s="18"/>
      <c r="M51" s="18"/>
      <c r="N51" s="18"/>
      <c r="O51" s="18"/>
      <c r="P51" s="18"/>
      <c r="Q51" s="18"/>
      <c r="R51" s="18"/>
      <c r="S51" s="18"/>
      <c r="T51" s="18"/>
      <c r="U51" s="18"/>
      <c r="V51" s="18"/>
      <c r="W51" s="18"/>
      <c r="X51" s="18"/>
      <c r="Y51" s="18"/>
      <c r="Z51" s="18"/>
      <c r="AA51" s="71"/>
      <c r="AB51" s="71"/>
      <c r="AC51" s="18"/>
      <c r="AD51" s="18"/>
      <c r="AE51" s="18"/>
      <c r="AF51" s="18"/>
      <c r="AG51" s="18"/>
      <c r="AH51" s="18"/>
      <c r="AI51" s="18"/>
      <c r="AJ51" s="18"/>
      <c r="AK51" s="27"/>
      <c r="AL51" s="1" t="s">
        <v>3</v>
      </c>
    </row>
    <row r="52" spans="2:38" s="1" customFormat="1" ht="13.5" outlineLevel="1">
      <c r="B52" s="208"/>
      <c r="C52" s="210" t="s">
        <v>25</v>
      </c>
      <c r="D52" s="30" t="s">
        <v>32</v>
      </c>
      <c r="E52" s="52">
        <f t="shared" si="77"/>
        <v>0</v>
      </c>
      <c r="F52" s="40"/>
      <c r="G52" s="16" t="s">
        <v>18</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3"/>
      <c r="AL52" s="1" t="s">
        <v>3</v>
      </c>
    </row>
    <row r="53" spans="2:38" s="1" customFormat="1" ht="13.5" outlineLevel="1">
      <c r="B53" s="208"/>
      <c r="C53" s="211"/>
      <c r="D53" s="31" t="s">
        <v>33</v>
      </c>
      <c r="E53" s="54">
        <f t="shared" si="77"/>
        <v>109.20000000000003</v>
      </c>
      <c r="F53" s="39">
        <v>13</v>
      </c>
      <c r="G53" s="15" t="s">
        <v>18</v>
      </c>
      <c r="H53" s="18">
        <v>0.4</v>
      </c>
      <c r="I53" s="18">
        <v>0.4</v>
      </c>
      <c r="J53" s="18">
        <v>0.4</v>
      </c>
      <c r="K53" s="18">
        <v>0.4</v>
      </c>
      <c r="L53" s="18">
        <v>0.4</v>
      </c>
      <c r="M53" s="18"/>
      <c r="N53" s="18"/>
      <c r="O53" s="18">
        <v>0.4</v>
      </c>
      <c r="P53" s="18">
        <v>0.4</v>
      </c>
      <c r="Q53" s="18">
        <v>0.4</v>
      </c>
      <c r="R53" s="18">
        <v>0.4</v>
      </c>
      <c r="S53" s="18">
        <v>0.4</v>
      </c>
      <c r="T53" s="18"/>
      <c r="U53" s="18"/>
      <c r="V53" s="18">
        <v>0.4</v>
      </c>
      <c r="W53" s="18">
        <v>0.4</v>
      </c>
      <c r="X53" s="18">
        <v>0.4</v>
      </c>
      <c r="Y53" s="18">
        <v>0.4</v>
      </c>
      <c r="Z53" s="18">
        <v>0.4</v>
      </c>
      <c r="AA53" s="18"/>
      <c r="AB53" s="18"/>
      <c r="AC53" s="18">
        <v>0.4</v>
      </c>
      <c r="AD53" s="18">
        <v>0.4</v>
      </c>
      <c r="AE53" s="18">
        <v>0.4</v>
      </c>
      <c r="AF53" s="18">
        <v>0.4</v>
      </c>
      <c r="AG53" s="18">
        <v>0.4</v>
      </c>
      <c r="AH53" s="18"/>
      <c r="AI53" s="18"/>
      <c r="AJ53" s="18">
        <v>0.4</v>
      </c>
      <c r="AK53" s="24"/>
      <c r="AL53" s="1" t="s">
        <v>3</v>
      </c>
    </row>
    <row r="54" spans="2:38" s="1" customFormat="1" ht="13.5" outlineLevel="1">
      <c r="B54" s="208"/>
      <c r="C54" s="211"/>
      <c r="D54" s="31"/>
      <c r="E54" s="34">
        <f t="shared" si="77"/>
        <v>0</v>
      </c>
      <c r="F54" s="39"/>
      <c r="G54" s="15" t="s">
        <v>18</v>
      </c>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24"/>
      <c r="AL54" s="1" t="s">
        <v>3</v>
      </c>
    </row>
    <row r="55" spans="2:38" s="1" customFormat="1" ht="14" outlineLevel="1" thickBot="1">
      <c r="B55" s="209"/>
      <c r="C55" s="212"/>
      <c r="D55" s="32"/>
      <c r="E55" s="38">
        <f t="shared" ref="E55" si="78">SUM(H55:AK55)</f>
        <v>0</v>
      </c>
      <c r="F55" s="41"/>
      <c r="G55" s="17" t="s">
        <v>18</v>
      </c>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7"/>
      <c r="AL55" s="1" t="s">
        <v>3</v>
      </c>
    </row>
    <row r="56" spans="2:38">
      <c r="B56" s="227" t="s">
        <v>39</v>
      </c>
      <c r="C56" s="228"/>
      <c r="D56" s="228"/>
      <c r="E56" s="228"/>
      <c r="F56" s="228"/>
      <c r="G56" s="228"/>
      <c r="H56" s="49">
        <f>H13+H19+H25+H37+H49</f>
        <v>1.5</v>
      </c>
      <c r="I56" s="49">
        <f t="shared" ref="I56:AK56" si="79">I13+I19+I25+I37+I49</f>
        <v>2.5</v>
      </c>
      <c r="J56" s="49">
        <f t="shared" si="79"/>
        <v>1.5</v>
      </c>
      <c r="K56" s="49">
        <f t="shared" si="79"/>
        <v>1.5</v>
      </c>
      <c r="L56" s="49">
        <f>L13+L19+L25+L37+L49</f>
        <v>2.5</v>
      </c>
      <c r="M56" s="49">
        <f t="shared" si="79"/>
        <v>0</v>
      </c>
      <c r="N56" s="49">
        <f t="shared" si="79"/>
        <v>0</v>
      </c>
      <c r="O56" s="49">
        <f t="shared" si="79"/>
        <v>1.5</v>
      </c>
      <c r="P56" s="49">
        <f t="shared" si="79"/>
        <v>2.5</v>
      </c>
      <c r="Q56" s="49">
        <f t="shared" si="79"/>
        <v>1.5</v>
      </c>
      <c r="R56" s="49">
        <f t="shared" si="79"/>
        <v>1.5</v>
      </c>
      <c r="S56" s="49">
        <f t="shared" si="79"/>
        <v>2.5</v>
      </c>
      <c r="T56" s="49">
        <f t="shared" si="79"/>
        <v>0</v>
      </c>
      <c r="U56" s="49">
        <f t="shared" si="79"/>
        <v>0</v>
      </c>
      <c r="V56" s="49">
        <f t="shared" si="79"/>
        <v>1.5</v>
      </c>
      <c r="W56" s="49">
        <f t="shared" si="79"/>
        <v>2.5</v>
      </c>
      <c r="X56" s="49">
        <f t="shared" si="79"/>
        <v>1.5</v>
      </c>
      <c r="Y56" s="49">
        <f t="shared" si="79"/>
        <v>1.5</v>
      </c>
      <c r="Z56" s="49">
        <f t="shared" si="79"/>
        <v>2.5</v>
      </c>
      <c r="AA56" s="49">
        <f t="shared" si="79"/>
        <v>0</v>
      </c>
      <c r="AB56" s="49">
        <f t="shared" si="79"/>
        <v>0</v>
      </c>
      <c r="AC56" s="49">
        <f t="shared" si="79"/>
        <v>1.5</v>
      </c>
      <c r="AD56" s="49">
        <f t="shared" si="79"/>
        <v>2.5</v>
      </c>
      <c r="AE56" s="49">
        <f t="shared" si="79"/>
        <v>1.3</v>
      </c>
      <c r="AF56" s="49">
        <f t="shared" si="79"/>
        <v>1.5</v>
      </c>
      <c r="AG56" s="49">
        <f t="shared" si="79"/>
        <v>2.5</v>
      </c>
      <c r="AH56" s="49">
        <f t="shared" si="79"/>
        <v>0</v>
      </c>
      <c r="AI56" s="49">
        <f t="shared" si="79"/>
        <v>0</v>
      </c>
      <c r="AJ56" s="49">
        <f t="shared" si="79"/>
        <v>1.5</v>
      </c>
      <c r="AK56" s="49">
        <f t="shared" si="79"/>
        <v>0.1</v>
      </c>
      <c r="AL56" s="1" t="s">
        <v>3</v>
      </c>
    </row>
    <row r="57" spans="2:38">
      <c r="B57" s="229" t="s">
        <v>40</v>
      </c>
      <c r="C57" s="230"/>
      <c r="D57" s="230"/>
      <c r="E57" s="230"/>
      <c r="F57" s="230"/>
      <c r="G57" s="230"/>
      <c r="H57" s="48">
        <v>3</v>
      </c>
      <c r="I57" s="48">
        <v>4</v>
      </c>
      <c r="J57" s="48">
        <v>3</v>
      </c>
      <c r="K57" s="48">
        <v>3</v>
      </c>
      <c r="L57" s="48">
        <v>4</v>
      </c>
      <c r="M57" s="48">
        <v>0</v>
      </c>
      <c r="N57" s="48">
        <v>0</v>
      </c>
      <c r="O57" s="48">
        <v>3</v>
      </c>
      <c r="P57" s="48">
        <v>4</v>
      </c>
      <c r="Q57" s="48">
        <v>3</v>
      </c>
      <c r="R57" s="48">
        <v>3</v>
      </c>
      <c r="S57" s="48">
        <v>4</v>
      </c>
      <c r="T57" s="48">
        <v>0</v>
      </c>
      <c r="U57" s="48">
        <v>0</v>
      </c>
      <c r="V57" s="48">
        <v>3</v>
      </c>
      <c r="W57" s="48">
        <v>4</v>
      </c>
      <c r="X57" s="48">
        <v>3</v>
      </c>
      <c r="Y57" s="48">
        <v>3</v>
      </c>
      <c r="Z57" s="48">
        <v>4</v>
      </c>
      <c r="AA57" s="48">
        <v>0</v>
      </c>
      <c r="AB57" s="48">
        <v>0</v>
      </c>
      <c r="AC57" s="48">
        <v>3</v>
      </c>
      <c r="AD57" s="48">
        <v>4</v>
      </c>
      <c r="AE57" s="48">
        <v>3</v>
      </c>
      <c r="AF57" s="48">
        <v>3</v>
      </c>
      <c r="AG57" s="48">
        <v>4</v>
      </c>
      <c r="AH57" s="48">
        <v>0</v>
      </c>
      <c r="AI57" s="48">
        <v>0</v>
      </c>
      <c r="AJ57" s="48">
        <v>3</v>
      </c>
      <c r="AK57" s="48">
        <v>4</v>
      </c>
      <c r="AL57" s="1" t="s">
        <v>3</v>
      </c>
    </row>
    <row r="58" spans="2:38">
      <c r="B58" s="229" t="s">
        <v>41</v>
      </c>
      <c r="C58" s="230"/>
      <c r="D58" s="230"/>
      <c r="E58" s="230"/>
      <c r="F58" s="230"/>
      <c r="G58" s="230"/>
      <c r="H58" s="48">
        <v>1.5</v>
      </c>
      <c r="I58" s="48">
        <v>1.5</v>
      </c>
      <c r="J58" s="48">
        <v>1.5</v>
      </c>
      <c r="K58" s="48">
        <v>1.5</v>
      </c>
      <c r="L58" s="48">
        <v>1.5</v>
      </c>
      <c r="M58" s="48">
        <v>0</v>
      </c>
      <c r="N58" s="48">
        <v>0</v>
      </c>
      <c r="O58" s="48">
        <v>1.5</v>
      </c>
      <c r="P58" s="48">
        <v>1.5</v>
      </c>
      <c r="Q58" s="48">
        <v>1.5</v>
      </c>
      <c r="R58" s="48">
        <v>1.5</v>
      </c>
      <c r="S58" s="48">
        <v>1.5</v>
      </c>
      <c r="T58" s="48">
        <v>0</v>
      </c>
      <c r="U58" s="48">
        <v>0</v>
      </c>
      <c r="V58" s="48">
        <v>1.5</v>
      </c>
      <c r="W58" s="48">
        <v>1.5</v>
      </c>
      <c r="X58" s="48">
        <v>1.5</v>
      </c>
      <c r="Y58" s="48">
        <v>1.5</v>
      </c>
      <c r="Z58" s="48">
        <v>1.5</v>
      </c>
      <c r="AA58" s="48">
        <v>0</v>
      </c>
      <c r="AB58" s="48">
        <v>0</v>
      </c>
      <c r="AC58" s="48">
        <v>1.5</v>
      </c>
      <c r="AD58" s="48">
        <v>1.5</v>
      </c>
      <c r="AE58" s="48">
        <v>1.5</v>
      </c>
      <c r="AF58" s="48">
        <v>1.5</v>
      </c>
      <c r="AG58" s="48">
        <v>1.5</v>
      </c>
      <c r="AH58" s="48">
        <v>0</v>
      </c>
      <c r="AI58" s="48">
        <v>0</v>
      </c>
      <c r="AJ58" s="48">
        <v>1.5</v>
      </c>
      <c r="AK58" s="48">
        <v>1.5</v>
      </c>
      <c r="AL58" s="1" t="s">
        <v>3</v>
      </c>
    </row>
    <row r="59" spans="2:38" ht="15.5" thickBot="1">
      <c r="B59" s="231" t="s">
        <v>42</v>
      </c>
      <c r="C59" s="232"/>
      <c r="D59" s="232"/>
      <c r="E59" s="232"/>
      <c r="F59" s="232"/>
      <c r="G59" s="232"/>
      <c r="H59" s="51">
        <f t="shared" ref="H59" si="80">H57-(H56+H58)</f>
        <v>0</v>
      </c>
      <c r="I59" s="51">
        <f t="shared" ref="I59" si="81">I57-(I56+I58)</f>
        <v>0</v>
      </c>
      <c r="J59" s="51">
        <f t="shared" ref="J59" si="82">J57-(J56+J58)</f>
        <v>0</v>
      </c>
      <c r="K59" s="51">
        <f t="shared" ref="K59" si="83">K57-(K56+K58)</f>
        <v>0</v>
      </c>
      <c r="L59" s="51">
        <f t="shared" ref="L59" si="84">L57-(L56+L58)</f>
        <v>0</v>
      </c>
      <c r="M59" s="51">
        <f t="shared" ref="M59" si="85">M57-(M56+M58)</f>
        <v>0</v>
      </c>
      <c r="N59" s="51">
        <f t="shared" ref="N59" si="86">N57-(N56+N58)</f>
        <v>0</v>
      </c>
      <c r="O59" s="51">
        <f t="shared" ref="O59" si="87">O57-(O56+O58)</f>
        <v>0</v>
      </c>
      <c r="P59" s="51">
        <f t="shared" ref="P59" si="88">P57-(P56+P58)</f>
        <v>0</v>
      </c>
      <c r="Q59" s="51">
        <f t="shared" ref="Q59" si="89">Q57-(Q56+Q58)</f>
        <v>0</v>
      </c>
      <c r="R59" s="51">
        <f t="shared" ref="R59" si="90">R57-(R56+R58)</f>
        <v>0</v>
      </c>
      <c r="S59" s="51">
        <f t="shared" ref="S59" si="91">S57-(S56+S58)</f>
        <v>0</v>
      </c>
      <c r="T59" s="51">
        <f t="shared" ref="T59" si="92">T57-(T56+T58)</f>
        <v>0</v>
      </c>
      <c r="U59" s="51">
        <f t="shared" ref="U59" si="93">U57-(U56+U58)</f>
        <v>0</v>
      </c>
      <c r="V59" s="51">
        <f t="shared" ref="V59" si="94">V57-(V56+V58)</f>
        <v>0</v>
      </c>
      <c r="W59" s="51">
        <f t="shared" ref="W59" si="95">W57-(W56+W58)</f>
        <v>0</v>
      </c>
      <c r="X59" s="51">
        <f t="shared" ref="X59" si="96">X57-(X56+X58)</f>
        <v>0</v>
      </c>
      <c r="Y59" s="51">
        <f t="shared" ref="Y59" si="97">Y57-(Y56+Y58)</f>
        <v>0</v>
      </c>
      <c r="Z59" s="51">
        <f t="shared" ref="Z59" si="98">Z57-(Z56+Z58)</f>
        <v>0</v>
      </c>
      <c r="AA59" s="51">
        <f t="shared" ref="AA59" si="99">AA57-(AA56+AA58)</f>
        <v>0</v>
      </c>
      <c r="AB59" s="51">
        <f t="shared" ref="AB59" si="100">AB57-(AB56+AB58)</f>
        <v>0</v>
      </c>
      <c r="AC59" s="51">
        <f t="shared" ref="AC59" si="101">AC57-(AC56+AC58)</f>
        <v>0</v>
      </c>
      <c r="AD59" s="51">
        <f t="shared" ref="AD59" si="102">AD57-(AD56+AD58)</f>
        <v>0</v>
      </c>
      <c r="AE59" s="70">
        <f t="shared" ref="AE59" si="103">AE57-(AE56+AE58)</f>
        <v>0.20000000000000018</v>
      </c>
      <c r="AF59" s="51">
        <f t="shared" ref="AF59" si="104">AF57-(AF56+AF58)</f>
        <v>0</v>
      </c>
      <c r="AG59" s="51">
        <f t="shared" ref="AG59" si="105">AG57-(AG56+AG58)</f>
        <v>0</v>
      </c>
      <c r="AH59" s="51">
        <f t="shared" ref="AH59" si="106">AH57-(AH56+AH58)</f>
        <v>0</v>
      </c>
      <c r="AI59" s="51">
        <f t="shared" ref="AI59" si="107">AI57-(AI56+AI58)</f>
        <v>0</v>
      </c>
      <c r="AJ59" s="51">
        <f t="shared" ref="AJ59" si="108">AJ57-(AJ56+AJ58)</f>
        <v>0</v>
      </c>
      <c r="AK59" s="51">
        <f t="shared" ref="AK59" si="109">AK57-(AK56+AK58)</f>
        <v>2.4</v>
      </c>
      <c r="AL59" s="1" t="s">
        <v>3</v>
      </c>
    </row>
  </sheetData>
  <autoFilter ref="B5:AL59" xr:uid="{72758B5E-EB6B-4A16-B8A9-B59A1AE50C6F}">
    <filterColumn colId="1" showButton="0"/>
  </autoFilter>
  <mergeCells count="41">
    <mergeCell ref="B44:B55"/>
    <mergeCell ref="C44:D44"/>
    <mergeCell ref="C45:D45"/>
    <mergeCell ref="C46:D46"/>
    <mergeCell ref="C47:D47"/>
    <mergeCell ref="C48:D48"/>
    <mergeCell ref="C49:C51"/>
    <mergeCell ref="C52:C55"/>
    <mergeCell ref="B56:G56"/>
    <mergeCell ref="B57:G57"/>
    <mergeCell ref="B58:G58"/>
    <mergeCell ref="B59:G59"/>
    <mergeCell ref="B20:B31"/>
    <mergeCell ref="C20:D20"/>
    <mergeCell ref="C21:D21"/>
    <mergeCell ref="C22:D22"/>
    <mergeCell ref="C23:D23"/>
    <mergeCell ref="C24:D24"/>
    <mergeCell ref="C25:C27"/>
    <mergeCell ref="C28:C31"/>
    <mergeCell ref="B32:B43"/>
    <mergeCell ref="C32:D32"/>
    <mergeCell ref="C33:D33"/>
    <mergeCell ref="C34:D34"/>
    <mergeCell ref="C35:D35"/>
    <mergeCell ref="C36:D36"/>
    <mergeCell ref="C37:C39"/>
    <mergeCell ref="C40:C43"/>
    <mergeCell ref="F3:F5"/>
    <mergeCell ref="E3:E5"/>
    <mergeCell ref="C8:D8"/>
    <mergeCell ref="C10:D10"/>
    <mergeCell ref="B6:B19"/>
    <mergeCell ref="C12:D12"/>
    <mergeCell ref="C13:C15"/>
    <mergeCell ref="C16:C19"/>
    <mergeCell ref="C3:D5"/>
    <mergeCell ref="C6:D6"/>
    <mergeCell ref="C7:D7"/>
    <mergeCell ref="C9:D9"/>
    <mergeCell ref="C11:D11"/>
  </mergeCells>
  <phoneticPr fontId="2"/>
  <conditionalFormatting sqref="H59:AK59">
    <cfRule type="cellIs" dxfId="12" priority="5" operator="notEqual">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 id="{D13D0706-7253-4D44-9156-0CC44BA485EA}">
            <xm:f>OR(WEEKDAY(H$4,2)&gt;=6,COUNTIF(祝日!$A:$A,H$4)&gt;=1)</xm:f>
            <x14:dxf>
              <fill>
                <patternFill>
                  <bgColor theme="1" tint="0.499984740745262"/>
                </patternFill>
              </fill>
            </x14:dxf>
          </x14:cfRule>
          <xm:sqref>H4:AK31</xm:sqref>
        </x14:conditionalFormatting>
        <x14:conditionalFormatting xmlns:xm="http://schemas.microsoft.com/office/excel/2006/main">
          <x14:cfRule type="expression" priority="7" id="{5E550995-2C15-49E1-884F-84F189167ED7}">
            <xm:f>OR(WEEKDAY(H$4,2)&gt;=6,COUNTIF(祝日!$A:$A,H$4)&gt;=1)</xm:f>
            <x14:dxf>
              <fill>
                <patternFill>
                  <bgColor theme="1" tint="0.499984740745262"/>
                </patternFill>
              </fill>
            </x14:dxf>
          </x14:cfRule>
          <xm:sqref>H37:AK43 H49:AK55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3794E-06D8-462D-98CA-3EA7BBD2A280}">
  <dimension ref="B2:AL87"/>
  <sheetViews>
    <sheetView zoomScale="170" zoomScaleNormal="145" workbookViewId="0">
      <pane xSplit="7" ySplit="5" topLeftCell="V6" activePane="bottomRight" state="frozen"/>
      <selection pane="topRight" activeCell="H9" sqref="H9"/>
      <selection pane="bottomLeft" activeCell="H9" sqref="H9"/>
      <selection pane="bottomRight" activeCell="AL8" sqref="AL8"/>
    </sheetView>
  </sheetViews>
  <sheetFormatPr defaultRowHeight="15" outlineLevelRow="1"/>
  <cols>
    <col min="1" max="1" width="3.2109375" customWidth="1"/>
    <col min="2" max="2" width="4.2109375" customWidth="1"/>
    <col min="3" max="3" width="3.35546875" bestFit="1" customWidth="1"/>
    <col min="4" max="4" width="8.5703125" customWidth="1"/>
    <col min="5" max="5" width="6.85546875" style="11" bestFit="1" customWidth="1"/>
    <col min="6" max="6" width="6" customWidth="1"/>
    <col min="7" max="7" width="4.640625" hidden="1" customWidth="1"/>
    <col min="8" max="8" width="4.5703125" customWidth="1"/>
    <col min="9" max="9" width="4.35546875" bestFit="1" customWidth="1"/>
    <col min="10" max="10" width="4.640625" customWidth="1"/>
    <col min="11" max="11" width="4.140625" customWidth="1"/>
    <col min="12" max="12" width="4.35546875" bestFit="1" customWidth="1"/>
    <col min="13" max="13" width="5.640625" customWidth="1"/>
    <col min="14" max="14" width="5.2109375" customWidth="1"/>
    <col min="15" max="15" width="4.78515625" customWidth="1"/>
    <col min="16" max="20" width="4.35546875" bestFit="1" customWidth="1"/>
    <col min="21" max="21" width="4.35546875" customWidth="1"/>
    <col min="22" max="22" width="4" customWidth="1"/>
    <col min="23" max="37" width="4.140625" customWidth="1"/>
    <col min="38" max="38" width="7.42578125" customWidth="1"/>
  </cols>
  <sheetData>
    <row r="2" spans="2:38" ht="15.5" thickBot="1">
      <c r="E2"/>
      <c r="H2">
        <v>1</v>
      </c>
      <c r="I2">
        <v>1</v>
      </c>
      <c r="J2">
        <v>1</v>
      </c>
      <c r="K2">
        <v>1</v>
      </c>
      <c r="L2">
        <v>1</v>
      </c>
      <c r="O2">
        <v>1</v>
      </c>
      <c r="P2">
        <v>1</v>
      </c>
      <c r="Q2">
        <v>1</v>
      </c>
      <c r="R2">
        <v>1</v>
      </c>
      <c r="S2">
        <v>1</v>
      </c>
      <c r="V2">
        <v>1</v>
      </c>
      <c r="W2">
        <v>1</v>
      </c>
      <c r="X2">
        <v>1</v>
      </c>
      <c r="Y2">
        <v>1</v>
      </c>
      <c r="Z2">
        <v>1</v>
      </c>
      <c r="AC2">
        <v>1</v>
      </c>
      <c r="AD2">
        <v>1</v>
      </c>
      <c r="AE2">
        <v>1</v>
      </c>
      <c r="AF2">
        <v>1</v>
      </c>
      <c r="AG2">
        <v>1</v>
      </c>
      <c r="AJ2">
        <v>1</v>
      </c>
      <c r="AK2">
        <v>1</v>
      </c>
      <c r="AL2">
        <f>SUM(H2:AK2)</f>
        <v>22</v>
      </c>
    </row>
    <row r="3" spans="2:38" s="1" customFormat="1" ht="15" customHeight="1">
      <c r="C3" s="241"/>
      <c r="D3" s="242"/>
      <c r="E3" s="245" t="s">
        <v>0</v>
      </c>
      <c r="F3" s="247" t="s">
        <v>1</v>
      </c>
      <c r="G3" s="81"/>
      <c r="H3" s="82">
        <v>46174</v>
      </c>
      <c r="I3" s="83"/>
      <c r="J3" s="83"/>
      <c r="K3" s="83"/>
      <c r="L3" s="84" t="s">
        <v>2</v>
      </c>
      <c r="M3" s="83"/>
      <c r="N3" s="84"/>
      <c r="O3" s="83"/>
      <c r="P3" s="83"/>
      <c r="Q3" s="83"/>
      <c r="R3" s="83"/>
      <c r="S3" s="83"/>
      <c r="T3" s="84"/>
      <c r="U3" s="83"/>
      <c r="V3" s="83"/>
      <c r="W3" s="83"/>
      <c r="X3" s="83"/>
      <c r="Y3" s="83"/>
      <c r="Z3" s="83"/>
      <c r="AA3" s="83"/>
      <c r="AB3" s="83"/>
      <c r="AC3" s="83"/>
      <c r="AD3" s="83"/>
      <c r="AE3" s="83"/>
      <c r="AF3" s="83"/>
      <c r="AG3" s="83"/>
      <c r="AH3" s="83"/>
      <c r="AI3" s="83"/>
      <c r="AJ3" s="83"/>
      <c r="AK3" s="85"/>
      <c r="AL3" s="1" t="s">
        <v>3</v>
      </c>
    </row>
    <row r="4" spans="2:38" s="1" customFormat="1" ht="13.5" customHeight="1">
      <c r="C4" s="243"/>
      <c r="D4" s="244"/>
      <c r="E4" s="246"/>
      <c r="F4" s="248"/>
      <c r="G4" s="86"/>
      <c r="H4" s="87">
        <f>H3</f>
        <v>46174</v>
      </c>
      <c r="I4" s="88">
        <f t="shared" ref="I4:AK4" si="0">H4+1</f>
        <v>46175</v>
      </c>
      <c r="J4" s="88">
        <f t="shared" si="0"/>
        <v>46176</v>
      </c>
      <c r="K4" s="88">
        <f t="shared" si="0"/>
        <v>46177</v>
      </c>
      <c r="L4" s="88">
        <f t="shared" si="0"/>
        <v>46178</v>
      </c>
      <c r="M4" s="88">
        <f t="shared" si="0"/>
        <v>46179</v>
      </c>
      <c r="N4" s="88">
        <f t="shared" si="0"/>
        <v>46180</v>
      </c>
      <c r="O4" s="88">
        <f t="shared" si="0"/>
        <v>46181</v>
      </c>
      <c r="P4" s="88">
        <f t="shared" si="0"/>
        <v>46182</v>
      </c>
      <c r="Q4" s="88">
        <f t="shared" si="0"/>
        <v>46183</v>
      </c>
      <c r="R4" s="88">
        <f t="shared" si="0"/>
        <v>46184</v>
      </c>
      <c r="S4" s="88">
        <f t="shared" si="0"/>
        <v>46185</v>
      </c>
      <c r="T4" s="88">
        <f t="shared" si="0"/>
        <v>46186</v>
      </c>
      <c r="U4" s="88">
        <f t="shared" si="0"/>
        <v>46187</v>
      </c>
      <c r="V4" s="88">
        <f t="shared" si="0"/>
        <v>46188</v>
      </c>
      <c r="W4" s="88">
        <f t="shared" si="0"/>
        <v>46189</v>
      </c>
      <c r="X4" s="88">
        <f t="shared" si="0"/>
        <v>46190</v>
      </c>
      <c r="Y4" s="88">
        <f t="shared" si="0"/>
        <v>46191</v>
      </c>
      <c r="Z4" s="88">
        <f t="shared" si="0"/>
        <v>46192</v>
      </c>
      <c r="AA4" s="88">
        <f t="shared" si="0"/>
        <v>46193</v>
      </c>
      <c r="AB4" s="88">
        <f t="shared" si="0"/>
        <v>46194</v>
      </c>
      <c r="AC4" s="88">
        <f t="shared" si="0"/>
        <v>46195</v>
      </c>
      <c r="AD4" s="88">
        <f t="shared" si="0"/>
        <v>46196</v>
      </c>
      <c r="AE4" s="88">
        <f t="shared" si="0"/>
        <v>46197</v>
      </c>
      <c r="AF4" s="88">
        <f t="shared" si="0"/>
        <v>46198</v>
      </c>
      <c r="AG4" s="88">
        <f t="shared" si="0"/>
        <v>46199</v>
      </c>
      <c r="AH4" s="88">
        <f t="shared" si="0"/>
        <v>46200</v>
      </c>
      <c r="AI4" s="88">
        <f t="shared" si="0"/>
        <v>46201</v>
      </c>
      <c r="AJ4" s="88">
        <f t="shared" si="0"/>
        <v>46202</v>
      </c>
      <c r="AK4" s="89">
        <f t="shared" si="0"/>
        <v>46203</v>
      </c>
      <c r="AL4" s="1" t="s">
        <v>3</v>
      </c>
    </row>
    <row r="5" spans="2:38" s="1" customFormat="1" ht="14" thickBot="1">
      <c r="C5" s="243"/>
      <c r="D5" s="244"/>
      <c r="E5" s="246"/>
      <c r="F5" s="249"/>
      <c r="G5" s="90"/>
      <c r="H5" s="91">
        <f>H4</f>
        <v>46174</v>
      </c>
      <c r="I5" s="92">
        <f t="shared" ref="I5:AK5" si="1">I4</f>
        <v>46175</v>
      </c>
      <c r="J5" s="92">
        <f t="shared" si="1"/>
        <v>46176</v>
      </c>
      <c r="K5" s="92">
        <f t="shared" si="1"/>
        <v>46177</v>
      </c>
      <c r="L5" s="92">
        <f t="shared" si="1"/>
        <v>46178</v>
      </c>
      <c r="M5" s="92">
        <f t="shared" si="1"/>
        <v>46179</v>
      </c>
      <c r="N5" s="92">
        <f t="shared" si="1"/>
        <v>46180</v>
      </c>
      <c r="O5" s="92">
        <f t="shared" si="1"/>
        <v>46181</v>
      </c>
      <c r="P5" s="92">
        <f t="shared" si="1"/>
        <v>46182</v>
      </c>
      <c r="Q5" s="92">
        <f t="shared" si="1"/>
        <v>46183</v>
      </c>
      <c r="R5" s="92">
        <f t="shared" si="1"/>
        <v>46184</v>
      </c>
      <c r="S5" s="92">
        <f t="shared" si="1"/>
        <v>46185</v>
      </c>
      <c r="T5" s="92">
        <f t="shared" si="1"/>
        <v>46186</v>
      </c>
      <c r="U5" s="92">
        <f t="shared" si="1"/>
        <v>46187</v>
      </c>
      <c r="V5" s="92">
        <f t="shared" si="1"/>
        <v>46188</v>
      </c>
      <c r="W5" s="92">
        <f t="shared" si="1"/>
        <v>46189</v>
      </c>
      <c r="X5" s="92">
        <f t="shared" si="1"/>
        <v>46190</v>
      </c>
      <c r="Y5" s="92">
        <f t="shared" si="1"/>
        <v>46191</v>
      </c>
      <c r="Z5" s="92">
        <f t="shared" si="1"/>
        <v>46192</v>
      </c>
      <c r="AA5" s="92">
        <f t="shared" si="1"/>
        <v>46193</v>
      </c>
      <c r="AB5" s="92">
        <f t="shared" si="1"/>
        <v>46194</v>
      </c>
      <c r="AC5" s="92">
        <f t="shared" si="1"/>
        <v>46195</v>
      </c>
      <c r="AD5" s="92">
        <f t="shared" si="1"/>
        <v>46196</v>
      </c>
      <c r="AE5" s="92">
        <f t="shared" si="1"/>
        <v>46197</v>
      </c>
      <c r="AF5" s="92">
        <f t="shared" si="1"/>
        <v>46198</v>
      </c>
      <c r="AG5" s="92">
        <f t="shared" si="1"/>
        <v>46199</v>
      </c>
      <c r="AH5" s="92">
        <f t="shared" si="1"/>
        <v>46200</v>
      </c>
      <c r="AI5" s="92">
        <f t="shared" si="1"/>
        <v>46201</v>
      </c>
      <c r="AJ5" s="92">
        <f t="shared" si="1"/>
        <v>46202</v>
      </c>
      <c r="AK5" s="93">
        <f t="shared" si="1"/>
        <v>46203</v>
      </c>
      <c r="AL5" s="1" t="s">
        <v>3</v>
      </c>
    </row>
    <row r="6" spans="2:38" s="1" customFormat="1" ht="15" customHeight="1">
      <c r="B6" s="207" t="s">
        <v>4</v>
      </c>
      <c r="C6" s="235" t="s">
        <v>5</v>
      </c>
      <c r="D6" s="236"/>
      <c r="E6" s="94">
        <f>SUM(H6:AK6)</f>
        <v>281</v>
      </c>
      <c r="F6" s="94" t="s">
        <v>6</v>
      </c>
      <c r="G6" s="157" t="s">
        <v>7</v>
      </c>
      <c r="H6" s="159">
        <v>20</v>
      </c>
      <c r="I6" s="103">
        <v>23</v>
      </c>
      <c r="J6" s="103">
        <v>14</v>
      </c>
      <c r="K6" s="103">
        <v>3</v>
      </c>
      <c r="L6" s="103">
        <v>29</v>
      </c>
      <c r="M6" s="103"/>
      <c r="N6" s="103"/>
      <c r="O6" s="103">
        <v>12</v>
      </c>
      <c r="P6" s="103">
        <v>15</v>
      </c>
      <c r="Q6" s="103">
        <v>8</v>
      </c>
      <c r="R6" s="103">
        <v>8</v>
      </c>
      <c r="S6" s="103">
        <v>17</v>
      </c>
      <c r="T6" s="103"/>
      <c r="U6" s="103"/>
      <c r="V6" s="103">
        <v>9</v>
      </c>
      <c r="W6" s="103">
        <v>4</v>
      </c>
      <c r="X6" s="103">
        <v>13</v>
      </c>
      <c r="Y6" s="103">
        <v>11</v>
      </c>
      <c r="Z6" s="103">
        <v>13</v>
      </c>
      <c r="AA6" s="103"/>
      <c r="AB6" s="103"/>
      <c r="AC6" s="103">
        <v>10</v>
      </c>
      <c r="AD6" s="103">
        <v>14</v>
      </c>
      <c r="AE6" s="103">
        <v>12</v>
      </c>
      <c r="AF6" s="103">
        <v>12</v>
      </c>
      <c r="AG6" s="103">
        <v>11</v>
      </c>
      <c r="AH6" s="103"/>
      <c r="AI6" s="103"/>
      <c r="AJ6" s="103">
        <v>15</v>
      </c>
      <c r="AK6" s="104">
        <v>8</v>
      </c>
      <c r="AL6" s="1">
        <f>SUM(H6:AK6)</f>
        <v>281</v>
      </c>
    </row>
    <row r="7" spans="2:38" s="1" customFormat="1" ht="15" customHeight="1">
      <c r="B7" s="208"/>
      <c r="C7" s="233" t="s">
        <v>29</v>
      </c>
      <c r="D7" s="234"/>
      <c r="E7" s="94">
        <f>SUM(H7:AK7)</f>
        <v>658</v>
      </c>
      <c r="F7" s="94" t="s">
        <v>6</v>
      </c>
      <c r="G7" s="157" t="s">
        <v>7</v>
      </c>
      <c r="H7" s="160">
        <f>SUM(H13:H23)</f>
        <v>24</v>
      </c>
      <c r="I7" s="96">
        <f t="shared" ref="I7:AK7" si="2">SUM(I13:I23)</f>
        <v>8</v>
      </c>
      <c r="J7" s="96">
        <f t="shared" si="2"/>
        <v>35</v>
      </c>
      <c r="K7" s="96">
        <f t="shared" si="2"/>
        <v>23</v>
      </c>
      <c r="L7" s="96">
        <f t="shared" si="2"/>
        <v>46</v>
      </c>
      <c r="M7" s="96">
        <f t="shared" si="2"/>
        <v>0</v>
      </c>
      <c r="N7" s="96">
        <f t="shared" si="2"/>
        <v>0</v>
      </c>
      <c r="O7" s="96">
        <f t="shared" si="2"/>
        <v>42</v>
      </c>
      <c r="P7" s="96">
        <f t="shared" si="2"/>
        <v>24</v>
      </c>
      <c r="Q7" s="96">
        <f t="shared" si="2"/>
        <v>25</v>
      </c>
      <c r="R7" s="96">
        <f t="shared" si="2"/>
        <v>31</v>
      </c>
      <c r="S7" s="96">
        <f t="shared" si="2"/>
        <v>34</v>
      </c>
      <c r="T7" s="96">
        <f t="shared" si="2"/>
        <v>0</v>
      </c>
      <c r="U7" s="96">
        <f t="shared" si="2"/>
        <v>0</v>
      </c>
      <c r="V7" s="96">
        <f t="shared" si="2"/>
        <v>21</v>
      </c>
      <c r="W7" s="96">
        <f>SUM(W13:W23)</f>
        <v>42</v>
      </c>
      <c r="X7" s="96">
        <f t="shared" si="2"/>
        <v>35</v>
      </c>
      <c r="Y7" s="96">
        <f t="shared" si="2"/>
        <v>34</v>
      </c>
      <c r="Z7" s="96">
        <f t="shared" si="2"/>
        <v>51</v>
      </c>
      <c r="AA7" s="96">
        <f t="shared" si="2"/>
        <v>0</v>
      </c>
      <c r="AB7" s="96">
        <f t="shared" si="2"/>
        <v>0</v>
      </c>
      <c r="AC7" s="96">
        <f t="shared" si="2"/>
        <v>44</v>
      </c>
      <c r="AD7" s="96">
        <f t="shared" si="2"/>
        <v>36</v>
      </c>
      <c r="AE7" s="96">
        <f t="shared" si="2"/>
        <v>36</v>
      </c>
      <c r="AF7" s="96">
        <f t="shared" si="2"/>
        <v>29</v>
      </c>
      <c r="AG7" s="96">
        <f t="shared" si="2"/>
        <v>8</v>
      </c>
      <c r="AH7" s="96">
        <f t="shared" si="2"/>
        <v>0</v>
      </c>
      <c r="AI7" s="96">
        <f t="shared" si="2"/>
        <v>0</v>
      </c>
      <c r="AJ7" s="96">
        <f t="shared" si="2"/>
        <v>19</v>
      </c>
      <c r="AK7" s="97">
        <f t="shared" si="2"/>
        <v>11</v>
      </c>
      <c r="AL7" s="1" t="s">
        <v>3</v>
      </c>
    </row>
    <row r="8" spans="2:38" s="1" customFormat="1" ht="15" customHeight="1">
      <c r="B8" s="208"/>
      <c r="C8" s="237" t="s">
        <v>43</v>
      </c>
      <c r="D8" s="238"/>
      <c r="E8" s="117">
        <f>AK8</f>
        <v>4295</v>
      </c>
      <c r="F8" s="117" t="s">
        <v>6</v>
      </c>
      <c r="G8" s="158" t="s">
        <v>7</v>
      </c>
      <c r="H8" s="166">
        <f>'0501(実績)'!AK8+H7</f>
        <v>3661</v>
      </c>
      <c r="I8" s="119">
        <f>H8+I7</f>
        <v>3669</v>
      </c>
      <c r="J8" s="119">
        <f t="shared" ref="J8:AK8" si="3">I8+J7</f>
        <v>3704</v>
      </c>
      <c r="K8" s="119">
        <f t="shared" si="3"/>
        <v>3727</v>
      </c>
      <c r="L8" s="119">
        <f t="shared" si="3"/>
        <v>3773</v>
      </c>
      <c r="M8" s="119">
        <f t="shared" si="3"/>
        <v>3773</v>
      </c>
      <c r="N8" s="119">
        <f t="shared" si="3"/>
        <v>3773</v>
      </c>
      <c r="O8" s="119">
        <f t="shared" si="3"/>
        <v>3815</v>
      </c>
      <c r="P8" s="119">
        <f t="shared" si="3"/>
        <v>3839</v>
      </c>
      <c r="Q8" s="119">
        <f t="shared" si="3"/>
        <v>3864</v>
      </c>
      <c r="R8" s="119">
        <f t="shared" si="3"/>
        <v>3895</v>
      </c>
      <c r="S8" s="119">
        <f t="shared" si="3"/>
        <v>3929</v>
      </c>
      <c r="T8" s="119">
        <f t="shared" si="3"/>
        <v>3929</v>
      </c>
      <c r="U8" s="119">
        <f t="shared" si="3"/>
        <v>3929</v>
      </c>
      <c r="V8" s="119">
        <f t="shared" si="3"/>
        <v>3950</v>
      </c>
      <c r="W8" s="119">
        <f t="shared" si="3"/>
        <v>3992</v>
      </c>
      <c r="X8" s="119">
        <f t="shared" si="3"/>
        <v>4027</v>
      </c>
      <c r="Y8" s="119">
        <f t="shared" si="3"/>
        <v>4061</v>
      </c>
      <c r="Z8" s="119">
        <f t="shared" si="3"/>
        <v>4112</v>
      </c>
      <c r="AA8" s="119">
        <f t="shared" si="3"/>
        <v>4112</v>
      </c>
      <c r="AB8" s="119">
        <f t="shared" si="3"/>
        <v>4112</v>
      </c>
      <c r="AC8" s="119">
        <f t="shared" si="3"/>
        <v>4156</v>
      </c>
      <c r="AD8" s="119">
        <f t="shared" si="3"/>
        <v>4192</v>
      </c>
      <c r="AE8" s="119">
        <f t="shared" si="3"/>
        <v>4228</v>
      </c>
      <c r="AF8" s="119">
        <f t="shared" si="3"/>
        <v>4257</v>
      </c>
      <c r="AG8" s="119">
        <f t="shared" si="3"/>
        <v>4265</v>
      </c>
      <c r="AH8" s="119">
        <f t="shared" si="3"/>
        <v>4265</v>
      </c>
      <c r="AI8" s="119">
        <f t="shared" si="3"/>
        <v>4265</v>
      </c>
      <c r="AJ8" s="119">
        <f t="shared" si="3"/>
        <v>4284</v>
      </c>
      <c r="AK8" s="120">
        <f t="shared" si="3"/>
        <v>4295</v>
      </c>
      <c r="AL8" s="1" t="s">
        <v>3</v>
      </c>
    </row>
    <row r="9" spans="2:38" s="1" customFormat="1" ht="16" customHeight="1">
      <c r="B9" s="208"/>
      <c r="C9" s="233" t="s">
        <v>30</v>
      </c>
      <c r="D9" s="234"/>
      <c r="E9" s="94">
        <f>SUM(H9:AK9)</f>
        <v>1436</v>
      </c>
      <c r="F9" s="94" t="s">
        <v>6</v>
      </c>
      <c r="G9" s="157" t="s">
        <v>7</v>
      </c>
      <c r="H9" s="160">
        <f>SUM(H24:H31)</f>
        <v>84</v>
      </c>
      <c r="I9" s="96">
        <f t="shared" ref="I9:AK9" si="4">SUM(I24:I31)</f>
        <v>108</v>
      </c>
      <c r="J9" s="96">
        <f t="shared" si="4"/>
        <v>48</v>
      </c>
      <c r="K9" s="96">
        <f t="shared" si="4"/>
        <v>96</v>
      </c>
      <c r="L9" s="96">
        <f t="shared" si="4"/>
        <v>93</v>
      </c>
      <c r="M9" s="96">
        <f t="shared" si="4"/>
        <v>0</v>
      </c>
      <c r="N9" s="96">
        <f t="shared" si="4"/>
        <v>0</v>
      </c>
      <c r="O9" s="96">
        <f t="shared" si="4"/>
        <v>75</v>
      </c>
      <c r="P9" s="96">
        <f t="shared" si="4"/>
        <v>80</v>
      </c>
      <c r="Q9" s="96">
        <f t="shared" si="4"/>
        <v>68</v>
      </c>
      <c r="R9" s="96">
        <f t="shared" si="4"/>
        <v>60</v>
      </c>
      <c r="S9" s="96">
        <f t="shared" si="4"/>
        <v>80</v>
      </c>
      <c r="T9" s="96">
        <f t="shared" si="4"/>
        <v>0</v>
      </c>
      <c r="U9" s="96">
        <f t="shared" si="4"/>
        <v>0</v>
      </c>
      <c r="V9" s="96">
        <f t="shared" si="4"/>
        <v>83</v>
      </c>
      <c r="W9" s="96">
        <f>SUM(W24:W31)</f>
        <v>67</v>
      </c>
      <c r="X9" s="96">
        <f t="shared" si="4"/>
        <v>78</v>
      </c>
      <c r="Y9" s="96">
        <f t="shared" si="4"/>
        <v>64</v>
      </c>
      <c r="Z9" s="96">
        <f t="shared" si="4"/>
        <v>44</v>
      </c>
      <c r="AA9" s="96">
        <f t="shared" si="4"/>
        <v>0</v>
      </c>
      <c r="AB9" s="96">
        <f t="shared" si="4"/>
        <v>0</v>
      </c>
      <c r="AC9" s="96">
        <f t="shared" si="4"/>
        <v>53</v>
      </c>
      <c r="AD9" s="96">
        <f t="shared" si="4"/>
        <v>29</v>
      </c>
      <c r="AE9" s="96">
        <f t="shared" si="4"/>
        <v>42</v>
      </c>
      <c r="AF9" s="96">
        <f t="shared" si="4"/>
        <v>35</v>
      </c>
      <c r="AG9" s="96">
        <f t="shared" si="4"/>
        <v>54</v>
      </c>
      <c r="AH9" s="96">
        <f t="shared" si="4"/>
        <v>0</v>
      </c>
      <c r="AI9" s="96">
        <f t="shared" si="4"/>
        <v>0</v>
      </c>
      <c r="AJ9" s="96">
        <f t="shared" si="4"/>
        <v>43</v>
      </c>
      <c r="AK9" s="97">
        <f t="shared" si="4"/>
        <v>52</v>
      </c>
      <c r="AL9" s="1" t="s">
        <v>3</v>
      </c>
    </row>
    <row r="10" spans="2:38" s="1" customFormat="1" ht="16" customHeight="1">
      <c r="B10" s="208"/>
      <c r="C10" s="239" t="s">
        <v>13</v>
      </c>
      <c r="D10" s="240"/>
      <c r="E10" s="117">
        <f>AK10</f>
        <v>3897</v>
      </c>
      <c r="F10" s="117" t="s">
        <v>6</v>
      </c>
      <c r="G10" s="158" t="s">
        <v>7</v>
      </c>
      <c r="H10" s="166">
        <f>'0501(実績)'!AK10+H9</f>
        <v>2545</v>
      </c>
      <c r="I10" s="119">
        <f t="shared" ref="I10:AK10" si="5">H10+I9</f>
        <v>2653</v>
      </c>
      <c r="J10" s="119">
        <f t="shared" si="5"/>
        <v>2701</v>
      </c>
      <c r="K10" s="119">
        <f t="shared" si="5"/>
        <v>2797</v>
      </c>
      <c r="L10" s="119">
        <f t="shared" si="5"/>
        <v>2890</v>
      </c>
      <c r="M10" s="119">
        <f t="shared" si="5"/>
        <v>2890</v>
      </c>
      <c r="N10" s="119">
        <f t="shared" si="5"/>
        <v>2890</v>
      </c>
      <c r="O10" s="119">
        <f t="shared" si="5"/>
        <v>2965</v>
      </c>
      <c r="P10" s="119">
        <f t="shared" si="5"/>
        <v>3045</v>
      </c>
      <c r="Q10" s="119">
        <f t="shared" si="5"/>
        <v>3113</v>
      </c>
      <c r="R10" s="119">
        <f t="shared" si="5"/>
        <v>3173</v>
      </c>
      <c r="S10" s="119">
        <f t="shared" si="5"/>
        <v>3253</v>
      </c>
      <c r="T10" s="119">
        <f t="shared" si="5"/>
        <v>3253</v>
      </c>
      <c r="U10" s="119">
        <f t="shared" si="5"/>
        <v>3253</v>
      </c>
      <c r="V10" s="119">
        <f t="shared" si="5"/>
        <v>3336</v>
      </c>
      <c r="W10" s="119">
        <f t="shared" si="5"/>
        <v>3403</v>
      </c>
      <c r="X10" s="119">
        <f t="shared" si="5"/>
        <v>3481</v>
      </c>
      <c r="Y10" s="119">
        <f t="shared" si="5"/>
        <v>3545</v>
      </c>
      <c r="Z10" s="119">
        <f t="shared" si="5"/>
        <v>3589</v>
      </c>
      <c r="AA10" s="119">
        <f t="shared" si="5"/>
        <v>3589</v>
      </c>
      <c r="AB10" s="119">
        <f t="shared" si="5"/>
        <v>3589</v>
      </c>
      <c r="AC10" s="119">
        <f t="shared" si="5"/>
        <v>3642</v>
      </c>
      <c r="AD10" s="119">
        <f t="shared" si="5"/>
        <v>3671</v>
      </c>
      <c r="AE10" s="119">
        <f t="shared" si="5"/>
        <v>3713</v>
      </c>
      <c r="AF10" s="119">
        <f t="shared" si="5"/>
        <v>3748</v>
      </c>
      <c r="AG10" s="119">
        <f t="shared" si="5"/>
        <v>3802</v>
      </c>
      <c r="AH10" s="119">
        <f t="shared" si="5"/>
        <v>3802</v>
      </c>
      <c r="AI10" s="119">
        <f t="shared" si="5"/>
        <v>3802</v>
      </c>
      <c r="AJ10" s="119">
        <f t="shared" si="5"/>
        <v>3845</v>
      </c>
      <c r="AK10" s="120">
        <f t="shared" si="5"/>
        <v>3897</v>
      </c>
      <c r="AL10" s="1" t="s">
        <v>3</v>
      </c>
    </row>
    <row r="11" spans="2:38" s="1" customFormat="1" ht="13.5">
      <c r="B11" s="208"/>
      <c r="C11" s="233" t="s">
        <v>14</v>
      </c>
      <c r="D11" s="234"/>
      <c r="E11" s="94">
        <f>E6-E7</f>
        <v>-377</v>
      </c>
      <c r="F11" s="94" t="s">
        <v>6</v>
      </c>
      <c r="G11" s="157" t="s">
        <v>7</v>
      </c>
      <c r="H11" s="160">
        <f>'0501(実績)'!AK11+H6-H7</f>
        <v>676</v>
      </c>
      <c r="I11" s="96">
        <f>H11+I6-I7</f>
        <v>691</v>
      </c>
      <c r="J11" s="96">
        <f t="shared" ref="J11:AK11" si="6">I11+J6-J7</f>
        <v>670</v>
      </c>
      <c r="K11" s="96">
        <f t="shared" si="6"/>
        <v>650</v>
      </c>
      <c r="L11" s="96">
        <f t="shared" si="6"/>
        <v>633</v>
      </c>
      <c r="M11" s="96">
        <f t="shared" si="6"/>
        <v>633</v>
      </c>
      <c r="N11" s="96">
        <f t="shared" si="6"/>
        <v>633</v>
      </c>
      <c r="O11" s="96">
        <f t="shared" si="6"/>
        <v>603</v>
      </c>
      <c r="P11" s="96">
        <f t="shared" si="6"/>
        <v>594</v>
      </c>
      <c r="Q11" s="96">
        <f t="shared" si="6"/>
        <v>577</v>
      </c>
      <c r="R11" s="96">
        <f t="shared" si="6"/>
        <v>554</v>
      </c>
      <c r="S11" s="96">
        <f t="shared" si="6"/>
        <v>537</v>
      </c>
      <c r="T11" s="96">
        <f t="shared" si="6"/>
        <v>537</v>
      </c>
      <c r="U11" s="96">
        <f t="shared" si="6"/>
        <v>537</v>
      </c>
      <c r="V11" s="96">
        <f t="shared" si="6"/>
        <v>525</v>
      </c>
      <c r="W11" s="96">
        <f t="shared" si="6"/>
        <v>487</v>
      </c>
      <c r="X11" s="96">
        <f t="shared" si="6"/>
        <v>465</v>
      </c>
      <c r="Y11" s="96">
        <f t="shared" si="6"/>
        <v>442</v>
      </c>
      <c r="Z11" s="96">
        <f t="shared" si="6"/>
        <v>404</v>
      </c>
      <c r="AA11" s="96">
        <f t="shared" si="6"/>
        <v>404</v>
      </c>
      <c r="AB11" s="96">
        <f t="shared" si="6"/>
        <v>404</v>
      </c>
      <c r="AC11" s="96">
        <f t="shared" si="6"/>
        <v>370</v>
      </c>
      <c r="AD11" s="96">
        <f t="shared" si="6"/>
        <v>348</v>
      </c>
      <c r="AE11" s="96">
        <f t="shared" si="6"/>
        <v>324</v>
      </c>
      <c r="AF11" s="96">
        <f t="shared" si="6"/>
        <v>307</v>
      </c>
      <c r="AG11" s="96">
        <f t="shared" si="6"/>
        <v>310</v>
      </c>
      <c r="AH11" s="96">
        <f t="shared" si="6"/>
        <v>310</v>
      </c>
      <c r="AI11" s="96">
        <f t="shared" si="6"/>
        <v>310</v>
      </c>
      <c r="AJ11" s="96">
        <f t="shared" si="6"/>
        <v>306</v>
      </c>
      <c r="AK11" s="97">
        <f t="shared" si="6"/>
        <v>303</v>
      </c>
      <c r="AL11" s="1" t="s">
        <v>3</v>
      </c>
    </row>
    <row r="12" spans="2:38" s="1" customFormat="1" ht="14" thickBot="1">
      <c r="B12" s="208"/>
      <c r="C12" s="233" t="s">
        <v>15</v>
      </c>
      <c r="D12" s="234"/>
      <c r="E12" s="98">
        <f>E6-E9</f>
        <v>-1155</v>
      </c>
      <c r="F12" s="98" t="s">
        <v>6</v>
      </c>
      <c r="G12" s="157" t="s">
        <v>7</v>
      </c>
      <c r="H12" s="161">
        <f>'0501(実績)'!AK12+SUM($H$6:H6)-SUM($H$9:H9)</f>
        <v>1792</v>
      </c>
      <c r="I12" s="110">
        <f>H12+I6-I9</f>
        <v>1707</v>
      </c>
      <c r="J12" s="110">
        <f t="shared" ref="J12:AK12" si="7">I12+J6-J9</f>
        <v>1673</v>
      </c>
      <c r="K12" s="110">
        <f t="shared" si="7"/>
        <v>1580</v>
      </c>
      <c r="L12" s="110">
        <f t="shared" si="7"/>
        <v>1516</v>
      </c>
      <c r="M12" s="110">
        <f t="shared" si="7"/>
        <v>1516</v>
      </c>
      <c r="N12" s="110">
        <f t="shared" si="7"/>
        <v>1516</v>
      </c>
      <c r="O12" s="110">
        <f t="shared" si="7"/>
        <v>1453</v>
      </c>
      <c r="P12" s="110">
        <f t="shared" si="7"/>
        <v>1388</v>
      </c>
      <c r="Q12" s="110">
        <f t="shared" si="7"/>
        <v>1328</v>
      </c>
      <c r="R12" s="110">
        <f t="shared" si="7"/>
        <v>1276</v>
      </c>
      <c r="S12" s="110">
        <f t="shared" si="7"/>
        <v>1213</v>
      </c>
      <c r="T12" s="110">
        <f t="shared" si="7"/>
        <v>1213</v>
      </c>
      <c r="U12" s="110">
        <f t="shared" si="7"/>
        <v>1213</v>
      </c>
      <c r="V12" s="110">
        <f t="shared" si="7"/>
        <v>1139</v>
      </c>
      <c r="W12" s="110">
        <f t="shared" si="7"/>
        <v>1076</v>
      </c>
      <c r="X12" s="110">
        <f t="shared" si="7"/>
        <v>1011</v>
      </c>
      <c r="Y12" s="110">
        <f t="shared" si="7"/>
        <v>958</v>
      </c>
      <c r="Z12" s="110">
        <f t="shared" si="7"/>
        <v>927</v>
      </c>
      <c r="AA12" s="110">
        <f t="shared" si="7"/>
        <v>927</v>
      </c>
      <c r="AB12" s="110">
        <f t="shared" si="7"/>
        <v>927</v>
      </c>
      <c r="AC12" s="110">
        <f t="shared" si="7"/>
        <v>884</v>
      </c>
      <c r="AD12" s="110">
        <f t="shared" si="7"/>
        <v>869</v>
      </c>
      <c r="AE12" s="110">
        <f t="shared" si="7"/>
        <v>839</v>
      </c>
      <c r="AF12" s="110">
        <f t="shared" si="7"/>
        <v>816</v>
      </c>
      <c r="AG12" s="110">
        <f t="shared" si="7"/>
        <v>773</v>
      </c>
      <c r="AH12" s="110">
        <f t="shared" si="7"/>
        <v>773</v>
      </c>
      <c r="AI12" s="110">
        <f t="shared" si="7"/>
        <v>773</v>
      </c>
      <c r="AJ12" s="110">
        <f t="shared" si="7"/>
        <v>745</v>
      </c>
      <c r="AK12" s="115">
        <f t="shared" si="7"/>
        <v>701</v>
      </c>
      <c r="AL12" s="1" t="s">
        <v>3</v>
      </c>
    </row>
    <row r="13" spans="2:38" s="1" customFormat="1" ht="13.5">
      <c r="B13" s="208"/>
      <c r="C13" s="210" t="s">
        <v>16</v>
      </c>
      <c r="D13" s="30" t="s">
        <v>44</v>
      </c>
      <c r="E13" s="111">
        <f t="shared" ref="E13:E33" si="8">SUM(H13:AK13)</f>
        <v>29</v>
      </c>
      <c r="F13" s="102">
        <v>20</v>
      </c>
      <c r="G13" s="162" t="s">
        <v>7</v>
      </c>
      <c r="H13" s="159"/>
      <c r="I13" s="103"/>
      <c r="J13" s="103"/>
      <c r="K13" s="103"/>
      <c r="L13" s="103">
        <v>12</v>
      </c>
      <c r="M13" s="103"/>
      <c r="N13" s="103"/>
      <c r="O13" s="103"/>
      <c r="P13" s="103"/>
      <c r="Q13" s="103">
        <v>1</v>
      </c>
      <c r="R13" s="103">
        <v>7</v>
      </c>
      <c r="S13" s="103"/>
      <c r="T13" s="103"/>
      <c r="U13" s="103"/>
      <c r="V13" s="103"/>
      <c r="W13" s="103"/>
      <c r="X13" s="103"/>
      <c r="Y13" s="103"/>
      <c r="Z13" s="103"/>
      <c r="AA13" s="103"/>
      <c r="AB13" s="103"/>
      <c r="AC13" s="103"/>
      <c r="AD13" s="103"/>
      <c r="AE13" s="103">
        <v>9</v>
      </c>
      <c r="AF13" s="103"/>
      <c r="AG13" s="103"/>
      <c r="AH13" s="103"/>
      <c r="AI13" s="103"/>
      <c r="AJ13" s="103"/>
      <c r="AK13" s="104"/>
      <c r="AL13" s="1" t="s">
        <v>3</v>
      </c>
    </row>
    <row r="14" spans="2:38" s="1" customFormat="1" ht="13.5">
      <c r="B14" s="208"/>
      <c r="C14" s="211"/>
      <c r="D14" s="31" t="s">
        <v>46</v>
      </c>
      <c r="E14" s="174">
        <f t="shared" si="8"/>
        <v>50</v>
      </c>
      <c r="F14" s="106">
        <v>20</v>
      </c>
      <c r="G14" s="163" t="s">
        <v>7</v>
      </c>
      <c r="H14" s="160"/>
      <c r="I14" s="96">
        <v>1</v>
      </c>
      <c r="J14" s="96"/>
      <c r="K14" s="96"/>
      <c r="L14" s="96"/>
      <c r="M14" s="96"/>
      <c r="N14" s="96"/>
      <c r="O14" s="96"/>
      <c r="P14" s="96"/>
      <c r="Q14" s="96"/>
      <c r="R14" s="96"/>
      <c r="S14" s="96"/>
      <c r="T14" s="96"/>
      <c r="U14" s="96"/>
      <c r="V14" s="96">
        <v>11</v>
      </c>
      <c r="W14" s="96"/>
      <c r="X14" s="96">
        <v>4</v>
      </c>
      <c r="Y14" s="96">
        <v>1</v>
      </c>
      <c r="Z14" s="96">
        <v>9</v>
      </c>
      <c r="AA14" s="96"/>
      <c r="AB14" s="96"/>
      <c r="AC14" s="96">
        <v>11</v>
      </c>
      <c r="AD14" s="96"/>
      <c r="AE14" s="96"/>
      <c r="AF14" s="96">
        <v>10</v>
      </c>
      <c r="AG14" s="96"/>
      <c r="AH14" s="96"/>
      <c r="AI14" s="96"/>
      <c r="AJ14" s="96">
        <v>3</v>
      </c>
      <c r="AK14" s="97"/>
      <c r="AL14" s="1" t="s">
        <v>3</v>
      </c>
    </row>
    <row r="15" spans="2:38" s="1" customFormat="1" ht="13.5">
      <c r="B15" s="208"/>
      <c r="C15" s="211"/>
      <c r="D15" s="31" t="s">
        <v>48</v>
      </c>
      <c r="E15" s="174">
        <f t="shared" si="8"/>
        <v>41</v>
      </c>
      <c r="F15" s="106">
        <v>20</v>
      </c>
      <c r="G15" s="163" t="s">
        <v>7</v>
      </c>
      <c r="H15" s="160"/>
      <c r="I15" s="96"/>
      <c r="J15" s="96"/>
      <c r="K15" s="96"/>
      <c r="L15" s="96"/>
      <c r="M15" s="96"/>
      <c r="N15" s="96"/>
      <c r="O15" s="96"/>
      <c r="P15" s="96"/>
      <c r="Q15" s="96"/>
      <c r="R15" s="96"/>
      <c r="S15" s="96">
        <v>9</v>
      </c>
      <c r="T15" s="96"/>
      <c r="U15" s="96"/>
      <c r="V15" s="96"/>
      <c r="W15" s="96">
        <v>1</v>
      </c>
      <c r="X15" s="96"/>
      <c r="Y15" s="96">
        <v>9</v>
      </c>
      <c r="Z15" s="96">
        <v>1</v>
      </c>
      <c r="AA15" s="96"/>
      <c r="AB15" s="96"/>
      <c r="AC15" s="96">
        <v>10</v>
      </c>
      <c r="AD15" s="96">
        <v>10</v>
      </c>
      <c r="AE15" s="96"/>
      <c r="AF15" s="96">
        <v>1</v>
      </c>
      <c r="AG15" s="96"/>
      <c r="AH15" s="96"/>
      <c r="AI15" s="96"/>
      <c r="AJ15" s="96"/>
      <c r="AK15" s="97"/>
      <c r="AL15" s="1" t="s">
        <v>3</v>
      </c>
    </row>
    <row r="16" spans="2:38" s="1" customFormat="1" ht="13.5">
      <c r="B16" s="208"/>
      <c r="C16" s="211"/>
      <c r="D16" s="31" t="s">
        <v>49</v>
      </c>
      <c r="E16" s="174">
        <f t="shared" si="8"/>
        <v>49</v>
      </c>
      <c r="F16" s="106">
        <v>20</v>
      </c>
      <c r="G16" s="163" t="s">
        <v>7</v>
      </c>
      <c r="H16" s="160"/>
      <c r="I16" s="96"/>
      <c r="J16" s="96"/>
      <c r="K16" s="96"/>
      <c r="L16" s="96"/>
      <c r="M16" s="96"/>
      <c r="N16" s="96"/>
      <c r="O16" s="96">
        <v>11</v>
      </c>
      <c r="P16" s="96"/>
      <c r="Q16" s="96"/>
      <c r="R16" s="96"/>
      <c r="S16" s="96">
        <v>1</v>
      </c>
      <c r="T16" s="96"/>
      <c r="U16" s="96"/>
      <c r="V16" s="96"/>
      <c r="W16" s="96">
        <v>14</v>
      </c>
      <c r="X16" s="96"/>
      <c r="Y16" s="96"/>
      <c r="Z16" s="96">
        <v>15</v>
      </c>
      <c r="AA16" s="96"/>
      <c r="AB16" s="96"/>
      <c r="AC16" s="96"/>
      <c r="AD16" s="96"/>
      <c r="AE16" s="96"/>
      <c r="AF16" s="96">
        <v>3</v>
      </c>
      <c r="AG16" s="96">
        <v>2</v>
      </c>
      <c r="AH16" s="96"/>
      <c r="AI16" s="96"/>
      <c r="AJ16" s="96"/>
      <c r="AK16" s="97">
        <v>3</v>
      </c>
      <c r="AL16" s="1" t="s">
        <v>3</v>
      </c>
    </row>
    <row r="17" spans="2:38" s="1" customFormat="1" ht="13.5">
      <c r="B17" s="208"/>
      <c r="C17" s="211"/>
      <c r="D17" s="31" t="s">
        <v>19</v>
      </c>
      <c r="E17" s="174">
        <f t="shared" si="8"/>
        <v>56</v>
      </c>
      <c r="F17" s="106">
        <v>20</v>
      </c>
      <c r="G17" s="163" t="s">
        <v>7</v>
      </c>
      <c r="H17" s="160"/>
      <c r="I17" s="96">
        <v>5</v>
      </c>
      <c r="J17" s="96"/>
      <c r="K17" s="96">
        <v>5</v>
      </c>
      <c r="L17" s="96">
        <v>2</v>
      </c>
      <c r="M17" s="96"/>
      <c r="N17" s="96"/>
      <c r="O17" s="96"/>
      <c r="P17" s="96"/>
      <c r="Q17" s="96"/>
      <c r="R17" s="96"/>
      <c r="S17" s="96"/>
      <c r="T17" s="96"/>
      <c r="U17" s="96"/>
      <c r="V17" s="96"/>
      <c r="W17" s="96"/>
      <c r="X17" s="96">
        <v>1</v>
      </c>
      <c r="Y17" s="96"/>
      <c r="Z17" s="96"/>
      <c r="AA17" s="96"/>
      <c r="AB17" s="96"/>
      <c r="AC17" s="96">
        <v>9</v>
      </c>
      <c r="AD17" s="96">
        <v>9</v>
      </c>
      <c r="AE17" s="96">
        <v>9</v>
      </c>
      <c r="AF17" s="96">
        <v>2</v>
      </c>
      <c r="AG17" s="96"/>
      <c r="AH17" s="96"/>
      <c r="AI17" s="96"/>
      <c r="AJ17" s="96">
        <v>9</v>
      </c>
      <c r="AK17" s="97">
        <v>5</v>
      </c>
      <c r="AL17" s="1" t="s">
        <v>3</v>
      </c>
    </row>
    <row r="18" spans="2:38" s="1" customFormat="1" ht="13.5" hidden="1">
      <c r="B18" s="208"/>
      <c r="C18" s="211"/>
      <c r="D18" s="31" t="s">
        <v>20</v>
      </c>
      <c r="E18" s="174">
        <f t="shared" si="8"/>
        <v>0</v>
      </c>
      <c r="F18" s="106">
        <v>20</v>
      </c>
      <c r="G18" s="163" t="s">
        <v>7</v>
      </c>
      <c r="H18" s="160"/>
      <c r="I18" s="96"/>
      <c r="J18" s="96"/>
      <c r="K18" s="96"/>
      <c r="L18" s="96"/>
      <c r="M18" s="96"/>
      <c r="N18" s="96"/>
      <c r="O18" s="96"/>
      <c r="P18" s="96"/>
      <c r="Q18" s="96"/>
      <c r="R18" s="96"/>
      <c r="S18" s="96"/>
      <c r="T18" s="96"/>
      <c r="U18" s="96"/>
      <c r="V18" s="96"/>
      <c r="W18" s="96"/>
      <c r="X18" s="96"/>
      <c r="Y18" s="96"/>
      <c r="Z18" s="96"/>
      <c r="AA18" s="96"/>
      <c r="AB18" s="96"/>
      <c r="AC18" s="96"/>
      <c r="AD18" s="96"/>
      <c r="AE18" s="96"/>
      <c r="AF18" s="96"/>
      <c r="AG18" s="96"/>
      <c r="AH18" s="96"/>
      <c r="AI18" s="96"/>
      <c r="AJ18" s="96"/>
      <c r="AK18" s="97"/>
      <c r="AL18" s="1" t="s">
        <v>3</v>
      </c>
    </row>
    <row r="19" spans="2:38" s="1" customFormat="1" ht="13.5" hidden="1">
      <c r="B19" s="208"/>
      <c r="C19" s="211"/>
      <c r="D19" s="31" t="s">
        <v>21</v>
      </c>
      <c r="E19" s="112">
        <f t="shared" si="8"/>
        <v>4</v>
      </c>
      <c r="F19" s="94">
        <v>20</v>
      </c>
      <c r="G19" s="157" t="s">
        <v>7</v>
      </c>
      <c r="H19" s="160"/>
      <c r="I19" s="96">
        <v>2</v>
      </c>
      <c r="J19" s="96">
        <v>2</v>
      </c>
      <c r="K19" s="96"/>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7"/>
      <c r="AL19" s="1" t="s">
        <v>3</v>
      </c>
    </row>
    <row r="20" spans="2:38" s="1" customFormat="1" ht="13.5">
      <c r="B20" s="208"/>
      <c r="C20" s="211"/>
      <c r="D20" s="31" t="s">
        <v>22</v>
      </c>
      <c r="E20" s="112">
        <f t="shared" si="8"/>
        <v>422</v>
      </c>
      <c r="F20" s="94">
        <v>30</v>
      </c>
      <c r="G20" s="157" t="s">
        <v>7</v>
      </c>
      <c r="H20" s="160">
        <v>24</v>
      </c>
      <c r="I20" s="96"/>
      <c r="J20" s="96">
        <v>33</v>
      </c>
      <c r="K20" s="96">
        <v>18</v>
      </c>
      <c r="L20" s="96">
        <v>32</v>
      </c>
      <c r="M20" s="96"/>
      <c r="N20" s="96"/>
      <c r="O20" s="96">
        <v>31</v>
      </c>
      <c r="P20" s="96">
        <v>24</v>
      </c>
      <c r="Q20" s="96">
        <v>24</v>
      </c>
      <c r="R20" s="96">
        <v>24</v>
      </c>
      <c r="S20" s="96">
        <v>24</v>
      </c>
      <c r="T20" s="96"/>
      <c r="U20" s="96"/>
      <c r="V20" s="96">
        <v>10</v>
      </c>
      <c r="W20" s="96">
        <v>27</v>
      </c>
      <c r="X20" s="96">
        <v>30</v>
      </c>
      <c r="Y20" s="96">
        <v>24</v>
      </c>
      <c r="Z20" s="96">
        <v>19</v>
      </c>
      <c r="AA20" s="96"/>
      <c r="AB20" s="96"/>
      <c r="AC20" s="96">
        <v>14</v>
      </c>
      <c r="AD20" s="96">
        <v>17</v>
      </c>
      <c r="AE20" s="96">
        <v>18</v>
      </c>
      <c r="AF20" s="96">
        <v>13</v>
      </c>
      <c r="AG20" s="96">
        <v>6</v>
      </c>
      <c r="AH20" s="96"/>
      <c r="AI20" s="96"/>
      <c r="AJ20" s="96">
        <v>7</v>
      </c>
      <c r="AK20" s="97">
        <v>3</v>
      </c>
      <c r="AL20" s="1" t="s">
        <v>3</v>
      </c>
    </row>
    <row r="21" spans="2:38" s="1" customFormat="1" ht="13.5" hidden="1">
      <c r="B21" s="208"/>
      <c r="C21" s="211"/>
      <c r="D21" s="31" t="s">
        <v>23</v>
      </c>
      <c r="E21" s="112">
        <f t="shared" si="8"/>
        <v>0</v>
      </c>
      <c r="F21" s="94">
        <v>15</v>
      </c>
      <c r="G21" s="157" t="s">
        <v>7</v>
      </c>
      <c r="H21" s="160"/>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7"/>
      <c r="AL21" s="1" t="s">
        <v>3</v>
      </c>
    </row>
    <row r="22" spans="2:38" s="1" customFormat="1" ht="13.5" hidden="1">
      <c r="B22" s="208"/>
      <c r="C22" s="211"/>
      <c r="D22" s="31" t="s">
        <v>24</v>
      </c>
      <c r="E22" s="112">
        <f t="shared" si="8"/>
        <v>0</v>
      </c>
      <c r="F22" s="94">
        <v>10</v>
      </c>
      <c r="G22" s="157" t="s">
        <v>7</v>
      </c>
      <c r="H22" s="160"/>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7"/>
      <c r="AL22" s="1" t="s">
        <v>3</v>
      </c>
    </row>
    <row r="23" spans="2:38" s="1" customFormat="1" ht="14" thickBot="1">
      <c r="B23" s="208"/>
      <c r="C23" s="212"/>
      <c r="D23" s="175" t="s">
        <v>50</v>
      </c>
      <c r="E23" s="168" t="s">
        <v>6</v>
      </c>
      <c r="F23" s="106" t="s">
        <v>6</v>
      </c>
      <c r="G23" s="169" t="s">
        <v>7</v>
      </c>
      <c r="H23" s="170"/>
      <c r="I23" s="171"/>
      <c r="J23" s="171"/>
      <c r="K23" s="171"/>
      <c r="L23" s="171"/>
      <c r="M23" s="171"/>
      <c r="N23" s="171"/>
      <c r="O23" s="171"/>
      <c r="P23" s="171"/>
      <c r="Q23" s="171"/>
      <c r="R23" s="171"/>
      <c r="S23" s="171"/>
      <c r="T23" s="171"/>
      <c r="U23" s="171"/>
      <c r="V23" s="171"/>
      <c r="W23" s="171"/>
      <c r="X23" s="171"/>
      <c r="Y23" s="171"/>
      <c r="Z23" s="171">
        <v>7</v>
      </c>
      <c r="AA23" s="171"/>
      <c r="AB23" s="171"/>
      <c r="AC23" s="171"/>
      <c r="AD23" s="171"/>
      <c r="AE23" s="171"/>
      <c r="AF23" s="171"/>
      <c r="AG23" s="171"/>
      <c r="AH23" s="171"/>
      <c r="AI23" s="171"/>
      <c r="AJ23" s="171"/>
      <c r="AK23" s="172"/>
      <c r="AL23" s="1" t="s">
        <v>3</v>
      </c>
    </row>
    <row r="24" spans="2:38" s="1" customFormat="1" ht="13.5">
      <c r="B24" s="208"/>
      <c r="C24" s="210" t="s">
        <v>25</v>
      </c>
      <c r="D24" s="30" t="s">
        <v>26</v>
      </c>
      <c r="E24" s="111">
        <f t="shared" si="8"/>
        <v>267</v>
      </c>
      <c r="F24" s="102">
        <v>30</v>
      </c>
      <c r="G24" s="182" t="s">
        <v>7</v>
      </c>
      <c r="H24" s="159">
        <v>5</v>
      </c>
      <c r="I24" s="103">
        <v>36</v>
      </c>
      <c r="J24" s="103">
        <v>22</v>
      </c>
      <c r="K24" s="103">
        <v>19</v>
      </c>
      <c r="L24" s="103">
        <v>18</v>
      </c>
      <c r="M24" s="103"/>
      <c r="N24" s="103"/>
      <c r="O24" s="103">
        <v>4</v>
      </c>
      <c r="P24" s="103">
        <v>6</v>
      </c>
      <c r="Q24" s="103">
        <v>14</v>
      </c>
      <c r="R24" s="103"/>
      <c r="S24" s="103"/>
      <c r="T24" s="103"/>
      <c r="U24" s="103"/>
      <c r="V24" s="103">
        <v>21</v>
      </c>
      <c r="W24" s="103">
        <v>10</v>
      </c>
      <c r="X24" s="103">
        <v>28</v>
      </c>
      <c r="Y24" s="103">
        <v>16</v>
      </c>
      <c r="Z24" s="103">
        <v>9</v>
      </c>
      <c r="AA24" s="103"/>
      <c r="AB24" s="103"/>
      <c r="AC24" s="103">
        <v>10</v>
      </c>
      <c r="AD24" s="103">
        <v>8</v>
      </c>
      <c r="AE24" s="103">
        <v>10</v>
      </c>
      <c r="AF24" s="103">
        <v>5</v>
      </c>
      <c r="AG24" s="103">
        <v>16</v>
      </c>
      <c r="AH24" s="103"/>
      <c r="AI24" s="103"/>
      <c r="AJ24" s="103">
        <v>8</v>
      </c>
      <c r="AK24" s="104">
        <v>2</v>
      </c>
      <c r="AL24" s="1" t="s">
        <v>3</v>
      </c>
    </row>
    <row r="25" spans="2:38" s="1" customFormat="1" ht="13.5">
      <c r="B25" s="208"/>
      <c r="C25" s="211"/>
      <c r="D25" s="31" t="s">
        <v>27</v>
      </c>
      <c r="E25" s="112">
        <f t="shared" si="8"/>
        <v>700</v>
      </c>
      <c r="F25" s="94">
        <v>40</v>
      </c>
      <c r="G25" s="183" t="s">
        <v>7</v>
      </c>
      <c r="H25" s="160">
        <v>33</v>
      </c>
      <c r="I25" s="96">
        <v>42</v>
      </c>
      <c r="J25" s="96"/>
      <c r="K25" s="96">
        <v>40</v>
      </c>
      <c r="L25" s="96">
        <v>35</v>
      </c>
      <c r="M25" s="96"/>
      <c r="N25" s="96"/>
      <c r="O25" s="96">
        <v>45</v>
      </c>
      <c r="P25" s="96">
        <v>43</v>
      </c>
      <c r="Q25" s="96">
        <v>30</v>
      </c>
      <c r="R25" s="96">
        <v>41</v>
      </c>
      <c r="S25" s="96">
        <v>40</v>
      </c>
      <c r="T25" s="96"/>
      <c r="U25" s="96"/>
      <c r="V25" s="96">
        <v>42</v>
      </c>
      <c r="W25" s="96">
        <v>27</v>
      </c>
      <c r="X25" s="96">
        <v>36</v>
      </c>
      <c r="Y25" s="96">
        <v>37</v>
      </c>
      <c r="Z25" s="96">
        <v>34</v>
      </c>
      <c r="AA25" s="96"/>
      <c r="AB25" s="96"/>
      <c r="AC25" s="96">
        <v>33</v>
      </c>
      <c r="AD25" s="96">
        <v>21</v>
      </c>
      <c r="AE25" s="96">
        <v>30</v>
      </c>
      <c r="AF25" s="96">
        <v>30</v>
      </c>
      <c r="AG25" s="96">
        <v>27</v>
      </c>
      <c r="AH25" s="96"/>
      <c r="AI25" s="96"/>
      <c r="AJ25" s="96">
        <v>23</v>
      </c>
      <c r="AK25" s="97">
        <v>11</v>
      </c>
      <c r="AL25" s="1" t="s">
        <v>3</v>
      </c>
    </row>
    <row r="26" spans="2:38" s="1" customFormat="1" ht="13.5">
      <c r="B26" s="208"/>
      <c r="C26" s="211"/>
      <c r="D26" s="31" t="s">
        <v>19</v>
      </c>
      <c r="E26" s="112">
        <f t="shared" si="8"/>
        <v>238</v>
      </c>
      <c r="F26" s="94">
        <v>20</v>
      </c>
      <c r="G26" s="183" t="s">
        <v>7</v>
      </c>
      <c r="H26" s="160">
        <v>31</v>
      </c>
      <c r="I26" s="96">
        <v>1</v>
      </c>
      <c r="J26" s="96"/>
      <c r="K26" s="96">
        <v>21</v>
      </c>
      <c r="L26" s="96">
        <v>12</v>
      </c>
      <c r="M26" s="96"/>
      <c r="N26" s="96"/>
      <c r="O26" s="96">
        <v>26</v>
      </c>
      <c r="P26" s="96">
        <v>21</v>
      </c>
      <c r="Q26" s="96">
        <v>24</v>
      </c>
      <c r="R26" s="96">
        <v>19</v>
      </c>
      <c r="S26" s="96">
        <v>16</v>
      </c>
      <c r="T26" s="96"/>
      <c r="U26" s="96"/>
      <c r="V26" s="96">
        <v>20</v>
      </c>
      <c r="W26" s="96">
        <v>15</v>
      </c>
      <c r="X26" s="96">
        <v>14</v>
      </c>
      <c r="Y26" s="96">
        <v>7</v>
      </c>
      <c r="Z26" s="96">
        <v>1</v>
      </c>
      <c r="AA26" s="96"/>
      <c r="AB26" s="96"/>
      <c r="AC26" s="96">
        <v>6</v>
      </c>
      <c r="AD26" s="96"/>
      <c r="AE26" s="96">
        <v>2</v>
      </c>
      <c r="AF26" s="96"/>
      <c r="AG26" s="96"/>
      <c r="AH26" s="96"/>
      <c r="AI26" s="96"/>
      <c r="AJ26" s="96"/>
      <c r="AK26" s="97">
        <v>2</v>
      </c>
      <c r="AL26" s="1" t="s">
        <v>3</v>
      </c>
    </row>
    <row r="27" spans="2:38" s="1" customFormat="1" ht="13.5">
      <c r="B27" s="208"/>
      <c r="C27" s="211"/>
      <c r="D27" s="31" t="s">
        <v>44</v>
      </c>
      <c r="E27" s="112">
        <f t="shared" si="8"/>
        <v>25</v>
      </c>
      <c r="F27" s="94">
        <v>20</v>
      </c>
      <c r="G27" s="183" t="s">
        <v>7</v>
      </c>
      <c r="H27" s="167"/>
      <c r="I27" s="99">
        <v>7</v>
      </c>
      <c r="J27" s="99">
        <v>3</v>
      </c>
      <c r="K27" s="99"/>
      <c r="L27" s="99"/>
      <c r="M27" s="99"/>
      <c r="N27" s="99"/>
      <c r="O27" s="99"/>
      <c r="P27" s="99"/>
      <c r="Q27" s="99"/>
      <c r="R27" s="99"/>
      <c r="S27" s="99"/>
      <c r="T27" s="99"/>
      <c r="U27" s="99"/>
      <c r="V27" s="99"/>
      <c r="W27" s="99">
        <v>15</v>
      </c>
      <c r="X27" s="99"/>
      <c r="Y27" s="99"/>
      <c r="Z27" s="99"/>
      <c r="AA27" s="99"/>
      <c r="AB27" s="99"/>
      <c r="AC27" s="99"/>
      <c r="AD27" s="99"/>
      <c r="AE27" s="99"/>
      <c r="AF27" s="99"/>
      <c r="AG27" s="99"/>
      <c r="AH27" s="99"/>
      <c r="AI27" s="99"/>
      <c r="AJ27" s="99"/>
      <c r="AK27" s="100"/>
    </row>
    <row r="28" spans="2:38" s="1" customFormat="1" ht="13.5">
      <c r="B28" s="208"/>
      <c r="C28" s="211"/>
      <c r="D28" s="31" t="s">
        <v>46</v>
      </c>
      <c r="E28" s="112">
        <f t="shared" si="8"/>
        <v>62</v>
      </c>
      <c r="F28" s="94">
        <v>20</v>
      </c>
      <c r="G28" s="183" t="s">
        <v>7</v>
      </c>
      <c r="H28" s="167">
        <v>2</v>
      </c>
      <c r="I28" s="99">
        <v>18</v>
      </c>
      <c r="J28" s="99"/>
      <c r="K28" s="99">
        <v>1</v>
      </c>
      <c r="L28" s="99">
        <v>27</v>
      </c>
      <c r="M28" s="99"/>
      <c r="N28" s="99"/>
      <c r="O28" s="99"/>
      <c r="P28" s="99"/>
      <c r="Q28" s="99"/>
      <c r="R28" s="99"/>
      <c r="S28" s="99">
        <v>2</v>
      </c>
      <c r="T28" s="99"/>
      <c r="U28" s="99"/>
      <c r="V28" s="99"/>
      <c r="W28" s="99"/>
      <c r="X28" s="99"/>
      <c r="Y28" s="99"/>
      <c r="Z28" s="99"/>
      <c r="AA28" s="99"/>
      <c r="AB28" s="99"/>
      <c r="AC28" s="99"/>
      <c r="AD28" s="99"/>
      <c r="AE28" s="99"/>
      <c r="AF28" s="99"/>
      <c r="AG28" s="99"/>
      <c r="AH28" s="99"/>
      <c r="AI28" s="99"/>
      <c r="AJ28" s="99">
        <v>12</v>
      </c>
      <c r="AK28" s="100"/>
    </row>
    <row r="29" spans="2:38" s="1" customFormat="1" ht="13.5">
      <c r="B29" s="208"/>
      <c r="C29" s="211"/>
      <c r="D29" s="31" t="s">
        <v>48</v>
      </c>
      <c r="E29" s="112">
        <f t="shared" si="8"/>
        <v>46</v>
      </c>
      <c r="F29" s="94">
        <v>20</v>
      </c>
      <c r="G29" s="183" t="s">
        <v>7</v>
      </c>
      <c r="H29" s="167"/>
      <c r="I29" s="99">
        <v>4</v>
      </c>
      <c r="J29" s="99"/>
      <c r="K29" s="99">
        <v>15</v>
      </c>
      <c r="L29" s="99"/>
      <c r="M29" s="99"/>
      <c r="N29" s="99"/>
      <c r="O29" s="99"/>
      <c r="P29" s="99">
        <v>10</v>
      </c>
      <c r="Q29" s="99"/>
      <c r="R29" s="99"/>
      <c r="S29" s="99"/>
      <c r="T29" s="99"/>
      <c r="U29" s="99"/>
      <c r="V29" s="99"/>
      <c r="W29" s="99"/>
      <c r="X29" s="99"/>
      <c r="Y29" s="99"/>
      <c r="Z29" s="99"/>
      <c r="AA29" s="99"/>
      <c r="AB29" s="99"/>
      <c r="AC29" s="99"/>
      <c r="AD29" s="99"/>
      <c r="AE29" s="99"/>
      <c r="AF29" s="99"/>
      <c r="AG29" s="99"/>
      <c r="AH29" s="99"/>
      <c r="AI29" s="99"/>
      <c r="AJ29" s="99"/>
      <c r="AK29" s="100">
        <v>17</v>
      </c>
    </row>
    <row r="30" spans="2:38" s="1" customFormat="1" ht="13.5">
      <c r="B30" s="208"/>
      <c r="C30" s="211"/>
      <c r="D30" s="180" t="s">
        <v>49</v>
      </c>
      <c r="E30" s="181" t="s">
        <v>6</v>
      </c>
      <c r="F30" s="178">
        <v>20</v>
      </c>
      <c r="G30" s="183" t="s">
        <v>7</v>
      </c>
      <c r="H30" s="167">
        <v>13</v>
      </c>
      <c r="I30" s="99"/>
      <c r="J30" s="99">
        <v>10</v>
      </c>
      <c r="K30" s="99"/>
      <c r="L30" s="99">
        <v>1</v>
      </c>
      <c r="M30" s="99"/>
      <c r="N30" s="99"/>
      <c r="O30" s="99"/>
      <c r="P30" s="99"/>
      <c r="Q30" s="99"/>
      <c r="R30" s="99"/>
      <c r="S30" s="99">
        <v>22</v>
      </c>
      <c r="T30" s="99"/>
      <c r="U30" s="99"/>
      <c r="V30" s="99"/>
      <c r="W30" s="99"/>
      <c r="X30" s="99"/>
      <c r="Y30" s="99"/>
      <c r="Z30" s="99"/>
      <c r="AA30" s="99"/>
      <c r="AB30" s="99"/>
      <c r="AC30" s="99"/>
      <c r="AD30" s="99"/>
      <c r="AE30" s="99"/>
      <c r="AF30" s="99"/>
      <c r="AG30" s="99">
        <v>11</v>
      </c>
      <c r="AH30" s="99"/>
      <c r="AI30" s="99"/>
      <c r="AJ30" s="99"/>
      <c r="AK30" s="100">
        <v>15</v>
      </c>
      <c r="AL30" s="1" t="s">
        <v>3</v>
      </c>
    </row>
    <row r="31" spans="2:38" s="1" customFormat="1" ht="14" collapsed="1" thickBot="1">
      <c r="B31" s="209"/>
      <c r="C31" s="212"/>
      <c r="D31" s="179" t="s">
        <v>50</v>
      </c>
      <c r="E31" s="184" t="s">
        <v>6</v>
      </c>
      <c r="F31" s="185" t="s">
        <v>6</v>
      </c>
      <c r="G31" s="186" t="s">
        <v>7</v>
      </c>
      <c r="H31" s="161"/>
      <c r="I31" s="110"/>
      <c r="J31" s="110">
        <v>13</v>
      </c>
      <c r="K31" s="110"/>
      <c r="L31" s="110"/>
      <c r="M31" s="110"/>
      <c r="N31" s="110"/>
      <c r="O31" s="110"/>
      <c r="P31" s="110"/>
      <c r="Q31" s="110"/>
      <c r="R31" s="110"/>
      <c r="S31" s="110"/>
      <c r="T31" s="110"/>
      <c r="U31" s="110"/>
      <c r="V31" s="110"/>
      <c r="W31" s="110"/>
      <c r="X31" s="110"/>
      <c r="Y31" s="110">
        <v>4</v>
      </c>
      <c r="Z31" s="110"/>
      <c r="AA31" s="110"/>
      <c r="AB31" s="110"/>
      <c r="AC31" s="110">
        <v>4</v>
      </c>
      <c r="AD31" s="110"/>
      <c r="AE31" s="110"/>
      <c r="AF31" s="110"/>
      <c r="AG31" s="110"/>
      <c r="AH31" s="110"/>
      <c r="AI31" s="110"/>
      <c r="AJ31" s="110"/>
      <c r="AK31" s="115">
        <v>5</v>
      </c>
      <c r="AL31" s="1" t="s">
        <v>3</v>
      </c>
    </row>
    <row r="32" spans="2:38" s="1" customFormat="1" ht="15" customHeight="1" outlineLevel="1">
      <c r="B32" s="226" t="s">
        <v>28</v>
      </c>
      <c r="C32" s="272" t="s">
        <v>5</v>
      </c>
      <c r="D32" s="273"/>
      <c r="E32" s="106">
        <f t="shared" si="8"/>
        <v>420</v>
      </c>
      <c r="F32" s="106" t="s">
        <v>6</v>
      </c>
      <c r="G32" s="163" t="s">
        <v>7</v>
      </c>
      <c r="H32" s="159">
        <v>17</v>
      </c>
      <c r="I32" s="103">
        <v>23</v>
      </c>
      <c r="J32" s="103">
        <v>17</v>
      </c>
      <c r="K32" s="103">
        <v>27</v>
      </c>
      <c r="L32" s="103">
        <v>8</v>
      </c>
      <c r="M32" s="103"/>
      <c r="N32" s="103"/>
      <c r="O32" s="103">
        <v>14</v>
      </c>
      <c r="P32" s="103">
        <v>35</v>
      </c>
      <c r="Q32" s="103">
        <v>12</v>
      </c>
      <c r="R32" s="103">
        <v>21</v>
      </c>
      <c r="S32" s="103">
        <v>25</v>
      </c>
      <c r="T32" s="103"/>
      <c r="U32" s="103"/>
      <c r="V32" s="103">
        <v>31</v>
      </c>
      <c r="W32" s="103">
        <v>27</v>
      </c>
      <c r="X32" s="103">
        <v>13</v>
      </c>
      <c r="Y32" s="103">
        <v>28</v>
      </c>
      <c r="Z32" s="103">
        <v>14</v>
      </c>
      <c r="AA32" s="103"/>
      <c r="AB32" s="103"/>
      <c r="AC32" s="103">
        <v>11</v>
      </c>
      <c r="AD32" s="103">
        <v>14</v>
      </c>
      <c r="AE32" s="103">
        <v>15</v>
      </c>
      <c r="AF32" s="103">
        <v>24</v>
      </c>
      <c r="AG32" s="103">
        <v>13</v>
      </c>
      <c r="AH32" s="103"/>
      <c r="AI32" s="103"/>
      <c r="AJ32" s="103">
        <v>8</v>
      </c>
      <c r="AK32" s="104">
        <v>23</v>
      </c>
      <c r="AL32" s="1" t="s">
        <v>3</v>
      </c>
    </row>
    <row r="33" spans="2:38" s="1" customFormat="1" ht="15" customHeight="1" outlineLevel="1">
      <c r="B33" s="208"/>
      <c r="C33" s="233" t="s">
        <v>29</v>
      </c>
      <c r="D33" s="234"/>
      <c r="E33" s="94">
        <f t="shared" si="8"/>
        <v>257</v>
      </c>
      <c r="F33" s="94" t="s">
        <v>6</v>
      </c>
      <c r="G33" s="157" t="s">
        <v>7</v>
      </c>
      <c r="H33" s="160">
        <f t="shared" ref="H33:I33" si="9">SUM(H39:H44)</f>
        <v>8</v>
      </c>
      <c r="I33" s="96">
        <f t="shared" si="9"/>
        <v>15</v>
      </c>
      <c r="J33" s="96">
        <f>SUM(J39:J44)</f>
        <v>10</v>
      </c>
      <c r="K33" s="96">
        <f t="shared" ref="K33:AK33" si="10">SUM(K39:K44)</f>
        <v>12</v>
      </c>
      <c r="L33" s="96">
        <f t="shared" si="10"/>
        <v>10</v>
      </c>
      <c r="M33" s="96">
        <f t="shared" si="10"/>
        <v>0</v>
      </c>
      <c r="N33" s="96">
        <f t="shared" si="10"/>
        <v>0</v>
      </c>
      <c r="O33" s="96">
        <f t="shared" si="10"/>
        <v>10</v>
      </c>
      <c r="P33" s="96">
        <f t="shared" si="10"/>
        <v>8</v>
      </c>
      <c r="Q33" s="96">
        <f t="shared" si="10"/>
        <v>12</v>
      </c>
      <c r="R33" s="96">
        <f t="shared" si="10"/>
        <v>5</v>
      </c>
      <c r="S33" s="96">
        <f t="shared" si="10"/>
        <v>10</v>
      </c>
      <c r="T33" s="96">
        <f t="shared" si="10"/>
        <v>0</v>
      </c>
      <c r="U33" s="96">
        <f t="shared" si="10"/>
        <v>0</v>
      </c>
      <c r="V33" s="96">
        <f t="shared" si="10"/>
        <v>8</v>
      </c>
      <c r="W33" s="96">
        <f t="shared" si="10"/>
        <v>17</v>
      </c>
      <c r="X33" s="96">
        <f t="shared" si="10"/>
        <v>14</v>
      </c>
      <c r="Y33" s="96">
        <f t="shared" si="10"/>
        <v>14</v>
      </c>
      <c r="Z33" s="96">
        <f t="shared" si="10"/>
        <v>12</v>
      </c>
      <c r="AA33" s="96">
        <f t="shared" si="10"/>
        <v>0</v>
      </c>
      <c r="AB33" s="96">
        <f t="shared" si="10"/>
        <v>0</v>
      </c>
      <c r="AC33" s="96">
        <f t="shared" si="10"/>
        <v>8</v>
      </c>
      <c r="AD33" s="96">
        <f t="shared" si="10"/>
        <v>5</v>
      </c>
      <c r="AE33" s="96">
        <f t="shared" si="10"/>
        <v>21</v>
      </c>
      <c r="AF33" s="96">
        <f t="shared" si="10"/>
        <v>8</v>
      </c>
      <c r="AG33" s="96">
        <f t="shared" si="10"/>
        <v>14</v>
      </c>
      <c r="AH33" s="96">
        <f t="shared" si="10"/>
        <v>0</v>
      </c>
      <c r="AI33" s="96">
        <f t="shared" si="10"/>
        <v>0</v>
      </c>
      <c r="AJ33" s="96">
        <f t="shared" si="10"/>
        <v>14</v>
      </c>
      <c r="AK33" s="97">
        <f t="shared" si="10"/>
        <v>22</v>
      </c>
      <c r="AL33" s="1" t="s">
        <v>3</v>
      </c>
    </row>
    <row r="34" spans="2:38" s="1" customFormat="1" ht="15" customHeight="1" outlineLevel="1">
      <c r="B34" s="208"/>
      <c r="C34" s="237" t="s">
        <v>43</v>
      </c>
      <c r="D34" s="238"/>
      <c r="E34" s="117">
        <f>AK34</f>
        <v>257</v>
      </c>
      <c r="F34" s="117" t="s">
        <v>6</v>
      </c>
      <c r="G34" s="158" t="s">
        <v>7</v>
      </c>
      <c r="H34" s="166">
        <f>'0501(実績)'!AK31+'0601(実績)'!H33</f>
        <v>8</v>
      </c>
      <c r="I34" s="119">
        <f t="shared" ref="I34:AK34" si="11">H34+I33</f>
        <v>23</v>
      </c>
      <c r="J34" s="119">
        <f t="shared" si="11"/>
        <v>33</v>
      </c>
      <c r="K34" s="119">
        <f t="shared" si="11"/>
        <v>45</v>
      </c>
      <c r="L34" s="119">
        <f t="shared" si="11"/>
        <v>55</v>
      </c>
      <c r="M34" s="119">
        <f t="shared" si="11"/>
        <v>55</v>
      </c>
      <c r="N34" s="119">
        <f t="shared" si="11"/>
        <v>55</v>
      </c>
      <c r="O34" s="119">
        <f t="shared" si="11"/>
        <v>65</v>
      </c>
      <c r="P34" s="119">
        <f t="shared" si="11"/>
        <v>73</v>
      </c>
      <c r="Q34" s="119">
        <f t="shared" si="11"/>
        <v>85</v>
      </c>
      <c r="R34" s="119">
        <f t="shared" si="11"/>
        <v>90</v>
      </c>
      <c r="S34" s="119">
        <f t="shared" si="11"/>
        <v>100</v>
      </c>
      <c r="T34" s="119">
        <f t="shared" si="11"/>
        <v>100</v>
      </c>
      <c r="U34" s="119">
        <f t="shared" si="11"/>
        <v>100</v>
      </c>
      <c r="V34" s="119">
        <f t="shared" si="11"/>
        <v>108</v>
      </c>
      <c r="W34" s="119">
        <f t="shared" si="11"/>
        <v>125</v>
      </c>
      <c r="X34" s="119">
        <f t="shared" si="11"/>
        <v>139</v>
      </c>
      <c r="Y34" s="119">
        <f t="shared" si="11"/>
        <v>153</v>
      </c>
      <c r="Z34" s="119">
        <f t="shared" si="11"/>
        <v>165</v>
      </c>
      <c r="AA34" s="119">
        <f t="shared" si="11"/>
        <v>165</v>
      </c>
      <c r="AB34" s="119">
        <f t="shared" si="11"/>
        <v>165</v>
      </c>
      <c r="AC34" s="119">
        <f t="shared" si="11"/>
        <v>173</v>
      </c>
      <c r="AD34" s="119">
        <f t="shared" si="11"/>
        <v>178</v>
      </c>
      <c r="AE34" s="119">
        <f t="shared" si="11"/>
        <v>199</v>
      </c>
      <c r="AF34" s="119">
        <f t="shared" si="11"/>
        <v>207</v>
      </c>
      <c r="AG34" s="119">
        <f t="shared" si="11"/>
        <v>221</v>
      </c>
      <c r="AH34" s="119">
        <f t="shared" si="11"/>
        <v>221</v>
      </c>
      <c r="AI34" s="119">
        <f t="shared" si="11"/>
        <v>221</v>
      </c>
      <c r="AJ34" s="119">
        <f t="shared" si="11"/>
        <v>235</v>
      </c>
      <c r="AK34" s="198">
        <f t="shared" si="11"/>
        <v>257</v>
      </c>
      <c r="AL34" s="1" t="s">
        <v>3</v>
      </c>
    </row>
    <row r="35" spans="2:38" s="1" customFormat="1" ht="15" customHeight="1" outlineLevel="1">
      <c r="B35" s="208"/>
      <c r="C35" s="233" t="s">
        <v>30</v>
      </c>
      <c r="D35" s="234"/>
      <c r="E35" s="94">
        <f>SUM(H35:AK35)</f>
        <v>533</v>
      </c>
      <c r="F35" s="94" t="s">
        <v>6</v>
      </c>
      <c r="G35" s="157" t="s">
        <v>7</v>
      </c>
      <c r="H35" s="160">
        <f t="shared" ref="H35:AK35" si="12">SUM(H45:H48)</f>
        <v>17</v>
      </c>
      <c r="I35" s="96">
        <f t="shared" si="12"/>
        <v>33</v>
      </c>
      <c r="J35" s="96">
        <f t="shared" si="12"/>
        <v>28</v>
      </c>
      <c r="K35" s="96">
        <f t="shared" si="12"/>
        <v>28</v>
      </c>
      <c r="L35" s="96">
        <f t="shared" si="12"/>
        <v>24</v>
      </c>
      <c r="M35" s="96">
        <f t="shared" si="12"/>
        <v>0</v>
      </c>
      <c r="N35" s="96">
        <f t="shared" si="12"/>
        <v>0</v>
      </c>
      <c r="O35" s="96">
        <f t="shared" si="12"/>
        <v>48</v>
      </c>
      <c r="P35" s="96">
        <f t="shared" si="12"/>
        <v>47</v>
      </c>
      <c r="Q35" s="96">
        <f t="shared" si="12"/>
        <v>38</v>
      </c>
      <c r="R35" s="96">
        <f t="shared" si="12"/>
        <v>28</v>
      </c>
      <c r="S35" s="96">
        <f t="shared" si="12"/>
        <v>34</v>
      </c>
      <c r="T35" s="96">
        <f t="shared" si="12"/>
        <v>0</v>
      </c>
      <c r="U35" s="96">
        <f t="shared" si="12"/>
        <v>0</v>
      </c>
      <c r="V35" s="96">
        <f t="shared" si="12"/>
        <v>5</v>
      </c>
      <c r="W35" s="96">
        <f t="shared" si="12"/>
        <v>19</v>
      </c>
      <c r="X35" s="96">
        <f t="shared" si="12"/>
        <v>8</v>
      </c>
      <c r="Y35" s="96">
        <f t="shared" si="12"/>
        <v>19</v>
      </c>
      <c r="Z35" s="96">
        <f t="shared" si="12"/>
        <v>18</v>
      </c>
      <c r="AA35" s="96">
        <f t="shared" si="12"/>
        <v>0</v>
      </c>
      <c r="AB35" s="96">
        <f t="shared" si="12"/>
        <v>0</v>
      </c>
      <c r="AC35" s="96">
        <f t="shared" si="12"/>
        <v>17</v>
      </c>
      <c r="AD35" s="96">
        <f t="shared" si="12"/>
        <v>27</v>
      </c>
      <c r="AE35" s="96">
        <f t="shared" si="12"/>
        <v>21</v>
      </c>
      <c r="AF35" s="96">
        <f t="shared" si="12"/>
        <v>15</v>
      </c>
      <c r="AG35" s="96">
        <f t="shared" si="12"/>
        <v>4</v>
      </c>
      <c r="AH35" s="96">
        <f t="shared" si="12"/>
        <v>0</v>
      </c>
      <c r="AI35" s="96">
        <f t="shared" si="12"/>
        <v>0</v>
      </c>
      <c r="AJ35" s="96">
        <f t="shared" si="12"/>
        <v>36</v>
      </c>
      <c r="AK35" s="97">
        <f t="shared" si="12"/>
        <v>19</v>
      </c>
      <c r="AL35" s="1" t="s">
        <v>3</v>
      </c>
    </row>
    <row r="36" spans="2:38" s="1" customFormat="1" ht="15" customHeight="1" outlineLevel="1">
      <c r="B36" s="208"/>
      <c r="C36" s="239" t="s">
        <v>13</v>
      </c>
      <c r="D36" s="240"/>
      <c r="E36" s="117">
        <f>AK36</f>
        <v>533</v>
      </c>
      <c r="F36" s="117" t="s">
        <v>6</v>
      </c>
      <c r="G36" s="158" t="s">
        <v>7</v>
      </c>
      <c r="H36" s="166">
        <f>'0501(実績)'!AK33+'0601(実績)'!H35</f>
        <v>17</v>
      </c>
      <c r="I36" s="119">
        <f>H36+I35</f>
        <v>50</v>
      </c>
      <c r="J36" s="119">
        <f>I36+J35</f>
        <v>78</v>
      </c>
      <c r="K36" s="119">
        <f t="shared" ref="K36:AK36" si="13">J36+K35</f>
        <v>106</v>
      </c>
      <c r="L36" s="119">
        <f t="shared" si="13"/>
        <v>130</v>
      </c>
      <c r="M36" s="119">
        <f t="shared" si="13"/>
        <v>130</v>
      </c>
      <c r="N36" s="119">
        <f t="shared" si="13"/>
        <v>130</v>
      </c>
      <c r="O36" s="119">
        <f t="shared" si="13"/>
        <v>178</v>
      </c>
      <c r="P36" s="119">
        <f t="shared" si="13"/>
        <v>225</v>
      </c>
      <c r="Q36" s="119">
        <f t="shared" si="13"/>
        <v>263</v>
      </c>
      <c r="R36" s="119">
        <f t="shared" si="13"/>
        <v>291</v>
      </c>
      <c r="S36" s="119">
        <f t="shared" si="13"/>
        <v>325</v>
      </c>
      <c r="T36" s="119">
        <f t="shared" si="13"/>
        <v>325</v>
      </c>
      <c r="U36" s="119">
        <f t="shared" si="13"/>
        <v>325</v>
      </c>
      <c r="V36" s="119">
        <f t="shared" si="13"/>
        <v>330</v>
      </c>
      <c r="W36" s="119">
        <f t="shared" si="13"/>
        <v>349</v>
      </c>
      <c r="X36" s="119">
        <f t="shared" si="13"/>
        <v>357</v>
      </c>
      <c r="Y36" s="119">
        <f t="shared" si="13"/>
        <v>376</v>
      </c>
      <c r="Z36" s="119">
        <f t="shared" si="13"/>
        <v>394</v>
      </c>
      <c r="AA36" s="119">
        <f t="shared" si="13"/>
        <v>394</v>
      </c>
      <c r="AB36" s="119">
        <f t="shared" si="13"/>
        <v>394</v>
      </c>
      <c r="AC36" s="119">
        <f t="shared" si="13"/>
        <v>411</v>
      </c>
      <c r="AD36" s="119">
        <f t="shared" si="13"/>
        <v>438</v>
      </c>
      <c r="AE36" s="119">
        <f t="shared" si="13"/>
        <v>459</v>
      </c>
      <c r="AF36" s="119">
        <f t="shared" si="13"/>
        <v>474</v>
      </c>
      <c r="AG36" s="119">
        <f t="shared" si="13"/>
        <v>478</v>
      </c>
      <c r="AH36" s="119">
        <f t="shared" si="13"/>
        <v>478</v>
      </c>
      <c r="AI36" s="119">
        <f t="shared" si="13"/>
        <v>478</v>
      </c>
      <c r="AJ36" s="119">
        <f t="shared" si="13"/>
        <v>514</v>
      </c>
      <c r="AK36" s="120">
        <f t="shared" si="13"/>
        <v>533</v>
      </c>
      <c r="AL36" s="1" t="s">
        <v>3</v>
      </c>
    </row>
    <row r="37" spans="2:38" s="1" customFormat="1" ht="13.5" outlineLevel="1">
      <c r="B37" s="208"/>
      <c r="C37" s="233" t="s">
        <v>14</v>
      </c>
      <c r="D37" s="234"/>
      <c r="E37" s="94">
        <f>E32-E33</f>
        <v>163</v>
      </c>
      <c r="F37" s="94" t="s">
        <v>6</v>
      </c>
      <c r="G37" s="157" t="s">
        <v>7</v>
      </c>
      <c r="H37" s="160">
        <f>'0501(実績)'!AK37+'0601(実績)'!H32-H33</f>
        <v>90</v>
      </c>
      <c r="I37" s="96">
        <f>H37+I32-I33</f>
        <v>98</v>
      </c>
      <c r="J37" s="96">
        <f>I37+J32-J33</f>
        <v>105</v>
      </c>
      <c r="K37" s="96">
        <f t="shared" ref="K37:AK37" si="14">J37+K32-K33</f>
        <v>120</v>
      </c>
      <c r="L37" s="96">
        <f t="shared" si="14"/>
        <v>118</v>
      </c>
      <c r="M37" s="96">
        <f t="shared" si="14"/>
        <v>118</v>
      </c>
      <c r="N37" s="96">
        <f t="shared" si="14"/>
        <v>118</v>
      </c>
      <c r="O37" s="96">
        <f t="shared" si="14"/>
        <v>122</v>
      </c>
      <c r="P37" s="96">
        <f t="shared" si="14"/>
        <v>149</v>
      </c>
      <c r="Q37" s="96">
        <f t="shared" si="14"/>
        <v>149</v>
      </c>
      <c r="R37" s="96">
        <f t="shared" si="14"/>
        <v>165</v>
      </c>
      <c r="S37" s="96">
        <f t="shared" si="14"/>
        <v>180</v>
      </c>
      <c r="T37" s="96">
        <f t="shared" si="14"/>
        <v>180</v>
      </c>
      <c r="U37" s="96">
        <f t="shared" si="14"/>
        <v>180</v>
      </c>
      <c r="V37" s="96">
        <f t="shared" si="14"/>
        <v>203</v>
      </c>
      <c r="W37" s="96">
        <f t="shared" si="14"/>
        <v>213</v>
      </c>
      <c r="X37" s="96">
        <f t="shared" si="14"/>
        <v>212</v>
      </c>
      <c r="Y37" s="96">
        <f t="shared" si="14"/>
        <v>226</v>
      </c>
      <c r="Z37" s="96">
        <f t="shared" si="14"/>
        <v>228</v>
      </c>
      <c r="AA37" s="96">
        <f t="shared" si="14"/>
        <v>228</v>
      </c>
      <c r="AB37" s="96">
        <f t="shared" si="14"/>
        <v>228</v>
      </c>
      <c r="AC37" s="96">
        <f>AB37+AC32-AC33</f>
        <v>231</v>
      </c>
      <c r="AD37" s="96">
        <f>AC37+AD32-AD33</f>
        <v>240</v>
      </c>
      <c r="AE37" s="96">
        <f>AD37+AE32-AE33</f>
        <v>234</v>
      </c>
      <c r="AF37" s="96">
        <f>AE37+AF32-AF33</f>
        <v>250</v>
      </c>
      <c r="AG37" s="96">
        <f>AF37+AG32-AG33</f>
        <v>249</v>
      </c>
      <c r="AH37" s="96">
        <f t="shared" si="14"/>
        <v>249</v>
      </c>
      <c r="AI37" s="96">
        <f t="shared" si="14"/>
        <v>249</v>
      </c>
      <c r="AJ37" s="96">
        <f t="shared" si="14"/>
        <v>243</v>
      </c>
      <c r="AK37" s="97">
        <f t="shared" si="14"/>
        <v>244</v>
      </c>
      <c r="AL37" s="1" t="s">
        <v>3</v>
      </c>
    </row>
    <row r="38" spans="2:38" s="1" customFormat="1" ht="14" outlineLevel="1" thickBot="1">
      <c r="B38" s="208"/>
      <c r="C38" s="233" t="s">
        <v>15</v>
      </c>
      <c r="D38" s="234"/>
      <c r="E38" s="98">
        <f>E32-E35</f>
        <v>-113</v>
      </c>
      <c r="F38" s="98" t="s">
        <v>6</v>
      </c>
      <c r="G38" s="157" t="s">
        <v>7</v>
      </c>
      <c r="H38" s="161">
        <f>'0501(実績)'!AK38+'0601(実績)'!H32-'0601(実績)'!H35</f>
        <v>269</v>
      </c>
      <c r="I38" s="110">
        <f t="shared" ref="I38:AK38" si="15">H38+I32-I35</f>
        <v>259</v>
      </c>
      <c r="J38" s="110">
        <f t="shared" si="15"/>
        <v>248</v>
      </c>
      <c r="K38" s="110">
        <f t="shared" si="15"/>
        <v>247</v>
      </c>
      <c r="L38" s="110">
        <f t="shared" si="15"/>
        <v>231</v>
      </c>
      <c r="M38" s="110">
        <f t="shared" si="15"/>
        <v>231</v>
      </c>
      <c r="N38" s="110">
        <f t="shared" si="15"/>
        <v>231</v>
      </c>
      <c r="O38" s="110">
        <f t="shared" si="15"/>
        <v>197</v>
      </c>
      <c r="P38" s="110">
        <f t="shared" si="15"/>
        <v>185</v>
      </c>
      <c r="Q38" s="110">
        <f t="shared" si="15"/>
        <v>159</v>
      </c>
      <c r="R38" s="110">
        <f t="shared" si="15"/>
        <v>152</v>
      </c>
      <c r="S38" s="110">
        <f t="shared" si="15"/>
        <v>143</v>
      </c>
      <c r="T38" s="110">
        <f t="shared" si="15"/>
        <v>143</v>
      </c>
      <c r="U38" s="110">
        <f t="shared" si="15"/>
        <v>143</v>
      </c>
      <c r="V38" s="110">
        <f t="shared" si="15"/>
        <v>169</v>
      </c>
      <c r="W38" s="110">
        <f t="shared" si="15"/>
        <v>177</v>
      </c>
      <c r="X38" s="110">
        <f t="shared" si="15"/>
        <v>182</v>
      </c>
      <c r="Y38" s="110">
        <f t="shared" si="15"/>
        <v>191</v>
      </c>
      <c r="Z38" s="110">
        <f t="shared" si="15"/>
        <v>187</v>
      </c>
      <c r="AA38" s="110">
        <f t="shared" si="15"/>
        <v>187</v>
      </c>
      <c r="AB38" s="110">
        <f t="shared" si="15"/>
        <v>187</v>
      </c>
      <c r="AC38" s="110">
        <f t="shared" si="15"/>
        <v>181</v>
      </c>
      <c r="AD38" s="110">
        <f t="shared" si="15"/>
        <v>168</v>
      </c>
      <c r="AE38" s="110">
        <f t="shared" si="15"/>
        <v>162</v>
      </c>
      <c r="AF38" s="110">
        <f t="shared" si="15"/>
        <v>171</v>
      </c>
      <c r="AG38" s="110">
        <f t="shared" si="15"/>
        <v>180</v>
      </c>
      <c r="AH38" s="110">
        <f t="shared" si="15"/>
        <v>180</v>
      </c>
      <c r="AI38" s="110">
        <f t="shared" si="15"/>
        <v>180</v>
      </c>
      <c r="AJ38" s="110">
        <f t="shared" si="15"/>
        <v>152</v>
      </c>
      <c r="AK38" s="199">
        <f t="shared" si="15"/>
        <v>156</v>
      </c>
      <c r="AL38" s="1" t="s">
        <v>3</v>
      </c>
    </row>
    <row r="39" spans="2:38" s="1" customFormat="1" ht="13.5" outlineLevel="1">
      <c r="B39" s="208"/>
      <c r="C39" s="210" t="s">
        <v>16</v>
      </c>
      <c r="D39" s="28" t="s">
        <v>44</v>
      </c>
      <c r="E39" s="101">
        <f>SUM(H39:AK39)*F39</f>
        <v>750</v>
      </c>
      <c r="F39" s="102">
        <v>15</v>
      </c>
      <c r="G39" s="162" t="s">
        <v>7</v>
      </c>
      <c r="H39" s="159"/>
      <c r="I39" s="103"/>
      <c r="J39" s="103"/>
      <c r="K39" s="103">
        <v>12</v>
      </c>
      <c r="L39" s="103"/>
      <c r="M39" s="103"/>
      <c r="N39" s="103"/>
      <c r="O39" s="103"/>
      <c r="P39" s="103">
        <v>8</v>
      </c>
      <c r="Q39" s="103">
        <v>3</v>
      </c>
      <c r="R39" s="103"/>
      <c r="S39" s="103">
        <v>10</v>
      </c>
      <c r="T39" s="103"/>
      <c r="U39" s="103"/>
      <c r="V39" s="103"/>
      <c r="W39" s="103"/>
      <c r="X39" s="103"/>
      <c r="Y39" s="103">
        <v>9</v>
      </c>
      <c r="Z39" s="103"/>
      <c r="AA39" s="103"/>
      <c r="AB39" s="103"/>
      <c r="AC39" s="103"/>
      <c r="AD39" s="103"/>
      <c r="AE39" s="103"/>
      <c r="AF39" s="103">
        <v>8</v>
      </c>
      <c r="AG39" s="103"/>
      <c r="AH39" s="103"/>
      <c r="AI39" s="103"/>
      <c r="AJ39" s="103"/>
      <c r="AK39" s="104"/>
      <c r="AL39" s="1" t="s">
        <v>3</v>
      </c>
    </row>
    <row r="40" spans="2:38" s="1" customFormat="1" ht="13.5" outlineLevel="1">
      <c r="B40" s="208"/>
      <c r="C40" s="211"/>
      <c r="D40" s="126" t="s">
        <v>46</v>
      </c>
      <c r="E40" s="108">
        <f>SUM(H40:AK40)*F40</f>
        <v>945</v>
      </c>
      <c r="F40" s="94">
        <v>15</v>
      </c>
      <c r="G40" s="157" t="s">
        <v>7</v>
      </c>
      <c r="H40" s="160"/>
      <c r="I40" s="96"/>
      <c r="J40" s="96">
        <v>10</v>
      </c>
      <c r="K40" s="96"/>
      <c r="L40" s="96"/>
      <c r="M40" s="96"/>
      <c r="N40" s="96"/>
      <c r="O40" s="96"/>
      <c r="P40" s="96"/>
      <c r="Q40" s="96">
        <v>9</v>
      </c>
      <c r="R40" s="96">
        <v>2</v>
      </c>
      <c r="S40" s="96"/>
      <c r="T40" s="96"/>
      <c r="U40" s="96"/>
      <c r="V40" s="96"/>
      <c r="W40" s="96">
        <v>9</v>
      </c>
      <c r="X40" s="96"/>
      <c r="Y40" s="96"/>
      <c r="Z40" s="96"/>
      <c r="AA40" s="96"/>
      <c r="AB40" s="96"/>
      <c r="AC40" s="96"/>
      <c r="AD40" s="96">
        <v>5</v>
      </c>
      <c r="AE40" s="96"/>
      <c r="AF40" s="96"/>
      <c r="AG40" s="96">
        <v>14</v>
      </c>
      <c r="AH40" s="96"/>
      <c r="AI40" s="96"/>
      <c r="AJ40" s="96"/>
      <c r="AK40" s="97">
        <v>14</v>
      </c>
      <c r="AL40" s="1" t="s">
        <v>3</v>
      </c>
    </row>
    <row r="41" spans="2:38" s="1" customFormat="1" ht="13.5" outlineLevel="1">
      <c r="B41" s="208"/>
      <c r="C41" s="211"/>
      <c r="D41" s="126" t="s">
        <v>48</v>
      </c>
      <c r="E41" s="108">
        <f>SUM(H41:AK41)*F41</f>
        <v>615</v>
      </c>
      <c r="F41" s="94">
        <v>15</v>
      </c>
      <c r="G41" s="157" t="s">
        <v>7</v>
      </c>
      <c r="H41" s="160">
        <v>8</v>
      </c>
      <c r="I41" s="96"/>
      <c r="J41" s="96"/>
      <c r="K41" s="96"/>
      <c r="L41" s="96">
        <v>10</v>
      </c>
      <c r="M41" s="96"/>
      <c r="N41" s="96"/>
      <c r="O41" s="96">
        <v>10</v>
      </c>
      <c r="P41" s="96"/>
      <c r="Q41" s="96"/>
      <c r="R41" s="96">
        <v>3</v>
      </c>
      <c r="S41" s="96"/>
      <c r="T41" s="96"/>
      <c r="U41" s="96"/>
      <c r="V41" s="96"/>
      <c r="W41" s="96"/>
      <c r="X41" s="96"/>
      <c r="Y41" s="96"/>
      <c r="Z41" s="96">
        <v>5</v>
      </c>
      <c r="AA41" s="96"/>
      <c r="AB41" s="96"/>
      <c r="AC41" s="96">
        <v>5</v>
      </c>
      <c r="AD41" s="96"/>
      <c r="AE41" s="96"/>
      <c r="AF41" s="96"/>
      <c r="AG41" s="96"/>
      <c r="AH41" s="96"/>
      <c r="AI41" s="96"/>
      <c r="AJ41" s="96"/>
      <c r="AK41" s="97"/>
      <c r="AL41" s="1" t="s">
        <v>3</v>
      </c>
    </row>
    <row r="42" spans="2:38" s="1" customFormat="1" ht="13.5" outlineLevel="1">
      <c r="B42" s="208"/>
      <c r="C42" s="211"/>
      <c r="D42" s="126" t="s">
        <v>49</v>
      </c>
      <c r="E42" s="108">
        <f>SUM(H42:AK42)*F42</f>
        <v>870</v>
      </c>
      <c r="F42" s="94">
        <v>15</v>
      </c>
      <c r="G42" s="157" t="s">
        <v>7</v>
      </c>
      <c r="H42" s="160"/>
      <c r="I42" s="96">
        <v>15</v>
      </c>
      <c r="J42" s="96"/>
      <c r="K42" s="96"/>
      <c r="L42" s="96"/>
      <c r="M42" s="96"/>
      <c r="N42" s="96"/>
      <c r="O42" s="96"/>
      <c r="P42" s="96"/>
      <c r="Q42" s="96"/>
      <c r="R42" s="96"/>
      <c r="S42" s="96"/>
      <c r="T42" s="96"/>
      <c r="U42" s="96"/>
      <c r="V42" s="96">
        <v>8</v>
      </c>
      <c r="W42" s="96"/>
      <c r="X42" s="96">
        <v>10</v>
      </c>
      <c r="Y42" s="96"/>
      <c r="Z42" s="96"/>
      <c r="AA42" s="96"/>
      <c r="AB42" s="96"/>
      <c r="AC42" s="96"/>
      <c r="AD42" s="96"/>
      <c r="AE42" s="96">
        <v>11</v>
      </c>
      <c r="AF42" s="96"/>
      <c r="AG42" s="96"/>
      <c r="AH42" s="96"/>
      <c r="AI42" s="96"/>
      <c r="AJ42" s="96">
        <v>14</v>
      </c>
      <c r="AK42" s="97"/>
      <c r="AL42" s="1" t="s">
        <v>3</v>
      </c>
    </row>
    <row r="43" spans="2:38" s="1" customFormat="1" ht="13.5" outlineLevel="1">
      <c r="B43" s="208"/>
      <c r="C43" s="211"/>
      <c r="D43" s="29" t="s">
        <v>31</v>
      </c>
      <c r="E43" s="108">
        <f>SUM(H43:AK43)*F43</f>
        <v>0</v>
      </c>
      <c r="F43" s="94">
        <v>15</v>
      </c>
      <c r="G43" s="157" t="s">
        <v>7</v>
      </c>
      <c r="H43" s="167"/>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100"/>
      <c r="AL43" s="1" t="s">
        <v>3</v>
      </c>
    </row>
    <row r="44" spans="2:38" s="1" customFormat="1" ht="14" outlineLevel="1" thickBot="1">
      <c r="B44" s="208"/>
      <c r="C44" s="211"/>
      <c r="D44" s="29" t="s">
        <v>59</v>
      </c>
      <c r="E44" s="109"/>
      <c r="F44" s="114"/>
      <c r="G44" s="164" t="s">
        <v>7</v>
      </c>
      <c r="H44" s="195"/>
      <c r="I44" s="196"/>
      <c r="J44" s="196"/>
      <c r="K44" s="196"/>
      <c r="L44" s="196"/>
      <c r="M44" s="196"/>
      <c r="N44" s="196"/>
      <c r="O44" s="196"/>
      <c r="P44" s="196"/>
      <c r="Q44" s="196"/>
      <c r="R44" s="196"/>
      <c r="S44" s="196"/>
      <c r="T44" s="196"/>
      <c r="U44" s="196"/>
      <c r="V44" s="196"/>
      <c r="W44" s="196">
        <v>8</v>
      </c>
      <c r="X44" s="196">
        <v>4</v>
      </c>
      <c r="Y44" s="196">
        <v>5</v>
      </c>
      <c r="Z44" s="196">
        <v>7</v>
      </c>
      <c r="AA44" s="196"/>
      <c r="AB44" s="196"/>
      <c r="AC44" s="196">
        <v>3</v>
      </c>
      <c r="AD44" s="196"/>
      <c r="AE44" s="196">
        <v>10</v>
      </c>
      <c r="AF44" s="196"/>
      <c r="AG44" s="196"/>
      <c r="AH44" s="196"/>
      <c r="AI44" s="196"/>
      <c r="AJ44" s="196"/>
      <c r="AK44" s="197">
        <v>8</v>
      </c>
      <c r="AL44" s="1" t="s">
        <v>3</v>
      </c>
    </row>
    <row r="45" spans="2:38" s="1" customFormat="1" ht="13.5" outlineLevel="1">
      <c r="B45" s="208"/>
      <c r="C45" s="210" t="s">
        <v>25</v>
      </c>
      <c r="D45" s="30" t="s">
        <v>32</v>
      </c>
      <c r="E45" s="111">
        <f>SUM(H45:AK45)*F45</f>
        <v>4355</v>
      </c>
      <c r="F45" s="102">
        <v>13</v>
      </c>
      <c r="G45" s="162" t="s">
        <v>7</v>
      </c>
      <c r="H45" s="193">
        <v>12</v>
      </c>
      <c r="I45" s="107">
        <v>28</v>
      </c>
      <c r="J45" s="107">
        <v>16</v>
      </c>
      <c r="K45" s="107">
        <v>10</v>
      </c>
      <c r="L45" s="107">
        <v>18</v>
      </c>
      <c r="M45" s="107"/>
      <c r="N45" s="107"/>
      <c r="O45" s="107">
        <v>25</v>
      </c>
      <c r="P45" s="107">
        <v>10</v>
      </c>
      <c r="Q45" s="107">
        <v>17</v>
      </c>
      <c r="R45" s="107">
        <v>6</v>
      </c>
      <c r="S45" s="107">
        <v>21</v>
      </c>
      <c r="T45" s="107"/>
      <c r="U45" s="107"/>
      <c r="V45" s="107">
        <v>5</v>
      </c>
      <c r="W45" s="107">
        <v>19</v>
      </c>
      <c r="X45" s="107">
        <v>8</v>
      </c>
      <c r="Y45" s="107">
        <v>14</v>
      </c>
      <c r="Z45" s="107">
        <v>18</v>
      </c>
      <c r="AA45" s="107"/>
      <c r="AB45" s="107"/>
      <c r="AC45" s="107">
        <v>16</v>
      </c>
      <c r="AD45" s="107">
        <v>11</v>
      </c>
      <c r="AE45" s="107">
        <v>19</v>
      </c>
      <c r="AF45" s="107">
        <v>15</v>
      </c>
      <c r="AG45" s="107"/>
      <c r="AH45" s="107"/>
      <c r="AI45" s="107"/>
      <c r="AJ45" s="107">
        <v>29</v>
      </c>
      <c r="AK45" s="194">
        <v>18</v>
      </c>
      <c r="AL45" s="1" t="s">
        <v>3</v>
      </c>
    </row>
    <row r="46" spans="2:38" s="1" customFormat="1" ht="13.5" outlineLevel="1">
      <c r="B46" s="208"/>
      <c r="C46" s="211"/>
      <c r="D46" s="31" t="s">
        <v>33</v>
      </c>
      <c r="E46" s="112">
        <f>SUM(H46:AK46)*F46</f>
        <v>1270</v>
      </c>
      <c r="F46" s="94">
        <v>10</v>
      </c>
      <c r="G46" s="157" t="s">
        <v>7</v>
      </c>
      <c r="H46" s="160">
        <v>5</v>
      </c>
      <c r="I46" s="96">
        <v>5</v>
      </c>
      <c r="J46" s="96">
        <v>2</v>
      </c>
      <c r="K46" s="96">
        <v>11</v>
      </c>
      <c r="L46" s="96">
        <v>6</v>
      </c>
      <c r="M46" s="96"/>
      <c r="N46" s="96"/>
      <c r="O46" s="96">
        <v>13</v>
      </c>
      <c r="P46" s="96">
        <v>29</v>
      </c>
      <c r="Q46" s="96">
        <v>11</v>
      </c>
      <c r="R46" s="96">
        <v>3</v>
      </c>
      <c r="S46" s="96">
        <v>8</v>
      </c>
      <c r="T46" s="96"/>
      <c r="U46" s="96"/>
      <c r="V46" s="96"/>
      <c r="W46" s="96"/>
      <c r="X46" s="96"/>
      <c r="Y46" s="96">
        <v>5</v>
      </c>
      <c r="Z46" s="96"/>
      <c r="AA46" s="96"/>
      <c r="AB46" s="96"/>
      <c r="AC46" s="96">
        <v>1</v>
      </c>
      <c r="AD46" s="96">
        <v>16</v>
      </c>
      <c r="AE46" s="96"/>
      <c r="AF46" s="96"/>
      <c r="AG46" s="96">
        <v>4</v>
      </c>
      <c r="AH46" s="96"/>
      <c r="AI46" s="96"/>
      <c r="AJ46" s="96">
        <v>7</v>
      </c>
      <c r="AK46" s="97">
        <v>1</v>
      </c>
      <c r="AL46" s="1" t="s">
        <v>3</v>
      </c>
    </row>
    <row r="47" spans="2:38" s="1" customFormat="1" ht="13.5" outlineLevel="1">
      <c r="B47" s="208"/>
      <c r="C47" s="211"/>
      <c r="D47" s="31" t="s">
        <v>34</v>
      </c>
      <c r="E47" s="112">
        <f>SUM(H47:AK47)</f>
        <v>71</v>
      </c>
      <c r="F47" s="94"/>
      <c r="G47" s="157" t="s">
        <v>7</v>
      </c>
      <c r="H47" s="160"/>
      <c r="I47" s="96"/>
      <c r="J47" s="96">
        <v>10</v>
      </c>
      <c r="K47" s="96">
        <v>7</v>
      </c>
      <c r="L47" s="96"/>
      <c r="M47" s="96"/>
      <c r="N47" s="96"/>
      <c r="O47" s="96">
        <v>10</v>
      </c>
      <c r="P47" s="96">
        <v>8</v>
      </c>
      <c r="Q47" s="96">
        <v>10</v>
      </c>
      <c r="R47" s="96">
        <v>19</v>
      </c>
      <c r="S47" s="96">
        <v>5</v>
      </c>
      <c r="T47" s="96"/>
      <c r="U47" s="96"/>
      <c r="V47" s="96"/>
      <c r="W47" s="96"/>
      <c r="X47" s="96"/>
      <c r="Y47" s="96"/>
      <c r="Z47" s="96"/>
      <c r="AA47" s="96"/>
      <c r="AB47" s="96"/>
      <c r="AC47" s="96"/>
      <c r="AD47" s="96"/>
      <c r="AE47" s="96">
        <v>2</v>
      </c>
      <c r="AF47" s="96"/>
      <c r="AG47" s="96"/>
      <c r="AH47" s="96"/>
      <c r="AI47" s="96"/>
      <c r="AJ47" s="96"/>
      <c r="AK47" s="97"/>
      <c r="AL47" s="1" t="s">
        <v>3</v>
      </c>
    </row>
    <row r="48" spans="2:38" s="1" customFormat="1" ht="14" outlineLevel="1" thickBot="1">
      <c r="B48" s="209"/>
      <c r="C48" s="212"/>
      <c r="D48" s="32"/>
      <c r="E48" s="113"/>
      <c r="F48" s="114"/>
      <c r="G48" s="164" t="s">
        <v>7</v>
      </c>
      <c r="H48" s="161"/>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5"/>
      <c r="AL48" s="1" t="s">
        <v>3</v>
      </c>
    </row>
    <row r="49" spans="2:38" s="1" customFormat="1" ht="15" customHeight="1" outlineLevel="1">
      <c r="B49" s="226" t="s">
        <v>35</v>
      </c>
      <c r="C49" s="235" t="s">
        <v>5</v>
      </c>
      <c r="D49" s="236"/>
      <c r="E49" s="102">
        <f>SUM(H49:AK49)</f>
        <v>195</v>
      </c>
      <c r="F49" s="189" t="s">
        <v>10</v>
      </c>
      <c r="G49" s="187" t="s">
        <v>7</v>
      </c>
      <c r="H49" s="107">
        <v>8</v>
      </c>
      <c r="I49" s="107">
        <v>25</v>
      </c>
      <c r="J49" s="107">
        <v>0</v>
      </c>
      <c r="K49" s="107">
        <v>3</v>
      </c>
      <c r="L49" s="107">
        <v>2</v>
      </c>
      <c r="M49" s="107"/>
      <c r="N49" s="107"/>
      <c r="O49" s="107">
        <v>7</v>
      </c>
      <c r="P49" s="107">
        <v>5</v>
      </c>
      <c r="Q49" s="107">
        <v>5</v>
      </c>
      <c r="R49" s="107">
        <v>27</v>
      </c>
      <c r="S49" s="107">
        <v>2</v>
      </c>
      <c r="T49" s="107"/>
      <c r="U49" s="107"/>
      <c r="V49" s="107">
        <v>28</v>
      </c>
      <c r="W49" s="107">
        <v>0</v>
      </c>
      <c r="X49" s="107">
        <v>14</v>
      </c>
      <c r="Y49" s="107">
        <v>9</v>
      </c>
      <c r="Z49" s="107">
        <v>1</v>
      </c>
      <c r="AA49" s="107"/>
      <c r="AB49" s="107"/>
      <c r="AC49" s="107">
        <v>17</v>
      </c>
      <c r="AD49" s="107">
        <v>4</v>
      </c>
      <c r="AE49" s="107">
        <v>14</v>
      </c>
      <c r="AF49" s="107">
        <v>0</v>
      </c>
      <c r="AG49" s="107">
        <v>11</v>
      </c>
      <c r="AH49" s="107"/>
      <c r="AI49" s="107"/>
      <c r="AJ49" s="107">
        <v>7</v>
      </c>
      <c r="AK49" s="107">
        <v>6</v>
      </c>
      <c r="AL49" s="1" t="s">
        <v>3</v>
      </c>
    </row>
    <row r="50" spans="2:38" s="1" customFormat="1" ht="15" customHeight="1" outlineLevel="1">
      <c r="B50" s="208"/>
      <c r="C50" s="233" t="s">
        <v>29</v>
      </c>
      <c r="D50" s="234"/>
      <c r="E50" s="94">
        <f>SUM(H50:AK50)</f>
        <v>206</v>
      </c>
      <c r="F50" s="190" t="s">
        <v>10</v>
      </c>
      <c r="G50" s="187" t="s">
        <v>7</v>
      </c>
      <c r="H50" s="200">
        <f>SUM(H56:H61)</f>
        <v>7</v>
      </c>
      <c r="I50" s="96">
        <f>SUM(I56:I61)</f>
        <v>11</v>
      </c>
      <c r="J50" s="96">
        <f>SUM(J56:J61)</f>
        <v>20</v>
      </c>
      <c r="K50" s="96">
        <f t="shared" ref="K50:AK50" si="16">SUM(K56:K61)</f>
        <v>3</v>
      </c>
      <c r="L50" s="96">
        <f t="shared" si="16"/>
        <v>5</v>
      </c>
      <c r="M50" s="96">
        <f t="shared" si="16"/>
        <v>0</v>
      </c>
      <c r="N50" s="96">
        <f t="shared" si="16"/>
        <v>0</v>
      </c>
      <c r="O50" s="96">
        <f t="shared" si="16"/>
        <v>0</v>
      </c>
      <c r="P50" s="96">
        <f t="shared" si="16"/>
        <v>1</v>
      </c>
      <c r="Q50" s="96">
        <f t="shared" si="16"/>
        <v>0</v>
      </c>
      <c r="R50" s="96">
        <f t="shared" si="16"/>
        <v>36</v>
      </c>
      <c r="S50" s="96">
        <f t="shared" si="16"/>
        <v>18</v>
      </c>
      <c r="T50" s="96">
        <f t="shared" si="16"/>
        <v>0</v>
      </c>
      <c r="U50" s="96">
        <f t="shared" si="16"/>
        <v>0</v>
      </c>
      <c r="V50" s="96">
        <f t="shared" si="16"/>
        <v>5</v>
      </c>
      <c r="W50" s="96">
        <f t="shared" si="16"/>
        <v>0</v>
      </c>
      <c r="X50" s="96">
        <f t="shared" si="16"/>
        <v>15</v>
      </c>
      <c r="Y50" s="96">
        <f t="shared" si="16"/>
        <v>15</v>
      </c>
      <c r="Z50" s="96">
        <f t="shared" si="16"/>
        <v>5</v>
      </c>
      <c r="AA50" s="96">
        <f t="shared" si="16"/>
        <v>0</v>
      </c>
      <c r="AB50" s="96">
        <f t="shared" si="16"/>
        <v>0</v>
      </c>
      <c r="AC50" s="96">
        <f t="shared" si="16"/>
        <v>14</v>
      </c>
      <c r="AD50" s="96">
        <f t="shared" si="16"/>
        <v>4</v>
      </c>
      <c r="AE50" s="96">
        <f t="shared" si="16"/>
        <v>8</v>
      </c>
      <c r="AF50" s="96">
        <f t="shared" si="16"/>
        <v>8</v>
      </c>
      <c r="AG50" s="96">
        <f t="shared" si="16"/>
        <v>13</v>
      </c>
      <c r="AH50" s="96">
        <f t="shared" si="16"/>
        <v>0</v>
      </c>
      <c r="AI50" s="96">
        <f t="shared" si="16"/>
        <v>0</v>
      </c>
      <c r="AJ50" s="96">
        <f t="shared" si="16"/>
        <v>8</v>
      </c>
      <c r="AK50" s="201">
        <f t="shared" si="16"/>
        <v>10</v>
      </c>
      <c r="AL50" s="1" t="s">
        <v>3</v>
      </c>
    </row>
    <row r="51" spans="2:38" s="1" customFormat="1" ht="15" customHeight="1" outlineLevel="1">
      <c r="B51" s="208"/>
      <c r="C51" s="237" t="s">
        <v>43</v>
      </c>
      <c r="D51" s="238"/>
      <c r="E51" s="117">
        <f>AK51</f>
        <v>206</v>
      </c>
      <c r="F51" s="191" t="s">
        <v>6</v>
      </c>
      <c r="G51" s="188" t="s">
        <v>7</v>
      </c>
      <c r="H51" s="202">
        <f>'0501(実績)'!AK48+'0601(実績)'!H50</f>
        <v>7</v>
      </c>
      <c r="I51" s="119">
        <f>H51+I50</f>
        <v>18</v>
      </c>
      <c r="J51" s="119">
        <f t="shared" ref="J51:AK51" si="17">I51+J50</f>
        <v>38</v>
      </c>
      <c r="K51" s="119">
        <f t="shared" si="17"/>
        <v>41</v>
      </c>
      <c r="L51" s="119">
        <f t="shared" si="17"/>
        <v>46</v>
      </c>
      <c r="M51" s="119">
        <f t="shared" si="17"/>
        <v>46</v>
      </c>
      <c r="N51" s="119">
        <f t="shared" si="17"/>
        <v>46</v>
      </c>
      <c r="O51" s="119">
        <f t="shared" si="17"/>
        <v>46</v>
      </c>
      <c r="P51" s="119">
        <f t="shared" si="17"/>
        <v>47</v>
      </c>
      <c r="Q51" s="119">
        <f t="shared" si="17"/>
        <v>47</v>
      </c>
      <c r="R51" s="119">
        <f t="shared" si="17"/>
        <v>83</v>
      </c>
      <c r="S51" s="119">
        <f t="shared" si="17"/>
        <v>101</v>
      </c>
      <c r="T51" s="119">
        <f t="shared" si="17"/>
        <v>101</v>
      </c>
      <c r="U51" s="119">
        <f t="shared" si="17"/>
        <v>101</v>
      </c>
      <c r="V51" s="119">
        <f t="shared" si="17"/>
        <v>106</v>
      </c>
      <c r="W51" s="119">
        <f t="shared" si="17"/>
        <v>106</v>
      </c>
      <c r="X51" s="119">
        <f t="shared" si="17"/>
        <v>121</v>
      </c>
      <c r="Y51" s="119">
        <f t="shared" si="17"/>
        <v>136</v>
      </c>
      <c r="Z51" s="119">
        <f t="shared" si="17"/>
        <v>141</v>
      </c>
      <c r="AA51" s="119">
        <f t="shared" si="17"/>
        <v>141</v>
      </c>
      <c r="AB51" s="119">
        <f t="shared" si="17"/>
        <v>141</v>
      </c>
      <c r="AC51" s="119">
        <f t="shared" si="17"/>
        <v>155</v>
      </c>
      <c r="AD51" s="119">
        <f t="shared" si="17"/>
        <v>159</v>
      </c>
      <c r="AE51" s="119">
        <f t="shared" si="17"/>
        <v>167</v>
      </c>
      <c r="AF51" s="119">
        <f t="shared" si="17"/>
        <v>175</v>
      </c>
      <c r="AG51" s="119">
        <f t="shared" si="17"/>
        <v>188</v>
      </c>
      <c r="AH51" s="119">
        <f t="shared" si="17"/>
        <v>188</v>
      </c>
      <c r="AI51" s="119">
        <f t="shared" si="17"/>
        <v>188</v>
      </c>
      <c r="AJ51" s="119">
        <f t="shared" si="17"/>
        <v>196</v>
      </c>
      <c r="AK51" s="119">
        <f t="shared" si="17"/>
        <v>206</v>
      </c>
      <c r="AL51" s="1" t="s">
        <v>3</v>
      </c>
    </row>
    <row r="52" spans="2:38" s="1" customFormat="1" ht="15" customHeight="1" outlineLevel="1">
      <c r="B52" s="208"/>
      <c r="C52" s="233" t="s">
        <v>30</v>
      </c>
      <c r="D52" s="234"/>
      <c r="E52" s="94">
        <f>SUM(H52:AK52)</f>
        <v>212</v>
      </c>
      <c r="F52" s="190" t="s">
        <v>10</v>
      </c>
      <c r="G52" s="187" t="s">
        <v>7</v>
      </c>
      <c r="H52" s="200">
        <f>SUM(H62:H65)</f>
        <v>9</v>
      </c>
      <c r="I52" s="96">
        <f>SUM(I62:I65)</f>
        <v>18</v>
      </c>
      <c r="J52" s="96">
        <f t="shared" ref="J52:AK52" si="18">SUM(J62:J65)</f>
        <v>20</v>
      </c>
      <c r="K52" s="96">
        <f t="shared" si="18"/>
        <v>3</v>
      </c>
      <c r="L52" s="96">
        <f t="shared" si="18"/>
        <v>5</v>
      </c>
      <c r="M52" s="96">
        <f t="shared" si="18"/>
        <v>0</v>
      </c>
      <c r="N52" s="96">
        <f t="shared" si="18"/>
        <v>0</v>
      </c>
      <c r="O52" s="96">
        <f t="shared" si="18"/>
        <v>0</v>
      </c>
      <c r="P52" s="96">
        <f t="shared" si="18"/>
        <v>1</v>
      </c>
      <c r="Q52" s="96">
        <f t="shared" si="18"/>
        <v>0</v>
      </c>
      <c r="R52" s="96">
        <f t="shared" si="18"/>
        <v>31</v>
      </c>
      <c r="S52" s="96">
        <f t="shared" si="18"/>
        <v>7</v>
      </c>
      <c r="T52" s="96">
        <f t="shared" si="18"/>
        <v>0</v>
      </c>
      <c r="U52" s="96">
        <f t="shared" si="18"/>
        <v>0</v>
      </c>
      <c r="V52" s="96">
        <f t="shared" si="18"/>
        <v>6</v>
      </c>
      <c r="W52" s="96">
        <f t="shared" si="18"/>
        <v>15</v>
      </c>
      <c r="X52" s="96">
        <f t="shared" si="18"/>
        <v>8</v>
      </c>
      <c r="Y52" s="96">
        <f t="shared" si="18"/>
        <v>12</v>
      </c>
      <c r="Z52" s="96">
        <f t="shared" si="18"/>
        <v>8</v>
      </c>
      <c r="AA52" s="96">
        <f t="shared" si="18"/>
        <v>0</v>
      </c>
      <c r="AB52" s="96">
        <f t="shared" si="18"/>
        <v>0</v>
      </c>
      <c r="AC52" s="96">
        <f t="shared" si="18"/>
        <v>21</v>
      </c>
      <c r="AD52" s="96">
        <f t="shared" si="18"/>
        <v>4</v>
      </c>
      <c r="AE52" s="96">
        <f t="shared" si="18"/>
        <v>0</v>
      </c>
      <c r="AF52" s="96">
        <f t="shared" si="18"/>
        <v>8</v>
      </c>
      <c r="AG52" s="96">
        <f t="shared" si="18"/>
        <v>17</v>
      </c>
      <c r="AH52" s="96">
        <f t="shared" si="18"/>
        <v>0</v>
      </c>
      <c r="AI52" s="96">
        <f t="shared" si="18"/>
        <v>0</v>
      </c>
      <c r="AJ52" s="96">
        <f t="shared" si="18"/>
        <v>4</v>
      </c>
      <c r="AK52" s="201">
        <f t="shared" si="18"/>
        <v>15</v>
      </c>
      <c r="AL52" s="1" t="s">
        <v>3</v>
      </c>
    </row>
    <row r="53" spans="2:38" s="1" customFormat="1" ht="15" customHeight="1" outlineLevel="1">
      <c r="B53" s="208"/>
      <c r="C53" s="239" t="s">
        <v>13</v>
      </c>
      <c r="D53" s="240"/>
      <c r="E53" s="117">
        <f>AK53</f>
        <v>212</v>
      </c>
      <c r="F53" s="191" t="s">
        <v>6</v>
      </c>
      <c r="G53" s="188" t="s">
        <v>7</v>
      </c>
      <c r="H53" s="202">
        <f>'0501(実績)'!AK50+'0601(実績)'!H52</f>
        <v>9</v>
      </c>
      <c r="I53" s="119">
        <f>H53+I52</f>
        <v>27</v>
      </c>
      <c r="J53" s="119">
        <f>I53+J52</f>
        <v>47</v>
      </c>
      <c r="K53" s="119">
        <f t="shared" ref="K53:AK53" si="19">J53+K52</f>
        <v>50</v>
      </c>
      <c r="L53" s="119">
        <f t="shared" si="19"/>
        <v>55</v>
      </c>
      <c r="M53" s="119">
        <f t="shared" si="19"/>
        <v>55</v>
      </c>
      <c r="N53" s="119">
        <f t="shared" si="19"/>
        <v>55</v>
      </c>
      <c r="O53" s="119">
        <f t="shared" si="19"/>
        <v>55</v>
      </c>
      <c r="P53" s="119">
        <f t="shared" si="19"/>
        <v>56</v>
      </c>
      <c r="Q53" s="119">
        <f t="shared" si="19"/>
        <v>56</v>
      </c>
      <c r="R53" s="119">
        <f t="shared" si="19"/>
        <v>87</v>
      </c>
      <c r="S53" s="119">
        <f t="shared" si="19"/>
        <v>94</v>
      </c>
      <c r="T53" s="119">
        <f t="shared" si="19"/>
        <v>94</v>
      </c>
      <c r="U53" s="119">
        <f t="shared" si="19"/>
        <v>94</v>
      </c>
      <c r="V53" s="119">
        <f t="shared" si="19"/>
        <v>100</v>
      </c>
      <c r="W53" s="119">
        <f t="shared" si="19"/>
        <v>115</v>
      </c>
      <c r="X53" s="119">
        <f t="shared" si="19"/>
        <v>123</v>
      </c>
      <c r="Y53" s="119">
        <f t="shared" si="19"/>
        <v>135</v>
      </c>
      <c r="Z53" s="119">
        <f t="shared" si="19"/>
        <v>143</v>
      </c>
      <c r="AA53" s="119">
        <f t="shared" si="19"/>
        <v>143</v>
      </c>
      <c r="AB53" s="119">
        <f t="shared" si="19"/>
        <v>143</v>
      </c>
      <c r="AC53" s="119">
        <f t="shared" si="19"/>
        <v>164</v>
      </c>
      <c r="AD53" s="119">
        <f t="shared" si="19"/>
        <v>168</v>
      </c>
      <c r="AE53" s="119">
        <f t="shared" si="19"/>
        <v>168</v>
      </c>
      <c r="AF53" s="119">
        <f t="shared" si="19"/>
        <v>176</v>
      </c>
      <c r="AG53" s="119">
        <f t="shared" si="19"/>
        <v>193</v>
      </c>
      <c r="AH53" s="119">
        <f t="shared" si="19"/>
        <v>193</v>
      </c>
      <c r="AI53" s="119">
        <f t="shared" si="19"/>
        <v>193</v>
      </c>
      <c r="AJ53" s="119">
        <f t="shared" si="19"/>
        <v>197</v>
      </c>
      <c r="AK53" s="203">
        <f t="shared" si="19"/>
        <v>212</v>
      </c>
      <c r="AL53" s="1" t="s">
        <v>3</v>
      </c>
    </row>
    <row r="54" spans="2:38" s="1" customFormat="1" ht="13.5" outlineLevel="1">
      <c r="B54" s="208"/>
      <c r="C54" s="233" t="s">
        <v>14</v>
      </c>
      <c r="D54" s="234"/>
      <c r="E54" s="94">
        <f>E49-E50</f>
        <v>-11</v>
      </c>
      <c r="F54" s="190" t="s">
        <v>10</v>
      </c>
      <c r="G54" s="187" t="s">
        <v>7</v>
      </c>
      <c r="H54" s="200">
        <f>'0501(実績)'!AK54+'0601(実績)'!H49-H50</f>
        <v>56</v>
      </c>
      <c r="I54" s="96">
        <f>H54+I49-I50</f>
        <v>70</v>
      </c>
      <c r="J54" s="96">
        <f>I54+J49-J50</f>
        <v>50</v>
      </c>
      <c r="K54" s="96">
        <f t="shared" ref="K54:AK54" si="20">J54+K49-K50</f>
        <v>50</v>
      </c>
      <c r="L54" s="96">
        <f t="shared" si="20"/>
        <v>47</v>
      </c>
      <c r="M54" s="96">
        <f t="shared" si="20"/>
        <v>47</v>
      </c>
      <c r="N54" s="96">
        <f t="shared" si="20"/>
        <v>47</v>
      </c>
      <c r="O54" s="96">
        <f t="shared" si="20"/>
        <v>54</v>
      </c>
      <c r="P54" s="96">
        <f t="shared" si="20"/>
        <v>58</v>
      </c>
      <c r="Q54" s="96">
        <f t="shared" si="20"/>
        <v>63</v>
      </c>
      <c r="R54" s="96">
        <f t="shared" si="20"/>
        <v>54</v>
      </c>
      <c r="S54" s="96">
        <f t="shared" si="20"/>
        <v>38</v>
      </c>
      <c r="T54" s="96">
        <f t="shared" si="20"/>
        <v>38</v>
      </c>
      <c r="U54" s="96">
        <f t="shared" si="20"/>
        <v>38</v>
      </c>
      <c r="V54" s="96">
        <f t="shared" si="20"/>
        <v>61</v>
      </c>
      <c r="W54" s="96">
        <f t="shared" si="20"/>
        <v>61</v>
      </c>
      <c r="X54" s="96">
        <f t="shared" si="20"/>
        <v>60</v>
      </c>
      <c r="Y54" s="96">
        <f t="shared" si="20"/>
        <v>54</v>
      </c>
      <c r="Z54" s="96">
        <f t="shared" si="20"/>
        <v>50</v>
      </c>
      <c r="AA54" s="96">
        <f t="shared" si="20"/>
        <v>50</v>
      </c>
      <c r="AB54" s="96">
        <f t="shared" si="20"/>
        <v>50</v>
      </c>
      <c r="AC54" s="96">
        <f t="shared" si="20"/>
        <v>53</v>
      </c>
      <c r="AD54" s="96">
        <f t="shared" si="20"/>
        <v>53</v>
      </c>
      <c r="AE54" s="96">
        <f t="shared" si="20"/>
        <v>59</v>
      </c>
      <c r="AF54" s="96">
        <f t="shared" si="20"/>
        <v>51</v>
      </c>
      <c r="AG54" s="96">
        <f t="shared" si="20"/>
        <v>49</v>
      </c>
      <c r="AH54" s="96">
        <f t="shared" si="20"/>
        <v>49</v>
      </c>
      <c r="AI54" s="96">
        <f t="shared" si="20"/>
        <v>49</v>
      </c>
      <c r="AJ54" s="96">
        <f t="shared" si="20"/>
        <v>48</v>
      </c>
      <c r="AK54" s="201">
        <f t="shared" si="20"/>
        <v>44</v>
      </c>
      <c r="AL54" s="1" t="s">
        <v>3</v>
      </c>
    </row>
    <row r="55" spans="2:38" s="1" customFormat="1" ht="14" outlineLevel="1" thickBot="1">
      <c r="B55" s="208"/>
      <c r="C55" s="270" t="s">
        <v>15</v>
      </c>
      <c r="D55" s="271"/>
      <c r="E55" s="114">
        <f>E49-E52</f>
        <v>-17</v>
      </c>
      <c r="F55" s="192" t="s">
        <v>10</v>
      </c>
      <c r="G55" s="187" t="s">
        <v>7</v>
      </c>
      <c r="H55" s="204">
        <f>'0501(実績)'!AK55+'0601(実績)'!H49-'0601(実績)'!H52</f>
        <v>48</v>
      </c>
      <c r="I55" s="199">
        <f>H55+I49-I52</f>
        <v>55</v>
      </c>
      <c r="J55" s="199">
        <f t="shared" ref="J55:AK55" si="21">I55+J49-J52</f>
        <v>35</v>
      </c>
      <c r="K55" s="199">
        <f t="shared" si="21"/>
        <v>35</v>
      </c>
      <c r="L55" s="199">
        <f t="shared" si="21"/>
        <v>32</v>
      </c>
      <c r="M55" s="199">
        <f t="shared" si="21"/>
        <v>32</v>
      </c>
      <c r="N55" s="199">
        <f t="shared" si="21"/>
        <v>32</v>
      </c>
      <c r="O55" s="199">
        <f t="shared" si="21"/>
        <v>39</v>
      </c>
      <c r="P55" s="199">
        <f t="shared" si="21"/>
        <v>43</v>
      </c>
      <c r="Q55" s="199">
        <f t="shared" si="21"/>
        <v>48</v>
      </c>
      <c r="R55" s="199">
        <f t="shared" si="21"/>
        <v>44</v>
      </c>
      <c r="S55" s="199">
        <f t="shared" si="21"/>
        <v>39</v>
      </c>
      <c r="T55" s="199">
        <f t="shared" si="21"/>
        <v>39</v>
      </c>
      <c r="U55" s="199">
        <f t="shared" si="21"/>
        <v>39</v>
      </c>
      <c r="V55" s="199">
        <f t="shared" si="21"/>
        <v>61</v>
      </c>
      <c r="W55" s="199">
        <f t="shared" si="21"/>
        <v>46</v>
      </c>
      <c r="X55" s="199">
        <f t="shared" si="21"/>
        <v>52</v>
      </c>
      <c r="Y55" s="199">
        <f t="shared" si="21"/>
        <v>49</v>
      </c>
      <c r="Z55" s="199">
        <f t="shared" si="21"/>
        <v>42</v>
      </c>
      <c r="AA55" s="199">
        <f t="shared" si="21"/>
        <v>42</v>
      </c>
      <c r="AB55" s="199">
        <f t="shared" si="21"/>
        <v>42</v>
      </c>
      <c r="AC55" s="199">
        <f t="shared" si="21"/>
        <v>38</v>
      </c>
      <c r="AD55" s="199">
        <f t="shared" si="21"/>
        <v>38</v>
      </c>
      <c r="AE55" s="199">
        <f t="shared" si="21"/>
        <v>52</v>
      </c>
      <c r="AF55" s="199">
        <f t="shared" si="21"/>
        <v>44</v>
      </c>
      <c r="AG55" s="199">
        <f t="shared" si="21"/>
        <v>38</v>
      </c>
      <c r="AH55" s="199">
        <f t="shared" si="21"/>
        <v>38</v>
      </c>
      <c r="AI55" s="199">
        <f t="shared" si="21"/>
        <v>38</v>
      </c>
      <c r="AJ55" s="199">
        <f t="shared" si="21"/>
        <v>41</v>
      </c>
      <c r="AK55" s="199">
        <f t="shared" si="21"/>
        <v>32</v>
      </c>
      <c r="AL55" s="1" t="s">
        <v>3</v>
      </c>
    </row>
    <row r="56" spans="2:38" s="1" customFormat="1" ht="13.5" outlineLevel="1">
      <c r="B56" s="208"/>
      <c r="C56" s="210" t="s">
        <v>16</v>
      </c>
      <c r="D56" s="28" t="s">
        <v>44</v>
      </c>
      <c r="E56" s="101">
        <f t="shared" ref="E56:E64" si="22">SUM(H56:AK56)*F56</f>
        <v>1280</v>
      </c>
      <c r="F56" s="102">
        <v>40</v>
      </c>
      <c r="G56" s="162" t="s">
        <v>7</v>
      </c>
      <c r="H56" s="159"/>
      <c r="I56" s="103"/>
      <c r="J56" s="103">
        <v>20</v>
      </c>
      <c r="K56" s="103"/>
      <c r="L56" s="103"/>
      <c r="M56" s="103"/>
      <c r="N56" s="103"/>
      <c r="O56" s="103"/>
      <c r="P56" s="103"/>
      <c r="Q56" s="103"/>
      <c r="R56" s="103"/>
      <c r="S56" s="103"/>
      <c r="T56" s="103"/>
      <c r="U56" s="103"/>
      <c r="V56" s="103"/>
      <c r="W56" s="103"/>
      <c r="X56" s="103"/>
      <c r="Y56" s="103"/>
      <c r="Z56" s="103">
        <v>5</v>
      </c>
      <c r="AA56" s="103"/>
      <c r="AB56" s="103"/>
      <c r="AC56" s="103"/>
      <c r="AD56" s="103"/>
      <c r="AE56" s="103"/>
      <c r="AF56" s="103"/>
      <c r="AG56" s="103">
        <v>4</v>
      </c>
      <c r="AH56" s="103"/>
      <c r="AI56" s="103"/>
      <c r="AJ56" s="103"/>
      <c r="AK56" s="104">
        <v>3</v>
      </c>
      <c r="AL56" s="1" t="s">
        <v>3</v>
      </c>
    </row>
    <row r="57" spans="2:38" s="1" customFormat="1" ht="13.5" outlineLevel="1">
      <c r="B57" s="208"/>
      <c r="C57" s="211"/>
      <c r="D57" s="126" t="s">
        <v>46</v>
      </c>
      <c r="E57" s="108">
        <f t="shared" si="22"/>
        <v>2640</v>
      </c>
      <c r="F57" s="94">
        <v>40</v>
      </c>
      <c r="G57" s="157" t="s">
        <v>7</v>
      </c>
      <c r="H57" s="160">
        <v>7</v>
      </c>
      <c r="I57" s="96"/>
      <c r="J57" s="96"/>
      <c r="K57" s="96">
        <v>3</v>
      </c>
      <c r="L57" s="96"/>
      <c r="M57" s="96"/>
      <c r="N57" s="96"/>
      <c r="O57" s="96"/>
      <c r="P57" s="96"/>
      <c r="Q57" s="96"/>
      <c r="R57" s="96">
        <v>15</v>
      </c>
      <c r="S57" s="96">
        <v>16</v>
      </c>
      <c r="T57" s="96"/>
      <c r="U57" s="96"/>
      <c r="V57" s="96"/>
      <c r="W57" s="96"/>
      <c r="X57" s="96">
        <v>7</v>
      </c>
      <c r="Y57" s="96">
        <v>10</v>
      </c>
      <c r="Z57" s="96"/>
      <c r="AA57" s="96"/>
      <c r="AB57" s="96"/>
      <c r="AC57" s="96"/>
      <c r="AD57" s="96"/>
      <c r="AE57" s="96">
        <v>8</v>
      </c>
      <c r="AF57" s="96"/>
      <c r="AG57" s="96"/>
      <c r="AH57" s="96"/>
      <c r="AI57" s="96"/>
      <c r="AJ57" s="96"/>
      <c r="AK57" s="97"/>
      <c r="AL57" s="1" t="s">
        <v>3</v>
      </c>
    </row>
    <row r="58" spans="2:38" s="1" customFormat="1" ht="13.5" outlineLevel="1">
      <c r="B58" s="208"/>
      <c r="C58" s="211"/>
      <c r="D58" s="126" t="s">
        <v>48</v>
      </c>
      <c r="E58" s="108">
        <f t="shared" si="22"/>
        <v>320</v>
      </c>
      <c r="F58" s="94">
        <v>40</v>
      </c>
      <c r="G58" s="157" t="s">
        <v>7</v>
      </c>
      <c r="H58" s="160"/>
      <c r="I58" s="96"/>
      <c r="J58" s="96"/>
      <c r="K58" s="96"/>
      <c r="L58" s="96"/>
      <c r="M58" s="96"/>
      <c r="N58" s="96"/>
      <c r="O58" s="96"/>
      <c r="P58" s="96"/>
      <c r="Q58" s="96"/>
      <c r="R58" s="96"/>
      <c r="S58" s="96"/>
      <c r="T58" s="96"/>
      <c r="U58" s="96"/>
      <c r="V58" s="96"/>
      <c r="W58" s="96"/>
      <c r="X58" s="96"/>
      <c r="Y58" s="96"/>
      <c r="Z58" s="96"/>
      <c r="AA58" s="96"/>
      <c r="AB58" s="96"/>
      <c r="AC58" s="96"/>
      <c r="AD58" s="96"/>
      <c r="AE58" s="96"/>
      <c r="AF58" s="96">
        <v>8</v>
      </c>
      <c r="AG58" s="96"/>
      <c r="AH58" s="96"/>
      <c r="AI58" s="96"/>
      <c r="AJ58" s="96"/>
      <c r="AK58" s="97"/>
      <c r="AL58" s="1" t="s">
        <v>3</v>
      </c>
    </row>
    <row r="59" spans="2:38" s="1" customFormat="1" ht="13.5" outlineLevel="1">
      <c r="B59" s="208"/>
      <c r="C59" s="211"/>
      <c r="D59" s="126" t="s">
        <v>49</v>
      </c>
      <c r="E59" s="108">
        <f t="shared" si="22"/>
        <v>560</v>
      </c>
      <c r="F59" s="94">
        <v>40</v>
      </c>
      <c r="G59" s="157" t="s">
        <v>7</v>
      </c>
      <c r="H59" s="160"/>
      <c r="I59" s="96"/>
      <c r="J59" s="96"/>
      <c r="K59" s="96"/>
      <c r="L59" s="96">
        <v>5</v>
      </c>
      <c r="M59" s="96"/>
      <c r="N59" s="96"/>
      <c r="O59" s="96"/>
      <c r="P59" s="96">
        <v>1</v>
      </c>
      <c r="Q59" s="96"/>
      <c r="R59" s="96"/>
      <c r="S59" s="96"/>
      <c r="T59" s="96"/>
      <c r="U59" s="96"/>
      <c r="V59" s="96"/>
      <c r="W59" s="96"/>
      <c r="X59" s="96"/>
      <c r="Y59" s="96"/>
      <c r="Z59" s="96"/>
      <c r="AA59" s="96"/>
      <c r="AB59" s="96"/>
      <c r="AC59" s="96"/>
      <c r="AD59" s="96"/>
      <c r="AE59" s="96"/>
      <c r="AF59" s="96"/>
      <c r="AG59" s="96"/>
      <c r="AH59" s="96"/>
      <c r="AI59" s="96"/>
      <c r="AJ59" s="96">
        <v>8</v>
      </c>
      <c r="AK59" s="97"/>
      <c r="AL59" s="1" t="s">
        <v>3</v>
      </c>
    </row>
    <row r="60" spans="2:38" s="1" customFormat="1" ht="13.5" outlineLevel="1">
      <c r="B60" s="208"/>
      <c r="C60" s="211"/>
      <c r="D60" s="29" t="s">
        <v>36</v>
      </c>
      <c r="E60" s="105">
        <f t="shared" si="22"/>
        <v>0</v>
      </c>
      <c r="F60" s="106">
        <v>30</v>
      </c>
      <c r="G60" s="163" t="s">
        <v>7</v>
      </c>
      <c r="H60" s="160"/>
      <c r="I60" s="96"/>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7"/>
      <c r="AL60" s="1" t="s">
        <v>3</v>
      </c>
    </row>
    <row r="61" spans="2:38" s="1" customFormat="1" ht="14" outlineLevel="1" thickBot="1">
      <c r="B61" s="208"/>
      <c r="C61" s="211"/>
      <c r="D61" s="29" t="s">
        <v>37</v>
      </c>
      <c r="E61" s="109">
        <f t="shared" si="22"/>
        <v>2580</v>
      </c>
      <c r="F61" s="114">
        <v>30</v>
      </c>
      <c r="G61" s="164" t="s">
        <v>7</v>
      </c>
      <c r="H61" s="161"/>
      <c r="I61" s="110">
        <v>11</v>
      </c>
      <c r="J61" s="110"/>
      <c r="K61" s="110"/>
      <c r="L61" s="110"/>
      <c r="M61" s="110"/>
      <c r="N61" s="110"/>
      <c r="O61" s="110"/>
      <c r="P61" s="110"/>
      <c r="Q61" s="110"/>
      <c r="R61" s="110">
        <v>21</v>
      </c>
      <c r="S61" s="110">
        <v>2</v>
      </c>
      <c r="T61" s="110"/>
      <c r="U61" s="110"/>
      <c r="V61" s="110">
        <v>5</v>
      </c>
      <c r="W61" s="110"/>
      <c r="X61" s="110">
        <v>8</v>
      </c>
      <c r="Y61" s="110">
        <v>5</v>
      </c>
      <c r="Z61" s="110"/>
      <c r="AA61" s="110"/>
      <c r="AB61" s="110"/>
      <c r="AC61" s="110">
        <v>14</v>
      </c>
      <c r="AD61" s="110">
        <v>4</v>
      </c>
      <c r="AE61" s="110"/>
      <c r="AF61" s="110"/>
      <c r="AG61" s="110">
        <v>9</v>
      </c>
      <c r="AH61" s="110"/>
      <c r="AI61" s="110"/>
      <c r="AJ61" s="110"/>
      <c r="AK61" s="115">
        <v>7</v>
      </c>
      <c r="AL61" s="1" t="s">
        <v>3</v>
      </c>
    </row>
    <row r="62" spans="2:38" s="1" customFormat="1" ht="13.5" outlineLevel="1">
      <c r="B62" s="208"/>
      <c r="C62" s="210" t="s">
        <v>25</v>
      </c>
      <c r="D62" s="30" t="s">
        <v>32</v>
      </c>
      <c r="E62" s="111">
        <f t="shared" si="22"/>
        <v>0</v>
      </c>
      <c r="F62" s="102">
        <v>8</v>
      </c>
      <c r="G62" s="162" t="s">
        <v>7</v>
      </c>
      <c r="H62" s="159"/>
      <c r="I62" s="103"/>
      <c r="J62" s="103"/>
      <c r="K62" s="103"/>
      <c r="L62" s="103"/>
      <c r="M62" s="103"/>
      <c r="N62" s="103"/>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4"/>
      <c r="AL62" s="1" t="s">
        <v>3</v>
      </c>
    </row>
    <row r="63" spans="2:38" s="1" customFormat="1" ht="13.5" outlineLevel="1">
      <c r="B63" s="208"/>
      <c r="C63" s="211"/>
      <c r="D63" s="31" t="s">
        <v>33</v>
      </c>
      <c r="E63" s="112">
        <f t="shared" si="22"/>
        <v>4410</v>
      </c>
      <c r="F63" s="94">
        <v>35</v>
      </c>
      <c r="G63" s="157" t="s">
        <v>7</v>
      </c>
      <c r="H63" s="160">
        <v>9</v>
      </c>
      <c r="I63" s="96">
        <v>7</v>
      </c>
      <c r="J63" s="96">
        <v>20</v>
      </c>
      <c r="K63" s="96">
        <v>3</v>
      </c>
      <c r="L63" s="96">
        <v>5</v>
      </c>
      <c r="M63" s="96"/>
      <c r="N63" s="96"/>
      <c r="O63" s="96"/>
      <c r="P63" s="96">
        <v>1</v>
      </c>
      <c r="Q63" s="96"/>
      <c r="R63" s="96">
        <v>10</v>
      </c>
      <c r="S63" s="96">
        <v>5</v>
      </c>
      <c r="T63" s="96"/>
      <c r="U63" s="96"/>
      <c r="V63" s="96">
        <v>1</v>
      </c>
      <c r="W63" s="96">
        <v>15</v>
      </c>
      <c r="X63" s="96"/>
      <c r="Y63" s="96">
        <v>7</v>
      </c>
      <c r="Z63" s="96">
        <v>8</v>
      </c>
      <c r="AA63" s="96"/>
      <c r="AB63" s="96"/>
      <c r="AC63" s="96">
        <v>7</v>
      </c>
      <c r="AD63" s="96"/>
      <c r="AE63" s="96"/>
      <c r="AF63" s="96">
        <v>8</v>
      </c>
      <c r="AG63" s="96">
        <v>8</v>
      </c>
      <c r="AH63" s="96"/>
      <c r="AI63" s="96"/>
      <c r="AJ63" s="96">
        <v>4</v>
      </c>
      <c r="AK63" s="97">
        <v>8</v>
      </c>
      <c r="AL63" s="1" t="s">
        <v>3</v>
      </c>
    </row>
    <row r="64" spans="2:38" s="1" customFormat="1" ht="13.5" outlineLevel="1">
      <c r="B64" s="208"/>
      <c r="C64" s="211"/>
      <c r="D64" s="31" t="s">
        <v>34</v>
      </c>
      <c r="E64" s="112">
        <f t="shared" si="22"/>
        <v>860</v>
      </c>
      <c r="F64" s="94">
        <v>10</v>
      </c>
      <c r="G64" s="157" t="s">
        <v>7</v>
      </c>
      <c r="H64" s="160"/>
      <c r="I64" s="96">
        <v>11</v>
      </c>
      <c r="J64" s="96"/>
      <c r="K64" s="96"/>
      <c r="L64" s="96"/>
      <c r="M64" s="96"/>
      <c r="N64" s="96"/>
      <c r="O64" s="96"/>
      <c r="P64" s="96"/>
      <c r="Q64" s="96"/>
      <c r="R64" s="96">
        <v>21</v>
      </c>
      <c r="S64" s="96">
        <v>2</v>
      </c>
      <c r="T64" s="96"/>
      <c r="U64" s="96"/>
      <c r="V64" s="96">
        <v>5</v>
      </c>
      <c r="W64" s="96"/>
      <c r="X64" s="96">
        <v>8</v>
      </c>
      <c r="Y64" s="96">
        <v>5</v>
      </c>
      <c r="Z64" s="96"/>
      <c r="AA64" s="96"/>
      <c r="AB64" s="96"/>
      <c r="AC64" s="96">
        <v>14</v>
      </c>
      <c r="AD64" s="96">
        <v>4</v>
      </c>
      <c r="AE64" s="96"/>
      <c r="AF64" s="96"/>
      <c r="AG64" s="96">
        <v>9</v>
      </c>
      <c r="AH64" s="96"/>
      <c r="AI64" s="96"/>
      <c r="AJ64" s="96"/>
      <c r="AK64" s="97">
        <v>7</v>
      </c>
      <c r="AL64" s="1" t="s">
        <v>3</v>
      </c>
    </row>
    <row r="65" spans="2:38" s="1" customFormat="1" ht="14" outlineLevel="1" thickBot="1">
      <c r="B65" s="208"/>
      <c r="C65" s="211"/>
      <c r="D65" s="31"/>
      <c r="E65" s="109"/>
      <c r="F65" s="114"/>
      <c r="G65" s="164" t="s">
        <v>7</v>
      </c>
      <c r="H65" s="161"/>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H65" s="110"/>
      <c r="AI65" s="110"/>
      <c r="AJ65" s="110"/>
      <c r="AK65" s="115"/>
      <c r="AL65" s="1" t="s">
        <v>3</v>
      </c>
    </row>
    <row r="66" spans="2:38" s="1" customFormat="1" ht="15" customHeight="1" outlineLevel="1">
      <c r="B66" s="226" t="s">
        <v>38</v>
      </c>
      <c r="C66" s="235" t="s">
        <v>5</v>
      </c>
      <c r="D66" s="236"/>
      <c r="E66" s="106">
        <f>SUM(H66:AK66)</f>
        <v>223</v>
      </c>
      <c r="F66" s="106" t="s">
        <v>10</v>
      </c>
      <c r="G66" s="163" t="s">
        <v>7</v>
      </c>
      <c r="H66" s="159">
        <v>6</v>
      </c>
      <c r="I66" s="103">
        <v>16</v>
      </c>
      <c r="J66" s="103">
        <v>3</v>
      </c>
      <c r="K66" s="103">
        <v>11</v>
      </c>
      <c r="L66" s="103">
        <v>13</v>
      </c>
      <c r="M66" s="103"/>
      <c r="N66" s="103"/>
      <c r="O66" s="103">
        <v>9</v>
      </c>
      <c r="P66" s="103">
        <v>13</v>
      </c>
      <c r="Q66" s="103">
        <v>5</v>
      </c>
      <c r="R66" s="103">
        <v>7</v>
      </c>
      <c r="S66" s="103">
        <v>12</v>
      </c>
      <c r="T66" s="103"/>
      <c r="U66" s="103"/>
      <c r="V66" s="103">
        <v>9</v>
      </c>
      <c r="W66" s="103">
        <v>1</v>
      </c>
      <c r="X66" s="103">
        <v>12</v>
      </c>
      <c r="Y66" s="103">
        <v>29</v>
      </c>
      <c r="Z66" s="103">
        <v>10</v>
      </c>
      <c r="AA66" s="103"/>
      <c r="AB66" s="103"/>
      <c r="AC66" s="103">
        <v>7</v>
      </c>
      <c r="AD66" s="103">
        <v>9</v>
      </c>
      <c r="AE66" s="103">
        <v>9</v>
      </c>
      <c r="AF66" s="103">
        <v>9</v>
      </c>
      <c r="AG66" s="103">
        <v>10</v>
      </c>
      <c r="AH66" s="103"/>
      <c r="AI66" s="103"/>
      <c r="AJ66" s="103">
        <v>6</v>
      </c>
      <c r="AK66" s="104">
        <v>17</v>
      </c>
      <c r="AL66" s="1" t="s">
        <v>3</v>
      </c>
    </row>
    <row r="67" spans="2:38" s="1" customFormat="1" ht="15" customHeight="1" outlineLevel="1">
      <c r="B67" s="208"/>
      <c r="C67" s="233" t="s">
        <v>29</v>
      </c>
      <c r="D67" s="234"/>
      <c r="E67" s="94">
        <f>SUM(H67:AK67)</f>
        <v>160</v>
      </c>
      <c r="F67" s="94" t="s">
        <v>10</v>
      </c>
      <c r="G67" s="157" t="s">
        <v>7</v>
      </c>
      <c r="H67" s="160">
        <f>SUM(H73:H78)</f>
        <v>4</v>
      </c>
      <c r="I67" s="96">
        <f>SUM(I73:I78)</f>
        <v>8</v>
      </c>
      <c r="J67" s="96">
        <f>SUM(J73:J78)</f>
        <v>7</v>
      </c>
      <c r="K67" s="96">
        <f t="shared" ref="K67:AK67" si="23">SUM(K73:K78)</f>
        <v>10</v>
      </c>
      <c r="L67" s="96">
        <f t="shared" si="23"/>
        <v>21</v>
      </c>
      <c r="M67" s="96">
        <f t="shared" si="23"/>
        <v>0</v>
      </c>
      <c r="N67" s="96">
        <f t="shared" si="23"/>
        <v>0</v>
      </c>
      <c r="O67" s="96">
        <f t="shared" si="23"/>
        <v>0</v>
      </c>
      <c r="P67" s="96">
        <f t="shared" si="23"/>
        <v>16</v>
      </c>
      <c r="Q67" s="96">
        <f t="shared" si="23"/>
        <v>0</v>
      </c>
      <c r="R67" s="96">
        <f>SUM(R73:R78)</f>
        <v>0</v>
      </c>
      <c r="S67" s="96">
        <f t="shared" si="23"/>
        <v>5</v>
      </c>
      <c r="T67" s="96">
        <f t="shared" si="23"/>
        <v>0</v>
      </c>
      <c r="U67" s="96">
        <f t="shared" si="23"/>
        <v>0</v>
      </c>
      <c r="V67" s="96">
        <f t="shared" si="23"/>
        <v>0</v>
      </c>
      <c r="W67" s="96">
        <f t="shared" si="23"/>
        <v>12</v>
      </c>
      <c r="X67" s="96">
        <f t="shared" si="23"/>
        <v>8</v>
      </c>
      <c r="Y67" s="96">
        <f t="shared" si="23"/>
        <v>6</v>
      </c>
      <c r="Z67" s="96">
        <f t="shared" si="23"/>
        <v>9</v>
      </c>
      <c r="AA67" s="96">
        <f t="shared" si="23"/>
        <v>0</v>
      </c>
      <c r="AB67" s="96">
        <f t="shared" si="23"/>
        <v>0</v>
      </c>
      <c r="AC67" s="96">
        <f t="shared" si="23"/>
        <v>0</v>
      </c>
      <c r="AD67" s="96">
        <f t="shared" si="23"/>
        <v>12</v>
      </c>
      <c r="AE67" s="96">
        <f t="shared" si="23"/>
        <v>9</v>
      </c>
      <c r="AF67" s="96">
        <f t="shared" si="23"/>
        <v>9</v>
      </c>
      <c r="AG67" s="96">
        <f t="shared" si="23"/>
        <v>14</v>
      </c>
      <c r="AH67" s="96">
        <f t="shared" si="23"/>
        <v>0</v>
      </c>
      <c r="AI67" s="96">
        <f t="shared" si="23"/>
        <v>0</v>
      </c>
      <c r="AJ67" s="96">
        <f t="shared" si="23"/>
        <v>0</v>
      </c>
      <c r="AK67" s="97">
        <f t="shared" si="23"/>
        <v>10</v>
      </c>
      <c r="AL67" s="1" t="s">
        <v>3</v>
      </c>
    </row>
    <row r="68" spans="2:38" s="1" customFormat="1" ht="15" customHeight="1" outlineLevel="1">
      <c r="B68" s="208"/>
      <c r="C68" s="237" t="s">
        <v>43</v>
      </c>
      <c r="D68" s="238"/>
      <c r="E68" s="117">
        <f>AK68</f>
        <v>160</v>
      </c>
      <c r="F68" s="117" t="s">
        <v>6</v>
      </c>
      <c r="G68" s="158" t="s">
        <v>7</v>
      </c>
      <c r="H68" s="166">
        <f>'0501(実績)'!AK65+'0601(実績)'!H67</f>
        <v>4</v>
      </c>
      <c r="I68" s="119">
        <f>H68+I67</f>
        <v>12</v>
      </c>
      <c r="J68" s="119">
        <f t="shared" ref="J68:AK68" si="24">I68+J67</f>
        <v>19</v>
      </c>
      <c r="K68" s="119">
        <f t="shared" si="24"/>
        <v>29</v>
      </c>
      <c r="L68" s="119">
        <f t="shared" si="24"/>
        <v>50</v>
      </c>
      <c r="M68" s="119">
        <f t="shared" si="24"/>
        <v>50</v>
      </c>
      <c r="N68" s="119">
        <f t="shared" si="24"/>
        <v>50</v>
      </c>
      <c r="O68" s="119">
        <f t="shared" si="24"/>
        <v>50</v>
      </c>
      <c r="P68" s="119">
        <f t="shared" si="24"/>
        <v>66</v>
      </c>
      <c r="Q68" s="119">
        <f t="shared" si="24"/>
        <v>66</v>
      </c>
      <c r="R68" s="119">
        <f t="shared" si="24"/>
        <v>66</v>
      </c>
      <c r="S68" s="119">
        <f t="shared" si="24"/>
        <v>71</v>
      </c>
      <c r="T68" s="119">
        <f t="shared" si="24"/>
        <v>71</v>
      </c>
      <c r="U68" s="119">
        <f t="shared" si="24"/>
        <v>71</v>
      </c>
      <c r="V68" s="119">
        <f t="shared" si="24"/>
        <v>71</v>
      </c>
      <c r="W68" s="119">
        <f t="shared" si="24"/>
        <v>83</v>
      </c>
      <c r="X68" s="119">
        <f t="shared" si="24"/>
        <v>91</v>
      </c>
      <c r="Y68" s="119">
        <f t="shared" si="24"/>
        <v>97</v>
      </c>
      <c r="Z68" s="119">
        <f t="shared" si="24"/>
        <v>106</v>
      </c>
      <c r="AA68" s="119">
        <f t="shared" si="24"/>
        <v>106</v>
      </c>
      <c r="AB68" s="119">
        <f t="shared" si="24"/>
        <v>106</v>
      </c>
      <c r="AC68" s="119">
        <f t="shared" si="24"/>
        <v>106</v>
      </c>
      <c r="AD68" s="119">
        <f t="shared" si="24"/>
        <v>118</v>
      </c>
      <c r="AE68" s="119">
        <f t="shared" si="24"/>
        <v>127</v>
      </c>
      <c r="AF68" s="119">
        <f t="shared" si="24"/>
        <v>136</v>
      </c>
      <c r="AG68" s="119">
        <f t="shared" si="24"/>
        <v>150</v>
      </c>
      <c r="AH68" s="119">
        <f t="shared" si="24"/>
        <v>150</v>
      </c>
      <c r="AI68" s="119">
        <f t="shared" si="24"/>
        <v>150</v>
      </c>
      <c r="AJ68" s="119">
        <f t="shared" si="24"/>
        <v>150</v>
      </c>
      <c r="AK68" s="198">
        <f t="shared" si="24"/>
        <v>160</v>
      </c>
      <c r="AL68" s="1" t="s">
        <v>3</v>
      </c>
    </row>
    <row r="69" spans="2:38" s="1" customFormat="1" ht="15" customHeight="1" outlineLevel="1">
      <c r="B69" s="208"/>
      <c r="C69" s="233" t="s">
        <v>30</v>
      </c>
      <c r="D69" s="234"/>
      <c r="E69" s="94">
        <f>SUM(H69:AK69)</f>
        <v>179</v>
      </c>
      <c r="F69" s="94" t="s">
        <v>10</v>
      </c>
      <c r="G69" s="157" t="s">
        <v>7</v>
      </c>
      <c r="H69" s="160">
        <f>SUM(H79:H82)</f>
        <v>15</v>
      </c>
      <c r="I69" s="96">
        <f>SUM(I79:I82)</f>
        <v>16</v>
      </c>
      <c r="J69" s="96">
        <f t="shared" ref="J69:AK69" si="25">SUM(J79:J82)</f>
        <v>11</v>
      </c>
      <c r="K69" s="96">
        <f t="shared" si="25"/>
        <v>8</v>
      </c>
      <c r="L69" s="96">
        <f t="shared" si="25"/>
        <v>8</v>
      </c>
      <c r="M69" s="96">
        <f t="shared" si="25"/>
        <v>0</v>
      </c>
      <c r="N69" s="96">
        <f t="shared" si="25"/>
        <v>0</v>
      </c>
      <c r="O69" s="96">
        <f t="shared" si="25"/>
        <v>15</v>
      </c>
      <c r="P69" s="96">
        <f t="shared" si="25"/>
        <v>0</v>
      </c>
      <c r="Q69" s="96">
        <f t="shared" si="25"/>
        <v>17</v>
      </c>
      <c r="R69" s="96">
        <f t="shared" si="25"/>
        <v>5</v>
      </c>
      <c r="S69" s="96">
        <f t="shared" si="25"/>
        <v>0</v>
      </c>
      <c r="T69" s="96">
        <f t="shared" si="25"/>
        <v>0</v>
      </c>
      <c r="U69" s="96">
        <f t="shared" si="25"/>
        <v>0</v>
      </c>
      <c r="V69" s="96">
        <f t="shared" si="25"/>
        <v>4</v>
      </c>
      <c r="W69" s="96">
        <f t="shared" si="25"/>
        <v>1</v>
      </c>
      <c r="X69" s="96">
        <f t="shared" si="25"/>
        <v>7</v>
      </c>
      <c r="Y69" s="96">
        <f t="shared" si="25"/>
        <v>7</v>
      </c>
      <c r="Z69" s="96">
        <f t="shared" si="25"/>
        <v>7</v>
      </c>
      <c r="AA69" s="96">
        <f t="shared" si="25"/>
        <v>0</v>
      </c>
      <c r="AB69" s="96">
        <f t="shared" si="25"/>
        <v>0</v>
      </c>
      <c r="AC69" s="96">
        <f t="shared" si="25"/>
        <v>9</v>
      </c>
      <c r="AD69" s="96">
        <f t="shared" si="25"/>
        <v>4</v>
      </c>
      <c r="AE69" s="96">
        <f t="shared" si="25"/>
        <v>8</v>
      </c>
      <c r="AF69" s="96">
        <f t="shared" si="25"/>
        <v>13</v>
      </c>
      <c r="AG69" s="96">
        <f t="shared" si="25"/>
        <v>9</v>
      </c>
      <c r="AH69" s="96">
        <f t="shared" si="25"/>
        <v>0</v>
      </c>
      <c r="AI69" s="96">
        <f t="shared" si="25"/>
        <v>0</v>
      </c>
      <c r="AJ69" s="96">
        <f t="shared" si="25"/>
        <v>15</v>
      </c>
      <c r="AK69" s="97">
        <f t="shared" si="25"/>
        <v>0</v>
      </c>
      <c r="AL69" s="1" t="s">
        <v>3</v>
      </c>
    </row>
    <row r="70" spans="2:38" s="1" customFormat="1" ht="15" customHeight="1" outlineLevel="1">
      <c r="B70" s="208"/>
      <c r="C70" s="239" t="s">
        <v>13</v>
      </c>
      <c r="D70" s="240"/>
      <c r="E70" s="117">
        <f>AK70</f>
        <v>179</v>
      </c>
      <c r="F70" s="117" t="s">
        <v>6</v>
      </c>
      <c r="G70" s="158" t="s">
        <v>7</v>
      </c>
      <c r="H70" s="166">
        <f>'0501(実績)'!AK67+'0601(実績)'!H69</f>
        <v>15</v>
      </c>
      <c r="I70" s="119">
        <f>H70+I69</f>
        <v>31</v>
      </c>
      <c r="J70" s="119">
        <f>I70+J69</f>
        <v>42</v>
      </c>
      <c r="K70" s="119">
        <f t="shared" ref="K70:AK70" si="26">J70+K69</f>
        <v>50</v>
      </c>
      <c r="L70" s="119">
        <f t="shared" si="26"/>
        <v>58</v>
      </c>
      <c r="M70" s="119">
        <f t="shared" si="26"/>
        <v>58</v>
      </c>
      <c r="N70" s="119">
        <f t="shared" si="26"/>
        <v>58</v>
      </c>
      <c r="O70" s="119">
        <f t="shared" si="26"/>
        <v>73</v>
      </c>
      <c r="P70" s="119">
        <f t="shared" si="26"/>
        <v>73</v>
      </c>
      <c r="Q70" s="119">
        <f t="shared" si="26"/>
        <v>90</v>
      </c>
      <c r="R70" s="119">
        <f t="shared" si="26"/>
        <v>95</v>
      </c>
      <c r="S70" s="119">
        <f t="shared" si="26"/>
        <v>95</v>
      </c>
      <c r="T70" s="119">
        <f t="shared" si="26"/>
        <v>95</v>
      </c>
      <c r="U70" s="119">
        <f t="shared" si="26"/>
        <v>95</v>
      </c>
      <c r="V70" s="119">
        <f t="shared" si="26"/>
        <v>99</v>
      </c>
      <c r="W70" s="119">
        <f t="shared" si="26"/>
        <v>100</v>
      </c>
      <c r="X70" s="119">
        <f t="shared" si="26"/>
        <v>107</v>
      </c>
      <c r="Y70" s="119">
        <f t="shared" si="26"/>
        <v>114</v>
      </c>
      <c r="Z70" s="119">
        <f t="shared" si="26"/>
        <v>121</v>
      </c>
      <c r="AA70" s="119">
        <f t="shared" si="26"/>
        <v>121</v>
      </c>
      <c r="AB70" s="119">
        <f t="shared" si="26"/>
        <v>121</v>
      </c>
      <c r="AC70" s="119">
        <f t="shared" si="26"/>
        <v>130</v>
      </c>
      <c r="AD70" s="119">
        <f t="shared" si="26"/>
        <v>134</v>
      </c>
      <c r="AE70" s="119">
        <f t="shared" si="26"/>
        <v>142</v>
      </c>
      <c r="AF70" s="119">
        <f t="shared" si="26"/>
        <v>155</v>
      </c>
      <c r="AG70" s="119">
        <f t="shared" si="26"/>
        <v>164</v>
      </c>
      <c r="AH70" s="119">
        <f t="shared" si="26"/>
        <v>164</v>
      </c>
      <c r="AI70" s="119">
        <f t="shared" si="26"/>
        <v>164</v>
      </c>
      <c r="AJ70" s="119">
        <f t="shared" si="26"/>
        <v>179</v>
      </c>
      <c r="AK70" s="120">
        <f t="shared" si="26"/>
        <v>179</v>
      </c>
      <c r="AL70" s="1" t="s">
        <v>3</v>
      </c>
    </row>
    <row r="71" spans="2:38" s="1" customFormat="1" ht="13.5" outlineLevel="1">
      <c r="B71" s="208"/>
      <c r="C71" s="233" t="s">
        <v>14</v>
      </c>
      <c r="D71" s="234"/>
      <c r="E71" s="94">
        <f>E66-E67</f>
        <v>63</v>
      </c>
      <c r="F71" s="94" t="s">
        <v>10</v>
      </c>
      <c r="G71" s="157" t="s">
        <v>7</v>
      </c>
      <c r="H71" s="160">
        <f>'0501(実績)'!AK71+'0601(実績)'!H66-H67</f>
        <v>129</v>
      </c>
      <c r="I71" s="96">
        <f>H71+I66-I67</f>
        <v>137</v>
      </c>
      <c r="J71" s="96">
        <f>I71+J66-J67</f>
        <v>133</v>
      </c>
      <c r="K71" s="96">
        <f t="shared" ref="K71:AK71" si="27">J71+K66-K67</f>
        <v>134</v>
      </c>
      <c r="L71" s="96">
        <f t="shared" si="27"/>
        <v>126</v>
      </c>
      <c r="M71" s="96">
        <f t="shared" si="27"/>
        <v>126</v>
      </c>
      <c r="N71" s="96">
        <f t="shared" si="27"/>
        <v>126</v>
      </c>
      <c r="O71" s="96">
        <f t="shared" si="27"/>
        <v>135</v>
      </c>
      <c r="P71" s="96">
        <f t="shared" si="27"/>
        <v>132</v>
      </c>
      <c r="Q71" s="96">
        <f t="shared" si="27"/>
        <v>137</v>
      </c>
      <c r="R71" s="96">
        <f t="shared" si="27"/>
        <v>144</v>
      </c>
      <c r="S71" s="96">
        <f t="shared" si="27"/>
        <v>151</v>
      </c>
      <c r="T71" s="96">
        <f t="shared" si="27"/>
        <v>151</v>
      </c>
      <c r="U71" s="96">
        <f t="shared" si="27"/>
        <v>151</v>
      </c>
      <c r="V71" s="96">
        <f t="shared" si="27"/>
        <v>160</v>
      </c>
      <c r="W71" s="96">
        <f t="shared" si="27"/>
        <v>149</v>
      </c>
      <c r="X71" s="96">
        <f t="shared" si="27"/>
        <v>153</v>
      </c>
      <c r="Y71" s="96">
        <f t="shared" si="27"/>
        <v>176</v>
      </c>
      <c r="Z71" s="96">
        <f t="shared" si="27"/>
        <v>177</v>
      </c>
      <c r="AA71" s="96">
        <f t="shared" si="27"/>
        <v>177</v>
      </c>
      <c r="AB71" s="96">
        <f t="shared" si="27"/>
        <v>177</v>
      </c>
      <c r="AC71" s="96">
        <f t="shared" si="27"/>
        <v>184</v>
      </c>
      <c r="AD71" s="96">
        <f t="shared" si="27"/>
        <v>181</v>
      </c>
      <c r="AE71" s="96">
        <f t="shared" si="27"/>
        <v>181</v>
      </c>
      <c r="AF71" s="96">
        <f t="shared" si="27"/>
        <v>181</v>
      </c>
      <c r="AG71" s="96">
        <f t="shared" si="27"/>
        <v>177</v>
      </c>
      <c r="AH71" s="96">
        <f t="shared" si="27"/>
        <v>177</v>
      </c>
      <c r="AI71" s="96">
        <f t="shared" si="27"/>
        <v>177</v>
      </c>
      <c r="AJ71" s="96">
        <f t="shared" si="27"/>
        <v>183</v>
      </c>
      <c r="AK71" s="97">
        <f t="shared" si="27"/>
        <v>190</v>
      </c>
      <c r="AL71" s="1" t="s">
        <v>3</v>
      </c>
    </row>
    <row r="72" spans="2:38" s="1" customFormat="1" ht="14" outlineLevel="1" thickBot="1">
      <c r="B72" s="208"/>
      <c r="C72" s="233" t="s">
        <v>15</v>
      </c>
      <c r="D72" s="234"/>
      <c r="E72" s="98">
        <f>E66-E69</f>
        <v>44</v>
      </c>
      <c r="F72" s="98" t="s">
        <v>10</v>
      </c>
      <c r="G72" s="157" t="s">
        <v>7</v>
      </c>
      <c r="H72" s="161">
        <f>'0501(実績)'!AK72+'0601(実績)'!H66-'0601(実績)'!H69</f>
        <v>81</v>
      </c>
      <c r="I72" s="110">
        <f>H72+I66-I69</f>
        <v>81</v>
      </c>
      <c r="J72" s="110">
        <f t="shared" ref="J72:AK72" si="28">I72+J66-J69</f>
        <v>73</v>
      </c>
      <c r="K72" s="110">
        <f t="shared" si="28"/>
        <v>76</v>
      </c>
      <c r="L72" s="110">
        <f t="shared" si="28"/>
        <v>81</v>
      </c>
      <c r="M72" s="110">
        <f t="shared" si="28"/>
        <v>81</v>
      </c>
      <c r="N72" s="110">
        <f t="shared" si="28"/>
        <v>81</v>
      </c>
      <c r="O72" s="110">
        <f t="shared" si="28"/>
        <v>75</v>
      </c>
      <c r="P72" s="110">
        <f t="shared" si="28"/>
        <v>88</v>
      </c>
      <c r="Q72" s="110">
        <f t="shared" si="28"/>
        <v>76</v>
      </c>
      <c r="R72" s="110">
        <f t="shared" si="28"/>
        <v>78</v>
      </c>
      <c r="S72" s="110">
        <f t="shared" si="28"/>
        <v>90</v>
      </c>
      <c r="T72" s="110">
        <f t="shared" si="28"/>
        <v>90</v>
      </c>
      <c r="U72" s="110">
        <f t="shared" si="28"/>
        <v>90</v>
      </c>
      <c r="V72" s="110">
        <f t="shared" si="28"/>
        <v>95</v>
      </c>
      <c r="W72" s="110">
        <f t="shared" si="28"/>
        <v>95</v>
      </c>
      <c r="X72" s="110">
        <f t="shared" si="28"/>
        <v>100</v>
      </c>
      <c r="Y72" s="110">
        <f t="shared" si="28"/>
        <v>122</v>
      </c>
      <c r="Z72" s="110">
        <f t="shared" si="28"/>
        <v>125</v>
      </c>
      <c r="AA72" s="110">
        <f t="shared" si="28"/>
        <v>125</v>
      </c>
      <c r="AB72" s="110">
        <f t="shared" si="28"/>
        <v>125</v>
      </c>
      <c r="AC72" s="110">
        <f t="shared" si="28"/>
        <v>123</v>
      </c>
      <c r="AD72" s="110">
        <f t="shared" si="28"/>
        <v>128</v>
      </c>
      <c r="AE72" s="110">
        <f t="shared" si="28"/>
        <v>129</v>
      </c>
      <c r="AF72" s="110">
        <f t="shared" si="28"/>
        <v>125</v>
      </c>
      <c r="AG72" s="110">
        <f t="shared" si="28"/>
        <v>126</v>
      </c>
      <c r="AH72" s="110">
        <f t="shared" si="28"/>
        <v>126</v>
      </c>
      <c r="AI72" s="110">
        <f t="shared" si="28"/>
        <v>126</v>
      </c>
      <c r="AJ72" s="110">
        <f t="shared" si="28"/>
        <v>117</v>
      </c>
      <c r="AK72" s="199">
        <f t="shared" si="28"/>
        <v>134</v>
      </c>
      <c r="AL72" s="1" t="s">
        <v>3</v>
      </c>
    </row>
    <row r="73" spans="2:38" s="1" customFormat="1" ht="13.5" outlineLevel="1">
      <c r="B73" s="208"/>
      <c r="C73" s="210" t="s">
        <v>16</v>
      </c>
      <c r="D73" s="28" t="s">
        <v>44</v>
      </c>
      <c r="E73" s="101">
        <f t="shared" ref="E73:E81" si="29">SUM(H73:AK73)*F73</f>
        <v>1040</v>
      </c>
      <c r="F73" s="102">
        <v>20</v>
      </c>
      <c r="G73" s="162" t="s">
        <v>7</v>
      </c>
      <c r="H73" s="159"/>
      <c r="I73" s="103"/>
      <c r="J73" s="103">
        <v>7</v>
      </c>
      <c r="K73" s="103"/>
      <c r="L73" s="103"/>
      <c r="M73" s="103"/>
      <c r="N73" s="103"/>
      <c r="O73" s="103"/>
      <c r="P73" s="103"/>
      <c r="Q73" s="103"/>
      <c r="R73" s="103"/>
      <c r="S73" s="103"/>
      <c r="T73" s="103"/>
      <c r="U73" s="103"/>
      <c r="V73" s="103"/>
      <c r="W73" s="103"/>
      <c r="X73" s="103"/>
      <c r="Y73" s="103"/>
      <c r="Z73" s="103">
        <v>9</v>
      </c>
      <c r="AA73" s="103"/>
      <c r="AB73" s="103"/>
      <c r="AC73" s="103"/>
      <c r="AD73" s="103">
        <v>12</v>
      </c>
      <c r="AE73" s="103"/>
      <c r="AF73" s="103"/>
      <c r="AG73" s="103">
        <v>14</v>
      </c>
      <c r="AH73" s="103"/>
      <c r="AI73" s="103"/>
      <c r="AJ73" s="103"/>
      <c r="AK73" s="104">
        <v>10</v>
      </c>
      <c r="AL73" s="1" t="s">
        <v>3</v>
      </c>
    </row>
    <row r="74" spans="2:38" s="1" customFormat="1" ht="13.5" outlineLevel="1">
      <c r="B74" s="208"/>
      <c r="C74" s="211"/>
      <c r="D74" s="126" t="s">
        <v>46</v>
      </c>
      <c r="E74" s="108">
        <f t="shared" si="29"/>
        <v>840</v>
      </c>
      <c r="F74" s="94">
        <v>20</v>
      </c>
      <c r="G74" s="157" t="s">
        <v>7</v>
      </c>
      <c r="H74" s="160">
        <v>4</v>
      </c>
      <c r="I74" s="96"/>
      <c r="J74" s="96"/>
      <c r="K74" s="96">
        <v>10</v>
      </c>
      <c r="L74" s="96"/>
      <c r="M74" s="96"/>
      <c r="N74" s="96"/>
      <c r="O74" s="96"/>
      <c r="P74" s="96"/>
      <c r="Q74" s="96"/>
      <c r="R74" s="96"/>
      <c r="S74" s="96">
        <v>5</v>
      </c>
      <c r="T74" s="96"/>
      <c r="U74" s="96"/>
      <c r="V74" s="96"/>
      <c r="W74" s="96"/>
      <c r="X74" s="96">
        <v>8</v>
      </c>
      <c r="Y74" s="96">
        <v>6</v>
      </c>
      <c r="Z74" s="96"/>
      <c r="AA74" s="96"/>
      <c r="AB74" s="96"/>
      <c r="AC74" s="96"/>
      <c r="AD74" s="96"/>
      <c r="AE74" s="96">
        <v>9</v>
      </c>
      <c r="AF74" s="96"/>
      <c r="AG74" s="96"/>
      <c r="AH74" s="96"/>
      <c r="AI74" s="96"/>
      <c r="AJ74" s="96"/>
      <c r="AK74" s="97"/>
      <c r="AL74" s="1" t="s">
        <v>3</v>
      </c>
    </row>
    <row r="75" spans="2:38" s="1" customFormat="1" ht="13.5" outlineLevel="1">
      <c r="B75" s="208"/>
      <c r="C75" s="211"/>
      <c r="D75" s="126" t="s">
        <v>48</v>
      </c>
      <c r="E75" s="108">
        <f t="shared" si="29"/>
        <v>580</v>
      </c>
      <c r="F75" s="94">
        <v>20</v>
      </c>
      <c r="G75" s="157" t="s">
        <v>7</v>
      </c>
      <c r="H75" s="160"/>
      <c r="I75" s="96">
        <v>8</v>
      </c>
      <c r="J75" s="96"/>
      <c r="K75" s="96"/>
      <c r="L75" s="96"/>
      <c r="M75" s="96"/>
      <c r="N75" s="96"/>
      <c r="O75" s="96"/>
      <c r="P75" s="96"/>
      <c r="Q75" s="96"/>
      <c r="R75" s="96"/>
      <c r="S75" s="96"/>
      <c r="T75" s="96"/>
      <c r="U75" s="96"/>
      <c r="V75" s="96"/>
      <c r="W75" s="96">
        <v>12</v>
      </c>
      <c r="X75" s="96"/>
      <c r="Y75" s="96"/>
      <c r="Z75" s="96"/>
      <c r="AA75" s="96"/>
      <c r="AB75" s="96"/>
      <c r="AC75" s="96"/>
      <c r="AD75" s="96"/>
      <c r="AE75" s="96"/>
      <c r="AF75" s="96">
        <v>9</v>
      </c>
      <c r="AG75" s="96"/>
      <c r="AH75" s="96"/>
      <c r="AI75" s="96"/>
      <c r="AJ75" s="96"/>
      <c r="AK75" s="97"/>
      <c r="AL75" s="1" t="s">
        <v>3</v>
      </c>
    </row>
    <row r="76" spans="2:38" s="1" customFormat="1" ht="13.5" outlineLevel="1">
      <c r="B76" s="208"/>
      <c r="C76" s="211"/>
      <c r="D76" s="126" t="s">
        <v>49</v>
      </c>
      <c r="E76" s="108">
        <f t="shared" si="29"/>
        <v>740</v>
      </c>
      <c r="F76" s="94">
        <v>20</v>
      </c>
      <c r="G76" s="157" t="s">
        <v>7</v>
      </c>
      <c r="H76" s="160"/>
      <c r="I76" s="96"/>
      <c r="J76" s="96"/>
      <c r="K76" s="96"/>
      <c r="L76" s="96">
        <v>21</v>
      </c>
      <c r="M76" s="96"/>
      <c r="N76" s="96"/>
      <c r="O76" s="96"/>
      <c r="P76" s="96">
        <v>16</v>
      </c>
      <c r="Q76" s="96"/>
      <c r="R76" s="96"/>
      <c r="S76" s="96"/>
      <c r="T76" s="96"/>
      <c r="U76" s="96"/>
      <c r="V76" s="96"/>
      <c r="W76" s="96"/>
      <c r="X76" s="96"/>
      <c r="Y76" s="96"/>
      <c r="Z76" s="96"/>
      <c r="AA76" s="96"/>
      <c r="AB76" s="96"/>
      <c r="AC76" s="96"/>
      <c r="AD76" s="96"/>
      <c r="AE76" s="96"/>
      <c r="AF76" s="96"/>
      <c r="AG76" s="96"/>
      <c r="AH76" s="96"/>
      <c r="AI76" s="96"/>
      <c r="AJ76" s="96"/>
      <c r="AK76" s="97"/>
      <c r="AL76" s="1" t="s">
        <v>3</v>
      </c>
    </row>
    <row r="77" spans="2:38" s="1" customFormat="1" ht="13.5" outlineLevel="1">
      <c r="B77" s="208"/>
      <c r="C77" s="211"/>
      <c r="D77" s="29" t="s">
        <v>36</v>
      </c>
      <c r="E77" s="108">
        <f t="shared" si="29"/>
        <v>0</v>
      </c>
      <c r="F77" s="94">
        <v>10</v>
      </c>
      <c r="G77" s="157" t="s">
        <v>7</v>
      </c>
      <c r="H77" s="160"/>
      <c r="I77" s="96"/>
      <c r="J77" s="96"/>
      <c r="K77" s="96"/>
      <c r="L77" s="96"/>
      <c r="M77" s="96"/>
      <c r="N77" s="96"/>
      <c r="O77" s="96"/>
      <c r="P77" s="96"/>
      <c r="Q77" s="96"/>
      <c r="R77" s="96"/>
      <c r="S77" s="96"/>
      <c r="T77" s="96"/>
      <c r="U77" s="96"/>
      <c r="V77" s="96"/>
      <c r="W77" s="96"/>
      <c r="X77" s="96"/>
      <c r="Y77" s="96"/>
      <c r="Z77" s="96"/>
      <c r="AA77" s="96"/>
      <c r="AB77" s="96"/>
      <c r="AC77" s="96"/>
      <c r="AD77" s="96"/>
      <c r="AE77" s="96"/>
      <c r="AF77" s="96"/>
      <c r="AG77" s="96"/>
      <c r="AH77" s="96"/>
      <c r="AI77" s="96"/>
      <c r="AJ77" s="96"/>
      <c r="AK77" s="97"/>
      <c r="AL77" s="1" t="s">
        <v>3</v>
      </c>
    </row>
    <row r="78" spans="2:38" s="1" customFormat="1" ht="14" outlineLevel="1" thickBot="1">
      <c r="B78" s="208"/>
      <c r="C78" s="211"/>
      <c r="D78" s="29"/>
      <c r="E78" s="109">
        <f t="shared" si="29"/>
        <v>0</v>
      </c>
      <c r="F78" s="114"/>
      <c r="G78" s="164" t="s">
        <v>7</v>
      </c>
      <c r="H78" s="161"/>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5"/>
      <c r="AL78" s="1" t="s">
        <v>3</v>
      </c>
    </row>
    <row r="79" spans="2:38" s="1" customFormat="1" ht="13.5" outlineLevel="1">
      <c r="B79" s="208"/>
      <c r="C79" s="210" t="s">
        <v>25</v>
      </c>
      <c r="D79" s="30" t="s">
        <v>32</v>
      </c>
      <c r="E79" s="111">
        <f t="shared" si="29"/>
        <v>0</v>
      </c>
      <c r="F79" s="102">
        <v>8</v>
      </c>
      <c r="G79" s="162" t="s">
        <v>7</v>
      </c>
      <c r="H79" s="159"/>
      <c r="I79" s="103"/>
      <c r="J79" s="103"/>
      <c r="K79" s="103"/>
      <c r="L79" s="103"/>
      <c r="M79" s="103"/>
      <c r="N79" s="103"/>
      <c r="O79" s="103"/>
      <c r="P79" s="103"/>
      <c r="Q79" s="103"/>
      <c r="R79" s="103"/>
      <c r="S79" s="103"/>
      <c r="T79" s="103"/>
      <c r="U79" s="103"/>
      <c r="V79" s="103"/>
      <c r="W79" s="103"/>
      <c r="X79" s="103"/>
      <c r="Y79" s="103"/>
      <c r="Z79" s="103"/>
      <c r="AA79" s="103"/>
      <c r="AB79" s="103"/>
      <c r="AC79" s="103"/>
      <c r="AD79" s="103"/>
      <c r="AE79" s="103"/>
      <c r="AF79" s="103"/>
      <c r="AG79" s="103"/>
      <c r="AH79" s="103"/>
      <c r="AI79" s="103"/>
      <c r="AJ79" s="103"/>
      <c r="AK79" s="104"/>
      <c r="AL79" s="1" t="s">
        <v>3</v>
      </c>
    </row>
    <row r="80" spans="2:38" s="1" customFormat="1" ht="13.5" outlineLevel="1">
      <c r="B80" s="208"/>
      <c r="C80" s="211"/>
      <c r="D80" s="31" t="s">
        <v>33</v>
      </c>
      <c r="E80" s="112">
        <f t="shared" si="29"/>
        <v>2327</v>
      </c>
      <c r="F80" s="94">
        <v>13</v>
      </c>
      <c r="G80" s="157" t="s">
        <v>7</v>
      </c>
      <c r="H80" s="160">
        <v>15</v>
      </c>
      <c r="I80" s="96">
        <v>16</v>
      </c>
      <c r="J80" s="96">
        <v>11</v>
      </c>
      <c r="K80" s="96">
        <v>8</v>
      </c>
      <c r="L80" s="96">
        <v>8</v>
      </c>
      <c r="M80" s="96"/>
      <c r="N80" s="96"/>
      <c r="O80" s="96">
        <v>15</v>
      </c>
      <c r="P80" s="96"/>
      <c r="Q80" s="96">
        <v>17</v>
      </c>
      <c r="R80" s="96">
        <v>5</v>
      </c>
      <c r="S80" s="96"/>
      <c r="T80" s="96"/>
      <c r="U80" s="96"/>
      <c r="V80" s="96">
        <v>4</v>
      </c>
      <c r="W80" s="96">
        <v>1</v>
      </c>
      <c r="X80" s="96">
        <v>7</v>
      </c>
      <c r="Y80" s="96">
        <v>7</v>
      </c>
      <c r="Z80" s="96">
        <v>7</v>
      </c>
      <c r="AA80" s="96"/>
      <c r="AB80" s="96"/>
      <c r="AC80" s="96">
        <v>9</v>
      </c>
      <c r="AD80" s="96">
        <v>4</v>
      </c>
      <c r="AE80" s="96">
        <v>8</v>
      </c>
      <c r="AF80" s="96">
        <v>13</v>
      </c>
      <c r="AG80" s="96">
        <v>9</v>
      </c>
      <c r="AH80" s="96"/>
      <c r="AI80" s="96"/>
      <c r="AJ80" s="96">
        <v>15</v>
      </c>
      <c r="AK80" s="97"/>
      <c r="AL80" s="1" t="s">
        <v>3</v>
      </c>
    </row>
    <row r="81" spans="2:38" s="1" customFormat="1" ht="13.5" outlineLevel="1">
      <c r="B81" s="208"/>
      <c r="C81" s="211"/>
      <c r="D81" s="31" t="s">
        <v>34</v>
      </c>
      <c r="E81" s="112">
        <f t="shared" si="29"/>
        <v>0</v>
      </c>
      <c r="F81" s="94"/>
      <c r="G81" s="157" t="s">
        <v>7</v>
      </c>
      <c r="H81" s="160"/>
      <c r="I81" s="96"/>
      <c r="J81" s="96"/>
      <c r="K81" s="96"/>
      <c r="L81" s="96"/>
      <c r="M81" s="96"/>
      <c r="N81" s="96"/>
      <c r="O81" s="96"/>
      <c r="P81" s="96"/>
      <c r="Q81" s="96"/>
      <c r="R81" s="96"/>
      <c r="S81" s="96"/>
      <c r="T81" s="96"/>
      <c r="U81" s="96"/>
      <c r="V81" s="96"/>
      <c r="W81" s="96"/>
      <c r="X81" s="96"/>
      <c r="Y81" s="96"/>
      <c r="Z81" s="96"/>
      <c r="AA81" s="96"/>
      <c r="AB81" s="96"/>
      <c r="AC81" s="96"/>
      <c r="AD81" s="96"/>
      <c r="AE81" s="96"/>
      <c r="AF81" s="96"/>
      <c r="AG81" s="96"/>
      <c r="AH81" s="96"/>
      <c r="AI81" s="96"/>
      <c r="AJ81" s="96"/>
      <c r="AK81" s="97"/>
      <c r="AL81" s="1" t="s">
        <v>3</v>
      </c>
    </row>
    <row r="82" spans="2:38" s="1" customFormat="1" ht="14" outlineLevel="1" thickBot="1">
      <c r="B82" s="208"/>
      <c r="C82" s="211"/>
      <c r="D82" s="31"/>
      <c r="E82" s="116"/>
      <c r="F82" s="98"/>
      <c r="G82" s="165" t="s">
        <v>7</v>
      </c>
      <c r="H82" s="161"/>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c r="AI82" s="110"/>
      <c r="AJ82" s="110"/>
      <c r="AK82" s="115"/>
      <c r="AL82" s="1" t="s">
        <v>3</v>
      </c>
    </row>
    <row r="83" spans="2:38">
      <c r="B83" s="227" t="s">
        <v>39</v>
      </c>
      <c r="C83" s="228"/>
      <c r="D83" s="228"/>
      <c r="E83" s="228"/>
      <c r="F83" s="228"/>
      <c r="G83" s="228"/>
      <c r="H83" s="49">
        <f t="shared" ref="H83:AK83" si="30">H13+H31+H39+H56+H73</f>
        <v>0</v>
      </c>
      <c r="I83" s="49">
        <f t="shared" si="30"/>
        <v>0</v>
      </c>
      <c r="J83" s="49">
        <f t="shared" si="30"/>
        <v>40</v>
      </c>
      <c r="K83" s="49">
        <f t="shared" si="30"/>
        <v>12</v>
      </c>
      <c r="L83" s="49">
        <f t="shared" si="30"/>
        <v>12</v>
      </c>
      <c r="M83" s="49">
        <f t="shared" si="30"/>
        <v>0</v>
      </c>
      <c r="N83" s="49">
        <f t="shared" si="30"/>
        <v>0</v>
      </c>
      <c r="O83" s="49">
        <f t="shared" si="30"/>
        <v>0</v>
      </c>
      <c r="P83" s="49">
        <f t="shared" si="30"/>
        <v>8</v>
      </c>
      <c r="Q83" s="49">
        <f t="shared" si="30"/>
        <v>4</v>
      </c>
      <c r="R83" s="49">
        <f t="shared" si="30"/>
        <v>7</v>
      </c>
      <c r="S83" s="49">
        <f t="shared" si="30"/>
        <v>10</v>
      </c>
      <c r="T83" s="49">
        <f t="shared" si="30"/>
        <v>0</v>
      </c>
      <c r="U83" s="49">
        <f t="shared" si="30"/>
        <v>0</v>
      </c>
      <c r="V83" s="49">
        <f t="shared" si="30"/>
        <v>0</v>
      </c>
      <c r="W83" s="49">
        <f t="shared" si="30"/>
        <v>0</v>
      </c>
      <c r="X83" s="49">
        <f t="shared" si="30"/>
        <v>0</v>
      </c>
      <c r="Y83" s="49">
        <f t="shared" si="30"/>
        <v>13</v>
      </c>
      <c r="Z83" s="49">
        <f t="shared" si="30"/>
        <v>14</v>
      </c>
      <c r="AA83" s="49">
        <f t="shared" si="30"/>
        <v>0</v>
      </c>
      <c r="AB83" s="49">
        <f t="shared" si="30"/>
        <v>0</v>
      </c>
      <c r="AC83" s="49">
        <f t="shared" si="30"/>
        <v>4</v>
      </c>
      <c r="AD83" s="49">
        <f t="shared" si="30"/>
        <v>12</v>
      </c>
      <c r="AE83" s="49">
        <f t="shared" si="30"/>
        <v>9</v>
      </c>
      <c r="AF83" s="49">
        <f t="shared" si="30"/>
        <v>8</v>
      </c>
      <c r="AG83" s="49">
        <f t="shared" si="30"/>
        <v>18</v>
      </c>
      <c r="AH83" s="49">
        <f t="shared" si="30"/>
        <v>0</v>
      </c>
      <c r="AI83" s="49">
        <f t="shared" si="30"/>
        <v>0</v>
      </c>
      <c r="AJ83" s="49">
        <f t="shared" si="30"/>
        <v>0</v>
      </c>
      <c r="AK83" s="49">
        <f t="shared" si="30"/>
        <v>18</v>
      </c>
      <c r="AL83" s="1" t="s">
        <v>3</v>
      </c>
    </row>
    <row r="84" spans="2:38">
      <c r="B84" s="229" t="s">
        <v>40</v>
      </c>
      <c r="C84" s="230"/>
      <c r="D84" s="230"/>
      <c r="E84" s="230"/>
      <c r="F84" s="230"/>
      <c r="G84" s="230"/>
      <c r="H84" s="48">
        <v>0</v>
      </c>
      <c r="I84" s="48">
        <v>0</v>
      </c>
      <c r="J84" s="48">
        <v>4</v>
      </c>
      <c r="K84" s="48">
        <v>0</v>
      </c>
      <c r="L84" s="48">
        <v>0</v>
      </c>
      <c r="M84" s="48">
        <v>3</v>
      </c>
      <c r="N84" s="48">
        <v>4</v>
      </c>
      <c r="O84" s="48">
        <v>3</v>
      </c>
      <c r="P84" s="48">
        <v>3</v>
      </c>
      <c r="Q84" s="48">
        <v>4</v>
      </c>
      <c r="R84" s="48">
        <v>0</v>
      </c>
      <c r="S84" s="48">
        <v>0</v>
      </c>
      <c r="T84" s="48">
        <v>3</v>
      </c>
      <c r="U84" s="48">
        <v>4</v>
      </c>
      <c r="V84" s="48">
        <v>3</v>
      </c>
      <c r="W84" s="48">
        <v>3</v>
      </c>
      <c r="X84" s="48">
        <v>4</v>
      </c>
      <c r="Y84" s="48">
        <v>0</v>
      </c>
      <c r="Z84" s="48">
        <v>0</v>
      </c>
      <c r="AA84" s="48">
        <v>3</v>
      </c>
      <c r="AB84" s="48">
        <v>4</v>
      </c>
      <c r="AC84" s="48">
        <v>3</v>
      </c>
      <c r="AD84" s="48">
        <v>3</v>
      </c>
      <c r="AE84" s="48">
        <v>4</v>
      </c>
      <c r="AF84" s="48">
        <v>0</v>
      </c>
      <c r="AG84" s="48">
        <v>0</v>
      </c>
      <c r="AH84" s="48">
        <v>3</v>
      </c>
      <c r="AI84" s="48">
        <v>4</v>
      </c>
      <c r="AJ84" s="48">
        <v>0</v>
      </c>
      <c r="AK84" s="50">
        <v>3</v>
      </c>
      <c r="AL84" s="1" t="s">
        <v>3</v>
      </c>
    </row>
    <row r="85" spans="2:38">
      <c r="B85" s="229" t="s">
        <v>41</v>
      </c>
      <c r="C85" s="230"/>
      <c r="D85" s="230"/>
      <c r="E85" s="230"/>
      <c r="F85" s="230"/>
      <c r="G85" s="230"/>
      <c r="H85" s="48">
        <v>0</v>
      </c>
      <c r="I85" s="48">
        <v>0</v>
      </c>
      <c r="J85" s="48">
        <v>1.5</v>
      </c>
      <c r="K85" s="48">
        <v>0</v>
      </c>
      <c r="L85" s="48">
        <v>0</v>
      </c>
      <c r="M85" s="48">
        <v>1.5</v>
      </c>
      <c r="N85" s="48">
        <v>2</v>
      </c>
      <c r="O85" s="48">
        <v>1.5</v>
      </c>
      <c r="P85" s="48">
        <v>1.5</v>
      </c>
      <c r="Q85" s="48">
        <v>1.5</v>
      </c>
      <c r="R85" s="48">
        <v>0</v>
      </c>
      <c r="S85" s="48">
        <v>0</v>
      </c>
      <c r="T85" s="48">
        <v>1.5</v>
      </c>
      <c r="U85" s="48">
        <v>2</v>
      </c>
      <c r="V85" s="48">
        <v>1.5</v>
      </c>
      <c r="W85" s="48">
        <v>1.5</v>
      </c>
      <c r="X85" s="48">
        <v>1.5</v>
      </c>
      <c r="Y85" s="48">
        <v>0</v>
      </c>
      <c r="Z85" s="48">
        <v>0</v>
      </c>
      <c r="AA85" s="48">
        <v>1.5</v>
      </c>
      <c r="AB85" s="48">
        <v>2</v>
      </c>
      <c r="AC85" s="48">
        <v>1.5</v>
      </c>
      <c r="AD85" s="48">
        <v>1.5</v>
      </c>
      <c r="AE85" s="48">
        <v>1.5</v>
      </c>
      <c r="AF85" s="48">
        <v>0</v>
      </c>
      <c r="AG85" s="48">
        <v>0</v>
      </c>
      <c r="AH85" s="48">
        <v>1.5</v>
      </c>
      <c r="AI85" s="48">
        <v>2</v>
      </c>
      <c r="AJ85" s="48">
        <v>0</v>
      </c>
      <c r="AK85" s="50">
        <v>1.5</v>
      </c>
      <c r="AL85" s="1" t="s">
        <v>3</v>
      </c>
    </row>
    <row r="86" spans="2:38" ht="15.5" thickBot="1">
      <c r="B86" s="231" t="s">
        <v>42</v>
      </c>
      <c r="C86" s="232"/>
      <c r="D86" s="232"/>
      <c r="E86" s="232"/>
      <c r="F86" s="232"/>
      <c r="G86" s="232"/>
      <c r="H86" s="51">
        <f t="shared" ref="H86:AK86" si="31">H84-(H83+H85)</f>
        <v>0</v>
      </c>
      <c r="I86" s="51">
        <f t="shared" si="31"/>
        <v>0</v>
      </c>
      <c r="J86" s="51">
        <f t="shared" si="31"/>
        <v>-37.5</v>
      </c>
      <c r="K86" s="51">
        <f t="shared" si="31"/>
        <v>-12</v>
      </c>
      <c r="L86" s="51">
        <f t="shared" si="31"/>
        <v>-12</v>
      </c>
      <c r="M86" s="51">
        <f t="shared" si="31"/>
        <v>1.5</v>
      </c>
      <c r="N86" s="51">
        <f t="shared" si="31"/>
        <v>2</v>
      </c>
      <c r="O86" s="51">
        <f t="shared" si="31"/>
        <v>1.5</v>
      </c>
      <c r="P86" s="51">
        <f t="shared" si="31"/>
        <v>-6.5</v>
      </c>
      <c r="Q86" s="51">
        <f t="shared" si="31"/>
        <v>-1.5</v>
      </c>
      <c r="R86" s="51">
        <f t="shared" si="31"/>
        <v>-7</v>
      </c>
      <c r="S86" s="51">
        <f t="shared" si="31"/>
        <v>-10</v>
      </c>
      <c r="T86" s="51">
        <f t="shared" si="31"/>
        <v>1.5</v>
      </c>
      <c r="U86" s="51">
        <f t="shared" si="31"/>
        <v>2</v>
      </c>
      <c r="V86" s="51">
        <f t="shared" si="31"/>
        <v>1.5</v>
      </c>
      <c r="W86" s="51">
        <f t="shared" si="31"/>
        <v>1.5</v>
      </c>
      <c r="X86" s="51">
        <f t="shared" si="31"/>
        <v>2.5</v>
      </c>
      <c r="Y86" s="51">
        <f t="shared" si="31"/>
        <v>-13</v>
      </c>
      <c r="Z86" s="51">
        <f t="shared" si="31"/>
        <v>-14</v>
      </c>
      <c r="AA86" s="51">
        <f t="shared" si="31"/>
        <v>1.5</v>
      </c>
      <c r="AB86" s="51">
        <f t="shared" si="31"/>
        <v>2</v>
      </c>
      <c r="AC86" s="51">
        <f t="shared" si="31"/>
        <v>-2.5</v>
      </c>
      <c r="AD86" s="51">
        <f t="shared" si="31"/>
        <v>-10.5</v>
      </c>
      <c r="AE86" s="51">
        <f t="shared" si="31"/>
        <v>-6.5</v>
      </c>
      <c r="AF86" s="51">
        <f t="shared" si="31"/>
        <v>-8</v>
      </c>
      <c r="AG86" s="51">
        <f t="shared" si="31"/>
        <v>-18</v>
      </c>
      <c r="AH86" s="51">
        <f t="shared" si="31"/>
        <v>1.5</v>
      </c>
      <c r="AI86" s="51">
        <f t="shared" si="31"/>
        <v>2</v>
      </c>
      <c r="AJ86" s="51">
        <f t="shared" si="31"/>
        <v>0</v>
      </c>
      <c r="AK86" s="64">
        <f t="shared" si="31"/>
        <v>-16.5</v>
      </c>
      <c r="AL86" s="1" t="s">
        <v>3</v>
      </c>
    </row>
    <row r="87" spans="2:38">
      <c r="J87" s="58"/>
    </row>
  </sheetData>
  <mergeCells count="47">
    <mergeCell ref="C3:D5"/>
    <mergeCell ref="E3:E5"/>
    <mergeCell ref="F3:F5"/>
    <mergeCell ref="B6:B31"/>
    <mergeCell ref="C6:D6"/>
    <mergeCell ref="C7:D7"/>
    <mergeCell ref="C8:D8"/>
    <mergeCell ref="C9:D9"/>
    <mergeCell ref="C10:D10"/>
    <mergeCell ref="C11:D11"/>
    <mergeCell ref="C12:D12"/>
    <mergeCell ref="C13:C23"/>
    <mergeCell ref="C24:C31"/>
    <mergeCell ref="B32:B48"/>
    <mergeCell ref="C32:D32"/>
    <mergeCell ref="C33:D33"/>
    <mergeCell ref="C34:D34"/>
    <mergeCell ref="C35:D35"/>
    <mergeCell ref="C36:D36"/>
    <mergeCell ref="C37:D37"/>
    <mergeCell ref="C38:D38"/>
    <mergeCell ref="C39:C44"/>
    <mergeCell ref="C45:C48"/>
    <mergeCell ref="B49:B65"/>
    <mergeCell ref="C49:D49"/>
    <mergeCell ref="C50:D50"/>
    <mergeCell ref="C51:D51"/>
    <mergeCell ref="C52:D52"/>
    <mergeCell ref="C53:D53"/>
    <mergeCell ref="C54:D54"/>
    <mergeCell ref="C55:D55"/>
    <mergeCell ref="C56:C61"/>
    <mergeCell ref="C62:C65"/>
    <mergeCell ref="B86:G86"/>
    <mergeCell ref="C72:D72"/>
    <mergeCell ref="C73:C78"/>
    <mergeCell ref="C79:C82"/>
    <mergeCell ref="B83:G83"/>
    <mergeCell ref="B84:G84"/>
    <mergeCell ref="B85:G85"/>
    <mergeCell ref="B66:B82"/>
    <mergeCell ref="C66:D66"/>
    <mergeCell ref="C67:D67"/>
    <mergeCell ref="C68:D68"/>
    <mergeCell ref="C69:D69"/>
    <mergeCell ref="C70:D70"/>
    <mergeCell ref="C71:D71"/>
  </mergeCells>
  <phoneticPr fontId="2"/>
  <conditionalFormatting sqref="H4:AK5">
    <cfRule type="timePeriod" dxfId="11" priority="1" timePeriod="today">
      <formula>FLOOR(H4,1)=TODAY()</formula>
    </cfRule>
  </conditionalFormatting>
  <conditionalFormatting sqref="H86:AK86">
    <cfRule type="cellIs" dxfId="9" priority="3" operator="notEqual">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B454540E-DFE1-4D6E-8CC1-EA925BBE6DCE}">
            <xm:f>OR(WEEKDAY(H$4,2)&gt;=6,COUNTIF(祝日!$A:$A,H$4)&gt;=1)</xm:f>
            <x14:dxf>
              <fill>
                <patternFill>
                  <bgColor theme="1" tint="0.499984740745262"/>
                </patternFill>
              </fill>
            </x14:dxf>
          </x14:cfRule>
          <xm:sqref>H6:AK82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27DDD-4192-497C-BC53-13D5DC33DED5}">
  <dimension ref="B2:AL67"/>
  <sheetViews>
    <sheetView zoomScale="149" zoomScaleNormal="190" workbookViewId="0">
      <pane xSplit="7" ySplit="5" topLeftCell="S6" activePane="bottomRight" state="frozen"/>
      <selection pane="topRight" activeCell="Q66" sqref="Q66"/>
      <selection pane="bottomLeft" activeCell="Q66" sqref="Q66"/>
      <selection pane="bottomRight" activeCell="AC12" sqref="AC12"/>
    </sheetView>
  </sheetViews>
  <sheetFormatPr defaultRowHeight="15" outlineLevelRow="1"/>
  <cols>
    <col min="1" max="1" width="3.42578125" customWidth="1"/>
    <col min="2" max="2" width="4.640625" customWidth="1"/>
    <col min="3" max="3" width="3.35546875" bestFit="1" customWidth="1"/>
    <col min="4" max="4" width="8.5703125" customWidth="1"/>
    <col min="5" max="5" width="6.85546875" style="11" bestFit="1" customWidth="1"/>
    <col min="6" max="6" width="6" customWidth="1"/>
    <col min="7" max="7" width="4.640625" bestFit="1" customWidth="1"/>
    <col min="8" max="8" width="4.5703125" customWidth="1"/>
    <col min="9" max="9" width="4.35546875" bestFit="1" customWidth="1"/>
    <col min="10" max="10" width="4.640625" customWidth="1"/>
    <col min="11" max="11" width="4.140625" customWidth="1"/>
    <col min="12" max="12" width="4.35546875" bestFit="1" customWidth="1"/>
    <col min="13" max="13" width="4.35546875" customWidth="1"/>
    <col min="14" max="14" width="4.85546875" customWidth="1"/>
    <col min="15" max="15" width="4.140625" customWidth="1"/>
    <col min="16" max="21" width="4.35546875" bestFit="1" customWidth="1"/>
    <col min="22" max="22" width="4" customWidth="1"/>
    <col min="23" max="37" width="4.140625" customWidth="1"/>
    <col min="38" max="38" width="5.42578125" customWidth="1"/>
  </cols>
  <sheetData>
    <row r="2" spans="2:38" ht="15.5" thickBot="1">
      <c r="E2"/>
      <c r="H2">
        <v>1</v>
      </c>
      <c r="I2">
        <v>1</v>
      </c>
      <c r="J2">
        <v>1</v>
      </c>
      <c r="K2">
        <v>1</v>
      </c>
      <c r="L2">
        <v>1</v>
      </c>
      <c r="O2">
        <v>1</v>
      </c>
      <c r="P2">
        <v>1</v>
      </c>
      <c r="Q2">
        <v>1</v>
      </c>
      <c r="R2">
        <v>1</v>
      </c>
      <c r="S2">
        <v>1</v>
      </c>
      <c r="V2">
        <v>1</v>
      </c>
      <c r="W2">
        <v>1</v>
      </c>
      <c r="X2">
        <v>1</v>
      </c>
      <c r="Y2">
        <v>1</v>
      </c>
      <c r="Z2">
        <v>1</v>
      </c>
      <c r="AC2">
        <v>1</v>
      </c>
      <c r="AD2">
        <v>1</v>
      </c>
      <c r="AE2">
        <v>1</v>
      </c>
      <c r="AF2">
        <v>1</v>
      </c>
      <c r="AG2">
        <v>1</v>
      </c>
      <c r="AJ2">
        <v>1</v>
      </c>
      <c r="AK2">
        <v>1</v>
      </c>
    </row>
    <row r="3" spans="2:38" s="1" customFormat="1" ht="15" customHeight="1">
      <c r="C3" s="266"/>
      <c r="D3" s="267"/>
      <c r="E3" s="262" t="s">
        <v>0</v>
      </c>
      <c r="F3" s="264" t="s">
        <v>1</v>
      </c>
      <c r="G3" s="132"/>
      <c r="H3" s="133">
        <v>46174</v>
      </c>
      <c r="I3" s="134"/>
      <c r="J3" s="134"/>
      <c r="K3" s="134"/>
      <c r="L3" s="134"/>
      <c r="M3" s="134"/>
      <c r="N3" s="135" t="s">
        <v>2</v>
      </c>
      <c r="O3" s="134"/>
      <c r="P3" s="134"/>
      <c r="Q3" s="134"/>
      <c r="R3" s="134"/>
      <c r="S3" s="134"/>
      <c r="T3" s="135"/>
      <c r="U3" s="134"/>
      <c r="V3" s="134"/>
      <c r="W3" s="134"/>
      <c r="X3" s="134"/>
      <c r="Y3" s="134"/>
      <c r="Z3" s="134"/>
      <c r="AA3" s="134"/>
      <c r="AB3" s="134"/>
      <c r="AC3" s="134"/>
      <c r="AD3" s="134"/>
      <c r="AE3" s="134"/>
      <c r="AF3" s="134"/>
      <c r="AG3" s="134"/>
      <c r="AH3" s="134"/>
      <c r="AI3" s="134"/>
      <c r="AJ3" s="134"/>
      <c r="AK3" s="136"/>
      <c r="AL3" s="1" t="s">
        <v>3</v>
      </c>
    </row>
    <row r="4" spans="2:38" s="1" customFormat="1" ht="13.5" customHeight="1">
      <c r="C4" s="268"/>
      <c r="D4" s="269"/>
      <c r="E4" s="263"/>
      <c r="F4" s="265"/>
      <c r="G4" s="137"/>
      <c r="H4" s="138">
        <f>H3</f>
        <v>46174</v>
      </c>
      <c r="I4" s="139">
        <f t="shared" ref="I4:AK4" si="0">H4+1</f>
        <v>46175</v>
      </c>
      <c r="J4" s="139">
        <f t="shared" si="0"/>
        <v>46176</v>
      </c>
      <c r="K4" s="139">
        <f t="shared" si="0"/>
        <v>46177</v>
      </c>
      <c r="L4" s="139">
        <f t="shared" si="0"/>
        <v>46178</v>
      </c>
      <c r="M4" s="139">
        <f t="shared" si="0"/>
        <v>46179</v>
      </c>
      <c r="N4" s="139">
        <f t="shared" si="0"/>
        <v>46180</v>
      </c>
      <c r="O4" s="139">
        <f t="shared" si="0"/>
        <v>46181</v>
      </c>
      <c r="P4" s="139">
        <f t="shared" si="0"/>
        <v>46182</v>
      </c>
      <c r="Q4" s="139">
        <f t="shared" si="0"/>
        <v>46183</v>
      </c>
      <c r="R4" s="139">
        <f t="shared" si="0"/>
        <v>46184</v>
      </c>
      <c r="S4" s="139">
        <f t="shared" si="0"/>
        <v>46185</v>
      </c>
      <c r="T4" s="139">
        <f t="shared" si="0"/>
        <v>46186</v>
      </c>
      <c r="U4" s="139">
        <f t="shared" si="0"/>
        <v>46187</v>
      </c>
      <c r="V4" s="139">
        <f t="shared" si="0"/>
        <v>46188</v>
      </c>
      <c r="W4" s="139">
        <f t="shared" si="0"/>
        <v>46189</v>
      </c>
      <c r="X4" s="139">
        <f t="shared" si="0"/>
        <v>46190</v>
      </c>
      <c r="Y4" s="139">
        <f t="shared" si="0"/>
        <v>46191</v>
      </c>
      <c r="Z4" s="139">
        <f t="shared" si="0"/>
        <v>46192</v>
      </c>
      <c r="AA4" s="139">
        <f t="shared" si="0"/>
        <v>46193</v>
      </c>
      <c r="AB4" s="139">
        <f t="shared" si="0"/>
        <v>46194</v>
      </c>
      <c r="AC4" s="139">
        <f t="shared" si="0"/>
        <v>46195</v>
      </c>
      <c r="AD4" s="139">
        <f t="shared" si="0"/>
        <v>46196</v>
      </c>
      <c r="AE4" s="139">
        <f t="shared" si="0"/>
        <v>46197</v>
      </c>
      <c r="AF4" s="139">
        <f t="shared" si="0"/>
        <v>46198</v>
      </c>
      <c r="AG4" s="139">
        <f t="shared" si="0"/>
        <v>46199</v>
      </c>
      <c r="AH4" s="139">
        <f t="shared" si="0"/>
        <v>46200</v>
      </c>
      <c r="AI4" s="139">
        <f t="shared" si="0"/>
        <v>46201</v>
      </c>
      <c r="AJ4" s="139">
        <f t="shared" si="0"/>
        <v>46202</v>
      </c>
      <c r="AK4" s="140">
        <f t="shared" si="0"/>
        <v>46203</v>
      </c>
      <c r="AL4" s="1" t="s">
        <v>3</v>
      </c>
    </row>
    <row r="5" spans="2:38" s="1" customFormat="1" ht="14" thickBot="1">
      <c r="C5" s="268"/>
      <c r="D5" s="269"/>
      <c r="E5" s="263"/>
      <c r="F5" s="265"/>
      <c r="G5" s="141"/>
      <c r="H5" s="142">
        <f>H4</f>
        <v>46174</v>
      </c>
      <c r="I5" s="143">
        <f t="shared" ref="I5:AK5" si="1">I4</f>
        <v>46175</v>
      </c>
      <c r="J5" s="143">
        <f t="shared" si="1"/>
        <v>46176</v>
      </c>
      <c r="K5" s="143">
        <f t="shared" si="1"/>
        <v>46177</v>
      </c>
      <c r="L5" s="143">
        <f t="shared" si="1"/>
        <v>46178</v>
      </c>
      <c r="M5" s="143">
        <f t="shared" si="1"/>
        <v>46179</v>
      </c>
      <c r="N5" s="143">
        <f t="shared" si="1"/>
        <v>46180</v>
      </c>
      <c r="O5" s="143">
        <f t="shared" si="1"/>
        <v>46181</v>
      </c>
      <c r="P5" s="143">
        <f t="shared" si="1"/>
        <v>46182</v>
      </c>
      <c r="Q5" s="143">
        <f t="shared" si="1"/>
        <v>46183</v>
      </c>
      <c r="R5" s="143">
        <f t="shared" si="1"/>
        <v>46184</v>
      </c>
      <c r="S5" s="143">
        <f t="shared" si="1"/>
        <v>46185</v>
      </c>
      <c r="T5" s="143">
        <f t="shared" si="1"/>
        <v>46186</v>
      </c>
      <c r="U5" s="143">
        <f t="shared" si="1"/>
        <v>46187</v>
      </c>
      <c r="V5" s="143">
        <f t="shared" si="1"/>
        <v>46188</v>
      </c>
      <c r="W5" s="143">
        <f t="shared" si="1"/>
        <v>46189</v>
      </c>
      <c r="X5" s="143">
        <f t="shared" si="1"/>
        <v>46190</v>
      </c>
      <c r="Y5" s="143">
        <f t="shared" si="1"/>
        <v>46191</v>
      </c>
      <c r="Z5" s="143">
        <f t="shared" si="1"/>
        <v>46192</v>
      </c>
      <c r="AA5" s="143">
        <f t="shared" si="1"/>
        <v>46193</v>
      </c>
      <c r="AB5" s="143">
        <f t="shared" si="1"/>
        <v>46194</v>
      </c>
      <c r="AC5" s="143">
        <f t="shared" si="1"/>
        <v>46195</v>
      </c>
      <c r="AD5" s="143">
        <f t="shared" si="1"/>
        <v>46196</v>
      </c>
      <c r="AE5" s="143">
        <f t="shared" si="1"/>
        <v>46197</v>
      </c>
      <c r="AF5" s="143">
        <f t="shared" si="1"/>
        <v>46198</v>
      </c>
      <c r="AG5" s="143">
        <f t="shared" si="1"/>
        <v>46199</v>
      </c>
      <c r="AH5" s="143">
        <f t="shared" si="1"/>
        <v>46200</v>
      </c>
      <c r="AI5" s="143">
        <f t="shared" si="1"/>
        <v>46201</v>
      </c>
      <c r="AJ5" s="143">
        <f t="shared" si="1"/>
        <v>46202</v>
      </c>
      <c r="AK5" s="144">
        <f t="shared" si="1"/>
        <v>46203</v>
      </c>
      <c r="AL5" s="1" t="s">
        <v>3</v>
      </c>
    </row>
    <row r="6" spans="2:38" s="1" customFormat="1" ht="15" customHeight="1">
      <c r="B6" s="226" t="s">
        <v>4</v>
      </c>
      <c r="C6" s="259" t="s">
        <v>52</v>
      </c>
      <c r="D6" s="260"/>
      <c r="E6" s="149">
        <f>'0601(予定)'!E6</f>
        <v>5720</v>
      </c>
      <c r="F6" s="149" t="str">
        <f>'0601(予定)'!F6</f>
        <v>-</v>
      </c>
      <c r="G6" s="150" t="str">
        <f>'0601(予定)'!G6</f>
        <v>件数</v>
      </c>
      <c r="H6" s="151">
        <f>'0601(予定)'!H6</f>
        <v>0</v>
      </c>
      <c r="I6" s="151">
        <f>'0601(予定)'!I6</f>
        <v>0</v>
      </c>
      <c r="J6" s="151">
        <f>'0601(予定)'!J6</f>
        <v>0</v>
      </c>
      <c r="K6" s="151">
        <f>'0601(予定)'!K6</f>
        <v>0</v>
      </c>
      <c r="L6" s="151">
        <f>'0601(予定)'!L6</f>
        <v>0</v>
      </c>
      <c r="M6" s="151">
        <f>'0601(予定)'!M6</f>
        <v>0</v>
      </c>
      <c r="N6" s="151">
        <f>'0601(予定)'!N6</f>
        <v>0</v>
      </c>
      <c r="O6" s="151">
        <f>'0601(予定)'!O6</f>
        <v>0</v>
      </c>
      <c r="P6" s="151">
        <f>'0601(予定)'!P6</f>
        <v>0</v>
      </c>
      <c r="Q6" s="151">
        <f>'0601(予定)'!Q6</f>
        <v>0</v>
      </c>
      <c r="R6" s="151">
        <f>'0601(予定)'!R6</f>
        <v>0</v>
      </c>
      <c r="S6" s="151">
        <f>'0601(予定)'!S6</f>
        <v>0</v>
      </c>
      <c r="T6" s="151">
        <f>'0601(予定)'!T6</f>
        <v>0</v>
      </c>
      <c r="U6" s="151">
        <f>'0601(予定)'!U6</f>
        <v>0</v>
      </c>
      <c r="V6" s="151">
        <f>'0601(予定)'!V6</f>
        <v>0</v>
      </c>
      <c r="W6" s="151">
        <f>'0601(予定)'!W6</f>
        <v>0</v>
      </c>
      <c r="X6" s="151">
        <f>'0601(予定)'!X6</f>
        <v>0</v>
      </c>
      <c r="Y6" s="151">
        <f>'0601(予定)'!Y6</f>
        <v>0</v>
      </c>
      <c r="Z6" s="151">
        <f>'0601(予定)'!Z6</f>
        <v>0</v>
      </c>
      <c r="AA6" s="151">
        <f>'0601(予定)'!AA6</f>
        <v>0</v>
      </c>
      <c r="AB6" s="151">
        <f>'0601(予定)'!AB6</f>
        <v>0</v>
      </c>
      <c r="AC6" s="151">
        <f>'0601(予定)'!AC6</f>
        <v>0</v>
      </c>
      <c r="AD6" s="151">
        <f>'0601(予定)'!AD6</f>
        <v>0</v>
      </c>
      <c r="AE6" s="151">
        <f>'0601(予定)'!AE6</f>
        <v>0</v>
      </c>
      <c r="AF6" s="151">
        <f>'0601(予定)'!AF6</f>
        <v>0</v>
      </c>
      <c r="AG6" s="151">
        <f>'0601(予定)'!AG6</f>
        <v>0</v>
      </c>
      <c r="AH6" s="151">
        <f>'0601(予定)'!AH6</f>
        <v>0</v>
      </c>
      <c r="AI6" s="151">
        <f>'0601(予定)'!AI6</f>
        <v>0</v>
      </c>
      <c r="AJ6" s="151">
        <f>'0601(予定)'!AJ6</f>
        <v>0</v>
      </c>
      <c r="AK6" s="152">
        <f>'0601(予定)'!AK6</f>
        <v>0</v>
      </c>
      <c r="AL6" s="1">
        <f>SUM(H6:AK6)</f>
        <v>0</v>
      </c>
    </row>
    <row r="7" spans="2:38" s="1" customFormat="1" ht="15" customHeight="1">
      <c r="B7" s="208"/>
      <c r="C7" s="237" t="s">
        <v>5</v>
      </c>
      <c r="D7" s="238"/>
      <c r="E7" s="117">
        <f>'0601(実績)'!E6</f>
        <v>281</v>
      </c>
      <c r="F7" s="117" t="str">
        <f>'0601(実績)'!F6</f>
        <v>-</v>
      </c>
      <c r="G7" s="118" t="str">
        <f>'0601(実績)'!G6</f>
        <v>件数</v>
      </c>
      <c r="H7" s="119">
        <f>'0601(実績)'!H6</f>
        <v>20</v>
      </c>
      <c r="I7" s="119">
        <f>'0601(実績)'!I6</f>
        <v>23</v>
      </c>
      <c r="J7" s="119">
        <f>'0601(実績)'!J6</f>
        <v>14</v>
      </c>
      <c r="K7" s="119">
        <f>'0601(実績)'!K6</f>
        <v>3</v>
      </c>
      <c r="L7" s="119">
        <f>'0601(実績)'!L6</f>
        <v>29</v>
      </c>
      <c r="M7" s="119">
        <f>'0601(実績)'!M6</f>
        <v>0</v>
      </c>
      <c r="N7" s="119">
        <f>'0601(実績)'!N6</f>
        <v>0</v>
      </c>
      <c r="O7" s="119">
        <f>'0601(実績)'!O6</f>
        <v>12</v>
      </c>
      <c r="P7" s="119">
        <f>'0601(実績)'!P6</f>
        <v>15</v>
      </c>
      <c r="Q7" s="119">
        <f>'0601(実績)'!Q6</f>
        <v>8</v>
      </c>
      <c r="R7" s="119">
        <f>'0601(実績)'!R6</f>
        <v>8</v>
      </c>
      <c r="S7" s="119">
        <f>'0601(実績)'!S6</f>
        <v>17</v>
      </c>
      <c r="T7" s="119">
        <f>'0601(実績)'!T6</f>
        <v>0</v>
      </c>
      <c r="U7" s="119">
        <f>'0601(実績)'!U6</f>
        <v>0</v>
      </c>
      <c r="V7" s="119">
        <f>'0601(実績)'!V6</f>
        <v>9</v>
      </c>
      <c r="W7" s="119">
        <f>'0601(実績)'!W6</f>
        <v>4</v>
      </c>
      <c r="X7" s="119">
        <f>'0601(実績)'!X6</f>
        <v>13</v>
      </c>
      <c r="Y7" s="119">
        <f>'0601(実績)'!Y6</f>
        <v>11</v>
      </c>
      <c r="Z7" s="119">
        <f>'0601(実績)'!Z6</f>
        <v>13</v>
      </c>
      <c r="AA7" s="119">
        <f>'0601(実績)'!AA6</f>
        <v>0</v>
      </c>
      <c r="AB7" s="119">
        <f>'0601(実績)'!AB6</f>
        <v>0</v>
      </c>
      <c r="AC7" s="119">
        <f>'0601(実績)'!AC6</f>
        <v>10</v>
      </c>
      <c r="AD7" s="119">
        <f>'0601(実績)'!AD6</f>
        <v>14</v>
      </c>
      <c r="AE7" s="119">
        <f>'0601(実績)'!AE6</f>
        <v>12</v>
      </c>
      <c r="AF7" s="119">
        <f>'0601(実績)'!AF6</f>
        <v>12</v>
      </c>
      <c r="AG7" s="119">
        <f>'0601(実績)'!AG6</f>
        <v>11</v>
      </c>
      <c r="AH7" s="119">
        <f>'0601(実績)'!AH6</f>
        <v>0</v>
      </c>
      <c r="AI7" s="119">
        <f>'0601(実績)'!AI6</f>
        <v>0</v>
      </c>
      <c r="AJ7" s="119">
        <f>'0601(実績)'!AJ6</f>
        <v>15</v>
      </c>
      <c r="AK7" s="120">
        <f>'0601(実績)'!AK6</f>
        <v>8</v>
      </c>
      <c r="AL7" s="1">
        <f>SUM(H7:AK7)</f>
        <v>281</v>
      </c>
    </row>
    <row r="8" spans="2:38" s="1" customFormat="1" ht="15" customHeight="1">
      <c r="B8" s="208"/>
      <c r="C8" s="255" t="s">
        <v>9</v>
      </c>
      <c r="D8" s="261"/>
      <c r="E8" s="153" t="str">
        <f>'0601(予定)'!E8</f>
        <v>-</v>
      </c>
      <c r="F8" s="153" t="str">
        <f>'0601(予定)'!F8</f>
        <v>-</v>
      </c>
      <c r="G8" s="154" t="str">
        <f>'0601(予定)'!G8</f>
        <v>件数</v>
      </c>
      <c r="H8" s="155">
        <f>'0601(予定)'!H8</f>
        <v>3365</v>
      </c>
      <c r="I8" s="155">
        <f>'0601(予定)'!I8</f>
        <v>3425</v>
      </c>
      <c r="J8" s="155">
        <f>'0601(予定)'!J8</f>
        <v>3485</v>
      </c>
      <c r="K8" s="155">
        <f>'0601(予定)'!K8</f>
        <v>3545</v>
      </c>
      <c r="L8" s="155">
        <f>'0601(予定)'!L8</f>
        <v>3615</v>
      </c>
      <c r="M8" s="155">
        <f>'0601(予定)'!M8</f>
        <v>3615</v>
      </c>
      <c r="N8" s="155">
        <f>'0601(予定)'!N8</f>
        <v>3615</v>
      </c>
      <c r="O8" s="155">
        <f>'0601(予定)'!O8</f>
        <v>3675</v>
      </c>
      <c r="P8" s="155">
        <f>'0601(予定)'!P8</f>
        <v>3735</v>
      </c>
      <c r="Q8" s="155">
        <f>'0601(予定)'!Q8</f>
        <v>3795</v>
      </c>
      <c r="R8" s="155">
        <f>'0601(予定)'!R8</f>
        <v>3855</v>
      </c>
      <c r="S8" s="155">
        <f>'0601(予定)'!S8</f>
        <v>3925</v>
      </c>
      <c r="T8" s="155">
        <f>'0601(予定)'!T8</f>
        <v>3925</v>
      </c>
      <c r="U8" s="155">
        <f>'0601(予定)'!U8</f>
        <v>3925</v>
      </c>
      <c r="V8" s="155">
        <f>'0601(予定)'!V8</f>
        <v>3985</v>
      </c>
      <c r="W8" s="155">
        <f>'0601(予定)'!W8</f>
        <v>4045</v>
      </c>
      <c r="X8" s="155">
        <f>'0601(予定)'!X8</f>
        <v>4105</v>
      </c>
      <c r="Y8" s="155">
        <f>'0601(予定)'!Y8</f>
        <v>4165</v>
      </c>
      <c r="Z8" s="155">
        <f>'0601(予定)'!Z8</f>
        <v>4235</v>
      </c>
      <c r="AA8" s="155">
        <f>'0601(予定)'!AA8</f>
        <v>4235</v>
      </c>
      <c r="AB8" s="155">
        <f>'0601(予定)'!AB8</f>
        <v>4235</v>
      </c>
      <c r="AC8" s="155">
        <f>'0601(予定)'!AC8</f>
        <v>4295</v>
      </c>
      <c r="AD8" s="155">
        <f>'0601(予定)'!AD8</f>
        <v>4335</v>
      </c>
      <c r="AE8" s="155">
        <f>'0601(予定)'!AE8</f>
        <v>4365</v>
      </c>
      <c r="AF8" s="155">
        <f>'0601(予定)'!AF8</f>
        <v>4405</v>
      </c>
      <c r="AG8" s="155">
        <f>'0601(予定)'!AG8</f>
        <v>4455</v>
      </c>
      <c r="AH8" s="155">
        <f>'0601(予定)'!AH8</f>
        <v>4455</v>
      </c>
      <c r="AI8" s="155">
        <f>'0601(予定)'!AI8</f>
        <v>4455</v>
      </c>
      <c r="AJ8" s="155">
        <f>'0601(予定)'!AJ8</f>
        <v>4515</v>
      </c>
      <c r="AK8" s="156">
        <f>'0601(予定)'!AK8</f>
        <v>4515</v>
      </c>
      <c r="AL8" s="1" t="s">
        <v>3</v>
      </c>
    </row>
    <row r="9" spans="2:38" s="1" customFormat="1" ht="15" customHeight="1">
      <c r="B9" s="208"/>
      <c r="C9" s="237" t="s">
        <v>43</v>
      </c>
      <c r="D9" s="238"/>
      <c r="E9" s="117">
        <f>'0601(実績)'!E8</f>
        <v>4295</v>
      </c>
      <c r="F9" s="117" t="str">
        <f>'0601(実績)'!F8</f>
        <v>-</v>
      </c>
      <c r="G9" s="118" t="str">
        <f>'0601(実績)'!G8</f>
        <v>件数</v>
      </c>
      <c r="H9" s="119">
        <f>'0601(実績)'!H8</f>
        <v>3661</v>
      </c>
      <c r="I9" s="119">
        <f>'0601(実績)'!I8</f>
        <v>3669</v>
      </c>
      <c r="J9" s="119">
        <f>'0601(実績)'!J8</f>
        <v>3704</v>
      </c>
      <c r="K9" s="119">
        <f>'0601(実績)'!K8</f>
        <v>3727</v>
      </c>
      <c r="L9" s="119">
        <f>'0601(実績)'!L8</f>
        <v>3773</v>
      </c>
      <c r="M9" s="119">
        <f>'0601(実績)'!M8</f>
        <v>3773</v>
      </c>
      <c r="N9" s="119">
        <f>'0601(実績)'!N8</f>
        <v>3773</v>
      </c>
      <c r="O9" s="119">
        <f>'0601(実績)'!O8</f>
        <v>3815</v>
      </c>
      <c r="P9" s="119">
        <f>'0601(実績)'!P8</f>
        <v>3839</v>
      </c>
      <c r="Q9" s="119">
        <f>'0601(実績)'!Q8</f>
        <v>3864</v>
      </c>
      <c r="R9" s="119">
        <f>'0601(実績)'!R8</f>
        <v>3895</v>
      </c>
      <c r="S9" s="119">
        <f>'0601(実績)'!S8</f>
        <v>3929</v>
      </c>
      <c r="T9" s="119">
        <f>'0601(実績)'!T8</f>
        <v>3929</v>
      </c>
      <c r="U9" s="119">
        <f>'0601(実績)'!U8</f>
        <v>3929</v>
      </c>
      <c r="V9" s="119">
        <f>'0601(実績)'!V8</f>
        <v>3950</v>
      </c>
      <c r="W9" s="119">
        <f>'0601(実績)'!W8</f>
        <v>3992</v>
      </c>
      <c r="X9" s="119">
        <f>'0601(実績)'!X8</f>
        <v>4027</v>
      </c>
      <c r="Y9" s="119">
        <f>'0601(実績)'!Y8</f>
        <v>4061</v>
      </c>
      <c r="Z9" s="119">
        <f>'0601(実績)'!Z8</f>
        <v>4112</v>
      </c>
      <c r="AA9" s="119">
        <f>'0601(実績)'!AA8</f>
        <v>4112</v>
      </c>
      <c r="AB9" s="119">
        <f>'0601(実績)'!AB8</f>
        <v>4112</v>
      </c>
      <c r="AC9" s="119">
        <f>'0601(実績)'!AC8</f>
        <v>4156</v>
      </c>
      <c r="AD9" s="119">
        <f>'0601(実績)'!AD8</f>
        <v>4192</v>
      </c>
      <c r="AE9" s="119">
        <f>'0601(実績)'!AE8</f>
        <v>4228</v>
      </c>
      <c r="AF9" s="119">
        <f>'0601(実績)'!AF8</f>
        <v>4257</v>
      </c>
      <c r="AG9" s="119">
        <f>'0601(実績)'!AG8</f>
        <v>4265</v>
      </c>
      <c r="AH9" s="119">
        <f>'0601(実績)'!AH8</f>
        <v>4265</v>
      </c>
      <c r="AI9" s="119">
        <f>'0601(実績)'!AI8</f>
        <v>4265</v>
      </c>
      <c r="AJ9" s="119">
        <f>'0601(実績)'!AJ8</f>
        <v>4284</v>
      </c>
      <c r="AK9" s="120">
        <f>'0601(実績)'!AK8</f>
        <v>4295</v>
      </c>
      <c r="AL9" s="1" t="s">
        <v>3</v>
      </c>
    </row>
    <row r="10" spans="2:38" s="1" customFormat="1" ht="15" customHeight="1">
      <c r="B10" s="208"/>
      <c r="C10" s="255" t="s">
        <v>13</v>
      </c>
      <c r="D10" s="251"/>
      <c r="E10" s="153" t="str">
        <f>'0601(予定)'!E10</f>
        <v>-</v>
      </c>
      <c r="F10" s="153" t="str">
        <f>'0601(予定)'!F10</f>
        <v>-</v>
      </c>
      <c r="G10" s="154" t="str">
        <f>'0601(予定)'!G10</f>
        <v>件数</v>
      </c>
      <c r="H10" s="155">
        <f>'0601(予定)'!H10</f>
        <v>2347</v>
      </c>
      <c r="I10" s="155">
        <f>'0601(予定)'!I10</f>
        <v>2419</v>
      </c>
      <c r="J10" s="155">
        <f>'0601(予定)'!J10</f>
        <v>2489</v>
      </c>
      <c r="K10" s="155">
        <f>'0601(予定)'!K10</f>
        <v>2559</v>
      </c>
      <c r="L10" s="155">
        <f>'0601(予定)'!L10</f>
        <v>2639</v>
      </c>
      <c r="M10" s="155">
        <f>'0601(予定)'!M10</f>
        <v>2639</v>
      </c>
      <c r="N10" s="155">
        <f>'0601(予定)'!N10</f>
        <v>2639</v>
      </c>
      <c r="O10" s="155">
        <f>'0601(予定)'!O10</f>
        <v>2709</v>
      </c>
      <c r="P10" s="155">
        <f>'0601(予定)'!P10</f>
        <v>2781</v>
      </c>
      <c r="Q10" s="155">
        <f>'0601(予定)'!Q10</f>
        <v>2851</v>
      </c>
      <c r="R10" s="155">
        <f>'0601(予定)'!R10</f>
        <v>2921</v>
      </c>
      <c r="S10" s="155">
        <f>'0601(予定)'!S10</f>
        <v>3001</v>
      </c>
      <c r="T10" s="155">
        <f>'0601(予定)'!T10</f>
        <v>3001</v>
      </c>
      <c r="U10" s="155">
        <f>'0601(予定)'!U10</f>
        <v>3001</v>
      </c>
      <c r="V10" s="155">
        <f>'0601(予定)'!V10</f>
        <v>3071</v>
      </c>
      <c r="W10" s="155">
        <f>'0601(予定)'!W10</f>
        <v>3143</v>
      </c>
      <c r="X10" s="155">
        <f>'0601(予定)'!X10</f>
        <v>3213</v>
      </c>
      <c r="Y10" s="155">
        <f>'0601(予定)'!Y10</f>
        <v>3283</v>
      </c>
      <c r="Z10" s="155">
        <f>'0601(予定)'!Z10</f>
        <v>3363</v>
      </c>
      <c r="AA10" s="155">
        <f>'0601(予定)'!AA10</f>
        <v>3363</v>
      </c>
      <c r="AB10" s="155">
        <f>'0601(予定)'!AB10</f>
        <v>3363</v>
      </c>
      <c r="AC10" s="155">
        <f>'0601(予定)'!AC10</f>
        <v>3433</v>
      </c>
      <c r="AD10" s="155">
        <f>'0601(予定)'!AD10</f>
        <v>3525</v>
      </c>
      <c r="AE10" s="155">
        <f>'0601(予定)'!AE10</f>
        <v>3597</v>
      </c>
      <c r="AF10" s="155">
        <f>'0601(予定)'!AF10</f>
        <v>3687</v>
      </c>
      <c r="AG10" s="155">
        <f>'0601(予定)'!AG10</f>
        <v>3787</v>
      </c>
      <c r="AH10" s="155">
        <f>'0601(予定)'!AH10</f>
        <v>3787</v>
      </c>
      <c r="AI10" s="155">
        <f>'0601(予定)'!AI10</f>
        <v>3787</v>
      </c>
      <c r="AJ10" s="155">
        <f>'0601(予定)'!AJ10</f>
        <v>3857</v>
      </c>
      <c r="AK10" s="156">
        <f>'0601(予定)'!AK10</f>
        <v>3857</v>
      </c>
      <c r="AL10" s="1" t="s">
        <v>3</v>
      </c>
    </row>
    <row r="11" spans="2:38" s="1" customFormat="1" ht="16" customHeight="1" thickBot="1">
      <c r="B11" s="209"/>
      <c r="C11" s="252" t="s">
        <v>13</v>
      </c>
      <c r="D11" s="256"/>
      <c r="E11" s="145">
        <f>'0601(実績)'!E10</f>
        <v>3897</v>
      </c>
      <c r="F11" s="145" t="str">
        <f>'0601(実績)'!F10</f>
        <v>-</v>
      </c>
      <c r="G11" s="146" t="str">
        <f>'0601(実績)'!G10</f>
        <v>件数</v>
      </c>
      <c r="H11" s="147">
        <f>'0601(実績)'!H10</f>
        <v>2545</v>
      </c>
      <c r="I11" s="147">
        <f>'0601(実績)'!I10</f>
        <v>2653</v>
      </c>
      <c r="J11" s="147">
        <f>'0601(実績)'!J10</f>
        <v>2701</v>
      </c>
      <c r="K11" s="147">
        <f>'0601(実績)'!K10</f>
        <v>2797</v>
      </c>
      <c r="L11" s="147">
        <f>'0601(実績)'!L10</f>
        <v>2890</v>
      </c>
      <c r="M11" s="147">
        <f>'0601(実績)'!M10</f>
        <v>2890</v>
      </c>
      <c r="N11" s="147">
        <f>'0601(実績)'!N10</f>
        <v>2890</v>
      </c>
      <c r="O11" s="147">
        <f>'0601(実績)'!O10</f>
        <v>2965</v>
      </c>
      <c r="P11" s="147">
        <f>'0601(実績)'!P10</f>
        <v>3045</v>
      </c>
      <c r="Q11" s="147">
        <f>'0601(実績)'!Q10</f>
        <v>3113</v>
      </c>
      <c r="R11" s="147">
        <f>'0601(実績)'!R10</f>
        <v>3173</v>
      </c>
      <c r="S11" s="147">
        <f>'0601(実績)'!S10</f>
        <v>3253</v>
      </c>
      <c r="T11" s="147">
        <f>'0601(実績)'!T10</f>
        <v>3253</v>
      </c>
      <c r="U11" s="147">
        <f>'0601(実績)'!U10</f>
        <v>3253</v>
      </c>
      <c r="V11" s="147">
        <f>'0601(実績)'!V10</f>
        <v>3336</v>
      </c>
      <c r="W11" s="147">
        <f>'0601(実績)'!W10</f>
        <v>3403</v>
      </c>
      <c r="X11" s="147">
        <f>'0601(実績)'!X10</f>
        <v>3481</v>
      </c>
      <c r="Y11" s="147">
        <f>'0601(実績)'!Y10</f>
        <v>3545</v>
      </c>
      <c r="Z11" s="147">
        <f>'0601(実績)'!Z10</f>
        <v>3589</v>
      </c>
      <c r="AA11" s="147">
        <f>'0601(実績)'!AA10</f>
        <v>3589</v>
      </c>
      <c r="AB11" s="147">
        <f>'0601(実績)'!AB10</f>
        <v>3589</v>
      </c>
      <c r="AC11" s="147">
        <f>'0601(実績)'!AC10</f>
        <v>3642</v>
      </c>
      <c r="AD11" s="147">
        <f>'0601(実績)'!AD10</f>
        <v>3671</v>
      </c>
      <c r="AE11" s="147">
        <f>'0601(実績)'!AE10</f>
        <v>3713</v>
      </c>
      <c r="AF11" s="147">
        <f>'0601(実績)'!AF10</f>
        <v>3748</v>
      </c>
      <c r="AG11" s="147">
        <f>'0601(実績)'!AG10</f>
        <v>3802</v>
      </c>
      <c r="AH11" s="147">
        <f>'0601(実績)'!AH10</f>
        <v>3802</v>
      </c>
      <c r="AI11" s="147">
        <f>'0601(実績)'!AI10</f>
        <v>3802</v>
      </c>
      <c r="AJ11" s="147">
        <f>'0601(実績)'!AJ10</f>
        <v>3845</v>
      </c>
      <c r="AK11" s="148">
        <f>'0601(実績)'!AK10</f>
        <v>3897</v>
      </c>
      <c r="AL11" s="1" t="s">
        <v>3</v>
      </c>
    </row>
    <row r="12" spans="2:38" s="1" customFormat="1" ht="15" customHeight="1" outlineLevel="1">
      <c r="B12" s="254" t="s">
        <v>28</v>
      </c>
      <c r="C12" s="259" t="s">
        <v>52</v>
      </c>
      <c r="D12" s="260"/>
      <c r="E12" s="149">
        <f>'0601(予定)'!E24</f>
        <v>869</v>
      </c>
      <c r="F12" s="149" t="str">
        <f>'0601(予定)'!F24</f>
        <v>-</v>
      </c>
      <c r="G12" s="150" t="str">
        <f>'0601(予定)'!G24</f>
        <v>件数</v>
      </c>
      <c r="H12" s="151">
        <f>'0601(予定)'!H24</f>
        <v>841</v>
      </c>
      <c r="I12" s="151">
        <f>'0601(予定)'!I24</f>
        <v>839</v>
      </c>
      <c r="J12" s="151">
        <f>'0601(予定)'!J24</f>
        <v>844</v>
      </c>
      <c r="K12" s="151">
        <f>'0601(予定)'!K24</f>
        <v>840</v>
      </c>
      <c r="L12" s="151">
        <f>'0601(予定)'!L24</f>
        <v>822</v>
      </c>
      <c r="M12" s="151">
        <f>'0601(予定)'!M24</f>
        <v>822</v>
      </c>
      <c r="N12" s="151">
        <f>'0601(予定)'!N24</f>
        <v>822</v>
      </c>
      <c r="O12" s="151">
        <f>'0601(予定)'!O24</f>
        <v>837</v>
      </c>
      <c r="P12" s="151">
        <f>'0601(予定)'!P24</f>
        <v>835</v>
      </c>
      <c r="Q12" s="151">
        <f>'0601(予定)'!Q24</f>
        <v>831</v>
      </c>
      <c r="R12" s="151">
        <f>'0601(予定)'!R24</f>
        <v>824</v>
      </c>
      <c r="S12" s="151">
        <f>'0601(予定)'!S24</f>
        <v>836</v>
      </c>
      <c r="T12" s="151">
        <f>'0601(予定)'!T24</f>
        <v>836</v>
      </c>
      <c r="U12" s="151">
        <f>'0601(予定)'!U24</f>
        <v>836</v>
      </c>
      <c r="V12" s="151">
        <f>'0601(予定)'!V24</f>
        <v>873</v>
      </c>
      <c r="W12" s="151">
        <f>'0601(予定)'!W24</f>
        <v>868</v>
      </c>
      <c r="X12" s="151">
        <f>'0601(予定)'!X24</f>
        <v>864</v>
      </c>
      <c r="Y12" s="151">
        <f>'0601(予定)'!Y24</f>
        <v>866</v>
      </c>
      <c r="Z12" s="151">
        <f>'0601(予定)'!Z24</f>
        <v>860</v>
      </c>
      <c r="AA12" s="151">
        <f>'0601(予定)'!AA24</f>
        <v>860</v>
      </c>
      <c r="AB12" s="151">
        <f>'0601(予定)'!AB24</f>
        <v>860</v>
      </c>
      <c r="AC12" s="151">
        <f>'0601(予定)'!AC24</f>
        <v>848</v>
      </c>
      <c r="AD12" s="151">
        <f>'0601(予定)'!AD24</f>
        <v>852</v>
      </c>
      <c r="AE12" s="151">
        <f>'0601(予定)'!AE24</f>
        <v>846</v>
      </c>
      <c r="AF12" s="151">
        <f>'0601(予定)'!AF24</f>
        <v>847</v>
      </c>
      <c r="AG12" s="151">
        <f>'0601(予定)'!AG24</f>
        <v>839</v>
      </c>
      <c r="AH12" s="151">
        <f>'0601(予定)'!AH24</f>
        <v>839</v>
      </c>
      <c r="AI12" s="151">
        <f>'0601(予定)'!AI24</f>
        <v>839</v>
      </c>
      <c r="AJ12" s="151">
        <f>'0601(予定)'!AJ24</f>
        <v>859</v>
      </c>
      <c r="AK12" s="152">
        <f>'0601(予定)'!AK24</f>
        <v>869</v>
      </c>
      <c r="AL12" s="1" t="s">
        <v>3</v>
      </c>
    </row>
    <row r="13" spans="2:38" s="1" customFormat="1" ht="15" customHeight="1" outlineLevel="1">
      <c r="B13" s="208"/>
      <c r="C13" s="237" t="s">
        <v>5</v>
      </c>
      <c r="D13" s="238"/>
      <c r="E13" s="117">
        <f>'0601(実績)'!E29</f>
        <v>46</v>
      </c>
      <c r="F13" s="117">
        <f>'0601(実績)'!F29</f>
        <v>20</v>
      </c>
      <c r="G13" s="118" t="str">
        <f>'0601(実績)'!G29</f>
        <v>件数</v>
      </c>
      <c r="H13" s="119">
        <f>'0601(実績)'!H29</f>
        <v>0</v>
      </c>
      <c r="I13" s="119">
        <f>'0601(実績)'!I29</f>
        <v>4</v>
      </c>
      <c r="J13" s="119">
        <f>'0601(実績)'!J29</f>
        <v>0</v>
      </c>
      <c r="K13" s="119">
        <f>'0601(実績)'!K29</f>
        <v>15</v>
      </c>
      <c r="L13" s="119">
        <f>'0601(実績)'!L29</f>
        <v>0</v>
      </c>
      <c r="M13" s="119">
        <f>'0601(実績)'!M29</f>
        <v>0</v>
      </c>
      <c r="N13" s="119">
        <f>'0601(実績)'!N29</f>
        <v>0</v>
      </c>
      <c r="O13" s="119">
        <f>'0601(実績)'!O29</f>
        <v>0</v>
      </c>
      <c r="P13" s="119">
        <f>'0601(実績)'!P29</f>
        <v>10</v>
      </c>
      <c r="Q13" s="119">
        <f>'0601(実績)'!Q29</f>
        <v>0</v>
      </c>
      <c r="R13" s="119">
        <f>'0601(実績)'!R29</f>
        <v>0</v>
      </c>
      <c r="S13" s="119">
        <f>'0601(実績)'!S29</f>
        <v>0</v>
      </c>
      <c r="T13" s="119">
        <f>'0601(実績)'!T29</f>
        <v>0</v>
      </c>
      <c r="U13" s="119">
        <f>'0601(実績)'!U29</f>
        <v>0</v>
      </c>
      <c r="V13" s="119">
        <f>'0601(実績)'!V29</f>
        <v>0</v>
      </c>
      <c r="W13" s="119">
        <f>'0601(実績)'!W29</f>
        <v>0</v>
      </c>
      <c r="X13" s="119">
        <f>'0601(実績)'!X29</f>
        <v>0</v>
      </c>
      <c r="Y13" s="119">
        <f>'0601(実績)'!Y29</f>
        <v>0</v>
      </c>
      <c r="Z13" s="119">
        <f>'0601(実績)'!Z29</f>
        <v>0</v>
      </c>
      <c r="AA13" s="119">
        <f>'0601(実績)'!AA29</f>
        <v>0</v>
      </c>
      <c r="AB13" s="119">
        <f>'0601(実績)'!AB29</f>
        <v>0</v>
      </c>
      <c r="AC13" s="119">
        <f>'0601(実績)'!AC29</f>
        <v>0</v>
      </c>
      <c r="AD13" s="119">
        <f>'0601(実績)'!AD29</f>
        <v>0</v>
      </c>
      <c r="AE13" s="119">
        <f>'0601(実績)'!AE29</f>
        <v>0</v>
      </c>
      <c r="AF13" s="119">
        <f>'0601(実績)'!AF29</f>
        <v>0</v>
      </c>
      <c r="AG13" s="119">
        <f>'0601(実績)'!AG29</f>
        <v>0</v>
      </c>
      <c r="AH13" s="119">
        <f>'0601(実績)'!AH29</f>
        <v>0</v>
      </c>
      <c r="AI13" s="119">
        <f>'0601(実績)'!AI29</f>
        <v>0</v>
      </c>
      <c r="AJ13" s="119">
        <f>'0601(実績)'!AJ29</f>
        <v>0</v>
      </c>
      <c r="AK13" s="120">
        <f>'0601(実績)'!AK29</f>
        <v>17</v>
      </c>
      <c r="AL13" s="1" t="s">
        <v>3</v>
      </c>
    </row>
    <row r="14" spans="2:38" s="1" customFormat="1" ht="15" customHeight="1" outlineLevel="1">
      <c r="B14" s="208"/>
      <c r="C14" s="255" t="s">
        <v>9</v>
      </c>
      <c r="D14" s="261"/>
      <c r="E14" s="153">
        <f>'0601(予定)'!E14</f>
        <v>340</v>
      </c>
      <c r="F14" s="153">
        <f>'0601(予定)'!F14</f>
        <v>20</v>
      </c>
      <c r="G14" s="154" t="str">
        <f>'0601(予定)'!G14</f>
        <v>人数</v>
      </c>
      <c r="H14" s="155">
        <f>'0601(予定)'!H14</f>
        <v>1</v>
      </c>
      <c r="I14" s="155">
        <f>'0601(予定)'!I14</f>
        <v>1</v>
      </c>
      <c r="J14" s="155">
        <f>'0601(予定)'!J14</f>
        <v>1</v>
      </c>
      <c r="K14" s="155">
        <f>'0601(予定)'!K14</f>
        <v>1</v>
      </c>
      <c r="L14" s="155">
        <f>'0601(予定)'!L14</f>
        <v>1</v>
      </c>
      <c r="M14" s="155">
        <f>'0601(予定)'!M14</f>
        <v>0</v>
      </c>
      <c r="N14" s="155">
        <f>'0601(予定)'!N14</f>
        <v>0</v>
      </c>
      <c r="O14" s="155">
        <f>'0601(予定)'!O14</f>
        <v>1</v>
      </c>
      <c r="P14" s="155">
        <f>'0601(予定)'!P14</f>
        <v>1</v>
      </c>
      <c r="Q14" s="155">
        <f>'0601(予定)'!Q14</f>
        <v>1</v>
      </c>
      <c r="R14" s="155">
        <f>'0601(予定)'!R14</f>
        <v>1</v>
      </c>
      <c r="S14" s="155">
        <f>'0601(予定)'!S14</f>
        <v>1</v>
      </c>
      <c r="T14" s="155">
        <f>'0601(予定)'!T14</f>
        <v>0</v>
      </c>
      <c r="U14" s="155">
        <f>'0601(予定)'!U14</f>
        <v>0</v>
      </c>
      <c r="V14" s="155">
        <f>'0601(予定)'!V14</f>
        <v>1</v>
      </c>
      <c r="W14" s="155">
        <f>'0601(予定)'!W14</f>
        <v>1</v>
      </c>
      <c r="X14" s="155">
        <f>'0601(予定)'!X14</f>
        <v>1</v>
      </c>
      <c r="Y14" s="155">
        <f>'0601(予定)'!Y14</f>
        <v>1</v>
      </c>
      <c r="Z14" s="155">
        <f>'0601(予定)'!Z14</f>
        <v>1</v>
      </c>
      <c r="AA14" s="155">
        <f>'0601(予定)'!AA14</f>
        <v>0</v>
      </c>
      <c r="AB14" s="155">
        <f>'0601(予定)'!AB14</f>
        <v>0</v>
      </c>
      <c r="AC14" s="155">
        <f>'0601(予定)'!AC14</f>
        <v>1</v>
      </c>
      <c r="AD14" s="155">
        <f>'0601(予定)'!AD14</f>
        <v>0</v>
      </c>
      <c r="AE14" s="155">
        <f>'0601(予定)'!AE14</f>
        <v>0</v>
      </c>
      <c r="AF14" s="155">
        <f>'0601(予定)'!AF14</f>
        <v>0</v>
      </c>
      <c r="AG14" s="155">
        <f>'0601(予定)'!AG14</f>
        <v>0</v>
      </c>
      <c r="AH14" s="155">
        <f>'0601(予定)'!AH14</f>
        <v>0</v>
      </c>
      <c r="AI14" s="155">
        <f>'0601(予定)'!AI14</f>
        <v>0</v>
      </c>
      <c r="AJ14" s="155">
        <f>'0601(予定)'!AJ14</f>
        <v>1</v>
      </c>
      <c r="AK14" s="156">
        <f>'0601(予定)'!AK14</f>
        <v>0</v>
      </c>
      <c r="AL14" s="1" t="s">
        <v>3</v>
      </c>
    </row>
    <row r="15" spans="2:38" s="1" customFormat="1" ht="15" customHeight="1" outlineLevel="1">
      <c r="B15" s="208"/>
      <c r="C15" s="237" t="s">
        <v>43</v>
      </c>
      <c r="D15" s="238"/>
      <c r="E15" s="117">
        <f>'0601(実績)'!E14</f>
        <v>50</v>
      </c>
      <c r="F15" s="117">
        <f>'0601(実績)'!F14</f>
        <v>20</v>
      </c>
      <c r="G15" s="118" t="str">
        <f>'0601(実績)'!G14</f>
        <v>件数</v>
      </c>
      <c r="H15" s="119">
        <f>'0601(実績)'!H14</f>
        <v>0</v>
      </c>
      <c r="I15" s="119">
        <f>'0601(実績)'!I14</f>
        <v>1</v>
      </c>
      <c r="J15" s="119">
        <f>'0601(実績)'!J14</f>
        <v>0</v>
      </c>
      <c r="K15" s="119">
        <f>'0601(実績)'!K14</f>
        <v>0</v>
      </c>
      <c r="L15" s="119">
        <f>'0601(実績)'!L14</f>
        <v>0</v>
      </c>
      <c r="M15" s="119">
        <f>'0601(実績)'!M14</f>
        <v>0</v>
      </c>
      <c r="N15" s="119">
        <f>'0601(実績)'!N14</f>
        <v>0</v>
      </c>
      <c r="O15" s="119">
        <f>'0601(実績)'!O14</f>
        <v>0</v>
      </c>
      <c r="P15" s="119">
        <f>'0601(実績)'!P14</f>
        <v>0</v>
      </c>
      <c r="Q15" s="119">
        <f>'0601(実績)'!Q14</f>
        <v>0</v>
      </c>
      <c r="R15" s="119">
        <f>'0601(実績)'!R14</f>
        <v>0</v>
      </c>
      <c r="S15" s="119">
        <f>'0601(実績)'!S14</f>
        <v>0</v>
      </c>
      <c r="T15" s="119">
        <f>'0601(実績)'!T14</f>
        <v>0</v>
      </c>
      <c r="U15" s="119">
        <f>'0601(実績)'!U14</f>
        <v>0</v>
      </c>
      <c r="V15" s="119">
        <f>'0601(実績)'!V14</f>
        <v>11</v>
      </c>
      <c r="W15" s="119">
        <f>'0601(実績)'!W14</f>
        <v>0</v>
      </c>
      <c r="X15" s="119">
        <f>'0601(実績)'!X14</f>
        <v>4</v>
      </c>
      <c r="Y15" s="119">
        <f>'0601(実績)'!Y14</f>
        <v>1</v>
      </c>
      <c r="Z15" s="119">
        <f>'0601(実績)'!Z14</f>
        <v>9</v>
      </c>
      <c r="AA15" s="119">
        <f>'0601(実績)'!AA14</f>
        <v>0</v>
      </c>
      <c r="AB15" s="119">
        <f>'0601(実績)'!AB14</f>
        <v>0</v>
      </c>
      <c r="AC15" s="119">
        <f>'0601(実績)'!AC14</f>
        <v>11</v>
      </c>
      <c r="AD15" s="119">
        <f>'0601(実績)'!AD14</f>
        <v>0</v>
      </c>
      <c r="AE15" s="119">
        <f>'0601(実績)'!AE14</f>
        <v>0</v>
      </c>
      <c r="AF15" s="119">
        <f>'0601(実績)'!AF14</f>
        <v>10</v>
      </c>
      <c r="AG15" s="119">
        <f>'0601(実績)'!AG14</f>
        <v>0</v>
      </c>
      <c r="AH15" s="119">
        <f>'0601(実績)'!AH14</f>
        <v>0</v>
      </c>
      <c r="AI15" s="119">
        <f>'0601(実績)'!AI14</f>
        <v>0</v>
      </c>
      <c r="AJ15" s="119">
        <f>'0601(実績)'!AJ14</f>
        <v>3</v>
      </c>
      <c r="AK15" s="120">
        <f>'0601(実績)'!AK14</f>
        <v>0</v>
      </c>
      <c r="AL15" s="1" t="s">
        <v>3</v>
      </c>
    </row>
    <row r="16" spans="2:38" s="1" customFormat="1" ht="15" customHeight="1" outlineLevel="1">
      <c r="B16" s="208"/>
      <c r="C16" s="255" t="s">
        <v>13</v>
      </c>
      <c r="D16" s="251"/>
      <c r="E16" s="153">
        <f>'0601(予定)'!E16</f>
        <v>624</v>
      </c>
      <c r="F16" s="153">
        <f>'0601(予定)'!F16</f>
        <v>30</v>
      </c>
      <c r="G16" s="154" t="str">
        <f>'0601(予定)'!G16</f>
        <v>人数</v>
      </c>
      <c r="H16" s="155">
        <f>'0601(予定)'!H16</f>
        <v>1</v>
      </c>
      <c r="I16" s="155">
        <f>'0601(予定)'!I16</f>
        <v>1</v>
      </c>
      <c r="J16" s="155">
        <f>'0601(予定)'!J16</f>
        <v>1</v>
      </c>
      <c r="K16" s="155">
        <f>'0601(予定)'!K16</f>
        <v>1</v>
      </c>
      <c r="L16" s="155">
        <f>'0601(予定)'!L16</f>
        <v>1</v>
      </c>
      <c r="M16" s="155">
        <f>'0601(予定)'!M16</f>
        <v>0</v>
      </c>
      <c r="N16" s="155">
        <f>'0601(予定)'!N16</f>
        <v>0</v>
      </c>
      <c r="O16" s="155">
        <f>'0601(予定)'!O16</f>
        <v>1</v>
      </c>
      <c r="P16" s="155">
        <f>'0601(予定)'!P16</f>
        <v>1</v>
      </c>
      <c r="Q16" s="155">
        <f>'0601(予定)'!Q16</f>
        <v>1</v>
      </c>
      <c r="R16" s="155">
        <f>'0601(予定)'!R16</f>
        <v>1</v>
      </c>
      <c r="S16" s="155">
        <f>'0601(予定)'!S16</f>
        <v>1</v>
      </c>
      <c r="T16" s="155">
        <f>'0601(予定)'!T16</f>
        <v>0</v>
      </c>
      <c r="U16" s="155">
        <f>'0601(予定)'!U16</f>
        <v>0</v>
      </c>
      <c r="V16" s="155">
        <f>'0601(予定)'!V16</f>
        <v>1</v>
      </c>
      <c r="W16" s="155">
        <f>'0601(予定)'!W16</f>
        <v>1</v>
      </c>
      <c r="X16" s="155">
        <f>'0601(予定)'!X16</f>
        <v>1</v>
      </c>
      <c r="Y16" s="155">
        <f>'0601(予定)'!Y16</f>
        <v>1</v>
      </c>
      <c r="Z16" s="155">
        <f>'0601(予定)'!Z16</f>
        <v>1</v>
      </c>
      <c r="AA16" s="155">
        <f>'0601(予定)'!AA16</f>
        <v>0</v>
      </c>
      <c r="AB16" s="155">
        <f>'0601(予定)'!AB16</f>
        <v>0</v>
      </c>
      <c r="AC16" s="155">
        <f>'0601(予定)'!AC16</f>
        <v>1</v>
      </c>
      <c r="AD16" s="155">
        <f>'0601(予定)'!AD16</f>
        <v>1</v>
      </c>
      <c r="AE16" s="155">
        <f>'0601(予定)'!AE16</f>
        <v>0.8</v>
      </c>
      <c r="AF16" s="155">
        <f>'0601(予定)'!AF16</f>
        <v>1</v>
      </c>
      <c r="AG16" s="155">
        <f>'0601(予定)'!AG16</f>
        <v>1</v>
      </c>
      <c r="AH16" s="155">
        <f>'0601(予定)'!AH16</f>
        <v>0</v>
      </c>
      <c r="AI16" s="155">
        <f>'0601(予定)'!AI16</f>
        <v>0</v>
      </c>
      <c r="AJ16" s="155">
        <f>'0601(予定)'!AJ16</f>
        <v>1</v>
      </c>
      <c r="AK16" s="156">
        <f>'0601(予定)'!AK16</f>
        <v>0</v>
      </c>
      <c r="AL16" s="1" t="s">
        <v>3</v>
      </c>
    </row>
    <row r="17" spans="2:38" s="1" customFormat="1" ht="14" outlineLevel="1" thickBot="1">
      <c r="B17" s="208"/>
      <c r="C17" s="252" t="s">
        <v>13</v>
      </c>
      <c r="D17" s="256"/>
      <c r="E17" s="145">
        <f>'0601(実績)'!E16</f>
        <v>49</v>
      </c>
      <c r="F17" s="145">
        <f>'0601(実績)'!F16</f>
        <v>20</v>
      </c>
      <c r="G17" s="146" t="str">
        <f>'0601(実績)'!G16</f>
        <v>件数</v>
      </c>
      <c r="H17" s="147">
        <f>'0601(実績)'!H16</f>
        <v>0</v>
      </c>
      <c r="I17" s="147">
        <f>'0601(実績)'!I16</f>
        <v>0</v>
      </c>
      <c r="J17" s="147">
        <f>'0601(実績)'!J16</f>
        <v>0</v>
      </c>
      <c r="K17" s="147">
        <f>'0601(実績)'!K16</f>
        <v>0</v>
      </c>
      <c r="L17" s="147">
        <f>'0601(実績)'!L16</f>
        <v>0</v>
      </c>
      <c r="M17" s="147">
        <f>'0601(実績)'!M16</f>
        <v>0</v>
      </c>
      <c r="N17" s="147">
        <f>'0601(実績)'!N16</f>
        <v>0</v>
      </c>
      <c r="O17" s="147">
        <f>'0601(実績)'!O16</f>
        <v>11</v>
      </c>
      <c r="P17" s="147">
        <f>'0601(実績)'!P16</f>
        <v>0</v>
      </c>
      <c r="Q17" s="147">
        <f>'0601(実績)'!Q16</f>
        <v>0</v>
      </c>
      <c r="R17" s="147">
        <f>'0601(実績)'!R16</f>
        <v>0</v>
      </c>
      <c r="S17" s="147">
        <f>'0601(実績)'!S16</f>
        <v>1</v>
      </c>
      <c r="T17" s="147">
        <f>'0601(実績)'!T16</f>
        <v>0</v>
      </c>
      <c r="U17" s="147">
        <f>'0601(実績)'!U16</f>
        <v>0</v>
      </c>
      <c r="V17" s="147">
        <f>'0601(実績)'!V16</f>
        <v>0</v>
      </c>
      <c r="W17" s="147">
        <f>'0601(実績)'!W16</f>
        <v>14</v>
      </c>
      <c r="X17" s="147">
        <f>'0601(実績)'!X16</f>
        <v>0</v>
      </c>
      <c r="Y17" s="147">
        <f>'0601(実績)'!Y16</f>
        <v>0</v>
      </c>
      <c r="Z17" s="147">
        <f>'0601(実績)'!Z16</f>
        <v>15</v>
      </c>
      <c r="AA17" s="147">
        <f>'0601(実績)'!AA16</f>
        <v>0</v>
      </c>
      <c r="AB17" s="147">
        <f>'0601(実績)'!AB16</f>
        <v>0</v>
      </c>
      <c r="AC17" s="147">
        <f>'0601(実績)'!AC16</f>
        <v>0</v>
      </c>
      <c r="AD17" s="147">
        <f>'0601(実績)'!AD16</f>
        <v>0</v>
      </c>
      <c r="AE17" s="147">
        <f>'0601(実績)'!AE16</f>
        <v>0</v>
      </c>
      <c r="AF17" s="147">
        <f>'0601(実績)'!AF16</f>
        <v>3</v>
      </c>
      <c r="AG17" s="147">
        <f>'0601(実績)'!AG16</f>
        <v>2</v>
      </c>
      <c r="AH17" s="147">
        <f>'0601(実績)'!AH16</f>
        <v>0</v>
      </c>
      <c r="AI17" s="147">
        <f>'0601(実績)'!AI16</f>
        <v>0</v>
      </c>
      <c r="AJ17" s="147">
        <f>'0601(実績)'!AJ16</f>
        <v>0</v>
      </c>
      <c r="AK17" s="148">
        <f>'0601(実績)'!AK16</f>
        <v>3</v>
      </c>
      <c r="AL17" s="1" t="s">
        <v>3</v>
      </c>
    </row>
    <row r="18" spans="2:38" s="1" customFormat="1" ht="15" customHeight="1" outlineLevel="1">
      <c r="B18" s="226" t="s">
        <v>35</v>
      </c>
      <c r="C18" s="257" t="s">
        <v>52</v>
      </c>
      <c r="D18" s="258"/>
      <c r="E18" s="149">
        <f>'0601(予定)'!E38</f>
        <v>0</v>
      </c>
      <c r="F18" s="149">
        <f>'0601(予定)'!F38</f>
        <v>0</v>
      </c>
      <c r="G18" s="150" t="str">
        <f>'0601(予定)'!G38</f>
        <v>人数</v>
      </c>
      <c r="H18" s="151">
        <f>'0601(予定)'!H38</f>
        <v>0</v>
      </c>
      <c r="I18" s="151">
        <f>'0601(予定)'!I38</f>
        <v>0</v>
      </c>
      <c r="J18" s="151">
        <f>'0601(予定)'!J38</f>
        <v>0</v>
      </c>
      <c r="K18" s="151">
        <f>'0601(予定)'!K38</f>
        <v>0</v>
      </c>
      <c r="L18" s="151">
        <f>'0601(予定)'!L38</f>
        <v>0</v>
      </c>
      <c r="M18" s="151">
        <f>'0601(予定)'!M38</f>
        <v>0</v>
      </c>
      <c r="N18" s="151">
        <f>'0601(予定)'!N38</f>
        <v>0</v>
      </c>
      <c r="O18" s="151">
        <f>'0601(予定)'!O38</f>
        <v>0</v>
      </c>
      <c r="P18" s="151">
        <f>'0601(予定)'!P38</f>
        <v>0</v>
      </c>
      <c r="Q18" s="151">
        <f>'0601(予定)'!Q38</f>
        <v>0</v>
      </c>
      <c r="R18" s="151">
        <f>'0601(予定)'!R38</f>
        <v>0</v>
      </c>
      <c r="S18" s="151">
        <f>'0601(予定)'!S38</f>
        <v>0</v>
      </c>
      <c r="T18" s="151">
        <f>'0601(予定)'!T38</f>
        <v>0</v>
      </c>
      <c r="U18" s="151">
        <f>'0601(予定)'!U38</f>
        <v>0</v>
      </c>
      <c r="V18" s="151">
        <f>'0601(予定)'!V38</f>
        <v>0</v>
      </c>
      <c r="W18" s="151">
        <f>'0601(予定)'!W38</f>
        <v>0</v>
      </c>
      <c r="X18" s="151">
        <f>'0601(予定)'!X38</f>
        <v>0</v>
      </c>
      <c r="Y18" s="151">
        <f>'0601(予定)'!Y38</f>
        <v>0</v>
      </c>
      <c r="Z18" s="151">
        <f>'0601(予定)'!Z38</f>
        <v>0</v>
      </c>
      <c r="AA18" s="151">
        <f>'0601(予定)'!AA38</f>
        <v>0</v>
      </c>
      <c r="AB18" s="151">
        <f>'0601(予定)'!AB38</f>
        <v>0</v>
      </c>
      <c r="AC18" s="151">
        <f>'0601(予定)'!AC38</f>
        <v>0</v>
      </c>
      <c r="AD18" s="151">
        <f>'0601(予定)'!AD38</f>
        <v>0</v>
      </c>
      <c r="AE18" s="151">
        <f>'0601(予定)'!AE38</f>
        <v>0</v>
      </c>
      <c r="AF18" s="151">
        <f>'0601(予定)'!AF38</f>
        <v>0</v>
      </c>
      <c r="AG18" s="151">
        <f>'0601(予定)'!AG38</f>
        <v>0</v>
      </c>
      <c r="AH18" s="151">
        <f>'0601(予定)'!AH38</f>
        <v>0</v>
      </c>
      <c r="AI18" s="151">
        <f>'0601(予定)'!AI38</f>
        <v>0</v>
      </c>
      <c r="AJ18" s="151">
        <f>'0601(予定)'!AJ38</f>
        <v>0</v>
      </c>
      <c r="AK18" s="152">
        <f>'0601(予定)'!AK38</f>
        <v>0</v>
      </c>
      <c r="AL18" s="1" t="s">
        <v>3</v>
      </c>
    </row>
    <row r="19" spans="2:38" s="1" customFormat="1" ht="15" customHeight="1" outlineLevel="1">
      <c r="B19" s="254"/>
      <c r="C19" s="237" t="s">
        <v>5</v>
      </c>
      <c r="D19" s="238"/>
      <c r="E19" s="117">
        <f>'0601(実績)'!E46</f>
        <v>1270</v>
      </c>
      <c r="F19" s="117">
        <f>'0601(実績)'!F46</f>
        <v>10</v>
      </c>
      <c r="G19" s="118" t="str">
        <f>'0601(実績)'!G46</f>
        <v>件数</v>
      </c>
      <c r="H19" s="119">
        <f>'0601(実績)'!H46</f>
        <v>5</v>
      </c>
      <c r="I19" s="119">
        <f>'0601(実績)'!I46</f>
        <v>5</v>
      </c>
      <c r="J19" s="119">
        <f>'0601(実績)'!J46</f>
        <v>2</v>
      </c>
      <c r="K19" s="119">
        <f>'0601(実績)'!K46</f>
        <v>11</v>
      </c>
      <c r="L19" s="119">
        <f>'0601(実績)'!L46</f>
        <v>6</v>
      </c>
      <c r="M19" s="119">
        <f>'0601(実績)'!M46</f>
        <v>0</v>
      </c>
      <c r="N19" s="119">
        <f>'0601(実績)'!N46</f>
        <v>0</v>
      </c>
      <c r="O19" s="119">
        <f>'0601(実績)'!O46</f>
        <v>13</v>
      </c>
      <c r="P19" s="119">
        <f>'0601(実績)'!P46</f>
        <v>29</v>
      </c>
      <c r="Q19" s="119">
        <f>'0601(実績)'!Q46</f>
        <v>11</v>
      </c>
      <c r="R19" s="119">
        <f>'0601(実績)'!R46</f>
        <v>3</v>
      </c>
      <c r="S19" s="119">
        <f>'0601(実績)'!S46</f>
        <v>8</v>
      </c>
      <c r="T19" s="119">
        <f>'0601(実績)'!T46</f>
        <v>0</v>
      </c>
      <c r="U19" s="119">
        <f>'0601(実績)'!U46</f>
        <v>0</v>
      </c>
      <c r="V19" s="119">
        <f>'0601(実績)'!V46</f>
        <v>0</v>
      </c>
      <c r="W19" s="119">
        <f>'0601(実績)'!W46</f>
        <v>0</v>
      </c>
      <c r="X19" s="119">
        <f>'0601(実績)'!X46</f>
        <v>0</v>
      </c>
      <c r="Y19" s="119">
        <f>'0601(実績)'!Y46</f>
        <v>5</v>
      </c>
      <c r="Z19" s="119">
        <f>'0601(実績)'!Z46</f>
        <v>0</v>
      </c>
      <c r="AA19" s="119">
        <f>'0601(実績)'!AA46</f>
        <v>0</v>
      </c>
      <c r="AB19" s="119">
        <f>'0601(実績)'!AB46</f>
        <v>0</v>
      </c>
      <c r="AC19" s="119">
        <f>'0601(実績)'!AC46</f>
        <v>1</v>
      </c>
      <c r="AD19" s="119">
        <f>'0601(実績)'!AD46</f>
        <v>16</v>
      </c>
      <c r="AE19" s="119">
        <f>'0601(実績)'!AE46</f>
        <v>0</v>
      </c>
      <c r="AF19" s="119">
        <f>'0601(実績)'!AF46</f>
        <v>0</v>
      </c>
      <c r="AG19" s="119">
        <f>'0601(実績)'!AG46</f>
        <v>4</v>
      </c>
      <c r="AH19" s="119">
        <f>'0601(実績)'!AH46</f>
        <v>0</v>
      </c>
      <c r="AI19" s="119">
        <f>'0601(実績)'!AI46</f>
        <v>0</v>
      </c>
      <c r="AJ19" s="119">
        <f>'0601(実績)'!AJ46</f>
        <v>7</v>
      </c>
      <c r="AK19" s="120">
        <f>'0601(実績)'!AK46</f>
        <v>1</v>
      </c>
      <c r="AL19" s="1" t="s">
        <v>3</v>
      </c>
    </row>
    <row r="20" spans="2:38" s="1" customFormat="1" ht="15" customHeight="1" outlineLevel="1">
      <c r="B20" s="208"/>
      <c r="C20" s="250" t="s">
        <v>9</v>
      </c>
      <c r="D20" s="251"/>
      <c r="E20" s="153">
        <f>'0601(予定)'!E40</f>
        <v>0</v>
      </c>
      <c r="F20" s="153">
        <f>'0601(予定)'!F40</f>
        <v>0</v>
      </c>
      <c r="G20" s="154" t="str">
        <f>'0601(予定)'!G40</f>
        <v>人数</v>
      </c>
      <c r="H20" s="155">
        <f>'0601(予定)'!H40</f>
        <v>0</v>
      </c>
      <c r="I20" s="155">
        <f>'0601(予定)'!I40</f>
        <v>0</v>
      </c>
      <c r="J20" s="155">
        <f>'0601(予定)'!J40</f>
        <v>0</v>
      </c>
      <c r="K20" s="155">
        <f>'0601(予定)'!K40</f>
        <v>0</v>
      </c>
      <c r="L20" s="155">
        <f>'0601(予定)'!L40</f>
        <v>0</v>
      </c>
      <c r="M20" s="155">
        <f>'0601(予定)'!M40</f>
        <v>0</v>
      </c>
      <c r="N20" s="155">
        <f>'0601(予定)'!N40</f>
        <v>0</v>
      </c>
      <c r="O20" s="155">
        <f>'0601(予定)'!O40</f>
        <v>0</v>
      </c>
      <c r="P20" s="155">
        <f>'0601(予定)'!P40</f>
        <v>0</v>
      </c>
      <c r="Q20" s="155">
        <f>'0601(予定)'!Q40</f>
        <v>0</v>
      </c>
      <c r="R20" s="155">
        <f>'0601(予定)'!R40</f>
        <v>0</v>
      </c>
      <c r="S20" s="155">
        <f>'0601(予定)'!S40</f>
        <v>0</v>
      </c>
      <c r="T20" s="155">
        <f>'0601(予定)'!T40</f>
        <v>0</v>
      </c>
      <c r="U20" s="155">
        <f>'0601(予定)'!U40</f>
        <v>0</v>
      </c>
      <c r="V20" s="155">
        <f>'0601(予定)'!V40</f>
        <v>0</v>
      </c>
      <c r="W20" s="155">
        <f>'0601(予定)'!W40</f>
        <v>0</v>
      </c>
      <c r="X20" s="155">
        <f>'0601(予定)'!X40</f>
        <v>0</v>
      </c>
      <c r="Y20" s="155">
        <f>'0601(予定)'!Y40</f>
        <v>0</v>
      </c>
      <c r="Z20" s="155">
        <f>'0601(予定)'!Z40</f>
        <v>0</v>
      </c>
      <c r="AA20" s="155">
        <f>'0601(予定)'!AA40</f>
        <v>0</v>
      </c>
      <c r="AB20" s="155">
        <f>'0601(予定)'!AB40</f>
        <v>0</v>
      </c>
      <c r="AC20" s="155">
        <f>'0601(予定)'!AC40</f>
        <v>0</v>
      </c>
      <c r="AD20" s="155">
        <f>'0601(予定)'!AD40</f>
        <v>0</v>
      </c>
      <c r="AE20" s="155">
        <f>'0601(予定)'!AE40</f>
        <v>0</v>
      </c>
      <c r="AF20" s="155">
        <f>'0601(予定)'!AF40</f>
        <v>0</v>
      </c>
      <c r="AG20" s="155">
        <f>'0601(予定)'!AG40</f>
        <v>0</v>
      </c>
      <c r="AH20" s="155">
        <f>'0601(予定)'!AH40</f>
        <v>0</v>
      </c>
      <c r="AI20" s="155">
        <f>'0601(予定)'!AI40</f>
        <v>0</v>
      </c>
      <c r="AJ20" s="155">
        <f>'0601(予定)'!AJ40</f>
        <v>0</v>
      </c>
      <c r="AK20" s="156">
        <f>'0601(予定)'!AK40</f>
        <v>0</v>
      </c>
      <c r="AL20" s="1" t="s">
        <v>3</v>
      </c>
    </row>
    <row r="21" spans="2:38" s="1" customFormat="1" ht="15" customHeight="1" outlineLevel="1">
      <c r="B21" s="208"/>
      <c r="C21" s="237" t="s">
        <v>43</v>
      </c>
      <c r="D21" s="238"/>
      <c r="E21" s="117">
        <f>'0601(実績)'!E48</f>
        <v>0</v>
      </c>
      <c r="F21" s="117">
        <f>'0601(実績)'!F48</f>
        <v>0</v>
      </c>
      <c r="G21" s="118" t="str">
        <f>'0601(実績)'!G48</f>
        <v>件数</v>
      </c>
      <c r="H21" s="119">
        <f>'0601(実績)'!H48</f>
        <v>0</v>
      </c>
      <c r="I21" s="119">
        <f>'0601(実績)'!I48</f>
        <v>0</v>
      </c>
      <c r="J21" s="119">
        <f>'0601(実績)'!J48</f>
        <v>0</v>
      </c>
      <c r="K21" s="119">
        <f>'0601(実績)'!K48</f>
        <v>0</v>
      </c>
      <c r="L21" s="119">
        <f>'0601(実績)'!L48</f>
        <v>0</v>
      </c>
      <c r="M21" s="119">
        <f>'0601(実績)'!M48</f>
        <v>0</v>
      </c>
      <c r="N21" s="119">
        <f>'0601(実績)'!N48</f>
        <v>0</v>
      </c>
      <c r="O21" s="119">
        <f>'0601(実績)'!O48</f>
        <v>0</v>
      </c>
      <c r="P21" s="119">
        <f>'0601(実績)'!P48</f>
        <v>0</v>
      </c>
      <c r="Q21" s="119">
        <f>'0601(実績)'!Q48</f>
        <v>0</v>
      </c>
      <c r="R21" s="119">
        <f>'0601(実績)'!R48</f>
        <v>0</v>
      </c>
      <c r="S21" s="119">
        <f>'0601(実績)'!S48</f>
        <v>0</v>
      </c>
      <c r="T21" s="119">
        <f>'0601(実績)'!T48</f>
        <v>0</v>
      </c>
      <c r="U21" s="119">
        <f>'0601(実績)'!U48</f>
        <v>0</v>
      </c>
      <c r="V21" s="119">
        <f>'0601(実績)'!V48</f>
        <v>0</v>
      </c>
      <c r="W21" s="119">
        <f>'0601(実績)'!W48</f>
        <v>0</v>
      </c>
      <c r="X21" s="119">
        <f>'0601(実績)'!X48</f>
        <v>0</v>
      </c>
      <c r="Y21" s="119">
        <f>'0601(実績)'!Y48</f>
        <v>0</v>
      </c>
      <c r="Z21" s="119">
        <f>'0601(実績)'!Z48</f>
        <v>0</v>
      </c>
      <c r="AA21" s="119">
        <f>'0601(実績)'!AA48</f>
        <v>0</v>
      </c>
      <c r="AB21" s="119">
        <f>'0601(実績)'!AB48</f>
        <v>0</v>
      </c>
      <c r="AC21" s="119">
        <f>'0601(実績)'!AC48</f>
        <v>0</v>
      </c>
      <c r="AD21" s="119">
        <f>'0601(実績)'!AD48</f>
        <v>0</v>
      </c>
      <c r="AE21" s="119">
        <f>'0601(実績)'!AE48</f>
        <v>0</v>
      </c>
      <c r="AF21" s="119">
        <f>'0601(実績)'!AF48</f>
        <v>0</v>
      </c>
      <c r="AG21" s="119">
        <f>'0601(実績)'!AG48</f>
        <v>0</v>
      </c>
      <c r="AH21" s="119">
        <f>'0601(実績)'!AH48</f>
        <v>0</v>
      </c>
      <c r="AI21" s="119">
        <f>'0601(実績)'!AI48</f>
        <v>0</v>
      </c>
      <c r="AJ21" s="119">
        <f>'0601(実績)'!AJ48</f>
        <v>0</v>
      </c>
      <c r="AK21" s="120">
        <f>'0601(実績)'!AK48</f>
        <v>0</v>
      </c>
      <c r="AL21" s="1" t="s">
        <v>3</v>
      </c>
    </row>
    <row r="22" spans="2:38" s="1" customFormat="1" ht="15" customHeight="1" outlineLevel="1">
      <c r="B22" s="208"/>
      <c r="C22" s="250" t="s">
        <v>13</v>
      </c>
      <c r="D22" s="251"/>
      <c r="E22" s="153">
        <f>'0601(予定)'!E42</f>
        <v>70</v>
      </c>
      <c r="F22" s="153">
        <f>'0601(予定)'!F42</f>
        <v>10</v>
      </c>
      <c r="G22" s="154" t="str">
        <f>'0601(予定)'!G42</f>
        <v>人数</v>
      </c>
      <c r="H22" s="155">
        <f>'0601(予定)'!H42</f>
        <v>1</v>
      </c>
      <c r="I22" s="155">
        <f>'0601(予定)'!I42</f>
        <v>0</v>
      </c>
      <c r="J22" s="155">
        <f>'0601(予定)'!J42</f>
        <v>0</v>
      </c>
      <c r="K22" s="155">
        <f>'0601(予定)'!K42</f>
        <v>1</v>
      </c>
      <c r="L22" s="155">
        <f>'0601(予定)'!L42</f>
        <v>0</v>
      </c>
      <c r="M22" s="155">
        <f>'0601(予定)'!M42</f>
        <v>0</v>
      </c>
      <c r="N22" s="155">
        <f>'0601(予定)'!N42</f>
        <v>0</v>
      </c>
      <c r="O22" s="155">
        <f>'0601(予定)'!O42</f>
        <v>1</v>
      </c>
      <c r="P22" s="155">
        <f>'0601(予定)'!P42</f>
        <v>0</v>
      </c>
      <c r="Q22" s="155">
        <f>'0601(予定)'!Q42</f>
        <v>0</v>
      </c>
      <c r="R22" s="155">
        <f>'0601(予定)'!R42</f>
        <v>1</v>
      </c>
      <c r="S22" s="155">
        <f>'0601(予定)'!S42</f>
        <v>0</v>
      </c>
      <c r="T22" s="155">
        <f>'0601(予定)'!T42</f>
        <v>0</v>
      </c>
      <c r="U22" s="155">
        <f>'0601(予定)'!U42</f>
        <v>0</v>
      </c>
      <c r="V22" s="155">
        <f>'0601(予定)'!V42</f>
        <v>1</v>
      </c>
      <c r="W22" s="155">
        <f>'0601(予定)'!W42</f>
        <v>0</v>
      </c>
      <c r="X22" s="155">
        <f>'0601(予定)'!X42</f>
        <v>0</v>
      </c>
      <c r="Y22" s="155">
        <f>'0601(予定)'!Y42</f>
        <v>1</v>
      </c>
      <c r="Z22" s="155">
        <f>'0601(予定)'!Z42</f>
        <v>0</v>
      </c>
      <c r="AA22" s="155">
        <f>'0601(予定)'!AA42</f>
        <v>0</v>
      </c>
      <c r="AB22" s="155">
        <f>'0601(予定)'!AB42</f>
        <v>0</v>
      </c>
      <c r="AC22" s="155">
        <f>'0601(予定)'!AC42</f>
        <v>1</v>
      </c>
      <c r="AD22" s="155">
        <f>'0601(予定)'!AD42</f>
        <v>0</v>
      </c>
      <c r="AE22" s="155">
        <f>'0601(予定)'!AE42</f>
        <v>0</v>
      </c>
      <c r="AF22" s="155">
        <f>'0601(予定)'!AF42</f>
        <v>0</v>
      </c>
      <c r="AG22" s="155">
        <f>'0601(予定)'!AG42</f>
        <v>0</v>
      </c>
      <c r="AH22" s="155">
        <f>'0601(予定)'!AH42</f>
        <v>0</v>
      </c>
      <c r="AI22" s="155">
        <f>'0601(予定)'!AI42</f>
        <v>0</v>
      </c>
      <c r="AJ22" s="155">
        <f>'0601(予定)'!AJ42</f>
        <v>0</v>
      </c>
      <c r="AK22" s="156">
        <f>'0601(予定)'!AK42</f>
        <v>0</v>
      </c>
      <c r="AL22" s="1" t="s">
        <v>3</v>
      </c>
    </row>
    <row r="23" spans="2:38" s="1" customFormat="1" ht="15" customHeight="1" outlineLevel="1" thickBot="1">
      <c r="B23" s="208"/>
      <c r="C23" s="252" t="s">
        <v>13</v>
      </c>
      <c r="D23" s="253"/>
      <c r="E23" s="145">
        <f>'0601(実績)'!E50</f>
        <v>206</v>
      </c>
      <c r="F23" s="145" t="str">
        <f>'0601(実績)'!F50</f>
        <v>-</v>
      </c>
      <c r="G23" s="146" t="str">
        <f>'0601(実績)'!G50</f>
        <v>件数</v>
      </c>
      <c r="H23" s="147">
        <f>'0601(実績)'!H50</f>
        <v>7</v>
      </c>
      <c r="I23" s="147">
        <f>'0601(実績)'!I50</f>
        <v>11</v>
      </c>
      <c r="J23" s="147">
        <f>'0601(実績)'!J50</f>
        <v>20</v>
      </c>
      <c r="K23" s="147">
        <f>'0601(実績)'!K50</f>
        <v>3</v>
      </c>
      <c r="L23" s="147">
        <f>'0601(実績)'!L50</f>
        <v>5</v>
      </c>
      <c r="M23" s="147">
        <f>'0601(実績)'!M50</f>
        <v>0</v>
      </c>
      <c r="N23" s="147">
        <f>'0601(実績)'!N50</f>
        <v>0</v>
      </c>
      <c r="O23" s="147">
        <f>'0601(実績)'!O50</f>
        <v>0</v>
      </c>
      <c r="P23" s="147">
        <f>'0601(実績)'!P50</f>
        <v>1</v>
      </c>
      <c r="Q23" s="147">
        <f>'0601(実績)'!Q50</f>
        <v>0</v>
      </c>
      <c r="R23" s="147">
        <f>'0601(実績)'!R50</f>
        <v>36</v>
      </c>
      <c r="S23" s="147">
        <f>'0601(実績)'!S50</f>
        <v>18</v>
      </c>
      <c r="T23" s="147">
        <f>'0601(実績)'!T50</f>
        <v>0</v>
      </c>
      <c r="U23" s="147">
        <f>'0601(実績)'!U50</f>
        <v>0</v>
      </c>
      <c r="V23" s="147">
        <f>'0601(実績)'!V50</f>
        <v>5</v>
      </c>
      <c r="W23" s="147">
        <f>'0601(実績)'!W50</f>
        <v>0</v>
      </c>
      <c r="X23" s="147">
        <f>'0601(実績)'!X50</f>
        <v>15</v>
      </c>
      <c r="Y23" s="147">
        <f>'0601(実績)'!Y50</f>
        <v>15</v>
      </c>
      <c r="Z23" s="147">
        <f>'0601(実績)'!Z50</f>
        <v>5</v>
      </c>
      <c r="AA23" s="147">
        <f>'0601(実績)'!AA50</f>
        <v>0</v>
      </c>
      <c r="AB23" s="147">
        <f>'0601(実績)'!AB50</f>
        <v>0</v>
      </c>
      <c r="AC23" s="147">
        <f>'0601(実績)'!AC50</f>
        <v>14</v>
      </c>
      <c r="AD23" s="147">
        <f>'0601(実績)'!AD50</f>
        <v>4</v>
      </c>
      <c r="AE23" s="147">
        <f>'0601(実績)'!AE50</f>
        <v>8</v>
      </c>
      <c r="AF23" s="147">
        <f>'0601(実績)'!AF50</f>
        <v>8</v>
      </c>
      <c r="AG23" s="147">
        <f>'0601(実績)'!AG50</f>
        <v>13</v>
      </c>
      <c r="AH23" s="147">
        <f>'0601(実績)'!AH50</f>
        <v>0</v>
      </c>
      <c r="AI23" s="147">
        <f>'0601(実績)'!AI50</f>
        <v>0</v>
      </c>
      <c r="AJ23" s="147">
        <f>'0601(実績)'!AJ50</f>
        <v>8</v>
      </c>
      <c r="AK23" s="148">
        <f>'0601(実績)'!AK50</f>
        <v>10</v>
      </c>
      <c r="AL23" s="1" t="s">
        <v>3</v>
      </c>
    </row>
    <row r="24" spans="2:38" s="1" customFormat="1" ht="15" customHeight="1" outlineLevel="1">
      <c r="B24" s="226" t="s">
        <v>38</v>
      </c>
      <c r="C24" s="257" t="s">
        <v>52</v>
      </c>
      <c r="D24" s="258"/>
      <c r="E24" s="149">
        <f>'0601(予定)'!E52</f>
        <v>0</v>
      </c>
      <c r="F24" s="149">
        <f>'0601(予定)'!F52</f>
        <v>0</v>
      </c>
      <c r="G24" s="150" t="str">
        <f>'0601(予定)'!G52</f>
        <v>人数</v>
      </c>
      <c r="H24" s="151">
        <f>'0601(予定)'!H52</f>
        <v>0</v>
      </c>
      <c r="I24" s="151">
        <f>'0601(予定)'!I52</f>
        <v>0</v>
      </c>
      <c r="J24" s="151">
        <f>'0601(予定)'!J52</f>
        <v>0</v>
      </c>
      <c r="K24" s="151">
        <f>'0601(予定)'!K52</f>
        <v>0</v>
      </c>
      <c r="L24" s="151">
        <f>'0601(予定)'!L52</f>
        <v>0</v>
      </c>
      <c r="M24" s="151">
        <f>'0601(予定)'!M52</f>
        <v>0</v>
      </c>
      <c r="N24" s="151">
        <f>'0601(予定)'!N52</f>
        <v>0</v>
      </c>
      <c r="O24" s="151">
        <f>'0601(予定)'!O52</f>
        <v>0</v>
      </c>
      <c r="P24" s="151">
        <f>'0601(予定)'!P52</f>
        <v>0</v>
      </c>
      <c r="Q24" s="151">
        <f>'0601(予定)'!Q52</f>
        <v>0</v>
      </c>
      <c r="R24" s="151">
        <f>'0601(予定)'!R52</f>
        <v>0</v>
      </c>
      <c r="S24" s="151">
        <f>'0601(予定)'!S52</f>
        <v>0</v>
      </c>
      <c r="T24" s="151">
        <f>'0601(予定)'!T52</f>
        <v>0</v>
      </c>
      <c r="U24" s="151">
        <f>'0601(予定)'!U52</f>
        <v>0</v>
      </c>
      <c r="V24" s="151">
        <f>'0601(予定)'!V52</f>
        <v>0</v>
      </c>
      <c r="W24" s="151">
        <f>'0601(予定)'!W52</f>
        <v>0</v>
      </c>
      <c r="X24" s="151">
        <f>'0601(予定)'!X52</f>
        <v>0</v>
      </c>
      <c r="Y24" s="151">
        <f>'0601(予定)'!Y52</f>
        <v>0</v>
      </c>
      <c r="Z24" s="151">
        <f>'0601(予定)'!Z52</f>
        <v>0</v>
      </c>
      <c r="AA24" s="151">
        <f>'0601(予定)'!AA52</f>
        <v>0</v>
      </c>
      <c r="AB24" s="151">
        <f>'0601(予定)'!AB52</f>
        <v>0</v>
      </c>
      <c r="AC24" s="151">
        <f>'0601(予定)'!AC52</f>
        <v>0</v>
      </c>
      <c r="AD24" s="151">
        <f>'0601(予定)'!AD52</f>
        <v>0</v>
      </c>
      <c r="AE24" s="151">
        <f>'0601(予定)'!AE52</f>
        <v>0</v>
      </c>
      <c r="AF24" s="151">
        <f>'0601(予定)'!AF52</f>
        <v>0</v>
      </c>
      <c r="AG24" s="151">
        <f>'0601(予定)'!AG52</f>
        <v>0</v>
      </c>
      <c r="AH24" s="151">
        <f>'0601(予定)'!AH52</f>
        <v>0</v>
      </c>
      <c r="AI24" s="151">
        <f>'0601(予定)'!AI52</f>
        <v>0</v>
      </c>
      <c r="AJ24" s="151">
        <f>'0601(予定)'!AJ52</f>
        <v>0</v>
      </c>
      <c r="AK24" s="152">
        <f>'0601(予定)'!AK52</f>
        <v>0</v>
      </c>
      <c r="AL24" s="1" t="s">
        <v>3</v>
      </c>
    </row>
    <row r="25" spans="2:38" s="1" customFormat="1" ht="15" customHeight="1" outlineLevel="1">
      <c r="B25" s="254"/>
      <c r="C25" s="237" t="s">
        <v>5</v>
      </c>
      <c r="D25" s="238"/>
      <c r="E25" s="117">
        <f>'0601(実績)'!E63</f>
        <v>4410</v>
      </c>
      <c r="F25" s="117">
        <f>'0601(実績)'!F63</f>
        <v>35</v>
      </c>
      <c r="G25" s="118" t="str">
        <f>'0601(実績)'!G63</f>
        <v>件数</v>
      </c>
      <c r="H25" s="119">
        <f>'0601(実績)'!H63</f>
        <v>9</v>
      </c>
      <c r="I25" s="119">
        <f>'0601(実績)'!I63</f>
        <v>7</v>
      </c>
      <c r="J25" s="119">
        <f>'0601(実績)'!J63</f>
        <v>20</v>
      </c>
      <c r="K25" s="119">
        <f>'0601(実績)'!K63</f>
        <v>3</v>
      </c>
      <c r="L25" s="119">
        <f>'0601(実績)'!L63</f>
        <v>5</v>
      </c>
      <c r="M25" s="119">
        <f>'0601(実績)'!M63</f>
        <v>0</v>
      </c>
      <c r="N25" s="119">
        <f>'0601(実績)'!N63</f>
        <v>0</v>
      </c>
      <c r="O25" s="119">
        <f>'0601(実績)'!O63</f>
        <v>0</v>
      </c>
      <c r="P25" s="119">
        <f>'0601(実績)'!P63</f>
        <v>1</v>
      </c>
      <c r="Q25" s="119">
        <f>'0601(実績)'!Q63</f>
        <v>0</v>
      </c>
      <c r="R25" s="119">
        <f>'0601(実績)'!R63</f>
        <v>10</v>
      </c>
      <c r="S25" s="119">
        <f>'0601(実績)'!S63</f>
        <v>5</v>
      </c>
      <c r="T25" s="119">
        <f>'0601(実績)'!T63</f>
        <v>0</v>
      </c>
      <c r="U25" s="119">
        <f>'0601(実績)'!U63</f>
        <v>0</v>
      </c>
      <c r="V25" s="119">
        <f>'0601(実績)'!V63</f>
        <v>1</v>
      </c>
      <c r="W25" s="119">
        <f>'0601(実績)'!W63</f>
        <v>15</v>
      </c>
      <c r="X25" s="119">
        <f>'0601(実績)'!X63</f>
        <v>0</v>
      </c>
      <c r="Y25" s="119">
        <f>'0601(実績)'!Y63</f>
        <v>7</v>
      </c>
      <c r="Z25" s="119">
        <f>'0601(実績)'!Z63</f>
        <v>8</v>
      </c>
      <c r="AA25" s="119">
        <f>'0601(実績)'!AA63</f>
        <v>0</v>
      </c>
      <c r="AB25" s="119">
        <f>'0601(実績)'!AB63</f>
        <v>0</v>
      </c>
      <c r="AC25" s="119">
        <f>'0601(実績)'!AC63</f>
        <v>7</v>
      </c>
      <c r="AD25" s="119">
        <f>'0601(実績)'!AD63</f>
        <v>0</v>
      </c>
      <c r="AE25" s="119">
        <f>'0601(実績)'!AE63</f>
        <v>0</v>
      </c>
      <c r="AF25" s="119">
        <f>'0601(実績)'!AF63</f>
        <v>8</v>
      </c>
      <c r="AG25" s="119">
        <f>'0601(実績)'!AG63</f>
        <v>8</v>
      </c>
      <c r="AH25" s="119">
        <f>'0601(実績)'!AH63</f>
        <v>0</v>
      </c>
      <c r="AI25" s="119">
        <f>'0601(実績)'!AI63</f>
        <v>0</v>
      </c>
      <c r="AJ25" s="119">
        <f>'0601(実績)'!AJ63</f>
        <v>4</v>
      </c>
      <c r="AK25" s="120">
        <f>'0601(実績)'!AK63</f>
        <v>8</v>
      </c>
      <c r="AL25" s="1" t="s">
        <v>3</v>
      </c>
    </row>
    <row r="26" spans="2:38" s="1" customFormat="1" ht="15" customHeight="1" outlineLevel="1">
      <c r="B26" s="208"/>
      <c r="C26" s="250" t="s">
        <v>9</v>
      </c>
      <c r="D26" s="251"/>
      <c r="E26" s="153">
        <f>'0601(予定)'!E54</f>
        <v>0</v>
      </c>
      <c r="F26" s="153">
        <f>'0601(予定)'!F54</f>
        <v>0</v>
      </c>
      <c r="G26" s="154" t="str">
        <f>'0601(予定)'!G54</f>
        <v>人数</v>
      </c>
      <c r="H26" s="155">
        <f>'0601(予定)'!H54</f>
        <v>0</v>
      </c>
      <c r="I26" s="155">
        <f>'0601(予定)'!I54</f>
        <v>0</v>
      </c>
      <c r="J26" s="155">
        <f>'0601(予定)'!J54</f>
        <v>0</v>
      </c>
      <c r="K26" s="155">
        <f>'0601(予定)'!K54</f>
        <v>0</v>
      </c>
      <c r="L26" s="155">
        <f>'0601(予定)'!L54</f>
        <v>0</v>
      </c>
      <c r="M26" s="155">
        <f>'0601(予定)'!M54</f>
        <v>0</v>
      </c>
      <c r="N26" s="155">
        <f>'0601(予定)'!N54</f>
        <v>0</v>
      </c>
      <c r="O26" s="155">
        <f>'0601(予定)'!O54</f>
        <v>0</v>
      </c>
      <c r="P26" s="155">
        <f>'0601(予定)'!P54</f>
        <v>0</v>
      </c>
      <c r="Q26" s="155">
        <f>'0601(予定)'!Q54</f>
        <v>0</v>
      </c>
      <c r="R26" s="155">
        <f>'0601(予定)'!R54</f>
        <v>0</v>
      </c>
      <c r="S26" s="155">
        <f>'0601(予定)'!S54</f>
        <v>0</v>
      </c>
      <c r="T26" s="155">
        <f>'0601(予定)'!T54</f>
        <v>0</v>
      </c>
      <c r="U26" s="155">
        <f>'0601(予定)'!U54</f>
        <v>0</v>
      </c>
      <c r="V26" s="155">
        <f>'0601(予定)'!V54</f>
        <v>0</v>
      </c>
      <c r="W26" s="155">
        <f>'0601(予定)'!W54</f>
        <v>0</v>
      </c>
      <c r="X26" s="155">
        <f>'0601(予定)'!X54</f>
        <v>0</v>
      </c>
      <c r="Y26" s="155">
        <f>'0601(予定)'!Y54</f>
        <v>0</v>
      </c>
      <c r="Z26" s="155">
        <f>'0601(予定)'!Z54</f>
        <v>0</v>
      </c>
      <c r="AA26" s="155">
        <f>'0601(予定)'!AA54</f>
        <v>0</v>
      </c>
      <c r="AB26" s="155">
        <f>'0601(予定)'!AB54</f>
        <v>0</v>
      </c>
      <c r="AC26" s="155">
        <f>'0601(予定)'!AC54</f>
        <v>0</v>
      </c>
      <c r="AD26" s="155">
        <f>'0601(予定)'!AD54</f>
        <v>0</v>
      </c>
      <c r="AE26" s="155">
        <f>'0601(予定)'!AE54</f>
        <v>0</v>
      </c>
      <c r="AF26" s="155">
        <f>'0601(予定)'!AF54</f>
        <v>0</v>
      </c>
      <c r="AG26" s="155">
        <f>'0601(予定)'!AG54</f>
        <v>0</v>
      </c>
      <c r="AH26" s="155">
        <f>'0601(予定)'!AH54</f>
        <v>0</v>
      </c>
      <c r="AI26" s="155">
        <f>'0601(予定)'!AI54</f>
        <v>0</v>
      </c>
      <c r="AJ26" s="155">
        <f>'0601(予定)'!AJ54</f>
        <v>0</v>
      </c>
      <c r="AK26" s="156">
        <f>'0601(予定)'!AK54</f>
        <v>0</v>
      </c>
    </row>
    <row r="27" spans="2:38" s="1" customFormat="1" ht="15" customHeight="1" outlineLevel="1">
      <c r="B27" s="208"/>
      <c r="C27" s="237" t="s">
        <v>43</v>
      </c>
      <c r="D27" s="238"/>
      <c r="E27" s="117">
        <f>'0601(実績)'!E65</f>
        <v>0</v>
      </c>
      <c r="F27" s="117">
        <f>'0601(実績)'!F65</f>
        <v>0</v>
      </c>
      <c r="G27" s="118" t="str">
        <f>'0601(実績)'!G65</f>
        <v>件数</v>
      </c>
      <c r="H27" s="119">
        <f>'0601(実績)'!H65</f>
        <v>0</v>
      </c>
      <c r="I27" s="119">
        <f>'0601(実績)'!I65</f>
        <v>0</v>
      </c>
      <c r="J27" s="119">
        <f>'0601(実績)'!J65</f>
        <v>0</v>
      </c>
      <c r="K27" s="119">
        <f>'0601(実績)'!K65</f>
        <v>0</v>
      </c>
      <c r="L27" s="119">
        <f>'0601(実績)'!L65</f>
        <v>0</v>
      </c>
      <c r="M27" s="119">
        <f>'0601(実績)'!M65</f>
        <v>0</v>
      </c>
      <c r="N27" s="119">
        <f>'0601(実績)'!N65</f>
        <v>0</v>
      </c>
      <c r="O27" s="119">
        <f>'0601(実績)'!O65</f>
        <v>0</v>
      </c>
      <c r="P27" s="119">
        <f>'0601(実績)'!P65</f>
        <v>0</v>
      </c>
      <c r="Q27" s="119">
        <f>'0601(実績)'!Q65</f>
        <v>0</v>
      </c>
      <c r="R27" s="119">
        <f>'0601(実績)'!R65</f>
        <v>0</v>
      </c>
      <c r="S27" s="119">
        <f>'0601(実績)'!S65</f>
        <v>0</v>
      </c>
      <c r="T27" s="119">
        <f>'0601(実績)'!T65</f>
        <v>0</v>
      </c>
      <c r="U27" s="119">
        <f>'0601(実績)'!U65</f>
        <v>0</v>
      </c>
      <c r="V27" s="119">
        <f>'0601(実績)'!V65</f>
        <v>0</v>
      </c>
      <c r="W27" s="119">
        <f>'0601(実績)'!W65</f>
        <v>0</v>
      </c>
      <c r="X27" s="119">
        <f>'0601(実績)'!X65</f>
        <v>0</v>
      </c>
      <c r="Y27" s="119">
        <f>'0601(実績)'!Y65</f>
        <v>0</v>
      </c>
      <c r="Z27" s="119">
        <f>'0601(実績)'!Z65</f>
        <v>0</v>
      </c>
      <c r="AA27" s="119">
        <f>'0601(実績)'!AA65</f>
        <v>0</v>
      </c>
      <c r="AB27" s="119">
        <f>'0601(実績)'!AB65</f>
        <v>0</v>
      </c>
      <c r="AC27" s="119">
        <f>'0601(実績)'!AC65</f>
        <v>0</v>
      </c>
      <c r="AD27" s="119">
        <f>'0601(実績)'!AD65</f>
        <v>0</v>
      </c>
      <c r="AE27" s="119">
        <f>'0601(実績)'!AE65</f>
        <v>0</v>
      </c>
      <c r="AF27" s="119">
        <f>'0601(実績)'!AF65</f>
        <v>0</v>
      </c>
      <c r="AG27" s="119">
        <f>'0601(実績)'!AG65</f>
        <v>0</v>
      </c>
      <c r="AH27" s="119">
        <f>'0601(実績)'!AH65</f>
        <v>0</v>
      </c>
      <c r="AI27" s="119">
        <f>'0601(実績)'!AI65</f>
        <v>0</v>
      </c>
      <c r="AJ27" s="119">
        <f>'0601(実績)'!AJ65</f>
        <v>0</v>
      </c>
      <c r="AK27" s="120">
        <f>'0601(実績)'!AK65</f>
        <v>0</v>
      </c>
      <c r="AL27" s="1" t="s">
        <v>3</v>
      </c>
    </row>
    <row r="28" spans="2:38" s="1" customFormat="1" ht="15" customHeight="1" outlineLevel="1">
      <c r="B28" s="208"/>
      <c r="C28" s="250" t="s">
        <v>13</v>
      </c>
      <c r="D28" s="251"/>
      <c r="E28" s="153">
        <f>'0601(予定)'!E56</f>
        <v>0</v>
      </c>
      <c r="F28" s="153">
        <f>'0601(予定)'!F56</f>
        <v>0</v>
      </c>
      <c r="G28" s="154">
        <f>'0601(予定)'!G56</f>
        <v>0</v>
      </c>
      <c r="H28" s="155">
        <f>'0601(予定)'!H56</f>
        <v>1.5</v>
      </c>
      <c r="I28" s="155">
        <f>'0601(予定)'!I56</f>
        <v>2.5</v>
      </c>
      <c r="J28" s="155">
        <f>'0601(予定)'!J56</f>
        <v>1.5</v>
      </c>
      <c r="K28" s="155">
        <f>'0601(予定)'!K56</f>
        <v>1.5</v>
      </c>
      <c r="L28" s="155">
        <f>'0601(予定)'!L56</f>
        <v>2.5</v>
      </c>
      <c r="M28" s="155">
        <f>'0601(予定)'!M56</f>
        <v>0</v>
      </c>
      <c r="N28" s="155">
        <f>'0601(予定)'!N56</f>
        <v>0</v>
      </c>
      <c r="O28" s="155">
        <f>'0601(予定)'!O56</f>
        <v>1.5</v>
      </c>
      <c r="P28" s="155">
        <f>'0601(予定)'!P56</f>
        <v>2.5</v>
      </c>
      <c r="Q28" s="155">
        <f>'0601(予定)'!Q56</f>
        <v>1.5</v>
      </c>
      <c r="R28" s="155">
        <f>'0601(予定)'!R56</f>
        <v>1.5</v>
      </c>
      <c r="S28" s="155">
        <f>'0601(予定)'!S56</f>
        <v>2.5</v>
      </c>
      <c r="T28" s="155">
        <f>'0601(予定)'!T56</f>
        <v>0</v>
      </c>
      <c r="U28" s="155">
        <f>'0601(予定)'!U56</f>
        <v>0</v>
      </c>
      <c r="V28" s="155">
        <f>'0601(予定)'!V56</f>
        <v>1.5</v>
      </c>
      <c r="W28" s="155">
        <f>'0601(予定)'!W56</f>
        <v>2.5</v>
      </c>
      <c r="X28" s="155">
        <f>'0601(予定)'!X56</f>
        <v>1.5</v>
      </c>
      <c r="Y28" s="155">
        <f>'0601(予定)'!Y56</f>
        <v>1.5</v>
      </c>
      <c r="Z28" s="155">
        <f>'0601(予定)'!Z56</f>
        <v>2.5</v>
      </c>
      <c r="AA28" s="155">
        <f>'0601(予定)'!AA56</f>
        <v>0</v>
      </c>
      <c r="AB28" s="155">
        <f>'0601(予定)'!AB56</f>
        <v>0</v>
      </c>
      <c r="AC28" s="155">
        <f>'0601(予定)'!AC56</f>
        <v>1.5</v>
      </c>
      <c r="AD28" s="155">
        <f>'0601(予定)'!AD56</f>
        <v>2.5</v>
      </c>
      <c r="AE28" s="155">
        <f>'0601(予定)'!AE56</f>
        <v>1.3</v>
      </c>
      <c r="AF28" s="155">
        <f>'0601(予定)'!AF56</f>
        <v>1.5</v>
      </c>
      <c r="AG28" s="155">
        <f>'0601(予定)'!AG56</f>
        <v>2.5</v>
      </c>
      <c r="AH28" s="155">
        <f>'0601(予定)'!AH56</f>
        <v>0</v>
      </c>
      <c r="AI28" s="155">
        <f>'0601(予定)'!AI56</f>
        <v>0</v>
      </c>
      <c r="AJ28" s="155">
        <f>'0601(予定)'!AJ56</f>
        <v>1.5</v>
      </c>
      <c r="AK28" s="156">
        <f>'0601(予定)'!AK56</f>
        <v>0.1</v>
      </c>
    </row>
    <row r="29" spans="2:38" s="1" customFormat="1" ht="14" outlineLevel="1" thickBot="1">
      <c r="B29" s="209"/>
      <c r="C29" s="252" t="s">
        <v>13</v>
      </c>
      <c r="D29" s="253"/>
      <c r="E29" s="145">
        <f>'0601(実績)'!E67</f>
        <v>160</v>
      </c>
      <c r="F29" s="145" t="str">
        <f>'0601(実績)'!F67</f>
        <v>-</v>
      </c>
      <c r="G29" s="146" t="str">
        <f>'0601(実績)'!G67</f>
        <v>件数</v>
      </c>
      <c r="H29" s="147">
        <f>'0601(実績)'!H67</f>
        <v>4</v>
      </c>
      <c r="I29" s="147">
        <f>'0601(実績)'!I67</f>
        <v>8</v>
      </c>
      <c r="J29" s="147">
        <f>'0601(実績)'!J67</f>
        <v>7</v>
      </c>
      <c r="K29" s="147">
        <f>'0601(実績)'!K67</f>
        <v>10</v>
      </c>
      <c r="L29" s="147">
        <f>'0601(実績)'!L67</f>
        <v>21</v>
      </c>
      <c r="M29" s="147">
        <f>'0601(実績)'!M67</f>
        <v>0</v>
      </c>
      <c r="N29" s="147">
        <f>'0601(実績)'!N67</f>
        <v>0</v>
      </c>
      <c r="O29" s="147">
        <f>'0601(実績)'!O67</f>
        <v>0</v>
      </c>
      <c r="P29" s="147">
        <f>'0601(実績)'!P67</f>
        <v>16</v>
      </c>
      <c r="Q29" s="147">
        <f>'0601(実績)'!Q67</f>
        <v>0</v>
      </c>
      <c r="R29" s="147">
        <f>'0601(実績)'!R67</f>
        <v>0</v>
      </c>
      <c r="S29" s="147">
        <f>'0601(実績)'!S67</f>
        <v>5</v>
      </c>
      <c r="T29" s="147">
        <f>'0601(実績)'!T67</f>
        <v>0</v>
      </c>
      <c r="U29" s="147">
        <f>'0601(実績)'!U67</f>
        <v>0</v>
      </c>
      <c r="V29" s="147">
        <f>'0601(実績)'!V67</f>
        <v>0</v>
      </c>
      <c r="W29" s="147">
        <f>'0601(実績)'!W67</f>
        <v>12</v>
      </c>
      <c r="X29" s="147">
        <f>'0601(実績)'!X67</f>
        <v>8</v>
      </c>
      <c r="Y29" s="147">
        <f>'0601(実績)'!Y67</f>
        <v>6</v>
      </c>
      <c r="Z29" s="147">
        <f>'0601(実績)'!Z67</f>
        <v>9</v>
      </c>
      <c r="AA29" s="147">
        <f>'0601(実績)'!AA67</f>
        <v>0</v>
      </c>
      <c r="AB29" s="147">
        <f>'0601(実績)'!AB67</f>
        <v>0</v>
      </c>
      <c r="AC29" s="147">
        <f>'0601(実績)'!AC67</f>
        <v>0</v>
      </c>
      <c r="AD29" s="147">
        <f>'0601(実績)'!AD67</f>
        <v>12</v>
      </c>
      <c r="AE29" s="147">
        <f>'0601(実績)'!AE67</f>
        <v>9</v>
      </c>
      <c r="AF29" s="147">
        <f>'0601(実績)'!AF67</f>
        <v>9</v>
      </c>
      <c r="AG29" s="147">
        <f>'0601(実績)'!AG67</f>
        <v>14</v>
      </c>
      <c r="AH29" s="147">
        <f>'0601(実績)'!AH67</f>
        <v>0</v>
      </c>
      <c r="AI29" s="147">
        <f>'0601(実績)'!AI67</f>
        <v>0</v>
      </c>
      <c r="AJ29" s="147">
        <f>'0601(実績)'!AJ67</f>
        <v>0</v>
      </c>
      <c r="AK29" s="148">
        <f>'0601(実績)'!AK67</f>
        <v>10</v>
      </c>
      <c r="AL29" s="1" t="s">
        <v>3</v>
      </c>
    </row>
    <row r="48" spans="8:3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row>
    <row r="50" spans="8:3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row>
    <row r="65" spans="7:37">
      <c r="H65" s="177"/>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row>
    <row r="67" spans="7:3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c r="AD67" s="177"/>
      <c r="AE67" s="177"/>
      <c r="AF67" s="177"/>
      <c r="AG67" s="177"/>
      <c r="AH67" s="177"/>
      <c r="AI67" s="177"/>
      <c r="AJ67" s="177"/>
      <c r="AK67" s="177"/>
    </row>
  </sheetData>
  <autoFilter ref="B5:AL29" xr:uid="{001178E2-01B1-4F8D-8337-46FC6440BB43}">
    <filterColumn colId="1" showButton="0"/>
  </autoFilter>
  <mergeCells count="31">
    <mergeCell ref="C3:D5"/>
    <mergeCell ref="E3:E5"/>
    <mergeCell ref="F3:F5"/>
    <mergeCell ref="B6:B11"/>
    <mergeCell ref="C6:D6"/>
    <mergeCell ref="C7:D7"/>
    <mergeCell ref="C8:D8"/>
    <mergeCell ref="C9:D9"/>
    <mergeCell ref="C10:D10"/>
    <mergeCell ref="C11:D11"/>
    <mergeCell ref="B12:B17"/>
    <mergeCell ref="C12:D12"/>
    <mergeCell ref="C13:D13"/>
    <mergeCell ref="C14:D14"/>
    <mergeCell ref="C15:D15"/>
    <mergeCell ref="C16:D16"/>
    <mergeCell ref="C17:D17"/>
    <mergeCell ref="B18:B23"/>
    <mergeCell ref="C18:D18"/>
    <mergeCell ref="C19:D19"/>
    <mergeCell ref="C20:D20"/>
    <mergeCell ref="C21:D21"/>
    <mergeCell ref="C22:D22"/>
    <mergeCell ref="C23:D23"/>
    <mergeCell ref="B24:B29"/>
    <mergeCell ref="C24:D24"/>
    <mergeCell ref="C25:D25"/>
    <mergeCell ref="C26:D26"/>
    <mergeCell ref="C27:D27"/>
    <mergeCell ref="C28:D28"/>
    <mergeCell ref="C29:D29"/>
  </mergeCells>
  <phoneticPr fontId="2"/>
  <conditionalFormatting sqref="H4:AK5">
    <cfRule type="timePeriod" dxfId="8" priority="1" timePeriod="today">
      <formula>FLOOR(H4,1)=TODAY()</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A740B962-35A6-496E-B610-18E010139B1B}">
            <xm:f>OR(WEEKDAY(H$4,2)&gt;=6,COUNTIF(祝日!$A:$A,H$4)&gt;=1)</xm:f>
            <x14:dxf>
              <fill>
                <patternFill>
                  <bgColor theme="1" tint="0.499984740745262"/>
                </patternFill>
              </fill>
            </x14:dxf>
          </x14:cfRule>
          <xm:sqref>H4:AK29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72B9F-3305-41B7-88EC-560004E9C58E}">
  <dimension ref="B2:BT59"/>
  <sheetViews>
    <sheetView zoomScale="115" zoomScaleNormal="115" workbookViewId="0">
      <pane xSplit="7" ySplit="5" topLeftCell="I6" activePane="bottomRight" state="frozen"/>
      <selection pane="topRight" activeCell="H39" sqref="H39:AJ39"/>
      <selection pane="bottomLeft" activeCell="H39" sqref="H39:AJ39"/>
      <selection pane="bottomRight" activeCell="I10" sqref="I10"/>
    </sheetView>
  </sheetViews>
  <sheetFormatPr defaultRowHeight="15" outlineLevelRow="1"/>
  <cols>
    <col min="1" max="1" width="4.2109375" customWidth="1"/>
    <col min="2" max="2" width="5.2109375" customWidth="1"/>
    <col min="3" max="3" width="3.35546875" bestFit="1" customWidth="1"/>
    <col min="4" max="4" width="8.5703125" customWidth="1"/>
    <col min="5" max="5" width="6.85546875" style="11" bestFit="1" customWidth="1"/>
    <col min="6" max="6" width="5.85546875" customWidth="1"/>
    <col min="7" max="7" width="4.640625" bestFit="1" customWidth="1"/>
    <col min="8" max="10" width="4.35546875" bestFit="1" customWidth="1"/>
    <col min="11" max="11" width="5.2109375" customWidth="1"/>
    <col min="12" max="22" width="4.35546875" bestFit="1" customWidth="1"/>
    <col min="23" max="38" width="3.640625" customWidth="1"/>
    <col min="39" max="39" width="6.42578125" customWidth="1"/>
    <col min="40" max="40" width="6.640625" customWidth="1"/>
  </cols>
  <sheetData>
    <row r="2" spans="2:72" ht="15.5" thickBot="1">
      <c r="E2"/>
      <c r="H2">
        <v>1</v>
      </c>
      <c r="I2">
        <v>1</v>
      </c>
      <c r="J2">
        <v>1</v>
      </c>
      <c r="M2">
        <v>1</v>
      </c>
      <c r="N2">
        <v>1</v>
      </c>
      <c r="O2">
        <v>1</v>
      </c>
      <c r="P2">
        <v>1</v>
      </c>
      <c r="Q2">
        <v>1</v>
      </c>
      <c r="T2">
        <v>1</v>
      </c>
      <c r="U2">
        <v>1</v>
      </c>
      <c r="V2">
        <v>1</v>
      </c>
      <c r="W2">
        <v>1</v>
      </c>
      <c r="X2">
        <v>1</v>
      </c>
      <c r="AB2">
        <v>1</v>
      </c>
      <c r="AC2">
        <v>1</v>
      </c>
      <c r="AD2">
        <v>1</v>
      </c>
      <c r="AE2">
        <v>1</v>
      </c>
      <c r="AH2">
        <v>1</v>
      </c>
      <c r="AI2">
        <v>1</v>
      </c>
      <c r="AJ2">
        <v>1</v>
      </c>
      <c r="AK2">
        <v>1</v>
      </c>
      <c r="AL2">
        <v>1</v>
      </c>
      <c r="AM2">
        <f>SUM(H2:AL2)</f>
        <v>22</v>
      </c>
    </row>
    <row r="3" spans="2:72" s="1" customFormat="1" ht="15" customHeight="1">
      <c r="C3" s="222"/>
      <c r="D3" s="223"/>
      <c r="E3" s="218" t="s">
        <v>0</v>
      </c>
      <c r="F3" s="215" t="s">
        <v>1</v>
      </c>
      <c r="G3" s="42"/>
      <c r="H3" s="2">
        <v>46204</v>
      </c>
      <c r="I3" s="3"/>
      <c r="J3" s="3"/>
      <c r="K3" s="3"/>
      <c r="L3" s="3"/>
      <c r="M3" s="13" t="s">
        <v>2</v>
      </c>
      <c r="N3" s="3"/>
      <c r="O3" s="3"/>
      <c r="P3" s="3"/>
      <c r="Q3" s="3"/>
      <c r="R3" s="3"/>
      <c r="S3" s="3"/>
      <c r="T3" s="3"/>
      <c r="U3" s="3"/>
      <c r="V3" s="3"/>
      <c r="W3" s="3"/>
      <c r="X3" s="3"/>
      <c r="Y3" s="3"/>
      <c r="Z3" s="3"/>
      <c r="AA3" s="3"/>
      <c r="AB3" s="3"/>
      <c r="AC3" s="3"/>
      <c r="AD3" s="3"/>
      <c r="AE3" s="3"/>
      <c r="AF3" s="3"/>
      <c r="AG3" s="3"/>
      <c r="AH3" s="3"/>
      <c r="AI3" s="3"/>
      <c r="AJ3" s="3"/>
      <c r="AK3" s="3"/>
      <c r="AL3" s="4"/>
      <c r="AM3" s="1" t="s">
        <v>3</v>
      </c>
    </row>
    <row r="4" spans="2:72" s="1" customFormat="1" ht="13.5">
      <c r="C4" s="224"/>
      <c r="D4" s="225"/>
      <c r="E4" s="219"/>
      <c r="F4" s="216"/>
      <c r="G4" s="43"/>
      <c r="H4" s="5">
        <f>H3</f>
        <v>46204</v>
      </c>
      <c r="I4" s="6">
        <f t="shared" ref="I4:AL4" si="0">H4+1</f>
        <v>46205</v>
      </c>
      <c r="J4" s="6">
        <f t="shared" si="0"/>
        <v>46206</v>
      </c>
      <c r="K4" s="6">
        <f t="shared" si="0"/>
        <v>46207</v>
      </c>
      <c r="L4" s="6">
        <f t="shared" si="0"/>
        <v>46208</v>
      </c>
      <c r="M4" s="6">
        <f t="shared" si="0"/>
        <v>46209</v>
      </c>
      <c r="N4" s="6">
        <f t="shared" si="0"/>
        <v>46210</v>
      </c>
      <c r="O4" s="6">
        <f t="shared" si="0"/>
        <v>46211</v>
      </c>
      <c r="P4" s="6">
        <f t="shared" si="0"/>
        <v>46212</v>
      </c>
      <c r="Q4" s="6">
        <f t="shared" si="0"/>
        <v>46213</v>
      </c>
      <c r="R4" s="6">
        <f t="shared" si="0"/>
        <v>46214</v>
      </c>
      <c r="S4" s="6">
        <f t="shared" si="0"/>
        <v>46215</v>
      </c>
      <c r="T4" s="6">
        <f t="shared" si="0"/>
        <v>46216</v>
      </c>
      <c r="U4" s="6">
        <f t="shared" si="0"/>
        <v>46217</v>
      </c>
      <c r="V4" s="6">
        <f t="shared" si="0"/>
        <v>46218</v>
      </c>
      <c r="W4" s="6">
        <f t="shared" si="0"/>
        <v>46219</v>
      </c>
      <c r="X4" s="6">
        <f t="shared" si="0"/>
        <v>46220</v>
      </c>
      <c r="Y4" s="6">
        <f t="shared" si="0"/>
        <v>46221</v>
      </c>
      <c r="Z4" s="6">
        <f t="shared" si="0"/>
        <v>46222</v>
      </c>
      <c r="AA4" s="6">
        <f t="shared" si="0"/>
        <v>46223</v>
      </c>
      <c r="AB4" s="6">
        <f t="shared" si="0"/>
        <v>46224</v>
      </c>
      <c r="AC4" s="6">
        <f t="shared" si="0"/>
        <v>46225</v>
      </c>
      <c r="AD4" s="6">
        <f t="shared" si="0"/>
        <v>46226</v>
      </c>
      <c r="AE4" s="6">
        <f t="shared" si="0"/>
        <v>46227</v>
      </c>
      <c r="AF4" s="6">
        <f t="shared" si="0"/>
        <v>46228</v>
      </c>
      <c r="AG4" s="6">
        <f t="shared" si="0"/>
        <v>46229</v>
      </c>
      <c r="AH4" s="6">
        <f t="shared" si="0"/>
        <v>46230</v>
      </c>
      <c r="AI4" s="6">
        <f t="shared" si="0"/>
        <v>46231</v>
      </c>
      <c r="AJ4" s="6">
        <f t="shared" si="0"/>
        <v>46232</v>
      </c>
      <c r="AK4" s="6">
        <f t="shared" si="0"/>
        <v>46233</v>
      </c>
      <c r="AL4" s="7">
        <f t="shared" si="0"/>
        <v>46234</v>
      </c>
      <c r="AM4" s="1" t="s">
        <v>3</v>
      </c>
    </row>
    <row r="5" spans="2:72" s="1" customFormat="1" ht="14" thickBot="1">
      <c r="C5" s="224"/>
      <c r="D5" s="225"/>
      <c r="E5" s="219"/>
      <c r="F5" s="217"/>
      <c r="G5" s="44"/>
      <c r="H5" s="8">
        <f>H4</f>
        <v>46204</v>
      </c>
      <c r="I5" s="9">
        <f t="shared" ref="I5:AL5" si="1">I4</f>
        <v>46205</v>
      </c>
      <c r="J5" s="9">
        <f t="shared" si="1"/>
        <v>46206</v>
      </c>
      <c r="K5" s="9">
        <f t="shared" si="1"/>
        <v>46207</v>
      </c>
      <c r="L5" s="9">
        <f t="shared" si="1"/>
        <v>46208</v>
      </c>
      <c r="M5" s="9">
        <f t="shared" si="1"/>
        <v>46209</v>
      </c>
      <c r="N5" s="9">
        <f t="shared" si="1"/>
        <v>46210</v>
      </c>
      <c r="O5" s="9">
        <f t="shared" si="1"/>
        <v>46211</v>
      </c>
      <c r="P5" s="9">
        <f t="shared" si="1"/>
        <v>46212</v>
      </c>
      <c r="Q5" s="9">
        <f t="shared" si="1"/>
        <v>46213</v>
      </c>
      <c r="R5" s="9">
        <f t="shared" si="1"/>
        <v>46214</v>
      </c>
      <c r="S5" s="9">
        <f t="shared" si="1"/>
        <v>46215</v>
      </c>
      <c r="T5" s="9">
        <f t="shared" si="1"/>
        <v>46216</v>
      </c>
      <c r="U5" s="9">
        <f t="shared" si="1"/>
        <v>46217</v>
      </c>
      <c r="V5" s="9">
        <f t="shared" si="1"/>
        <v>46218</v>
      </c>
      <c r="W5" s="9">
        <f t="shared" si="1"/>
        <v>46219</v>
      </c>
      <c r="X5" s="9">
        <f t="shared" si="1"/>
        <v>46220</v>
      </c>
      <c r="Y5" s="9">
        <f t="shared" si="1"/>
        <v>46221</v>
      </c>
      <c r="Z5" s="9">
        <f t="shared" si="1"/>
        <v>46222</v>
      </c>
      <c r="AA5" s="9">
        <f t="shared" si="1"/>
        <v>46223</v>
      </c>
      <c r="AB5" s="9">
        <f t="shared" si="1"/>
        <v>46224</v>
      </c>
      <c r="AC5" s="9">
        <f t="shared" si="1"/>
        <v>46225</v>
      </c>
      <c r="AD5" s="9">
        <f t="shared" si="1"/>
        <v>46226</v>
      </c>
      <c r="AE5" s="9">
        <f t="shared" si="1"/>
        <v>46227</v>
      </c>
      <c r="AF5" s="9">
        <f t="shared" si="1"/>
        <v>46228</v>
      </c>
      <c r="AG5" s="9">
        <f t="shared" si="1"/>
        <v>46229</v>
      </c>
      <c r="AH5" s="9">
        <f t="shared" si="1"/>
        <v>46230</v>
      </c>
      <c r="AI5" s="9">
        <f t="shared" si="1"/>
        <v>46231</v>
      </c>
      <c r="AJ5" s="9">
        <f t="shared" si="1"/>
        <v>46232</v>
      </c>
      <c r="AK5" s="9">
        <f t="shared" si="1"/>
        <v>46233</v>
      </c>
      <c r="AL5" s="10">
        <f t="shared" si="1"/>
        <v>46234</v>
      </c>
      <c r="AM5" s="1" t="s">
        <v>3</v>
      </c>
    </row>
    <row r="6" spans="2:72" s="1" customFormat="1" ht="15" customHeight="1">
      <c r="B6" s="207" t="s">
        <v>4</v>
      </c>
      <c r="C6" s="220" t="s">
        <v>5</v>
      </c>
      <c r="D6" s="221"/>
      <c r="E6" s="14">
        <f>SUM(H6:AL6)+'0601(予定)'!E6</f>
        <v>5720</v>
      </c>
      <c r="F6" s="39" t="s">
        <v>6</v>
      </c>
      <c r="G6" s="15" t="s">
        <v>7</v>
      </c>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
        <f>SUM(H6:AL6)</f>
        <v>0</v>
      </c>
    </row>
    <row r="7" spans="2:72" s="1" customFormat="1" ht="15" customHeight="1">
      <c r="B7" s="208"/>
      <c r="C7" s="205" t="s">
        <v>29</v>
      </c>
      <c r="D7" s="206"/>
      <c r="E7" s="39">
        <f>SUM(H7:AL7)+'0601(予定)'!E7</f>
        <v>5595</v>
      </c>
      <c r="F7" s="39" t="s">
        <v>6</v>
      </c>
      <c r="G7" s="15" t="s">
        <v>7</v>
      </c>
      <c r="H7" s="18">
        <f>SUM(H13*$F$13,H14*$F$14,H15*$F$15)</f>
        <v>40</v>
      </c>
      <c r="I7" s="18">
        <f>SUM(I13*$F$13,I14*$F$14,I15*$F$15)</f>
        <v>40</v>
      </c>
      <c r="J7" s="18">
        <f>SUM(J13*$F$13,J14*$F$14,J15*$F$15)</f>
        <v>50</v>
      </c>
      <c r="K7" s="18">
        <f t="shared" ref="K7:AL7" si="2">SUM(K13*$F$13,K14*$F$14,K15*$F$15)</f>
        <v>0</v>
      </c>
      <c r="L7" s="18">
        <f t="shared" si="2"/>
        <v>0</v>
      </c>
      <c r="M7" s="18">
        <f t="shared" si="2"/>
        <v>60</v>
      </c>
      <c r="N7" s="18">
        <f t="shared" si="2"/>
        <v>60</v>
      </c>
      <c r="O7" s="18">
        <f t="shared" si="2"/>
        <v>60</v>
      </c>
      <c r="P7" s="18">
        <f t="shared" si="2"/>
        <v>60</v>
      </c>
      <c r="Q7" s="18">
        <f t="shared" si="2"/>
        <v>70</v>
      </c>
      <c r="R7" s="18">
        <f t="shared" si="2"/>
        <v>0</v>
      </c>
      <c r="S7" s="18">
        <f t="shared" si="2"/>
        <v>0</v>
      </c>
      <c r="T7" s="18">
        <f t="shared" si="2"/>
        <v>40</v>
      </c>
      <c r="U7" s="18">
        <f t="shared" si="2"/>
        <v>40</v>
      </c>
      <c r="V7" s="18">
        <f t="shared" si="2"/>
        <v>40</v>
      </c>
      <c r="W7" s="18">
        <f t="shared" si="2"/>
        <v>40</v>
      </c>
      <c r="X7" s="18">
        <f t="shared" si="2"/>
        <v>70</v>
      </c>
      <c r="Y7" s="18">
        <f t="shared" si="2"/>
        <v>0</v>
      </c>
      <c r="Z7" s="18">
        <f t="shared" si="2"/>
        <v>0</v>
      </c>
      <c r="AA7" s="18">
        <f t="shared" si="2"/>
        <v>0</v>
      </c>
      <c r="AB7" s="18">
        <f t="shared" si="2"/>
        <v>60</v>
      </c>
      <c r="AC7" s="18">
        <f t="shared" si="2"/>
        <v>60</v>
      </c>
      <c r="AD7" s="18">
        <f t="shared" si="2"/>
        <v>60</v>
      </c>
      <c r="AE7" s="18">
        <f t="shared" si="2"/>
        <v>70</v>
      </c>
      <c r="AF7" s="18">
        <f t="shared" si="2"/>
        <v>0</v>
      </c>
      <c r="AG7" s="18">
        <f t="shared" si="2"/>
        <v>0</v>
      </c>
      <c r="AH7" s="18">
        <f t="shared" si="2"/>
        <v>40</v>
      </c>
      <c r="AI7" s="18">
        <f t="shared" si="2"/>
        <v>40</v>
      </c>
      <c r="AJ7" s="18">
        <f t="shared" si="2"/>
        <v>40</v>
      </c>
      <c r="AK7" s="18">
        <f t="shared" ref="AK7" si="3">SUM(AK13*$F$13,AK14*$F$14,AK15*$F$15)</f>
        <v>40</v>
      </c>
      <c r="AL7" s="18">
        <f t="shared" si="2"/>
        <v>0</v>
      </c>
      <c r="AM7" s="1" t="s">
        <v>3</v>
      </c>
    </row>
    <row r="8" spans="2:72" s="1" customFormat="1" ht="15" customHeight="1">
      <c r="B8" s="208"/>
      <c r="C8" s="213" t="s">
        <v>9</v>
      </c>
      <c r="D8" s="214"/>
      <c r="E8" s="121" t="s">
        <v>10</v>
      </c>
      <c r="F8" s="121" t="s">
        <v>10</v>
      </c>
      <c r="G8" s="122" t="s">
        <v>11</v>
      </c>
      <c r="H8" s="127">
        <f>'0601(予定)'!AK8+H7</f>
        <v>4555</v>
      </c>
      <c r="I8" s="127">
        <f t="shared" ref="I8:AL8" si="4">H8+I7</f>
        <v>4595</v>
      </c>
      <c r="J8" s="127">
        <f t="shared" si="4"/>
        <v>4645</v>
      </c>
      <c r="K8" s="127">
        <f t="shared" si="4"/>
        <v>4645</v>
      </c>
      <c r="L8" s="127">
        <f t="shared" si="4"/>
        <v>4645</v>
      </c>
      <c r="M8" s="127">
        <f t="shared" si="4"/>
        <v>4705</v>
      </c>
      <c r="N8" s="127">
        <f t="shared" si="4"/>
        <v>4765</v>
      </c>
      <c r="O8" s="127">
        <f t="shared" si="4"/>
        <v>4825</v>
      </c>
      <c r="P8" s="127">
        <f t="shared" si="4"/>
        <v>4885</v>
      </c>
      <c r="Q8" s="127">
        <f t="shared" si="4"/>
        <v>4955</v>
      </c>
      <c r="R8" s="127">
        <f t="shared" si="4"/>
        <v>4955</v>
      </c>
      <c r="S8" s="127">
        <f t="shared" si="4"/>
        <v>4955</v>
      </c>
      <c r="T8" s="127">
        <f t="shared" si="4"/>
        <v>4995</v>
      </c>
      <c r="U8" s="127">
        <f t="shared" si="4"/>
        <v>5035</v>
      </c>
      <c r="V8" s="127">
        <f t="shared" si="4"/>
        <v>5075</v>
      </c>
      <c r="W8" s="127">
        <f t="shared" si="4"/>
        <v>5115</v>
      </c>
      <c r="X8" s="127">
        <f t="shared" si="4"/>
        <v>5185</v>
      </c>
      <c r="Y8" s="127">
        <f t="shared" si="4"/>
        <v>5185</v>
      </c>
      <c r="Z8" s="127">
        <f t="shared" si="4"/>
        <v>5185</v>
      </c>
      <c r="AA8" s="127">
        <f t="shared" si="4"/>
        <v>5185</v>
      </c>
      <c r="AB8" s="127">
        <f t="shared" si="4"/>
        <v>5245</v>
      </c>
      <c r="AC8" s="127">
        <f t="shared" si="4"/>
        <v>5305</v>
      </c>
      <c r="AD8" s="127">
        <f t="shared" si="4"/>
        <v>5365</v>
      </c>
      <c r="AE8" s="127">
        <f t="shared" si="4"/>
        <v>5435</v>
      </c>
      <c r="AF8" s="127">
        <f t="shared" si="4"/>
        <v>5435</v>
      </c>
      <c r="AG8" s="127">
        <f t="shared" si="4"/>
        <v>5435</v>
      </c>
      <c r="AH8" s="127">
        <f t="shared" si="4"/>
        <v>5475</v>
      </c>
      <c r="AI8" s="127">
        <f t="shared" si="4"/>
        <v>5515</v>
      </c>
      <c r="AJ8" s="127">
        <f t="shared" si="4"/>
        <v>5555</v>
      </c>
      <c r="AK8" s="128">
        <f t="shared" si="4"/>
        <v>5595</v>
      </c>
      <c r="AL8" s="128">
        <f t="shared" si="4"/>
        <v>5595</v>
      </c>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c r="BK8" s="131"/>
      <c r="BL8" s="131"/>
      <c r="BM8" s="131"/>
      <c r="BN8" s="131"/>
      <c r="BO8" s="131"/>
      <c r="BP8" s="131"/>
      <c r="BQ8" s="131"/>
      <c r="BR8" s="131"/>
      <c r="BS8" s="131"/>
      <c r="BT8" s="131"/>
    </row>
    <row r="9" spans="2:72" s="1" customFormat="1" ht="15" customHeight="1">
      <c r="B9" s="208"/>
      <c r="C9" s="205" t="s">
        <v>30</v>
      </c>
      <c r="D9" s="206"/>
      <c r="E9" s="39">
        <f>SUM(H9:AL9)+'0601(予定)'!E9</f>
        <v>5595</v>
      </c>
      <c r="F9" s="39" t="s">
        <v>6</v>
      </c>
      <c r="G9" s="15" t="s">
        <v>7</v>
      </c>
      <c r="H9" s="18">
        <f>SUM(H16*$F$16,H17*$F$17,H18*$F$18,H19*$F$19)</f>
        <v>90</v>
      </c>
      <c r="I9" s="18">
        <f>SUM(I16*$F$16,I17*$F$17,I18*$F$18,I19*$F$19)</f>
        <v>90</v>
      </c>
      <c r="J9" s="18">
        <f>SUM(J16*$F$16,J17*$F$17,J18*$F$18,J19*$F$19)</f>
        <v>100</v>
      </c>
      <c r="K9" s="18">
        <f t="shared" ref="K9:AL9" si="5">SUM(K16*$F$16,K17*$F$17,K18*$F$18,K19*$F$19)</f>
        <v>0</v>
      </c>
      <c r="L9" s="18">
        <f t="shared" si="5"/>
        <v>0</v>
      </c>
      <c r="M9" s="18">
        <f t="shared" si="5"/>
        <v>70</v>
      </c>
      <c r="N9" s="18">
        <f t="shared" si="5"/>
        <v>72</v>
      </c>
      <c r="O9" s="18">
        <f t="shared" si="5"/>
        <v>70</v>
      </c>
      <c r="P9" s="18">
        <f t="shared" si="5"/>
        <v>70</v>
      </c>
      <c r="Q9" s="18">
        <f t="shared" si="5"/>
        <v>80</v>
      </c>
      <c r="R9" s="18">
        <f t="shared" si="5"/>
        <v>0</v>
      </c>
      <c r="S9" s="18">
        <f t="shared" si="5"/>
        <v>0</v>
      </c>
      <c r="T9" s="18">
        <f>SUM(T16*$F$16,T17*$F$17,T18*$F$18,T19*$F$19)</f>
        <v>90</v>
      </c>
      <c r="U9" s="18">
        <f>SUM(U16*$F$16,U17*$F$17,U18*$F$18,U19*$F$19)</f>
        <v>92</v>
      </c>
      <c r="V9" s="18">
        <f>SUM(V16*$F$16,V17*$F$17,V18*$F$18,V19*$F$19)</f>
        <v>90</v>
      </c>
      <c r="W9" s="18">
        <f>SUM(W16*$F$16,W17*$F$17,W18*$F$18,W19*$F$19)</f>
        <v>90</v>
      </c>
      <c r="X9" s="18">
        <f>SUM(X16*$F$16,X17*$F$17,X18*$F$18,X19*$F$19)</f>
        <v>80</v>
      </c>
      <c r="Y9" s="18">
        <f t="shared" si="5"/>
        <v>0</v>
      </c>
      <c r="Z9" s="18">
        <f t="shared" si="5"/>
        <v>0</v>
      </c>
      <c r="AA9" s="18">
        <f>SUM(AA16*$F$16,AA17*$F$17,AA18*$F$18,AA19*$F$19)</f>
        <v>0</v>
      </c>
      <c r="AB9" s="18">
        <f>SUM(AB16*$F$16,AB17*$F$17,AB18*$F$18,AB19*$F$19)</f>
        <v>72</v>
      </c>
      <c r="AC9" s="18">
        <f>SUM(AC16*$F$16,AC17*$F$17,AC18*$F$18,AC19*$F$19)</f>
        <v>70</v>
      </c>
      <c r="AD9" s="18">
        <f>SUM(AD16*$F$16,AD17*$F$17,AD18*$F$18,AD19*$F$19)</f>
        <v>70</v>
      </c>
      <c r="AE9" s="18">
        <f>SUM(AE16*$F$16,AE17*$F$17,AE18*$F$18,AE19*$F$19)</f>
        <v>80</v>
      </c>
      <c r="AF9" s="18">
        <f t="shared" si="5"/>
        <v>0</v>
      </c>
      <c r="AG9" s="18">
        <f t="shared" si="5"/>
        <v>0</v>
      </c>
      <c r="AH9" s="18">
        <f t="shared" si="5"/>
        <v>90</v>
      </c>
      <c r="AI9" s="18">
        <f t="shared" si="5"/>
        <v>92</v>
      </c>
      <c r="AJ9" s="18">
        <f t="shared" si="5"/>
        <v>90</v>
      </c>
      <c r="AK9" s="18">
        <f t="shared" ref="AK9" si="6">SUM(AK16*$F$16,AK17*$F$17,AK18*$F$18,AK19*$F$19)</f>
        <v>90</v>
      </c>
      <c r="AL9" s="18">
        <f t="shared" si="5"/>
        <v>0</v>
      </c>
      <c r="AM9" s="1" t="s">
        <v>3</v>
      </c>
    </row>
    <row r="10" spans="2:72" s="1" customFormat="1" ht="15" customHeight="1">
      <c r="B10" s="208"/>
      <c r="C10" s="213" t="s">
        <v>13</v>
      </c>
      <c r="D10" s="214"/>
      <c r="E10" s="121" t="s">
        <v>10</v>
      </c>
      <c r="F10" s="121" t="s">
        <v>10</v>
      </c>
      <c r="G10" s="122" t="s">
        <v>11</v>
      </c>
      <c r="H10" s="127">
        <f>'0601(予定)'!AK10+H9</f>
        <v>3947</v>
      </c>
      <c r="I10" s="127">
        <f t="shared" ref="I10:AL10" si="7">H10+I9</f>
        <v>4037</v>
      </c>
      <c r="J10" s="127">
        <f t="shared" si="7"/>
        <v>4137</v>
      </c>
      <c r="K10" s="127">
        <f t="shared" si="7"/>
        <v>4137</v>
      </c>
      <c r="L10" s="127">
        <f t="shared" si="7"/>
        <v>4137</v>
      </c>
      <c r="M10" s="127">
        <f t="shared" si="7"/>
        <v>4207</v>
      </c>
      <c r="N10" s="127">
        <f t="shared" si="7"/>
        <v>4279</v>
      </c>
      <c r="O10" s="127">
        <f t="shared" si="7"/>
        <v>4349</v>
      </c>
      <c r="P10" s="127">
        <f t="shared" si="7"/>
        <v>4419</v>
      </c>
      <c r="Q10" s="127">
        <f t="shared" si="7"/>
        <v>4499</v>
      </c>
      <c r="R10" s="127">
        <f t="shared" si="7"/>
        <v>4499</v>
      </c>
      <c r="S10" s="127">
        <f t="shared" si="7"/>
        <v>4499</v>
      </c>
      <c r="T10" s="127">
        <f t="shared" si="7"/>
        <v>4589</v>
      </c>
      <c r="U10" s="127">
        <f t="shared" si="7"/>
        <v>4681</v>
      </c>
      <c r="V10" s="127">
        <f t="shared" si="7"/>
        <v>4771</v>
      </c>
      <c r="W10" s="127">
        <f t="shared" si="7"/>
        <v>4861</v>
      </c>
      <c r="X10" s="127">
        <f t="shared" si="7"/>
        <v>4941</v>
      </c>
      <c r="Y10" s="127">
        <f t="shared" si="7"/>
        <v>4941</v>
      </c>
      <c r="Z10" s="127">
        <f t="shared" si="7"/>
        <v>4941</v>
      </c>
      <c r="AA10" s="127">
        <f t="shared" si="7"/>
        <v>4941</v>
      </c>
      <c r="AB10" s="127">
        <f t="shared" si="7"/>
        <v>5013</v>
      </c>
      <c r="AC10" s="127">
        <f t="shared" si="7"/>
        <v>5083</v>
      </c>
      <c r="AD10" s="127">
        <f t="shared" si="7"/>
        <v>5153</v>
      </c>
      <c r="AE10" s="127">
        <f t="shared" si="7"/>
        <v>5233</v>
      </c>
      <c r="AF10" s="127">
        <f t="shared" si="7"/>
        <v>5233</v>
      </c>
      <c r="AG10" s="127">
        <f t="shared" si="7"/>
        <v>5233</v>
      </c>
      <c r="AH10" s="127">
        <f t="shared" si="7"/>
        <v>5323</v>
      </c>
      <c r="AI10" s="127">
        <f t="shared" si="7"/>
        <v>5415</v>
      </c>
      <c r="AJ10" s="127">
        <f t="shared" si="7"/>
        <v>5505</v>
      </c>
      <c r="AK10" s="127">
        <f t="shared" si="7"/>
        <v>5595</v>
      </c>
      <c r="AL10" s="127">
        <f t="shared" si="7"/>
        <v>5595</v>
      </c>
    </row>
    <row r="11" spans="2:72" s="1" customFormat="1" ht="13.5">
      <c r="B11" s="208"/>
      <c r="C11" s="205" t="s">
        <v>14</v>
      </c>
      <c r="D11" s="206"/>
      <c r="E11" s="39">
        <f>E6-E7</f>
        <v>125</v>
      </c>
      <c r="F11" s="39" t="s">
        <v>6</v>
      </c>
      <c r="G11" s="15" t="s">
        <v>7</v>
      </c>
      <c r="H11" s="18">
        <f>'0601(予定)'!AK11+H6-H7</f>
        <v>1165</v>
      </c>
      <c r="I11" s="18">
        <f t="shared" ref="I11:AL11" si="8">H11+I6-I7</f>
        <v>1125</v>
      </c>
      <c r="J11" s="18">
        <f t="shared" si="8"/>
        <v>1075</v>
      </c>
      <c r="K11" s="18">
        <f t="shared" si="8"/>
        <v>1075</v>
      </c>
      <c r="L11" s="18">
        <f t="shared" si="8"/>
        <v>1075</v>
      </c>
      <c r="M11" s="18">
        <f t="shared" si="8"/>
        <v>1015</v>
      </c>
      <c r="N11" s="18">
        <f t="shared" si="8"/>
        <v>955</v>
      </c>
      <c r="O11" s="18">
        <f t="shared" si="8"/>
        <v>895</v>
      </c>
      <c r="P11" s="18">
        <f t="shared" si="8"/>
        <v>835</v>
      </c>
      <c r="Q11" s="18">
        <f t="shared" si="8"/>
        <v>765</v>
      </c>
      <c r="R11" s="18">
        <f t="shared" si="8"/>
        <v>765</v>
      </c>
      <c r="S11" s="18">
        <f t="shared" si="8"/>
        <v>765</v>
      </c>
      <c r="T11" s="18">
        <f t="shared" si="8"/>
        <v>725</v>
      </c>
      <c r="U11" s="79">
        <f t="shared" si="8"/>
        <v>685</v>
      </c>
      <c r="V11" s="18">
        <f t="shared" si="8"/>
        <v>645</v>
      </c>
      <c r="W11" s="18">
        <f t="shared" si="8"/>
        <v>605</v>
      </c>
      <c r="X11" s="18">
        <f t="shared" si="8"/>
        <v>535</v>
      </c>
      <c r="Y11" s="18">
        <f t="shared" si="8"/>
        <v>535</v>
      </c>
      <c r="Z11" s="18">
        <f t="shared" si="8"/>
        <v>535</v>
      </c>
      <c r="AA11" s="18">
        <f t="shared" si="8"/>
        <v>535</v>
      </c>
      <c r="AB11" s="18">
        <f t="shared" si="8"/>
        <v>475</v>
      </c>
      <c r="AC11" s="18">
        <f t="shared" si="8"/>
        <v>415</v>
      </c>
      <c r="AD11" s="18">
        <f t="shared" si="8"/>
        <v>355</v>
      </c>
      <c r="AE11" s="18">
        <f t="shared" si="8"/>
        <v>285</v>
      </c>
      <c r="AF11" s="18">
        <f t="shared" si="8"/>
        <v>285</v>
      </c>
      <c r="AG11" s="18">
        <f t="shared" si="8"/>
        <v>285</v>
      </c>
      <c r="AH11" s="18">
        <f t="shared" si="8"/>
        <v>245</v>
      </c>
      <c r="AI11" s="18">
        <f t="shared" si="8"/>
        <v>205</v>
      </c>
      <c r="AJ11" s="18">
        <f t="shared" si="8"/>
        <v>165</v>
      </c>
      <c r="AK11" s="18">
        <f t="shared" si="8"/>
        <v>125</v>
      </c>
      <c r="AL11" s="18">
        <f t="shared" si="8"/>
        <v>125</v>
      </c>
      <c r="AM11" s="1" t="s">
        <v>3</v>
      </c>
    </row>
    <row r="12" spans="2:72" s="1" customFormat="1" ht="14" thickBot="1">
      <c r="B12" s="208"/>
      <c r="C12" s="205" t="s">
        <v>15</v>
      </c>
      <c r="D12" s="206"/>
      <c r="E12" s="19">
        <f>E6-E9</f>
        <v>125</v>
      </c>
      <c r="F12" s="19" t="s">
        <v>6</v>
      </c>
      <c r="G12" s="15" t="s">
        <v>7</v>
      </c>
      <c r="H12" s="20">
        <f>'0601(予定)'!AK12+H6-H9</f>
        <v>1773</v>
      </c>
      <c r="I12" s="20">
        <f t="shared" ref="I12:AL12" si="9">H12+I6-I9</f>
        <v>1683</v>
      </c>
      <c r="J12" s="20">
        <f t="shared" si="9"/>
        <v>1583</v>
      </c>
      <c r="K12" s="20">
        <f t="shared" si="9"/>
        <v>1583</v>
      </c>
      <c r="L12" s="20">
        <f t="shared" si="9"/>
        <v>1583</v>
      </c>
      <c r="M12" s="20">
        <f t="shared" si="9"/>
        <v>1513</v>
      </c>
      <c r="N12" s="20">
        <f t="shared" si="9"/>
        <v>1441</v>
      </c>
      <c r="O12" s="20">
        <f t="shared" si="9"/>
        <v>1371</v>
      </c>
      <c r="P12" s="20">
        <f t="shared" si="9"/>
        <v>1301</v>
      </c>
      <c r="Q12" s="20">
        <f t="shared" si="9"/>
        <v>1221</v>
      </c>
      <c r="R12" s="20">
        <f t="shared" si="9"/>
        <v>1221</v>
      </c>
      <c r="S12" s="20">
        <f t="shared" si="9"/>
        <v>1221</v>
      </c>
      <c r="T12" s="20">
        <f t="shared" si="9"/>
        <v>1131</v>
      </c>
      <c r="U12" s="80">
        <f t="shared" si="9"/>
        <v>1039</v>
      </c>
      <c r="V12" s="20">
        <f t="shared" si="9"/>
        <v>949</v>
      </c>
      <c r="W12" s="20">
        <f t="shared" si="9"/>
        <v>859</v>
      </c>
      <c r="X12" s="20">
        <f t="shared" si="9"/>
        <v>779</v>
      </c>
      <c r="Y12" s="20">
        <f t="shared" si="9"/>
        <v>779</v>
      </c>
      <c r="Z12" s="20">
        <f t="shared" si="9"/>
        <v>779</v>
      </c>
      <c r="AA12" s="20">
        <f t="shared" si="9"/>
        <v>779</v>
      </c>
      <c r="AB12" s="20">
        <f t="shared" si="9"/>
        <v>707</v>
      </c>
      <c r="AC12" s="20">
        <f t="shared" si="9"/>
        <v>637</v>
      </c>
      <c r="AD12" s="20">
        <f t="shared" si="9"/>
        <v>567</v>
      </c>
      <c r="AE12" s="20">
        <f t="shared" si="9"/>
        <v>487</v>
      </c>
      <c r="AF12" s="20">
        <f t="shared" si="9"/>
        <v>487</v>
      </c>
      <c r="AG12" s="20">
        <f t="shared" si="9"/>
        <v>487</v>
      </c>
      <c r="AH12" s="20">
        <f t="shared" si="9"/>
        <v>397</v>
      </c>
      <c r="AI12" s="20">
        <f t="shared" si="9"/>
        <v>305</v>
      </c>
      <c r="AJ12" s="20">
        <f t="shared" si="9"/>
        <v>215</v>
      </c>
      <c r="AK12" s="20">
        <f t="shared" si="9"/>
        <v>125</v>
      </c>
      <c r="AL12" s="20">
        <f t="shared" si="9"/>
        <v>125</v>
      </c>
      <c r="AM12" s="1" t="s">
        <v>3</v>
      </c>
    </row>
    <row r="13" spans="2:72" s="1" customFormat="1" ht="13.5">
      <c r="B13" s="208"/>
      <c r="C13" s="210" t="s">
        <v>16</v>
      </c>
      <c r="D13" s="28" t="s">
        <v>17</v>
      </c>
      <c r="E13" s="33">
        <f>SUM(H13:AL13)*F13</f>
        <v>250</v>
      </c>
      <c r="F13" s="40">
        <v>20</v>
      </c>
      <c r="G13" s="16" t="s">
        <v>18</v>
      </c>
      <c r="H13" s="21">
        <v>0.5</v>
      </c>
      <c r="I13" s="21">
        <v>0.5</v>
      </c>
      <c r="J13" s="21">
        <v>1</v>
      </c>
      <c r="K13" s="21"/>
      <c r="L13" s="21"/>
      <c r="M13" s="21">
        <v>0.5</v>
      </c>
      <c r="N13" s="21">
        <v>0.5</v>
      </c>
      <c r="O13" s="21">
        <v>0.5</v>
      </c>
      <c r="P13" s="21">
        <v>0.5</v>
      </c>
      <c r="Q13" s="21">
        <v>1</v>
      </c>
      <c r="R13" s="21"/>
      <c r="S13" s="21"/>
      <c r="T13" s="21">
        <v>0.5</v>
      </c>
      <c r="U13" s="21">
        <v>0.5</v>
      </c>
      <c r="V13" s="21">
        <v>0.5</v>
      </c>
      <c r="W13" s="21">
        <v>0.5</v>
      </c>
      <c r="X13" s="21">
        <v>1</v>
      </c>
      <c r="Y13" s="21"/>
      <c r="Z13" s="21"/>
      <c r="AA13" s="21"/>
      <c r="AB13" s="21">
        <v>0.5</v>
      </c>
      <c r="AC13" s="21">
        <v>0.5</v>
      </c>
      <c r="AD13" s="21">
        <v>0.5</v>
      </c>
      <c r="AE13" s="21">
        <v>1</v>
      </c>
      <c r="AF13" s="21"/>
      <c r="AG13" s="21"/>
      <c r="AH13" s="21">
        <v>0.5</v>
      </c>
      <c r="AI13" s="21">
        <v>0.5</v>
      </c>
      <c r="AJ13" s="21">
        <v>0.5</v>
      </c>
      <c r="AK13" s="21">
        <v>0.5</v>
      </c>
      <c r="AL13" s="23"/>
      <c r="AM13" s="1" t="s">
        <v>3</v>
      </c>
    </row>
    <row r="14" spans="2:72" s="1" customFormat="1" ht="13.5">
      <c r="B14" s="208"/>
      <c r="C14" s="211"/>
      <c r="D14" s="29" t="s">
        <v>19</v>
      </c>
      <c r="E14" s="34">
        <f t="shared" ref="E14:E19" si="10">SUM(H14:AL14)*F14</f>
        <v>200</v>
      </c>
      <c r="F14" s="39">
        <v>20</v>
      </c>
      <c r="G14" s="15" t="s">
        <v>18</v>
      </c>
      <c r="H14" s="18"/>
      <c r="I14" s="18"/>
      <c r="J14" s="18"/>
      <c r="K14" s="18"/>
      <c r="L14" s="18"/>
      <c r="M14" s="18">
        <v>1</v>
      </c>
      <c r="N14" s="18">
        <v>1</v>
      </c>
      <c r="O14" s="18">
        <v>1</v>
      </c>
      <c r="P14" s="18">
        <v>1</v>
      </c>
      <c r="Q14" s="18">
        <v>1</v>
      </c>
      <c r="R14" s="18"/>
      <c r="S14" s="18"/>
      <c r="T14" s="18"/>
      <c r="U14" s="18"/>
      <c r="V14" s="18"/>
      <c r="W14" s="18"/>
      <c r="X14" s="18">
        <v>1</v>
      </c>
      <c r="Y14" s="18"/>
      <c r="Z14" s="18"/>
      <c r="AA14" s="18"/>
      <c r="AB14" s="18">
        <v>1</v>
      </c>
      <c r="AC14" s="18">
        <v>1</v>
      </c>
      <c r="AD14" s="18">
        <v>1</v>
      </c>
      <c r="AE14" s="18">
        <v>1</v>
      </c>
      <c r="AF14" s="18"/>
      <c r="AG14" s="18"/>
      <c r="AH14" s="18"/>
      <c r="AI14" s="18"/>
      <c r="AJ14" s="18"/>
      <c r="AK14" s="18"/>
      <c r="AL14" s="24"/>
      <c r="AM14" s="1" t="s">
        <v>3</v>
      </c>
    </row>
    <row r="15" spans="2:72" s="1" customFormat="1" ht="14" thickBot="1">
      <c r="B15" s="208"/>
      <c r="C15" s="211"/>
      <c r="D15" s="29" t="s">
        <v>57</v>
      </c>
      <c r="E15" s="35">
        <f t="shared" si="10"/>
        <v>630</v>
      </c>
      <c r="F15" s="41">
        <v>30</v>
      </c>
      <c r="G15" s="17" t="s">
        <v>18</v>
      </c>
      <c r="H15" s="25">
        <v>1</v>
      </c>
      <c r="I15" s="25">
        <v>1</v>
      </c>
      <c r="J15" s="18">
        <v>1</v>
      </c>
      <c r="K15" s="18"/>
      <c r="L15" s="18"/>
      <c r="M15" s="18">
        <v>1</v>
      </c>
      <c r="N15" s="18">
        <v>1</v>
      </c>
      <c r="O15" s="18">
        <v>1</v>
      </c>
      <c r="P15" s="18">
        <v>1</v>
      </c>
      <c r="Q15" s="18">
        <v>1</v>
      </c>
      <c r="R15" s="18"/>
      <c r="S15" s="18"/>
      <c r="T15" s="18">
        <v>1</v>
      </c>
      <c r="U15" s="18">
        <v>1</v>
      </c>
      <c r="V15" s="18">
        <v>1</v>
      </c>
      <c r="W15" s="18">
        <v>1</v>
      </c>
      <c r="X15" s="18">
        <v>1</v>
      </c>
      <c r="Y15" s="18"/>
      <c r="Z15" s="18"/>
      <c r="AA15" s="18"/>
      <c r="AB15" s="18">
        <v>1</v>
      </c>
      <c r="AC15" s="18">
        <v>1</v>
      </c>
      <c r="AD15" s="18">
        <v>1</v>
      </c>
      <c r="AE15" s="18">
        <v>1</v>
      </c>
      <c r="AF15" s="18"/>
      <c r="AG15" s="18"/>
      <c r="AH15" s="18">
        <v>1</v>
      </c>
      <c r="AI15" s="18">
        <v>1</v>
      </c>
      <c r="AJ15" s="18">
        <v>1</v>
      </c>
      <c r="AK15" s="18">
        <v>1</v>
      </c>
      <c r="AL15" s="27"/>
      <c r="AM15" s="1" t="s">
        <v>3</v>
      </c>
    </row>
    <row r="16" spans="2:72" s="1" customFormat="1" ht="13.5">
      <c r="B16" s="208"/>
      <c r="C16" s="210" t="s">
        <v>25</v>
      </c>
      <c r="D16" s="30" t="s">
        <v>26</v>
      </c>
      <c r="E16" s="36">
        <f t="shared" si="10"/>
        <v>630</v>
      </c>
      <c r="F16" s="40">
        <v>30</v>
      </c>
      <c r="G16" s="16" t="s">
        <v>18</v>
      </c>
      <c r="H16" s="21">
        <v>1</v>
      </c>
      <c r="I16" s="21">
        <v>1</v>
      </c>
      <c r="J16" s="21">
        <v>1</v>
      </c>
      <c r="K16" s="21"/>
      <c r="L16" s="21"/>
      <c r="M16" s="21">
        <v>1</v>
      </c>
      <c r="N16" s="21">
        <v>1</v>
      </c>
      <c r="O16" s="21">
        <v>1</v>
      </c>
      <c r="P16" s="21">
        <v>1</v>
      </c>
      <c r="Q16" s="21">
        <v>1</v>
      </c>
      <c r="R16" s="21"/>
      <c r="S16" s="21"/>
      <c r="T16" s="21">
        <v>1</v>
      </c>
      <c r="U16" s="21">
        <v>1</v>
      </c>
      <c r="V16" s="21">
        <v>1</v>
      </c>
      <c r="W16" s="21">
        <v>1</v>
      </c>
      <c r="X16" s="21">
        <v>1</v>
      </c>
      <c r="Y16" s="21"/>
      <c r="Z16" s="21"/>
      <c r="AA16" s="21"/>
      <c r="AB16" s="21">
        <v>1</v>
      </c>
      <c r="AC16" s="21">
        <v>1</v>
      </c>
      <c r="AD16" s="21">
        <v>1</v>
      </c>
      <c r="AE16" s="21">
        <v>1</v>
      </c>
      <c r="AF16" s="21"/>
      <c r="AG16" s="21"/>
      <c r="AH16" s="21">
        <v>1</v>
      </c>
      <c r="AI16" s="21">
        <v>1</v>
      </c>
      <c r="AJ16" s="21">
        <v>1</v>
      </c>
      <c r="AK16" s="21">
        <v>1</v>
      </c>
      <c r="AL16" s="23"/>
      <c r="AM16" s="1" t="s">
        <v>3</v>
      </c>
    </row>
    <row r="17" spans="2:39" s="1" customFormat="1" ht="13.5">
      <c r="B17" s="208"/>
      <c r="C17" s="211"/>
      <c r="D17" s="31" t="s">
        <v>27</v>
      </c>
      <c r="E17" s="37">
        <f t="shared" si="10"/>
        <v>808.00000000000011</v>
      </c>
      <c r="F17" s="39">
        <v>40</v>
      </c>
      <c r="G17" s="15" t="s">
        <v>18</v>
      </c>
      <c r="H17" s="18">
        <v>1</v>
      </c>
      <c r="I17" s="18">
        <v>1</v>
      </c>
      <c r="J17" s="18">
        <v>1</v>
      </c>
      <c r="K17" s="18"/>
      <c r="L17" s="18"/>
      <c r="M17" s="18">
        <v>1</v>
      </c>
      <c r="N17" s="18">
        <v>0.8</v>
      </c>
      <c r="O17" s="18">
        <v>1</v>
      </c>
      <c r="P17" s="18">
        <v>1</v>
      </c>
      <c r="Q17" s="18">
        <v>1</v>
      </c>
      <c r="R17" s="18"/>
      <c r="S17" s="18"/>
      <c r="T17" s="18">
        <v>1</v>
      </c>
      <c r="U17" s="18">
        <v>0.8</v>
      </c>
      <c r="V17" s="18">
        <v>1</v>
      </c>
      <c r="W17" s="18">
        <v>1</v>
      </c>
      <c r="X17" s="18">
        <v>1</v>
      </c>
      <c r="Y17" s="18"/>
      <c r="Z17" s="18"/>
      <c r="AA17" s="18"/>
      <c r="AB17" s="18">
        <v>0.8</v>
      </c>
      <c r="AC17" s="18">
        <v>1</v>
      </c>
      <c r="AD17" s="18">
        <v>1</v>
      </c>
      <c r="AE17" s="18">
        <v>1</v>
      </c>
      <c r="AF17" s="18"/>
      <c r="AG17" s="18"/>
      <c r="AH17" s="18">
        <v>1</v>
      </c>
      <c r="AI17" s="18">
        <v>0.8</v>
      </c>
      <c r="AJ17" s="18">
        <v>1</v>
      </c>
      <c r="AK17" s="18">
        <v>1</v>
      </c>
      <c r="AL17" s="24"/>
      <c r="AM17" s="1" t="s">
        <v>3</v>
      </c>
    </row>
    <row r="18" spans="2:39" s="1" customFormat="1" ht="13.5">
      <c r="B18" s="208"/>
      <c r="C18" s="211"/>
      <c r="D18" s="31" t="s">
        <v>19</v>
      </c>
      <c r="E18" s="37">
        <f t="shared" si="10"/>
        <v>220</v>
      </c>
      <c r="F18" s="39">
        <v>20</v>
      </c>
      <c r="G18" s="15" t="s">
        <v>18</v>
      </c>
      <c r="H18" s="18">
        <v>1</v>
      </c>
      <c r="I18" s="18">
        <v>1</v>
      </c>
      <c r="J18" s="18">
        <v>1</v>
      </c>
      <c r="K18" s="18"/>
      <c r="L18" s="18"/>
      <c r="M18" s="18"/>
      <c r="N18" s="18"/>
      <c r="O18" s="18"/>
      <c r="P18" s="18"/>
      <c r="Q18" s="18"/>
      <c r="R18" s="18"/>
      <c r="S18" s="18"/>
      <c r="T18" s="18">
        <v>1</v>
      </c>
      <c r="U18" s="18">
        <v>1</v>
      </c>
      <c r="V18" s="18">
        <v>1</v>
      </c>
      <c r="W18" s="18">
        <v>1</v>
      </c>
      <c r="X18" s="18"/>
      <c r="Y18" s="18"/>
      <c r="Z18" s="18"/>
      <c r="AA18" s="18"/>
      <c r="AB18" s="18"/>
      <c r="AC18" s="18"/>
      <c r="AD18" s="18"/>
      <c r="AE18" s="18"/>
      <c r="AF18" s="18"/>
      <c r="AG18" s="18"/>
      <c r="AH18" s="18">
        <v>1</v>
      </c>
      <c r="AI18" s="18">
        <v>1</v>
      </c>
      <c r="AJ18" s="18">
        <v>1</v>
      </c>
      <c r="AK18" s="18">
        <v>1</v>
      </c>
      <c r="AL18" s="24"/>
      <c r="AM18" s="1" t="s">
        <v>3</v>
      </c>
    </row>
    <row r="19" spans="2:39" s="1" customFormat="1" ht="14" thickBot="1">
      <c r="B19" s="209"/>
      <c r="C19" s="212"/>
      <c r="D19" s="32" t="s">
        <v>17</v>
      </c>
      <c r="E19" s="38">
        <f t="shared" si="10"/>
        <v>80</v>
      </c>
      <c r="F19" s="41">
        <v>20</v>
      </c>
      <c r="G19" s="17" t="s">
        <v>18</v>
      </c>
      <c r="H19" s="25">
        <v>0</v>
      </c>
      <c r="I19" s="25">
        <v>0</v>
      </c>
      <c r="J19" s="25">
        <v>0.5</v>
      </c>
      <c r="K19" s="25"/>
      <c r="L19" s="25"/>
      <c r="M19" s="25">
        <v>0</v>
      </c>
      <c r="N19" s="25">
        <v>0.5</v>
      </c>
      <c r="O19" s="25">
        <v>0</v>
      </c>
      <c r="P19" s="25">
        <v>0</v>
      </c>
      <c r="Q19" s="25">
        <v>0.5</v>
      </c>
      <c r="R19" s="25"/>
      <c r="S19" s="25"/>
      <c r="T19" s="25">
        <v>0</v>
      </c>
      <c r="U19" s="25">
        <v>0.5</v>
      </c>
      <c r="V19" s="25">
        <v>0</v>
      </c>
      <c r="W19" s="25">
        <v>0</v>
      </c>
      <c r="X19" s="25">
        <v>0.5</v>
      </c>
      <c r="Y19" s="25"/>
      <c r="Z19" s="25"/>
      <c r="AA19" s="25"/>
      <c r="AB19" s="25">
        <v>0.5</v>
      </c>
      <c r="AC19" s="25">
        <v>0</v>
      </c>
      <c r="AD19" s="25">
        <v>0</v>
      </c>
      <c r="AE19" s="25">
        <v>0.5</v>
      </c>
      <c r="AF19" s="25"/>
      <c r="AG19" s="25"/>
      <c r="AH19" s="25">
        <v>0</v>
      </c>
      <c r="AI19" s="25">
        <v>0.5</v>
      </c>
      <c r="AJ19" s="25">
        <v>0</v>
      </c>
      <c r="AK19" s="25">
        <v>0</v>
      </c>
      <c r="AL19" s="27"/>
      <c r="AM19" s="1" t="s">
        <v>3</v>
      </c>
    </row>
    <row r="20" spans="2:39" s="1" customFormat="1" ht="15" customHeight="1" outlineLevel="1">
      <c r="B20" s="226" t="s">
        <v>28</v>
      </c>
      <c r="C20" s="220" t="s">
        <v>5</v>
      </c>
      <c r="D20" s="221"/>
      <c r="E20" s="14">
        <f>SUM(H20:AL20)+'0601(予定)'!E20</f>
        <v>2096</v>
      </c>
      <c r="F20" s="39" t="s">
        <v>6</v>
      </c>
      <c r="G20" s="15" t="s">
        <v>7</v>
      </c>
      <c r="H20" s="18">
        <v>19</v>
      </c>
      <c r="I20" s="18">
        <v>11</v>
      </c>
      <c r="J20" s="18">
        <v>14</v>
      </c>
      <c r="K20" s="18"/>
      <c r="L20" s="18"/>
      <c r="M20" s="18">
        <v>10</v>
      </c>
      <c r="N20" s="18">
        <v>8</v>
      </c>
      <c r="O20" s="18">
        <v>11</v>
      </c>
      <c r="P20" s="18">
        <v>15</v>
      </c>
      <c r="Q20" s="18">
        <v>8</v>
      </c>
      <c r="R20" s="18"/>
      <c r="S20" s="18"/>
      <c r="T20" s="18">
        <v>28</v>
      </c>
      <c r="U20" s="18">
        <v>12</v>
      </c>
      <c r="V20" s="18">
        <v>15</v>
      </c>
      <c r="W20" s="18">
        <v>47</v>
      </c>
      <c r="X20" s="18">
        <v>13</v>
      </c>
      <c r="Y20" s="18"/>
      <c r="Z20" s="18"/>
      <c r="AA20" s="18"/>
      <c r="AB20" s="18">
        <v>11</v>
      </c>
      <c r="AC20" s="18">
        <v>0</v>
      </c>
      <c r="AD20" s="18">
        <v>14</v>
      </c>
      <c r="AE20" s="18">
        <v>10</v>
      </c>
      <c r="AF20" s="18"/>
      <c r="AG20" s="18"/>
      <c r="AH20" s="18">
        <v>16</v>
      </c>
      <c r="AI20" s="18">
        <v>4</v>
      </c>
      <c r="AJ20" s="18">
        <v>25</v>
      </c>
      <c r="AK20" s="18">
        <v>26</v>
      </c>
      <c r="AL20" s="18">
        <v>15</v>
      </c>
      <c r="AM20" s="1" t="s">
        <v>3</v>
      </c>
    </row>
    <row r="21" spans="2:39" s="1" customFormat="1" ht="15" customHeight="1" outlineLevel="1">
      <c r="B21" s="208"/>
      <c r="C21" s="205" t="s">
        <v>29</v>
      </c>
      <c r="D21" s="206"/>
      <c r="E21" s="39">
        <f>SUM(H21:AL21)+'0601(予定)'!E21</f>
        <v>1406.5</v>
      </c>
      <c r="F21" s="39" t="s">
        <v>6</v>
      </c>
      <c r="G21" s="15" t="s">
        <v>7</v>
      </c>
      <c r="H21" s="18">
        <f>SUM(H25*$F$25,H26*$F$26,H27*$F$27)</f>
        <v>7.5</v>
      </c>
      <c r="I21" s="18">
        <f t="shared" ref="I21:AL21" si="11">SUM(I25*$F$25,I26*$F$26,I27*$F$27)</f>
        <v>7.5</v>
      </c>
      <c r="J21" s="18">
        <f t="shared" si="11"/>
        <v>7.5</v>
      </c>
      <c r="K21" s="18">
        <f t="shared" si="11"/>
        <v>0</v>
      </c>
      <c r="L21" s="18">
        <f t="shared" si="11"/>
        <v>0</v>
      </c>
      <c r="M21" s="18">
        <f t="shared" si="11"/>
        <v>7.5</v>
      </c>
      <c r="N21" s="18">
        <f t="shared" si="11"/>
        <v>15</v>
      </c>
      <c r="O21" s="18">
        <f t="shared" si="11"/>
        <v>7.5</v>
      </c>
      <c r="P21" s="18">
        <f t="shared" si="11"/>
        <v>7.5</v>
      </c>
      <c r="Q21" s="18">
        <f t="shared" si="11"/>
        <v>7.5</v>
      </c>
      <c r="R21" s="18">
        <f t="shared" si="11"/>
        <v>0</v>
      </c>
      <c r="S21" s="18">
        <f t="shared" si="11"/>
        <v>0</v>
      </c>
      <c r="T21" s="18">
        <f t="shared" si="11"/>
        <v>7.5</v>
      </c>
      <c r="U21" s="18">
        <f t="shared" si="11"/>
        <v>15</v>
      </c>
      <c r="V21" s="18">
        <f t="shared" si="11"/>
        <v>7.5</v>
      </c>
      <c r="W21" s="18">
        <f t="shared" si="11"/>
        <v>7.5</v>
      </c>
      <c r="X21" s="18">
        <f t="shared" si="11"/>
        <v>7.5</v>
      </c>
      <c r="Y21" s="18">
        <f t="shared" si="11"/>
        <v>0</v>
      </c>
      <c r="Z21" s="18">
        <f t="shared" si="11"/>
        <v>0</v>
      </c>
      <c r="AA21" s="18">
        <f t="shared" si="11"/>
        <v>0</v>
      </c>
      <c r="AB21" s="18">
        <f t="shared" si="11"/>
        <v>15</v>
      </c>
      <c r="AC21" s="18">
        <f t="shared" si="11"/>
        <v>7.5</v>
      </c>
      <c r="AD21" s="18">
        <f t="shared" si="11"/>
        <v>7.5</v>
      </c>
      <c r="AE21" s="18">
        <f t="shared" si="11"/>
        <v>7.5</v>
      </c>
      <c r="AF21" s="18">
        <f t="shared" si="11"/>
        <v>0</v>
      </c>
      <c r="AG21" s="18">
        <f t="shared" si="11"/>
        <v>0</v>
      </c>
      <c r="AH21" s="18">
        <f t="shared" si="11"/>
        <v>7.5</v>
      </c>
      <c r="AI21" s="18">
        <f t="shared" si="11"/>
        <v>15</v>
      </c>
      <c r="AJ21" s="18">
        <f t="shared" si="11"/>
        <v>7.5</v>
      </c>
      <c r="AK21" s="18">
        <f t="shared" si="11"/>
        <v>7.5</v>
      </c>
      <c r="AL21" s="18">
        <f t="shared" si="11"/>
        <v>0</v>
      </c>
      <c r="AM21" s="1" t="s">
        <v>3</v>
      </c>
    </row>
    <row r="22" spans="2:39" s="1" customFormat="1" ht="15" customHeight="1" outlineLevel="1">
      <c r="B22" s="208"/>
      <c r="C22" s="205" t="s">
        <v>30</v>
      </c>
      <c r="D22" s="206"/>
      <c r="E22" s="39">
        <f>SUM(H22:AL22)+'0601(予定)'!E22</f>
        <v>1273</v>
      </c>
      <c r="F22" s="39" t="s">
        <v>6</v>
      </c>
      <c r="G22" s="15" t="s">
        <v>7</v>
      </c>
      <c r="H22" s="18">
        <f t="shared" ref="H22:AL22" si="12">SUM(H28*$F$28,H29*$F$29,H30*$F$30,H31*$F$31)</f>
        <v>18</v>
      </c>
      <c r="I22" s="18">
        <f t="shared" si="12"/>
        <v>18</v>
      </c>
      <c r="J22" s="18">
        <f t="shared" si="12"/>
        <v>18</v>
      </c>
      <c r="K22" s="18">
        <f t="shared" si="12"/>
        <v>0</v>
      </c>
      <c r="L22" s="18">
        <f t="shared" si="12"/>
        <v>0</v>
      </c>
      <c r="M22" s="18">
        <f t="shared" si="12"/>
        <v>18</v>
      </c>
      <c r="N22" s="18">
        <f t="shared" si="12"/>
        <v>18</v>
      </c>
      <c r="O22" s="18">
        <f t="shared" si="12"/>
        <v>18</v>
      </c>
      <c r="P22" s="18">
        <f t="shared" si="12"/>
        <v>18</v>
      </c>
      <c r="Q22" s="18">
        <f t="shared" si="12"/>
        <v>18</v>
      </c>
      <c r="R22" s="18">
        <f t="shared" si="12"/>
        <v>0</v>
      </c>
      <c r="S22" s="18">
        <f t="shared" si="12"/>
        <v>0</v>
      </c>
      <c r="T22" s="18">
        <f t="shared" si="12"/>
        <v>18</v>
      </c>
      <c r="U22" s="18">
        <f t="shared" si="12"/>
        <v>18</v>
      </c>
      <c r="V22" s="18">
        <f t="shared" si="12"/>
        <v>18</v>
      </c>
      <c r="W22" s="18">
        <f t="shared" si="12"/>
        <v>18</v>
      </c>
      <c r="X22" s="18">
        <f t="shared" si="12"/>
        <v>18</v>
      </c>
      <c r="Y22" s="18">
        <f t="shared" si="12"/>
        <v>0</v>
      </c>
      <c r="Z22" s="18">
        <f t="shared" si="12"/>
        <v>0</v>
      </c>
      <c r="AA22" s="18">
        <f t="shared" si="12"/>
        <v>0</v>
      </c>
      <c r="AB22" s="18">
        <f t="shared" si="12"/>
        <v>18</v>
      </c>
      <c r="AC22" s="18">
        <f t="shared" si="12"/>
        <v>18</v>
      </c>
      <c r="AD22" s="18">
        <f t="shared" si="12"/>
        <v>18</v>
      </c>
      <c r="AE22" s="18">
        <f t="shared" si="12"/>
        <v>18</v>
      </c>
      <c r="AF22" s="18">
        <f t="shared" si="12"/>
        <v>0</v>
      </c>
      <c r="AG22" s="18">
        <f t="shared" si="12"/>
        <v>0</v>
      </c>
      <c r="AH22" s="18">
        <f t="shared" si="12"/>
        <v>18</v>
      </c>
      <c r="AI22" s="18">
        <f t="shared" si="12"/>
        <v>18</v>
      </c>
      <c r="AJ22" s="18">
        <f t="shared" si="12"/>
        <v>18</v>
      </c>
      <c r="AK22" s="18">
        <f t="shared" si="12"/>
        <v>18</v>
      </c>
      <c r="AL22" s="18">
        <f t="shared" si="12"/>
        <v>0</v>
      </c>
      <c r="AM22" s="1" t="s">
        <v>3</v>
      </c>
    </row>
    <row r="23" spans="2:39" s="1" customFormat="1" ht="13.5" outlineLevel="1">
      <c r="B23" s="208"/>
      <c r="C23" s="205" t="s">
        <v>14</v>
      </c>
      <c r="D23" s="206"/>
      <c r="E23" s="39">
        <f>E20-E21</f>
        <v>689.5</v>
      </c>
      <c r="F23" s="39" t="s">
        <v>6</v>
      </c>
      <c r="G23" s="15" t="s">
        <v>7</v>
      </c>
      <c r="H23" s="18">
        <f>'0601(予定)'!AK23+H20-H21</f>
        <v>556.5</v>
      </c>
      <c r="I23" s="18">
        <f>H23+I20-I21</f>
        <v>560</v>
      </c>
      <c r="J23" s="18">
        <f t="shared" ref="J23" si="13">I23+J20-J21</f>
        <v>566.5</v>
      </c>
      <c r="K23" s="18">
        <f t="shared" ref="K23" si="14">J23+K20-K21</f>
        <v>566.5</v>
      </c>
      <c r="L23" s="18">
        <f t="shared" ref="L23" si="15">K23+L20-L21</f>
        <v>566.5</v>
      </c>
      <c r="M23" s="18">
        <f t="shared" ref="M23" si="16">L23+M20-M21</f>
        <v>569</v>
      </c>
      <c r="N23" s="18">
        <f t="shared" ref="N23" si="17">M23+N20-N21</f>
        <v>562</v>
      </c>
      <c r="O23" s="18">
        <f t="shared" ref="O23" si="18">N23+O20-O21</f>
        <v>565.5</v>
      </c>
      <c r="P23" s="18">
        <f t="shared" ref="P23" si="19">O23+P20-P21</f>
        <v>573</v>
      </c>
      <c r="Q23" s="18">
        <f t="shared" ref="Q23" si="20">P23+Q20-Q21</f>
        <v>573.5</v>
      </c>
      <c r="R23" s="18">
        <f t="shared" ref="R23" si="21">Q23+R20-R21</f>
        <v>573.5</v>
      </c>
      <c r="S23" s="18">
        <f t="shared" ref="S23" si="22">R23+S20-S21</f>
        <v>573.5</v>
      </c>
      <c r="T23" s="18">
        <f t="shared" ref="T23" si="23">S23+T20-T21</f>
        <v>594</v>
      </c>
      <c r="U23" s="18">
        <f t="shared" ref="U23" si="24">T23+U20-U21</f>
        <v>591</v>
      </c>
      <c r="V23" s="18">
        <f t="shared" ref="V23" si="25">U23+V20-V21</f>
        <v>598.5</v>
      </c>
      <c r="W23" s="18">
        <f t="shared" ref="W23" si="26">V23+W20-W21</f>
        <v>638</v>
      </c>
      <c r="X23" s="18">
        <f t="shared" ref="X23" si="27">W23+X20-X21</f>
        <v>643.5</v>
      </c>
      <c r="Y23" s="18">
        <f t="shared" ref="Y23" si="28">X23+Y20-Y21</f>
        <v>643.5</v>
      </c>
      <c r="Z23" s="18">
        <f t="shared" ref="Z23" si="29">Y23+Z20-Z21</f>
        <v>643.5</v>
      </c>
      <c r="AA23" s="18">
        <f t="shared" ref="AA23" si="30">Z23+AA20-AA21</f>
        <v>643.5</v>
      </c>
      <c r="AB23" s="18">
        <f t="shared" ref="AB23" si="31">AA23+AB20-AB21</f>
        <v>639.5</v>
      </c>
      <c r="AC23" s="18">
        <f t="shared" ref="AC23" si="32">AB23+AC20-AC21</f>
        <v>632</v>
      </c>
      <c r="AD23" s="18">
        <f t="shared" ref="AD23" si="33">AC23+AD20-AD21</f>
        <v>638.5</v>
      </c>
      <c r="AE23" s="18">
        <f t="shared" ref="AE23" si="34">AD23+AE20-AE21</f>
        <v>641</v>
      </c>
      <c r="AF23" s="18">
        <f t="shared" ref="AF23" si="35">AE23+AF20-AF21</f>
        <v>641</v>
      </c>
      <c r="AG23" s="18">
        <f t="shared" ref="AG23" si="36">AF23+AG20-AG21</f>
        <v>641</v>
      </c>
      <c r="AH23" s="18">
        <f t="shared" ref="AH23" si="37">AG23+AH20-AH21</f>
        <v>649.5</v>
      </c>
      <c r="AI23" s="18">
        <f t="shared" ref="AI23" si="38">AH23+AI20-AI21</f>
        <v>638.5</v>
      </c>
      <c r="AJ23" s="18">
        <f t="shared" ref="AJ23" si="39">AI23+AJ20-AJ21</f>
        <v>656</v>
      </c>
      <c r="AK23" s="18">
        <f t="shared" ref="AK23" si="40">AJ23+AK20-AK21</f>
        <v>674.5</v>
      </c>
      <c r="AL23" s="18">
        <f t="shared" ref="AL23" si="41">AK23+AL20-AL21</f>
        <v>689.5</v>
      </c>
      <c r="AM23" s="1" t="s">
        <v>3</v>
      </c>
    </row>
    <row r="24" spans="2:39" s="1" customFormat="1" ht="14" outlineLevel="1" thickBot="1">
      <c r="B24" s="208"/>
      <c r="C24" s="205" t="s">
        <v>15</v>
      </c>
      <c r="D24" s="206"/>
      <c r="E24" s="19">
        <f>E20-E22</f>
        <v>823</v>
      </c>
      <c r="F24" s="19" t="s">
        <v>6</v>
      </c>
      <c r="G24" s="15" t="s">
        <v>7</v>
      </c>
      <c r="H24" s="20">
        <f>'0601(予定)'!AK24+H20-H22</f>
        <v>870</v>
      </c>
      <c r="I24" s="20">
        <f>H24+I20-I22</f>
        <v>863</v>
      </c>
      <c r="J24" s="20">
        <f t="shared" ref="J24" si="42">I24+J20-J22</f>
        <v>859</v>
      </c>
      <c r="K24" s="20">
        <f t="shared" ref="K24" si="43">J24+K20-K22</f>
        <v>859</v>
      </c>
      <c r="L24" s="20">
        <f t="shared" ref="L24" si="44">K24+L20-L22</f>
        <v>859</v>
      </c>
      <c r="M24" s="20">
        <f t="shared" ref="M24" si="45">L24+M20-M22</f>
        <v>851</v>
      </c>
      <c r="N24" s="20">
        <f t="shared" ref="N24" si="46">M24+N20-N22</f>
        <v>841</v>
      </c>
      <c r="O24" s="20">
        <f t="shared" ref="O24" si="47">N24+O20-O22</f>
        <v>834</v>
      </c>
      <c r="P24" s="20">
        <f t="shared" ref="P24" si="48">O24+P20-P22</f>
        <v>831</v>
      </c>
      <c r="Q24" s="20">
        <f t="shared" ref="Q24" si="49">P24+Q20-Q22</f>
        <v>821</v>
      </c>
      <c r="R24" s="20">
        <f t="shared" ref="R24" si="50">Q24+R20-R22</f>
        <v>821</v>
      </c>
      <c r="S24" s="20">
        <f t="shared" ref="S24" si="51">R24+S20-S22</f>
        <v>821</v>
      </c>
      <c r="T24" s="20">
        <f t="shared" ref="T24" si="52">S24+T20-T22</f>
        <v>831</v>
      </c>
      <c r="U24" s="20">
        <f t="shared" ref="U24" si="53">T24+U20-U22</f>
        <v>825</v>
      </c>
      <c r="V24" s="20">
        <f t="shared" ref="V24" si="54">U24+V20-V22</f>
        <v>822</v>
      </c>
      <c r="W24" s="20">
        <f t="shared" ref="W24" si="55">V24+W20-W22</f>
        <v>851</v>
      </c>
      <c r="X24" s="20">
        <f t="shared" ref="X24" si="56">W24+X20-X22</f>
        <v>846</v>
      </c>
      <c r="Y24" s="20">
        <f t="shared" ref="Y24" si="57">X24+Y20-Y22</f>
        <v>846</v>
      </c>
      <c r="Z24" s="20">
        <f t="shared" ref="Z24" si="58">Y24+Z20-Z22</f>
        <v>846</v>
      </c>
      <c r="AA24" s="20">
        <f t="shared" ref="AA24" si="59">Z24+AA20-AA22</f>
        <v>846</v>
      </c>
      <c r="AB24" s="20">
        <f t="shared" ref="AB24" si="60">AA24+AB20-AB22</f>
        <v>839</v>
      </c>
      <c r="AC24" s="20">
        <f t="shared" ref="AC24" si="61">AB24+AC20-AC22</f>
        <v>821</v>
      </c>
      <c r="AD24" s="20">
        <f t="shared" ref="AD24" si="62">AC24+AD20-AD22</f>
        <v>817</v>
      </c>
      <c r="AE24" s="20">
        <f t="shared" ref="AE24" si="63">AD24+AE20-AE22</f>
        <v>809</v>
      </c>
      <c r="AF24" s="20">
        <f t="shared" ref="AF24" si="64">AE24+AF20-AF22</f>
        <v>809</v>
      </c>
      <c r="AG24" s="20">
        <f t="shared" ref="AG24" si="65">AF24+AG20-AG22</f>
        <v>809</v>
      </c>
      <c r="AH24" s="20">
        <f t="shared" ref="AH24" si="66">AG24+AH20-AH22</f>
        <v>807</v>
      </c>
      <c r="AI24" s="20">
        <f t="shared" ref="AI24" si="67">AH24+AI20-AI22</f>
        <v>793</v>
      </c>
      <c r="AJ24" s="20">
        <f t="shared" ref="AJ24" si="68">AI24+AJ20-AJ22</f>
        <v>800</v>
      </c>
      <c r="AK24" s="20">
        <f t="shared" ref="AK24" si="69">AJ24+AK20-AK22</f>
        <v>808</v>
      </c>
      <c r="AL24" s="20">
        <f t="shared" ref="AL24" si="70">AK24+AL20-AL22</f>
        <v>823</v>
      </c>
      <c r="AM24" s="1" t="s">
        <v>3</v>
      </c>
    </row>
    <row r="25" spans="2:39" s="1" customFormat="1" ht="13.5" outlineLevel="1">
      <c r="B25" s="208"/>
      <c r="C25" s="210" t="s">
        <v>16</v>
      </c>
      <c r="D25" s="28" t="s">
        <v>53</v>
      </c>
      <c r="E25" s="33">
        <f>SUM(H25:AL25)*F25</f>
        <v>187.5</v>
      </c>
      <c r="F25" s="40">
        <v>15</v>
      </c>
      <c r="G25" s="16" t="s">
        <v>18</v>
      </c>
      <c r="H25" s="21">
        <v>0.5</v>
      </c>
      <c r="I25" s="21">
        <v>0.5</v>
      </c>
      <c r="J25" s="21">
        <v>0.5</v>
      </c>
      <c r="K25" s="21"/>
      <c r="L25" s="21"/>
      <c r="M25" s="21">
        <v>0.5</v>
      </c>
      <c r="N25" s="21">
        <v>1</v>
      </c>
      <c r="O25" s="21">
        <v>0.5</v>
      </c>
      <c r="P25" s="21">
        <v>0.5</v>
      </c>
      <c r="Q25" s="21">
        <v>0.5</v>
      </c>
      <c r="R25" s="21"/>
      <c r="S25" s="21"/>
      <c r="T25" s="21">
        <v>0.5</v>
      </c>
      <c r="U25" s="21">
        <v>1</v>
      </c>
      <c r="V25" s="21">
        <v>0.5</v>
      </c>
      <c r="W25" s="21">
        <v>0.5</v>
      </c>
      <c r="X25" s="21">
        <v>0.5</v>
      </c>
      <c r="Y25" s="21"/>
      <c r="Z25" s="21"/>
      <c r="AA25" s="21"/>
      <c r="AB25" s="21">
        <v>1</v>
      </c>
      <c r="AC25" s="21">
        <v>0.5</v>
      </c>
      <c r="AD25" s="21">
        <v>0.5</v>
      </c>
      <c r="AE25" s="21">
        <v>0.5</v>
      </c>
      <c r="AF25" s="21"/>
      <c r="AG25" s="21"/>
      <c r="AH25" s="21">
        <v>0.5</v>
      </c>
      <c r="AI25" s="21">
        <v>1</v>
      </c>
      <c r="AJ25" s="21">
        <v>0.5</v>
      </c>
      <c r="AK25" s="21">
        <v>0.5</v>
      </c>
      <c r="AL25" s="21"/>
      <c r="AM25" s="1" t="s">
        <v>3</v>
      </c>
    </row>
    <row r="26" spans="2:39" s="1" customFormat="1" ht="13.5" outlineLevel="1">
      <c r="B26" s="208"/>
      <c r="C26" s="211"/>
      <c r="D26" s="29" t="s">
        <v>31</v>
      </c>
      <c r="E26" s="34">
        <f t="shared" ref="E26:E31" si="71">SUM(H26:AL26)*F26</f>
        <v>0</v>
      </c>
      <c r="F26" s="39"/>
      <c r="G26" s="15" t="s">
        <v>18</v>
      </c>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24"/>
      <c r="AM26" s="1" t="s">
        <v>3</v>
      </c>
    </row>
    <row r="27" spans="2:39" s="1" customFormat="1" ht="14" outlineLevel="1" thickBot="1">
      <c r="B27" s="208"/>
      <c r="C27" s="211"/>
      <c r="D27" s="29"/>
      <c r="E27" s="53">
        <f t="shared" si="71"/>
        <v>0</v>
      </c>
      <c r="F27" s="41"/>
      <c r="G27" s="17" t="s">
        <v>18</v>
      </c>
      <c r="H27" s="25"/>
      <c r="I27" s="25"/>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27"/>
      <c r="AM27" s="1" t="s">
        <v>3</v>
      </c>
    </row>
    <row r="28" spans="2:39" s="1" customFormat="1" ht="13.5" outlineLevel="1">
      <c r="B28" s="208"/>
      <c r="C28" s="210" t="s">
        <v>25</v>
      </c>
      <c r="D28" s="30" t="s">
        <v>32</v>
      </c>
      <c r="E28" s="33">
        <f t="shared" si="71"/>
        <v>273</v>
      </c>
      <c r="F28" s="40">
        <v>13</v>
      </c>
      <c r="G28" s="16" t="s">
        <v>18</v>
      </c>
      <c r="H28" s="21">
        <v>1</v>
      </c>
      <c r="I28" s="21">
        <v>1</v>
      </c>
      <c r="J28" s="21">
        <v>1</v>
      </c>
      <c r="K28" s="21"/>
      <c r="L28" s="21"/>
      <c r="M28" s="21">
        <v>1</v>
      </c>
      <c r="N28" s="21">
        <v>1</v>
      </c>
      <c r="O28" s="21">
        <v>1</v>
      </c>
      <c r="P28" s="21">
        <v>1</v>
      </c>
      <c r="Q28" s="21">
        <v>1</v>
      </c>
      <c r="R28" s="21"/>
      <c r="S28" s="21"/>
      <c r="T28" s="21">
        <v>1</v>
      </c>
      <c r="U28" s="21">
        <v>1</v>
      </c>
      <c r="V28" s="21">
        <v>1</v>
      </c>
      <c r="W28" s="21">
        <v>1</v>
      </c>
      <c r="X28" s="21">
        <v>1</v>
      </c>
      <c r="Y28" s="21"/>
      <c r="Z28" s="21"/>
      <c r="AA28" s="21"/>
      <c r="AB28" s="21">
        <v>1</v>
      </c>
      <c r="AC28" s="21">
        <v>1</v>
      </c>
      <c r="AD28" s="21">
        <v>1</v>
      </c>
      <c r="AE28" s="21">
        <v>1</v>
      </c>
      <c r="AF28" s="21"/>
      <c r="AG28" s="21"/>
      <c r="AH28" s="21">
        <v>1</v>
      </c>
      <c r="AI28" s="21">
        <v>1</v>
      </c>
      <c r="AJ28" s="21">
        <v>1</v>
      </c>
      <c r="AK28" s="21">
        <v>1</v>
      </c>
      <c r="AL28" s="23"/>
      <c r="AM28" s="1" t="s">
        <v>3</v>
      </c>
    </row>
    <row r="29" spans="2:39" s="1" customFormat="1" ht="13.5" outlineLevel="1">
      <c r="B29" s="208"/>
      <c r="C29" s="211"/>
      <c r="D29" s="31" t="s">
        <v>33</v>
      </c>
      <c r="E29" s="34">
        <f t="shared" si="71"/>
        <v>105</v>
      </c>
      <c r="F29" s="39">
        <v>10</v>
      </c>
      <c r="G29" s="15" t="s">
        <v>18</v>
      </c>
      <c r="H29" s="18">
        <v>0.5</v>
      </c>
      <c r="I29" s="18">
        <v>0.5</v>
      </c>
      <c r="J29" s="18">
        <v>0.5</v>
      </c>
      <c r="K29" s="18"/>
      <c r="L29" s="18"/>
      <c r="M29" s="18">
        <v>0.5</v>
      </c>
      <c r="N29" s="18">
        <v>0.5</v>
      </c>
      <c r="O29" s="18">
        <v>0.5</v>
      </c>
      <c r="P29" s="18">
        <v>0.5</v>
      </c>
      <c r="Q29" s="18">
        <v>0.5</v>
      </c>
      <c r="R29" s="18"/>
      <c r="S29" s="18"/>
      <c r="T29" s="18">
        <v>0.5</v>
      </c>
      <c r="U29" s="18">
        <v>0.5</v>
      </c>
      <c r="V29" s="18">
        <v>0.5</v>
      </c>
      <c r="W29" s="18">
        <v>0.5</v>
      </c>
      <c r="X29" s="18">
        <v>0.5</v>
      </c>
      <c r="Y29" s="18"/>
      <c r="Z29" s="18"/>
      <c r="AA29" s="18"/>
      <c r="AB29" s="18">
        <v>0.5</v>
      </c>
      <c r="AC29" s="18">
        <v>0.5</v>
      </c>
      <c r="AD29" s="18">
        <v>0.5</v>
      </c>
      <c r="AE29" s="18">
        <v>0.5</v>
      </c>
      <c r="AF29" s="18"/>
      <c r="AG29" s="18"/>
      <c r="AH29" s="18">
        <v>0.5</v>
      </c>
      <c r="AI29" s="18">
        <v>0.5</v>
      </c>
      <c r="AJ29" s="18">
        <v>0.5</v>
      </c>
      <c r="AK29" s="18">
        <v>0.5</v>
      </c>
      <c r="AL29" s="18"/>
      <c r="AM29" s="1" t="s">
        <v>3</v>
      </c>
    </row>
    <row r="30" spans="2:39" s="1" customFormat="1" ht="13.5" outlineLevel="1">
      <c r="B30" s="208"/>
      <c r="C30" s="211"/>
      <c r="D30" s="31" t="s">
        <v>34</v>
      </c>
      <c r="E30" s="55">
        <f t="shared" si="71"/>
        <v>0</v>
      </c>
      <c r="F30" s="39"/>
      <c r="G30" s="15" t="s">
        <v>18</v>
      </c>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24"/>
      <c r="AM30" s="1" t="s">
        <v>3</v>
      </c>
    </row>
    <row r="31" spans="2:39" s="1" customFormat="1" ht="14" outlineLevel="1" thickBot="1">
      <c r="B31" s="209"/>
      <c r="C31" s="212"/>
      <c r="D31" s="32"/>
      <c r="E31" s="35">
        <f t="shared" si="71"/>
        <v>0</v>
      </c>
      <c r="F31" s="41"/>
      <c r="G31" s="17" t="s">
        <v>18</v>
      </c>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7"/>
      <c r="AM31" s="1" t="s">
        <v>3</v>
      </c>
    </row>
    <row r="32" spans="2:39" s="1" customFormat="1" ht="15" customHeight="1" outlineLevel="1">
      <c r="B32" s="226" t="s">
        <v>35</v>
      </c>
      <c r="C32" s="220" t="s">
        <v>5</v>
      </c>
      <c r="D32" s="221"/>
      <c r="E32" s="57">
        <f>SUM(H32:AL32)+'0601(予定)'!E32</f>
        <v>851</v>
      </c>
      <c r="F32" s="39" t="s">
        <v>10</v>
      </c>
      <c r="G32" s="15" t="s">
        <v>7</v>
      </c>
      <c r="H32" s="18">
        <v>10</v>
      </c>
      <c r="I32" s="18">
        <v>7</v>
      </c>
      <c r="J32" s="18">
        <v>3</v>
      </c>
      <c r="K32" s="71"/>
      <c r="L32" s="71"/>
      <c r="M32" s="18">
        <v>2</v>
      </c>
      <c r="N32" s="18">
        <v>0</v>
      </c>
      <c r="O32" s="18">
        <v>5</v>
      </c>
      <c r="P32" s="18">
        <v>26</v>
      </c>
      <c r="Q32" s="18">
        <v>1</v>
      </c>
      <c r="R32" s="71"/>
      <c r="S32" s="71"/>
      <c r="T32" s="18">
        <v>0</v>
      </c>
      <c r="U32" s="18">
        <v>2</v>
      </c>
      <c r="V32" s="18">
        <v>13</v>
      </c>
      <c r="W32" s="18">
        <v>11</v>
      </c>
      <c r="X32" s="18">
        <v>11</v>
      </c>
      <c r="Y32" s="71"/>
      <c r="Z32" s="71"/>
      <c r="AA32" s="71"/>
      <c r="AB32" s="18">
        <v>1</v>
      </c>
      <c r="AC32" s="18">
        <v>1</v>
      </c>
      <c r="AD32" s="18">
        <v>17</v>
      </c>
      <c r="AE32" s="18">
        <v>11</v>
      </c>
      <c r="AF32" s="71"/>
      <c r="AG32" s="71"/>
      <c r="AH32" s="18">
        <v>7</v>
      </c>
      <c r="AI32" s="18">
        <v>2</v>
      </c>
      <c r="AJ32" s="18">
        <v>4</v>
      </c>
      <c r="AK32" s="18">
        <v>33</v>
      </c>
      <c r="AL32" s="18">
        <v>6</v>
      </c>
      <c r="AM32" s="1" t="s">
        <v>3</v>
      </c>
    </row>
    <row r="33" spans="2:39" s="1" customFormat="1" ht="15" customHeight="1" outlineLevel="1">
      <c r="B33" s="208"/>
      <c r="C33" s="205" t="s">
        <v>29</v>
      </c>
      <c r="D33" s="206"/>
      <c r="E33" s="57">
        <f>SUM(H33:AL33)+'0601(予定)'!E33</f>
        <v>722</v>
      </c>
      <c r="F33" s="39" t="s">
        <v>10</v>
      </c>
      <c r="G33" s="15" t="s">
        <v>7</v>
      </c>
      <c r="H33" s="18">
        <f>SUM(H37*$F$37,H38*$F$38,H39*$F$39)</f>
        <v>14</v>
      </c>
      <c r="I33" s="18">
        <f t="shared" ref="I33:AL33" si="72">SUM(I37*$F$37,I38*$F$38,I39*$F$39)</f>
        <v>4</v>
      </c>
      <c r="J33" s="18">
        <f t="shared" si="72"/>
        <v>4</v>
      </c>
      <c r="K33" s="71">
        <f t="shared" si="72"/>
        <v>0</v>
      </c>
      <c r="L33" s="71">
        <f t="shared" si="72"/>
        <v>0</v>
      </c>
      <c r="M33" s="18">
        <f t="shared" si="72"/>
        <v>14</v>
      </c>
      <c r="N33" s="18">
        <f t="shared" si="72"/>
        <v>4</v>
      </c>
      <c r="O33" s="18">
        <f t="shared" si="72"/>
        <v>4</v>
      </c>
      <c r="P33" s="18">
        <f t="shared" si="72"/>
        <v>4</v>
      </c>
      <c r="Q33" s="18">
        <f t="shared" si="72"/>
        <v>4</v>
      </c>
      <c r="R33" s="71">
        <f t="shared" si="72"/>
        <v>0</v>
      </c>
      <c r="S33" s="71">
        <f t="shared" si="72"/>
        <v>0</v>
      </c>
      <c r="T33" s="18">
        <f t="shared" si="72"/>
        <v>14</v>
      </c>
      <c r="U33" s="18">
        <f t="shared" si="72"/>
        <v>4</v>
      </c>
      <c r="V33" s="18">
        <f t="shared" si="72"/>
        <v>14</v>
      </c>
      <c r="W33" s="18">
        <f t="shared" si="72"/>
        <v>4</v>
      </c>
      <c r="X33" s="18">
        <f t="shared" si="72"/>
        <v>4</v>
      </c>
      <c r="Y33" s="71">
        <f t="shared" si="72"/>
        <v>0</v>
      </c>
      <c r="Z33" s="71">
        <f t="shared" si="72"/>
        <v>0</v>
      </c>
      <c r="AA33" s="71">
        <f t="shared" si="72"/>
        <v>0</v>
      </c>
      <c r="AB33" s="18">
        <f t="shared" si="72"/>
        <v>4</v>
      </c>
      <c r="AC33" s="18">
        <f t="shared" si="72"/>
        <v>14</v>
      </c>
      <c r="AD33" s="18">
        <f t="shared" si="72"/>
        <v>4</v>
      </c>
      <c r="AE33" s="18">
        <f t="shared" si="72"/>
        <v>4</v>
      </c>
      <c r="AF33" s="71">
        <f t="shared" si="72"/>
        <v>0</v>
      </c>
      <c r="AG33" s="71">
        <f t="shared" si="72"/>
        <v>0</v>
      </c>
      <c r="AH33" s="18">
        <f t="shared" si="72"/>
        <v>14</v>
      </c>
      <c r="AI33" s="18">
        <f t="shared" si="72"/>
        <v>4</v>
      </c>
      <c r="AJ33" s="18">
        <f t="shared" si="72"/>
        <v>4</v>
      </c>
      <c r="AK33" s="18">
        <f t="shared" si="72"/>
        <v>4</v>
      </c>
      <c r="AL33" s="18">
        <f t="shared" si="72"/>
        <v>0</v>
      </c>
      <c r="AM33" s="1" t="s">
        <v>3</v>
      </c>
    </row>
    <row r="34" spans="2:39" s="1" customFormat="1" ht="15" customHeight="1" outlineLevel="1">
      <c r="B34" s="208"/>
      <c r="C34" s="205" t="s">
        <v>30</v>
      </c>
      <c r="D34" s="206"/>
      <c r="E34" s="57">
        <f>SUM(H34:AL34)+'0601(予定)'!E34</f>
        <v>676</v>
      </c>
      <c r="F34" s="39" t="s">
        <v>10</v>
      </c>
      <c r="G34" s="15" t="s">
        <v>7</v>
      </c>
      <c r="H34" s="18">
        <f>SUM(H40*$F$40,H41*$F$41,H42*$F$42,H43*$F$43)</f>
        <v>13.5</v>
      </c>
      <c r="I34" s="18">
        <f t="shared" ref="I34:AL34" si="73">SUM(I40*$F$40,I41*$F$41,I42*$F$42,I43*$F$43)</f>
        <v>3.5</v>
      </c>
      <c r="J34" s="18">
        <f t="shared" si="73"/>
        <v>3.5</v>
      </c>
      <c r="K34" s="71">
        <f t="shared" si="73"/>
        <v>0</v>
      </c>
      <c r="L34" s="71">
        <f t="shared" si="73"/>
        <v>0</v>
      </c>
      <c r="M34" s="18">
        <f t="shared" si="73"/>
        <v>13.5</v>
      </c>
      <c r="N34" s="18">
        <f t="shared" si="73"/>
        <v>3.5</v>
      </c>
      <c r="O34" s="18">
        <f t="shared" si="73"/>
        <v>3.5</v>
      </c>
      <c r="P34" s="18">
        <f t="shared" si="73"/>
        <v>13.5</v>
      </c>
      <c r="Q34" s="18">
        <f t="shared" si="73"/>
        <v>3.5</v>
      </c>
      <c r="R34" s="71">
        <f t="shared" si="73"/>
        <v>0</v>
      </c>
      <c r="S34" s="71">
        <f t="shared" si="73"/>
        <v>0</v>
      </c>
      <c r="T34" s="18">
        <f t="shared" si="73"/>
        <v>13.5</v>
      </c>
      <c r="U34" s="18">
        <f t="shared" si="73"/>
        <v>3.5</v>
      </c>
      <c r="V34" s="18">
        <f t="shared" si="73"/>
        <v>3.5</v>
      </c>
      <c r="W34" s="18">
        <f t="shared" si="73"/>
        <v>3.5</v>
      </c>
      <c r="X34" s="18">
        <f t="shared" si="73"/>
        <v>3.5</v>
      </c>
      <c r="Y34" s="71">
        <f t="shared" si="73"/>
        <v>0</v>
      </c>
      <c r="Z34" s="71">
        <f t="shared" si="73"/>
        <v>0</v>
      </c>
      <c r="AA34" s="71">
        <f t="shared" si="73"/>
        <v>0</v>
      </c>
      <c r="AB34" s="18">
        <f t="shared" si="73"/>
        <v>3.5</v>
      </c>
      <c r="AC34" s="18">
        <f t="shared" si="73"/>
        <v>13.5</v>
      </c>
      <c r="AD34" s="18">
        <f t="shared" si="73"/>
        <v>3.5</v>
      </c>
      <c r="AE34" s="18">
        <f t="shared" si="73"/>
        <v>3.5</v>
      </c>
      <c r="AF34" s="71">
        <f t="shared" si="73"/>
        <v>0</v>
      </c>
      <c r="AG34" s="71">
        <f t="shared" si="73"/>
        <v>0</v>
      </c>
      <c r="AH34" s="18">
        <f t="shared" si="73"/>
        <v>13.5</v>
      </c>
      <c r="AI34" s="18">
        <f t="shared" si="73"/>
        <v>3.5</v>
      </c>
      <c r="AJ34" s="18">
        <f t="shared" si="73"/>
        <v>3.5</v>
      </c>
      <c r="AK34" s="18">
        <f t="shared" si="73"/>
        <v>3.5</v>
      </c>
      <c r="AL34" s="18">
        <f t="shared" si="73"/>
        <v>0</v>
      </c>
      <c r="AM34" s="1" t="s">
        <v>3</v>
      </c>
    </row>
    <row r="35" spans="2:39" s="1" customFormat="1" ht="13.5" outlineLevel="1">
      <c r="B35" s="208"/>
      <c r="C35" s="205" t="s">
        <v>14</v>
      </c>
      <c r="D35" s="206"/>
      <c r="E35" s="39">
        <f>E32-E33</f>
        <v>129</v>
      </c>
      <c r="F35" s="39" t="s">
        <v>10</v>
      </c>
      <c r="G35" s="15" t="s">
        <v>7</v>
      </c>
      <c r="H35" s="18">
        <v>617</v>
      </c>
      <c r="I35" s="18">
        <f>H35+I32-I33</f>
        <v>620</v>
      </c>
      <c r="J35" s="18">
        <f t="shared" ref="J35:AL35" si="74">I35+J32-J33</f>
        <v>619</v>
      </c>
      <c r="K35" s="71">
        <f t="shared" si="74"/>
        <v>619</v>
      </c>
      <c r="L35" s="71">
        <f t="shared" si="74"/>
        <v>619</v>
      </c>
      <c r="M35" s="18">
        <f t="shared" si="74"/>
        <v>607</v>
      </c>
      <c r="N35" s="18">
        <f t="shared" si="74"/>
        <v>603</v>
      </c>
      <c r="O35" s="18">
        <f t="shared" si="74"/>
        <v>604</v>
      </c>
      <c r="P35" s="18">
        <f t="shared" si="74"/>
        <v>626</v>
      </c>
      <c r="Q35" s="18">
        <f t="shared" si="74"/>
        <v>623</v>
      </c>
      <c r="R35" s="71">
        <f t="shared" si="74"/>
        <v>623</v>
      </c>
      <c r="S35" s="71">
        <f t="shared" si="74"/>
        <v>623</v>
      </c>
      <c r="T35" s="18">
        <f t="shared" si="74"/>
        <v>609</v>
      </c>
      <c r="U35" s="18">
        <f t="shared" si="74"/>
        <v>607</v>
      </c>
      <c r="V35" s="18">
        <f t="shared" si="74"/>
        <v>606</v>
      </c>
      <c r="W35" s="18">
        <f t="shared" si="74"/>
        <v>613</v>
      </c>
      <c r="X35" s="18">
        <f t="shared" si="74"/>
        <v>620</v>
      </c>
      <c r="Y35" s="71">
        <f t="shared" si="74"/>
        <v>620</v>
      </c>
      <c r="Z35" s="71">
        <f t="shared" si="74"/>
        <v>620</v>
      </c>
      <c r="AA35" s="71">
        <f t="shared" si="74"/>
        <v>620</v>
      </c>
      <c r="AB35" s="18">
        <f t="shared" si="74"/>
        <v>617</v>
      </c>
      <c r="AC35" s="18">
        <f t="shared" si="74"/>
        <v>604</v>
      </c>
      <c r="AD35" s="18">
        <f t="shared" si="74"/>
        <v>617</v>
      </c>
      <c r="AE35" s="18">
        <f t="shared" si="74"/>
        <v>624</v>
      </c>
      <c r="AF35" s="71">
        <f t="shared" si="74"/>
        <v>624</v>
      </c>
      <c r="AG35" s="71">
        <f t="shared" si="74"/>
        <v>624</v>
      </c>
      <c r="AH35" s="18">
        <f t="shared" si="74"/>
        <v>617</v>
      </c>
      <c r="AI35" s="18">
        <f t="shared" si="74"/>
        <v>615</v>
      </c>
      <c r="AJ35" s="18">
        <f t="shared" si="74"/>
        <v>615</v>
      </c>
      <c r="AK35" s="18">
        <f t="shared" si="74"/>
        <v>644</v>
      </c>
      <c r="AL35" s="18">
        <f t="shared" si="74"/>
        <v>650</v>
      </c>
      <c r="AM35" s="1" t="s">
        <v>3</v>
      </c>
    </row>
    <row r="36" spans="2:39" s="1" customFormat="1" ht="14" outlineLevel="1" thickBot="1">
      <c r="B36" s="208"/>
      <c r="C36" s="205" t="s">
        <v>15</v>
      </c>
      <c r="D36" s="206"/>
      <c r="E36" s="19">
        <f>E32-E34</f>
        <v>175</v>
      </c>
      <c r="F36" s="19" t="s">
        <v>10</v>
      </c>
      <c r="G36" s="15" t="s">
        <v>7</v>
      </c>
      <c r="H36" s="20">
        <v>901.5</v>
      </c>
      <c r="I36" s="20">
        <f>H36+I32-I34</f>
        <v>905</v>
      </c>
      <c r="J36" s="20">
        <f t="shared" ref="J36:AL36" si="75">I36+J32-J34</f>
        <v>904.5</v>
      </c>
      <c r="K36" s="72">
        <f t="shared" si="75"/>
        <v>904.5</v>
      </c>
      <c r="L36" s="72">
        <f t="shared" si="75"/>
        <v>904.5</v>
      </c>
      <c r="M36" s="20">
        <f t="shared" si="75"/>
        <v>893</v>
      </c>
      <c r="N36" s="20">
        <f t="shared" si="75"/>
        <v>889.5</v>
      </c>
      <c r="O36" s="20">
        <f t="shared" si="75"/>
        <v>891</v>
      </c>
      <c r="P36" s="20">
        <f t="shared" si="75"/>
        <v>903.5</v>
      </c>
      <c r="Q36" s="20">
        <f t="shared" si="75"/>
        <v>901</v>
      </c>
      <c r="R36" s="72">
        <f t="shared" si="75"/>
        <v>901</v>
      </c>
      <c r="S36" s="72">
        <f t="shared" si="75"/>
        <v>901</v>
      </c>
      <c r="T36" s="20">
        <f t="shared" si="75"/>
        <v>887.5</v>
      </c>
      <c r="U36" s="20">
        <f t="shared" si="75"/>
        <v>886</v>
      </c>
      <c r="V36" s="20">
        <f t="shared" si="75"/>
        <v>895.5</v>
      </c>
      <c r="W36" s="20">
        <f t="shared" si="75"/>
        <v>903</v>
      </c>
      <c r="X36" s="20">
        <f t="shared" si="75"/>
        <v>910.5</v>
      </c>
      <c r="Y36" s="72">
        <f t="shared" si="75"/>
        <v>910.5</v>
      </c>
      <c r="Z36" s="72">
        <f t="shared" si="75"/>
        <v>910.5</v>
      </c>
      <c r="AA36" s="72">
        <f t="shared" si="75"/>
        <v>910.5</v>
      </c>
      <c r="AB36" s="20">
        <f t="shared" si="75"/>
        <v>908</v>
      </c>
      <c r="AC36" s="20">
        <f t="shared" si="75"/>
        <v>895.5</v>
      </c>
      <c r="AD36" s="20">
        <f t="shared" si="75"/>
        <v>909</v>
      </c>
      <c r="AE36" s="20">
        <f t="shared" si="75"/>
        <v>916.5</v>
      </c>
      <c r="AF36" s="72">
        <f t="shared" si="75"/>
        <v>916.5</v>
      </c>
      <c r="AG36" s="72">
        <f t="shared" si="75"/>
        <v>916.5</v>
      </c>
      <c r="AH36" s="20">
        <f t="shared" si="75"/>
        <v>910</v>
      </c>
      <c r="AI36" s="20">
        <f t="shared" si="75"/>
        <v>908.5</v>
      </c>
      <c r="AJ36" s="20">
        <f t="shared" si="75"/>
        <v>909</v>
      </c>
      <c r="AK36" s="20">
        <f t="shared" si="75"/>
        <v>938.5</v>
      </c>
      <c r="AL36" s="20">
        <f t="shared" si="75"/>
        <v>944.5</v>
      </c>
      <c r="AM36" s="1" t="s">
        <v>3</v>
      </c>
    </row>
    <row r="37" spans="2:39" s="1" customFormat="1" ht="13.5" outlineLevel="1">
      <c r="B37" s="208"/>
      <c r="C37" s="210" t="s">
        <v>16</v>
      </c>
      <c r="D37" s="28" t="s">
        <v>53</v>
      </c>
      <c r="E37" s="33">
        <f>SUM(H37:AL37)*F37</f>
        <v>84.000000000000028</v>
      </c>
      <c r="F37" s="40">
        <v>40</v>
      </c>
      <c r="G37" s="16" t="s">
        <v>18</v>
      </c>
      <c r="H37" s="21">
        <v>0.1</v>
      </c>
      <c r="I37" s="21">
        <v>0.1</v>
      </c>
      <c r="J37" s="21">
        <v>0.1</v>
      </c>
      <c r="K37" s="74"/>
      <c r="L37" s="74"/>
      <c r="M37" s="21">
        <v>0.1</v>
      </c>
      <c r="N37" s="21">
        <v>0.1</v>
      </c>
      <c r="O37" s="21">
        <v>0.1</v>
      </c>
      <c r="P37" s="21">
        <v>0.1</v>
      </c>
      <c r="Q37" s="21">
        <v>0.1</v>
      </c>
      <c r="R37" s="74"/>
      <c r="S37" s="74"/>
      <c r="T37" s="21">
        <v>0.1</v>
      </c>
      <c r="U37" s="21">
        <v>0.1</v>
      </c>
      <c r="V37" s="21">
        <v>0.1</v>
      </c>
      <c r="W37" s="21">
        <v>0.1</v>
      </c>
      <c r="X37" s="21">
        <v>0.1</v>
      </c>
      <c r="Y37" s="74"/>
      <c r="Z37" s="74"/>
      <c r="AA37" s="74"/>
      <c r="AB37" s="21">
        <v>0.1</v>
      </c>
      <c r="AC37" s="21">
        <v>0.1</v>
      </c>
      <c r="AD37" s="21">
        <v>0.1</v>
      </c>
      <c r="AE37" s="21">
        <v>0.1</v>
      </c>
      <c r="AF37" s="74"/>
      <c r="AG37" s="74"/>
      <c r="AH37" s="21">
        <v>0.1</v>
      </c>
      <c r="AI37" s="21">
        <v>0.1</v>
      </c>
      <c r="AJ37" s="21">
        <v>0.1</v>
      </c>
      <c r="AK37" s="21">
        <v>0.1</v>
      </c>
      <c r="AL37" s="23"/>
      <c r="AM37" s="1" t="s">
        <v>3</v>
      </c>
    </row>
    <row r="38" spans="2:39" s="1" customFormat="1" ht="13.5" outlineLevel="1">
      <c r="B38" s="208"/>
      <c r="C38" s="211"/>
      <c r="D38" s="29" t="s">
        <v>36</v>
      </c>
      <c r="E38" s="34">
        <f t="shared" ref="E38:E43" si="76">SUM(H38:AL38)*F38</f>
        <v>0</v>
      </c>
      <c r="F38" s="39"/>
      <c r="G38" s="15" t="s">
        <v>18</v>
      </c>
      <c r="H38" s="18"/>
      <c r="I38" s="18"/>
      <c r="J38" s="18"/>
      <c r="K38" s="71"/>
      <c r="L38" s="71"/>
      <c r="M38" s="18"/>
      <c r="N38" s="18"/>
      <c r="O38" s="18"/>
      <c r="P38" s="18"/>
      <c r="Q38" s="18"/>
      <c r="R38" s="71"/>
      <c r="S38" s="71"/>
      <c r="T38" s="18"/>
      <c r="U38" s="18"/>
      <c r="V38" s="18"/>
      <c r="W38" s="18"/>
      <c r="X38" s="18"/>
      <c r="Y38" s="71"/>
      <c r="Z38" s="71"/>
      <c r="AA38" s="71"/>
      <c r="AB38" s="18"/>
      <c r="AC38" s="18"/>
      <c r="AD38" s="18"/>
      <c r="AE38" s="18"/>
      <c r="AF38" s="71"/>
      <c r="AG38" s="71"/>
      <c r="AH38" s="18"/>
      <c r="AI38" s="18"/>
      <c r="AJ38" s="18"/>
      <c r="AK38" s="18"/>
      <c r="AL38" s="24"/>
      <c r="AM38" s="1" t="s">
        <v>3</v>
      </c>
    </row>
    <row r="39" spans="2:39" s="1" customFormat="1" ht="14" outlineLevel="1" thickBot="1">
      <c r="B39" s="208"/>
      <c r="C39" s="211"/>
      <c r="D39" s="29" t="s">
        <v>54</v>
      </c>
      <c r="E39" s="53">
        <f t="shared" si="76"/>
        <v>60</v>
      </c>
      <c r="F39" s="41">
        <v>10</v>
      </c>
      <c r="G39" s="17" t="s">
        <v>18</v>
      </c>
      <c r="H39" s="25">
        <v>1</v>
      </c>
      <c r="I39" s="25"/>
      <c r="J39" s="18"/>
      <c r="K39" s="71"/>
      <c r="L39" s="71"/>
      <c r="M39" s="18">
        <v>1</v>
      </c>
      <c r="N39" s="18"/>
      <c r="O39" s="18"/>
      <c r="P39" s="18"/>
      <c r="Q39" s="18"/>
      <c r="R39" s="71"/>
      <c r="S39" s="71"/>
      <c r="T39" s="18">
        <v>1</v>
      </c>
      <c r="U39" s="18"/>
      <c r="V39" s="18">
        <v>1</v>
      </c>
      <c r="W39" s="18"/>
      <c r="X39" s="18"/>
      <c r="Y39" s="71"/>
      <c r="Z39" s="71"/>
      <c r="AA39" s="71"/>
      <c r="AB39" s="18"/>
      <c r="AC39" s="18">
        <v>1</v>
      </c>
      <c r="AD39" s="18"/>
      <c r="AE39" s="18"/>
      <c r="AF39" s="71"/>
      <c r="AG39" s="71"/>
      <c r="AH39" s="18">
        <v>1</v>
      </c>
      <c r="AI39" s="18"/>
      <c r="AJ39" s="18"/>
      <c r="AK39" s="18"/>
      <c r="AL39" s="27"/>
      <c r="AM39" s="1" t="s">
        <v>3</v>
      </c>
    </row>
    <row r="40" spans="2:39" s="1" customFormat="1" ht="13.5" outlineLevel="1">
      <c r="B40" s="208"/>
      <c r="C40" s="210" t="s">
        <v>25</v>
      </c>
      <c r="D40" s="30" t="s">
        <v>32</v>
      </c>
      <c r="E40" s="33">
        <f t="shared" si="76"/>
        <v>0</v>
      </c>
      <c r="F40" s="40"/>
      <c r="G40" s="16" t="s">
        <v>18</v>
      </c>
      <c r="H40" s="21"/>
      <c r="I40" s="21"/>
      <c r="J40" s="21"/>
      <c r="K40" s="74"/>
      <c r="L40" s="74"/>
      <c r="M40" s="21"/>
      <c r="N40" s="21"/>
      <c r="O40" s="21"/>
      <c r="P40" s="21"/>
      <c r="Q40" s="21"/>
      <c r="R40" s="74"/>
      <c r="S40" s="74"/>
      <c r="T40" s="21"/>
      <c r="U40" s="21"/>
      <c r="V40" s="21"/>
      <c r="W40" s="21"/>
      <c r="X40" s="21"/>
      <c r="Y40" s="74"/>
      <c r="Z40" s="74"/>
      <c r="AA40" s="74"/>
      <c r="AB40" s="21"/>
      <c r="AC40" s="21"/>
      <c r="AD40" s="21"/>
      <c r="AE40" s="21"/>
      <c r="AF40" s="74"/>
      <c r="AG40" s="74"/>
      <c r="AH40" s="21"/>
      <c r="AI40" s="21"/>
      <c r="AJ40" s="21"/>
      <c r="AK40" s="21"/>
      <c r="AL40" s="23"/>
      <c r="AM40" s="1" t="s">
        <v>3</v>
      </c>
    </row>
    <row r="41" spans="2:39" s="1" customFormat="1" ht="13.5" outlineLevel="1">
      <c r="B41" s="208"/>
      <c r="C41" s="211"/>
      <c r="D41" s="31" t="s">
        <v>33</v>
      </c>
      <c r="E41" s="34">
        <f t="shared" si="76"/>
        <v>73.500000000000014</v>
      </c>
      <c r="F41" s="39">
        <v>35</v>
      </c>
      <c r="G41" s="15" t="s">
        <v>18</v>
      </c>
      <c r="H41" s="18">
        <v>0.1</v>
      </c>
      <c r="I41" s="18">
        <v>0.1</v>
      </c>
      <c r="J41" s="18">
        <v>0.1</v>
      </c>
      <c r="K41" s="71"/>
      <c r="L41" s="71"/>
      <c r="M41" s="18">
        <v>0.1</v>
      </c>
      <c r="N41" s="18">
        <v>0.1</v>
      </c>
      <c r="O41" s="18">
        <v>0.1</v>
      </c>
      <c r="P41" s="18">
        <v>0.1</v>
      </c>
      <c r="Q41" s="18">
        <v>0.1</v>
      </c>
      <c r="R41" s="71"/>
      <c r="S41" s="71"/>
      <c r="T41" s="18">
        <v>0.1</v>
      </c>
      <c r="U41" s="18">
        <v>0.1</v>
      </c>
      <c r="V41" s="18">
        <v>0.1</v>
      </c>
      <c r="W41" s="18">
        <v>0.1</v>
      </c>
      <c r="X41" s="18">
        <v>0.1</v>
      </c>
      <c r="Y41" s="71"/>
      <c r="Z41" s="71"/>
      <c r="AA41" s="71"/>
      <c r="AB41" s="18">
        <v>0.1</v>
      </c>
      <c r="AC41" s="18">
        <v>0.1</v>
      </c>
      <c r="AD41" s="18">
        <v>0.1</v>
      </c>
      <c r="AE41" s="18">
        <v>0.1</v>
      </c>
      <c r="AF41" s="71"/>
      <c r="AG41" s="71"/>
      <c r="AH41" s="18">
        <v>0.1</v>
      </c>
      <c r="AI41" s="18">
        <v>0.1</v>
      </c>
      <c r="AJ41" s="18">
        <v>0.1</v>
      </c>
      <c r="AK41" s="18">
        <v>0.1</v>
      </c>
      <c r="AL41" s="24"/>
      <c r="AM41" s="1" t="s">
        <v>3</v>
      </c>
    </row>
    <row r="42" spans="2:39" s="1" customFormat="1" ht="13.5" outlineLevel="1">
      <c r="B42" s="208"/>
      <c r="C42" s="211"/>
      <c r="D42" s="31" t="s">
        <v>34</v>
      </c>
      <c r="E42" s="55">
        <f t="shared" si="76"/>
        <v>60</v>
      </c>
      <c r="F42" s="39">
        <v>10</v>
      </c>
      <c r="G42" s="15" t="s">
        <v>18</v>
      </c>
      <c r="H42" s="18">
        <v>1</v>
      </c>
      <c r="I42" s="18"/>
      <c r="J42" s="18"/>
      <c r="K42" s="71"/>
      <c r="L42" s="71"/>
      <c r="M42" s="18">
        <v>1</v>
      </c>
      <c r="N42" s="18"/>
      <c r="O42" s="18"/>
      <c r="P42" s="18">
        <v>1</v>
      </c>
      <c r="Q42" s="18"/>
      <c r="R42" s="71"/>
      <c r="S42" s="71"/>
      <c r="T42" s="18">
        <v>1</v>
      </c>
      <c r="U42" s="18"/>
      <c r="V42" s="18"/>
      <c r="W42" s="18"/>
      <c r="X42" s="18"/>
      <c r="Y42" s="71"/>
      <c r="Z42" s="71"/>
      <c r="AA42" s="71"/>
      <c r="AB42" s="18"/>
      <c r="AC42" s="18">
        <v>1</v>
      </c>
      <c r="AD42" s="18"/>
      <c r="AE42" s="18"/>
      <c r="AF42" s="71"/>
      <c r="AG42" s="71"/>
      <c r="AH42" s="18">
        <v>1</v>
      </c>
      <c r="AI42" s="18"/>
      <c r="AJ42" s="18"/>
      <c r="AK42" s="18"/>
      <c r="AL42" s="24"/>
      <c r="AM42" s="1" t="s">
        <v>3</v>
      </c>
    </row>
    <row r="43" spans="2:39" s="1" customFormat="1" ht="14" outlineLevel="1" thickBot="1">
      <c r="B43" s="208"/>
      <c r="C43" s="211"/>
      <c r="D43" s="31"/>
      <c r="E43" s="35">
        <f t="shared" si="76"/>
        <v>0</v>
      </c>
      <c r="F43" s="41"/>
      <c r="G43" s="17" t="s">
        <v>18</v>
      </c>
      <c r="H43" s="25"/>
      <c r="I43" s="25"/>
      <c r="J43" s="25"/>
      <c r="K43" s="75"/>
      <c r="L43" s="75"/>
      <c r="M43" s="25"/>
      <c r="N43" s="25"/>
      <c r="O43" s="25"/>
      <c r="P43" s="25"/>
      <c r="Q43" s="25"/>
      <c r="R43" s="75"/>
      <c r="S43" s="75"/>
      <c r="T43" s="25"/>
      <c r="U43" s="25"/>
      <c r="V43" s="25"/>
      <c r="W43" s="25"/>
      <c r="X43" s="25"/>
      <c r="Y43" s="75"/>
      <c r="Z43" s="75"/>
      <c r="AA43" s="75"/>
      <c r="AB43" s="25"/>
      <c r="AC43" s="25"/>
      <c r="AD43" s="25"/>
      <c r="AE43" s="25"/>
      <c r="AF43" s="75"/>
      <c r="AG43" s="75"/>
      <c r="AH43" s="25"/>
      <c r="AI43" s="25"/>
      <c r="AJ43" s="25"/>
      <c r="AK43" s="25"/>
      <c r="AL43" s="27"/>
      <c r="AM43" s="1" t="s">
        <v>3</v>
      </c>
    </row>
    <row r="44" spans="2:39" s="1" customFormat="1" ht="15" customHeight="1" outlineLevel="1">
      <c r="B44" s="226" t="s">
        <v>38</v>
      </c>
      <c r="C44" s="220" t="s">
        <v>5</v>
      </c>
      <c r="D44" s="221"/>
      <c r="E44" s="57">
        <f>SUM(H44:AL44)+'0601(予定)'!E44</f>
        <v>837</v>
      </c>
      <c r="F44" s="56" t="s">
        <v>10</v>
      </c>
      <c r="G44" s="65" t="s">
        <v>7</v>
      </c>
      <c r="H44" s="66">
        <v>8</v>
      </c>
      <c r="I44" s="66">
        <v>11</v>
      </c>
      <c r="J44" s="66">
        <v>14</v>
      </c>
      <c r="K44" s="73"/>
      <c r="L44" s="73"/>
      <c r="M44" s="66">
        <v>12</v>
      </c>
      <c r="N44" s="66">
        <v>0</v>
      </c>
      <c r="O44" s="66">
        <v>19</v>
      </c>
      <c r="P44" s="66">
        <v>9</v>
      </c>
      <c r="Q44" s="66">
        <v>9</v>
      </c>
      <c r="R44" s="73"/>
      <c r="S44" s="73"/>
      <c r="T44" s="66">
        <v>5</v>
      </c>
      <c r="U44" s="66">
        <v>22</v>
      </c>
      <c r="V44" s="66">
        <v>45</v>
      </c>
      <c r="W44" s="66">
        <v>12</v>
      </c>
      <c r="X44" s="66">
        <v>9</v>
      </c>
      <c r="Y44" s="73"/>
      <c r="Z44" s="73"/>
      <c r="AA44" s="73"/>
      <c r="AB44" s="66">
        <v>15</v>
      </c>
      <c r="AC44" s="66">
        <v>11</v>
      </c>
      <c r="AD44" s="66">
        <v>5</v>
      </c>
      <c r="AE44" s="66">
        <v>15</v>
      </c>
      <c r="AF44" s="73"/>
      <c r="AG44" s="73"/>
      <c r="AH44" s="66">
        <v>7</v>
      </c>
      <c r="AI44" s="66">
        <v>10</v>
      </c>
      <c r="AJ44" s="66">
        <v>6</v>
      </c>
      <c r="AK44" s="66">
        <v>30</v>
      </c>
      <c r="AL44" s="66">
        <v>6</v>
      </c>
      <c r="AM44" s="1" t="s">
        <v>3</v>
      </c>
    </row>
    <row r="45" spans="2:39" s="1" customFormat="1" ht="15" customHeight="1" outlineLevel="1">
      <c r="B45" s="208"/>
      <c r="C45" s="205" t="s">
        <v>29</v>
      </c>
      <c r="D45" s="206"/>
      <c r="E45" s="57">
        <f>SUM(H45:AL45)+'0601(予定)'!E45</f>
        <v>544</v>
      </c>
      <c r="F45" s="39" t="s">
        <v>10</v>
      </c>
      <c r="G45" s="15" t="s">
        <v>7</v>
      </c>
      <c r="H45" s="18">
        <f>SUM(H49*$F$49,H50*$F$50,H51*$F$51)</f>
        <v>8</v>
      </c>
      <c r="I45" s="18">
        <f t="shared" ref="I45:AK45" si="77">SUM(I49*$F$49,I50*$F$50,I51*$F$51)</f>
        <v>8</v>
      </c>
      <c r="J45" s="18">
        <f t="shared" si="77"/>
        <v>8</v>
      </c>
      <c r="K45" s="71">
        <f t="shared" si="77"/>
        <v>0</v>
      </c>
      <c r="L45" s="71">
        <f t="shared" si="77"/>
        <v>0</v>
      </c>
      <c r="M45" s="18">
        <f t="shared" si="77"/>
        <v>8</v>
      </c>
      <c r="N45" s="18">
        <f t="shared" si="77"/>
        <v>8</v>
      </c>
      <c r="O45" s="18">
        <f t="shared" si="77"/>
        <v>8</v>
      </c>
      <c r="P45" s="18">
        <f t="shared" si="77"/>
        <v>8</v>
      </c>
      <c r="Q45" s="18">
        <f t="shared" si="77"/>
        <v>8</v>
      </c>
      <c r="R45" s="71">
        <f t="shared" si="77"/>
        <v>0</v>
      </c>
      <c r="S45" s="71">
        <f t="shared" si="77"/>
        <v>0</v>
      </c>
      <c r="T45" s="18">
        <f t="shared" si="77"/>
        <v>8</v>
      </c>
      <c r="U45" s="18">
        <f t="shared" si="77"/>
        <v>8</v>
      </c>
      <c r="V45" s="18">
        <f t="shared" si="77"/>
        <v>8</v>
      </c>
      <c r="W45" s="18">
        <f t="shared" si="77"/>
        <v>8</v>
      </c>
      <c r="X45" s="18">
        <f t="shared" si="77"/>
        <v>8</v>
      </c>
      <c r="Y45" s="71">
        <f t="shared" si="77"/>
        <v>0</v>
      </c>
      <c r="Z45" s="71">
        <f t="shared" si="77"/>
        <v>0</v>
      </c>
      <c r="AA45" s="71">
        <f t="shared" si="77"/>
        <v>0</v>
      </c>
      <c r="AB45" s="18">
        <f t="shared" si="77"/>
        <v>8</v>
      </c>
      <c r="AC45" s="18">
        <f t="shared" si="77"/>
        <v>8</v>
      </c>
      <c r="AD45" s="18">
        <f t="shared" si="77"/>
        <v>8</v>
      </c>
      <c r="AE45" s="18">
        <f t="shared" si="77"/>
        <v>8</v>
      </c>
      <c r="AF45" s="71">
        <f t="shared" si="77"/>
        <v>0</v>
      </c>
      <c r="AG45" s="71">
        <f t="shared" si="77"/>
        <v>0</v>
      </c>
      <c r="AH45" s="18">
        <f t="shared" si="77"/>
        <v>8</v>
      </c>
      <c r="AI45" s="18">
        <f t="shared" si="77"/>
        <v>8</v>
      </c>
      <c r="AJ45" s="18">
        <f t="shared" si="77"/>
        <v>8</v>
      </c>
      <c r="AK45" s="18">
        <f t="shared" si="77"/>
        <v>8</v>
      </c>
      <c r="AL45" s="18">
        <f t="shared" ref="AL45" si="78">SUM(AL49*$F$37,AL50*$F$38,AL51*$F$39)</f>
        <v>0</v>
      </c>
      <c r="AM45" s="1" t="s">
        <v>3</v>
      </c>
    </row>
    <row r="46" spans="2:39" s="1" customFormat="1" ht="15" customHeight="1" outlineLevel="1">
      <c r="B46" s="208"/>
      <c r="C46" s="205" t="s">
        <v>30</v>
      </c>
      <c r="D46" s="206"/>
      <c r="E46" s="57">
        <f>SUM(H46:AL46)+'0601(予定)'!E46</f>
        <v>429</v>
      </c>
      <c r="F46" s="39" t="s">
        <v>10</v>
      </c>
      <c r="G46" s="15" t="s">
        <v>7</v>
      </c>
      <c r="H46" s="18">
        <f>SUM(H52*$F$52,H53*$F$53,H54*$F$54,H55*$F$55)</f>
        <v>5.2</v>
      </c>
      <c r="I46" s="18">
        <f t="shared" ref="I46:AK46" si="79">SUM(I52*$F$52,I53*$F$53,I54*$F$54,I55*$F$55)</f>
        <v>5.2</v>
      </c>
      <c r="J46" s="18">
        <f t="shared" si="79"/>
        <v>5.2</v>
      </c>
      <c r="K46" s="71">
        <f t="shared" si="79"/>
        <v>0</v>
      </c>
      <c r="L46" s="71">
        <f t="shared" si="79"/>
        <v>0</v>
      </c>
      <c r="M46" s="18">
        <f t="shared" si="79"/>
        <v>5.2</v>
      </c>
      <c r="N46" s="18">
        <f t="shared" si="79"/>
        <v>5.2</v>
      </c>
      <c r="O46" s="18">
        <f t="shared" si="79"/>
        <v>5.2</v>
      </c>
      <c r="P46" s="18">
        <f t="shared" si="79"/>
        <v>5.2</v>
      </c>
      <c r="Q46" s="18">
        <f t="shared" si="79"/>
        <v>5.2</v>
      </c>
      <c r="R46" s="71">
        <f t="shared" si="79"/>
        <v>0</v>
      </c>
      <c r="S46" s="71">
        <f t="shared" si="79"/>
        <v>0</v>
      </c>
      <c r="T46" s="18">
        <f t="shared" si="79"/>
        <v>5.2</v>
      </c>
      <c r="U46" s="18">
        <f t="shared" si="79"/>
        <v>5.2</v>
      </c>
      <c r="V46" s="18">
        <f t="shared" si="79"/>
        <v>5.2</v>
      </c>
      <c r="W46" s="18">
        <f t="shared" si="79"/>
        <v>5.2</v>
      </c>
      <c r="X46" s="18">
        <f t="shared" si="79"/>
        <v>5.2</v>
      </c>
      <c r="Y46" s="71">
        <f t="shared" si="79"/>
        <v>0</v>
      </c>
      <c r="Z46" s="71">
        <f t="shared" si="79"/>
        <v>0</v>
      </c>
      <c r="AA46" s="71">
        <f t="shared" si="79"/>
        <v>0</v>
      </c>
      <c r="AB46" s="18">
        <f t="shared" si="79"/>
        <v>5.2</v>
      </c>
      <c r="AC46" s="18">
        <f t="shared" si="79"/>
        <v>5.2</v>
      </c>
      <c r="AD46" s="18">
        <f t="shared" si="79"/>
        <v>5.2</v>
      </c>
      <c r="AE46" s="18">
        <f t="shared" si="79"/>
        <v>5.2</v>
      </c>
      <c r="AF46" s="71">
        <f t="shared" si="79"/>
        <v>0</v>
      </c>
      <c r="AG46" s="71">
        <f t="shared" si="79"/>
        <v>0</v>
      </c>
      <c r="AH46" s="18">
        <f t="shared" si="79"/>
        <v>5.2</v>
      </c>
      <c r="AI46" s="18">
        <f t="shared" si="79"/>
        <v>5.2</v>
      </c>
      <c r="AJ46" s="18">
        <f t="shared" si="79"/>
        <v>5.2</v>
      </c>
      <c r="AK46" s="18">
        <f t="shared" si="79"/>
        <v>5.2</v>
      </c>
      <c r="AL46" s="18">
        <f t="shared" ref="AL46" si="80">SUM(AL52*$F$40,AL53*$F$41,AL54*$F$42,AL55*$F$43)</f>
        <v>0</v>
      </c>
      <c r="AM46" s="1" t="s">
        <v>3</v>
      </c>
    </row>
    <row r="47" spans="2:39" s="1" customFormat="1" ht="13.5" outlineLevel="1">
      <c r="B47" s="208"/>
      <c r="C47" s="205" t="s">
        <v>14</v>
      </c>
      <c r="D47" s="206"/>
      <c r="E47" s="39">
        <f>E44-E45</f>
        <v>293</v>
      </c>
      <c r="F47" s="39" t="s">
        <v>10</v>
      </c>
      <c r="G47" s="15" t="s">
        <v>7</v>
      </c>
      <c r="H47" s="18">
        <v>494</v>
      </c>
      <c r="I47" s="18">
        <f>H47+I44-I45</f>
        <v>497</v>
      </c>
      <c r="J47" s="18">
        <f t="shared" ref="J47:AL47" si="81">I47+J44-J45</f>
        <v>503</v>
      </c>
      <c r="K47" s="71">
        <f t="shared" si="81"/>
        <v>503</v>
      </c>
      <c r="L47" s="71">
        <f t="shared" si="81"/>
        <v>503</v>
      </c>
      <c r="M47" s="18">
        <f t="shared" si="81"/>
        <v>507</v>
      </c>
      <c r="N47" s="18">
        <f t="shared" si="81"/>
        <v>499</v>
      </c>
      <c r="O47" s="18">
        <f t="shared" si="81"/>
        <v>510</v>
      </c>
      <c r="P47" s="18">
        <f t="shared" si="81"/>
        <v>511</v>
      </c>
      <c r="Q47" s="18">
        <f t="shared" si="81"/>
        <v>512</v>
      </c>
      <c r="R47" s="71">
        <f t="shared" si="81"/>
        <v>512</v>
      </c>
      <c r="S47" s="71">
        <f t="shared" si="81"/>
        <v>512</v>
      </c>
      <c r="T47" s="18">
        <f t="shared" si="81"/>
        <v>509</v>
      </c>
      <c r="U47" s="18">
        <f t="shared" si="81"/>
        <v>523</v>
      </c>
      <c r="V47" s="18">
        <f t="shared" si="81"/>
        <v>560</v>
      </c>
      <c r="W47" s="18">
        <f t="shared" si="81"/>
        <v>564</v>
      </c>
      <c r="X47" s="18">
        <f t="shared" si="81"/>
        <v>565</v>
      </c>
      <c r="Y47" s="71">
        <f t="shared" si="81"/>
        <v>565</v>
      </c>
      <c r="Z47" s="71">
        <f t="shared" si="81"/>
        <v>565</v>
      </c>
      <c r="AA47" s="71">
        <f t="shared" si="81"/>
        <v>565</v>
      </c>
      <c r="AB47" s="18">
        <f t="shared" si="81"/>
        <v>572</v>
      </c>
      <c r="AC47" s="18">
        <f t="shared" si="81"/>
        <v>575</v>
      </c>
      <c r="AD47" s="18">
        <f t="shared" si="81"/>
        <v>572</v>
      </c>
      <c r="AE47" s="18">
        <f t="shared" si="81"/>
        <v>579</v>
      </c>
      <c r="AF47" s="71">
        <f t="shared" si="81"/>
        <v>579</v>
      </c>
      <c r="AG47" s="71">
        <f t="shared" si="81"/>
        <v>579</v>
      </c>
      <c r="AH47" s="18">
        <f t="shared" si="81"/>
        <v>578</v>
      </c>
      <c r="AI47" s="18">
        <f t="shared" si="81"/>
        <v>580</v>
      </c>
      <c r="AJ47" s="18">
        <f t="shared" si="81"/>
        <v>578</v>
      </c>
      <c r="AK47" s="18">
        <f t="shared" si="81"/>
        <v>600</v>
      </c>
      <c r="AL47" s="18">
        <f t="shared" si="81"/>
        <v>606</v>
      </c>
      <c r="AM47" s="1" t="s">
        <v>3</v>
      </c>
    </row>
    <row r="48" spans="2:39" s="1" customFormat="1" ht="14" outlineLevel="1" thickBot="1">
      <c r="B48" s="208"/>
      <c r="C48" s="205" t="s">
        <v>15</v>
      </c>
      <c r="D48" s="206"/>
      <c r="E48" s="19">
        <f>E44-E46</f>
        <v>408</v>
      </c>
      <c r="F48" s="19" t="s">
        <v>10</v>
      </c>
      <c r="G48" s="15" t="s">
        <v>7</v>
      </c>
      <c r="H48" s="20">
        <v>1038.3</v>
      </c>
      <c r="I48" s="20">
        <f>H48+I44-I46</f>
        <v>1044.0999999999999</v>
      </c>
      <c r="J48" s="20">
        <f t="shared" ref="J48:AL48" si="82">I48+J44-J46</f>
        <v>1052.8999999999999</v>
      </c>
      <c r="K48" s="72">
        <f t="shared" si="82"/>
        <v>1052.8999999999999</v>
      </c>
      <c r="L48" s="72">
        <f t="shared" si="82"/>
        <v>1052.8999999999999</v>
      </c>
      <c r="M48" s="20">
        <f t="shared" si="82"/>
        <v>1059.6999999999998</v>
      </c>
      <c r="N48" s="20">
        <f t="shared" si="82"/>
        <v>1054.4999999999998</v>
      </c>
      <c r="O48" s="20">
        <f t="shared" si="82"/>
        <v>1068.2999999999997</v>
      </c>
      <c r="P48" s="20">
        <f t="shared" si="82"/>
        <v>1072.0999999999997</v>
      </c>
      <c r="Q48" s="20">
        <f t="shared" si="82"/>
        <v>1075.8999999999996</v>
      </c>
      <c r="R48" s="72">
        <f t="shared" si="82"/>
        <v>1075.8999999999996</v>
      </c>
      <c r="S48" s="72">
        <f t="shared" si="82"/>
        <v>1075.8999999999996</v>
      </c>
      <c r="T48" s="20">
        <f t="shared" si="82"/>
        <v>1075.6999999999996</v>
      </c>
      <c r="U48" s="20">
        <f t="shared" si="82"/>
        <v>1092.4999999999995</v>
      </c>
      <c r="V48" s="20">
        <f t="shared" si="82"/>
        <v>1132.2999999999995</v>
      </c>
      <c r="W48" s="20">
        <f t="shared" si="82"/>
        <v>1139.0999999999995</v>
      </c>
      <c r="X48" s="20">
        <f t="shared" si="82"/>
        <v>1142.8999999999994</v>
      </c>
      <c r="Y48" s="72">
        <f t="shared" si="82"/>
        <v>1142.8999999999994</v>
      </c>
      <c r="Z48" s="72">
        <f t="shared" si="82"/>
        <v>1142.8999999999994</v>
      </c>
      <c r="AA48" s="72">
        <f t="shared" si="82"/>
        <v>1142.8999999999994</v>
      </c>
      <c r="AB48" s="20">
        <f t="shared" si="82"/>
        <v>1152.6999999999994</v>
      </c>
      <c r="AC48" s="20">
        <f t="shared" si="82"/>
        <v>1158.4999999999993</v>
      </c>
      <c r="AD48" s="20">
        <f t="shared" si="82"/>
        <v>1158.2999999999993</v>
      </c>
      <c r="AE48" s="20">
        <f t="shared" si="82"/>
        <v>1168.0999999999992</v>
      </c>
      <c r="AF48" s="72">
        <f t="shared" si="82"/>
        <v>1168.0999999999992</v>
      </c>
      <c r="AG48" s="72">
        <f t="shared" si="82"/>
        <v>1168.0999999999992</v>
      </c>
      <c r="AH48" s="20">
        <f t="shared" si="82"/>
        <v>1169.8999999999992</v>
      </c>
      <c r="AI48" s="20">
        <f t="shared" si="82"/>
        <v>1174.6999999999991</v>
      </c>
      <c r="AJ48" s="20">
        <f t="shared" si="82"/>
        <v>1175.4999999999991</v>
      </c>
      <c r="AK48" s="20">
        <f t="shared" si="82"/>
        <v>1200.299999999999</v>
      </c>
      <c r="AL48" s="20">
        <f t="shared" si="82"/>
        <v>1206.299999999999</v>
      </c>
      <c r="AM48" s="1" t="s">
        <v>3</v>
      </c>
    </row>
    <row r="49" spans="2:39" s="1" customFormat="1" ht="13.5" outlineLevel="1">
      <c r="B49" s="208"/>
      <c r="C49" s="210" t="s">
        <v>16</v>
      </c>
      <c r="D49" s="28" t="s">
        <v>53</v>
      </c>
      <c r="E49" s="33">
        <f>SUM(H49:AL49)*F49</f>
        <v>168.00000000000006</v>
      </c>
      <c r="F49" s="40">
        <v>20</v>
      </c>
      <c r="G49" s="16" t="s">
        <v>18</v>
      </c>
      <c r="H49" s="21">
        <v>0.4</v>
      </c>
      <c r="I49" s="21">
        <v>0.4</v>
      </c>
      <c r="J49" s="21">
        <v>0.4</v>
      </c>
      <c r="K49" s="21"/>
      <c r="L49" s="21"/>
      <c r="M49" s="21">
        <v>0.4</v>
      </c>
      <c r="N49" s="21">
        <v>0.4</v>
      </c>
      <c r="O49" s="21">
        <v>0.4</v>
      </c>
      <c r="P49" s="21">
        <v>0.4</v>
      </c>
      <c r="Q49" s="21">
        <v>0.4</v>
      </c>
      <c r="R49" s="74"/>
      <c r="S49" s="74"/>
      <c r="T49" s="21">
        <v>0.4</v>
      </c>
      <c r="U49" s="21">
        <v>0.4</v>
      </c>
      <c r="V49" s="21">
        <v>0.4</v>
      </c>
      <c r="W49" s="21">
        <v>0.4</v>
      </c>
      <c r="X49" s="21">
        <v>0.4</v>
      </c>
      <c r="Y49" s="74"/>
      <c r="Z49" s="74"/>
      <c r="AA49" s="74"/>
      <c r="AB49" s="21">
        <v>0.4</v>
      </c>
      <c r="AC49" s="21">
        <v>0.4</v>
      </c>
      <c r="AD49" s="21">
        <v>0.4</v>
      </c>
      <c r="AE49" s="21">
        <v>0.4</v>
      </c>
      <c r="AF49" s="21"/>
      <c r="AG49" s="21"/>
      <c r="AH49" s="21">
        <v>0.4</v>
      </c>
      <c r="AI49" s="21">
        <v>0.4</v>
      </c>
      <c r="AJ49" s="21">
        <v>0.4</v>
      </c>
      <c r="AK49" s="21">
        <v>0.4</v>
      </c>
      <c r="AL49" s="23"/>
      <c r="AM49" s="1" t="s">
        <v>3</v>
      </c>
    </row>
    <row r="50" spans="2:39" s="1" customFormat="1" ht="13.5" outlineLevel="1">
      <c r="B50" s="208"/>
      <c r="C50" s="211"/>
      <c r="D50" s="29" t="s">
        <v>36</v>
      </c>
      <c r="E50" s="34">
        <f t="shared" ref="E50:E55" si="83">SUM(H50:AL50)*F50</f>
        <v>0</v>
      </c>
      <c r="F50" s="39"/>
      <c r="G50" s="15" t="s">
        <v>18</v>
      </c>
      <c r="H50" s="18"/>
      <c r="I50" s="18"/>
      <c r="J50" s="18"/>
      <c r="K50" s="18"/>
      <c r="L50" s="18"/>
      <c r="M50" s="18"/>
      <c r="N50" s="18"/>
      <c r="O50" s="18"/>
      <c r="P50" s="18"/>
      <c r="Q50" s="18"/>
      <c r="R50" s="71"/>
      <c r="S50" s="71"/>
      <c r="T50" s="18"/>
      <c r="U50" s="18"/>
      <c r="V50" s="18"/>
      <c r="W50" s="18"/>
      <c r="X50" s="18"/>
      <c r="Y50" s="71"/>
      <c r="Z50" s="71"/>
      <c r="AA50" s="71"/>
      <c r="AB50" s="18"/>
      <c r="AC50" s="18"/>
      <c r="AD50" s="18"/>
      <c r="AE50" s="18"/>
      <c r="AF50" s="18"/>
      <c r="AG50" s="18"/>
      <c r="AH50" s="18"/>
      <c r="AI50" s="18"/>
      <c r="AJ50" s="18"/>
      <c r="AK50" s="18"/>
      <c r="AL50" s="24"/>
      <c r="AM50" s="1" t="s">
        <v>3</v>
      </c>
    </row>
    <row r="51" spans="2:39" s="1" customFormat="1" ht="14" outlineLevel="1" thickBot="1">
      <c r="B51" s="208"/>
      <c r="C51" s="211"/>
      <c r="D51" s="29"/>
      <c r="E51" s="53">
        <f t="shared" si="83"/>
        <v>0</v>
      </c>
      <c r="F51" s="41"/>
      <c r="G51" s="17" t="s">
        <v>18</v>
      </c>
      <c r="H51" s="25"/>
      <c r="I51" s="25"/>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27"/>
      <c r="AM51" s="1" t="s">
        <v>3</v>
      </c>
    </row>
    <row r="52" spans="2:39" s="1" customFormat="1" ht="13.5" outlineLevel="1">
      <c r="B52" s="208"/>
      <c r="C52" s="210" t="s">
        <v>25</v>
      </c>
      <c r="D52" s="30" t="s">
        <v>32</v>
      </c>
      <c r="E52" s="33">
        <f t="shared" si="83"/>
        <v>0</v>
      </c>
      <c r="F52" s="40"/>
      <c r="G52" s="16" t="s">
        <v>18</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3"/>
      <c r="AM52" s="1" t="s">
        <v>3</v>
      </c>
    </row>
    <row r="53" spans="2:39" s="1" customFormat="1" ht="13.5" outlineLevel="1">
      <c r="B53" s="208"/>
      <c r="C53" s="211"/>
      <c r="D53" s="31" t="s">
        <v>33</v>
      </c>
      <c r="E53" s="34">
        <f t="shared" si="83"/>
        <v>109.20000000000003</v>
      </c>
      <c r="F53" s="39">
        <v>13</v>
      </c>
      <c r="G53" s="15" t="s">
        <v>18</v>
      </c>
      <c r="H53" s="18">
        <v>0.4</v>
      </c>
      <c r="I53" s="18">
        <v>0.4</v>
      </c>
      <c r="J53" s="18">
        <v>0.4</v>
      </c>
      <c r="K53" s="18"/>
      <c r="L53" s="18"/>
      <c r="M53" s="18">
        <v>0.4</v>
      </c>
      <c r="N53" s="18">
        <v>0.4</v>
      </c>
      <c r="O53" s="18">
        <v>0.4</v>
      </c>
      <c r="P53" s="18">
        <v>0.4</v>
      </c>
      <c r="Q53" s="18">
        <v>0.4</v>
      </c>
      <c r="R53" s="18"/>
      <c r="S53" s="18"/>
      <c r="T53" s="18">
        <v>0.4</v>
      </c>
      <c r="U53" s="18">
        <v>0.4</v>
      </c>
      <c r="V53" s="18">
        <v>0.4</v>
      </c>
      <c r="W53" s="18">
        <v>0.4</v>
      </c>
      <c r="X53" s="18">
        <v>0.4</v>
      </c>
      <c r="Y53" s="18"/>
      <c r="Z53" s="18"/>
      <c r="AA53" s="18"/>
      <c r="AB53" s="18">
        <v>0.4</v>
      </c>
      <c r="AC53" s="18">
        <v>0.4</v>
      </c>
      <c r="AD53" s="18">
        <v>0.4</v>
      </c>
      <c r="AE53" s="18">
        <v>0.4</v>
      </c>
      <c r="AF53" s="18"/>
      <c r="AG53" s="18"/>
      <c r="AH53" s="18">
        <v>0.4</v>
      </c>
      <c r="AI53" s="18">
        <v>0.4</v>
      </c>
      <c r="AJ53" s="18">
        <v>0.4</v>
      </c>
      <c r="AK53" s="18">
        <v>0.4</v>
      </c>
      <c r="AL53" s="24"/>
      <c r="AM53" s="1" t="s">
        <v>3</v>
      </c>
    </row>
    <row r="54" spans="2:39" s="1" customFormat="1" ht="13.5" outlineLevel="1">
      <c r="B54" s="208"/>
      <c r="C54" s="211"/>
      <c r="D54" s="31"/>
      <c r="E54" s="55">
        <f t="shared" si="83"/>
        <v>0</v>
      </c>
      <c r="F54" s="39"/>
      <c r="G54" s="15" t="s">
        <v>18</v>
      </c>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24"/>
      <c r="AM54" s="1" t="s">
        <v>3</v>
      </c>
    </row>
    <row r="55" spans="2:39" s="1" customFormat="1" ht="14" outlineLevel="1" thickBot="1">
      <c r="B55" s="208"/>
      <c r="C55" s="211"/>
      <c r="D55" s="31"/>
      <c r="E55" s="35">
        <f t="shared" si="83"/>
        <v>0</v>
      </c>
      <c r="F55" s="19"/>
      <c r="G55" s="46" t="s">
        <v>18</v>
      </c>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47"/>
      <c r="AM55" s="1" t="s">
        <v>3</v>
      </c>
    </row>
    <row r="56" spans="2:39">
      <c r="B56" s="227" t="s">
        <v>39</v>
      </c>
      <c r="C56" s="228"/>
      <c r="D56" s="228"/>
      <c r="E56" s="228"/>
      <c r="F56" s="228"/>
      <c r="G56" s="228"/>
      <c r="H56" s="49">
        <f>H13+H19+H25+H37+H49</f>
        <v>1.5</v>
      </c>
      <c r="I56" s="49">
        <f t="shared" ref="I56:AL56" si="84">I13+I19+I25+I37+I49</f>
        <v>1.5</v>
      </c>
      <c r="J56" s="49">
        <f t="shared" si="84"/>
        <v>2.5</v>
      </c>
      <c r="K56" s="49">
        <f t="shared" si="84"/>
        <v>0</v>
      </c>
      <c r="L56" s="49">
        <f t="shared" si="84"/>
        <v>0</v>
      </c>
      <c r="M56" s="49">
        <f t="shared" si="84"/>
        <v>1.5</v>
      </c>
      <c r="N56" s="49">
        <f t="shared" si="84"/>
        <v>2.5</v>
      </c>
      <c r="O56" s="49">
        <f t="shared" si="84"/>
        <v>1.5</v>
      </c>
      <c r="P56" s="49">
        <f t="shared" si="84"/>
        <v>1.5</v>
      </c>
      <c r="Q56" s="49">
        <f>Q13+Q19+Q25+Q37+Q49</f>
        <v>2.5</v>
      </c>
      <c r="R56" s="49">
        <f t="shared" si="84"/>
        <v>0</v>
      </c>
      <c r="S56" s="49">
        <f t="shared" si="84"/>
        <v>0</v>
      </c>
      <c r="T56" s="49">
        <f t="shared" si="84"/>
        <v>1.5</v>
      </c>
      <c r="U56" s="49">
        <f t="shared" si="84"/>
        <v>2.5</v>
      </c>
      <c r="V56" s="49">
        <f t="shared" si="84"/>
        <v>1.5</v>
      </c>
      <c r="W56" s="49">
        <f t="shared" si="84"/>
        <v>1.5</v>
      </c>
      <c r="X56" s="49">
        <f t="shared" si="84"/>
        <v>2.5</v>
      </c>
      <c r="Y56" s="49">
        <f t="shared" si="84"/>
        <v>0</v>
      </c>
      <c r="Z56" s="49">
        <f t="shared" si="84"/>
        <v>0</v>
      </c>
      <c r="AA56" s="49">
        <f t="shared" si="84"/>
        <v>0</v>
      </c>
      <c r="AB56" s="49">
        <f t="shared" si="84"/>
        <v>2.5</v>
      </c>
      <c r="AC56" s="49">
        <f t="shared" si="84"/>
        <v>1.5</v>
      </c>
      <c r="AD56" s="49">
        <f t="shared" si="84"/>
        <v>1.5</v>
      </c>
      <c r="AE56" s="49">
        <f>AE13+AE19+AE25+AE37+AE49</f>
        <v>2.5</v>
      </c>
      <c r="AF56" s="49">
        <f t="shared" si="84"/>
        <v>0</v>
      </c>
      <c r="AG56" s="49">
        <f t="shared" si="84"/>
        <v>0</v>
      </c>
      <c r="AH56" s="49">
        <f t="shared" si="84"/>
        <v>1.5</v>
      </c>
      <c r="AI56" s="49">
        <f t="shared" si="84"/>
        <v>2.5</v>
      </c>
      <c r="AJ56" s="49">
        <f t="shared" si="84"/>
        <v>1.5</v>
      </c>
      <c r="AK56" s="49">
        <f t="shared" si="84"/>
        <v>1.5</v>
      </c>
      <c r="AL56" s="49">
        <f t="shared" si="84"/>
        <v>0</v>
      </c>
      <c r="AM56" s="1" t="s">
        <v>3</v>
      </c>
    </row>
    <row r="57" spans="2:39">
      <c r="B57" s="229" t="s">
        <v>40</v>
      </c>
      <c r="C57" s="230"/>
      <c r="D57" s="230"/>
      <c r="E57" s="230"/>
      <c r="F57" s="230"/>
      <c r="G57" s="230"/>
      <c r="H57" s="48">
        <v>3</v>
      </c>
      <c r="I57" s="48">
        <v>3</v>
      </c>
      <c r="J57" s="48">
        <v>4</v>
      </c>
      <c r="K57" s="48">
        <v>0</v>
      </c>
      <c r="L57" s="48">
        <v>0</v>
      </c>
      <c r="M57" s="48">
        <v>3</v>
      </c>
      <c r="N57" s="48">
        <v>4</v>
      </c>
      <c r="O57" s="48">
        <v>3</v>
      </c>
      <c r="P57" s="48">
        <v>3</v>
      </c>
      <c r="Q57" s="48">
        <v>4</v>
      </c>
      <c r="R57" s="48">
        <v>0</v>
      </c>
      <c r="S57" s="48">
        <v>0</v>
      </c>
      <c r="T57" s="48">
        <v>3</v>
      </c>
      <c r="U57" s="48">
        <v>4</v>
      </c>
      <c r="V57" s="48">
        <v>3</v>
      </c>
      <c r="W57" s="48">
        <v>3</v>
      </c>
      <c r="X57" s="48">
        <v>4</v>
      </c>
      <c r="Y57" s="48">
        <v>0</v>
      </c>
      <c r="Z57" s="48">
        <v>0</v>
      </c>
      <c r="AA57" s="48">
        <v>0</v>
      </c>
      <c r="AB57" s="48">
        <v>4</v>
      </c>
      <c r="AC57" s="48">
        <v>3</v>
      </c>
      <c r="AD57" s="48">
        <v>3</v>
      </c>
      <c r="AE57" s="48">
        <v>4</v>
      </c>
      <c r="AF57" s="48">
        <v>0</v>
      </c>
      <c r="AG57" s="48">
        <v>0</v>
      </c>
      <c r="AH57" s="48">
        <v>3</v>
      </c>
      <c r="AI57" s="48">
        <v>4</v>
      </c>
      <c r="AJ57" s="48">
        <v>3</v>
      </c>
      <c r="AK57" s="48">
        <v>3</v>
      </c>
      <c r="AL57" s="50">
        <v>4</v>
      </c>
      <c r="AM57" s="1" t="s">
        <v>3</v>
      </c>
    </row>
    <row r="58" spans="2:39">
      <c r="B58" s="229" t="s">
        <v>41</v>
      </c>
      <c r="C58" s="230"/>
      <c r="D58" s="230"/>
      <c r="E58" s="230"/>
      <c r="F58" s="230"/>
      <c r="G58" s="230"/>
      <c r="H58" s="48">
        <v>1.5</v>
      </c>
      <c r="I58" s="48">
        <v>1.5</v>
      </c>
      <c r="J58" s="48">
        <v>1.5</v>
      </c>
      <c r="K58" s="48">
        <v>0</v>
      </c>
      <c r="L58" s="48">
        <v>0</v>
      </c>
      <c r="M58" s="48">
        <v>1.5</v>
      </c>
      <c r="N58" s="48">
        <v>1.5</v>
      </c>
      <c r="O58" s="48">
        <v>1.5</v>
      </c>
      <c r="P58" s="48">
        <v>1.5</v>
      </c>
      <c r="Q58" s="48">
        <v>1.5</v>
      </c>
      <c r="R58" s="48">
        <v>0</v>
      </c>
      <c r="S58" s="48">
        <v>0</v>
      </c>
      <c r="T58" s="48">
        <v>1.5</v>
      </c>
      <c r="U58" s="48">
        <v>1.5</v>
      </c>
      <c r="V58" s="48">
        <v>1.5</v>
      </c>
      <c r="W58" s="48">
        <v>1.5</v>
      </c>
      <c r="X58" s="48">
        <v>1.5</v>
      </c>
      <c r="Y58" s="48">
        <v>0</v>
      </c>
      <c r="Z58" s="48">
        <v>0</v>
      </c>
      <c r="AA58" s="48">
        <v>0</v>
      </c>
      <c r="AB58" s="48">
        <v>1.5</v>
      </c>
      <c r="AC58" s="48">
        <v>1.5</v>
      </c>
      <c r="AD58" s="48">
        <v>1.5</v>
      </c>
      <c r="AE58" s="48">
        <v>1.5</v>
      </c>
      <c r="AF58" s="48">
        <v>0</v>
      </c>
      <c r="AG58" s="48">
        <v>0</v>
      </c>
      <c r="AH58" s="48">
        <v>1.5</v>
      </c>
      <c r="AI58" s="48">
        <v>1.5</v>
      </c>
      <c r="AJ58" s="48">
        <v>1.5</v>
      </c>
      <c r="AK58" s="48">
        <v>1.5</v>
      </c>
      <c r="AL58" s="50">
        <v>1.5</v>
      </c>
      <c r="AM58" s="1" t="s">
        <v>3</v>
      </c>
    </row>
    <row r="59" spans="2:39" ht="15.5" thickBot="1">
      <c r="B59" s="231" t="s">
        <v>42</v>
      </c>
      <c r="C59" s="232"/>
      <c r="D59" s="232"/>
      <c r="E59" s="232"/>
      <c r="F59" s="232"/>
      <c r="G59" s="232"/>
      <c r="H59" s="51">
        <f t="shared" ref="H59" si="85">H57-(H56+H58)</f>
        <v>0</v>
      </c>
      <c r="I59" s="51">
        <f t="shared" ref="I59" si="86">I57-(I56+I58)</f>
        <v>0</v>
      </c>
      <c r="J59" s="51">
        <f>J57-(J56+J58)</f>
        <v>0</v>
      </c>
      <c r="K59" s="51">
        <f t="shared" ref="K59" si="87">K57-(K56+K58)</f>
        <v>0</v>
      </c>
      <c r="L59" s="51">
        <f t="shared" ref="L59" si="88">L57-(L56+L58)</f>
        <v>0</v>
      </c>
      <c r="M59" s="51">
        <f t="shared" ref="M59" si="89">M57-(M56+M58)</f>
        <v>0</v>
      </c>
      <c r="N59" s="51">
        <f t="shared" ref="N59" si="90">N57-(N56+N58)</f>
        <v>0</v>
      </c>
      <c r="O59" s="51">
        <f t="shared" ref="O59" si="91">O57-(O56+O58)</f>
        <v>0</v>
      </c>
      <c r="P59" s="51">
        <f t="shared" ref="P59" si="92">P57-(P56+P58)</f>
        <v>0</v>
      </c>
      <c r="Q59" s="51">
        <f t="shared" ref="Q59" si="93">Q57-(Q56+Q58)</f>
        <v>0</v>
      </c>
      <c r="R59" s="51">
        <f t="shared" ref="R59" si="94">R57-(R56+R58)</f>
        <v>0</v>
      </c>
      <c r="S59" s="51">
        <f t="shared" ref="S59" si="95">S57-(S56+S58)</f>
        <v>0</v>
      </c>
      <c r="T59" s="51">
        <f t="shared" ref="T59" si="96">T57-(T56+T58)</f>
        <v>0</v>
      </c>
      <c r="U59" s="51">
        <f t="shared" ref="U59" si="97">U57-(U56+U58)</f>
        <v>0</v>
      </c>
      <c r="V59" s="51">
        <f t="shared" ref="V59" si="98">V57-(V56+V58)</f>
        <v>0</v>
      </c>
      <c r="W59" s="51">
        <f t="shared" ref="W59" si="99">W57-(W56+W58)</f>
        <v>0</v>
      </c>
      <c r="X59" s="51">
        <f t="shared" ref="X59" si="100">X57-(X56+X58)</f>
        <v>0</v>
      </c>
      <c r="Y59" s="51">
        <f t="shared" ref="Y59" si="101">Y57-(Y56+Y58)</f>
        <v>0</v>
      </c>
      <c r="Z59" s="51">
        <f t="shared" ref="Z59" si="102">Z57-(Z56+Z58)</f>
        <v>0</v>
      </c>
      <c r="AA59" s="51">
        <f t="shared" ref="AA59" si="103">AA57-(AA56+AA58)</f>
        <v>0</v>
      </c>
      <c r="AB59" s="51">
        <f t="shared" ref="AB59" si="104">AB57-(AB56+AB58)</f>
        <v>0</v>
      </c>
      <c r="AC59" s="51">
        <f t="shared" ref="AC59" si="105">AC57-(AC56+AC58)</f>
        <v>0</v>
      </c>
      <c r="AD59" s="51">
        <f t="shared" ref="AD59" si="106">AD57-(AD56+AD58)</f>
        <v>0</v>
      </c>
      <c r="AE59" s="51">
        <f>AE57-(AE56+AE58)</f>
        <v>0</v>
      </c>
      <c r="AF59" s="51">
        <f t="shared" ref="AF59" si="107">AF57-(AF56+AF58)</f>
        <v>0</v>
      </c>
      <c r="AG59" s="51">
        <f t="shared" ref="AG59" si="108">AG57-(AG56+AG58)</f>
        <v>0</v>
      </c>
      <c r="AH59" s="51">
        <f t="shared" ref="AH59" si="109">AH57-(AH56+AH58)</f>
        <v>0</v>
      </c>
      <c r="AI59" s="51">
        <f t="shared" ref="AI59" si="110">AI57-(AI56+AI58)</f>
        <v>0</v>
      </c>
      <c r="AJ59" s="51">
        <f t="shared" ref="AJ59" si="111">AJ57-(AJ56+AJ58)</f>
        <v>0</v>
      </c>
      <c r="AK59" s="51">
        <f t="shared" ref="AK59:AL59" si="112">AK57-(AK56+AK58)</f>
        <v>0</v>
      </c>
      <c r="AL59" s="51">
        <f t="shared" si="112"/>
        <v>2.5</v>
      </c>
      <c r="AM59" s="1" t="s">
        <v>3</v>
      </c>
    </row>
  </sheetData>
  <autoFilter ref="B5:AM59" xr:uid="{72758B5E-EB6B-4A16-B8A9-B59A1AE50C6F}">
    <filterColumn colId="1" showButton="0"/>
  </autoFilter>
  <mergeCells count="41">
    <mergeCell ref="C35:D35"/>
    <mergeCell ref="C36:D36"/>
    <mergeCell ref="C37:C39"/>
    <mergeCell ref="C40:C43"/>
    <mergeCell ref="B44:B55"/>
    <mergeCell ref="C44:D44"/>
    <mergeCell ref="C45:D45"/>
    <mergeCell ref="C46:D46"/>
    <mergeCell ref="C47:D47"/>
    <mergeCell ref="C48:D48"/>
    <mergeCell ref="C49:C51"/>
    <mergeCell ref="C52:C55"/>
    <mergeCell ref="B58:G58"/>
    <mergeCell ref="B59:G59"/>
    <mergeCell ref="C25:C27"/>
    <mergeCell ref="B20:B31"/>
    <mergeCell ref="C28:C31"/>
    <mergeCell ref="B56:G56"/>
    <mergeCell ref="B57:G57"/>
    <mergeCell ref="C20:D20"/>
    <mergeCell ref="C21:D21"/>
    <mergeCell ref="C22:D22"/>
    <mergeCell ref="C23:D23"/>
    <mergeCell ref="C24:D24"/>
    <mergeCell ref="B32:B43"/>
    <mergeCell ref="C32:D32"/>
    <mergeCell ref="C33:D33"/>
    <mergeCell ref="C34:D34"/>
    <mergeCell ref="F3:F5"/>
    <mergeCell ref="E3:E5"/>
    <mergeCell ref="C8:D8"/>
    <mergeCell ref="B6:B19"/>
    <mergeCell ref="C12:D12"/>
    <mergeCell ref="C13:C15"/>
    <mergeCell ref="C16:C19"/>
    <mergeCell ref="C3:D5"/>
    <mergeCell ref="C6:D6"/>
    <mergeCell ref="C7:D7"/>
    <mergeCell ref="C9:D9"/>
    <mergeCell ref="C11:D11"/>
    <mergeCell ref="C10:D10"/>
  </mergeCells>
  <phoneticPr fontId="2"/>
  <conditionalFormatting sqref="H59:AK59">
    <cfRule type="cellIs" dxfId="6" priority="5" operator="notEqual">
      <formula>0</formula>
    </cfRule>
  </conditionalFormatting>
  <conditionalFormatting sqref="AL59">
    <cfRule type="cellIs" dxfId="3" priority="6"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 id="{D6A822F0-6030-4B75-B6E2-7659539FC68C}">
            <xm:f>OR(WEEKDAY(H$4,2)&gt;=6,COUNTIF(祝日!$A:$A,H$4)&gt;=1)</xm:f>
            <x14:dxf>
              <fill>
                <patternFill>
                  <bgColor theme="1" tint="0.499984740745262"/>
                </patternFill>
              </fill>
            </x14:dxf>
          </x14:cfRule>
          <xm:sqref>H4:AL31</xm:sqref>
        </x14:conditionalFormatting>
        <x14:conditionalFormatting xmlns:xm="http://schemas.microsoft.com/office/excel/2006/main">
          <x14:cfRule type="expression" priority="7" id="{DC99EF6E-CCC6-4E67-8C97-CC96B37FF4FB}">
            <xm:f>OR(WEEKDAY(H$4,2)&gt;=6,COUNTIF(祝日!$A:$A,H$4)&gt;=1)</xm:f>
            <x14:dxf>
              <fill>
                <patternFill>
                  <bgColor theme="1" tint="0.499984740745262"/>
                </patternFill>
              </fill>
            </x14:dxf>
          </x14:cfRule>
          <xm:sqref>H37:AL43 H49:AL55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9556-8785-4A33-9BAA-003D06567BAA}">
  <dimension ref="B11:B16"/>
  <sheetViews>
    <sheetView workbookViewId="0">
      <selection activeCell="B19" sqref="B19"/>
    </sheetView>
  </sheetViews>
  <sheetFormatPr defaultRowHeight="15"/>
  <cols>
    <col min="1" max="1" width="3.42578125" customWidth="1"/>
    <col min="2" max="2" width="11.35546875" customWidth="1"/>
  </cols>
  <sheetData>
    <row r="11" spans="2:2">
      <c r="B11" t="s">
        <v>60</v>
      </c>
    </row>
    <row r="12" spans="2:2">
      <c r="B12" t="s">
        <v>61</v>
      </c>
    </row>
    <row r="13" spans="2:2">
      <c r="B13" t="s">
        <v>62</v>
      </c>
    </row>
    <row r="15" spans="2:2">
      <c r="B15" t="s">
        <v>63</v>
      </c>
    </row>
    <row r="16" spans="2:2">
      <c r="B16" t="s">
        <v>64</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7B1BF-4740-4593-ABE8-CE04623BC2B1}">
  <dimension ref="A1:B21"/>
  <sheetViews>
    <sheetView workbookViewId="0"/>
  </sheetViews>
  <sheetFormatPr defaultRowHeight="15"/>
  <cols>
    <col min="1" max="1" width="10.42578125" customWidth="1"/>
  </cols>
  <sheetData>
    <row r="1" spans="1:2">
      <c r="A1" s="12">
        <v>46023</v>
      </c>
      <c r="B1" t="s">
        <v>65</v>
      </c>
    </row>
    <row r="2" spans="1:2">
      <c r="A2" s="12">
        <v>46034</v>
      </c>
      <c r="B2" t="s">
        <v>66</v>
      </c>
    </row>
    <row r="3" spans="1:2">
      <c r="A3" s="12">
        <v>46064</v>
      </c>
      <c r="B3" t="s">
        <v>67</v>
      </c>
    </row>
    <row r="4" spans="1:2">
      <c r="A4" s="12">
        <v>46076</v>
      </c>
      <c r="B4" t="s">
        <v>68</v>
      </c>
    </row>
    <row r="5" spans="1:2">
      <c r="A5" s="12">
        <v>46101</v>
      </c>
      <c r="B5" t="s">
        <v>69</v>
      </c>
    </row>
    <row r="6" spans="1:2">
      <c r="A6" s="12">
        <v>46141</v>
      </c>
      <c r="B6" t="s">
        <v>70</v>
      </c>
    </row>
    <row r="7" spans="1:2">
      <c r="A7" s="12">
        <v>46145</v>
      </c>
      <c r="B7" t="s">
        <v>71</v>
      </c>
    </row>
    <row r="8" spans="1:2">
      <c r="A8" s="12">
        <v>46146</v>
      </c>
      <c r="B8" t="s">
        <v>72</v>
      </c>
    </row>
    <row r="9" spans="1:2">
      <c r="A9" s="12">
        <v>46147</v>
      </c>
      <c r="B9" t="s">
        <v>73</v>
      </c>
    </row>
    <row r="10" spans="1:2">
      <c r="A10" s="12">
        <v>46148</v>
      </c>
      <c r="B10" t="s">
        <v>74</v>
      </c>
    </row>
    <row r="11" spans="1:2">
      <c r="A11" s="12">
        <v>46223</v>
      </c>
      <c r="B11" t="s">
        <v>75</v>
      </c>
    </row>
    <row r="12" spans="1:2">
      <c r="A12" s="12">
        <v>46245</v>
      </c>
      <c r="B12" t="s">
        <v>76</v>
      </c>
    </row>
    <row r="13" spans="1:2">
      <c r="A13" s="12">
        <v>46286</v>
      </c>
      <c r="B13" t="s">
        <v>77</v>
      </c>
    </row>
    <row r="14" spans="1:2">
      <c r="A14" s="12">
        <v>46287</v>
      </c>
      <c r="B14" t="s">
        <v>78</v>
      </c>
    </row>
    <row r="15" spans="1:2">
      <c r="A15" s="12">
        <v>46288</v>
      </c>
      <c r="B15" t="s">
        <v>79</v>
      </c>
    </row>
    <row r="16" spans="1:2">
      <c r="A16" s="12">
        <v>46307</v>
      </c>
      <c r="B16" t="s">
        <v>80</v>
      </c>
    </row>
    <row r="17" spans="1:2">
      <c r="A17" s="12">
        <v>46329</v>
      </c>
      <c r="B17" t="s">
        <v>81</v>
      </c>
    </row>
    <row r="18" spans="1:2">
      <c r="A18" s="12">
        <v>46349</v>
      </c>
      <c r="B18" t="s">
        <v>82</v>
      </c>
    </row>
    <row r="19" spans="1:2">
      <c r="A19" s="12">
        <v>46113</v>
      </c>
      <c r="B19" t="s">
        <v>83</v>
      </c>
    </row>
    <row r="20" spans="1:2">
      <c r="A20" s="12">
        <v>46114</v>
      </c>
      <c r="B20" t="s">
        <v>83</v>
      </c>
    </row>
    <row r="21" spans="1:2">
      <c r="A21" s="12"/>
    </row>
  </sheetData>
  <phoneticPr fontId="2"/>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0ACBA-D8B3-4FCE-B63A-97351756E74A}">
  <dimension ref="B2:AM57"/>
  <sheetViews>
    <sheetView zoomScale="115" zoomScaleNormal="115" workbookViewId="0">
      <pane xSplit="7" ySplit="5" topLeftCell="H6" activePane="bottomRight" state="frozen"/>
      <selection pane="topRight" activeCell="H39" sqref="H39:AJ39"/>
      <selection pane="bottomLeft" activeCell="H39" sqref="H39:AJ39"/>
      <selection pane="bottomRight" activeCell="J8" sqref="J8"/>
    </sheetView>
  </sheetViews>
  <sheetFormatPr defaultRowHeight="15" outlineLevelRow="1"/>
  <cols>
    <col min="1" max="1" width="4.2109375" customWidth="1"/>
    <col min="2" max="2" width="5.2109375" customWidth="1"/>
    <col min="3" max="3" width="3.35546875" bestFit="1" customWidth="1"/>
    <col min="4" max="4" width="8.5703125" customWidth="1"/>
    <col min="5" max="5" width="6.85546875" style="11" bestFit="1" customWidth="1"/>
    <col min="6" max="6" width="5.85546875" customWidth="1"/>
    <col min="7" max="7" width="4.640625" bestFit="1" customWidth="1"/>
    <col min="8" max="10" width="4.35546875" bestFit="1" customWidth="1"/>
    <col min="11" max="11" width="5.2109375" customWidth="1"/>
    <col min="12" max="22" width="4.35546875" bestFit="1" customWidth="1"/>
    <col min="23" max="23" width="3.640625" customWidth="1"/>
    <col min="24" max="38" width="4" customWidth="1"/>
    <col min="39" max="39" width="6.42578125" customWidth="1"/>
    <col min="40" max="40" width="6.640625" customWidth="1"/>
  </cols>
  <sheetData>
    <row r="2" spans="2:39" ht="15.5" thickBot="1">
      <c r="E2"/>
      <c r="H2">
        <v>1</v>
      </c>
      <c r="I2">
        <v>1</v>
      </c>
      <c r="J2">
        <v>1</v>
      </c>
      <c r="M2">
        <v>1</v>
      </c>
      <c r="N2">
        <v>1</v>
      </c>
      <c r="O2">
        <v>1</v>
      </c>
      <c r="P2">
        <v>1</v>
      </c>
      <c r="Q2">
        <v>1</v>
      </c>
      <c r="T2">
        <v>1</v>
      </c>
      <c r="U2">
        <v>1</v>
      </c>
      <c r="V2">
        <v>1</v>
      </c>
      <c r="W2">
        <v>1</v>
      </c>
      <c r="X2">
        <v>1</v>
      </c>
      <c r="AB2">
        <v>1</v>
      </c>
      <c r="AC2">
        <v>1</v>
      </c>
      <c r="AD2">
        <v>1</v>
      </c>
      <c r="AE2">
        <v>1</v>
      </c>
      <c r="AH2">
        <v>1</v>
      </c>
      <c r="AI2">
        <v>1</v>
      </c>
      <c r="AJ2">
        <v>1</v>
      </c>
      <c r="AK2">
        <v>1</v>
      </c>
      <c r="AL2">
        <v>1</v>
      </c>
      <c r="AM2">
        <f>SUM(H2:AL2)</f>
        <v>22</v>
      </c>
    </row>
    <row r="3" spans="2:39" s="1" customFormat="1" ht="15" customHeight="1">
      <c r="C3" s="222"/>
      <c r="D3" s="223"/>
      <c r="E3" s="218" t="s">
        <v>0</v>
      </c>
      <c r="F3" s="215" t="s">
        <v>1</v>
      </c>
      <c r="G3" s="42"/>
      <c r="H3" s="2">
        <v>46235</v>
      </c>
      <c r="I3" s="3"/>
      <c r="J3" s="3"/>
      <c r="K3" s="3"/>
      <c r="L3" s="3"/>
      <c r="M3" s="13" t="s">
        <v>2</v>
      </c>
      <c r="N3" s="3"/>
      <c r="O3" s="3"/>
      <c r="P3" s="3"/>
      <c r="Q3" s="3"/>
      <c r="R3" s="3"/>
      <c r="S3" s="3"/>
      <c r="T3" s="3"/>
      <c r="U3" s="3"/>
      <c r="V3" s="3"/>
      <c r="W3" s="3"/>
      <c r="X3" s="3"/>
      <c r="Y3" s="3"/>
      <c r="Z3" s="3"/>
      <c r="AA3" s="3"/>
      <c r="AB3" s="3"/>
      <c r="AC3" s="3"/>
      <c r="AD3" s="3"/>
      <c r="AE3" s="3"/>
      <c r="AF3" s="3"/>
      <c r="AG3" s="3"/>
      <c r="AH3" s="3"/>
      <c r="AI3" s="3"/>
      <c r="AJ3" s="3"/>
      <c r="AK3" s="3"/>
      <c r="AL3" s="4"/>
      <c r="AM3" s="1" t="s">
        <v>3</v>
      </c>
    </row>
    <row r="4" spans="2:39" s="1" customFormat="1" ht="13.5">
      <c r="C4" s="224"/>
      <c r="D4" s="225"/>
      <c r="E4" s="219"/>
      <c r="F4" s="216"/>
      <c r="G4" s="43"/>
      <c r="H4" s="5">
        <f>H3</f>
        <v>46235</v>
      </c>
      <c r="I4" s="6">
        <f t="shared" ref="I4:AL4" si="0">H4+1</f>
        <v>46236</v>
      </c>
      <c r="J4" s="6">
        <f t="shared" si="0"/>
        <v>46237</v>
      </c>
      <c r="K4" s="6">
        <f t="shared" si="0"/>
        <v>46238</v>
      </c>
      <c r="L4" s="77">
        <f t="shared" si="0"/>
        <v>46239</v>
      </c>
      <c r="M4" s="6">
        <f t="shared" si="0"/>
        <v>46240</v>
      </c>
      <c r="N4" s="6">
        <f t="shared" si="0"/>
        <v>46241</v>
      </c>
      <c r="O4" s="6">
        <f t="shared" si="0"/>
        <v>46242</v>
      </c>
      <c r="P4" s="6">
        <f t="shared" si="0"/>
        <v>46243</v>
      </c>
      <c r="Q4" s="6">
        <f t="shared" si="0"/>
        <v>46244</v>
      </c>
      <c r="R4" s="6">
        <f t="shared" si="0"/>
        <v>46245</v>
      </c>
      <c r="S4" s="6">
        <f t="shared" si="0"/>
        <v>46246</v>
      </c>
      <c r="T4" s="6">
        <f t="shared" si="0"/>
        <v>46247</v>
      </c>
      <c r="U4" s="6">
        <f t="shared" si="0"/>
        <v>46248</v>
      </c>
      <c r="V4" s="6">
        <f t="shared" si="0"/>
        <v>46249</v>
      </c>
      <c r="W4" s="6">
        <f t="shared" si="0"/>
        <v>46250</v>
      </c>
      <c r="X4" s="6">
        <f t="shared" si="0"/>
        <v>46251</v>
      </c>
      <c r="Y4" s="6">
        <f t="shared" si="0"/>
        <v>46252</v>
      </c>
      <c r="Z4" s="6">
        <f t="shared" si="0"/>
        <v>46253</v>
      </c>
      <c r="AA4" s="6">
        <f t="shared" si="0"/>
        <v>46254</v>
      </c>
      <c r="AB4" s="6">
        <f t="shared" si="0"/>
        <v>46255</v>
      </c>
      <c r="AC4" s="6">
        <f t="shared" si="0"/>
        <v>46256</v>
      </c>
      <c r="AD4" s="6">
        <f t="shared" si="0"/>
        <v>46257</v>
      </c>
      <c r="AE4" s="6">
        <f t="shared" si="0"/>
        <v>46258</v>
      </c>
      <c r="AF4" s="6">
        <f t="shared" si="0"/>
        <v>46259</v>
      </c>
      <c r="AG4" s="6">
        <f t="shared" si="0"/>
        <v>46260</v>
      </c>
      <c r="AH4" s="6">
        <f t="shared" si="0"/>
        <v>46261</v>
      </c>
      <c r="AI4" s="6">
        <f t="shared" si="0"/>
        <v>46262</v>
      </c>
      <c r="AJ4" s="6">
        <f t="shared" si="0"/>
        <v>46263</v>
      </c>
      <c r="AK4" s="6">
        <f t="shared" si="0"/>
        <v>46264</v>
      </c>
      <c r="AL4" s="7">
        <f t="shared" si="0"/>
        <v>46265</v>
      </c>
      <c r="AM4" s="1" t="s">
        <v>3</v>
      </c>
    </row>
    <row r="5" spans="2:39" s="1" customFormat="1" ht="14" thickBot="1">
      <c r="C5" s="224"/>
      <c r="D5" s="225"/>
      <c r="E5" s="219"/>
      <c r="F5" s="217"/>
      <c r="G5" s="44"/>
      <c r="H5" s="8">
        <f>H4</f>
        <v>46235</v>
      </c>
      <c r="I5" s="9">
        <f t="shared" ref="I5:AL5" si="1">I4</f>
        <v>46236</v>
      </c>
      <c r="J5" s="9">
        <f t="shared" si="1"/>
        <v>46237</v>
      </c>
      <c r="K5" s="9">
        <f t="shared" si="1"/>
        <v>46238</v>
      </c>
      <c r="L5" s="78">
        <f t="shared" si="1"/>
        <v>46239</v>
      </c>
      <c r="M5" s="9">
        <f t="shared" si="1"/>
        <v>46240</v>
      </c>
      <c r="N5" s="9">
        <f t="shared" si="1"/>
        <v>46241</v>
      </c>
      <c r="O5" s="9">
        <f t="shared" si="1"/>
        <v>46242</v>
      </c>
      <c r="P5" s="9">
        <f t="shared" si="1"/>
        <v>46243</v>
      </c>
      <c r="Q5" s="9">
        <f t="shared" si="1"/>
        <v>46244</v>
      </c>
      <c r="R5" s="9">
        <f t="shared" si="1"/>
        <v>46245</v>
      </c>
      <c r="S5" s="9">
        <f t="shared" si="1"/>
        <v>46246</v>
      </c>
      <c r="T5" s="9">
        <f t="shared" si="1"/>
        <v>46247</v>
      </c>
      <c r="U5" s="9">
        <f t="shared" si="1"/>
        <v>46248</v>
      </c>
      <c r="V5" s="9">
        <f t="shared" si="1"/>
        <v>46249</v>
      </c>
      <c r="W5" s="9">
        <f t="shared" si="1"/>
        <v>46250</v>
      </c>
      <c r="X5" s="9">
        <f t="shared" si="1"/>
        <v>46251</v>
      </c>
      <c r="Y5" s="9">
        <f t="shared" si="1"/>
        <v>46252</v>
      </c>
      <c r="Z5" s="9">
        <f t="shared" si="1"/>
        <v>46253</v>
      </c>
      <c r="AA5" s="9">
        <f t="shared" si="1"/>
        <v>46254</v>
      </c>
      <c r="AB5" s="9">
        <f t="shared" si="1"/>
        <v>46255</v>
      </c>
      <c r="AC5" s="9">
        <f t="shared" si="1"/>
        <v>46256</v>
      </c>
      <c r="AD5" s="9">
        <f t="shared" si="1"/>
        <v>46257</v>
      </c>
      <c r="AE5" s="9">
        <f t="shared" si="1"/>
        <v>46258</v>
      </c>
      <c r="AF5" s="9">
        <f t="shared" si="1"/>
        <v>46259</v>
      </c>
      <c r="AG5" s="9">
        <f t="shared" si="1"/>
        <v>46260</v>
      </c>
      <c r="AH5" s="9">
        <f t="shared" si="1"/>
        <v>46261</v>
      </c>
      <c r="AI5" s="9">
        <f t="shared" si="1"/>
        <v>46262</v>
      </c>
      <c r="AJ5" s="9">
        <f t="shared" si="1"/>
        <v>46263</v>
      </c>
      <c r="AK5" s="9">
        <f t="shared" si="1"/>
        <v>46264</v>
      </c>
      <c r="AL5" s="10">
        <f t="shared" si="1"/>
        <v>46265</v>
      </c>
      <c r="AM5" s="1" t="s">
        <v>3</v>
      </c>
    </row>
    <row r="6" spans="2:39" s="1" customFormat="1" ht="15" customHeight="1">
      <c r="B6" s="207" t="s">
        <v>4</v>
      </c>
      <c r="C6" s="220" t="s">
        <v>5</v>
      </c>
      <c r="D6" s="221"/>
      <c r="E6" s="14">
        <f>SUM(H6:AL6)+'0601(予定)'!E6</f>
        <v>5720</v>
      </c>
      <c r="F6" s="39" t="s">
        <v>6</v>
      </c>
      <c r="G6" s="15" t="s">
        <v>7</v>
      </c>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
        <f>SUM(H6:AL6)</f>
        <v>0</v>
      </c>
    </row>
    <row r="7" spans="2:39" s="1" customFormat="1" ht="15" customHeight="1">
      <c r="B7" s="208"/>
      <c r="C7" s="205" t="s">
        <v>29</v>
      </c>
      <c r="D7" s="206"/>
      <c r="E7" s="39">
        <f>SUM(H7:AL7)+'0601(予定)'!E7</f>
        <v>5705</v>
      </c>
      <c r="F7" s="39" t="s">
        <v>6</v>
      </c>
      <c r="G7" s="15" t="s">
        <v>7</v>
      </c>
      <c r="H7" s="18">
        <f>SUM(H11*$F$11,H12*$F$12,H13*$F$13)</f>
        <v>0</v>
      </c>
      <c r="I7" s="18">
        <f>SUM(I11*$F$11,I12*$F$12,I13*$F$13)</f>
        <v>0</v>
      </c>
      <c r="J7" s="18">
        <f>SUM(J11*$F$11,J12*$F$12,J13*$F$13)</f>
        <v>70</v>
      </c>
      <c r="K7" s="18">
        <f t="shared" ref="K7:AL7" si="2">SUM(K11*$F$11,K12*$F$12,K13*$F$13)</f>
        <v>60</v>
      </c>
      <c r="L7" s="18">
        <f t="shared" si="2"/>
        <v>60</v>
      </c>
      <c r="M7" s="18">
        <f t="shared" si="2"/>
        <v>60</v>
      </c>
      <c r="N7" s="18">
        <f t="shared" si="2"/>
        <v>70</v>
      </c>
      <c r="O7" s="18">
        <f t="shared" si="2"/>
        <v>0</v>
      </c>
      <c r="P7" s="18">
        <f t="shared" si="2"/>
        <v>0</v>
      </c>
      <c r="Q7" s="18">
        <f t="shared" si="2"/>
        <v>60</v>
      </c>
      <c r="R7" s="18">
        <f t="shared" si="2"/>
        <v>0</v>
      </c>
      <c r="S7" s="18">
        <f t="shared" ref="S7:AJ7" si="3">SUM(S11*$F$11,S12*$F$12,S13*$F$13)</f>
        <v>60</v>
      </c>
      <c r="T7" s="18">
        <f t="shared" si="3"/>
        <v>60</v>
      </c>
      <c r="U7" s="18">
        <f t="shared" si="3"/>
        <v>70</v>
      </c>
      <c r="V7" s="18">
        <f t="shared" si="3"/>
        <v>0</v>
      </c>
      <c r="W7" s="18">
        <f t="shared" si="3"/>
        <v>0</v>
      </c>
      <c r="X7" s="18">
        <f t="shared" si="3"/>
        <v>60</v>
      </c>
      <c r="Y7" s="18">
        <f t="shared" si="3"/>
        <v>60</v>
      </c>
      <c r="Z7" s="18">
        <f t="shared" si="3"/>
        <v>60</v>
      </c>
      <c r="AA7" s="18">
        <f t="shared" si="3"/>
        <v>60</v>
      </c>
      <c r="AB7" s="18">
        <f t="shared" si="3"/>
        <v>70</v>
      </c>
      <c r="AC7" s="18">
        <f t="shared" si="3"/>
        <v>0</v>
      </c>
      <c r="AD7" s="18">
        <f t="shared" si="3"/>
        <v>0</v>
      </c>
      <c r="AE7" s="18">
        <f t="shared" si="3"/>
        <v>60</v>
      </c>
      <c r="AF7" s="18">
        <f t="shared" si="3"/>
        <v>60</v>
      </c>
      <c r="AG7" s="18">
        <f t="shared" si="3"/>
        <v>60</v>
      </c>
      <c r="AH7" s="18">
        <f t="shared" si="3"/>
        <v>60</v>
      </c>
      <c r="AI7" s="18">
        <f t="shared" si="3"/>
        <v>70</v>
      </c>
      <c r="AJ7" s="18">
        <f t="shared" si="3"/>
        <v>0</v>
      </c>
      <c r="AK7" s="18">
        <f t="shared" si="2"/>
        <v>0</v>
      </c>
      <c r="AL7" s="18">
        <f t="shared" si="2"/>
        <v>0</v>
      </c>
      <c r="AM7" s="1" t="s">
        <v>3</v>
      </c>
    </row>
    <row r="8" spans="2:39" s="1" customFormat="1" ht="15" customHeight="1">
      <c r="B8" s="208"/>
      <c r="C8" s="205" t="s">
        <v>30</v>
      </c>
      <c r="D8" s="206"/>
      <c r="E8" s="39">
        <f>SUM(H8:AL8)+'0701'!E9</f>
        <v>6983</v>
      </c>
      <c r="F8" s="39" t="s">
        <v>6</v>
      </c>
      <c r="G8" s="15" t="s">
        <v>7</v>
      </c>
      <c r="H8" s="18">
        <f>SUM(H14*$F$14,H15*$F$15,H16*$F$16,H17*$F$17)</f>
        <v>0</v>
      </c>
      <c r="I8" s="18">
        <f>SUM(I14*$F$14,I15*$F$15,I16*$F$16,I17*$F$17)</f>
        <v>0</v>
      </c>
      <c r="J8" s="18">
        <f>SUM(J14*$F$14,J15*$F$15,J16*$F$16,J17*$F$17)</f>
        <v>70</v>
      </c>
      <c r="K8" s="18">
        <f t="shared" ref="K8:AL8" si="4">SUM(K14*$F$14,K15*$F$15,K16*$F$16,K17*$F$17)</f>
        <v>70</v>
      </c>
      <c r="L8" s="18">
        <f t="shared" si="4"/>
        <v>80</v>
      </c>
      <c r="M8" s="18">
        <f t="shared" si="4"/>
        <v>70</v>
      </c>
      <c r="N8" s="18">
        <f t="shared" si="4"/>
        <v>72</v>
      </c>
      <c r="O8" s="18">
        <f t="shared" si="4"/>
        <v>0</v>
      </c>
      <c r="P8" s="18">
        <f t="shared" si="4"/>
        <v>0</v>
      </c>
      <c r="Q8" s="18">
        <f t="shared" si="4"/>
        <v>80</v>
      </c>
      <c r="R8" s="18">
        <f t="shared" si="4"/>
        <v>0</v>
      </c>
      <c r="S8" s="18">
        <f t="shared" si="4"/>
        <v>80</v>
      </c>
      <c r="T8" s="18">
        <f>SUM(T14*$F$14,T15*$F$15,T16*$F$16,T17*$F$17)</f>
        <v>70</v>
      </c>
      <c r="U8" s="18">
        <f>SUM(U14*$F$14,U15*$F$15,U16*$F$16,U17*$F$17)</f>
        <v>72</v>
      </c>
      <c r="V8" s="18">
        <f>SUM(V14*$F$14,V15*$F$15,V16*$F$16,V17*$F$17)</f>
        <v>0</v>
      </c>
      <c r="W8" s="18">
        <f>SUM(W14*$F$14,W15*$F$15,W16*$F$16,W17*$F$17)</f>
        <v>0</v>
      </c>
      <c r="X8" s="18">
        <f>SUM(X14*$F$14,X15*$F$15,X16*$F$16,X17*$F$17)</f>
        <v>80</v>
      </c>
      <c r="Y8" s="18">
        <f t="shared" si="4"/>
        <v>70</v>
      </c>
      <c r="Z8" s="18">
        <f t="shared" si="4"/>
        <v>70</v>
      </c>
      <c r="AA8" s="18">
        <f>SUM(AA14*$F$14,AA15*$F$15,AA16*$F$16,AA17*$F$17)</f>
        <v>72</v>
      </c>
      <c r="AB8" s="18">
        <f>SUM(AB14*$F$14,AB15*$F$15,AB16*$F$16,AB17*$F$17)</f>
        <v>70</v>
      </c>
      <c r="AC8" s="18">
        <f>SUM(AC14*$F$14,AC15*$F$15,AC16*$F$16,AC17*$F$17)</f>
        <v>0</v>
      </c>
      <c r="AD8" s="18">
        <f>SUM(AD14*$F$14,AD15*$F$15,AD16*$F$16,AD17*$F$17)</f>
        <v>0</v>
      </c>
      <c r="AE8" s="18">
        <f>SUM(AE14*$F$14,AE15*$F$15,AE16*$F$16,AE17*$F$17)</f>
        <v>80</v>
      </c>
      <c r="AF8" s="18">
        <f t="shared" si="4"/>
        <v>70</v>
      </c>
      <c r="AG8" s="18">
        <f t="shared" si="4"/>
        <v>72</v>
      </c>
      <c r="AH8" s="18">
        <f t="shared" si="4"/>
        <v>70</v>
      </c>
      <c r="AI8" s="18">
        <f t="shared" si="4"/>
        <v>70</v>
      </c>
      <c r="AJ8" s="18">
        <f t="shared" si="4"/>
        <v>0</v>
      </c>
      <c r="AK8" s="18">
        <f t="shared" si="4"/>
        <v>0</v>
      </c>
      <c r="AL8" s="18">
        <f t="shared" si="4"/>
        <v>0</v>
      </c>
      <c r="AM8" s="1" t="s">
        <v>3</v>
      </c>
    </row>
    <row r="9" spans="2:39" s="1" customFormat="1" ht="13.5">
      <c r="B9" s="208"/>
      <c r="C9" s="205" t="s">
        <v>14</v>
      </c>
      <c r="D9" s="206"/>
      <c r="E9" s="39">
        <f>E6-E7</f>
        <v>15</v>
      </c>
      <c r="F9" s="39" t="s">
        <v>6</v>
      </c>
      <c r="G9" s="15" t="s">
        <v>7</v>
      </c>
      <c r="H9" s="18">
        <f>'0701'!AK11+H6-H7</f>
        <v>125</v>
      </c>
      <c r="I9" s="18">
        <f>H9+I6-I7</f>
        <v>125</v>
      </c>
      <c r="J9" s="18">
        <f t="shared" ref="J9:AL9" si="5">I9+J6-J7</f>
        <v>55</v>
      </c>
      <c r="K9" s="79">
        <f t="shared" si="5"/>
        <v>-5</v>
      </c>
      <c r="L9" s="18">
        <f t="shared" si="5"/>
        <v>-65</v>
      </c>
      <c r="M9" s="18">
        <f t="shared" si="5"/>
        <v>-125</v>
      </c>
      <c r="N9" s="18">
        <f t="shared" si="5"/>
        <v>-195</v>
      </c>
      <c r="O9" s="18">
        <f t="shared" si="5"/>
        <v>-195</v>
      </c>
      <c r="P9" s="18">
        <f t="shared" si="5"/>
        <v>-195</v>
      </c>
      <c r="Q9" s="18">
        <f t="shared" si="5"/>
        <v>-255</v>
      </c>
      <c r="R9" s="18">
        <f t="shared" si="5"/>
        <v>-255</v>
      </c>
      <c r="S9" s="18">
        <f t="shared" si="5"/>
        <v>-315</v>
      </c>
      <c r="T9" s="18">
        <f t="shared" si="5"/>
        <v>-375</v>
      </c>
      <c r="U9" s="18">
        <f t="shared" si="5"/>
        <v>-445</v>
      </c>
      <c r="V9" s="18">
        <f t="shared" si="5"/>
        <v>-445</v>
      </c>
      <c r="W9" s="18">
        <f t="shared" si="5"/>
        <v>-445</v>
      </c>
      <c r="X9" s="18">
        <f t="shared" si="5"/>
        <v>-505</v>
      </c>
      <c r="Y9" s="18">
        <f t="shared" si="5"/>
        <v>-565</v>
      </c>
      <c r="Z9" s="18">
        <f t="shared" si="5"/>
        <v>-625</v>
      </c>
      <c r="AA9" s="18">
        <f t="shared" si="5"/>
        <v>-685</v>
      </c>
      <c r="AB9" s="18">
        <f t="shared" si="5"/>
        <v>-755</v>
      </c>
      <c r="AC9" s="18">
        <f t="shared" si="5"/>
        <v>-755</v>
      </c>
      <c r="AD9" s="18">
        <f t="shared" si="5"/>
        <v>-755</v>
      </c>
      <c r="AE9" s="18">
        <f t="shared" si="5"/>
        <v>-815</v>
      </c>
      <c r="AF9" s="18">
        <f t="shared" si="5"/>
        <v>-875</v>
      </c>
      <c r="AG9" s="18">
        <f t="shared" si="5"/>
        <v>-935</v>
      </c>
      <c r="AH9" s="18">
        <f t="shared" si="5"/>
        <v>-995</v>
      </c>
      <c r="AI9" s="18">
        <f t="shared" si="5"/>
        <v>-1065</v>
      </c>
      <c r="AJ9" s="18">
        <f t="shared" si="5"/>
        <v>-1065</v>
      </c>
      <c r="AK9" s="18">
        <f t="shared" si="5"/>
        <v>-1065</v>
      </c>
      <c r="AL9" s="18">
        <f t="shared" si="5"/>
        <v>-1065</v>
      </c>
      <c r="AM9" s="1" t="s">
        <v>3</v>
      </c>
    </row>
    <row r="10" spans="2:39" s="1" customFormat="1" ht="14" thickBot="1">
      <c r="B10" s="208"/>
      <c r="C10" s="205" t="s">
        <v>15</v>
      </c>
      <c r="D10" s="206"/>
      <c r="E10" s="19">
        <f>E6-E8</f>
        <v>-1263</v>
      </c>
      <c r="F10" s="19" t="s">
        <v>6</v>
      </c>
      <c r="G10" s="15" t="s">
        <v>7</v>
      </c>
      <c r="H10" s="59">
        <f>'0701'!AK12+H6-H8</f>
        <v>125</v>
      </c>
      <c r="I10" s="20">
        <f>H10+I6-I8</f>
        <v>125</v>
      </c>
      <c r="J10" s="20">
        <f t="shared" ref="J10:AL10" si="6">I10+J6-J8</f>
        <v>55</v>
      </c>
      <c r="K10" s="80">
        <f t="shared" si="6"/>
        <v>-15</v>
      </c>
      <c r="L10" s="20">
        <f t="shared" si="6"/>
        <v>-95</v>
      </c>
      <c r="M10" s="20">
        <f t="shared" si="6"/>
        <v>-165</v>
      </c>
      <c r="N10" s="20">
        <f t="shared" si="6"/>
        <v>-237</v>
      </c>
      <c r="O10" s="20">
        <f t="shared" si="6"/>
        <v>-237</v>
      </c>
      <c r="P10" s="20">
        <f t="shared" si="6"/>
        <v>-237</v>
      </c>
      <c r="Q10" s="20">
        <f t="shared" si="6"/>
        <v>-317</v>
      </c>
      <c r="R10" s="20">
        <f t="shared" si="6"/>
        <v>-317</v>
      </c>
      <c r="S10" s="20">
        <f t="shared" si="6"/>
        <v>-397</v>
      </c>
      <c r="T10" s="20">
        <f t="shared" si="6"/>
        <v>-467</v>
      </c>
      <c r="U10" s="20">
        <f t="shared" si="6"/>
        <v>-539</v>
      </c>
      <c r="V10" s="20">
        <f t="shared" si="6"/>
        <v>-539</v>
      </c>
      <c r="W10" s="20">
        <f t="shared" si="6"/>
        <v>-539</v>
      </c>
      <c r="X10" s="20">
        <f t="shared" si="6"/>
        <v>-619</v>
      </c>
      <c r="Y10" s="20">
        <f t="shared" si="6"/>
        <v>-689</v>
      </c>
      <c r="Z10" s="20">
        <f t="shared" si="6"/>
        <v>-759</v>
      </c>
      <c r="AA10" s="20">
        <f t="shared" si="6"/>
        <v>-831</v>
      </c>
      <c r="AB10" s="20">
        <f t="shared" si="6"/>
        <v>-901</v>
      </c>
      <c r="AC10" s="20">
        <f t="shared" si="6"/>
        <v>-901</v>
      </c>
      <c r="AD10" s="20">
        <f t="shared" si="6"/>
        <v>-901</v>
      </c>
      <c r="AE10" s="20">
        <f t="shared" si="6"/>
        <v>-981</v>
      </c>
      <c r="AF10" s="20">
        <f t="shared" si="6"/>
        <v>-1051</v>
      </c>
      <c r="AG10" s="20">
        <f t="shared" si="6"/>
        <v>-1123</v>
      </c>
      <c r="AH10" s="20">
        <f t="shared" si="6"/>
        <v>-1193</v>
      </c>
      <c r="AI10" s="20">
        <f t="shared" si="6"/>
        <v>-1263</v>
      </c>
      <c r="AJ10" s="20">
        <f t="shared" si="6"/>
        <v>-1263</v>
      </c>
      <c r="AK10" s="20">
        <f t="shared" si="6"/>
        <v>-1263</v>
      </c>
      <c r="AL10" s="20">
        <f t="shared" si="6"/>
        <v>-1263</v>
      </c>
      <c r="AM10" s="1" t="s">
        <v>3</v>
      </c>
    </row>
    <row r="11" spans="2:39" s="1" customFormat="1" ht="13.5">
      <c r="B11" s="208"/>
      <c r="C11" s="210" t="s">
        <v>16</v>
      </c>
      <c r="D11" s="28" t="s">
        <v>17</v>
      </c>
      <c r="E11" s="33">
        <f>SUM(H11:AL11)*F11</f>
        <v>240</v>
      </c>
      <c r="F11" s="40">
        <v>20</v>
      </c>
      <c r="G11" s="16" t="s">
        <v>18</v>
      </c>
      <c r="H11" s="21"/>
      <c r="I11" s="21"/>
      <c r="J11" s="21">
        <v>1</v>
      </c>
      <c r="K11" s="21">
        <v>0.5</v>
      </c>
      <c r="L11" s="21">
        <v>0.5</v>
      </c>
      <c r="M11" s="21">
        <v>0.5</v>
      </c>
      <c r="N11" s="21">
        <v>1</v>
      </c>
      <c r="O11" s="21"/>
      <c r="P11" s="21"/>
      <c r="Q11" s="21">
        <v>0.5</v>
      </c>
      <c r="R11" s="21"/>
      <c r="S11" s="21">
        <v>0.5</v>
      </c>
      <c r="T11" s="21">
        <v>0.5</v>
      </c>
      <c r="U11" s="21">
        <v>1</v>
      </c>
      <c r="V11" s="21"/>
      <c r="W11" s="21"/>
      <c r="X11" s="21">
        <v>0.5</v>
      </c>
      <c r="Y11" s="21">
        <v>0.5</v>
      </c>
      <c r="Z11" s="21">
        <v>0.5</v>
      </c>
      <c r="AA11" s="21">
        <v>0.5</v>
      </c>
      <c r="AB11" s="21">
        <v>1</v>
      </c>
      <c r="AC11" s="21"/>
      <c r="AD11" s="21"/>
      <c r="AE11" s="21">
        <v>0.5</v>
      </c>
      <c r="AF11" s="21">
        <v>0.5</v>
      </c>
      <c r="AG11" s="21">
        <v>0.5</v>
      </c>
      <c r="AH11" s="21">
        <v>0.5</v>
      </c>
      <c r="AI11" s="21">
        <v>1</v>
      </c>
      <c r="AJ11" s="21"/>
      <c r="AK11" s="21"/>
      <c r="AL11" s="23"/>
      <c r="AM11" s="1" t="s">
        <v>3</v>
      </c>
    </row>
    <row r="12" spans="2:39" s="1" customFormat="1" ht="13.5">
      <c r="B12" s="208"/>
      <c r="C12" s="211"/>
      <c r="D12" s="29" t="s">
        <v>19</v>
      </c>
      <c r="E12" s="34">
        <f t="shared" ref="E12:E17" si="7">SUM(H12:AL12)*F12</f>
        <v>380</v>
      </c>
      <c r="F12" s="39">
        <v>20</v>
      </c>
      <c r="G12" s="15" t="s">
        <v>18</v>
      </c>
      <c r="H12" s="18"/>
      <c r="I12" s="18"/>
      <c r="J12" s="18">
        <v>1</v>
      </c>
      <c r="K12" s="18">
        <v>1</v>
      </c>
      <c r="L12" s="18">
        <v>1</v>
      </c>
      <c r="M12" s="18">
        <v>1</v>
      </c>
      <c r="N12" s="18">
        <v>1</v>
      </c>
      <c r="O12" s="18"/>
      <c r="P12" s="18"/>
      <c r="Q12" s="18">
        <v>1</v>
      </c>
      <c r="R12" s="18"/>
      <c r="S12" s="18">
        <v>1</v>
      </c>
      <c r="T12" s="18">
        <v>1</v>
      </c>
      <c r="U12" s="18">
        <v>1</v>
      </c>
      <c r="V12" s="18"/>
      <c r="W12" s="18"/>
      <c r="X12" s="18">
        <v>1</v>
      </c>
      <c r="Y12" s="18">
        <v>1</v>
      </c>
      <c r="Z12" s="18">
        <v>1</v>
      </c>
      <c r="AA12" s="18">
        <v>1</v>
      </c>
      <c r="AB12" s="18">
        <v>1</v>
      </c>
      <c r="AC12" s="18"/>
      <c r="AD12" s="18"/>
      <c r="AE12" s="18">
        <v>1</v>
      </c>
      <c r="AF12" s="18">
        <v>1</v>
      </c>
      <c r="AG12" s="18">
        <v>1</v>
      </c>
      <c r="AH12" s="18">
        <v>1</v>
      </c>
      <c r="AI12" s="18">
        <v>1</v>
      </c>
      <c r="AJ12" s="18"/>
      <c r="AK12" s="18"/>
      <c r="AL12" s="24"/>
      <c r="AM12" s="1" t="s">
        <v>3</v>
      </c>
    </row>
    <row r="13" spans="2:39" s="1" customFormat="1" ht="14" thickBot="1">
      <c r="B13" s="208"/>
      <c r="C13" s="211"/>
      <c r="D13" s="29" t="s">
        <v>57</v>
      </c>
      <c r="E13" s="35">
        <f t="shared" si="7"/>
        <v>570</v>
      </c>
      <c r="F13" s="41">
        <v>30</v>
      </c>
      <c r="G13" s="17" t="s">
        <v>18</v>
      </c>
      <c r="H13" s="25"/>
      <c r="I13" s="25"/>
      <c r="J13" s="18">
        <v>1</v>
      </c>
      <c r="K13" s="18">
        <v>1</v>
      </c>
      <c r="L13" s="18">
        <v>1</v>
      </c>
      <c r="M13" s="18">
        <v>1</v>
      </c>
      <c r="N13" s="18">
        <v>1</v>
      </c>
      <c r="O13" s="18"/>
      <c r="P13" s="18"/>
      <c r="Q13" s="18">
        <v>1</v>
      </c>
      <c r="R13" s="18"/>
      <c r="S13" s="18">
        <v>1</v>
      </c>
      <c r="T13" s="18">
        <v>1</v>
      </c>
      <c r="U13" s="18">
        <v>1</v>
      </c>
      <c r="V13" s="18"/>
      <c r="W13" s="18"/>
      <c r="X13" s="18">
        <v>1</v>
      </c>
      <c r="Y13" s="18">
        <v>1</v>
      </c>
      <c r="Z13" s="18">
        <v>1</v>
      </c>
      <c r="AA13" s="18">
        <v>1</v>
      </c>
      <c r="AB13" s="18">
        <v>1</v>
      </c>
      <c r="AC13" s="18"/>
      <c r="AD13" s="18"/>
      <c r="AE13" s="18">
        <v>1</v>
      </c>
      <c r="AF13" s="18">
        <v>1</v>
      </c>
      <c r="AG13" s="18">
        <v>1</v>
      </c>
      <c r="AH13" s="18">
        <v>1</v>
      </c>
      <c r="AI13" s="18">
        <v>1</v>
      </c>
      <c r="AJ13" s="18"/>
      <c r="AK13" s="18"/>
      <c r="AL13" s="27"/>
      <c r="AM13" s="1" t="s">
        <v>3</v>
      </c>
    </row>
    <row r="14" spans="2:39" s="1" customFormat="1" ht="13.5">
      <c r="B14" s="208"/>
      <c r="C14" s="210" t="s">
        <v>25</v>
      </c>
      <c r="D14" s="30" t="s">
        <v>26</v>
      </c>
      <c r="E14" s="36">
        <f t="shared" si="7"/>
        <v>570</v>
      </c>
      <c r="F14" s="40">
        <v>30</v>
      </c>
      <c r="G14" s="16" t="s">
        <v>18</v>
      </c>
      <c r="H14" s="21"/>
      <c r="I14" s="21"/>
      <c r="J14" s="21">
        <v>1</v>
      </c>
      <c r="K14" s="21">
        <v>1</v>
      </c>
      <c r="L14" s="21">
        <v>1</v>
      </c>
      <c r="M14" s="21">
        <v>1</v>
      </c>
      <c r="N14" s="21">
        <v>1</v>
      </c>
      <c r="O14" s="21"/>
      <c r="P14" s="21"/>
      <c r="Q14" s="21">
        <v>1</v>
      </c>
      <c r="R14" s="21"/>
      <c r="S14" s="21">
        <v>1</v>
      </c>
      <c r="T14" s="21">
        <v>1</v>
      </c>
      <c r="U14" s="21">
        <v>1</v>
      </c>
      <c r="V14" s="21"/>
      <c r="W14" s="21"/>
      <c r="X14" s="21">
        <v>1</v>
      </c>
      <c r="Y14" s="21">
        <v>1</v>
      </c>
      <c r="Z14" s="21">
        <v>1</v>
      </c>
      <c r="AA14" s="21">
        <v>1</v>
      </c>
      <c r="AB14" s="21">
        <v>1</v>
      </c>
      <c r="AC14" s="21"/>
      <c r="AD14" s="21"/>
      <c r="AE14" s="21">
        <v>1</v>
      </c>
      <c r="AF14" s="21">
        <v>1</v>
      </c>
      <c r="AG14" s="21">
        <v>1</v>
      </c>
      <c r="AH14" s="21">
        <v>1</v>
      </c>
      <c r="AI14" s="21">
        <v>1</v>
      </c>
      <c r="AJ14" s="21"/>
      <c r="AK14" s="21"/>
      <c r="AL14" s="23"/>
      <c r="AM14" s="1" t="s">
        <v>3</v>
      </c>
    </row>
    <row r="15" spans="2:39" s="1" customFormat="1" ht="13.5">
      <c r="B15" s="208"/>
      <c r="C15" s="211"/>
      <c r="D15" s="31" t="s">
        <v>27</v>
      </c>
      <c r="E15" s="37">
        <f t="shared" si="7"/>
        <v>728</v>
      </c>
      <c r="F15" s="39">
        <v>40</v>
      </c>
      <c r="G15" s="15" t="s">
        <v>18</v>
      </c>
      <c r="H15" s="18"/>
      <c r="I15" s="18"/>
      <c r="J15" s="18">
        <v>1</v>
      </c>
      <c r="K15" s="18">
        <v>1</v>
      </c>
      <c r="L15" s="18">
        <v>1</v>
      </c>
      <c r="M15" s="18">
        <v>1</v>
      </c>
      <c r="N15" s="18">
        <v>0.8</v>
      </c>
      <c r="O15" s="18"/>
      <c r="P15" s="18"/>
      <c r="Q15" s="18">
        <v>1</v>
      </c>
      <c r="R15" s="18"/>
      <c r="S15" s="18">
        <v>1</v>
      </c>
      <c r="T15" s="18">
        <v>1</v>
      </c>
      <c r="U15" s="18">
        <v>0.8</v>
      </c>
      <c r="V15" s="18"/>
      <c r="W15" s="18"/>
      <c r="X15" s="18">
        <v>1</v>
      </c>
      <c r="Y15" s="18">
        <v>1</v>
      </c>
      <c r="Z15" s="18">
        <v>1</v>
      </c>
      <c r="AA15" s="18">
        <v>0.8</v>
      </c>
      <c r="AB15" s="18">
        <v>1</v>
      </c>
      <c r="AC15" s="18"/>
      <c r="AD15" s="18"/>
      <c r="AE15" s="18">
        <v>1</v>
      </c>
      <c r="AF15" s="18">
        <v>1</v>
      </c>
      <c r="AG15" s="18">
        <v>0.8</v>
      </c>
      <c r="AH15" s="18">
        <v>1</v>
      </c>
      <c r="AI15" s="18">
        <v>1</v>
      </c>
      <c r="AJ15" s="18"/>
      <c r="AK15" s="18"/>
      <c r="AL15" s="24"/>
      <c r="AM15" s="1" t="s">
        <v>3</v>
      </c>
    </row>
    <row r="16" spans="2:39" s="1" customFormat="1" ht="13.5">
      <c r="B16" s="208"/>
      <c r="C16" s="211"/>
      <c r="D16" s="31" t="s">
        <v>19</v>
      </c>
      <c r="E16" s="37">
        <f t="shared" si="7"/>
        <v>0</v>
      </c>
      <c r="F16" s="39">
        <v>20</v>
      </c>
      <c r="G16" s="15" t="s">
        <v>18</v>
      </c>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 t="s">
        <v>3</v>
      </c>
    </row>
    <row r="17" spans="2:39" s="1" customFormat="1" ht="14" thickBot="1">
      <c r="B17" s="209"/>
      <c r="C17" s="212"/>
      <c r="D17" s="32" t="s">
        <v>17</v>
      </c>
      <c r="E17" s="38">
        <f t="shared" si="7"/>
        <v>90</v>
      </c>
      <c r="F17" s="41">
        <v>20</v>
      </c>
      <c r="G17" s="17" t="s">
        <v>18</v>
      </c>
      <c r="H17" s="25"/>
      <c r="I17" s="25"/>
      <c r="J17" s="25">
        <v>0</v>
      </c>
      <c r="K17" s="25">
        <v>0</v>
      </c>
      <c r="L17" s="25">
        <v>0.5</v>
      </c>
      <c r="M17" s="25">
        <v>0</v>
      </c>
      <c r="N17" s="25">
        <v>0.5</v>
      </c>
      <c r="O17" s="25"/>
      <c r="P17" s="25"/>
      <c r="Q17" s="25">
        <v>0.5</v>
      </c>
      <c r="R17" s="25"/>
      <c r="S17" s="25">
        <v>0.5</v>
      </c>
      <c r="T17" s="25">
        <v>0</v>
      </c>
      <c r="U17" s="25">
        <v>0.5</v>
      </c>
      <c r="V17" s="25"/>
      <c r="W17" s="25"/>
      <c r="X17" s="25">
        <v>0.5</v>
      </c>
      <c r="Y17" s="25">
        <v>0</v>
      </c>
      <c r="Z17" s="25">
        <v>0</v>
      </c>
      <c r="AA17" s="25">
        <v>0.5</v>
      </c>
      <c r="AB17" s="25">
        <v>0</v>
      </c>
      <c r="AC17" s="25"/>
      <c r="AD17" s="25"/>
      <c r="AE17" s="25">
        <v>0.5</v>
      </c>
      <c r="AF17" s="25">
        <v>0</v>
      </c>
      <c r="AG17" s="25">
        <v>0.5</v>
      </c>
      <c r="AH17" s="25">
        <v>0</v>
      </c>
      <c r="AI17" s="25">
        <v>0</v>
      </c>
      <c r="AJ17" s="25"/>
      <c r="AK17" s="25"/>
      <c r="AL17" s="27"/>
      <c r="AM17" s="1" t="s">
        <v>3</v>
      </c>
    </row>
    <row r="18" spans="2:39" s="1" customFormat="1" ht="15" customHeight="1" outlineLevel="1">
      <c r="B18" s="226" t="s">
        <v>28</v>
      </c>
      <c r="C18" s="220" t="s">
        <v>5</v>
      </c>
      <c r="D18" s="221"/>
      <c r="E18" s="14">
        <f>SUM(H18:AL18)+'0601(予定)'!E20</f>
        <v>2096</v>
      </c>
      <c r="F18" s="39" t="s">
        <v>6</v>
      </c>
      <c r="G18" s="15" t="s">
        <v>7</v>
      </c>
      <c r="H18" s="18">
        <v>19</v>
      </c>
      <c r="I18" s="18">
        <v>11</v>
      </c>
      <c r="J18" s="18">
        <v>14</v>
      </c>
      <c r="K18" s="18"/>
      <c r="L18" s="18"/>
      <c r="M18" s="18">
        <v>10</v>
      </c>
      <c r="N18" s="18">
        <v>8</v>
      </c>
      <c r="O18" s="18">
        <v>11</v>
      </c>
      <c r="P18" s="18">
        <v>15</v>
      </c>
      <c r="Q18" s="18">
        <v>8</v>
      </c>
      <c r="R18" s="18"/>
      <c r="S18" s="18"/>
      <c r="T18" s="18">
        <v>28</v>
      </c>
      <c r="U18" s="18">
        <v>12</v>
      </c>
      <c r="V18" s="18">
        <v>15</v>
      </c>
      <c r="W18" s="18">
        <v>47</v>
      </c>
      <c r="X18" s="18">
        <v>13</v>
      </c>
      <c r="Y18" s="18"/>
      <c r="Z18" s="18"/>
      <c r="AA18" s="18"/>
      <c r="AB18" s="18">
        <v>11</v>
      </c>
      <c r="AC18" s="18">
        <v>0</v>
      </c>
      <c r="AD18" s="18">
        <v>14</v>
      </c>
      <c r="AE18" s="18">
        <v>10</v>
      </c>
      <c r="AF18" s="18"/>
      <c r="AG18" s="18"/>
      <c r="AH18" s="18">
        <v>16</v>
      </c>
      <c r="AI18" s="18">
        <v>4</v>
      </c>
      <c r="AJ18" s="18">
        <v>25</v>
      </c>
      <c r="AK18" s="18">
        <v>26</v>
      </c>
      <c r="AL18" s="18">
        <v>15</v>
      </c>
      <c r="AM18" s="1" t="s">
        <v>3</v>
      </c>
    </row>
    <row r="19" spans="2:39" s="1" customFormat="1" ht="15" customHeight="1" outlineLevel="1">
      <c r="B19" s="208"/>
      <c r="C19" s="205" t="s">
        <v>29</v>
      </c>
      <c r="D19" s="206"/>
      <c r="E19" s="39">
        <f>SUM(H19:AL19)+'0701'!E21</f>
        <v>1586.5</v>
      </c>
      <c r="F19" s="39" t="s">
        <v>6</v>
      </c>
      <c r="G19" s="15" t="s">
        <v>7</v>
      </c>
      <c r="H19" s="18">
        <f>SUM(H23*$F$23,H24*$F$24,H25*$F$25)</f>
        <v>0</v>
      </c>
      <c r="I19" s="18">
        <f t="shared" ref="I19:AL19" si="8">SUM(I23*$F$23,I24*$F$24,I25*$F$25)</f>
        <v>0</v>
      </c>
      <c r="J19" s="18">
        <f t="shared" si="8"/>
        <v>7.5</v>
      </c>
      <c r="K19" s="18">
        <f t="shared" si="8"/>
        <v>7.5</v>
      </c>
      <c r="L19" s="18">
        <f t="shared" si="8"/>
        <v>7.5</v>
      </c>
      <c r="M19" s="18">
        <f t="shared" si="8"/>
        <v>7.5</v>
      </c>
      <c r="N19" s="18">
        <f t="shared" si="8"/>
        <v>7.5</v>
      </c>
      <c r="O19" s="18">
        <f t="shared" si="8"/>
        <v>0</v>
      </c>
      <c r="P19" s="18">
        <f t="shared" si="8"/>
        <v>0</v>
      </c>
      <c r="Q19" s="18">
        <f t="shared" si="8"/>
        <v>7.5</v>
      </c>
      <c r="R19" s="18">
        <f t="shared" si="8"/>
        <v>0</v>
      </c>
      <c r="S19" s="18">
        <f t="shared" si="8"/>
        <v>7.5</v>
      </c>
      <c r="T19" s="18">
        <f t="shared" si="8"/>
        <v>7.5</v>
      </c>
      <c r="U19" s="18">
        <f t="shared" si="8"/>
        <v>15</v>
      </c>
      <c r="V19" s="18">
        <f t="shared" si="8"/>
        <v>0</v>
      </c>
      <c r="W19" s="18">
        <f t="shared" si="8"/>
        <v>0</v>
      </c>
      <c r="X19" s="18">
        <f t="shared" si="8"/>
        <v>15</v>
      </c>
      <c r="Y19" s="18">
        <f t="shared" si="8"/>
        <v>7.5</v>
      </c>
      <c r="Z19" s="18">
        <f t="shared" si="8"/>
        <v>7.5</v>
      </c>
      <c r="AA19" s="18">
        <f t="shared" si="8"/>
        <v>7.5</v>
      </c>
      <c r="AB19" s="18">
        <f t="shared" si="8"/>
        <v>15</v>
      </c>
      <c r="AC19" s="18">
        <f t="shared" si="8"/>
        <v>0</v>
      </c>
      <c r="AD19" s="18">
        <f t="shared" si="8"/>
        <v>0</v>
      </c>
      <c r="AE19" s="18">
        <f t="shared" si="8"/>
        <v>15</v>
      </c>
      <c r="AF19" s="18">
        <f t="shared" si="8"/>
        <v>7.5</v>
      </c>
      <c r="AG19" s="18">
        <f t="shared" si="8"/>
        <v>7.5</v>
      </c>
      <c r="AH19" s="18">
        <f t="shared" si="8"/>
        <v>7.5</v>
      </c>
      <c r="AI19" s="18">
        <f t="shared" si="8"/>
        <v>15</v>
      </c>
      <c r="AJ19" s="18">
        <f t="shared" si="8"/>
        <v>0</v>
      </c>
      <c r="AK19" s="18">
        <f t="shared" si="8"/>
        <v>0</v>
      </c>
      <c r="AL19" s="18">
        <f t="shared" si="8"/>
        <v>0</v>
      </c>
      <c r="AM19" s="1" t="s">
        <v>3</v>
      </c>
    </row>
    <row r="20" spans="2:39" s="1" customFormat="1" ht="15" customHeight="1" outlineLevel="1">
      <c r="B20" s="208"/>
      <c r="C20" s="205" t="s">
        <v>30</v>
      </c>
      <c r="D20" s="206"/>
      <c r="E20" s="39">
        <f>SUM(H20:AL20)+'0701'!E22</f>
        <v>1615</v>
      </c>
      <c r="F20" s="39" t="s">
        <v>6</v>
      </c>
      <c r="G20" s="15" t="s">
        <v>7</v>
      </c>
      <c r="H20" s="18">
        <f>SUM(H26*$F$26,H27*$F$27,H28*$F$28,H29*$F$29)</f>
        <v>0</v>
      </c>
      <c r="I20" s="18">
        <f>SUM(I26*$F$26,I27*$F$27,I28*$F$28,I29*$F$29)</f>
        <v>0</v>
      </c>
      <c r="J20" s="18">
        <f t="shared" ref="J20:AL20" si="9">SUM(J26*$F$26,J27*$F$27,J28*$F$28,J29*$F$29)</f>
        <v>18</v>
      </c>
      <c r="K20" s="18">
        <f>SUM(K26*$F$26,K27*$F$27,K28*$F$28,K29*$F$29)</f>
        <v>18</v>
      </c>
      <c r="L20" s="18">
        <f>SUM(L26*$F$26,L27*$F$27,L28*$F$28,L29*$F$29)</f>
        <v>18</v>
      </c>
      <c r="M20" s="18">
        <f t="shared" si="9"/>
        <v>18</v>
      </c>
      <c r="N20" s="18">
        <f t="shared" si="9"/>
        <v>18</v>
      </c>
      <c r="O20" s="18">
        <f t="shared" si="9"/>
        <v>0</v>
      </c>
      <c r="P20" s="18">
        <f t="shared" si="9"/>
        <v>0</v>
      </c>
      <c r="Q20" s="18">
        <f t="shared" si="9"/>
        <v>18</v>
      </c>
      <c r="R20" s="18">
        <f t="shared" si="9"/>
        <v>0</v>
      </c>
      <c r="S20" s="18">
        <f t="shared" si="9"/>
        <v>18</v>
      </c>
      <c r="T20" s="18">
        <f t="shared" si="9"/>
        <v>18</v>
      </c>
      <c r="U20" s="18">
        <f t="shared" si="9"/>
        <v>18</v>
      </c>
      <c r="V20" s="18">
        <f t="shared" si="9"/>
        <v>0</v>
      </c>
      <c r="W20" s="18">
        <f t="shared" si="9"/>
        <v>0</v>
      </c>
      <c r="X20" s="18">
        <f t="shared" si="9"/>
        <v>18</v>
      </c>
      <c r="Y20" s="18">
        <f t="shared" si="9"/>
        <v>18</v>
      </c>
      <c r="Z20" s="18">
        <f t="shared" si="9"/>
        <v>18</v>
      </c>
      <c r="AA20" s="18">
        <f t="shared" si="9"/>
        <v>18</v>
      </c>
      <c r="AB20" s="18">
        <f t="shared" si="9"/>
        <v>18</v>
      </c>
      <c r="AC20" s="18">
        <f t="shared" si="9"/>
        <v>0</v>
      </c>
      <c r="AD20" s="18">
        <f t="shared" si="9"/>
        <v>0</v>
      </c>
      <c r="AE20" s="18">
        <f t="shared" si="9"/>
        <v>18</v>
      </c>
      <c r="AF20" s="18">
        <f t="shared" si="9"/>
        <v>18</v>
      </c>
      <c r="AG20" s="18">
        <f t="shared" si="9"/>
        <v>18</v>
      </c>
      <c r="AH20" s="18">
        <f t="shared" si="9"/>
        <v>18</v>
      </c>
      <c r="AI20" s="18">
        <f t="shared" si="9"/>
        <v>18</v>
      </c>
      <c r="AJ20" s="18">
        <f t="shared" si="9"/>
        <v>0</v>
      </c>
      <c r="AK20" s="18">
        <f t="shared" si="9"/>
        <v>0</v>
      </c>
      <c r="AL20" s="18">
        <f t="shared" si="9"/>
        <v>0</v>
      </c>
      <c r="AM20" s="1" t="s">
        <v>3</v>
      </c>
    </row>
    <row r="21" spans="2:39" s="1" customFormat="1" ht="13.5" outlineLevel="1">
      <c r="B21" s="208"/>
      <c r="C21" s="205" t="s">
        <v>14</v>
      </c>
      <c r="D21" s="206"/>
      <c r="E21" s="39">
        <f>E18-E19</f>
        <v>509.5</v>
      </c>
      <c r="F21" s="39" t="s">
        <v>6</v>
      </c>
      <c r="G21" s="15" t="s">
        <v>7</v>
      </c>
      <c r="H21" s="18">
        <f>'0601(予定)'!AK23+H18-H19</f>
        <v>564</v>
      </c>
      <c r="I21" s="18">
        <f>H21+I18-I19</f>
        <v>575</v>
      </c>
      <c r="J21" s="18">
        <f t="shared" ref="J21:AL21" si="10">I21+J18-J19</f>
        <v>581.5</v>
      </c>
      <c r="K21" s="18">
        <f t="shared" si="10"/>
        <v>574</v>
      </c>
      <c r="L21" s="18">
        <f t="shared" si="10"/>
        <v>566.5</v>
      </c>
      <c r="M21" s="18">
        <f t="shared" si="10"/>
        <v>569</v>
      </c>
      <c r="N21" s="18">
        <f t="shared" si="10"/>
        <v>569.5</v>
      </c>
      <c r="O21" s="18">
        <f t="shared" si="10"/>
        <v>580.5</v>
      </c>
      <c r="P21" s="18">
        <f t="shared" si="10"/>
        <v>595.5</v>
      </c>
      <c r="Q21" s="18">
        <f t="shared" si="10"/>
        <v>596</v>
      </c>
      <c r="R21" s="18">
        <f t="shared" si="10"/>
        <v>596</v>
      </c>
      <c r="S21" s="18">
        <f t="shared" si="10"/>
        <v>588.5</v>
      </c>
      <c r="T21" s="18">
        <f t="shared" si="10"/>
        <v>609</v>
      </c>
      <c r="U21" s="18">
        <f t="shared" si="10"/>
        <v>606</v>
      </c>
      <c r="V21" s="18">
        <f t="shared" si="10"/>
        <v>621</v>
      </c>
      <c r="W21" s="18">
        <f t="shared" si="10"/>
        <v>668</v>
      </c>
      <c r="X21" s="18">
        <f t="shared" si="10"/>
        <v>666</v>
      </c>
      <c r="Y21" s="18">
        <f t="shared" si="10"/>
        <v>658.5</v>
      </c>
      <c r="Z21" s="18">
        <f t="shared" si="10"/>
        <v>651</v>
      </c>
      <c r="AA21" s="18">
        <f t="shared" si="10"/>
        <v>643.5</v>
      </c>
      <c r="AB21" s="18">
        <f t="shared" si="10"/>
        <v>639.5</v>
      </c>
      <c r="AC21" s="18">
        <f t="shared" si="10"/>
        <v>639.5</v>
      </c>
      <c r="AD21" s="18">
        <f t="shared" si="10"/>
        <v>653.5</v>
      </c>
      <c r="AE21" s="18">
        <f t="shared" si="10"/>
        <v>648.5</v>
      </c>
      <c r="AF21" s="18">
        <f t="shared" si="10"/>
        <v>641</v>
      </c>
      <c r="AG21" s="18">
        <f t="shared" si="10"/>
        <v>633.5</v>
      </c>
      <c r="AH21" s="18">
        <f t="shared" si="10"/>
        <v>642</v>
      </c>
      <c r="AI21" s="18">
        <f t="shared" si="10"/>
        <v>631</v>
      </c>
      <c r="AJ21" s="18">
        <f t="shared" si="10"/>
        <v>656</v>
      </c>
      <c r="AK21" s="18">
        <f t="shared" si="10"/>
        <v>682</v>
      </c>
      <c r="AL21" s="18">
        <f t="shared" si="10"/>
        <v>697</v>
      </c>
      <c r="AM21" s="1" t="s">
        <v>3</v>
      </c>
    </row>
    <row r="22" spans="2:39" s="1" customFormat="1" ht="14" outlineLevel="1" thickBot="1">
      <c r="B22" s="208"/>
      <c r="C22" s="205" t="s">
        <v>15</v>
      </c>
      <c r="D22" s="206"/>
      <c r="E22" s="19">
        <f>E18-E20</f>
        <v>481</v>
      </c>
      <c r="F22" s="19" t="s">
        <v>6</v>
      </c>
      <c r="G22" s="15" t="s">
        <v>7</v>
      </c>
      <c r="H22" s="20">
        <f>'0601(予定)'!AK24+H18-H20</f>
        <v>888</v>
      </c>
      <c r="I22" s="20">
        <f>H22+I18-I20</f>
        <v>899</v>
      </c>
      <c r="J22" s="20">
        <f t="shared" ref="J22:AL22" si="11">I22+J18-J20</f>
        <v>895</v>
      </c>
      <c r="K22" s="20">
        <f t="shared" si="11"/>
        <v>877</v>
      </c>
      <c r="L22" s="20">
        <f t="shared" si="11"/>
        <v>859</v>
      </c>
      <c r="M22" s="20">
        <f t="shared" si="11"/>
        <v>851</v>
      </c>
      <c r="N22" s="20">
        <f t="shared" si="11"/>
        <v>841</v>
      </c>
      <c r="O22" s="20">
        <f t="shared" si="11"/>
        <v>852</v>
      </c>
      <c r="P22" s="20">
        <f t="shared" si="11"/>
        <v>867</v>
      </c>
      <c r="Q22" s="20">
        <f t="shared" si="11"/>
        <v>857</v>
      </c>
      <c r="R22" s="20">
        <f t="shared" si="11"/>
        <v>857</v>
      </c>
      <c r="S22" s="20">
        <f t="shared" si="11"/>
        <v>839</v>
      </c>
      <c r="T22" s="20">
        <f t="shared" si="11"/>
        <v>849</v>
      </c>
      <c r="U22" s="20">
        <f t="shared" si="11"/>
        <v>843</v>
      </c>
      <c r="V22" s="20">
        <f t="shared" si="11"/>
        <v>858</v>
      </c>
      <c r="W22" s="20">
        <f t="shared" si="11"/>
        <v>905</v>
      </c>
      <c r="X22" s="20">
        <f t="shared" si="11"/>
        <v>900</v>
      </c>
      <c r="Y22" s="20">
        <f t="shared" si="11"/>
        <v>882</v>
      </c>
      <c r="Z22" s="20">
        <f t="shared" si="11"/>
        <v>864</v>
      </c>
      <c r="AA22" s="20">
        <f t="shared" si="11"/>
        <v>846</v>
      </c>
      <c r="AB22" s="20">
        <f t="shared" si="11"/>
        <v>839</v>
      </c>
      <c r="AC22" s="20">
        <f t="shared" si="11"/>
        <v>839</v>
      </c>
      <c r="AD22" s="20">
        <f t="shared" si="11"/>
        <v>853</v>
      </c>
      <c r="AE22" s="20">
        <f t="shared" si="11"/>
        <v>845</v>
      </c>
      <c r="AF22" s="20">
        <f t="shared" si="11"/>
        <v>827</v>
      </c>
      <c r="AG22" s="20">
        <f t="shared" si="11"/>
        <v>809</v>
      </c>
      <c r="AH22" s="20">
        <f t="shared" si="11"/>
        <v>807</v>
      </c>
      <c r="AI22" s="20">
        <f t="shared" si="11"/>
        <v>793</v>
      </c>
      <c r="AJ22" s="20">
        <f t="shared" si="11"/>
        <v>818</v>
      </c>
      <c r="AK22" s="20">
        <f t="shared" si="11"/>
        <v>844</v>
      </c>
      <c r="AL22" s="20">
        <f t="shared" si="11"/>
        <v>859</v>
      </c>
      <c r="AM22" s="1" t="s">
        <v>3</v>
      </c>
    </row>
    <row r="23" spans="2:39" s="1" customFormat="1" ht="13.5" outlineLevel="1">
      <c r="B23" s="208"/>
      <c r="C23" s="210" t="s">
        <v>16</v>
      </c>
      <c r="D23" s="28" t="s">
        <v>53</v>
      </c>
      <c r="E23" s="33">
        <f>SUM(H23:AL23)*F23</f>
        <v>180</v>
      </c>
      <c r="F23" s="40">
        <v>15</v>
      </c>
      <c r="G23" s="16" t="s">
        <v>18</v>
      </c>
      <c r="H23" s="21"/>
      <c r="I23" s="21"/>
      <c r="J23" s="21">
        <v>0.5</v>
      </c>
      <c r="K23" s="21">
        <v>0.5</v>
      </c>
      <c r="L23" s="21">
        <v>0.5</v>
      </c>
      <c r="M23" s="21">
        <v>0.5</v>
      </c>
      <c r="N23" s="21">
        <v>0.5</v>
      </c>
      <c r="O23" s="21"/>
      <c r="P23" s="21"/>
      <c r="Q23" s="21">
        <v>0.5</v>
      </c>
      <c r="R23" s="21"/>
      <c r="S23" s="21">
        <v>0.5</v>
      </c>
      <c r="T23" s="21">
        <v>0.5</v>
      </c>
      <c r="U23" s="21">
        <v>1</v>
      </c>
      <c r="V23" s="21"/>
      <c r="W23" s="21"/>
      <c r="X23" s="21">
        <v>1</v>
      </c>
      <c r="Y23" s="21">
        <v>0.5</v>
      </c>
      <c r="Z23" s="21">
        <v>0.5</v>
      </c>
      <c r="AA23" s="21">
        <v>0.5</v>
      </c>
      <c r="AB23" s="21">
        <v>1</v>
      </c>
      <c r="AC23" s="21"/>
      <c r="AD23" s="21"/>
      <c r="AE23" s="21">
        <v>1</v>
      </c>
      <c r="AF23" s="21">
        <v>0.5</v>
      </c>
      <c r="AG23" s="21">
        <v>0.5</v>
      </c>
      <c r="AH23" s="21">
        <v>0.5</v>
      </c>
      <c r="AI23" s="21">
        <v>1</v>
      </c>
      <c r="AJ23" s="21"/>
      <c r="AK23" s="21"/>
      <c r="AL23" s="21"/>
      <c r="AM23" s="1" t="s">
        <v>3</v>
      </c>
    </row>
    <row r="24" spans="2:39" s="1" customFormat="1" ht="13.5" outlineLevel="1">
      <c r="B24" s="208"/>
      <c r="C24" s="211"/>
      <c r="D24" s="29" t="s">
        <v>31</v>
      </c>
      <c r="E24" s="34">
        <f t="shared" ref="E24:E29" si="12">SUM(H24:AL24)*F24</f>
        <v>0</v>
      </c>
      <c r="F24" s="39"/>
      <c r="G24" s="15" t="s">
        <v>18</v>
      </c>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24"/>
      <c r="AM24" s="1" t="s">
        <v>3</v>
      </c>
    </row>
    <row r="25" spans="2:39" s="1" customFormat="1" ht="14" outlineLevel="1" thickBot="1">
      <c r="B25" s="208"/>
      <c r="C25" s="211"/>
      <c r="D25" s="29"/>
      <c r="E25" s="53">
        <f t="shared" si="12"/>
        <v>0</v>
      </c>
      <c r="F25" s="41"/>
      <c r="G25" s="17" t="s">
        <v>18</v>
      </c>
      <c r="H25" s="25"/>
      <c r="I25" s="25"/>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27"/>
      <c r="AM25" s="1" t="s">
        <v>3</v>
      </c>
    </row>
    <row r="26" spans="2:39" s="1" customFormat="1" ht="13.5" outlineLevel="1">
      <c r="B26" s="208"/>
      <c r="C26" s="210" t="s">
        <v>25</v>
      </c>
      <c r="D26" s="30" t="s">
        <v>32</v>
      </c>
      <c r="E26" s="33">
        <f>SUM(H26:AL26)*F26</f>
        <v>247</v>
      </c>
      <c r="F26" s="40">
        <v>13</v>
      </c>
      <c r="G26" s="16" t="s">
        <v>18</v>
      </c>
      <c r="H26" s="21"/>
      <c r="I26" s="21"/>
      <c r="J26" s="21">
        <v>1</v>
      </c>
      <c r="K26" s="21">
        <v>1</v>
      </c>
      <c r="L26" s="21">
        <v>1</v>
      </c>
      <c r="M26" s="21">
        <v>1</v>
      </c>
      <c r="N26" s="21">
        <v>1</v>
      </c>
      <c r="O26" s="21"/>
      <c r="P26" s="21"/>
      <c r="Q26" s="21">
        <v>1</v>
      </c>
      <c r="R26" s="21"/>
      <c r="S26" s="21">
        <v>1</v>
      </c>
      <c r="T26" s="21">
        <v>1</v>
      </c>
      <c r="U26" s="21">
        <v>1</v>
      </c>
      <c r="V26" s="21"/>
      <c r="W26" s="21"/>
      <c r="X26" s="21">
        <v>1</v>
      </c>
      <c r="Y26" s="21">
        <v>1</v>
      </c>
      <c r="Z26" s="21">
        <v>1</v>
      </c>
      <c r="AA26" s="21">
        <v>1</v>
      </c>
      <c r="AB26" s="21">
        <v>1</v>
      </c>
      <c r="AC26" s="21"/>
      <c r="AD26" s="21"/>
      <c r="AE26" s="21">
        <v>1</v>
      </c>
      <c r="AF26" s="21">
        <v>1</v>
      </c>
      <c r="AG26" s="21">
        <v>1</v>
      </c>
      <c r="AH26" s="21">
        <v>1</v>
      </c>
      <c r="AI26" s="21">
        <v>1</v>
      </c>
      <c r="AJ26" s="21"/>
      <c r="AK26" s="21"/>
      <c r="AL26" s="23"/>
      <c r="AM26" s="1" t="s">
        <v>3</v>
      </c>
    </row>
    <row r="27" spans="2:39" s="1" customFormat="1" ht="13.5" outlineLevel="1">
      <c r="B27" s="208"/>
      <c r="C27" s="211"/>
      <c r="D27" s="31" t="s">
        <v>33</v>
      </c>
      <c r="E27" s="34">
        <f>SUM(H27:AL27)*F27</f>
        <v>95</v>
      </c>
      <c r="F27" s="39">
        <v>10</v>
      </c>
      <c r="G27" s="15" t="s">
        <v>18</v>
      </c>
      <c r="H27" s="18"/>
      <c r="I27" s="18"/>
      <c r="J27" s="18">
        <v>0.5</v>
      </c>
      <c r="K27" s="18">
        <v>0.5</v>
      </c>
      <c r="L27" s="18">
        <v>0.5</v>
      </c>
      <c r="M27" s="18">
        <v>0.5</v>
      </c>
      <c r="N27" s="18">
        <v>0.5</v>
      </c>
      <c r="O27" s="18"/>
      <c r="P27" s="18"/>
      <c r="Q27" s="18">
        <v>0.5</v>
      </c>
      <c r="R27" s="18"/>
      <c r="S27" s="18">
        <v>0.5</v>
      </c>
      <c r="T27" s="18">
        <v>0.5</v>
      </c>
      <c r="U27" s="18">
        <v>0.5</v>
      </c>
      <c r="V27" s="18"/>
      <c r="W27" s="18"/>
      <c r="X27" s="18">
        <v>0.5</v>
      </c>
      <c r="Y27" s="18">
        <v>0.5</v>
      </c>
      <c r="Z27" s="18">
        <v>0.5</v>
      </c>
      <c r="AA27" s="18">
        <v>0.5</v>
      </c>
      <c r="AB27" s="18">
        <v>0.5</v>
      </c>
      <c r="AC27" s="18"/>
      <c r="AD27" s="18"/>
      <c r="AE27" s="18">
        <v>0.5</v>
      </c>
      <c r="AF27" s="18">
        <v>0.5</v>
      </c>
      <c r="AG27" s="18">
        <v>0.5</v>
      </c>
      <c r="AH27" s="18">
        <v>0.5</v>
      </c>
      <c r="AI27" s="18">
        <v>0.5</v>
      </c>
      <c r="AJ27" s="18"/>
      <c r="AK27" s="18"/>
      <c r="AL27" s="18"/>
      <c r="AM27" s="1" t="s">
        <v>3</v>
      </c>
    </row>
    <row r="28" spans="2:39" s="1" customFormat="1" ht="13.5" outlineLevel="1">
      <c r="B28" s="208"/>
      <c r="C28" s="211"/>
      <c r="D28" s="31" t="s">
        <v>34</v>
      </c>
      <c r="E28" s="55">
        <f t="shared" si="12"/>
        <v>0</v>
      </c>
      <c r="F28" s="39"/>
      <c r="G28" s="15" t="s">
        <v>18</v>
      </c>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24"/>
      <c r="AM28" s="1" t="s">
        <v>3</v>
      </c>
    </row>
    <row r="29" spans="2:39" s="1" customFormat="1" ht="14" outlineLevel="1" thickBot="1">
      <c r="B29" s="209"/>
      <c r="C29" s="212"/>
      <c r="D29" s="32"/>
      <c r="E29" s="35">
        <f t="shared" si="12"/>
        <v>0</v>
      </c>
      <c r="F29" s="41"/>
      <c r="G29" s="17" t="s">
        <v>18</v>
      </c>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7"/>
      <c r="AM29" s="1" t="s">
        <v>3</v>
      </c>
    </row>
    <row r="30" spans="2:39" s="1" customFormat="1" ht="15" customHeight="1" outlineLevel="1">
      <c r="B30" s="226" t="s">
        <v>35</v>
      </c>
      <c r="C30" s="220" t="s">
        <v>5</v>
      </c>
      <c r="D30" s="221"/>
      <c r="E30" s="57">
        <f>SUM(H30:AL30)+'0701'!E32</f>
        <v>895</v>
      </c>
      <c r="F30" s="39" t="s">
        <v>10</v>
      </c>
      <c r="G30" s="15" t="s">
        <v>7</v>
      </c>
      <c r="H30" s="71">
        <v>26</v>
      </c>
      <c r="I30" s="71">
        <v>18</v>
      </c>
      <c r="J30" s="18"/>
      <c r="K30" s="18"/>
      <c r="L30" s="18"/>
      <c r="M30" s="18"/>
      <c r="N30" s="18"/>
      <c r="O30" s="71"/>
      <c r="P30" s="71"/>
      <c r="Q30" s="18"/>
      <c r="R30" s="71"/>
      <c r="S30" s="18"/>
      <c r="T30" s="18"/>
      <c r="U30" s="18"/>
      <c r="V30" s="71"/>
      <c r="W30" s="71"/>
      <c r="X30" s="18"/>
      <c r="Y30" s="18"/>
      <c r="Z30" s="18"/>
      <c r="AA30" s="18"/>
      <c r="AB30" s="18"/>
      <c r="AC30" s="71"/>
      <c r="AD30" s="71"/>
      <c r="AE30" s="18"/>
      <c r="AF30" s="18"/>
      <c r="AG30" s="18"/>
      <c r="AH30" s="18"/>
      <c r="AI30" s="18"/>
      <c r="AJ30" s="71"/>
      <c r="AK30" s="71"/>
      <c r="AL30" s="18"/>
      <c r="AM30" s="1" t="s">
        <v>3</v>
      </c>
    </row>
    <row r="31" spans="2:39" s="1" customFormat="1" ht="15" customHeight="1" outlineLevel="1">
      <c r="B31" s="208"/>
      <c r="C31" s="205" t="s">
        <v>29</v>
      </c>
      <c r="D31" s="206"/>
      <c r="E31" s="57">
        <f>SUM(H31:AL31)+'0701'!E33</f>
        <v>868</v>
      </c>
      <c r="F31" s="39" t="s">
        <v>10</v>
      </c>
      <c r="G31" s="15" t="s">
        <v>7</v>
      </c>
      <c r="H31" s="71">
        <f>SUM(H35*$F$35,H36*$F$36,H37*$F$37)</f>
        <v>0</v>
      </c>
      <c r="I31" s="71">
        <f t="shared" ref="I31:AL31" si="13">SUM(I35*$F$35,I36*$F$36,I37*$F$37)</f>
        <v>0</v>
      </c>
      <c r="J31" s="18">
        <f t="shared" si="13"/>
        <v>14</v>
      </c>
      <c r="K31" s="18">
        <f t="shared" si="13"/>
        <v>4</v>
      </c>
      <c r="L31" s="18">
        <f t="shared" si="13"/>
        <v>4</v>
      </c>
      <c r="M31" s="18">
        <f t="shared" si="13"/>
        <v>14</v>
      </c>
      <c r="N31" s="18">
        <f t="shared" si="13"/>
        <v>4</v>
      </c>
      <c r="O31" s="71">
        <f t="shared" si="13"/>
        <v>0</v>
      </c>
      <c r="P31" s="71">
        <f t="shared" si="13"/>
        <v>0</v>
      </c>
      <c r="Q31" s="18">
        <f t="shared" si="13"/>
        <v>4</v>
      </c>
      <c r="R31" s="71">
        <f t="shared" si="13"/>
        <v>0</v>
      </c>
      <c r="S31" s="18">
        <f t="shared" si="13"/>
        <v>4</v>
      </c>
      <c r="T31" s="18">
        <f t="shared" si="13"/>
        <v>14</v>
      </c>
      <c r="U31" s="18">
        <f t="shared" si="13"/>
        <v>4</v>
      </c>
      <c r="V31" s="71">
        <f t="shared" si="13"/>
        <v>0</v>
      </c>
      <c r="W31" s="71">
        <f t="shared" si="13"/>
        <v>0</v>
      </c>
      <c r="X31" s="18">
        <f t="shared" si="13"/>
        <v>14</v>
      </c>
      <c r="Y31" s="18">
        <f t="shared" si="13"/>
        <v>4</v>
      </c>
      <c r="Z31" s="18">
        <f t="shared" si="13"/>
        <v>4</v>
      </c>
      <c r="AA31" s="18">
        <f t="shared" si="13"/>
        <v>14</v>
      </c>
      <c r="AB31" s="18">
        <f t="shared" si="13"/>
        <v>4</v>
      </c>
      <c r="AC31" s="71">
        <f t="shared" si="13"/>
        <v>0</v>
      </c>
      <c r="AD31" s="71">
        <f t="shared" si="13"/>
        <v>0</v>
      </c>
      <c r="AE31" s="18">
        <f t="shared" si="13"/>
        <v>14</v>
      </c>
      <c r="AF31" s="18">
        <f t="shared" si="13"/>
        <v>4</v>
      </c>
      <c r="AG31" s="18">
        <f t="shared" si="13"/>
        <v>4</v>
      </c>
      <c r="AH31" s="18">
        <f t="shared" si="13"/>
        <v>14</v>
      </c>
      <c r="AI31" s="18">
        <f t="shared" si="13"/>
        <v>4</v>
      </c>
      <c r="AJ31" s="71">
        <f t="shared" si="13"/>
        <v>0</v>
      </c>
      <c r="AK31" s="71">
        <f t="shared" si="13"/>
        <v>0</v>
      </c>
      <c r="AL31" s="18">
        <f t="shared" si="13"/>
        <v>0</v>
      </c>
      <c r="AM31" s="1" t="s">
        <v>3</v>
      </c>
    </row>
    <row r="32" spans="2:39" s="1" customFormat="1" ht="15" customHeight="1" outlineLevel="1">
      <c r="B32" s="208"/>
      <c r="C32" s="205" t="s">
        <v>30</v>
      </c>
      <c r="D32" s="206"/>
      <c r="E32" s="57">
        <f>SUM(H32:AL32)+'0701'!E34</f>
        <v>812.5</v>
      </c>
      <c r="F32" s="39" t="s">
        <v>10</v>
      </c>
      <c r="G32" s="15" t="s">
        <v>7</v>
      </c>
      <c r="H32" s="71">
        <f>SUM(H38*$F$38,H39*$F$39,H40*$F$40,H41*$F$41)</f>
        <v>0</v>
      </c>
      <c r="I32" s="71">
        <f t="shared" ref="I32:AL32" si="14">SUM(I38*$F$38,I39*$F$39,I40*$F$40,I41*$F$41)</f>
        <v>0</v>
      </c>
      <c r="J32" s="18">
        <f t="shared" si="14"/>
        <v>13.5</v>
      </c>
      <c r="K32" s="18">
        <f t="shared" si="14"/>
        <v>3.5</v>
      </c>
      <c r="L32" s="18">
        <f t="shared" si="14"/>
        <v>3.5</v>
      </c>
      <c r="M32" s="18">
        <f t="shared" si="14"/>
        <v>13.5</v>
      </c>
      <c r="N32" s="18">
        <f t="shared" si="14"/>
        <v>3.5</v>
      </c>
      <c r="O32" s="71">
        <f t="shared" si="14"/>
        <v>0</v>
      </c>
      <c r="P32" s="71">
        <f t="shared" si="14"/>
        <v>0</v>
      </c>
      <c r="Q32" s="18">
        <f t="shared" si="14"/>
        <v>3.5</v>
      </c>
      <c r="R32" s="71">
        <f t="shared" si="14"/>
        <v>0</v>
      </c>
      <c r="S32" s="18">
        <f t="shared" si="14"/>
        <v>3.5</v>
      </c>
      <c r="T32" s="18">
        <f t="shared" si="14"/>
        <v>13.5</v>
      </c>
      <c r="U32" s="18">
        <f t="shared" si="14"/>
        <v>3.5</v>
      </c>
      <c r="V32" s="71">
        <f t="shared" si="14"/>
        <v>0</v>
      </c>
      <c r="W32" s="71">
        <f t="shared" si="14"/>
        <v>0</v>
      </c>
      <c r="X32" s="18">
        <f t="shared" si="14"/>
        <v>13.5</v>
      </c>
      <c r="Y32" s="18">
        <f t="shared" si="14"/>
        <v>3.5</v>
      </c>
      <c r="Z32" s="18">
        <f t="shared" si="14"/>
        <v>3.5</v>
      </c>
      <c r="AA32" s="18">
        <f t="shared" si="14"/>
        <v>13.5</v>
      </c>
      <c r="AB32" s="18">
        <f t="shared" si="14"/>
        <v>3.5</v>
      </c>
      <c r="AC32" s="71">
        <f t="shared" si="14"/>
        <v>0</v>
      </c>
      <c r="AD32" s="71">
        <f t="shared" si="14"/>
        <v>0</v>
      </c>
      <c r="AE32" s="18">
        <f t="shared" si="14"/>
        <v>13.5</v>
      </c>
      <c r="AF32" s="18">
        <f t="shared" si="14"/>
        <v>3.5</v>
      </c>
      <c r="AG32" s="18">
        <f t="shared" si="14"/>
        <v>3.5</v>
      </c>
      <c r="AH32" s="18">
        <f t="shared" si="14"/>
        <v>13.5</v>
      </c>
      <c r="AI32" s="18">
        <f t="shared" si="14"/>
        <v>3.5</v>
      </c>
      <c r="AJ32" s="71">
        <f t="shared" si="14"/>
        <v>0</v>
      </c>
      <c r="AK32" s="71">
        <f t="shared" si="14"/>
        <v>0</v>
      </c>
      <c r="AL32" s="18">
        <f t="shared" si="14"/>
        <v>0</v>
      </c>
      <c r="AM32" s="1" t="s">
        <v>3</v>
      </c>
    </row>
    <row r="33" spans="2:39" s="1" customFormat="1" ht="13.5" outlineLevel="1">
      <c r="B33" s="208"/>
      <c r="C33" s="205" t="s">
        <v>14</v>
      </c>
      <c r="D33" s="206"/>
      <c r="E33" s="39">
        <f>E30-E31</f>
        <v>27</v>
      </c>
      <c r="F33" s="39" t="s">
        <v>10</v>
      </c>
      <c r="G33" s="15" t="s">
        <v>7</v>
      </c>
      <c r="H33" s="71">
        <v>647</v>
      </c>
      <c r="I33" s="71">
        <f>H33+I30-I31</f>
        <v>665</v>
      </c>
      <c r="J33" s="18">
        <f t="shared" ref="J33:AL33" si="15">I33+J30-J31</f>
        <v>651</v>
      </c>
      <c r="K33" s="18">
        <f t="shared" si="15"/>
        <v>647</v>
      </c>
      <c r="L33" s="18">
        <f t="shared" si="15"/>
        <v>643</v>
      </c>
      <c r="M33" s="18">
        <f t="shared" si="15"/>
        <v>629</v>
      </c>
      <c r="N33" s="18">
        <f t="shared" si="15"/>
        <v>625</v>
      </c>
      <c r="O33" s="71">
        <f t="shared" si="15"/>
        <v>625</v>
      </c>
      <c r="P33" s="71">
        <f t="shared" si="15"/>
        <v>625</v>
      </c>
      <c r="Q33" s="18">
        <f t="shared" si="15"/>
        <v>621</v>
      </c>
      <c r="R33" s="71">
        <f t="shared" si="15"/>
        <v>621</v>
      </c>
      <c r="S33" s="18">
        <f t="shared" si="15"/>
        <v>617</v>
      </c>
      <c r="T33" s="18">
        <f t="shared" si="15"/>
        <v>603</v>
      </c>
      <c r="U33" s="18">
        <f t="shared" si="15"/>
        <v>599</v>
      </c>
      <c r="V33" s="71">
        <f t="shared" si="15"/>
        <v>599</v>
      </c>
      <c r="W33" s="71">
        <f t="shared" si="15"/>
        <v>599</v>
      </c>
      <c r="X33" s="18">
        <f t="shared" si="15"/>
        <v>585</v>
      </c>
      <c r="Y33" s="18">
        <f t="shared" si="15"/>
        <v>581</v>
      </c>
      <c r="Z33" s="18">
        <f t="shared" si="15"/>
        <v>577</v>
      </c>
      <c r="AA33" s="18">
        <f t="shared" si="15"/>
        <v>563</v>
      </c>
      <c r="AB33" s="18">
        <f t="shared" si="15"/>
        <v>559</v>
      </c>
      <c r="AC33" s="71">
        <f t="shared" si="15"/>
        <v>559</v>
      </c>
      <c r="AD33" s="71">
        <f t="shared" si="15"/>
        <v>559</v>
      </c>
      <c r="AE33" s="18">
        <f t="shared" si="15"/>
        <v>545</v>
      </c>
      <c r="AF33" s="18">
        <f t="shared" si="15"/>
        <v>541</v>
      </c>
      <c r="AG33" s="18">
        <f t="shared" si="15"/>
        <v>537</v>
      </c>
      <c r="AH33" s="18">
        <f t="shared" si="15"/>
        <v>523</v>
      </c>
      <c r="AI33" s="18">
        <f t="shared" si="15"/>
        <v>519</v>
      </c>
      <c r="AJ33" s="71">
        <f t="shared" si="15"/>
        <v>519</v>
      </c>
      <c r="AK33" s="71">
        <f t="shared" si="15"/>
        <v>519</v>
      </c>
      <c r="AL33" s="18">
        <f t="shared" si="15"/>
        <v>519</v>
      </c>
      <c r="AM33" s="1" t="s">
        <v>3</v>
      </c>
    </row>
    <row r="34" spans="2:39" s="1" customFormat="1" ht="14" outlineLevel="1" thickBot="1">
      <c r="B34" s="208"/>
      <c r="C34" s="205" t="s">
        <v>15</v>
      </c>
      <c r="D34" s="206"/>
      <c r="E34" s="19">
        <f>E30-E32</f>
        <v>82.5</v>
      </c>
      <c r="F34" s="19" t="s">
        <v>10</v>
      </c>
      <c r="G34" s="15" t="s">
        <v>7</v>
      </c>
      <c r="H34" s="72">
        <v>931</v>
      </c>
      <c r="I34" s="72">
        <f>H34+I30-I32</f>
        <v>949</v>
      </c>
      <c r="J34" s="20">
        <f t="shared" ref="J34:AL34" si="16">I34+J30-J32</f>
        <v>935.5</v>
      </c>
      <c r="K34" s="20">
        <f t="shared" si="16"/>
        <v>932</v>
      </c>
      <c r="L34" s="20">
        <f t="shared" si="16"/>
        <v>928.5</v>
      </c>
      <c r="M34" s="20">
        <f t="shared" si="16"/>
        <v>915</v>
      </c>
      <c r="N34" s="20">
        <f t="shared" si="16"/>
        <v>911.5</v>
      </c>
      <c r="O34" s="72">
        <f t="shared" si="16"/>
        <v>911.5</v>
      </c>
      <c r="P34" s="72">
        <f t="shared" si="16"/>
        <v>911.5</v>
      </c>
      <c r="Q34" s="20">
        <f t="shared" si="16"/>
        <v>908</v>
      </c>
      <c r="R34" s="72">
        <f t="shared" si="16"/>
        <v>908</v>
      </c>
      <c r="S34" s="20">
        <f t="shared" si="16"/>
        <v>904.5</v>
      </c>
      <c r="T34" s="20">
        <f t="shared" si="16"/>
        <v>891</v>
      </c>
      <c r="U34" s="20">
        <f t="shared" si="16"/>
        <v>887.5</v>
      </c>
      <c r="V34" s="72">
        <f t="shared" si="16"/>
        <v>887.5</v>
      </c>
      <c r="W34" s="72">
        <f t="shared" si="16"/>
        <v>887.5</v>
      </c>
      <c r="X34" s="20">
        <f t="shared" si="16"/>
        <v>874</v>
      </c>
      <c r="Y34" s="20">
        <f t="shared" si="16"/>
        <v>870.5</v>
      </c>
      <c r="Z34" s="20">
        <f t="shared" si="16"/>
        <v>867</v>
      </c>
      <c r="AA34" s="20">
        <f t="shared" si="16"/>
        <v>853.5</v>
      </c>
      <c r="AB34" s="20">
        <f t="shared" si="16"/>
        <v>850</v>
      </c>
      <c r="AC34" s="72">
        <f t="shared" si="16"/>
        <v>850</v>
      </c>
      <c r="AD34" s="72">
        <f t="shared" si="16"/>
        <v>850</v>
      </c>
      <c r="AE34" s="20">
        <f t="shared" si="16"/>
        <v>836.5</v>
      </c>
      <c r="AF34" s="20">
        <f t="shared" si="16"/>
        <v>833</v>
      </c>
      <c r="AG34" s="20">
        <f t="shared" si="16"/>
        <v>829.5</v>
      </c>
      <c r="AH34" s="20">
        <f t="shared" si="16"/>
        <v>816</v>
      </c>
      <c r="AI34" s="20">
        <f t="shared" si="16"/>
        <v>812.5</v>
      </c>
      <c r="AJ34" s="72">
        <f t="shared" si="16"/>
        <v>812.5</v>
      </c>
      <c r="AK34" s="72">
        <f t="shared" si="16"/>
        <v>812.5</v>
      </c>
      <c r="AL34" s="20">
        <f t="shared" si="16"/>
        <v>812.5</v>
      </c>
      <c r="AM34" s="1" t="s">
        <v>3</v>
      </c>
    </row>
    <row r="35" spans="2:39" s="1" customFormat="1" ht="13.5" outlineLevel="1">
      <c r="B35" s="208"/>
      <c r="C35" s="210" t="s">
        <v>16</v>
      </c>
      <c r="D35" s="28" t="s">
        <v>53</v>
      </c>
      <c r="E35" s="33">
        <f>SUM(H35:AL35)*F35</f>
        <v>76.000000000000028</v>
      </c>
      <c r="F35" s="40">
        <v>40</v>
      </c>
      <c r="G35" s="16" t="s">
        <v>18</v>
      </c>
      <c r="H35" s="74"/>
      <c r="I35" s="74"/>
      <c r="J35" s="21">
        <v>0.1</v>
      </c>
      <c r="K35" s="21">
        <v>0.1</v>
      </c>
      <c r="L35" s="21">
        <v>0.1</v>
      </c>
      <c r="M35" s="21">
        <v>0.1</v>
      </c>
      <c r="N35" s="21">
        <v>0.1</v>
      </c>
      <c r="O35" s="74"/>
      <c r="P35" s="74"/>
      <c r="Q35" s="21">
        <v>0.1</v>
      </c>
      <c r="R35" s="74"/>
      <c r="S35" s="21">
        <v>0.1</v>
      </c>
      <c r="T35" s="21">
        <v>0.1</v>
      </c>
      <c r="U35" s="21">
        <v>0.1</v>
      </c>
      <c r="V35" s="74"/>
      <c r="W35" s="74"/>
      <c r="X35" s="21">
        <v>0.1</v>
      </c>
      <c r="Y35" s="21">
        <v>0.1</v>
      </c>
      <c r="Z35" s="21">
        <v>0.1</v>
      </c>
      <c r="AA35" s="21">
        <v>0.1</v>
      </c>
      <c r="AB35" s="21">
        <v>0.1</v>
      </c>
      <c r="AC35" s="74"/>
      <c r="AD35" s="74"/>
      <c r="AE35" s="21">
        <v>0.1</v>
      </c>
      <c r="AF35" s="21">
        <v>0.1</v>
      </c>
      <c r="AG35" s="21">
        <v>0.1</v>
      </c>
      <c r="AH35" s="21">
        <v>0.1</v>
      </c>
      <c r="AI35" s="21">
        <v>0.1</v>
      </c>
      <c r="AJ35" s="74"/>
      <c r="AK35" s="74"/>
      <c r="AL35" s="23"/>
      <c r="AM35" s="1" t="s">
        <v>3</v>
      </c>
    </row>
    <row r="36" spans="2:39" s="1" customFormat="1" ht="13.5" outlineLevel="1">
      <c r="B36" s="208"/>
      <c r="C36" s="211"/>
      <c r="D36" s="29" t="s">
        <v>36</v>
      </c>
      <c r="E36" s="34">
        <f t="shared" ref="E36:E41" si="17">SUM(H36:AL36)*F36</f>
        <v>0</v>
      </c>
      <c r="F36" s="39"/>
      <c r="G36" s="15" t="s">
        <v>18</v>
      </c>
      <c r="H36" s="71"/>
      <c r="I36" s="71"/>
      <c r="J36" s="18"/>
      <c r="K36" s="18"/>
      <c r="L36" s="18"/>
      <c r="M36" s="18"/>
      <c r="N36" s="18"/>
      <c r="O36" s="71"/>
      <c r="P36" s="71"/>
      <c r="Q36" s="18"/>
      <c r="R36" s="71"/>
      <c r="S36" s="18"/>
      <c r="T36" s="18"/>
      <c r="U36" s="18"/>
      <c r="V36" s="71"/>
      <c r="W36" s="71"/>
      <c r="X36" s="18"/>
      <c r="Y36" s="18"/>
      <c r="Z36" s="18"/>
      <c r="AA36" s="18"/>
      <c r="AB36" s="18"/>
      <c r="AC36" s="71"/>
      <c r="AD36" s="71"/>
      <c r="AE36" s="18"/>
      <c r="AF36" s="18"/>
      <c r="AG36" s="18"/>
      <c r="AH36" s="18"/>
      <c r="AI36" s="18"/>
      <c r="AJ36" s="71"/>
      <c r="AK36" s="71"/>
      <c r="AL36" s="24"/>
      <c r="AM36" s="1" t="s">
        <v>3</v>
      </c>
    </row>
    <row r="37" spans="2:39" s="1" customFormat="1" ht="14" outlineLevel="1" thickBot="1">
      <c r="B37" s="208"/>
      <c r="C37" s="211"/>
      <c r="D37" s="29" t="s">
        <v>54</v>
      </c>
      <c r="E37" s="53">
        <f t="shared" si="17"/>
        <v>70</v>
      </c>
      <c r="F37" s="41">
        <v>10</v>
      </c>
      <c r="G37" s="17" t="s">
        <v>18</v>
      </c>
      <c r="H37" s="75"/>
      <c r="I37" s="75"/>
      <c r="J37" s="18">
        <v>1</v>
      </c>
      <c r="K37" s="18"/>
      <c r="L37" s="18"/>
      <c r="M37" s="18">
        <v>1</v>
      </c>
      <c r="N37" s="18"/>
      <c r="O37" s="71"/>
      <c r="P37" s="71"/>
      <c r="Q37" s="18"/>
      <c r="R37" s="71"/>
      <c r="S37" s="18"/>
      <c r="T37" s="18">
        <v>1</v>
      </c>
      <c r="U37" s="18"/>
      <c r="V37" s="71"/>
      <c r="W37" s="71"/>
      <c r="X37" s="18">
        <v>1</v>
      </c>
      <c r="Y37" s="18"/>
      <c r="Z37" s="18"/>
      <c r="AA37" s="18">
        <v>1</v>
      </c>
      <c r="AB37" s="18"/>
      <c r="AC37" s="71"/>
      <c r="AD37" s="71"/>
      <c r="AE37" s="18">
        <v>1</v>
      </c>
      <c r="AF37" s="18"/>
      <c r="AG37" s="18"/>
      <c r="AH37" s="18">
        <v>1</v>
      </c>
      <c r="AI37" s="18"/>
      <c r="AJ37" s="71"/>
      <c r="AK37" s="71"/>
      <c r="AL37" s="27"/>
      <c r="AM37" s="1" t="s">
        <v>3</v>
      </c>
    </row>
    <row r="38" spans="2:39" s="1" customFormat="1" ht="13.5" outlineLevel="1">
      <c r="B38" s="208"/>
      <c r="C38" s="210" t="s">
        <v>25</v>
      </c>
      <c r="D38" s="30" t="s">
        <v>32</v>
      </c>
      <c r="E38" s="33">
        <f t="shared" si="17"/>
        <v>0</v>
      </c>
      <c r="F38" s="40"/>
      <c r="G38" s="16" t="s">
        <v>18</v>
      </c>
      <c r="H38" s="74"/>
      <c r="I38" s="74"/>
      <c r="J38" s="21"/>
      <c r="K38" s="21"/>
      <c r="L38" s="21"/>
      <c r="M38" s="21"/>
      <c r="N38" s="21"/>
      <c r="O38" s="74"/>
      <c r="P38" s="74"/>
      <c r="Q38" s="21"/>
      <c r="R38" s="74"/>
      <c r="S38" s="21"/>
      <c r="T38" s="21"/>
      <c r="U38" s="21"/>
      <c r="V38" s="74"/>
      <c r="W38" s="74"/>
      <c r="X38" s="21"/>
      <c r="Y38" s="21"/>
      <c r="Z38" s="21"/>
      <c r="AA38" s="21"/>
      <c r="AB38" s="21"/>
      <c r="AC38" s="74"/>
      <c r="AD38" s="74"/>
      <c r="AE38" s="21"/>
      <c r="AF38" s="21"/>
      <c r="AG38" s="21"/>
      <c r="AH38" s="21"/>
      <c r="AI38" s="21"/>
      <c r="AJ38" s="74"/>
      <c r="AK38" s="74"/>
      <c r="AL38" s="23"/>
      <c r="AM38" s="1" t="s">
        <v>3</v>
      </c>
    </row>
    <row r="39" spans="2:39" s="1" customFormat="1" ht="13.5" outlineLevel="1">
      <c r="B39" s="208"/>
      <c r="C39" s="211"/>
      <c r="D39" s="31" t="s">
        <v>33</v>
      </c>
      <c r="E39" s="34">
        <f t="shared" si="17"/>
        <v>66.500000000000014</v>
      </c>
      <c r="F39" s="39">
        <v>35</v>
      </c>
      <c r="G39" s="15" t="s">
        <v>18</v>
      </c>
      <c r="H39" s="71"/>
      <c r="I39" s="71"/>
      <c r="J39" s="18">
        <v>0.1</v>
      </c>
      <c r="K39" s="18">
        <v>0.1</v>
      </c>
      <c r="L39" s="18">
        <v>0.1</v>
      </c>
      <c r="M39" s="18">
        <v>0.1</v>
      </c>
      <c r="N39" s="18">
        <v>0.1</v>
      </c>
      <c r="O39" s="71"/>
      <c r="P39" s="71"/>
      <c r="Q39" s="18">
        <v>0.1</v>
      </c>
      <c r="R39" s="71"/>
      <c r="S39" s="18">
        <v>0.1</v>
      </c>
      <c r="T39" s="18">
        <v>0.1</v>
      </c>
      <c r="U39" s="18">
        <v>0.1</v>
      </c>
      <c r="V39" s="71"/>
      <c r="W39" s="71"/>
      <c r="X39" s="18">
        <v>0.1</v>
      </c>
      <c r="Y39" s="18">
        <v>0.1</v>
      </c>
      <c r="Z39" s="18">
        <v>0.1</v>
      </c>
      <c r="AA39" s="18">
        <v>0.1</v>
      </c>
      <c r="AB39" s="18">
        <v>0.1</v>
      </c>
      <c r="AC39" s="71"/>
      <c r="AD39" s="71"/>
      <c r="AE39" s="18">
        <v>0.1</v>
      </c>
      <c r="AF39" s="18">
        <v>0.1</v>
      </c>
      <c r="AG39" s="18">
        <v>0.1</v>
      </c>
      <c r="AH39" s="18">
        <v>0.1</v>
      </c>
      <c r="AI39" s="18">
        <v>0.1</v>
      </c>
      <c r="AJ39" s="71"/>
      <c r="AK39" s="71"/>
      <c r="AL39" s="24"/>
      <c r="AM39" s="1" t="s">
        <v>3</v>
      </c>
    </row>
    <row r="40" spans="2:39" s="1" customFormat="1" ht="13.5" outlineLevel="1">
      <c r="B40" s="208"/>
      <c r="C40" s="211"/>
      <c r="D40" s="31" t="s">
        <v>34</v>
      </c>
      <c r="E40" s="55">
        <f t="shared" si="17"/>
        <v>70</v>
      </c>
      <c r="F40" s="39">
        <v>10</v>
      </c>
      <c r="G40" s="15" t="s">
        <v>18</v>
      </c>
      <c r="H40" s="71"/>
      <c r="I40" s="71"/>
      <c r="J40" s="18">
        <v>1</v>
      </c>
      <c r="K40" s="18"/>
      <c r="L40" s="18"/>
      <c r="M40" s="18">
        <v>1</v>
      </c>
      <c r="N40" s="18"/>
      <c r="O40" s="71"/>
      <c r="P40" s="71"/>
      <c r="Q40" s="18"/>
      <c r="R40" s="71"/>
      <c r="S40" s="18"/>
      <c r="T40" s="18">
        <v>1</v>
      </c>
      <c r="U40" s="18"/>
      <c r="V40" s="71"/>
      <c r="W40" s="71"/>
      <c r="X40" s="18">
        <v>1</v>
      </c>
      <c r="Y40" s="18"/>
      <c r="Z40" s="18"/>
      <c r="AA40" s="18">
        <v>1</v>
      </c>
      <c r="AB40" s="18"/>
      <c r="AC40" s="71"/>
      <c r="AD40" s="71"/>
      <c r="AE40" s="18">
        <v>1</v>
      </c>
      <c r="AF40" s="18"/>
      <c r="AG40" s="18"/>
      <c r="AH40" s="18">
        <v>1</v>
      </c>
      <c r="AI40" s="18"/>
      <c r="AJ40" s="71"/>
      <c r="AK40" s="71"/>
      <c r="AL40" s="24"/>
      <c r="AM40" s="1" t="s">
        <v>3</v>
      </c>
    </row>
    <row r="41" spans="2:39" s="1" customFormat="1" ht="14" outlineLevel="1" thickBot="1">
      <c r="B41" s="208"/>
      <c r="C41" s="211"/>
      <c r="D41" s="31"/>
      <c r="E41" s="35">
        <f t="shared" si="17"/>
        <v>0</v>
      </c>
      <c r="F41" s="41"/>
      <c r="G41" s="17" t="s">
        <v>18</v>
      </c>
      <c r="H41" s="75"/>
      <c r="I41" s="75"/>
      <c r="J41" s="25"/>
      <c r="K41" s="25"/>
      <c r="L41" s="25"/>
      <c r="M41" s="25"/>
      <c r="N41" s="25"/>
      <c r="O41" s="75"/>
      <c r="P41" s="75"/>
      <c r="Q41" s="25"/>
      <c r="R41" s="75"/>
      <c r="S41" s="25"/>
      <c r="T41" s="25"/>
      <c r="U41" s="25"/>
      <c r="V41" s="75"/>
      <c r="W41" s="75"/>
      <c r="X41" s="25"/>
      <c r="Y41" s="25"/>
      <c r="Z41" s="25"/>
      <c r="AA41" s="25"/>
      <c r="AB41" s="25"/>
      <c r="AC41" s="75"/>
      <c r="AD41" s="75"/>
      <c r="AE41" s="25"/>
      <c r="AF41" s="25"/>
      <c r="AG41" s="25"/>
      <c r="AH41" s="25"/>
      <c r="AI41" s="25"/>
      <c r="AJ41" s="75"/>
      <c r="AK41" s="75"/>
      <c r="AL41" s="27"/>
      <c r="AM41" s="1" t="s">
        <v>3</v>
      </c>
    </row>
    <row r="42" spans="2:39" s="1" customFormat="1" ht="15" customHeight="1" outlineLevel="1">
      <c r="B42" s="226" t="s">
        <v>38</v>
      </c>
      <c r="C42" s="220" t="s">
        <v>5</v>
      </c>
      <c r="D42" s="221"/>
      <c r="E42" s="57">
        <f>SUM(H42:AL42)+'0701'!E44</f>
        <v>843</v>
      </c>
      <c r="F42" s="56" t="s">
        <v>10</v>
      </c>
      <c r="G42" s="65" t="s">
        <v>7</v>
      </c>
      <c r="H42" s="73"/>
      <c r="I42" s="73"/>
      <c r="J42" s="66"/>
      <c r="K42" s="66"/>
      <c r="L42" s="66"/>
      <c r="M42" s="66"/>
      <c r="N42" s="66"/>
      <c r="O42" s="73"/>
      <c r="P42" s="73"/>
      <c r="Q42" s="66"/>
      <c r="R42" s="73"/>
      <c r="S42" s="66"/>
      <c r="T42" s="66"/>
      <c r="U42" s="66"/>
      <c r="V42" s="73"/>
      <c r="W42" s="73"/>
      <c r="X42" s="66"/>
      <c r="Y42" s="66"/>
      <c r="Z42" s="66"/>
      <c r="AA42" s="66"/>
      <c r="AB42" s="66"/>
      <c r="AC42" s="73"/>
      <c r="AD42" s="73"/>
      <c r="AE42" s="66"/>
      <c r="AF42" s="66"/>
      <c r="AG42" s="66"/>
      <c r="AH42" s="66"/>
      <c r="AI42" s="66"/>
      <c r="AJ42" s="73"/>
      <c r="AK42" s="73"/>
      <c r="AL42" s="66">
        <v>6</v>
      </c>
      <c r="AM42" s="1" t="s">
        <v>3</v>
      </c>
    </row>
    <row r="43" spans="2:39" s="1" customFormat="1" ht="15" customHeight="1" outlineLevel="1">
      <c r="B43" s="208"/>
      <c r="C43" s="205" t="s">
        <v>29</v>
      </c>
      <c r="D43" s="206"/>
      <c r="E43" s="57">
        <f>SUM(H43:AL43)+'0701'!E45</f>
        <v>848</v>
      </c>
      <c r="F43" s="39" t="s">
        <v>10</v>
      </c>
      <c r="G43" s="15" t="s">
        <v>7</v>
      </c>
      <c r="H43" s="71">
        <f>SUM(H47*$F$35,H48*$F$36,H49*$F$37)</f>
        <v>0</v>
      </c>
      <c r="I43" s="71">
        <f t="shared" ref="I43:AL43" si="18">SUM(I47*$F$35,I48*$F$36,I49*$F$37)</f>
        <v>0</v>
      </c>
      <c r="J43" s="18">
        <f t="shared" si="18"/>
        <v>16</v>
      </c>
      <c r="K43" s="18">
        <f t="shared" si="18"/>
        <v>16</v>
      </c>
      <c r="L43" s="18">
        <f t="shared" si="18"/>
        <v>16</v>
      </c>
      <c r="M43" s="18">
        <f t="shared" si="18"/>
        <v>16</v>
      </c>
      <c r="N43" s="18">
        <f t="shared" si="18"/>
        <v>16</v>
      </c>
      <c r="O43" s="71">
        <f t="shared" si="18"/>
        <v>0</v>
      </c>
      <c r="P43" s="71">
        <f t="shared" si="18"/>
        <v>0</v>
      </c>
      <c r="Q43" s="18">
        <f t="shared" si="18"/>
        <v>16</v>
      </c>
      <c r="R43" s="71">
        <f t="shared" si="18"/>
        <v>0</v>
      </c>
      <c r="S43" s="18">
        <f t="shared" si="18"/>
        <v>16</v>
      </c>
      <c r="T43" s="18">
        <f t="shared" si="18"/>
        <v>16</v>
      </c>
      <c r="U43" s="18">
        <f t="shared" si="18"/>
        <v>16</v>
      </c>
      <c r="V43" s="71">
        <f t="shared" si="18"/>
        <v>0</v>
      </c>
      <c r="W43" s="71">
        <f t="shared" si="18"/>
        <v>0</v>
      </c>
      <c r="X43" s="18">
        <f t="shared" si="18"/>
        <v>16</v>
      </c>
      <c r="Y43" s="18">
        <f t="shared" si="18"/>
        <v>16</v>
      </c>
      <c r="Z43" s="18">
        <f t="shared" si="18"/>
        <v>16</v>
      </c>
      <c r="AA43" s="18">
        <f t="shared" si="18"/>
        <v>16</v>
      </c>
      <c r="AB43" s="18">
        <f t="shared" si="18"/>
        <v>16</v>
      </c>
      <c r="AC43" s="71">
        <f t="shared" si="18"/>
        <v>0</v>
      </c>
      <c r="AD43" s="71">
        <f t="shared" si="18"/>
        <v>0</v>
      </c>
      <c r="AE43" s="18">
        <f t="shared" si="18"/>
        <v>16</v>
      </c>
      <c r="AF43" s="18">
        <f t="shared" si="18"/>
        <v>16</v>
      </c>
      <c r="AG43" s="18">
        <f t="shared" si="18"/>
        <v>16</v>
      </c>
      <c r="AH43" s="18">
        <f t="shared" si="18"/>
        <v>16</v>
      </c>
      <c r="AI43" s="18">
        <f t="shared" si="18"/>
        <v>16</v>
      </c>
      <c r="AJ43" s="71">
        <f t="shared" si="18"/>
        <v>0</v>
      </c>
      <c r="AK43" s="71">
        <f t="shared" si="18"/>
        <v>0</v>
      </c>
      <c r="AL43" s="18">
        <f t="shared" si="18"/>
        <v>0</v>
      </c>
      <c r="AM43" s="1" t="s">
        <v>3</v>
      </c>
    </row>
    <row r="44" spans="2:39" s="1" customFormat="1" ht="15" customHeight="1" outlineLevel="1">
      <c r="B44" s="208"/>
      <c r="C44" s="205" t="s">
        <v>30</v>
      </c>
      <c r="D44" s="206"/>
      <c r="E44" s="57">
        <f>SUM(H44:AL44)+'0701'!E46</f>
        <v>695</v>
      </c>
      <c r="F44" s="39" t="s">
        <v>10</v>
      </c>
      <c r="G44" s="15" t="s">
        <v>7</v>
      </c>
      <c r="H44" s="71">
        <f>SUM(H50*$F$38,H51*$F$39,H52*$F$40,H53*$F$41)</f>
        <v>0</v>
      </c>
      <c r="I44" s="71">
        <f t="shared" ref="I44:AL44" si="19">SUM(I50*$F$38,I51*$F$39,I52*$F$40,I53*$F$41)</f>
        <v>0</v>
      </c>
      <c r="J44" s="18">
        <f t="shared" si="19"/>
        <v>14</v>
      </c>
      <c r="K44" s="18">
        <f t="shared" si="19"/>
        <v>14</v>
      </c>
      <c r="L44" s="18">
        <f t="shared" si="19"/>
        <v>14</v>
      </c>
      <c r="M44" s="18">
        <f t="shared" si="19"/>
        <v>14</v>
      </c>
      <c r="N44" s="18">
        <f t="shared" si="19"/>
        <v>14</v>
      </c>
      <c r="O44" s="71">
        <f t="shared" si="19"/>
        <v>0</v>
      </c>
      <c r="P44" s="71">
        <f t="shared" si="19"/>
        <v>0</v>
      </c>
      <c r="Q44" s="18">
        <f t="shared" si="19"/>
        <v>14</v>
      </c>
      <c r="R44" s="71">
        <f t="shared" si="19"/>
        <v>0</v>
      </c>
      <c r="S44" s="18">
        <f t="shared" si="19"/>
        <v>14</v>
      </c>
      <c r="T44" s="18">
        <f t="shared" si="19"/>
        <v>14</v>
      </c>
      <c r="U44" s="18">
        <f t="shared" si="19"/>
        <v>14</v>
      </c>
      <c r="V44" s="71">
        <f t="shared" si="19"/>
        <v>0</v>
      </c>
      <c r="W44" s="71">
        <f t="shared" si="19"/>
        <v>0</v>
      </c>
      <c r="X44" s="18">
        <f t="shared" si="19"/>
        <v>14</v>
      </c>
      <c r="Y44" s="18">
        <f t="shared" si="19"/>
        <v>14</v>
      </c>
      <c r="Z44" s="18">
        <f t="shared" si="19"/>
        <v>14</v>
      </c>
      <c r="AA44" s="18">
        <f t="shared" si="19"/>
        <v>14</v>
      </c>
      <c r="AB44" s="18">
        <f t="shared" si="19"/>
        <v>14</v>
      </c>
      <c r="AC44" s="71">
        <f t="shared" si="19"/>
        <v>0</v>
      </c>
      <c r="AD44" s="71">
        <f t="shared" si="19"/>
        <v>0</v>
      </c>
      <c r="AE44" s="18">
        <f t="shared" si="19"/>
        <v>14</v>
      </c>
      <c r="AF44" s="18">
        <f t="shared" si="19"/>
        <v>14</v>
      </c>
      <c r="AG44" s="18">
        <f t="shared" si="19"/>
        <v>14</v>
      </c>
      <c r="AH44" s="18">
        <f t="shared" si="19"/>
        <v>14</v>
      </c>
      <c r="AI44" s="18">
        <f t="shared" si="19"/>
        <v>14</v>
      </c>
      <c r="AJ44" s="71">
        <f t="shared" si="19"/>
        <v>0</v>
      </c>
      <c r="AK44" s="71">
        <f t="shared" si="19"/>
        <v>0</v>
      </c>
      <c r="AL44" s="18">
        <f t="shared" si="19"/>
        <v>0</v>
      </c>
      <c r="AM44" s="1" t="s">
        <v>3</v>
      </c>
    </row>
    <row r="45" spans="2:39" s="1" customFormat="1" ht="13.5" outlineLevel="1">
      <c r="B45" s="208"/>
      <c r="C45" s="205" t="s">
        <v>14</v>
      </c>
      <c r="D45" s="206"/>
      <c r="E45" s="39">
        <f>E42-E43</f>
        <v>-5</v>
      </c>
      <c r="F45" s="39" t="s">
        <v>10</v>
      </c>
      <c r="G45" s="15" t="s">
        <v>7</v>
      </c>
      <c r="H45" s="71">
        <v>494</v>
      </c>
      <c r="I45" s="71">
        <f>H45+I42-I43</f>
        <v>494</v>
      </c>
      <c r="J45" s="18">
        <f t="shared" ref="J45:AL45" si="20">I45+J42-J43</f>
        <v>478</v>
      </c>
      <c r="K45" s="18">
        <f t="shared" si="20"/>
        <v>462</v>
      </c>
      <c r="L45" s="18">
        <f t="shared" si="20"/>
        <v>446</v>
      </c>
      <c r="M45" s="18">
        <f t="shared" si="20"/>
        <v>430</v>
      </c>
      <c r="N45" s="18">
        <f t="shared" si="20"/>
        <v>414</v>
      </c>
      <c r="O45" s="71">
        <f t="shared" si="20"/>
        <v>414</v>
      </c>
      <c r="P45" s="71">
        <f t="shared" si="20"/>
        <v>414</v>
      </c>
      <c r="Q45" s="18">
        <f t="shared" si="20"/>
        <v>398</v>
      </c>
      <c r="R45" s="71">
        <f t="shared" si="20"/>
        <v>398</v>
      </c>
      <c r="S45" s="18">
        <f t="shared" si="20"/>
        <v>382</v>
      </c>
      <c r="T45" s="18">
        <f t="shared" si="20"/>
        <v>366</v>
      </c>
      <c r="U45" s="18">
        <f t="shared" si="20"/>
        <v>350</v>
      </c>
      <c r="V45" s="71">
        <f t="shared" si="20"/>
        <v>350</v>
      </c>
      <c r="W45" s="71">
        <f t="shared" si="20"/>
        <v>350</v>
      </c>
      <c r="X45" s="18">
        <f t="shared" si="20"/>
        <v>334</v>
      </c>
      <c r="Y45" s="18">
        <f t="shared" si="20"/>
        <v>318</v>
      </c>
      <c r="Z45" s="18">
        <f t="shared" si="20"/>
        <v>302</v>
      </c>
      <c r="AA45" s="18">
        <f t="shared" si="20"/>
        <v>286</v>
      </c>
      <c r="AB45" s="18">
        <f t="shared" si="20"/>
        <v>270</v>
      </c>
      <c r="AC45" s="71">
        <f t="shared" si="20"/>
        <v>270</v>
      </c>
      <c r="AD45" s="71">
        <f t="shared" si="20"/>
        <v>270</v>
      </c>
      <c r="AE45" s="18">
        <f t="shared" si="20"/>
        <v>254</v>
      </c>
      <c r="AF45" s="18">
        <f t="shared" si="20"/>
        <v>238</v>
      </c>
      <c r="AG45" s="18">
        <f t="shared" si="20"/>
        <v>222</v>
      </c>
      <c r="AH45" s="18">
        <f t="shared" si="20"/>
        <v>206</v>
      </c>
      <c r="AI45" s="18">
        <f t="shared" si="20"/>
        <v>190</v>
      </c>
      <c r="AJ45" s="71">
        <f t="shared" si="20"/>
        <v>190</v>
      </c>
      <c r="AK45" s="71">
        <f t="shared" si="20"/>
        <v>190</v>
      </c>
      <c r="AL45" s="18">
        <f t="shared" si="20"/>
        <v>196</v>
      </c>
      <c r="AM45" s="1" t="s">
        <v>3</v>
      </c>
    </row>
    <row r="46" spans="2:39" s="1" customFormat="1" ht="14" outlineLevel="1" thickBot="1">
      <c r="B46" s="208"/>
      <c r="C46" s="205" t="s">
        <v>15</v>
      </c>
      <c r="D46" s="206"/>
      <c r="E46" s="19">
        <f>E42-E44</f>
        <v>148</v>
      </c>
      <c r="F46" s="19" t="s">
        <v>10</v>
      </c>
      <c r="G46" s="15" t="s">
        <v>7</v>
      </c>
      <c r="H46" s="72">
        <v>1035.5</v>
      </c>
      <c r="I46" s="72">
        <f>H46+I42-I44</f>
        <v>1035.5</v>
      </c>
      <c r="J46" s="20">
        <f t="shared" ref="J46:AL46" si="21">I46+J42-J44</f>
        <v>1021.5</v>
      </c>
      <c r="K46" s="20">
        <f t="shared" si="21"/>
        <v>1007.5</v>
      </c>
      <c r="L46" s="20">
        <f t="shared" si="21"/>
        <v>993.5</v>
      </c>
      <c r="M46" s="20">
        <f t="shared" si="21"/>
        <v>979.5</v>
      </c>
      <c r="N46" s="20">
        <f t="shared" si="21"/>
        <v>965.5</v>
      </c>
      <c r="O46" s="72">
        <f t="shared" si="21"/>
        <v>965.5</v>
      </c>
      <c r="P46" s="72">
        <f t="shared" si="21"/>
        <v>965.5</v>
      </c>
      <c r="Q46" s="20">
        <f t="shared" si="21"/>
        <v>951.5</v>
      </c>
      <c r="R46" s="72">
        <f t="shared" si="21"/>
        <v>951.5</v>
      </c>
      <c r="S46" s="20">
        <f t="shared" si="21"/>
        <v>937.5</v>
      </c>
      <c r="T46" s="20">
        <f t="shared" si="21"/>
        <v>923.5</v>
      </c>
      <c r="U46" s="20">
        <f t="shared" si="21"/>
        <v>909.5</v>
      </c>
      <c r="V46" s="72">
        <f t="shared" si="21"/>
        <v>909.5</v>
      </c>
      <c r="W46" s="72">
        <f t="shared" si="21"/>
        <v>909.5</v>
      </c>
      <c r="X46" s="20">
        <f t="shared" si="21"/>
        <v>895.5</v>
      </c>
      <c r="Y46" s="20">
        <f t="shared" si="21"/>
        <v>881.5</v>
      </c>
      <c r="Z46" s="20">
        <f t="shared" si="21"/>
        <v>867.5</v>
      </c>
      <c r="AA46" s="20">
        <f t="shared" si="21"/>
        <v>853.5</v>
      </c>
      <c r="AB46" s="20">
        <f t="shared" si="21"/>
        <v>839.5</v>
      </c>
      <c r="AC46" s="72">
        <f t="shared" si="21"/>
        <v>839.5</v>
      </c>
      <c r="AD46" s="72">
        <f t="shared" si="21"/>
        <v>839.5</v>
      </c>
      <c r="AE46" s="20">
        <f t="shared" si="21"/>
        <v>825.5</v>
      </c>
      <c r="AF46" s="20">
        <f t="shared" si="21"/>
        <v>811.5</v>
      </c>
      <c r="AG46" s="20">
        <f t="shared" si="21"/>
        <v>797.5</v>
      </c>
      <c r="AH46" s="20">
        <f t="shared" si="21"/>
        <v>783.5</v>
      </c>
      <c r="AI46" s="20">
        <f t="shared" si="21"/>
        <v>769.5</v>
      </c>
      <c r="AJ46" s="72">
        <f t="shared" si="21"/>
        <v>769.5</v>
      </c>
      <c r="AK46" s="72">
        <f t="shared" si="21"/>
        <v>769.5</v>
      </c>
      <c r="AL46" s="20">
        <f t="shared" si="21"/>
        <v>775.5</v>
      </c>
      <c r="AM46" s="1" t="s">
        <v>3</v>
      </c>
    </row>
    <row r="47" spans="2:39" s="1" customFormat="1" ht="13.5" outlineLevel="1">
      <c r="B47" s="208"/>
      <c r="C47" s="210" t="s">
        <v>16</v>
      </c>
      <c r="D47" s="28" t="s">
        <v>53</v>
      </c>
      <c r="E47" s="33">
        <f>SUM(H47:AL47)*F47</f>
        <v>152.00000000000006</v>
      </c>
      <c r="F47" s="40">
        <v>20</v>
      </c>
      <c r="G47" s="16" t="s">
        <v>18</v>
      </c>
      <c r="H47" s="74"/>
      <c r="I47" s="74"/>
      <c r="J47" s="21">
        <v>0.4</v>
      </c>
      <c r="K47" s="21">
        <v>0.4</v>
      </c>
      <c r="L47" s="21">
        <v>0.4</v>
      </c>
      <c r="M47" s="21">
        <v>0.4</v>
      </c>
      <c r="N47" s="21">
        <v>0.4</v>
      </c>
      <c r="O47" s="74"/>
      <c r="P47" s="74"/>
      <c r="Q47" s="21">
        <v>0.4</v>
      </c>
      <c r="R47" s="74"/>
      <c r="S47" s="21">
        <v>0.4</v>
      </c>
      <c r="T47" s="21">
        <v>0.4</v>
      </c>
      <c r="U47" s="21">
        <v>0.4</v>
      </c>
      <c r="V47" s="74"/>
      <c r="W47" s="74"/>
      <c r="X47" s="21">
        <v>0.4</v>
      </c>
      <c r="Y47" s="21">
        <v>0.4</v>
      </c>
      <c r="Z47" s="21">
        <v>0.4</v>
      </c>
      <c r="AA47" s="21">
        <v>0.4</v>
      </c>
      <c r="AB47" s="21">
        <v>0.4</v>
      </c>
      <c r="AC47" s="21"/>
      <c r="AD47" s="21"/>
      <c r="AE47" s="21">
        <v>0.4</v>
      </c>
      <c r="AF47" s="21">
        <v>0.4</v>
      </c>
      <c r="AG47" s="21">
        <v>0.4</v>
      </c>
      <c r="AH47" s="21">
        <v>0.4</v>
      </c>
      <c r="AI47" s="21">
        <v>0.4</v>
      </c>
      <c r="AJ47" s="74"/>
      <c r="AK47" s="74"/>
      <c r="AL47" s="23"/>
      <c r="AM47" s="1" t="s">
        <v>3</v>
      </c>
    </row>
    <row r="48" spans="2:39" s="1" customFormat="1" ht="13.5" outlineLevel="1">
      <c r="B48" s="208"/>
      <c r="C48" s="211"/>
      <c r="D48" s="29" t="s">
        <v>36</v>
      </c>
      <c r="E48" s="34">
        <f t="shared" ref="E48:E53" si="22">SUM(H48:AL48)*F48</f>
        <v>0</v>
      </c>
      <c r="F48" s="39"/>
      <c r="G48" s="15" t="s">
        <v>18</v>
      </c>
      <c r="H48" s="18"/>
      <c r="I48" s="18"/>
      <c r="J48" s="18"/>
      <c r="K48" s="18"/>
      <c r="L48" s="18"/>
      <c r="M48" s="18"/>
      <c r="N48" s="18"/>
      <c r="O48" s="18"/>
      <c r="P48" s="18"/>
      <c r="Q48" s="18"/>
      <c r="R48" s="71"/>
      <c r="S48" s="18"/>
      <c r="T48" s="18"/>
      <c r="U48" s="18"/>
      <c r="V48" s="71"/>
      <c r="W48" s="71"/>
      <c r="X48" s="18"/>
      <c r="Y48" s="18"/>
      <c r="Z48" s="18"/>
      <c r="AA48" s="18"/>
      <c r="AB48" s="18"/>
      <c r="AC48" s="18"/>
      <c r="AD48" s="18"/>
      <c r="AE48" s="18"/>
      <c r="AF48" s="18"/>
      <c r="AG48" s="18"/>
      <c r="AH48" s="18"/>
      <c r="AI48" s="18"/>
      <c r="AJ48" s="18"/>
      <c r="AK48" s="18"/>
      <c r="AL48" s="24"/>
      <c r="AM48" s="1" t="s">
        <v>3</v>
      </c>
    </row>
    <row r="49" spans="2:39" s="1" customFormat="1" ht="14" outlineLevel="1" thickBot="1">
      <c r="B49" s="208"/>
      <c r="C49" s="211"/>
      <c r="D49" s="29"/>
      <c r="E49" s="53">
        <f t="shared" si="22"/>
        <v>0</v>
      </c>
      <c r="F49" s="41"/>
      <c r="G49" s="17" t="s">
        <v>18</v>
      </c>
      <c r="H49" s="25"/>
      <c r="I49" s="25"/>
      <c r="J49" s="18"/>
      <c r="K49" s="18"/>
      <c r="L49" s="18"/>
      <c r="M49" s="18"/>
      <c r="N49" s="18"/>
      <c r="O49" s="18"/>
      <c r="P49" s="18"/>
      <c r="Q49" s="18"/>
      <c r="R49" s="18"/>
      <c r="S49" s="18"/>
      <c r="T49" s="18"/>
      <c r="U49" s="18"/>
      <c r="V49" s="18"/>
      <c r="W49" s="71"/>
      <c r="X49" s="18"/>
      <c r="Y49" s="18"/>
      <c r="Z49" s="18"/>
      <c r="AA49" s="18"/>
      <c r="AB49" s="18"/>
      <c r="AC49" s="18"/>
      <c r="AD49" s="18"/>
      <c r="AE49" s="18"/>
      <c r="AF49" s="18"/>
      <c r="AG49" s="18"/>
      <c r="AH49" s="18"/>
      <c r="AI49" s="18"/>
      <c r="AJ49" s="18"/>
      <c r="AK49" s="18"/>
      <c r="AL49" s="27"/>
      <c r="AM49" s="1" t="s">
        <v>3</v>
      </c>
    </row>
    <row r="50" spans="2:39" s="1" customFormat="1" ht="13.5" outlineLevel="1">
      <c r="B50" s="208"/>
      <c r="C50" s="210" t="s">
        <v>25</v>
      </c>
      <c r="D50" s="30" t="s">
        <v>32</v>
      </c>
      <c r="E50" s="33">
        <f t="shared" si="22"/>
        <v>0</v>
      </c>
      <c r="F50" s="40"/>
      <c r="G50" s="16" t="s">
        <v>18</v>
      </c>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3"/>
      <c r="AM50" s="1" t="s">
        <v>3</v>
      </c>
    </row>
    <row r="51" spans="2:39" s="1" customFormat="1" ht="13.5" outlineLevel="1">
      <c r="B51" s="208"/>
      <c r="C51" s="211"/>
      <c r="D51" s="31" t="s">
        <v>33</v>
      </c>
      <c r="E51" s="34">
        <f t="shared" si="22"/>
        <v>98.800000000000026</v>
      </c>
      <c r="F51" s="39">
        <v>13</v>
      </c>
      <c r="G51" s="15" t="s">
        <v>18</v>
      </c>
      <c r="H51" s="18"/>
      <c r="I51" s="18"/>
      <c r="J51" s="18">
        <v>0.4</v>
      </c>
      <c r="K51" s="18">
        <v>0.4</v>
      </c>
      <c r="L51" s="18">
        <v>0.4</v>
      </c>
      <c r="M51" s="18">
        <v>0.4</v>
      </c>
      <c r="N51" s="18">
        <v>0.4</v>
      </c>
      <c r="O51" s="18"/>
      <c r="P51" s="18"/>
      <c r="Q51" s="18">
        <v>0.4</v>
      </c>
      <c r="R51" s="18"/>
      <c r="S51" s="18">
        <v>0.4</v>
      </c>
      <c r="T51" s="18">
        <v>0.4</v>
      </c>
      <c r="U51" s="18">
        <v>0.4</v>
      </c>
      <c r="V51" s="18"/>
      <c r="W51" s="18"/>
      <c r="X51" s="18">
        <v>0.4</v>
      </c>
      <c r="Y51" s="18">
        <v>0.4</v>
      </c>
      <c r="Z51" s="18">
        <v>0.4</v>
      </c>
      <c r="AA51" s="18">
        <v>0.4</v>
      </c>
      <c r="AB51" s="18">
        <v>0.4</v>
      </c>
      <c r="AC51" s="18"/>
      <c r="AD51" s="18"/>
      <c r="AE51" s="18">
        <v>0.4</v>
      </c>
      <c r="AF51" s="18">
        <v>0.4</v>
      </c>
      <c r="AG51" s="18">
        <v>0.4</v>
      </c>
      <c r="AH51" s="18">
        <v>0.4</v>
      </c>
      <c r="AI51" s="18">
        <v>0.4</v>
      </c>
      <c r="AJ51" s="18"/>
      <c r="AK51" s="18"/>
      <c r="AL51" s="24"/>
      <c r="AM51" s="1" t="s">
        <v>3</v>
      </c>
    </row>
    <row r="52" spans="2:39" s="1" customFormat="1" ht="13.5" outlineLevel="1">
      <c r="B52" s="208"/>
      <c r="C52" s="211"/>
      <c r="D52" s="31"/>
      <c r="E52" s="55">
        <f t="shared" si="22"/>
        <v>0</v>
      </c>
      <c r="F52" s="39"/>
      <c r="G52" s="15" t="s">
        <v>18</v>
      </c>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24"/>
      <c r="AM52" s="1" t="s">
        <v>3</v>
      </c>
    </row>
    <row r="53" spans="2:39" s="1" customFormat="1" ht="14" outlineLevel="1" thickBot="1">
      <c r="B53" s="208"/>
      <c r="C53" s="211"/>
      <c r="D53" s="31"/>
      <c r="E53" s="35">
        <f t="shared" si="22"/>
        <v>0</v>
      </c>
      <c r="F53" s="19"/>
      <c r="G53" s="46" t="s">
        <v>18</v>
      </c>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47"/>
      <c r="AM53" s="1" t="s">
        <v>3</v>
      </c>
    </row>
    <row r="54" spans="2:39">
      <c r="B54" s="227" t="s">
        <v>39</v>
      </c>
      <c r="C54" s="228"/>
      <c r="D54" s="228"/>
      <c r="E54" s="228"/>
      <c r="F54" s="228"/>
      <c r="G54" s="228"/>
      <c r="H54" s="49">
        <f>H11+H17+H23+H35+H47</f>
        <v>0</v>
      </c>
      <c r="I54" s="49">
        <f t="shared" ref="I54" si="23">I11+I17+I23+I35+I47</f>
        <v>0</v>
      </c>
      <c r="J54" s="49">
        <f>J11+J17+J23+J35+J47</f>
        <v>2</v>
      </c>
      <c r="K54" s="49">
        <f t="shared" ref="K54:AL54" si="24">K11+K17+K23+K35+K47</f>
        <v>1.5</v>
      </c>
      <c r="L54" s="49">
        <f t="shared" si="24"/>
        <v>2</v>
      </c>
      <c r="M54" s="49">
        <f t="shared" si="24"/>
        <v>1.5</v>
      </c>
      <c r="N54" s="49">
        <f t="shared" si="24"/>
        <v>2.5</v>
      </c>
      <c r="O54" s="49">
        <f>O11+O17+O23+O35+O47</f>
        <v>0</v>
      </c>
      <c r="P54" s="49">
        <f t="shared" ref="P54" si="25">P11+P17+P23+P35+P47</f>
        <v>0</v>
      </c>
      <c r="Q54" s="49">
        <f t="shared" si="24"/>
        <v>2</v>
      </c>
      <c r="R54" s="49">
        <f t="shared" si="24"/>
        <v>0</v>
      </c>
      <c r="S54" s="49">
        <f t="shared" si="24"/>
        <v>2</v>
      </c>
      <c r="T54" s="49">
        <f t="shared" si="24"/>
        <v>1.5</v>
      </c>
      <c r="U54" s="49">
        <f t="shared" si="24"/>
        <v>3</v>
      </c>
      <c r="V54" s="49">
        <f>V11+V17+V23+V35+V47</f>
        <v>0</v>
      </c>
      <c r="W54" s="49">
        <f t="shared" ref="W54" si="26">W11+W17+W23+W35+W47</f>
        <v>0</v>
      </c>
      <c r="X54" s="49">
        <f t="shared" si="24"/>
        <v>2.5</v>
      </c>
      <c r="Y54" s="49">
        <f t="shared" si="24"/>
        <v>1.5</v>
      </c>
      <c r="Z54" s="49">
        <f t="shared" si="24"/>
        <v>1.5</v>
      </c>
      <c r="AA54" s="49">
        <f t="shared" si="24"/>
        <v>2</v>
      </c>
      <c r="AB54" s="49">
        <f t="shared" si="24"/>
        <v>2.5</v>
      </c>
      <c r="AC54" s="49">
        <f>AC11+AC17+AC23+AC35+AC47</f>
        <v>0</v>
      </c>
      <c r="AD54" s="49">
        <f t="shared" ref="AD54" si="27">AD11+AD17+AD23+AD35+AD47</f>
        <v>0</v>
      </c>
      <c r="AE54" s="49">
        <f t="shared" si="24"/>
        <v>2.5</v>
      </c>
      <c r="AF54" s="49">
        <f t="shared" si="24"/>
        <v>1.5</v>
      </c>
      <c r="AG54" s="49">
        <f t="shared" si="24"/>
        <v>2</v>
      </c>
      <c r="AH54" s="49">
        <f t="shared" si="24"/>
        <v>1.5</v>
      </c>
      <c r="AI54" s="49">
        <f t="shared" si="24"/>
        <v>2.5</v>
      </c>
      <c r="AJ54" s="49">
        <f>AJ11+AJ17+AJ23+AJ35+AJ47</f>
        <v>0</v>
      </c>
      <c r="AK54" s="49">
        <f t="shared" ref="AK54" si="28">AK11+AK17+AK23+AK35+AK47</f>
        <v>0</v>
      </c>
      <c r="AL54" s="49">
        <f t="shared" si="24"/>
        <v>0</v>
      </c>
      <c r="AM54" s="1" t="s">
        <v>3</v>
      </c>
    </row>
    <row r="55" spans="2:39">
      <c r="B55" s="229" t="s">
        <v>40</v>
      </c>
      <c r="C55" s="230"/>
      <c r="D55" s="230"/>
      <c r="E55" s="230"/>
      <c r="F55" s="230"/>
      <c r="G55" s="230"/>
      <c r="H55" s="48">
        <v>0</v>
      </c>
      <c r="I55" s="48">
        <v>0</v>
      </c>
      <c r="J55" s="48">
        <v>3</v>
      </c>
      <c r="K55" s="48">
        <v>4</v>
      </c>
      <c r="L55" s="48">
        <v>3</v>
      </c>
      <c r="M55" s="48">
        <v>3</v>
      </c>
      <c r="N55" s="48">
        <v>4</v>
      </c>
      <c r="O55" s="48">
        <v>0</v>
      </c>
      <c r="P55" s="48">
        <v>0</v>
      </c>
      <c r="Q55" s="48">
        <v>3</v>
      </c>
      <c r="R55" s="48">
        <v>0</v>
      </c>
      <c r="S55" s="48">
        <v>3</v>
      </c>
      <c r="T55" s="48">
        <v>3</v>
      </c>
      <c r="U55" s="48">
        <v>4</v>
      </c>
      <c r="V55" s="48">
        <v>0</v>
      </c>
      <c r="W55" s="48">
        <v>0</v>
      </c>
      <c r="X55" s="48">
        <v>3</v>
      </c>
      <c r="Y55" s="48">
        <v>4</v>
      </c>
      <c r="Z55" s="48">
        <v>3</v>
      </c>
      <c r="AA55" s="48">
        <v>3</v>
      </c>
      <c r="AB55" s="48">
        <v>4</v>
      </c>
      <c r="AC55" s="48">
        <v>0</v>
      </c>
      <c r="AD55" s="48">
        <v>0</v>
      </c>
      <c r="AE55" s="48">
        <v>3</v>
      </c>
      <c r="AF55" s="48">
        <v>4</v>
      </c>
      <c r="AG55" s="48">
        <v>3</v>
      </c>
      <c r="AH55" s="48">
        <v>3</v>
      </c>
      <c r="AI55" s="48">
        <v>4</v>
      </c>
      <c r="AJ55" s="48">
        <v>0</v>
      </c>
      <c r="AK55" s="48">
        <v>0</v>
      </c>
      <c r="AL55" s="50">
        <v>3</v>
      </c>
      <c r="AM55" s="1" t="s">
        <v>3</v>
      </c>
    </row>
    <row r="56" spans="2:39">
      <c r="B56" s="229" t="s">
        <v>41</v>
      </c>
      <c r="C56" s="230"/>
      <c r="D56" s="230"/>
      <c r="E56" s="230"/>
      <c r="F56" s="230"/>
      <c r="G56" s="230"/>
      <c r="H56" s="48">
        <v>0</v>
      </c>
      <c r="I56" s="48">
        <v>0</v>
      </c>
      <c r="J56" s="48">
        <v>1.5</v>
      </c>
      <c r="K56" s="48">
        <v>1.5</v>
      </c>
      <c r="L56" s="48">
        <v>1.5</v>
      </c>
      <c r="M56" s="48">
        <v>1.5</v>
      </c>
      <c r="N56" s="48">
        <v>1.5</v>
      </c>
      <c r="O56" s="48">
        <v>0</v>
      </c>
      <c r="P56" s="48">
        <v>0</v>
      </c>
      <c r="Q56" s="48">
        <v>1.5</v>
      </c>
      <c r="R56" s="48">
        <v>0</v>
      </c>
      <c r="S56" s="48">
        <v>1.5</v>
      </c>
      <c r="T56" s="48">
        <v>1.5</v>
      </c>
      <c r="U56" s="48">
        <v>1.5</v>
      </c>
      <c r="V56" s="48">
        <v>0</v>
      </c>
      <c r="W56" s="48">
        <v>0</v>
      </c>
      <c r="X56" s="48">
        <v>1.5</v>
      </c>
      <c r="Y56" s="48">
        <v>1.5</v>
      </c>
      <c r="Z56" s="48">
        <v>1.5</v>
      </c>
      <c r="AA56" s="48">
        <v>1.5</v>
      </c>
      <c r="AB56" s="48">
        <v>1.5</v>
      </c>
      <c r="AC56" s="48">
        <v>0</v>
      </c>
      <c r="AD56" s="48">
        <v>0</v>
      </c>
      <c r="AE56" s="48">
        <v>1.5</v>
      </c>
      <c r="AF56" s="48">
        <v>1.5</v>
      </c>
      <c r="AG56" s="48">
        <v>1.5</v>
      </c>
      <c r="AH56" s="48">
        <v>1.5</v>
      </c>
      <c r="AI56" s="48">
        <v>1.5</v>
      </c>
      <c r="AJ56" s="48">
        <v>0</v>
      </c>
      <c r="AK56" s="48">
        <v>0</v>
      </c>
      <c r="AL56" s="50">
        <v>1.5</v>
      </c>
      <c r="AM56" s="1" t="s">
        <v>3</v>
      </c>
    </row>
    <row r="57" spans="2:39" ht="15.5" thickBot="1">
      <c r="B57" s="231" t="s">
        <v>42</v>
      </c>
      <c r="C57" s="232"/>
      <c r="D57" s="232"/>
      <c r="E57" s="232"/>
      <c r="F57" s="232"/>
      <c r="G57" s="232"/>
      <c r="H57" s="51">
        <f t="shared" ref="H57:I57" si="29">H55-(H54+H56)</f>
        <v>0</v>
      </c>
      <c r="I57" s="51">
        <f t="shared" si="29"/>
        <v>0</v>
      </c>
      <c r="J57" s="51">
        <f t="shared" ref="J57:AL57" si="30">J55-(J54+J56)</f>
        <v>-0.5</v>
      </c>
      <c r="K57" s="51">
        <f t="shared" si="30"/>
        <v>1</v>
      </c>
      <c r="L57" s="51">
        <f t="shared" si="30"/>
        <v>-0.5</v>
      </c>
      <c r="M57" s="51">
        <f t="shared" si="30"/>
        <v>0</v>
      </c>
      <c r="N57" s="51">
        <f t="shared" si="30"/>
        <v>0</v>
      </c>
      <c r="O57" s="51">
        <f t="shared" si="30"/>
        <v>0</v>
      </c>
      <c r="P57" s="51">
        <f t="shared" si="30"/>
        <v>0</v>
      </c>
      <c r="Q57" s="51">
        <f t="shared" si="30"/>
        <v>-0.5</v>
      </c>
      <c r="R57" s="51">
        <f t="shared" si="30"/>
        <v>0</v>
      </c>
      <c r="S57" s="51">
        <f t="shared" si="30"/>
        <v>-0.5</v>
      </c>
      <c r="T57" s="51">
        <f t="shared" si="30"/>
        <v>0</v>
      </c>
      <c r="U57" s="51">
        <f t="shared" si="30"/>
        <v>-0.5</v>
      </c>
      <c r="V57" s="51">
        <f t="shared" si="30"/>
        <v>0</v>
      </c>
      <c r="W57" s="51">
        <f t="shared" si="30"/>
        <v>0</v>
      </c>
      <c r="X57" s="51">
        <f t="shared" si="30"/>
        <v>-1</v>
      </c>
      <c r="Y57" s="51">
        <f t="shared" si="30"/>
        <v>1</v>
      </c>
      <c r="Z57" s="51">
        <f t="shared" si="30"/>
        <v>0</v>
      </c>
      <c r="AA57" s="51">
        <f t="shared" si="30"/>
        <v>-0.5</v>
      </c>
      <c r="AB57" s="51">
        <f t="shared" si="30"/>
        <v>0</v>
      </c>
      <c r="AC57" s="51">
        <f t="shared" si="30"/>
        <v>0</v>
      </c>
      <c r="AD57" s="51">
        <f t="shared" si="30"/>
        <v>0</v>
      </c>
      <c r="AE57" s="51">
        <f t="shared" si="30"/>
        <v>-1</v>
      </c>
      <c r="AF57" s="51">
        <f t="shared" si="30"/>
        <v>1</v>
      </c>
      <c r="AG57" s="51">
        <f t="shared" si="30"/>
        <v>-0.5</v>
      </c>
      <c r="AH57" s="51">
        <f t="shared" si="30"/>
        <v>0</v>
      </c>
      <c r="AI57" s="51">
        <f t="shared" si="30"/>
        <v>0</v>
      </c>
      <c r="AJ57" s="51">
        <f t="shared" si="30"/>
        <v>0</v>
      </c>
      <c r="AK57" s="51">
        <f t="shared" si="30"/>
        <v>0</v>
      </c>
      <c r="AL57" s="51">
        <f t="shared" si="30"/>
        <v>1.5</v>
      </c>
      <c r="AM57" s="1" t="s">
        <v>3</v>
      </c>
    </row>
  </sheetData>
  <autoFilter ref="B5:AM17" xr:uid="{72758B5E-EB6B-4A16-B8A9-B59A1AE50C6F}">
    <filterColumn colId="1" showButton="0"/>
  </autoFilter>
  <mergeCells count="39">
    <mergeCell ref="C50:C53"/>
    <mergeCell ref="B54:G54"/>
    <mergeCell ref="B55:G55"/>
    <mergeCell ref="B56:G56"/>
    <mergeCell ref="B57:G57"/>
    <mergeCell ref="B42:B53"/>
    <mergeCell ref="C42:D42"/>
    <mergeCell ref="C43:D43"/>
    <mergeCell ref="C44:D44"/>
    <mergeCell ref="C45:D45"/>
    <mergeCell ref="C46:D46"/>
    <mergeCell ref="C47:C49"/>
    <mergeCell ref="B30:B41"/>
    <mergeCell ref="C30:D30"/>
    <mergeCell ref="C31:D31"/>
    <mergeCell ref="C32:D32"/>
    <mergeCell ref="C33:D33"/>
    <mergeCell ref="C34:D34"/>
    <mergeCell ref="C35:C37"/>
    <mergeCell ref="C38:C41"/>
    <mergeCell ref="B18:B29"/>
    <mergeCell ref="C18:D18"/>
    <mergeCell ref="C19:D19"/>
    <mergeCell ref="C20:D20"/>
    <mergeCell ref="C21:D21"/>
    <mergeCell ref="C22:D22"/>
    <mergeCell ref="C23:C25"/>
    <mergeCell ref="C26:C29"/>
    <mergeCell ref="C3:D5"/>
    <mergeCell ref="E3:E5"/>
    <mergeCell ref="F3:F5"/>
    <mergeCell ref="B6:B17"/>
    <mergeCell ref="C6:D6"/>
    <mergeCell ref="C7:D7"/>
    <mergeCell ref="C8:D8"/>
    <mergeCell ref="C9:D9"/>
    <mergeCell ref="C10:D10"/>
    <mergeCell ref="C11:C13"/>
    <mergeCell ref="C14:C17"/>
  </mergeCells>
  <phoneticPr fontId="2"/>
  <conditionalFormatting sqref="H57:AK57">
    <cfRule type="cellIs" dxfId="2" priority="1" operator="notEqual">
      <formula>0</formula>
    </cfRule>
  </conditionalFormatting>
  <conditionalFormatting sqref="AL57">
    <cfRule type="cellIs" dxfId="0" priority="7"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8" id="{E4D92C4B-968C-4A9C-8726-662C65A5C5AB}">
            <xm:f>OR(WEEKDAY(H$4,2)&gt;=6,COUNTIF(祝日!$A:$A,H$4)&gt;=1)</xm:f>
            <x14:dxf>
              <fill>
                <patternFill>
                  <bgColor theme="1" tint="0.499984740745262"/>
                </patternFill>
              </fill>
            </x14:dxf>
          </x14:cfRule>
          <xm:sqref>H4:AL29 H35:AL41 H47:AL53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25C4D-9278-490D-ACB6-9C901A9F969E}">
  <dimension ref="A1:N20"/>
  <sheetViews>
    <sheetView zoomScale="145" zoomScaleNormal="145" workbookViewId="0">
      <selection activeCell="I17" sqref="I17"/>
    </sheetView>
  </sheetViews>
  <sheetFormatPr defaultRowHeight="15"/>
  <cols>
    <col min="1" max="1" width="2.640625" customWidth="1"/>
    <col min="2" max="2" width="6.42578125" customWidth="1"/>
    <col min="9" max="9" width="5.42578125" customWidth="1"/>
  </cols>
  <sheetData>
    <row r="1" spans="1:13">
      <c r="A1" s="62" t="s">
        <v>84</v>
      </c>
      <c r="I1" s="62" t="s">
        <v>85</v>
      </c>
    </row>
    <row r="3" spans="1:13">
      <c r="B3" s="62" t="s">
        <v>86</v>
      </c>
      <c r="J3" s="62"/>
    </row>
    <row r="4" spans="1:13">
      <c r="B4" s="60"/>
      <c r="C4" s="60" t="s">
        <v>87</v>
      </c>
      <c r="D4" s="274" t="s">
        <v>88</v>
      </c>
      <c r="E4" s="275"/>
      <c r="F4" s="274" t="s">
        <v>4</v>
      </c>
      <c r="G4" s="275"/>
      <c r="J4" s="60"/>
      <c r="K4" s="60" t="s">
        <v>87</v>
      </c>
      <c r="L4" s="68" t="s">
        <v>88</v>
      </c>
      <c r="M4" s="68" t="s">
        <v>4</v>
      </c>
    </row>
    <row r="5" spans="1:13">
      <c r="B5" s="61" t="s">
        <v>89</v>
      </c>
      <c r="C5" s="48" t="s">
        <v>90</v>
      </c>
      <c r="D5" s="48" t="s">
        <v>91</v>
      </c>
      <c r="E5" s="48" t="s">
        <v>92</v>
      </c>
      <c r="F5" s="48" t="s">
        <v>93</v>
      </c>
      <c r="G5" s="48" t="s">
        <v>94</v>
      </c>
      <c r="J5" s="61" t="s">
        <v>89</v>
      </c>
      <c r="K5" s="48" t="s">
        <v>90</v>
      </c>
      <c r="L5" s="48" t="s">
        <v>95</v>
      </c>
      <c r="M5" s="48" t="s">
        <v>96</v>
      </c>
    </row>
    <row r="6" spans="1:13">
      <c r="B6" s="61" t="s">
        <v>97</v>
      </c>
      <c r="C6" s="48" t="s">
        <v>90</v>
      </c>
      <c r="D6" s="48" t="s">
        <v>91</v>
      </c>
      <c r="E6" s="48" t="s">
        <v>31</v>
      </c>
      <c r="F6" s="48" t="s">
        <v>93</v>
      </c>
      <c r="G6" s="48" t="s">
        <v>94</v>
      </c>
      <c r="J6" s="61" t="s">
        <v>97</v>
      </c>
      <c r="K6" s="48" t="s">
        <v>90</v>
      </c>
      <c r="L6" s="48" t="s">
        <v>95</v>
      </c>
      <c r="M6" s="48" t="s">
        <v>98</v>
      </c>
    </row>
    <row r="7" spans="1:13">
      <c r="B7" s="61" t="s">
        <v>99</v>
      </c>
      <c r="C7" s="48" t="s">
        <v>90</v>
      </c>
      <c r="D7" s="48" t="s">
        <v>95</v>
      </c>
      <c r="E7" s="48" t="s">
        <v>92</v>
      </c>
      <c r="F7" s="63" t="s">
        <v>36</v>
      </c>
      <c r="G7" s="48" t="s">
        <v>92</v>
      </c>
      <c r="J7" s="61" t="s">
        <v>99</v>
      </c>
      <c r="K7" s="48" t="s">
        <v>90</v>
      </c>
      <c r="L7" s="48" t="s">
        <v>95</v>
      </c>
      <c r="M7" s="48" t="s">
        <v>100</v>
      </c>
    </row>
    <row r="11" spans="1:13">
      <c r="B11" s="62" t="s">
        <v>101</v>
      </c>
    </row>
    <row r="12" spans="1:13">
      <c r="B12" s="60"/>
      <c r="C12" s="60" t="s">
        <v>87</v>
      </c>
      <c r="D12" s="274" t="s">
        <v>88</v>
      </c>
      <c r="E12" s="275"/>
      <c r="F12" s="274" t="s">
        <v>4</v>
      </c>
      <c r="G12" s="275"/>
    </row>
    <row r="13" spans="1:13">
      <c r="B13" s="61" t="s">
        <v>89</v>
      </c>
      <c r="C13" s="48" t="s">
        <v>90</v>
      </c>
      <c r="D13" s="48" t="s">
        <v>96</v>
      </c>
      <c r="E13" s="48" t="s">
        <v>92</v>
      </c>
      <c r="F13" s="48" t="s">
        <v>93</v>
      </c>
      <c r="G13" s="48" t="s">
        <v>94</v>
      </c>
    </row>
    <row r="14" spans="1:13">
      <c r="B14" s="61" t="s">
        <v>97</v>
      </c>
      <c r="C14" s="48" t="s">
        <v>90</v>
      </c>
      <c r="D14" s="48" t="s">
        <v>96</v>
      </c>
      <c r="E14" s="48" t="s">
        <v>31</v>
      </c>
      <c r="F14" s="48" t="s">
        <v>93</v>
      </c>
      <c r="G14" s="48" t="s">
        <v>94</v>
      </c>
    </row>
    <row r="15" spans="1:13">
      <c r="B15" s="61" t="s">
        <v>99</v>
      </c>
      <c r="C15" s="48" t="s">
        <v>90</v>
      </c>
      <c r="D15" s="48" t="s">
        <v>95</v>
      </c>
      <c r="E15" s="48" t="s">
        <v>92</v>
      </c>
      <c r="F15" s="63" t="s">
        <v>102</v>
      </c>
      <c r="G15" s="48" t="s">
        <v>92</v>
      </c>
    </row>
    <row r="19" spans="9:14">
      <c r="I19" s="62"/>
      <c r="J19" s="62"/>
      <c r="K19" s="62"/>
      <c r="L19" s="62"/>
      <c r="M19" s="62"/>
      <c r="N19" s="62"/>
    </row>
    <row r="20" spans="9:14">
      <c r="I20" s="62"/>
      <c r="J20" s="62"/>
      <c r="K20" s="62"/>
      <c r="L20" s="62"/>
      <c r="M20" s="62"/>
      <c r="N20" s="62"/>
    </row>
  </sheetData>
  <mergeCells count="4">
    <mergeCell ref="D4:E4"/>
    <mergeCell ref="F4:G4"/>
    <mergeCell ref="D12:E12"/>
    <mergeCell ref="F12:G12"/>
  </mergeCells>
  <phoneticPr fontId="2"/>
  <pageMargins left="0.7" right="0.7" top="0.75" bottom="0.75" header="0.3" footer="0.3"/>
  <pageSetup paperSize="9" orientation="portrait" r:id="rId1"/>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0401(予定）</vt:lpstr>
      <vt:lpstr>0401(実績)</vt:lpstr>
      <vt:lpstr>0401(予実)</vt:lpstr>
      <vt:lpstr>0501(予定)</vt:lpstr>
      <vt:lpstr>0501(実績)</vt:lpstr>
      <vt:lpstr>0501(予実) </vt:lpstr>
      <vt:lpstr>0601(予定)</vt:lpstr>
      <vt:lpstr>0601(実績)</vt:lpstr>
      <vt:lpstr>0601(予実)</vt:lpstr>
      <vt:lpstr>0701</vt:lpstr>
      <vt:lpstr>TASK</vt:lpstr>
      <vt:lpstr>祝日</vt:lpstr>
      <vt:lpstr>0801</vt:lpstr>
      <vt:lpstr>受発送担当</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Ichimaru, Sumire</dc:creator>
  <cp:keywords/>
  <dc:description/>
  <cp:lastModifiedBy>Ichimaru, Sumire</cp:lastModifiedBy>
  <cp:revision/>
  <dcterms:created xsi:type="dcterms:W3CDTF">2026-03-16T09:41:42Z</dcterms:created>
  <dcterms:modified xsi:type="dcterms:W3CDTF">2026-08-14T05:38:58Z</dcterms:modified>
  <cp:category/>
  <cp:contentStatus/>
</cp:coreProperties>
</file>