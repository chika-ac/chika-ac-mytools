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kobay\projects\timeshift\元ネタ\"/>
    </mc:Choice>
  </mc:AlternateContent>
  <xr:revisionPtr revIDLastSave="0" documentId="13_ncr:1_{641EFF66-F922-48CE-938A-B2B3BC1C605B}" xr6:coauthVersionLast="47" xr6:coauthVersionMax="47" xr10:uidLastSave="{00000000-0000-0000-0000-000000000000}"/>
  <bookViews>
    <workbookView xWindow="-120" yWindow="-120" windowWidth="29040" windowHeight="15720" tabRatio="792" activeTab="2" xr2:uid="{C0ECBBFC-701C-4359-AA49-636F9CF8112D}"/>
  </bookViews>
  <sheets>
    <sheet name="表紙" sheetId="1" r:id="rId1"/>
    <sheet name="①各種設定" sheetId="4" r:id="rId2"/>
    <sheet name="②メンバー" sheetId="2" r:id="rId3"/>
    <sheet name="③休暇管理" sheetId="17" r:id="rId4"/>
    <sheet name="④月間シフト作成" sheetId="3" r:id="rId5"/>
    <sheet name="⑤月間_2026年10月" sheetId="16" r:id="rId6"/>
    <sheet name="⑥タイム_2026年10月" sheetId="12" r:id="rId7"/>
    <sheet name="⑧配分_2026年10月" sheetId="20" r:id="rId8"/>
    <sheet name="マクロ保存" sheetId="24" r:id="rId9"/>
  </sheets>
  <functionGroups builtInGroupCount="19"/>
  <definedNames>
    <definedName name="code_modFlow" localSheetId="8">マクロ保存!$B$1932:$B$2203</definedName>
    <definedName name="code_modLeave" localSheetId="8">マクロ保存!$B$2206:$B$2855</definedName>
    <definedName name="code_modShift" localSheetId="8">マクロ保存!$B$69:$B$1299</definedName>
    <definedName name="code_modTask" localSheetId="8">マクロ保存!$B$2858:$B$4156</definedName>
    <definedName name="code_modTime" localSheetId="8">マクロ保存!$B$1302:$B$1929</definedName>
    <definedName name="code_ThisWorkbook" localSheetId="8">マクロ保存!$B$55:$B$66</definedName>
    <definedName name="_xlnm.Print_Area" localSheetId="6">⑥タイム_2026年10月!$A$1:$O$471</definedName>
    <definedName name="_xlnm.Print_Titles" localSheetId="5">⑤月間_2026年10月!$A:$D,⑤月間_2026年10月!$4:$5</definedName>
    <definedName name="メンバー一覧">OFFSET(②メンバー!$B$5,0,0,MAX(1,COUNTA(②メンバー!$B$5:$B$104)),1)</definedName>
    <definedName name="担当一覧">OFFSET(①各種設定!$D$5,0,0,MAX(1,COUNTA(①各種設定!$D$5:$D$14)),1)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18" i="16" l="1"/>
  <c r="AK17" i="16"/>
  <c r="AK16" i="16"/>
  <c r="AK15" i="16"/>
  <c r="AK14" i="16"/>
  <c r="AK13" i="16"/>
  <c r="AK12" i="16"/>
  <c r="AK11" i="16"/>
  <c r="AK10" i="16"/>
  <c r="AK9" i="16"/>
  <c r="AK8" i="16"/>
  <c r="AK7" i="16"/>
  <c r="AK6" i="16"/>
  <c r="K21" i="20"/>
  <c r="K20" i="20"/>
  <c r="K22" i="20" s="1"/>
  <c r="J21" i="20"/>
  <c r="J20" i="20"/>
  <c r="J22" i="20" s="1"/>
  <c r="I22" i="20"/>
  <c r="I21" i="20"/>
  <c r="I20" i="20"/>
  <c r="H21" i="20"/>
  <c r="H20" i="20"/>
  <c r="H22" i="20" s="1"/>
  <c r="G21" i="20"/>
  <c r="G20" i="20"/>
  <c r="G22" i="20" s="1"/>
  <c r="F21" i="20"/>
  <c r="F20" i="20"/>
  <c r="F22" i="20" s="1"/>
  <c r="E21" i="20"/>
  <c r="E20" i="20"/>
  <c r="E22" i="20" s="1"/>
  <c r="E36" i="16" a="1"/>
  <c r="AI35" i="16"/>
  <c r="AH35" i="16"/>
  <c r="AG35" i="16"/>
  <c r="AF35" i="16"/>
  <c r="AE35" i="16"/>
  <c r="AD35" i="16"/>
  <c r="AC35" i="16"/>
  <c r="AB35" i="16"/>
  <c r="AA35" i="16"/>
  <c r="Z35" i="16"/>
  <c r="Y35" i="16"/>
  <c r="X35" i="16"/>
  <c r="W35" i="16"/>
  <c r="V35" i="16"/>
  <c r="U35" i="16"/>
  <c r="T35" i="16"/>
  <c r="S35" i="16"/>
  <c r="R35" i="16"/>
  <c r="Q35" i="16"/>
  <c r="P35" i="16"/>
  <c r="O35" i="16"/>
  <c r="N35" i="16"/>
  <c r="M35" i="16"/>
  <c r="L35" i="16"/>
  <c r="K35" i="16"/>
  <c r="J35" i="16"/>
  <c r="I35" i="16"/>
  <c r="H35" i="16"/>
  <c r="G35" i="16"/>
  <c r="F35" i="16"/>
  <c r="E35" i="16"/>
  <c r="D35" i="16"/>
  <c r="A6"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P1002" i="17"/>
  <c r="P1003" i="17"/>
  <c r="P1004" i="17"/>
  <c r="P1005"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5" i="17"/>
  <c r="D176" i="17"/>
  <c r="D177" i="17"/>
  <c r="D178" i="17"/>
  <c r="D179" i="17"/>
  <c r="D180" i="17"/>
  <c r="D181" i="17"/>
  <c r="D182" i="17"/>
  <c r="D183" i="17"/>
  <c r="D184" i="17"/>
  <c r="D185" i="17"/>
  <c r="D186" i="17"/>
  <c r="D187" i="17"/>
  <c r="D188" i="17"/>
  <c r="D189" i="17"/>
  <c r="D190" i="17"/>
  <c r="D191" i="17"/>
  <c r="D192" i="17"/>
  <c r="D193" i="17"/>
  <c r="D194" i="17"/>
  <c r="D195" i="17"/>
  <c r="D196" i="17"/>
  <c r="D197" i="17"/>
  <c r="D198" i="17"/>
  <c r="D199" i="17"/>
  <c r="D200" i="17"/>
  <c r="D201" i="17"/>
  <c r="D202" i="17"/>
  <c r="D203" i="17"/>
  <c r="D204" i="17"/>
  <c r="D205" i="17"/>
  <c r="D206" i="17"/>
  <c r="D207" i="17"/>
  <c r="D208" i="17"/>
  <c r="D209" i="17"/>
  <c r="D210" i="17"/>
  <c r="D211" i="17"/>
  <c r="D212" i="17"/>
  <c r="D213" i="17"/>
  <c r="D214" i="17"/>
  <c r="D215" i="17"/>
  <c r="D216" i="17"/>
  <c r="D217" i="17"/>
  <c r="D218" i="17"/>
  <c r="D219" i="17"/>
  <c r="D220" i="17"/>
  <c r="D221" i="17"/>
  <c r="D222" i="17"/>
  <c r="D223" i="17"/>
  <c r="D224" i="17"/>
  <c r="D225" i="17"/>
  <c r="D226" i="17"/>
  <c r="D227" i="17"/>
  <c r="D228" i="17"/>
  <c r="D229" i="17"/>
  <c r="D230" i="17"/>
  <c r="D231" i="17"/>
  <c r="D232" i="17"/>
  <c r="D233" i="17"/>
  <c r="D234" i="17"/>
  <c r="D235" i="17"/>
  <c r="D236" i="17"/>
  <c r="D237" i="17"/>
  <c r="D238" i="17"/>
  <c r="D239" i="17"/>
  <c r="D240" i="17"/>
  <c r="D241" i="17"/>
  <c r="D242" i="17"/>
  <c r="D243" i="17"/>
  <c r="D244" i="17"/>
  <c r="D245" i="17"/>
  <c r="D246" i="17"/>
  <c r="D247" i="17"/>
  <c r="D248" i="17"/>
  <c r="D249" i="17"/>
  <c r="D250" i="17"/>
  <c r="D251" i="17"/>
  <c r="D252" i="17"/>
  <c r="D253" i="17"/>
  <c r="D254" i="17"/>
  <c r="D255" i="17"/>
  <c r="D256" i="17"/>
  <c r="D257" i="17"/>
  <c r="D258" i="17"/>
  <c r="D259" i="17"/>
  <c r="D260" i="17"/>
  <c r="D261" i="17"/>
  <c r="D262" i="17"/>
  <c r="D263" i="17"/>
  <c r="D264" i="17"/>
  <c r="D265" i="17"/>
  <c r="D266" i="17"/>
  <c r="D267" i="17"/>
  <c r="D268" i="17"/>
  <c r="D269" i="17"/>
  <c r="D270" i="17"/>
  <c r="D271" i="17"/>
  <c r="D272" i="17"/>
  <c r="D273" i="17"/>
  <c r="D274" i="17"/>
  <c r="D275" i="17"/>
  <c r="D276" i="17"/>
  <c r="D277" i="17"/>
  <c r="D278" i="17"/>
  <c r="D279" i="17"/>
  <c r="D280" i="17"/>
  <c r="D281" i="17"/>
  <c r="D282" i="17"/>
  <c r="D283" i="17"/>
  <c r="D284" i="17"/>
  <c r="D285" i="17"/>
  <c r="D286" i="17"/>
  <c r="D287" i="17"/>
  <c r="D288" i="17"/>
  <c r="D289" i="17"/>
  <c r="D290" i="17"/>
  <c r="D291" i="17"/>
  <c r="D292" i="17"/>
  <c r="D293" i="17"/>
  <c r="D294" i="17"/>
  <c r="D295" i="17"/>
  <c r="D296" i="17"/>
  <c r="D297" i="17"/>
  <c r="D298" i="17"/>
  <c r="D299" i="17"/>
  <c r="D300" i="17"/>
  <c r="D301" i="17"/>
  <c r="D302" i="17"/>
  <c r="D303" i="17"/>
  <c r="D304" i="17"/>
  <c r="D305" i="17"/>
  <c r="D306" i="17"/>
  <c r="D307" i="17"/>
  <c r="D308" i="17"/>
  <c r="D309" i="17"/>
  <c r="D310" i="17"/>
  <c r="D311" i="17"/>
  <c r="D312" i="17"/>
  <c r="D313" i="17"/>
  <c r="D314" i="17"/>
  <c r="D315" i="17"/>
  <c r="D316" i="17"/>
  <c r="D317" i="17"/>
  <c r="D318" i="17"/>
  <c r="D319" i="17"/>
  <c r="D320" i="17"/>
  <c r="D321" i="17"/>
  <c r="D322" i="17"/>
  <c r="D323" i="17"/>
  <c r="D324" i="17"/>
  <c r="D325" i="17"/>
  <c r="D326" i="17"/>
  <c r="D327" i="17"/>
  <c r="D328" i="17"/>
  <c r="D329" i="17"/>
  <c r="D330" i="17"/>
  <c r="D331" i="17"/>
  <c r="D332" i="17"/>
  <c r="D333" i="17"/>
  <c r="D334" i="17"/>
  <c r="D335" i="17"/>
  <c r="D336" i="17"/>
  <c r="D337" i="17"/>
  <c r="D338" i="17"/>
  <c r="D339" i="17"/>
  <c r="D340" i="17"/>
  <c r="D341" i="17"/>
  <c r="D342" i="17"/>
  <c r="D343" i="17"/>
  <c r="D344" i="17"/>
  <c r="D345" i="17"/>
  <c r="D346" i="17"/>
  <c r="D347" i="17"/>
  <c r="D348" i="17"/>
  <c r="D349" i="17"/>
  <c r="D350" i="17"/>
  <c r="D351" i="17"/>
  <c r="D352" i="17"/>
  <c r="D353" i="17"/>
  <c r="D354" i="17"/>
  <c r="D355" i="17"/>
  <c r="D356" i="17"/>
  <c r="D357" i="17"/>
  <c r="D358" i="17"/>
  <c r="D359" i="17"/>
  <c r="D360" i="17"/>
  <c r="D361" i="17"/>
  <c r="D362" i="17"/>
  <c r="D363" i="17"/>
  <c r="D364" i="17"/>
  <c r="D365" i="17"/>
  <c r="D366" i="17"/>
  <c r="D367" i="17"/>
  <c r="D368" i="17"/>
  <c r="D369" i="17"/>
  <c r="D370" i="17"/>
  <c r="D371" i="17"/>
  <c r="D372" i="17"/>
  <c r="D373" i="17"/>
  <c r="D374" i="17"/>
  <c r="D375" i="17"/>
  <c r="D376" i="17"/>
  <c r="D377" i="17"/>
  <c r="D378" i="17"/>
  <c r="D379" i="17"/>
  <c r="D380" i="17"/>
  <c r="D381" i="17"/>
  <c r="D382" i="17"/>
  <c r="D383" i="17"/>
  <c r="D384" i="17"/>
  <c r="D385" i="17"/>
  <c r="D386" i="17"/>
  <c r="D387" i="17"/>
  <c r="D388" i="17"/>
  <c r="D389" i="17"/>
  <c r="D390" i="17"/>
  <c r="D391" i="17"/>
  <c r="D392" i="17"/>
  <c r="D393" i="17"/>
  <c r="D394" i="17"/>
  <c r="D395" i="17"/>
  <c r="D396" i="17"/>
  <c r="D397" i="17"/>
  <c r="D398" i="17"/>
  <c r="D399" i="17"/>
  <c r="D400" i="17"/>
  <c r="D401" i="17"/>
  <c r="D402" i="17"/>
  <c r="D403" i="17"/>
  <c r="D404" i="17"/>
  <c r="D405" i="17"/>
  <c r="D406" i="17"/>
  <c r="D407" i="17"/>
  <c r="D408" i="17"/>
  <c r="D409" i="17"/>
  <c r="D410" i="17"/>
  <c r="D411" i="17"/>
  <c r="D412" i="17"/>
  <c r="D413" i="17"/>
  <c r="D414" i="17"/>
  <c r="D415" i="17"/>
  <c r="D416" i="17"/>
  <c r="D417" i="17"/>
  <c r="D418" i="17"/>
  <c r="D419" i="17"/>
  <c r="D420" i="17"/>
  <c r="D421" i="17"/>
  <c r="D422" i="17"/>
  <c r="D423" i="17"/>
  <c r="D424" i="17"/>
  <c r="D425" i="17"/>
  <c r="D426" i="17"/>
  <c r="D427" i="17"/>
  <c r="D428" i="17"/>
  <c r="D429" i="17"/>
  <c r="D430" i="17"/>
  <c r="D431" i="17"/>
  <c r="D432" i="17"/>
  <c r="D433" i="17"/>
  <c r="D434" i="17"/>
  <c r="D435" i="17"/>
  <c r="D436" i="17"/>
  <c r="D437" i="17"/>
  <c r="D438" i="17"/>
  <c r="D439" i="17"/>
  <c r="D440" i="17"/>
  <c r="D441" i="17"/>
  <c r="D442" i="17"/>
  <c r="D443" i="17"/>
  <c r="D444" i="17"/>
  <c r="D445" i="17"/>
  <c r="D446" i="17"/>
  <c r="D447" i="17"/>
  <c r="D448" i="17"/>
  <c r="D449" i="17"/>
  <c r="D450" i="17"/>
  <c r="D451" i="17"/>
  <c r="D452" i="17"/>
  <c r="D453" i="17"/>
  <c r="D454" i="17"/>
  <c r="D455" i="17"/>
  <c r="D456" i="17"/>
  <c r="D457" i="17"/>
  <c r="D458" i="17"/>
  <c r="D459" i="17"/>
  <c r="D460" i="17"/>
  <c r="D461" i="17"/>
  <c r="D462" i="17"/>
  <c r="D463" i="17"/>
  <c r="D464" i="17"/>
  <c r="D465" i="17"/>
  <c r="D466" i="17"/>
  <c r="D467" i="17"/>
  <c r="D468" i="17"/>
  <c r="D469" i="17"/>
  <c r="D470" i="17"/>
  <c r="D471" i="17"/>
  <c r="D472" i="17"/>
  <c r="D473" i="17"/>
  <c r="D474" i="17"/>
  <c r="D475" i="17"/>
  <c r="D476" i="17"/>
  <c r="D477" i="17"/>
  <c r="D478" i="17"/>
  <c r="D479" i="17"/>
  <c r="D480" i="17"/>
  <c r="D481" i="17"/>
  <c r="D482" i="17"/>
  <c r="D483" i="17"/>
  <c r="D484" i="17"/>
  <c r="D485" i="17"/>
  <c r="D486" i="17"/>
  <c r="D487" i="17"/>
  <c r="D488" i="17"/>
  <c r="D489" i="17"/>
  <c r="D490" i="17"/>
  <c r="D491" i="17"/>
  <c r="D492" i="17"/>
  <c r="D493" i="17"/>
  <c r="D494" i="17"/>
  <c r="D495" i="17"/>
  <c r="D496" i="17"/>
  <c r="D497" i="17"/>
  <c r="D498" i="17"/>
  <c r="D499" i="17"/>
  <c r="D500" i="17"/>
  <c r="D501" i="17"/>
  <c r="D502" i="17"/>
  <c r="D503" i="17"/>
  <c r="D504" i="17"/>
  <c r="D505" i="17"/>
  <c r="D506" i="17"/>
  <c r="D507" i="17"/>
  <c r="D508" i="17"/>
  <c r="D509" i="17"/>
  <c r="D510" i="17"/>
  <c r="D511" i="17"/>
  <c r="D512" i="17"/>
  <c r="D513" i="17"/>
  <c r="D514" i="17"/>
  <c r="D515" i="17"/>
  <c r="D516" i="17"/>
  <c r="D517" i="17"/>
  <c r="D518" i="17"/>
  <c r="D519" i="17"/>
  <c r="D520" i="17"/>
  <c r="D521" i="17"/>
  <c r="D522" i="17"/>
  <c r="D523" i="17"/>
  <c r="D524" i="17"/>
  <c r="D525" i="17"/>
  <c r="D526" i="17"/>
  <c r="D527" i="17"/>
  <c r="D528" i="17"/>
  <c r="D529" i="17"/>
  <c r="D530" i="17"/>
  <c r="D531" i="17"/>
  <c r="D532" i="17"/>
  <c r="D533" i="17"/>
  <c r="D534" i="17"/>
  <c r="D535" i="17"/>
  <c r="D536" i="17"/>
  <c r="D537" i="17"/>
  <c r="D538" i="17"/>
  <c r="D539" i="17"/>
  <c r="D540" i="17"/>
  <c r="D541" i="17"/>
  <c r="D542" i="17"/>
  <c r="D543" i="17"/>
  <c r="D544" i="17"/>
  <c r="D545" i="17"/>
  <c r="D546" i="17"/>
  <c r="D547" i="17"/>
  <c r="D548" i="17"/>
  <c r="D549" i="17"/>
  <c r="D550" i="17"/>
  <c r="D551" i="17"/>
  <c r="D552" i="17"/>
  <c r="D553" i="17"/>
  <c r="D554" i="17"/>
  <c r="D555" i="17"/>
  <c r="D556" i="17"/>
  <c r="D557" i="17"/>
  <c r="D558" i="17"/>
  <c r="D559" i="17"/>
  <c r="D560" i="17"/>
  <c r="D561" i="17"/>
  <c r="D562" i="17"/>
  <c r="D563" i="17"/>
  <c r="D564" i="17"/>
  <c r="D565" i="17"/>
  <c r="D566" i="17"/>
  <c r="D567" i="17"/>
  <c r="D568" i="17"/>
  <c r="D569" i="17"/>
  <c r="D570" i="17"/>
  <c r="D571" i="17"/>
  <c r="D572" i="17"/>
  <c r="D573" i="17"/>
  <c r="D574" i="17"/>
  <c r="D575" i="17"/>
  <c r="D576" i="17"/>
  <c r="D577" i="17"/>
  <c r="D578" i="17"/>
  <c r="D579" i="17"/>
  <c r="D580" i="17"/>
  <c r="D581" i="17"/>
  <c r="D582" i="17"/>
  <c r="D583" i="17"/>
  <c r="D584" i="17"/>
  <c r="D585" i="17"/>
  <c r="D586" i="17"/>
  <c r="D587" i="17"/>
  <c r="D588" i="17"/>
  <c r="D589" i="17"/>
  <c r="D590" i="17"/>
  <c r="D591" i="17"/>
  <c r="D592" i="17"/>
  <c r="D593" i="17"/>
  <c r="D594" i="17"/>
  <c r="D595" i="17"/>
  <c r="D596" i="17"/>
  <c r="D597" i="17"/>
  <c r="D598" i="17"/>
  <c r="D599" i="17"/>
  <c r="D600" i="17"/>
  <c r="D601" i="17"/>
  <c r="D602" i="17"/>
  <c r="D603" i="17"/>
  <c r="D604" i="17"/>
  <c r="D605" i="17"/>
  <c r="D606" i="17"/>
  <c r="D607" i="17"/>
  <c r="D608" i="17"/>
  <c r="D609" i="17"/>
  <c r="D610" i="17"/>
  <c r="D611" i="17"/>
  <c r="D612" i="17"/>
  <c r="D613" i="17"/>
  <c r="D614" i="17"/>
  <c r="D615" i="17"/>
  <c r="D616" i="17"/>
  <c r="D617" i="17"/>
  <c r="D618" i="17"/>
  <c r="D619" i="17"/>
  <c r="D620" i="17"/>
  <c r="D621" i="17"/>
  <c r="D622" i="17"/>
  <c r="D623" i="17"/>
  <c r="D624" i="17"/>
  <c r="D625" i="17"/>
  <c r="D626" i="17"/>
  <c r="D627" i="17"/>
  <c r="D628" i="17"/>
  <c r="D629" i="17"/>
  <c r="D630" i="17"/>
  <c r="D631" i="17"/>
  <c r="D632" i="17"/>
  <c r="D633" i="17"/>
  <c r="D634" i="17"/>
  <c r="D635" i="17"/>
  <c r="D636" i="17"/>
  <c r="D637" i="17"/>
  <c r="D638" i="17"/>
  <c r="D639" i="17"/>
  <c r="D640" i="17"/>
  <c r="D641" i="17"/>
  <c r="D642" i="17"/>
  <c r="D643" i="17"/>
  <c r="D644" i="17"/>
  <c r="D645" i="17"/>
  <c r="D646" i="17"/>
  <c r="D647" i="17"/>
  <c r="D648" i="17"/>
  <c r="D649" i="17"/>
  <c r="D650" i="17"/>
  <c r="D651" i="17"/>
  <c r="D652" i="17"/>
  <c r="D653" i="17"/>
  <c r="D654" i="17"/>
  <c r="D655" i="17"/>
  <c r="D656" i="17"/>
  <c r="D657" i="17"/>
  <c r="D658" i="17"/>
  <c r="D659" i="17"/>
  <c r="D660" i="17"/>
  <c r="D661" i="17"/>
  <c r="D662" i="17"/>
  <c r="D663" i="17"/>
  <c r="D664" i="17"/>
  <c r="D665" i="17"/>
  <c r="D666" i="17"/>
  <c r="D667" i="17"/>
  <c r="D668" i="17"/>
  <c r="D669" i="17"/>
  <c r="D670" i="17"/>
  <c r="D671" i="17"/>
  <c r="D672" i="17"/>
  <c r="D673" i="17"/>
  <c r="D674" i="17"/>
  <c r="D675" i="17"/>
  <c r="D676" i="17"/>
  <c r="D677" i="17"/>
  <c r="D678" i="17"/>
  <c r="D679" i="17"/>
  <c r="D680" i="17"/>
  <c r="D681" i="17"/>
  <c r="D682" i="17"/>
  <c r="D683" i="17"/>
  <c r="D684" i="17"/>
  <c r="D685" i="17"/>
  <c r="D686" i="17"/>
  <c r="D687" i="17"/>
  <c r="D688" i="17"/>
  <c r="D689" i="17"/>
  <c r="D690" i="17"/>
  <c r="D691" i="17"/>
  <c r="D692" i="17"/>
  <c r="D693" i="17"/>
  <c r="D694" i="17"/>
  <c r="D695" i="17"/>
  <c r="D696" i="17"/>
  <c r="D697" i="17"/>
  <c r="D698" i="17"/>
  <c r="D699" i="17"/>
  <c r="D700" i="17"/>
  <c r="D701" i="17"/>
  <c r="D702" i="17"/>
  <c r="D703" i="17"/>
  <c r="D704" i="17"/>
  <c r="D705" i="17"/>
  <c r="D706" i="17"/>
  <c r="D707" i="17"/>
  <c r="D708" i="17"/>
  <c r="D709" i="17"/>
  <c r="D710" i="17"/>
  <c r="D711" i="17"/>
  <c r="D712" i="17"/>
  <c r="D713" i="17"/>
  <c r="D714" i="17"/>
  <c r="D715" i="17"/>
  <c r="D716" i="17"/>
  <c r="D717" i="17"/>
  <c r="D718" i="17"/>
  <c r="D719" i="17"/>
  <c r="D720" i="17"/>
  <c r="D721" i="17"/>
  <c r="D722" i="17"/>
  <c r="D723" i="17"/>
  <c r="D724" i="17"/>
  <c r="D725" i="17"/>
  <c r="D726" i="17"/>
  <c r="D727" i="17"/>
  <c r="D728" i="17"/>
  <c r="D729" i="17"/>
  <c r="D730" i="17"/>
  <c r="D731" i="17"/>
  <c r="D732" i="17"/>
  <c r="D733" i="17"/>
  <c r="D734" i="17"/>
  <c r="D735" i="17"/>
  <c r="D736" i="17"/>
  <c r="D737" i="17"/>
  <c r="D738" i="17"/>
  <c r="D739" i="17"/>
  <c r="D740" i="17"/>
  <c r="D741" i="17"/>
  <c r="D742" i="17"/>
  <c r="D743" i="17"/>
  <c r="D744" i="17"/>
  <c r="D745" i="17"/>
  <c r="D746" i="17"/>
  <c r="D747" i="17"/>
  <c r="D748" i="17"/>
  <c r="D749" i="17"/>
  <c r="D750" i="17"/>
  <c r="D751" i="17"/>
  <c r="D752" i="17"/>
  <c r="D753" i="17"/>
  <c r="D754" i="17"/>
  <c r="D755" i="17"/>
  <c r="D756" i="17"/>
  <c r="D757" i="17"/>
  <c r="D758" i="17"/>
  <c r="D759" i="17"/>
  <c r="D760" i="17"/>
  <c r="D761" i="17"/>
  <c r="D762" i="17"/>
  <c r="D763" i="17"/>
  <c r="D764" i="17"/>
  <c r="D765" i="17"/>
  <c r="D766" i="17"/>
  <c r="D767" i="17"/>
  <c r="D768" i="17"/>
  <c r="D769" i="17"/>
  <c r="D770" i="17"/>
  <c r="D771" i="17"/>
  <c r="D772" i="17"/>
  <c r="D773" i="17"/>
  <c r="D774" i="17"/>
  <c r="D775" i="17"/>
  <c r="D776" i="17"/>
  <c r="D777" i="17"/>
  <c r="D778" i="17"/>
  <c r="D779" i="17"/>
  <c r="D780" i="17"/>
  <c r="D781" i="17"/>
  <c r="D782" i="17"/>
  <c r="D783" i="17"/>
  <c r="D784" i="17"/>
  <c r="D785" i="17"/>
  <c r="D786" i="17"/>
  <c r="D787" i="17"/>
  <c r="D788" i="17"/>
  <c r="D789" i="17"/>
  <c r="D790" i="17"/>
  <c r="D791" i="17"/>
  <c r="D792" i="17"/>
  <c r="D793" i="17"/>
  <c r="D794" i="17"/>
  <c r="D795" i="17"/>
  <c r="D796" i="17"/>
  <c r="D797" i="17"/>
  <c r="D798" i="17"/>
  <c r="D799" i="17"/>
  <c r="D800" i="17"/>
  <c r="D801" i="17"/>
  <c r="D802" i="17"/>
  <c r="D803" i="17"/>
  <c r="D804" i="17"/>
  <c r="D805" i="17"/>
  <c r="D806" i="17"/>
  <c r="D807" i="17"/>
  <c r="D808" i="17"/>
  <c r="D809" i="17"/>
  <c r="D810" i="17"/>
  <c r="D811" i="17"/>
  <c r="D812" i="17"/>
  <c r="D813" i="17"/>
  <c r="D814" i="17"/>
  <c r="D815" i="17"/>
  <c r="D816" i="17"/>
  <c r="D817" i="17"/>
  <c r="D818" i="17"/>
  <c r="D819" i="17"/>
  <c r="D820" i="17"/>
  <c r="D821" i="17"/>
  <c r="D822" i="17"/>
  <c r="D823" i="17"/>
  <c r="D824" i="17"/>
  <c r="D825" i="17"/>
  <c r="D826" i="17"/>
  <c r="D827" i="17"/>
  <c r="D828" i="17"/>
  <c r="D829" i="17"/>
  <c r="D830" i="17"/>
  <c r="D831" i="17"/>
  <c r="D832" i="17"/>
  <c r="D833" i="17"/>
  <c r="D834" i="17"/>
  <c r="D835" i="17"/>
  <c r="D836" i="17"/>
  <c r="D837" i="17"/>
  <c r="D838" i="17"/>
  <c r="D839" i="17"/>
  <c r="D840" i="17"/>
  <c r="D841" i="17"/>
  <c r="D842" i="17"/>
  <c r="D843" i="17"/>
  <c r="D844" i="17"/>
  <c r="D845" i="17"/>
  <c r="D846" i="17"/>
  <c r="D847" i="17"/>
  <c r="D848" i="17"/>
  <c r="D849" i="17"/>
  <c r="D850" i="17"/>
  <c r="D851" i="17"/>
  <c r="D852" i="17"/>
  <c r="D853" i="17"/>
  <c r="D854" i="17"/>
  <c r="D855" i="17"/>
  <c r="D856" i="17"/>
  <c r="D857" i="17"/>
  <c r="D858" i="17"/>
  <c r="D859" i="17"/>
  <c r="D860" i="17"/>
  <c r="D861" i="17"/>
  <c r="D862" i="17"/>
  <c r="D863" i="17"/>
  <c r="D864" i="17"/>
  <c r="D865" i="17"/>
  <c r="D866" i="17"/>
  <c r="D867" i="17"/>
  <c r="D868" i="17"/>
  <c r="D869" i="17"/>
  <c r="D870" i="17"/>
  <c r="D871" i="17"/>
  <c r="D872" i="17"/>
  <c r="D873" i="17"/>
  <c r="D874" i="17"/>
  <c r="D875" i="17"/>
  <c r="D876" i="17"/>
  <c r="D877" i="17"/>
  <c r="D878" i="17"/>
  <c r="D879" i="17"/>
  <c r="D880" i="17"/>
  <c r="D881" i="17"/>
  <c r="D882" i="17"/>
  <c r="D883" i="17"/>
  <c r="D884" i="17"/>
  <c r="D885" i="17"/>
  <c r="D886" i="17"/>
  <c r="D887" i="17"/>
  <c r="D888" i="17"/>
  <c r="D889" i="17"/>
  <c r="D890" i="17"/>
  <c r="D891" i="17"/>
  <c r="D892" i="17"/>
  <c r="D893" i="17"/>
  <c r="D894" i="17"/>
  <c r="D895" i="17"/>
  <c r="D896" i="17"/>
  <c r="D897" i="17"/>
  <c r="D898" i="17"/>
  <c r="D899" i="17"/>
  <c r="D900" i="17"/>
  <c r="D901" i="17"/>
  <c r="D902" i="17"/>
  <c r="D903" i="17"/>
  <c r="D904" i="17"/>
  <c r="D905" i="17"/>
  <c r="D906" i="17"/>
  <c r="D907" i="17"/>
  <c r="D908" i="17"/>
  <c r="D909" i="17"/>
  <c r="D910" i="17"/>
  <c r="D911" i="17"/>
  <c r="D912" i="17"/>
  <c r="D913" i="17"/>
  <c r="D914" i="17"/>
  <c r="D915" i="17"/>
  <c r="D916" i="17"/>
  <c r="D917" i="17"/>
  <c r="D918" i="17"/>
  <c r="D919" i="17"/>
  <c r="D920" i="17"/>
  <c r="D921" i="17"/>
  <c r="D922" i="17"/>
  <c r="D923" i="17"/>
  <c r="D924" i="17"/>
  <c r="D925" i="17"/>
  <c r="D926" i="17"/>
  <c r="D927" i="17"/>
  <c r="D928" i="17"/>
  <c r="D929" i="17"/>
  <c r="D930" i="17"/>
  <c r="D931" i="17"/>
  <c r="D932" i="17"/>
  <c r="D933" i="17"/>
  <c r="D934" i="17"/>
  <c r="D935" i="17"/>
  <c r="D936" i="17"/>
  <c r="D937" i="17"/>
  <c r="D938" i="17"/>
  <c r="D939" i="17"/>
  <c r="D940" i="17"/>
  <c r="D941" i="17"/>
  <c r="D942" i="17"/>
  <c r="D943" i="17"/>
  <c r="D944" i="17"/>
  <c r="D945" i="17"/>
  <c r="D946" i="17"/>
  <c r="D947" i="17"/>
  <c r="D948" i="17"/>
  <c r="D949" i="17"/>
  <c r="D950" i="17"/>
  <c r="D951" i="17"/>
  <c r="D952" i="17"/>
  <c r="D953" i="17"/>
  <c r="D954" i="17"/>
  <c r="D955" i="17"/>
  <c r="D956" i="17"/>
  <c r="D957" i="17"/>
  <c r="D958" i="17"/>
  <c r="D959" i="17"/>
  <c r="D960" i="17"/>
  <c r="D961" i="17"/>
  <c r="D962" i="17"/>
  <c r="D963" i="17"/>
  <c r="D964" i="17"/>
  <c r="D965" i="17"/>
  <c r="D966" i="17"/>
  <c r="D967" i="17"/>
  <c r="D968" i="17"/>
  <c r="D969" i="17"/>
  <c r="D970" i="17"/>
  <c r="D971" i="17"/>
  <c r="D972" i="17"/>
  <c r="D973" i="17"/>
  <c r="D974" i="17"/>
  <c r="D975" i="17"/>
  <c r="D976" i="17"/>
  <c r="D977" i="17"/>
  <c r="D978" i="17"/>
  <c r="D979" i="17"/>
  <c r="D980" i="17"/>
  <c r="D981" i="17"/>
  <c r="D982" i="17"/>
  <c r="D983" i="17"/>
  <c r="D984" i="17"/>
  <c r="D985" i="17"/>
  <c r="D986" i="17"/>
  <c r="D987" i="17"/>
  <c r="D988" i="17"/>
  <c r="D989" i="17"/>
  <c r="D990" i="17"/>
  <c r="D991" i="17"/>
  <c r="D992" i="17"/>
  <c r="D993" i="17"/>
  <c r="D994" i="17"/>
  <c r="D995" i="17"/>
  <c r="D996" i="17"/>
  <c r="D997" i="17"/>
  <c r="D998" i="17"/>
  <c r="D999" i="17"/>
  <c r="D1000" i="17"/>
  <c r="D1001" i="17"/>
  <c r="D1002" i="17"/>
  <c r="D1003" i="17"/>
  <c r="D1004" i="17"/>
  <c r="D1005"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A301" i="17"/>
  <c r="A302" i="17"/>
  <c r="A303" i="17"/>
  <c r="A304" i="17"/>
  <c r="A305" i="17"/>
  <c r="A306" i="17"/>
  <c r="A307" i="17"/>
  <c r="A308" i="17"/>
  <c r="A309" i="17"/>
  <c r="A310" i="17"/>
  <c r="A311" i="17"/>
  <c r="A312" i="17"/>
  <c r="A313" i="17"/>
  <c r="A314" i="17"/>
  <c r="A315" i="17"/>
  <c r="A316" i="17"/>
  <c r="A317" i="17"/>
  <c r="A318" i="17"/>
  <c r="A319" i="17"/>
  <c r="A320" i="17"/>
  <c r="A321" i="17"/>
  <c r="A322" i="17"/>
  <c r="A323" i="17"/>
  <c r="A324" i="17"/>
  <c r="A325" i="17"/>
  <c r="A326" i="17"/>
  <c r="A327" i="17"/>
  <c r="A328" i="17"/>
  <c r="A329" i="17"/>
  <c r="A330" i="17"/>
  <c r="A331" i="17"/>
  <c r="A332" i="17"/>
  <c r="A333" i="17"/>
  <c r="A334" i="17"/>
  <c r="A335" i="17"/>
  <c r="A336" i="17"/>
  <c r="A337" i="17"/>
  <c r="A338" i="17"/>
  <c r="A339" i="17"/>
  <c r="A340" i="17"/>
  <c r="A341" i="17"/>
  <c r="A342" i="17"/>
  <c r="A343" i="17"/>
  <c r="A344" i="17"/>
  <c r="A345" i="17"/>
  <c r="A346" i="17"/>
  <c r="A347" i="17"/>
  <c r="A348" i="17"/>
  <c r="A349" i="17"/>
  <c r="A350" i="17"/>
  <c r="A351" i="17"/>
  <c r="A352" i="17"/>
  <c r="A353" i="17"/>
  <c r="A354" i="17"/>
  <c r="A355" i="17"/>
  <c r="A356" i="17"/>
  <c r="A357" i="17"/>
  <c r="A358" i="17"/>
  <c r="A359" i="17"/>
  <c r="A360" i="17"/>
  <c r="A361" i="17"/>
  <c r="A362" i="17"/>
  <c r="A363" i="17"/>
  <c r="A364" i="17"/>
  <c r="A365" i="17"/>
  <c r="A366" i="17"/>
  <c r="A367" i="17"/>
  <c r="A368" i="17"/>
  <c r="A369" i="17"/>
  <c r="A370" i="17"/>
  <c r="A371" i="17"/>
  <c r="A372" i="17"/>
  <c r="A373" i="17"/>
  <c r="A374" i="17"/>
  <c r="A375" i="17"/>
  <c r="A376" i="17"/>
  <c r="A377" i="17"/>
  <c r="A378" i="17"/>
  <c r="A379" i="17"/>
  <c r="A380" i="17"/>
  <c r="A381" i="17"/>
  <c r="A382" i="17"/>
  <c r="A383" i="17"/>
  <c r="A384" i="17"/>
  <c r="A385" i="17"/>
  <c r="A386" i="17"/>
  <c r="A387" i="17"/>
  <c r="A388" i="17"/>
  <c r="A389" i="17"/>
  <c r="A390" i="17"/>
  <c r="A391" i="17"/>
  <c r="A392" i="17"/>
  <c r="A393" i="17"/>
  <c r="A394" i="17"/>
  <c r="A395" i="17"/>
  <c r="A396" i="17"/>
  <c r="A397" i="17"/>
  <c r="A398" i="17"/>
  <c r="A399" i="17"/>
  <c r="A400" i="17"/>
  <c r="A401" i="17"/>
  <c r="A402" i="17"/>
  <c r="A403" i="17"/>
  <c r="A404" i="17"/>
  <c r="A405" i="17"/>
  <c r="A406" i="17"/>
  <c r="A407" i="17"/>
  <c r="A408" i="17"/>
  <c r="A409" i="17"/>
  <c r="A410" i="17"/>
  <c r="A411" i="17"/>
  <c r="A412" i="17"/>
  <c r="A413" i="17"/>
  <c r="A414" i="17"/>
  <c r="A415" i="17"/>
  <c r="A416" i="17"/>
  <c r="A417" i="17"/>
  <c r="A418" i="17"/>
  <c r="A419" i="17"/>
  <c r="A420" i="17"/>
  <c r="A421" i="17"/>
  <c r="A422" i="17"/>
  <c r="A423" i="17"/>
  <c r="A424" i="17"/>
  <c r="A425" i="17"/>
  <c r="A426" i="17"/>
  <c r="A427" i="17"/>
  <c r="A428" i="17"/>
  <c r="A429" i="17"/>
  <c r="A430" i="17"/>
  <c r="A431" i="17"/>
  <c r="A432" i="17"/>
  <c r="A433" i="17"/>
  <c r="A434" i="17"/>
  <c r="A435" i="17"/>
  <c r="A436" i="17"/>
  <c r="A437" i="17"/>
  <c r="A438" i="17"/>
  <c r="A439" i="17"/>
  <c r="A440" i="17"/>
  <c r="A441" i="17"/>
  <c r="A442" i="17"/>
  <c r="A443" i="17"/>
  <c r="A444" i="17"/>
  <c r="A445" i="17"/>
  <c r="A446" i="17"/>
  <c r="A447" i="17"/>
  <c r="A448" i="17"/>
  <c r="A449" i="17"/>
  <c r="A450" i="17"/>
  <c r="A451" i="17"/>
  <c r="A452" i="17"/>
  <c r="A453" i="17"/>
  <c r="A454" i="17"/>
  <c r="A455" i="17"/>
  <c r="A456" i="17"/>
  <c r="A457" i="17"/>
  <c r="A458" i="17"/>
  <c r="A459" i="17"/>
  <c r="A460" i="17"/>
  <c r="A461" i="17"/>
  <c r="A462" i="17"/>
  <c r="A463" i="17"/>
  <c r="A464" i="17"/>
  <c r="A465" i="17"/>
  <c r="A466" i="17"/>
  <c r="A467" i="17"/>
  <c r="A468" i="17"/>
  <c r="A469" i="17"/>
  <c r="A470" i="17"/>
  <c r="A471" i="17"/>
  <c r="A472" i="17"/>
  <c r="A473" i="17"/>
  <c r="A474" i="17"/>
  <c r="A475" i="17"/>
  <c r="A476" i="17"/>
  <c r="A477" i="17"/>
  <c r="A478" i="17"/>
  <c r="A479" i="17"/>
  <c r="A480" i="17"/>
  <c r="A481" i="17"/>
  <c r="A482" i="17"/>
  <c r="A483" i="17"/>
  <c r="A484" i="17"/>
  <c r="A485" i="17"/>
  <c r="A486" i="17"/>
  <c r="A487" i="17"/>
  <c r="A488" i="17"/>
  <c r="A489" i="17"/>
  <c r="A490" i="17"/>
  <c r="A491" i="17"/>
  <c r="A492" i="17"/>
  <c r="A493" i="17"/>
  <c r="A494" i="17"/>
  <c r="A495" i="17"/>
  <c r="A496" i="17"/>
  <c r="A497" i="17"/>
  <c r="A498" i="17"/>
  <c r="A499" i="17"/>
  <c r="A500" i="17"/>
  <c r="A501" i="17"/>
  <c r="A502" i="17"/>
  <c r="A503" i="17"/>
  <c r="A504" i="17"/>
  <c r="A505" i="17"/>
  <c r="A506" i="17"/>
  <c r="A507" i="17"/>
  <c r="A508" i="17"/>
  <c r="A509" i="17"/>
  <c r="A510" i="17"/>
  <c r="A511" i="17"/>
  <c r="A512" i="17"/>
  <c r="A513" i="17"/>
  <c r="A514" i="17"/>
  <c r="A515" i="17"/>
  <c r="A516" i="17"/>
  <c r="A517" i="17"/>
  <c r="A518" i="17"/>
  <c r="A519" i="17"/>
  <c r="A520" i="17"/>
  <c r="A521" i="17"/>
  <c r="A522" i="17"/>
  <c r="A523" i="17"/>
  <c r="A524" i="17"/>
  <c r="A525" i="17"/>
  <c r="A526" i="17"/>
  <c r="A527" i="17"/>
  <c r="A528" i="17"/>
  <c r="A529" i="17"/>
  <c r="A530" i="17"/>
  <c r="A531" i="17"/>
  <c r="A532" i="17"/>
  <c r="A533" i="17"/>
  <c r="A534" i="17"/>
  <c r="A535" i="17"/>
  <c r="A536" i="17"/>
  <c r="A537" i="17"/>
  <c r="A538" i="17"/>
  <c r="A539" i="17"/>
  <c r="A540" i="17"/>
  <c r="A541" i="17"/>
  <c r="A542" i="17"/>
  <c r="A543" i="17"/>
  <c r="A544" i="17"/>
  <c r="A545" i="17"/>
  <c r="A546" i="17"/>
  <c r="A547" i="17"/>
  <c r="A548" i="17"/>
  <c r="A549" i="17"/>
  <c r="A550" i="17"/>
  <c r="A551" i="17"/>
  <c r="A552" i="17"/>
  <c r="A553" i="17"/>
  <c r="A554" i="17"/>
  <c r="A555" i="17"/>
  <c r="A556" i="17"/>
  <c r="A557" i="17"/>
  <c r="A558" i="17"/>
  <c r="A559" i="17"/>
  <c r="A560" i="17"/>
  <c r="A561" i="17"/>
  <c r="A562" i="17"/>
  <c r="A563" i="17"/>
  <c r="A564" i="17"/>
  <c r="A565" i="17"/>
  <c r="A566" i="17"/>
  <c r="A567" i="17"/>
  <c r="A568" i="17"/>
  <c r="A569" i="17"/>
  <c r="A570" i="17"/>
  <c r="A571" i="17"/>
  <c r="A572" i="17"/>
  <c r="A573" i="17"/>
  <c r="A574" i="17"/>
  <c r="A575" i="17"/>
  <c r="A576" i="17"/>
  <c r="A577" i="17"/>
  <c r="A578" i="17"/>
  <c r="A579" i="17"/>
  <c r="A580" i="17"/>
  <c r="A581" i="17"/>
  <c r="A582" i="17"/>
  <c r="A583" i="17"/>
  <c r="A584" i="17"/>
  <c r="A585" i="17"/>
  <c r="A586" i="17"/>
  <c r="A587" i="17"/>
  <c r="A588" i="17"/>
  <c r="A589" i="17"/>
  <c r="A590" i="17"/>
  <c r="A591" i="17"/>
  <c r="A592" i="17"/>
  <c r="A593" i="17"/>
  <c r="A594" i="17"/>
  <c r="A595" i="17"/>
  <c r="A596" i="17"/>
  <c r="A597" i="17"/>
  <c r="A598" i="17"/>
  <c r="A599" i="17"/>
  <c r="A600" i="17"/>
  <c r="A601" i="17"/>
  <c r="A602" i="17"/>
  <c r="A603" i="17"/>
  <c r="A604" i="17"/>
  <c r="A605" i="17"/>
  <c r="A606" i="17"/>
  <c r="A607" i="17"/>
  <c r="A608" i="17"/>
  <c r="A609" i="17"/>
  <c r="A610" i="17"/>
  <c r="A611" i="17"/>
  <c r="A612" i="17"/>
  <c r="A613" i="17"/>
  <c r="A614" i="17"/>
  <c r="A615" i="17"/>
  <c r="A616" i="17"/>
  <c r="A617" i="17"/>
  <c r="A618" i="17"/>
  <c r="A619" i="17"/>
  <c r="A620" i="17"/>
  <c r="A621" i="17"/>
  <c r="A622" i="17"/>
  <c r="A623" i="17"/>
  <c r="A624" i="17"/>
  <c r="A625" i="17"/>
  <c r="A626" i="17"/>
  <c r="A627" i="17"/>
  <c r="A628" i="17"/>
  <c r="A629" i="17"/>
  <c r="A630" i="17"/>
  <c r="A631" i="17"/>
  <c r="A632" i="17"/>
  <c r="A633" i="17"/>
  <c r="A634" i="17"/>
  <c r="A635" i="17"/>
  <c r="A636" i="17"/>
  <c r="A637" i="17"/>
  <c r="A638" i="17"/>
  <c r="A639" i="17"/>
  <c r="A640" i="17"/>
  <c r="A641" i="17"/>
  <c r="A642" i="17"/>
  <c r="A643" i="17"/>
  <c r="A644" i="17"/>
  <c r="A645" i="17"/>
  <c r="A646" i="17"/>
  <c r="A647" i="17"/>
  <c r="A648" i="17"/>
  <c r="A649" i="17"/>
  <c r="A650" i="17"/>
  <c r="A651" i="17"/>
  <c r="A652" i="17"/>
  <c r="A653" i="17"/>
  <c r="A654" i="17"/>
  <c r="A655" i="17"/>
  <c r="A656" i="17"/>
  <c r="A657" i="17"/>
  <c r="A658" i="17"/>
  <c r="A659" i="17"/>
  <c r="A660" i="17"/>
  <c r="A661" i="17"/>
  <c r="A662" i="17"/>
  <c r="A663" i="17"/>
  <c r="A664" i="17"/>
  <c r="A665" i="17"/>
  <c r="A666" i="17"/>
  <c r="A667" i="17"/>
  <c r="A668" i="17"/>
  <c r="A669" i="17"/>
  <c r="A670" i="17"/>
  <c r="A671" i="17"/>
  <c r="A672" i="17"/>
  <c r="A673" i="17"/>
  <c r="A674" i="17"/>
  <c r="A675" i="17"/>
  <c r="A676" i="17"/>
  <c r="A677" i="17"/>
  <c r="A678" i="17"/>
  <c r="A679" i="17"/>
  <c r="A680" i="17"/>
  <c r="A681" i="17"/>
  <c r="A682" i="17"/>
  <c r="A683" i="17"/>
  <c r="A684" i="17"/>
  <c r="A685" i="17"/>
  <c r="A686" i="17"/>
  <c r="A687" i="17"/>
  <c r="A688" i="17"/>
  <c r="A689" i="17"/>
  <c r="A690" i="17"/>
  <c r="A691" i="17"/>
  <c r="A692" i="17"/>
  <c r="A693" i="17"/>
  <c r="A694" i="17"/>
  <c r="A695" i="17"/>
  <c r="A696" i="17"/>
  <c r="A697" i="17"/>
  <c r="A698" i="17"/>
  <c r="A699" i="17"/>
  <c r="A700" i="17"/>
  <c r="A701" i="17"/>
  <c r="A702" i="17"/>
  <c r="A703" i="17"/>
  <c r="A704" i="17"/>
  <c r="A705" i="17"/>
  <c r="A706" i="17"/>
  <c r="A707" i="17"/>
  <c r="A708" i="17"/>
  <c r="A709" i="17"/>
  <c r="A710" i="17"/>
  <c r="A711" i="17"/>
  <c r="A712" i="17"/>
  <c r="A713" i="17"/>
  <c r="A714" i="17"/>
  <c r="A715" i="17"/>
  <c r="A716" i="17"/>
  <c r="A717" i="17"/>
  <c r="A718" i="17"/>
  <c r="A719" i="17"/>
  <c r="A720" i="17"/>
  <c r="A721" i="17"/>
  <c r="A722" i="17"/>
  <c r="A723" i="17"/>
  <c r="A724" i="17"/>
  <c r="A725" i="17"/>
  <c r="A726" i="17"/>
  <c r="A727" i="17"/>
  <c r="A728" i="17"/>
  <c r="A729" i="17"/>
  <c r="A730" i="17"/>
  <c r="A731" i="17"/>
  <c r="A732" i="17"/>
  <c r="A733" i="17"/>
  <c r="A734" i="17"/>
  <c r="A735" i="17"/>
  <c r="A736" i="17"/>
  <c r="A737" i="17"/>
  <c r="A738" i="17"/>
  <c r="A739" i="17"/>
  <c r="A740" i="17"/>
  <c r="A741" i="17"/>
  <c r="A742" i="17"/>
  <c r="A743" i="17"/>
  <c r="A744" i="17"/>
  <c r="A745" i="17"/>
  <c r="A746" i="17"/>
  <c r="A747" i="17"/>
  <c r="A748" i="17"/>
  <c r="A749" i="17"/>
  <c r="A750" i="17"/>
  <c r="A751" i="17"/>
  <c r="A752" i="17"/>
  <c r="A753" i="17"/>
  <c r="A754" i="17"/>
  <c r="A755" i="17"/>
  <c r="A756" i="17"/>
  <c r="A757" i="17"/>
  <c r="A758" i="17"/>
  <c r="A759" i="17"/>
  <c r="A760" i="17"/>
  <c r="A761" i="17"/>
  <c r="A762" i="17"/>
  <c r="A763" i="17"/>
  <c r="A764" i="17"/>
  <c r="A765" i="17"/>
  <c r="A766" i="17"/>
  <c r="A767" i="17"/>
  <c r="A768" i="17"/>
  <c r="A769" i="17"/>
  <c r="A770" i="17"/>
  <c r="A771" i="17"/>
  <c r="A772" i="17"/>
  <c r="A773" i="17"/>
  <c r="A774" i="17"/>
  <c r="A775" i="17"/>
  <c r="A776" i="17"/>
  <c r="A777" i="17"/>
  <c r="A778" i="17"/>
  <c r="A779" i="17"/>
  <c r="A780" i="17"/>
  <c r="A781" i="17"/>
  <c r="A782" i="17"/>
  <c r="A783" i="17"/>
  <c r="A784" i="17"/>
  <c r="A785" i="17"/>
  <c r="A786" i="17"/>
  <c r="A787" i="17"/>
  <c r="A788" i="17"/>
  <c r="A789" i="17"/>
  <c r="A790" i="17"/>
  <c r="A791" i="17"/>
  <c r="A792" i="17"/>
  <c r="A793" i="17"/>
  <c r="A794" i="17"/>
  <c r="A795" i="17"/>
  <c r="A796" i="17"/>
  <c r="A797" i="17"/>
  <c r="A798" i="17"/>
  <c r="A799" i="17"/>
  <c r="A800" i="17"/>
  <c r="A801" i="17"/>
  <c r="A802" i="17"/>
  <c r="A803" i="17"/>
  <c r="A804" i="17"/>
  <c r="A805" i="17"/>
  <c r="A806" i="17"/>
  <c r="A807" i="17"/>
  <c r="A808" i="17"/>
  <c r="A809" i="17"/>
  <c r="A810" i="17"/>
  <c r="A811" i="17"/>
  <c r="A812" i="17"/>
  <c r="A813" i="17"/>
  <c r="A814" i="17"/>
  <c r="A815" i="17"/>
  <c r="A816" i="17"/>
  <c r="A817" i="17"/>
  <c r="A818" i="17"/>
  <c r="A819" i="17"/>
  <c r="A820" i="17"/>
  <c r="A821" i="17"/>
  <c r="A822" i="17"/>
  <c r="A823" i="17"/>
  <c r="A824" i="17"/>
  <c r="A825" i="17"/>
  <c r="A826" i="17"/>
  <c r="A827" i="17"/>
  <c r="A828" i="17"/>
  <c r="A829" i="17"/>
  <c r="A830" i="17"/>
  <c r="A831" i="17"/>
  <c r="A832" i="17"/>
  <c r="A833" i="17"/>
  <c r="A834" i="17"/>
  <c r="A835" i="17"/>
  <c r="A836" i="17"/>
  <c r="A837" i="17"/>
  <c r="A838" i="17"/>
  <c r="A839" i="17"/>
  <c r="A840" i="17"/>
  <c r="A841" i="17"/>
  <c r="A842" i="17"/>
  <c r="A843" i="17"/>
  <c r="A844" i="17"/>
  <c r="A845" i="17"/>
  <c r="A846" i="17"/>
  <c r="A847" i="17"/>
  <c r="A848" i="17"/>
  <c r="A849" i="17"/>
  <c r="A850" i="17"/>
  <c r="A851" i="17"/>
  <c r="A852" i="17"/>
  <c r="A853" i="17"/>
  <c r="A854" i="17"/>
  <c r="A855" i="17"/>
  <c r="A856" i="17"/>
  <c r="A857" i="17"/>
  <c r="A858" i="17"/>
  <c r="A859" i="17"/>
  <c r="A860" i="17"/>
  <c r="A861" i="17"/>
  <c r="A862" i="17"/>
  <c r="A863" i="17"/>
  <c r="A864" i="17"/>
  <c r="A865" i="17"/>
  <c r="A866" i="17"/>
  <c r="A867" i="17"/>
  <c r="A868" i="17"/>
  <c r="A869" i="17"/>
  <c r="A870" i="17"/>
  <c r="A871" i="17"/>
  <c r="A872" i="17"/>
  <c r="A873" i="17"/>
  <c r="A874" i="17"/>
  <c r="A875" i="17"/>
  <c r="A876" i="17"/>
  <c r="A877" i="17"/>
  <c r="A878" i="17"/>
  <c r="A879" i="17"/>
  <c r="A880" i="17"/>
  <c r="A881" i="17"/>
  <c r="A882" i="17"/>
  <c r="A883" i="17"/>
  <c r="A884" i="17"/>
  <c r="A885" i="17"/>
  <c r="A886" i="17"/>
  <c r="A887" i="17"/>
  <c r="A888" i="17"/>
  <c r="A889" i="17"/>
  <c r="A890" i="17"/>
  <c r="A891" i="17"/>
  <c r="A892" i="17"/>
  <c r="A893" i="17"/>
  <c r="A894" i="17"/>
  <c r="A895" i="17"/>
  <c r="A896" i="17"/>
  <c r="A897" i="17"/>
  <c r="A898" i="17"/>
  <c r="A899" i="17"/>
  <c r="A900" i="17"/>
  <c r="A901" i="17"/>
  <c r="A902" i="17"/>
  <c r="A903" i="17"/>
  <c r="A904" i="17"/>
  <c r="A905" i="17"/>
  <c r="A906" i="17"/>
  <c r="A907" i="17"/>
  <c r="A908" i="17"/>
  <c r="A909" i="17"/>
  <c r="A910" i="17"/>
  <c r="A911" i="17"/>
  <c r="A912" i="17"/>
  <c r="A913" i="17"/>
  <c r="A914" i="17"/>
  <c r="A915" i="17"/>
  <c r="A916" i="17"/>
  <c r="A917" i="17"/>
  <c r="A918" i="17"/>
  <c r="A919" i="17"/>
  <c r="A920" i="17"/>
  <c r="A921" i="17"/>
  <c r="A922" i="17"/>
  <c r="A923" i="17"/>
  <c r="A924" i="17"/>
  <c r="A925" i="17"/>
  <c r="A926" i="17"/>
  <c r="A927" i="17"/>
  <c r="A928" i="17"/>
  <c r="A929" i="17"/>
  <c r="A930" i="17"/>
  <c r="A931" i="17"/>
  <c r="A932" i="17"/>
  <c r="A933" i="17"/>
  <c r="A934" i="17"/>
  <c r="A935" i="17"/>
  <c r="A936" i="17"/>
  <c r="A937" i="17"/>
  <c r="A938" i="17"/>
  <c r="A939" i="17"/>
  <c r="A940" i="17"/>
  <c r="A941" i="17"/>
  <c r="A942" i="17"/>
  <c r="A943" i="17"/>
  <c r="A944" i="17"/>
  <c r="A945" i="17"/>
  <c r="A946" i="17"/>
  <c r="A947" i="17"/>
  <c r="A948" i="17"/>
  <c r="A949" i="17"/>
  <c r="A950" i="17"/>
  <c r="A951" i="17"/>
  <c r="A952" i="17"/>
  <c r="A953" i="17"/>
  <c r="A954" i="17"/>
  <c r="A955" i="17"/>
  <c r="A956" i="17"/>
  <c r="A957" i="17"/>
  <c r="A958" i="17"/>
  <c r="A959" i="17"/>
  <c r="A960" i="17"/>
  <c r="A961" i="17"/>
  <c r="A962" i="17"/>
  <c r="A963" i="17"/>
  <c r="A964" i="17"/>
  <c r="A965" i="17"/>
  <c r="A966" i="17"/>
  <c r="A967" i="17"/>
  <c r="A968" i="17"/>
  <c r="A969" i="17"/>
  <c r="A970" i="17"/>
  <c r="A971" i="17"/>
  <c r="A972" i="17"/>
  <c r="A973" i="17"/>
  <c r="A974" i="17"/>
  <c r="A975" i="17"/>
  <c r="A976" i="17"/>
  <c r="A977" i="17"/>
  <c r="A978" i="17"/>
  <c r="A979" i="17"/>
  <c r="A980" i="17"/>
  <c r="A981" i="17"/>
  <c r="A982" i="17"/>
  <c r="A983" i="17"/>
  <c r="A984" i="17"/>
  <c r="A985" i="17"/>
  <c r="A986" i="17"/>
  <c r="A987" i="17"/>
  <c r="A988" i="17"/>
  <c r="A989" i="17"/>
  <c r="A990" i="17"/>
  <c r="A991" i="17"/>
  <c r="A992" i="17"/>
  <c r="A993" i="17"/>
  <c r="A994" i="17"/>
  <c r="A995" i="17"/>
  <c r="A996" i="17"/>
  <c r="A997" i="17"/>
  <c r="A998" i="17"/>
  <c r="A999" i="17"/>
  <c r="A1000" i="17"/>
  <c r="A1001" i="17"/>
  <c r="A1002" i="17"/>
  <c r="A1003" i="17"/>
  <c r="A1004" i="17"/>
  <c r="A1005" i="17"/>
  <c r="F36" i="16"/>
  <c r="G36" i="16"/>
  <c r="H36" i="16"/>
  <c r="I36" i="16"/>
  <c r="J36" i="16"/>
  <c r="K36" i="16"/>
  <c r="L36" i="16"/>
  <c r="M36" i="16"/>
  <c r="N36" i="16"/>
  <c r="O36" i="16"/>
  <c r="P36" i="16"/>
  <c r="Q36" i="16"/>
  <c r="R36" i="16"/>
  <c r="S36" i="16"/>
  <c r="T36" i="16"/>
  <c r="U36" i="16"/>
  <c r="V36" i="16"/>
  <c r="W36" i="16"/>
  <c r="X36" i="16"/>
  <c r="Y36" i="16"/>
  <c r="Z36" i="16"/>
  <c r="AA36" i="16"/>
  <c r="AB36" i="16"/>
  <c r="AC36" i="16"/>
  <c r="AD36" i="16"/>
  <c r="AE36" i="16"/>
  <c r="AF36" i="16"/>
  <c r="AG36" i="16"/>
  <c r="AH36" i="16"/>
  <c r="AI36" i="16"/>
  <c r="D36" i="16"/>
  <c r="E34" i="16"/>
  <c r="F34" i="16"/>
  <c r="G34" i="16"/>
  <c r="H34" i="16"/>
  <c r="I34" i="16"/>
  <c r="J34" i="16"/>
  <c r="K34" i="16"/>
  <c r="L34" i="16"/>
  <c r="M34" i="16"/>
  <c r="N34" i="16"/>
  <c r="O34" i="16"/>
  <c r="P34" i="16"/>
  <c r="Q34" i="16"/>
  <c r="R34" i="16"/>
  <c r="S34" i="16"/>
  <c r="T34" i="16"/>
  <c r="U34" i="16"/>
  <c r="V34" i="16"/>
  <c r="W34" i="16"/>
  <c r="X34" i="16"/>
  <c r="Y34" i="16"/>
  <c r="Z34" i="16"/>
  <c r="AA34" i="16"/>
  <c r="AB34" i="16"/>
  <c r="AC34" i="16"/>
  <c r="AD34" i="16"/>
  <c r="AE34" i="16"/>
  <c r="AF34" i="16"/>
  <c r="AG34" i="16"/>
  <c r="AH34" i="16"/>
  <c r="AI34" i="16"/>
  <c r="D34" i="16"/>
  <c r="E33" i="16"/>
  <c r="F33" i="16"/>
  <c r="G33" i="16"/>
  <c r="H33" i="16"/>
  <c r="I33" i="16"/>
  <c r="J33" i="16"/>
  <c r="K33" i="16"/>
  <c r="L33" i="16"/>
  <c r="M33" i="16"/>
  <c r="N33" i="16"/>
  <c r="O33" i="16"/>
  <c r="P33" i="16"/>
  <c r="Q33" i="16"/>
  <c r="R33" i="16"/>
  <c r="S33" i="16"/>
  <c r="T33" i="16"/>
  <c r="U33" i="16"/>
  <c r="V33" i="16"/>
  <c r="W33" i="16"/>
  <c r="X33" i="16"/>
  <c r="Y33" i="16"/>
  <c r="Z33" i="16"/>
  <c r="AA33" i="16"/>
  <c r="AB33" i="16"/>
  <c r="AC33" i="16"/>
  <c r="AD33" i="16"/>
  <c r="AE33" i="16"/>
  <c r="AF33" i="16"/>
  <c r="AG33" i="16"/>
  <c r="AH33" i="16"/>
  <c r="AI33" i="16"/>
  <c r="D33" i="16"/>
  <c r="E32" i="16"/>
  <c r="F32" i="16"/>
  <c r="G32" i="16"/>
  <c r="H32" i="16"/>
  <c r="I32" i="16"/>
  <c r="J32" i="16"/>
  <c r="K32" i="16"/>
  <c r="L32" i="16"/>
  <c r="M32" i="16"/>
  <c r="N32" i="16"/>
  <c r="O32" i="16"/>
  <c r="P32" i="16"/>
  <c r="Q32" i="16"/>
  <c r="R32" i="16"/>
  <c r="S32" i="16"/>
  <c r="T32" i="16"/>
  <c r="U32" i="16"/>
  <c r="V32" i="16"/>
  <c r="W32" i="16"/>
  <c r="X32" i="16"/>
  <c r="Y32" i="16"/>
  <c r="Z32" i="16"/>
  <c r="AA32" i="16"/>
  <c r="AB32" i="16"/>
  <c r="AC32" i="16"/>
  <c r="AD32" i="16"/>
  <c r="AE32" i="16"/>
  <c r="AF32" i="16"/>
  <c r="AG32" i="16"/>
  <c r="AH32" i="16"/>
  <c r="AI32" i="16"/>
  <c r="D32" i="16"/>
  <c r="E31" i="16"/>
  <c r="F31" i="16"/>
  <c r="G31" i="16"/>
  <c r="H31" i="16"/>
  <c r="I31" i="16"/>
  <c r="J31" i="16"/>
  <c r="K31" i="16"/>
  <c r="L31" i="16"/>
  <c r="M31" i="16"/>
  <c r="N31" i="16"/>
  <c r="O31" i="16"/>
  <c r="P31" i="16"/>
  <c r="Q31" i="16"/>
  <c r="R31" i="16"/>
  <c r="S31" i="16"/>
  <c r="T31" i="16"/>
  <c r="U31" i="16"/>
  <c r="V31" i="16"/>
  <c r="W31" i="16"/>
  <c r="X31" i="16"/>
  <c r="Y31" i="16"/>
  <c r="Z31" i="16"/>
  <c r="AA31" i="16"/>
  <c r="AB31" i="16"/>
  <c r="AC31" i="16"/>
  <c r="AD31" i="16"/>
  <c r="AE31" i="16"/>
  <c r="AF31" i="16"/>
  <c r="AG31" i="16"/>
  <c r="AH31" i="16"/>
  <c r="AI31" i="16"/>
  <c r="D31" i="16"/>
  <c r="E30" i="16"/>
  <c r="F30" i="16"/>
  <c r="G30" i="16"/>
  <c r="H30" i="16"/>
  <c r="I30" i="16"/>
  <c r="J30" i="16"/>
  <c r="K30" i="16"/>
  <c r="L30" i="16"/>
  <c r="M30" i="16"/>
  <c r="N30" i="16"/>
  <c r="O30" i="16"/>
  <c r="P30" i="16"/>
  <c r="Q30" i="16"/>
  <c r="R30" i="16"/>
  <c r="S30" i="16"/>
  <c r="T30" i="16"/>
  <c r="U30" i="16"/>
  <c r="V30" i="16"/>
  <c r="W30" i="16"/>
  <c r="X30" i="16"/>
  <c r="Y30" i="16"/>
  <c r="Z30" i="16"/>
  <c r="AA30" i="16"/>
  <c r="AB30" i="16"/>
  <c r="AC30" i="16"/>
  <c r="AD30" i="16"/>
  <c r="AE30" i="16"/>
  <c r="AF30" i="16"/>
  <c r="AG30" i="16"/>
  <c r="AH30" i="16"/>
  <c r="AI30" i="16"/>
  <c r="D30" i="16"/>
  <c r="E29" i="16"/>
  <c r="F29" i="16"/>
  <c r="G29" i="16"/>
  <c r="H29" i="16"/>
  <c r="I29" i="16"/>
  <c r="J29" i="16"/>
  <c r="K29" i="16"/>
  <c r="L29" i="16"/>
  <c r="M29" i="16"/>
  <c r="N29" i="16"/>
  <c r="O29" i="16"/>
  <c r="P29" i="16"/>
  <c r="Q29" i="16"/>
  <c r="R29" i="16"/>
  <c r="S29" i="16"/>
  <c r="T29" i="16"/>
  <c r="U29" i="16"/>
  <c r="V29" i="16"/>
  <c r="W29" i="16"/>
  <c r="X29" i="16"/>
  <c r="Y29" i="16"/>
  <c r="Z29" i="16"/>
  <c r="AA29" i="16"/>
  <c r="AB29" i="16"/>
  <c r="AC29" i="16"/>
  <c r="AD29" i="16"/>
  <c r="AE29" i="16"/>
  <c r="AF29" i="16"/>
  <c r="AG29" i="16"/>
  <c r="AH29" i="16"/>
  <c r="AI29" i="16"/>
  <c r="D29" i="16"/>
  <c r="E28" i="16"/>
  <c r="F28" i="16"/>
  <c r="G28" i="16"/>
  <c r="H28" i="16"/>
  <c r="I28" i="16"/>
  <c r="J28" i="16"/>
  <c r="K28" i="16"/>
  <c r="L28" i="16"/>
  <c r="M28" i="16"/>
  <c r="N28" i="16"/>
  <c r="O28" i="16"/>
  <c r="P28" i="16"/>
  <c r="Q28" i="16"/>
  <c r="R28" i="16"/>
  <c r="S28" i="16"/>
  <c r="T28" i="16"/>
  <c r="U28" i="16"/>
  <c r="V28" i="16"/>
  <c r="W28" i="16"/>
  <c r="X28" i="16"/>
  <c r="Y28" i="16"/>
  <c r="Z28" i="16"/>
  <c r="AA28" i="16"/>
  <c r="AB28" i="16"/>
  <c r="AC28" i="16"/>
  <c r="AD28" i="16"/>
  <c r="AE28" i="16"/>
  <c r="AF28" i="16"/>
  <c r="AG28" i="16"/>
  <c r="AH28" i="16"/>
  <c r="AI28" i="16"/>
  <c r="D28" i="16"/>
  <c r="E27" i="16"/>
  <c r="F27" i="16"/>
  <c r="G27" i="16"/>
  <c r="H27" i="16"/>
  <c r="I27" i="16"/>
  <c r="J27" i="16"/>
  <c r="K27" i="16"/>
  <c r="L27" i="16"/>
  <c r="M27" i="16"/>
  <c r="N27" i="16"/>
  <c r="O27" i="16"/>
  <c r="P27" i="16"/>
  <c r="Q27" i="16"/>
  <c r="R27" i="16"/>
  <c r="S27" i="16"/>
  <c r="T27" i="16"/>
  <c r="U27" i="16"/>
  <c r="V27" i="16"/>
  <c r="W27" i="16"/>
  <c r="X27" i="16"/>
  <c r="Y27" i="16"/>
  <c r="Z27" i="16"/>
  <c r="AA27" i="16"/>
  <c r="AB27" i="16"/>
  <c r="AC27" i="16"/>
  <c r="AD27" i="16"/>
  <c r="AE27" i="16"/>
  <c r="AF27" i="16"/>
  <c r="AG27" i="16"/>
  <c r="AH27" i="16"/>
  <c r="AI27" i="16"/>
  <c r="D27" i="16"/>
  <c r="E26" i="16"/>
  <c r="F26" i="16"/>
  <c r="G26" i="16"/>
  <c r="H26" i="16"/>
  <c r="I26" i="16"/>
  <c r="J26" i="16"/>
  <c r="K26" i="16"/>
  <c r="L26" i="16"/>
  <c r="M26" i="16"/>
  <c r="N26" i="16"/>
  <c r="O26" i="16"/>
  <c r="P26" i="16"/>
  <c r="Q26" i="16"/>
  <c r="R26" i="16"/>
  <c r="S26" i="16"/>
  <c r="T26" i="16"/>
  <c r="U26" i="16"/>
  <c r="V26" i="16"/>
  <c r="W26" i="16"/>
  <c r="X26" i="16"/>
  <c r="Y26" i="16"/>
  <c r="Z26" i="16"/>
  <c r="AA26" i="16"/>
  <c r="AB26" i="16"/>
  <c r="AC26" i="16"/>
  <c r="AD26" i="16"/>
  <c r="AE26" i="16"/>
  <c r="AF26" i="16"/>
  <c r="AG26" i="16"/>
  <c r="AH26" i="16"/>
  <c r="AI26" i="16"/>
  <c r="D26" i="16"/>
  <c r="AI25" i="16"/>
  <c r="AH25" i="16"/>
  <c r="AG25" i="16"/>
  <c r="AF25" i="16"/>
  <c r="AE25" i="16"/>
  <c r="AD25" i="16"/>
  <c r="AC25" i="16"/>
  <c r="AB25" i="16"/>
  <c r="AA25" i="16"/>
  <c r="Z25" i="16"/>
  <c r="Y25" i="16"/>
  <c r="X25" i="16"/>
  <c r="W25" i="16"/>
  <c r="V25" i="16"/>
  <c r="U25" i="16"/>
  <c r="T25" i="16"/>
  <c r="S25" i="16"/>
  <c r="R25" i="16"/>
  <c r="Q25" i="16"/>
  <c r="P25" i="16"/>
  <c r="O25" i="16"/>
  <c r="N25" i="16"/>
  <c r="M25" i="16"/>
  <c r="L25" i="16"/>
  <c r="K25" i="16"/>
  <c r="J25" i="16"/>
  <c r="I25" i="16"/>
  <c r="H25" i="16"/>
  <c r="G25" i="16"/>
  <c r="F25" i="16"/>
  <c r="E25" i="16"/>
  <c r="E23" i="16"/>
  <c r="F23" i="16"/>
  <c r="G23" i="16"/>
  <c r="H23" i="16"/>
  <c r="I23" i="16"/>
  <c r="J23" i="16"/>
  <c r="K23" i="16"/>
  <c r="L23" i="16"/>
  <c r="M23" i="16"/>
  <c r="N23" i="16"/>
  <c r="O23" i="16"/>
  <c r="P23" i="16"/>
  <c r="Q23" i="16"/>
  <c r="R23" i="16"/>
  <c r="S23" i="16"/>
  <c r="T23" i="16"/>
  <c r="U23" i="16"/>
  <c r="V23" i="16"/>
  <c r="W23" i="16"/>
  <c r="X23" i="16"/>
  <c r="Y23" i="16"/>
  <c r="Z23" i="16"/>
  <c r="AA23" i="16"/>
  <c r="AB23" i="16"/>
  <c r="AC23" i="16"/>
  <c r="AD23" i="16"/>
  <c r="AE23" i="16"/>
  <c r="AF23" i="16"/>
  <c r="AG23" i="16"/>
  <c r="AH23" i="16"/>
  <c r="AI23" i="16"/>
  <c r="E22" i="16"/>
  <c r="F22" i="16"/>
  <c r="G22" i="16"/>
  <c r="H22" i="16"/>
  <c r="I22" i="16"/>
  <c r="J22" i="16"/>
  <c r="K22" i="16"/>
  <c r="L22" i="16"/>
  <c r="M22" i="16"/>
  <c r="N22" i="16"/>
  <c r="O22" i="16"/>
  <c r="P22" i="16"/>
  <c r="Q22" i="16"/>
  <c r="R22" i="16"/>
  <c r="S22" i="16"/>
  <c r="T22" i="16"/>
  <c r="U22" i="16"/>
  <c r="V22" i="16"/>
  <c r="W22" i="16"/>
  <c r="X22" i="16"/>
  <c r="Y22" i="16"/>
  <c r="Z22" i="16"/>
  <c r="AA22" i="16"/>
  <c r="AB22" i="16"/>
  <c r="AC22" i="16"/>
  <c r="AD22" i="16"/>
  <c r="AE22" i="16"/>
  <c r="AF22" i="16"/>
  <c r="AG22" i="16"/>
  <c r="AH22" i="16"/>
  <c r="AI22" i="16"/>
  <c r="E21" i="16"/>
  <c r="F21" i="16"/>
  <c r="G21" i="16"/>
  <c r="H21" i="16"/>
  <c r="I21" i="16"/>
  <c r="J21" i="16"/>
  <c r="K21" i="16"/>
  <c r="L21" i="16"/>
  <c r="M21" i="16"/>
  <c r="N21" i="16"/>
  <c r="O21" i="16"/>
  <c r="P21" i="16"/>
  <c r="Q21" i="16"/>
  <c r="R21" i="16"/>
  <c r="S21" i="16"/>
  <c r="T21" i="16"/>
  <c r="U21" i="16"/>
  <c r="V21" i="16"/>
  <c r="W21" i="16"/>
  <c r="X21" i="16"/>
  <c r="Y21" i="16"/>
  <c r="Z21" i="16"/>
  <c r="AA21" i="16"/>
  <c r="AB21" i="16"/>
  <c r="AC21" i="16"/>
  <c r="AD21" i="16"/>
  <c r="AE21" i="16"/>
  <c r="AF21" i="16"/>
  <c r="AG21" i="16"/>
  <c r="AH21" i="16"/>
  <c r="AI21" i="16"/>
  <c r="E20" i="16"/>
  <c r="F20" i="16"/>
  <c r="G20" i="16"/>
  <c r="H20" i="16"/>
  <c r="I20" i="16"/>
  <c r="J20" i="16"/>
  <c r="K20" i="16"/>
  <c r="L20" i="16"/>
  <c r="M20" i="16"/>
  <c r="N20" i="16"/>
  <c r="O20" i="16"/>
  <c r="P20" i="16"/>
  <c r="Q20" i="16"/>
  <c r="R20" i="16"/>
  <c r="S20" i="16"/>
  <c r="T20" i="16"/>
  <c r="U20" i="16"/>
  <c r="V20" i="16"/>
  <c r="W20" i="16"/>
  <c r="X20" i="16"/>
  <c r="Y20" i="16"/>
  <c r="Z20" i="16"/>
  <c r="AA20" i="16"/>
  <c r="AB20" i="16"/>
  <c r="AC20" i="16"/>
  <c r="AD20" i="16"/>
  <c r="AE20" i="16"/>
  <c r="AF20" i="16"/>
  <c r="AG20" i="16"/>
  <c r="AH20" i="16"/>
  <c r="AI20" i="16"/>
  <c r="AM18" i="16"/>
  <c r="AL18" i="16"/>
  <c r="AJ18" i="16"/>
  <c r="AM17" i="16"/>
  <c r="AL17" i="16"/>
  <c r="AJ17" i="16"/>
  <c r="AM16" i="16"/>
  <c r="AL16" i="16"/>
  <c r="AJ16" i="16"/>
  <c r="AM15" i="16"/>
  <c r="AL15" i="16"/>
  <c r="AJ15" i="16"/>
  <c r="AM14" i="16"/>
  <c r="AL14" i="16"/>
  <c r="AJ14" i="16"/>
  <c r="AM13" i="16"/>
  <c r="AL13" i="16"/>
  <c r="AJ13" i="16"/>
  <c r="AM12" i="16"/>
  <c r="AL12" i="16"/>
  <c r="AJ12" i="16"/>
  <c r="AM11" i="16"/>
  <c r="AL11" i="16"/>
  <c r="AJ11" i="16"/>
  <c r="AM10" i="16"/>
  <c r="AL10" i="16"/>
  <c r="AJ10" i="16"/>
  <c r="AM9" i="16"/>
  <c r="AL9" i="16"/>
  <c r="AJ9" i="16"/>
  <c r="AM8" i="16"/>
  <c r="AL8" i="16"/>
  <c r="AJ8" i="16"/>
  <c r="AM7" i="16"/>
  <c r="AL7" i="16"/>
  <c r="AJ7" i="16"/>
  <c r="AM6" i="16"/>
  <c r="AL6" i="16"/>
  <c r="AJ6" i="16"/>
  <c r="G5" i="2"/>
  <c r="W5" i="2" s="1"/>
  <c r="G6" i="2"/>
  <c r="W6" i="2" s="1"/>
  <c r="G7" i="2"/>
  <c r="W7" i="2" s="1"/>
  <c r="G8" i="2"/>
  <c r="W8" i="2" s="1"/>
  <c r="G9" i="2"/>
  <c r="W9" i="2" s="1"/>
  <c r="G10" i="2"/>
  <c r="W10" i="2" s="1"/>
  <c r="G11" i="2"/>
  <c r="W11" i="2" s="1"/>
  <c r="G12" i="2"/>
  <c r="W12" i="2" s="1"/>
  <c r="G13" i="2"/>
  <c r="W13" i="2" s="1"/>
  <c r="G14" i="2"/>
  <c r="W14" i="2" s="1"/>
  <c r="G15" i="2"/>
  <c r="W15" i="2" s="1"/>
  <c r="G16" i="2"/>
  <c r="W16" i="2" s="1"/>
  <c r="G17" i="2"/>
  <c r="W17" i="2" s="1"/>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C7" i="3"/>
  <c r="C6" i="3"/>
  <c r="W104" i="2"/>
  <c r="A104" i="2"/>
  <c r="W103" i="2"/>
  <c r="A103" i="2"/>
  <c r="W102" i="2"/>
  <c r="A102" i="2"/>
  <c r="W101" i="2"/>
  <c r="A101" i="2"/>
  <c r="W100" i="2"/>
  <c r="A100" i="2"/>
  <c r="W99" i="2"/>
  <c r="A99" i="2"/>
  <c r="W98" i="2"/>
  <c r="A98" i="2"/>
  <c r="W97" i="2"/>
  <c r="A97" i="2"/>
  <c r="W96" i="2"/>
  <c r="A96" i="2"/>
  <c r="W95" i="2"/>
  <c r="A95" i="2"/>
  <c r="W94" i="2"/>
  <c r="A94" i="2"/>
  <c r="W93" i="2"/>
  <c r="A93" i="2"/>
  <c r="W92" i="2"/>
  <c r="A92" i="2"/>
  <c r="W91" i="2"/>
  <c r="A91" i="2"/>
  <c r="W90" i="2"/>
  <c r="A90" i="2"/>
  <c r="W89" i="2"/>
  <c r="A89" i="2"/>
  <c r="W88" i="2"/>
  <c r="A88" i="2"/>
  <c r="W87" i="2"/>
  <c r="A87" i="2"/>
  <c r="W86" i="2"/>
  <c r="A86" i="2"/>
  <c r="W85" i="2"/>
  <c r="A85" i="2"/>
  <c r="W84" i="2"/>
  <c r="A84" i="2"/>
  <c r="W83" i="2"/>
  <c r="A83" i="2"/>
  <c r="W82" i="2"/>
  <c r="A82" i="2"/>
  <c r="W81" i="2"/>
  <c r="A81" i="2"/>
  <c r="W80" i="2"/>
  <c r="A80" i="2"/>
  <c r="W79" i="2"/>
  <c r="A79" i="2"/>
  <c r="W78" i="2"/>
  <c r="A78" i="2"/>
  <c r="W77" i="2"/>
  <c r="A77" i="2"/>
  <c r="W76" i="2"/>
  <c r="A76" i="2"/>
  <c r="W75" i="2"/>
  <c r="A75" i="2"/>
  <c r="W74" i="2"/>
  <c r="A74" i="2"/>
  <c r="W73" i="2"/>
  <c r="A73" i="2"/>
  <c r="W72" i="2"/>
  <c r="A72" i="2"/>
  <c r="W71" i="2"/>
  <c r="A71" i="2"/>
  <c r="W70" i="2"/>
  <c r="A70" i="2"/>
  <c r="W69" i="2"/>
  <c r="A69" i="2"/>
  <c r="W68" i="2"/>
  <c r="A68" i="2"/>
  <c r="W67" i="2"/>
  <c r="A67" i="2"/>
  <c r="W66" i="2"/>
  <c r="A66" i="2"/>
  <c r="W65" i="2"/>
  <c r="A65" i="2"/>
  <c r="W64" i="2"/>
  <c r="A64" i="2"/>
  <c r="W63" i="2"/>
  <c r="A63" i="2"/>
  <c r="W62" i="2"/>
  <c r="A62" i="2"/>
  <c r="W61" i="2"/>
  <c r="A61" i="2"/>
  <c r="W60" i="2"/>
  <c r="A60" i="2"/>
  <c r="W59" i="2"/>
  <c r="A59" i="2"/>
  <c r="W58" i="2"/>
  <c r="A58" i="2"/>
  <c r="W57" i="2"/>
  <c r="A57" i="2"/>
  <c r="W56" i="2"/>
  <c r="A56" i="2"/>
  <c r="W55" i="2"/>
  <c r="A55" i="2"/>
  <c r="W54" i="2"/>
  <c r="A54" i="2"/>
  <c r="W53" i="2"/>
  <c r="A53" i="2"/>
  <c r="W52" i="2"/>
  <c r="A52" i="2"/>
  <c r="W51" i="2"/>
  <c r="A51" i="2"/>
  <c r="W50" i="2"/>
  <c r="A50" i="2"/>
  <c r="W49" i="2"/>
  <c r="A49" i="2"/>
  <c r="W48" i="2"/>
  <c r="A48" i="2"/>
  <c r="W47" i="2"/>
  <c r="A47" i="2"/>
  <c r="W46" i="2"/>
  <c r="A46" i="2"/>
  <c r="W45" i="2"/>
  <c r="A45" i="2"/>
  <c r="W44" i="2"/>
  <c r="A44" i="2"/>
  <c r="W43" i="2"/>
  <c r="A43" i="2"/>
  <c r="W42" i="2"/>
  <c r="A42" i="2"/>
  <c r="W41" i="2"/>
  <c r="A41" i="2"/>
  <c r="W40" i="2"/>
  <c r="A40" i="2"/>
  <c r="W39" i="2"/>
  <c r="A39" i="2"/>
  <c r="W38" i="2"/>
  <c r="A38" i="2"/>
  <c r="W37" i="2"/>
  <c r="A37" i="2"/>
  <c r="W36" i="2"/>
  <c r="A36" i="2"/>
  <c r="W35" i="2"/>
  <c r="A35" i="2"/>
  <c r="W34" i="2"/>
  <c r="A34" i="2"/>
  <c r="W33" i="2"/>
  <c r="A33" i="2"/>
  <c r="W32" i="2"/>
  <c r="A32" i="2"/>
  <c r="W31" i="2"/>
  <c r="A31" i="2"/>
  <c r="W30" i="2"/>
  <c r="A30" i="2"/>
  <c r="W29" i="2"/>
  <c r="A29" i="2"/>
  <c r="W28" i="2"/>
  <c r="A28" i="2"/>
  <c r="W27" i="2"/>
  <c r="A27" i="2"/>
  <c r="W26" i="2"/>
  <c r="A26" i="2"/>
  <c r="W25" i="2"/>
  <c r="A25" i="2"/>
  <c r="W24" i="2"/>
  <c r="A24" i="2"/>
  <c r="W23" i="2"/>
  <c r="A23" i="2"/>
  <c r="W22" i="2"/>
  <c r="A22" i="2"/>
  <c r="W21" i="2"/>
  <c r="A21" i="2"/>
  <c r="W20" i="2"/>
  <c r="A20" i="2"/>
  <c r="W19" i="2"/>
  <c r="A19" i="2"/>
  <c r="W18" i="2"/>
  <c r="A18" i="2"/>
  <c r="A17" i="2"/>
  <c r="A16" i="2"/>
  <c r="A15" i="2"/>
  <c r="A14" i="2"/>
  <c r="A13" i="2"/>
  <c r="A12" i="2"/>
  <c r="A11" i="2"/>
  <c r="A10" i="2"/>
  <c r="A9" i="2"/>
  <c r="A8" i="2"/>
  <c r="A7" i="2"/>
  <c r="A6" i="2"/>
  <c r="A5" i="2"/>
  <c r="AF37" i="16" l="1"/>
  <c r="Q37" i="16"/>
  <c r="AH37" i="16"/>
  <c r="AG37" i="16"/>
  <c r="K37" i="16"/>
  <c r="AE37" i="16"/>
  <c r="T37" i="16"/>
  <c r="L37" i="16"/>
  <c r="I37" i="16"/>
  <c r="AD37" i="16"/>
  <c r="E37" i="16"/>
  <c r="W37" i="16"/>
  <c r="M37" i="16"/>
  <c r="Z37" i="16"/>
  <c r="R37" i="16"/>
  <c r="X37" i="16"/>
  <c r="F37" i="16"/>
  <c r="Y37" i="16"/>
  <c r="S37" i="16"/>
  <c r="J37" i="16"/>
  <c r="AA37" i="16"/>
  <c r="AJ35" i="16" l="1"/>
  <c r="AJ26" i="16"/>
  <c r="AJ27" i="16"/>
  <c r="AJ29" i="16"/>
  <c r="AJ36" i="16"/>
  <c r="AJ31" i="16"/>
  <c r="AJ30" i="16"/>
  <c r="AJ33" i="16"/>
  <c r="AJ32" i="16"/>
  <c r="AJ28" i="16"/>
  <c r="AJ34" i="16"/>
  <c r="AJ3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ちなーちゅ</author>
  </authors>
  <commentList>
    <comment ref="P4" authorId="0" shapeId="0" xr:uid="{7913B94B-3935-4827-86D1-08D0FD5CAF4B}">
      <text>
        <r>
          <rPr>
            <sz val="9"/>
            <color indexed="81"/>
            <rFont val="MS P ゴシック"/>
            <family val="3"/>
            <charset val="128"/>
          </rPr>
          <t>スポーツの日</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<sst xmlns="http://schemas.openxmlformats.org/spreadsheetml/2006/main" count="12810" uniqueCount="4536">
  <si>
    <t>祝日・会社休日（行を追加すれば反映）</t>
  </si>
  <si>
    <t>日付</t>
  </si>
  <si>
    <t>名称</t>
  </si>
  <si>
    <t>元日</t>
  </si>
  <si>
    <t>成人の日</t>
  </si>
  <si>
    <t>建国記念の日</t>
  </si>
  <si>
    <t>天皇誕生日</t>
  </si>
  <si>
    <t>春分の日</t>
  </si>
  <si>
    <t>昭和の日</t>
  </si>
  <si>
    <t>憲法記念日</t>
  </si>
  <si>
    <t>みどりの日</t>
  </si>
  <si>
    <t>こどもの日</t>
  </si>
  <si>
    <t>振替休日</t>
  </si>
  <si>
    <t>海の日</t>
  </si>
  <si>
    <t>山の日</t>
  </si>
  <si>
    <t>敬老の日</t>
  </si>
  <si>
    <t>国民の休日</t>
  </si>
  <si>
    <t>秋分の日</t>
  </si>
  <si>
    <t>スポーツの日</t>
  </si>
  <si>
    <t>文化の日</t>
  </si>
  <si>
    <t>勤労感謝の日</t>
  </si>
  <si>
    <t>SV</t>
  </si>
  <si>
    <t>SV補</t>
  </si>
  <si>
    <t>OP</t>
  </si>
  <si>
    <t>勤務記号（月間シフトで使う記号と色）</t>
  </si>
  <si>
    <t>記号</t>
  </si>
  <si>
    <t>意味</t>
  </si>
  <si>
    <t>集計区分</t>
  </si>
  <si>
    <t>休</t>
  </si>
  <si>
    <t>公休</t>
  </si>
  <si>
    <t>祝</t>
  </si>
  <si>
    <t>祝日休み</t>
  </si>
  <si>
    <t>有給休暇</t>
  </si>
  <si>
    <t>有給</t>
  </si>
  <si>
    <t>その他</t>
  </si>
  <si>
    <t>メモ</t>
  </si>
  <si>
    <t>・祝日は内閣府の公表で毎年確認してください（春分・秋分は前年2月に確定）。</t>
  </si>
  <si>
    <t>・年末年始など会社独自の休日も祝日一覧に追加できます。</t>
  </si>
  <si>
    <t>・集計区分：「公休」「有給」は月間シフト右端の集計列で数えます。</t>
  </si>
  <si>
    <t>基本情報</t>
  </si>
  <si>
    <t>休憩時間</t>
  </si>
  <si>
    <t>月</t>
  </si>
  <si>
    <t>火</t>
  </si>
  <si>
    <t>水</t>
  </si>
  <si>
    <t>木</t>
  </si>
  <si>
    <t>金</t>
  </si>
  <si>
    <t>土</t>
  </si>
  <si>
    <t>日</t>
  </si>
  <si>
    <t>No</t>
  </si>
  <si>
    <t>氏名</t>
  </si>
  <si>
    <t>在籍</t>
  </si>
  <si>
    <t>休憩
合計(分)</t>
  </si>
  <si>
    <t>開始</t>
  </si>
  <si>
    <t>終了</t>
  </si>
  <si>
    <t>祝日
(休/出)</t>
  </si>
  <si>
    <t>週労働
時間(h)</t>
  </si>
  <si>
    <t>電話</t>
  </si>
  <si>
    <t>○</t>
  </si>
  <si>
    <t>開始日</t>
  </si>
  <si>
    <t>終了日</t>
  </si>
  <si>
    <t>対象人数</t>
  </si>
  <si>
    <t>使い方</t>
  </si>
  <si>
    <t>黄色セルに入力。開始・終了が空欄の曜日は「休み」。時刻9:0のように入力。在籍を×にすると月間シフトに出ません。</t>
    <phoneticPr fontId="1"/>
  </si>
  <si>
    <t>西村</t>
  </si>
  <si>
    <t>西村</t>
    <rPh sb="0" eb="2">
      <t>ニシムラ</t>
    </rPh>
    <phoneticPr fontId="1"/>
  </si>
  <si>
    <t>田中</t>
  </si>
  <si>
    <t>田中</t>
    <rPh sb="0" eb="2">
      <t>タナカ</t>
    </rPh>
    <phoneticPr fontId="1"/>
  </si>
  <si>
    <t>平田</t>
  </si>
  <si>
    <t>平田</t>
    <rPh sb="0" eb="2">
      <t>ヒラタ</t>
    </rPh>
    <phoneticPr fontId="1"/>
  </si>
  <si>
    <t>栗木</t>
  </si>
  <si>
    <t>栗木</t>
    <rPh sb="0" eb="2">
      <t>クリキ</t>
    </rPh>
    <phoneticPr fontId="1"/>
  </si>
  <si>
    <t>小野</t>
  </si>
  <si>
    <t>小野</t>
    <rPh sb="0" eb="2">
      <t>オノ</t>
    </rPh>
    <phoneticPr fontId="1"/>
  </si>
  <si>
    <t>藤本</t>
  </si>
  <si>
    <t>藤本</t>
    <rPh sb="0" eb="2">
      <t>フジモト</t>
    </rPh>
    <phoneticPr fontId="1"/>
  </si>
  <si>
    <t>八木</t>
  </si>
  <si>
    <t>八木</t>
    <rPh sb="0" eb="2">
      <t>ヤギ</t>
    </rPh>
    <phoneticPr fontId="1"/>
  </si>
  <si>
    <t>穂満</t>
  </si>
  <si>
    <t>穂満</t>
    <rPh sb="0" eb="2">
      <t>ホマン</t>
    </rPh>
    <phoneticPr fontId="1"/>
  </si>
  <si>
    <t>大迫</t>
  </si>
  <si>
    <t>大迫</t>
    <rPh sb="0" eb="2">
      <t>オオサコ</t>
    </rPh>
    <phoneticPr fontId="1"/>
  </si>
  <si>
    <t>伊藤</t>
  </si>
  <si>
    <t>伊藤</t>
    <rPh sb="0" eb="2">
      <t>イトウ</t>
    </rPh>
    <phoneticPr fontId="1"/>
  </si>
  <si>
    <t>兼田</t>
  </si>
  <si>
    <t>兼田</t>
    <rPh sb="0" eb="2">
      <t>カネダ</t>
    </rPh>
    <phoneticPr fontId="1"/>
  </si>
  <si>
    <t>島</t>
  </si>
  <si>
    <t>島</t>
    <rPh sb="0" eb="1">
      <t>シマ</t>
    </rPh>
    <phoneticPr fontId="1"/>
  </si>
  <si>
    <t>三浦</t>
  </si>
  <si>
    <t>三浦</t>
    <rPh sb="0" eb="2">
      <t>ミウラ</t>
    </rPh>
    <phoneticPr fontId="1"/>
  </si>
  <si>
    <t>植田</t>
    <rPh sb="0" eb="2">
      <t>ウエダ</t>
    </rPh>
    <phoneticPr fontId="1"/>
  </si>
  <si>
    <t>×</t>
  </si>
  <si>
    <t>休憩
開始</t>
    <phoneticPr fontId="1"/>
  </si>
  <si>
    <t>休憩
終了</t>
    <phoneticPr fontId="1"/>
  </si>
  <si>
    <t>受領</t>
    <rPh sb="0" eb="2">
      <t>ジュリョウ</t>
    </rPh>
    <phoneticPr fontId="1"/>
  </si>
  <si>
    <t>凡例</t>
  </si>
  <si>
    <t>休憩
(分)</t>
  </si>
  <si>
    <t>出勤
日数</t>
  </si>
  <si>
    <t>労働
時間</t>
  </si>
  <si>
    <t>10月</t>
  </si>
  <si>
    <t>9-18</t>
  </si>
  <si>
    <t>10-19</t>
  </si>
  <si>
    <t>9-17</t>
  </si>
  <si>
    <t>9:30-17:30</t>
  </si>
  <si>
    <t>8:25-15:55</t>
  </si>
  <si>
    <t>8:25-17:25</t>
  </si>
  <si>
    <t>8:30-17:30</t>
  </si>
  <si>
    <t>出勤人数</t>
  </si>
  <si>
    <t>合計</t>
  </si>
  <si>
    <t>通勤</t>
    <rPh sb="0" eb="2">
      <t>ツウキン</t>
    </rPh>
    <phoneticPr fontId="1"/>
  </si>
  <si>
    <t>通勤(発送)</t>
    <rPh sb="0" eb="2">
      <t>ツウキン</t>
    </rPh>
    <phoneticPr fontId="1"/>
  </si>
  <si>
    <t>受領仕分け</t>
    <rPh sb="0" eb="2">
      <t>ジュリョウ</t>
    </rPh>
    <rPh sb="2" eb="4">
      <t>シワ</t>
    </rPh>
    <phoneticPr fontId="1"/>
  </si>
  <si>
    <t>○</t>
    <phoneticPr fontId="1"/>
  </si>
  <si>
    <t>休</t>
    <rPh sb="0" eb="1">
      <t>ヤス</t>
    </rPh>
    <phoneticPr fontId="1"/>
  </si>
  <si>
    <t>スキル</t>
    <phoneticPr fontId="1"/>
  </si>
  <si>
    <t>最低人数</t>
  </si>
  <si>
    <t>値</t>
  </si>
  <si>
    <t>しない</t>
  </si>
  <si>
    <t>祝日を判定</t>
  </si>
  <si>
    <t>・最低人数が空欄／0 の項目は判定しません。</t>
  </si>
  <si>
    <t>・スキル名はメンバーシートの見出しと同じ文字にしてください。</t>
  </si>
  <si>
    <t>・新しいスキル列は、月間シフト作成時に左の表へ自動で追加されます。</t>
  </si>
  <si>
    <t>・最低人数を変えると、作成済みの月間シフトの判定も自動で変わります。</t>
  </si>
  <si>
    <t>受領仕分け</t>
  </si>
  <si>
    <t>通勤</t>
  </si>
  <si>
    <t>受領</t>
  </si>
  <si>
    <t>通勤(発送)</t>
  </si>
  <si>
    <t>スキル充足（OPのみ）</t>
  </si>
  <si>
    <t>最低</t>
  </si>
  <si>
    <t>不足
日数</t>
  </si>
  <si>
    <t>判定</t>
  </si>
  <si>
    <t>－</t>
  </si>
  <si>
    <t>給・住</t>
  </si>
  <si>
    <t>給・住</t>
    <rPh sb="0" eb="1">
      <t>キュウ</t>
    </rPh>
    <rPh sb="2" eb="3">
      <t>ジュウ</t>
    </rPh>
    <phoneticPr fontId="1"/>
  </si>
  <si>
    <t>扶・児</t>
  </si>
  <si>
    <t>扶・児</t>
    <rPh sb="0" eb="1">
      <t>フ</t>
    </rPh>
    <rPh sb="2" eb="3">
      <t>ジ</t>
    </rPh>
    <phoneticPr fontId="1"/>
  </si>
  <si>
    <t>扶・児(発送)</t>
  </si>
  <si>
    <t>給・住(発送)</t>
  </si>
  <si>
    <t>給・住(発送)</t>
    <rPh sb="0" eb="1">
      <t>キュウ</t>
    </rPh>
    <rPh sb="2" eb="3">
      <t>ジュウ</t>
    </rPh>
    <phoneticPr fontId="1"/>
  </si>
  <si>
    <t>項目</t>
    <phoneticPr fontId="1"/>
  </si>
  <si>
    <t>頭数（合計）</t>
    <phoneticPr fontId="1"/>
  </si>
  <si>
    <t>充足判定の設定</t>
    <phoneticPr fontId="1"/>
  </si>
  <si>
    <t>土曜を判定</t>
    <phoneticPr fontId="1"/>
  </si>
  <si>
    <t>日曜を判定</t>
    <phoneticPr fontId="1"/>
  </si>
  <si>
    <t>作成済みのシフト</t>
    <phoneticPr fontId="1"/>
  </si>
  <si>
    <t>オペレーター シフト管理</t>
    <phoneticPr fontId="1"/>
  </si>
  <si>
    <t>① 開始日を入力します。通常は月の1日（例：2026/11/1 → 11/1～11/30）。</t>
    <phoneticPr fontId="1"/>
  </si>
  <si>
    <t>　 締め日がある場合は開始日を入力（例：2026/10/21 → 10/21～11/20）。</t>
    <phoneticPr fontId="1"/>
  </si>
  <si>
    <t>② 「月間シフトを作成」ボタンを押すと、新しいシート（例：月間_2026年11月）ができます。</t>
    <phoneticPr fontId="1"/>
  </si>
  <si>
    <t>③ 作成元は「メンバー」シートの曜日別勤務時間。祝日は「設定」シートの祝日一覧を参照します。</t>
    <phoneticPr fontId="1"/>
  </si>
  <si>
    <t>④ 作成後はセルを直接書き換えて調整できます（例：9-18 → 休）。時刻は 10-19、9:30-18 の形式で。</t>
    <phoneticPr fontId="1"/>
  </si>
  <si>
    <t>⑤ 同じ月をもう一度作成すると作り直しになります（そのシートの手修正は消えます）。</t>
    <phoneticPr fontId="1"/>
  </si>
  <si>
    <t>※ 出勤日数・労働時間・日別出勤人数・スキル充足は、手修正しても自動で再計算されます。</t>
    <phoneticPr fontId="1"/>
  </si>
  <si>
    <t>※ タイムシフトは、できた月間シフトのシート右上「タイムシフト作成」ボタンで作ります。</t>
  </si>
  <si>
    <t>表示中</t>
  </si>
  <si>
    <t>10/1（木）</t>
  </si>
  <si>
    <t>電話
当番</t>
  </si>
  <si>
    <t>▲</t>
  </si>
  <si>
    <t>10/2（金）</t>
  </si>
  <si>
    <t>10/3（土）</t>
  </si>
  <si>
    <t>10/4（日）</t>
  </si>
  <si>
    <t>10/5（月）</t>
  </si>
  <si>
    <t>10/6（火）</t>
  </si>
  <si>
    <t>10/7（水）</t>
  </si>
  <si>
    <t>10/8（木）</t>
  </si>
  <si>
    <t>10/9（金）</t>
  </si>
  <si>
    <t>10/10（土）</t>
  </si>
  <si>
    <t>10/11（日）</t>
  </si>
  <si>
    <t>10/12（月） スポーツの日</t>
  </si>
  <si>
    <t>10/13（火）</t>
  </si>
  <si>
    <t>10/14（水）</t>
  </si>
  <si>
    <t>10/15（木）</t>
  </si>
  <si>
    <t>10/16（金）</t>
  </si>
  <si>
    <t>10/17（土）</t>
  </si>
  <si>
    <t>10/18（日）</t>
  </si>
  <si>
    <t>10/19（月）</t>
  </si>
  <si>
    <t>10/20（火）</t>
  </si>
  <si>
    <t>10/21（水）</t>
  </si>
  <si>
    <t>10/22（木）</t>
  </si>
  <si>
    <t>10/23（金）</t>
  </si>
  <si>
    <t>10/24（土）</t>
  </si>
  <si>
    <t>10/25（日）</t>
  </si>
  <si>
    <t>10/26（月）</t>
  </si>
  <si>
    <t>10/27（火）</t>
  </si>
  <si>
    <t>10/28（水）</t>
  </si>
  <si>
    <t>10/29（木）</t>
  </si>
  <si>
    <t>10/30（金）</t>
  </si>
  <si>
    <t>10/31（土）</t>
  </si>
  <si>
    <t>祝</t>
    <phoneticPr fontId="1"/>
  </si>
  <si>
    <t>◀ 表紙へ</t>
  </si>
  <si>
    <t>▶ 元の月間シフト（2026年10月）へ</t>
  </si>
  <si>
    <t>⑤月間_2026年10月</t>
    <phoneticPr fontId="1"/>
  </si>
  <si>
    <t>⑥ タイムシフト　2026/10/1（木）～ 2026/10/31（土）　8:00～18:00</t>
    <phoneticPr fontId="1"/>
  </si>
  <si>
    <t>日付へ移動 ▶</t>
    <phoneticPr fontId="1"/>
  </si>
  <si>
    <t>振</t>
  </si>
  <si>
    <t>振替出勤</t>
  </si>
  <si>
    <t>出勤</t>
  </si>
  <si>
    <t>③ 休暇管理（1時間単位）</t>
  </si>
  <si>
    <t>種類</t>
  </si>
  <si>
    <t>時間</t>
  </si>
  <si>
    <t>備考（理由など）</t>
  </si>
  <si>
    <t>黄色＝入力　灰色＝自動</t>
  </si>
  <si>
    <t>① 各種設定（最初に1回）</t>
    <phoneticPr fontId="1"/>
  </si>
  <si>
    <t>② メンバー・勤務設定（いつもの勤務の形）</t>
    <phoneticPr fontId="1"/>
  </si>
  <si>
    <t>④ 月間シフト作成</t>
    <phoneticPr fontId="1"/>
  </si>
  <si>
    <t>※ ②メンバーの勤務の形に、③休暇管理の休暇（終日・時間単位）を反映して作ります。</t>
  </si>
  <si>
    <t>※ マクロを有効にして開いてください。各シート左上の「◀ 表紙へ」でここに戻れます。</t>
  </si>
  <si>
    <t>▶ ⑤ 月間シフト　2026年10月</t>
  </si>
  <si>
    <t>　└ ⑥ タイムシフト　2026年10月</t>
  </si>
  <si>
    <t>③休暇管理で使う記号</t>
  </si>
  <si>
    <t>③休みの記号</t>
  </si>
  <si>
    <t>③出勤の記号</t>
  </si>
  <si>
    <t>・月間シフトで③の「休み」「出勤」を表示する記号（色も使います）</t>
  </si>
  <si>
    <t>⑤ 月間シフト　2026/10/1（木）～ 2026/10/31（土）</t>
  </si>
  <si>
    <t>頭数（合計）</t>
  </si>
  <si>
    <t>1行に1件。種類「休み」＝いない時間の枠に「休」、種類「出勤」（休みの日の出勤）＝いる時間の枠に「出」。午前だけ未勤務・中抜けもOK。</t>
  </si>
  <si>
    <t>枠が空欄なら1日まるごと（休み＝終日休み、出勤＝いつもの時間）。枠をまとめて選んで「休」を入力し Ctrl＋Enter で一度に入ります。</t>
  </si>
  <si>
    <t>休 ＝ いない時間 ／ 出 ＝ いる時間</t>
  </si>
  <si>
    <t>業務ルール（⑦ 自動割り振り：上の行から順に割り振る）</t>
  </si>
  <si>
    <t>業務名</t>
  </si>
  <si>
    <t>開始(時)</t>
  </si>
  <si>
    <t>終了(時)</t>
  </si>
  <si>
    <t>人数</t>
  </si>
  <si>
    <t>必要スキル</t>
  </si>
  <si>
    <t>優先：この業務が
同じ日に無い人</t>
  </si>
  <si>
    <t>通勤発送</t>
  </si>
  <si>
    <t>扶発送</t>
  </si>
  <si>
    <t>住・給与発送</t>
  </si>
  <si>
    <t>・業務名のセルの塗りつぶし色が、タイムシフトでの色になります。</t>
  </si>
  <si>
    <t>備考</t>
    <phoneticPr fontId="1"/>
  </si>
  <si>
    <t>◀ ⑥ タイムシフト（2026年10月）へ</t>
  </si>
  <si>
    <t>最多</t>
  </si>
  <si>
    <t>最少</t>
  </si>
  <si>
    <t>差（最多－最少）</t>
  </si>
  <si>
    <t>※ 差が1以下なら緑（ほぼ均等）、2以上は赤。出勤日数が少ない人は回数も少なくなります。</t>
  </si>
  <si>
    <t>人数が足りなかった日（直近の割り振り）</t>
  </si>
  <si>
    <t>⑥タイム_2026年10月</t>
  </si>
  <si>
    <t>　└ ⑧ 配分一覧　2026年10月</t>
  </si>
  <si>
    <t>電話当番
を除く</t>
  </si>
  <si>
    <t>電話当番</t>
  </si>
  <si>
    <t>終日</t>
  </si>
  <si>
    <t>・1行目の「電話当番」は、その日に勤務している人から回数の少ない人をランダムに選び、⑥の電話当番列に○。</t>
  </si>
  <si>
    <t>・「電話当番を除く」が○の業務は、その日の電話当番には割り振りません。</t>
  </si>
  <si>
    <t>上から順番に進めてください。①② は最初に1回、③～⑨ は毎月の作業です（⑦のあと手で直してから⑨）。</t>
    <phoneticPr fontId="1"/>
  </si>
  <si>
    <t>⑧ 業務の配分一覧（回数）　2026年10月　※1日1回として数えます</t>
  </si>
  <si>
    <t>合計</t>
    <phoneticPr fontId="1"/>
  </si>
  <si>
    <t>※電話当番を除く</t>
  </si>
  <si>
    <t>扶(発送)</t>
    <rPh sb="0" eb="1">
      <t>フ</t>
    </rPh>
    <rPh sb="2" eb="4">
      <t>ハッソウ</t>
    </rPh>
    <phoneticPr fontId="1"/>
  </si>
  <si>
    <t>児(発送)</t>
    <rPh sb="0" eb="1">
      <t>ジ</t>
    </rPh>
    <rPh sb="2" eb="4">
      <t>ハッソウ</t>
    </rPh>
    <phoneticPr fontId="1"/>
  </si>
  <si>
    <t>発送準備</t>
    <rPh sb="0" eb="4">
      <t>ハッソウジュンビ</t>
    </rPh>
    <phoneticPr fontId="1"/>
  </si>
  <si>
    <t>扶発送</t>
    <phoneticPr fontId="1"/>
  </si>
  <si>
    <t>通勤発送</t>
    <phoneticPr fontId="1"/>
  </si>
  <si>
    <t>発送準備</t>
    <rPh sb="0" eb="4">
      <t>ハッソウジュンビ</t>
    </rPh>
    <phoneticPr fontId="1"/>
  </si>
  <si>
    <t>発送準備</t>
  </si>
  <si>
    <t>発送準備</t>
    <rPh sb="0" eb="4">
      <t>ハッソウジュンビ</t>
    </rPh>
    <phoneticPr fontId="1"/>
  </si>
  <si>
    <t>||||||||||○</t>
  </si>
  <si>
    <t>||受領仕分け||||||||</t>
  </si>
  <si>
    <t>|||||受領|||||</t>
  </si>
  <si>
    <t>||受領仕分け|||受領|||||</t>
    <phoneticPr fontId="1"/>
  </si>
  <si>
    <t>|||||受領|通勤発送||||</t>
    <phoneticPr fontId="1"/>
  </si>
  <si>
    <t>||受領仕分け|||受領|住・給与発送||||</t>
    <phoneticPr fontId="1"/>
  </si>
  <si>
    <t>||受領仕分け|||受領||||発送準備|</t>
    <phoneticPr fontId="1"/>
  </si>
  <si>
    <t>||受領仕分け|||受領|住・給与発送|||発送準備|</t>
    <phoneticPr fontId="1"/>
  </si>
  <si>
    <t>備考　※不足：扶発送1人</t>
    <phoneticPr fontId="1"/>
  </si>
  <si>
    <t>||受領仕分け|||受領|通勤発送||||</t>
    <phoneticPr fontId="1"/>
  </si>
  <si>
    <t>||受領仕分け|||受領|通勤発送|||発送準備|</t>
    <phoneticPr fontId="1"/>
  </si>
  <si>
    <t>|||||受領||||発送準備|</t>
    <phoneticPr fontId="1"/>
  </si>
  <si>
    <t>||受領仕分け|||||||発送準備|</t>
    <phoneticPr fontId="1"/>
  </si>
  <si>
    <t>|||||||||発送準備|</t>
  </si>
  <si>
    <t>|||||受領|通勤発送|||発送準備|</t>
    <phoneticPr fontId="1"/>
  </si>
  <si>
    <t>|||||受領|住・給与発送||||</t>
    <phoneticPr fontId="1"/>
  </si>
  <si>
    <t>|||||受領|住・給与発送|||発送準備|</t>
    <phoneticPr fontId="1"/>
  </si>
  <si>
    <t>10/1（木）　扶発送1人</t>
  </si>
  <si>
    <t>10/2（金）　扶発送1人</t>
  </si>
  <si>
    <t>10/5（月）　扶発送1人</t>
  </si>
  <si>
    <t>10/6（火）　扶発送1人</t>
  </si>
  <si>
    <t>10/7（水）　扶発送1人</t>
  </si>
  <si>
    <t>10/8（木）　扶発送1人</t>
  </si>
  <si>
    <t>10/9（金）　扶発送1人</t>
  </si>
  <si>
    <t>10/13（火）　扶発送1人</t>
  </si>
  <si>
    <t>10/14（水）　扶発送1人</t>
  </si>
  <si>
    <t>10/15（木）　扶発送1人</t>
  </si>
  <si>
    <t>10/16（金）　扶発送1人</t>
  </si>
  <si>
    <t>10/19（月）　扶発送1人</t>
  </si>
  <si>
    <t>10/20（火）　扶発送1人</t>
  </si>
  <si>
    <t>10/21（水）　扶発送1人</t>
  </si>
  <si>
    <t>10/22（木）　扶発送1人</t>
  </si>
  <si>
    <t>10/23（金）　扶発送1人</t>
  </si>
  <si>
    <t>10/26（月）　扶発送1人</t>
  </si>
  <si>
    <t>10/27（火）　扶発送1人</t>
  </si>
  <si>
    <t>10/28（水）　扶発送1人</t>
  </si>
  <si>
    <t>10/29（木）　扶発送1人</t>
  </si>
  <si>
    <t>10/30（金）　扶発送1人</t>
  </si>
  <si>
    <t>◀ 表紙へ</t>
    <phoneticPr fontId="1"/>
  </si>
  <si>
    <t>マクロ保存（マクロが消えたときの復元用）</t>
  </si>
  <si>
    <t>1. ボタンとマクロの対応（どのシートのどのボタンが、どのマクロを動かすか）</t>
  </si>
  <si>
    <t>シート</t>
  </si>
  <si>
    <t>ボタンの表示</t>
  </si>
  <si>
    <t>位置</t>
  </si>
  <si>
    <t>図形の名前</t>
  </si>
  <si>
    <t>実行するマクロ</t>
  </si>
  <si>
    <t>モジュール</t>
  </si>
  <si>
    <t>内容</t>
  </si>
  <si>
    <t>表紙</t>
  </si>
  <si>
    <t>① 各種設定 祝日・勤務記号・最低人数・業務ルール（時間・人数・スキル）</t>
  </si>
  <si>
    <t>B6</t>
  </si>
  <si>
    <t>Rounded Rectangle 8</t>
  </si>
  <si>
    <t>GoStep1</t>
  </si>
  <si>
    <t>modFlow</t>
  </si>
  <si>
    <t>「①各種設定」シートへ移動する</t>
  </si>
  <si>
    <t>② メンバー 一人ひとりの勤務時間・休憩・スキル（いつもの形）</t>
  </si>
  <si>
    <t>B11</t>
  </si>
  <si>
    <t>Rounded Rectangle 10</t>
  </si>
  <si>
    <t>GoStep2</t>
  </si>
  <si>
    <t>「②メンバー」シートへ移動する</t>
  </si>
  <si>
    <t>③ 休暇管理 種類（休み／出勤）と、1時間ごとの「休」「出」（午前だけ未勤務・中抜けもOK）</t>
  </si>
  <si>
    <t>B16</t>
  </si>
  <si>
    <t>Rounded Rectangle 12</t>
  </si>
  <si>
    <t>GoStep3</t>
  </si>
  <si>
    <t>「③休暇管理」シートへ移動する</t>
  </si>
  <si>
    <t>④ 月間シフト作成 開始日を入れてボタン（②＋③から自動で作成）</t>
  </si>
  <si>
    <t>B21</t>
  </si>
  <si>
    <t>Rounded Rectangle 14</t>
  </si>
  <si>
    <t>GoStep4</t>
  </si>
  <si>
    <t>「④月間シフト作成」シートへ移動する</t>
  </si>
  <si>
    <t>⑤ 月間シフト できたシフトの確認・調整、スキルの充足チェック（最新の月へ）</t>
  </si>
  <si>
    <t>B25</t>
  </si>
  <si>
    <t>Rounded Rectangle 16</t>
  </si>
  <si>
    <t>GoStep5</t>
  </si>
  <si>
    <t>いちばん新しい「⑤月間_」シートへ移動する</t>
  </si>
  <si>
    <t>⑥ タイムシフト 1時間ごとの配置・電話当番・備考（⑤のボタンで作成）</t>
  </si>
  <si>
    <t>B30</t>
  </si>
  <si>
    <t>Rounded Rectangle 18</t>
  </si>
  <si>
    <t>GoStep6</t>
  </si>
  <si>
    <t>いちばん新しい「⑥タイム_」シートへ移動する</t>
  </si>
  <si>
    <t>⑦ 電話当番・業務の自動割り振り 電話当番3人と業務を、ルールどおり1か月で均等に（あとで手修正OK）</t>
  </si>
  <si>
    <t>B34</t>
  </si>
  <si>
    <t>Rounded Rectangle 20</t>
  </si>
  <si>
    <t>GoStep7</t>
  </si>
  <si>
    <t>modTask</t>
  </si>
  <si>
    <t>いちばん新しいタイムシフトで、電話当番・業務の自動割り振りを行う</t>
  </si>
  <si>
    <t>⑧ 配分一覧 今月だれが何回どの業務をしたか（均等チェック付き）</t>
  </si>
  <si>
    <t>B38</t>
  </si>
  <si>
    <t>Rounded Rectangle 34</t>
  </si>
  <si>
    <t>GoStep8</t>
  </si>
  <si>
    <t>いちばん新しい「⑧配分_」シートへ移動する</t>
  </si>
  <si>
    <t>⑨ 時間集計 手修正のあと、業務ごとの時間（ルールにない業務・1枠に複数も）</t>
  </si>
  <si>
    <t>B43</t>
  </si>
  <si>
    <t>Rounded Rectangle 36</t>
  </si>
  <si>
    <t>GoStep9</t>
  </si>
  <si>
    <t>いちばん新しい「⑨時間_」シートへ移動する</t>
  </si>
  <si>
    <t>①各種設定</t>
  </si>
  <si>
    <t>次へ：② メンバー ▶</t>
  </si>
  <si>
    <t>J1</t>
  </si>
  <si>
    <t>btnNext</t>
  </si>
  <si>
    <t>②メンバー</t>
  </si>
  <si>
    <t>次へ：③ 休暇管理 ▶</t>
  </si>
  <si>
    <t>P1</t>
  </si>
  <si>
    <t>③休暇管理</t>
  </si>
  <si>
    <t>次へ：④ 月間シフト作成 ▶</t>
  </si>
  <si>
    <t>Q1</t>
  </si>
  <si>
    <t>Rounded Rectangle 1</t>
  </si>
  <si>
    <t>日付順に並べ替え</t>
  </si>
  <si>
    <t>Q4</t>
  </si>
  <si>
    <t>Rounded Rectangle 2</t>
  </si>
  <si>
    <t>SortLeaves</t>
  </si>
  <si>
    <t>modLeave</t>
  </si>
  <si>
    <t>休暇管理の一覧を日付順に並べ替える</t>
  </si>
  <si>
    <t>④月間シフト作成</t>
  </si>
  <si>
    <t>▶ 月間シフトを作成</t>
  </si>
  <si>
    <t>E3</t>
  </si>
  <si>
    <t>btnCreate</t>
  </si>
  <si>
    <t>CreateMonthlyShift</t>
  </si>
  <si>
    <t>modShift</t>
  </si>
  <si>
    <t>入力した開始日で月間シフト（⑤）を作成する</t>
  </si>
  <si>
    <t>作成後は ⑤ 各月の月間シフトへ ▶</t>
  </si>
  <si>
    <t>E1</t>
  </si>
  <si>
    <t>⑤月間_2026年10月</t>
  </si>
  <si>
    <t>次へ：⑥ タイムシフト作成 ▶</t>
  </si>
  <si>
    <t>U1</t>
  </si>
  <si>
    <t>btnTimeShift</t>
  </si>
  <si>
    <t>CreateTimeShiftFromActive</t>
  </si>
  <si>
    <t>modTime</t>
  </si>
  <si>
    <t>このシートの月のタイムシフト（⑥）を作成する</t>
  </si>
  <si>
    <t>↻ 休暇を反映して作り直す</t>
  </si>
  <si>
    <t>Y1</t>
  </si>
  <si>
    <t>btnRecreate</t>
  </si>
  <si>
    <t>RecreateActiveMonthly</t>
  </si>
  <si>
    <t>③休暇管理の内容でこの月間シフトを作り直す（タイムシフトがあれば休暇も再反映）</t>
  </si>
  <si>
    <t>↻ 休暇を再反映</t>
  </si>
  <si>
    <t>O1</t>
  </si>
  <si>
    <t>RefreshActiveTimeShift</t>
  </si>
  <si>
    <t>③休暇管理の変更を、このタイムシフトに反映する</t>
  </si>
  <si>
    <t>⑦ 電話・業務を割り振る ▶</t>
  </si>
  <si>
    <t>O4</t>
  </si>
  <si>
    <t>btnAssign</t>
  </si>
  <si>
    <t>AssignTasksActive</t>
  </si>
  <si>
    <t>電話当番と業務を、ルールどおり1か月分自動で割り振る</t>
  </si>
  <si>
    <t>⑧ 配分一覧</t>
  </si>
  <si>
    <t>btnAlloc</t>
  </si>
  <si>
    <t>GoAllocationFromTime</t>
  </si>
  <si>
    <t>この月の「⑧配分_」シートへ移動する</t>
  </si>
  <si>
    <t>⑨ 時間集計</t>
  </si>
  <si>
    <t>P4</t>
  </si>
  <si>
    <t>btnHours</t>
  </si>
  <si>
    <t>GoHoursFromActive</t>
  </si>
  <si>
    <t>この月の「⑨時間_」シートへ移動する</t>
  </si>
  <si>
    <t>⑧配分_2026年10月</t>
  </si>
  <si>
    <t>↻ 最新の状態に更新</t>
  </si>
  <si>
    <t>M1</t>
  </si>
  <si>
    <t>RefreshActiveAllocation</t>
  </si>
  <si>
    <t>配分一覧を最新の状態に更新する</t>
  </si>
  <si>
    <t>↻ 割り振りをやり直す</t>
  </si>
  <si>
    <t>M2</t>
  </si>
  <si>
    <t>次へ：⑨ 時間集計 ▶</t>
  </si>
  <si>
    <t>M5</t>
  </si>
  <si>
    <t>Rounded Rectangle 3</t>
  </si>
  <si>
    <t>※ ⑤月間_・⑥タイム_・⑧配分_・⑨時間_ のシートのボタンは、マクロでシートを作るたびに自動で付きます（表は今あるシートの分）。</t>
  </si>
  <si>
    <t>2. ボタン以外で自動で動くマクロ（イベント）</t>
  </si>
  <si>
    <t>場所</t>
  </si>
  <si>
    <t>イベント</t>
  </si>
  <si>
    <t>いつ動くか</t>
  </si>
  <si>
    <t>ThisWorkbook（ブック全体）</t>
  </si>
  <si>
    <t>Workbook_SheetActivate</t>
  </si>
  <si>
    <t>シートを切り替えたとき</t>
  </si>
  <si>
    <t>表紙を開くたびに「作成済みの月間シフト」一覧を最新化 （一覧更新だけでは「保存しますか？」が出ないよう Saved 状態を戻す）</t>
  </si>
  <si>
    <t>3. モジュール一覧</t>
  </si>
  <si>
    <t>モジュール名</t>
  </si>
  <si>
    <t>行数</t>
  </si>
  <si>
    <t>貼り付け先（VBA の画面）</t>
  </si>
  <si>
    <t>ThisWorkbook</t>
  </si>
  <si>
    <t>Excel オブジェクト</t>
  </si>
  <si>
    <t>13行</t>
  </si>
  <si>
    <t>プロジェクトの「ThisWorkbook」</t>
  </si>
  <si>
    <t>標準モジュール</t>
  </si>
  <si>
    <t>挿入 → 標準モジュール → 名前を「modShift」に</t>
  </si>
  <si>
    <t>挿入 → 標準モジュール → 名前を「modTime」に</t>
  </si>
  <si>
    <t>274行</t>
  </si>
  <si>
    <t>挿入 → 標準モジュール → 名前を「modFlow」に</t>
  </si>
  <si>
    <t>652行</t>
  </si>
  <si>
    <t>挿入 → 標準モジュール → 名前を「modLeave」に</t>
  </si>
  <si>
    <t>1301行</t>
  </si>
  <si>
    <t>挿入 → 標準モジュール → 名前を「modTask」に</t>
  </si>
  <si>
    <t>4. マクロが消えたときの復元手順</t>
  </si>
  <si>
    <t>① ファイル → 名前を付けて保存 → ファイルの種類「Excel マクロ有効ブック (*.xlsm)」で保存し直す（.xlsx になっているとマクロを保存できません）。</t>
  </si>
  <si>
    <t>② Alt + F11 で VBA の画面を開く。</t>
  </si>
  <si>
    <t>③ 下の「5. コード」から、モジュールごとにコードを選んでコピーする。名前ボックス（画面左上、セル番地が出ている欄）の ▼ から「code_モジュール名」を選ぶと、そのモジュールのコード全体が選ばれます → Ctrl + C。</t>
  </si>
  <si>
    <t>④ 3. の「貼り付け先」に貼り付ける。標準モジュールは［挿入］→［標準モジュール］で作り、左下のプロパティで (オブジェクト名) を表のモジュール名に変えてから、中を空にして Ctrl + V。ThisWorkbook・シートは、左のプロジェクト一覧で該当のものをダブルクリックして Ctrl + V（最初から入っている「Option Explicit」は消してから貼る）。</t>
  </si>
  <si>
    <t>⑤ ボタンは、モジュール名とマクロ名を元どおりにすれば多くの場合そのまま動きます。動かないときは、ボタンを右クリック →［マクロの登録］→ 1. の「実行するマクロ」を選ぶ。</t>
  </si>
  <si>
    <t>⑥ 保存して開き直し、ボタンを押して動くことを確認する。</t>
  </si>
  <si>
    <t>5. コード（B列がコード本体。名前ボックスの「code_モジュール名」で全体を選択できます）</t>
  </si>
  <si>
    <t>■ ThisWorkbook</t>
  </si>
  <si>
    <t>Excel オブジェクト　12行</t>
  </si>
  <si>
    <t>1</t>
  </si>
  <si>
    <t>Option Explicit</t>
  </si>
  <si>
    <t>2</t>
  </si>
  <si>
    <t/>
  </si>
  <si>
    <t>3</t>
  </si>
  <si>
    <t>' 表紙を開くたびに「作成済みの月間シフト」一覧を最新化</t>
  </si>
  <si>
    <t>4</t>
  </si>
  <si>
    <t>' （一覧更新だけでは「保存しますか？」が出ないよう Saved 状態を戻す）</t>
  </si>
  <si>
    <t>5</t>
  </si>
  <si>
    <t>Private Sub Workbook_SheetActivate(ByVal sh As Object)</t>
  </si>
  <si>
    <t>6</t>
  </si>
  <si>
    <t xml:space="preserve">    Dim sv As Boolean</t>
  </si>
  <si>
    <t>7</t>
  </si>
  <si>
    <t xml:space="preserve">    If sh.Name = SH_COVER Then</t>
  </si>
  <si>
    <t>8</t>
  </si>
  <si>
    <t xml:space="preserve">        sv = Me.Saved</t>
  </si>
  <si>
    <t>9</t>
  </si>
  <si>
    <t xml:space="preserve">        RefreshCoverList</t>
  </si>
  <si>
    <t>10</t>
  </si>
  <si>
    <t xml:space="preserve">        Me.Saved = sv</t>
  </si>
  <si>
    <t>11</t>
  </si>
  <si>
    <t xml:space="preserve">    End If</t>
  </si>
  <si>
    <t>12</t>
  </si>
  <si>
    <t>End Sub</t>
  </si>
  <si>
    <t>■ modShift</t>
  </si>
  <si>
    <t>'==============================================================</t>
  </si>
  <si>
    <t>' シフト管理：共通定数・月間シフト作成・表紙リスト更新</t>
  </si>
  <si>
    <t>' ---- シート名 ----</t>
  </si>
  <si>
    <t>Public Const SH_COVER As String = "表紙"</t>
  </si>
  <si>
    <t>' 作業順がわかるよう番号付き（①②＝最初に1回、③～⑥＝毎月）</t>
  </si>
  <si>
    <t>Public Const SH_SETTING As String = "①各種設定"</t>
  </si>
  <si>
    <t>Public Const SH_MEMBER As String = "②メンバー"</t>
  </si>
  <si>
    <t>Public Const SH_LEAVE As String = "③休暇管理"</t>
  </si>
  <si>
    <t>Public Const SH_MAKE As String = "④月間シフト作成"</t>
  </si>
  <si>
    <t>13</t>
  </si>
  <si>
    <t>Public Const MONTHLY_PREFIX As String = "⑤月間_"</t>
  </si>
  <si>
    <t>14</t>
  </si>
  <si>
    <t>15</t>
  </si>
  <si>
    <t>' ---- メンバーシートの列（初期構築 modSetup 用の既定レイアウト）----</t>
  </si>
  <si>
    <t>16</t>
  </si>
  <si>
    <t>' ※ 月間シフト作成では使わず、4行目・3行目の見出し文字から列を自動検出する（LoadMemberCols）</t>
  </si>
  <si>
    <t>17</t>
  </si>
  <si>
    <t>Public Const M_FIRST_ROW As Long = 5</t>
  </si>
  <si>
    <t>18</t>
  </si>
  <si>
    <t>Public Const M_MAX_ROW As Long = 104      ' 最大100名</t>
  </si>
  <si>
    <t>19</t>
  </si>
  <si>
    <t>Public Const MC_NO As Long = 1            ' A</t>
  </si>
  <si>
    <t>20</t>
  </si>
  <si>
    <t>Public Const MC_NAME As Long = 2          ' B</t>
  </si>
  <si>
    <t>21</t>
  </si>
  <si>
    <t>22</t>
  </si>
  <si>
    <t>Public Const MC_ACTIVE As Long = 4        ' D 在籍</t>
  </si>
  <si>
    <t>23</t>
  </si>
  <si>
    <t>Public Const MC_BRK1S As Long = 5         ' E 休憩1開始</t>
  </si>
  <si>
    <t>24</t>
  </si>
  <si>
    <t>Public Const MC_BRK1E As Long = 6         ' F 休憩1終了</t>
  </si>
  <si>
    <t>25</t>
  </si>
  <si>
    <t>Public Const MC_BRK2S As Long = 7         ' G 休憩2開始</t>
  </si>
  <si>
    <t>26</t>
  </si>
  <si>
    <t>Public Const MC_BRK2E As Long = 8         ' H 休憩2終了</t>
  </si>
  <si>
    <t>27</t>
  </si>
  <si>
    <t>Public Const MC_BRKMIN As Long = 9        ' I 休憩合計(分)</t>
  </si>
  <si>
    <t>28</t>
  </si>
  <si>
    <t>Public Const MC_MON_S As Long = 10        ' J 月開始 (K 月終了, L 火開始 … W 日終了)</t>
  </si>
  <si>
    <t>29</t>
  </si>
  <si>
    <t>Public Const MC_HOLIDAY As Long = 24      ' X 祝日勤務</t>
  </si>
  <si>
    <t>30</t>
  </si>
  <si>
    <t>Public Const MC_WEEKH As Long = 25        ' Y 週労働時間</t>
  </si>
  <si>
    <t>31</t>
  </si>
  <si>
    <t>Public Const MC_SKILL1 As Long = 26       ' Z～AE スキル</t>
  </si>
  <si>
    <t>32</t>
  </si>
  <si>
    <t>Public Const SKILL_COUNT As Long = 6</t>
  </si>
  <si>
    <t>33</t>
  </si>
  <si>
    <t>34</t>
  </si>
  <si>
    <t>' ---- 設定シート ----</t>
  </si>
  <si>
    <t>35</t>
  </si>
  <si>
    <t>Public Const ST_FIRST_ROW As Long = 5</t>
  </si>
  <si>
    <t>36</t>
  </si>
  <si>
    <t>Public Const STC_HOL_DATE As Long = 1     ' A 祝日日付</t>
  </si>
  <si>
    <t>37</t>
  </si>
  <si>
    <t>Public Const STC_HOL_NAME As Long = 2     ' B 祝日名</t>
  </si>
  <si>
    <t>38</t>
  </si>
  <si>
    <t>39</t>
  </si>
  <si>
    <t>Public Const STC_CODE As Long = 6         ' F 勤務記号</t>
  </si>
  <si>
    <t>40</t>
  </si>
  <si>
    <t>Public Const STC_CODE_DESC As Long = 7    ' G 意味</t>
  </si>
  <si>
    <t>41</t>
  </si>
  <si>
    <t>Public Const STC_CODE_KIND As Long = 8    ' H 集計区分（公休/有給/その他）</t>
  </si>
  <si>
    <t>42</t>
  </si>
  <si>
    <t>Public Const ST_REQ_HEAD As Long = 4      ' スキル別最低人数：見出し行（J4:K4）※他の表と同じ4行目</t>
  </si>
  <si>
    <t>43</t>
  </si>
  <si>
    <t>Public Const STC_REQ_NAME As Long = 10    ' J 項目（頭数／スキル名）</t>
  </si>
  <si>
    <t>44</t>
  </si>
  <si>
    <t>Public Const STC_REQ_MIN As Long = 11     ' K 最低人数</t>
  </si>
  <si>
    <t>45</t>
  </si>
  <si>
    <t>Public Const ST_REQ_LAST As Long = 51</t>
  </si>
  <si>
    <t>46</t>
  </si>
  <si>
    <t>Public Const STC_JDG_KEY As Long = 13     ' M 充足判定の設定：項目</t>
  </si>
  <si>
    <t>47</t>
  </si>
  <si>
    <t>Public Const STC_JDG_VAL As Long = 14     ' N 値</t>
  </si>
  <si>
    <t>48</t>
  </si>
  <si>
    <t>Public Const REQ_HEADCOUNT As String = "頭数（合計）"</t>
  </si>
  <si>
    <t>49</t>
  </si>
  <si>
    <t>50</t>
  </si>
  <si>
    <t>' ---- 月間シフトシート ----</t>
  </si>
  <si>
    <t>51</t>
  </si>
  <si>
    <t>Public Const S_MONTH_ROW As Long = 3</t>
  </si>
  <si>
    <t>52</t>
  </si>
  <si>
    <t>Public Const S_DATE_ROW As Long = 4</t>
  </si>
  <si>
    <t>53</t>
  </si>
  <si>
    <t>Public Const S_WDAY_ROW As Long = 5</t>
  </si>
  <si>
    <t>54</t>
  </si>
  <si>
    <t>Public Const S_FIRST_ROW As Long = 6</t>
  </si>
  <si>
    <t>55</t>
  </si>
  <si>
    <t>Public Const SC_NO As Long = 1</t>
  </si>
  <si>
    <t>56</t>
  </si>
  <si>
    <t>Public Const SC_NAME As Long = 2</t>
  </si>
  <si>
    <t>57</t>
  </si>
  <si>
    <t>Public Const SC_ROLE As Long = 3</t>
  </si>
  <si>
    <t>58</t>
  </si>
  <si>
    <t>Public Const SC_BRK As Long = 4</t>
  </si>
  <si>
    <t>59</t>
  </si>
  <si>
    <t>Public Const SC_DAY1 As Long = 5</t>
  </si>
  <si>
    <t>60</t>
  </si>
  <si>
    <t>61</t>
  </si>
  <si>
    <t>' ---- 表紙 ----</t>
  </si>
  <si>
    <t>62</t>
  </si>
  <si>
    <t>Public Const CV_LIST_COL As Long = 9      ' I列：作成済み月間シフト一覧</t>
  </si>
  <si>
    <t>63</t>
  </si>
  <si>
    <t>Public Const CV_LIST_TOP As Long = 7</t>
  </si>
  <si>
    <t>64</t>
  </si>
  <si>
    <t>Public Const CV_LIST_MAX As Long = 60</t>
  </si>
  <si>
    <t>65</t>
  </si>
  <si>
    <t>66</t>
  </si>
  <si>
    <t>Public Const APP_FONT As String = "Meiryo UI"</t>
  </si>
  <si>
    <t>67</t>
  </si>
  <si>
    <t>68</t>
  </si>
  <si>
    <t>' ---- メンバーシートの列（見出しから自動検出した結果）----</t>
  </si>
  <si>
    <t>69</t>
  </si>
  <si>
    <t>Private gcName As Long, gcRole As Long, gcActive As Long</t>
  </si>
  <si>
    <t>70</t>
  </si>
  <si>
    <t>Private gcBrkMin As Long, gcHoliday As Long</t>
  </si>
  <si>
    <t>71</t>
  </si>
  <si>
    <t>Private gcDay(1 To 7) As Long            ' 月=1 … 日=7 の「開始」列（終了は+1列）</t>
  </si>
  <si>
    <t>72</t>
  </si>
  <si>
    <t>Private gcBrkS() As Long, gcBrkE() As Long, gcBrkCnt As Long</t>
  </si>
  <si>
    <t>73</t>
  </si>
  <si>
    <t>Private gcSkill() As Long, gcSkillName() As String, gcSkillCnt As Long   ' 3行目「スキル…」の下の列</t>
  </si>
  <si>
    <t>74</t>
  </si>
  <si>
    <t>Private gcFirstRow As Long, gcLastRow As Long</t>
  </si>
  <si>
    <t>75</t>
  </si>
  <si>
    <t>76</t>
  </si>
  <si>
    <t>Public SilentMode As Boolean   ' テスト用：True のときメッセージを出さない</t>
  </si>
  <si>
    <t>77</t>
  </si>
  <si>
    <t>78</t>
  </si>
  <si>
    <t>79</t>
  </si>
  <si>
    <t>' 月間シフト作成（「月間シフト作成」シートのボタンから実行）</t>
  </si>
  <si>
    <t>80</t>
  </si>
  <si>
    <t>81</t>
  </si>
  <si>
    <t>Public Sub CreateMonthlyShift(Optional ByVal skipConfirm As Boolean = False, Optional ByVal quietDone As Boolean = False)</t>
  </si>
  <si>
    <t>82</t>
  </si>
  <si>
    <t xml:space="preserve">    Dim wb As Workbook, wsMake As Worksheet, wsM As Worksheet, ws As Worksheet</t>
  </si>
  <si>
    <t>83</t>
  </si>
  <si>
    <t xml:space="preserve">    Dim dStart As Date, dEnd As Date, d As Date</t>
  </si>
  <si>
    <t>84</t>
  </si>
  <si>
    <t xml:space="preserve">    Dim nDays As Long, i As Long, k As Long, r As Long, mr As Long</t>
  </si>
  <si>
    <t>85</t>
  </si>
  <si>
    <t xml:space="preserve">    Dim sName As String, roles As Variant, ri As Long</t>
  </si>
  <si>
    <t>86</t>
  </si>
  <si>
    <t xml:space="preserve">    Dim members As Collection, hol As Object</t>
  </si>
  <si>
    <t>87</t>
  </si>
  <si>
    <t xml:space="preserve">    Dim grid() As Variant, v As String</t>
  </si>
  <si>
    <t>88</t>
  </si>
  <si>
    <t xml:space="preserve">    Dim cSum As Long, lastR As Long, wd As Long, sc As Long, oldIdx As Long</t>
  </si>
  <si>
    <t>89</t>
  </si>
  <si>
    <t>90</t>
  </si>
  <si>
    <t xml:space="preserve">    Set wb = ThisWorkbook</t>
  </si>
  <si>
    <t>91</t>
  </si>
  <si>
    <t xml:space="preserve">    Set wsMake = wb.Worksheets(SH_MAKE)</t>
  </si>
  <si>
    <t>92</t>
  </si>
  <si>
    <t xml:space="preserve">    Set wsM = wb.Worksheets(SH_MEMBER)</t>
  </si>
  <si>
    <t>93</t>
  </si>
  <si>
    <t xml:space="preserve">    If Not LoadMemberCols(wsM) Then Exit Sub</t>
  </si>
  <si>
    <t>94</t>
  </si>
  <si>
    <t xml:space="preserve">    Dim mLast As Long</t>
  </si>
  <si>
    <t>95</t>
  </si>
  <si>
    <t xml:space="preserve">    mLast = wsM.Cells(wsM.Rows.Count, gcName).End(xlUp).row</t>
  </si>
  <si>
    <t>96</t>
  </si>
  <si>
    <t>97</t>
  </si>
  <si>
    <t xml:space="preserve">    ' ---- 入力チェック ----</t>
  </si>
  <si>
    <t>98</t>
  </si>
  <si>
    <t xml:space="preserve">    If Not IsDate(wsMake.Range("C5").Value) Or IsEmpty(wsMake.Range("C5").Value) Then</t>
  </si>
  <si>
    <t>99</t>
  </si>
  <si>
    <t xml:space="preserve">        Notify "開始日を日付で入力してください。（例：2026/11/1）", vbExclamation, "④ 月間シフト作成"</t>
  </si>
  <si>
    <t>100</t>
  </si>
  <si>
    <t xml:space="preserve">        wsMake.Activate</t>
  </si>
  <si>
    <t>101</t>
  </si>
  <si>
    <t xml:space="preserve">        wsMake.Range("C5").Select</t>
  </si>
  <si>
    <t>102</t>
  </si>
  <si>
    <t xml:space="preserve">        Exit Sub</t>
  </si>
  <si>
    <t>103</t>
  </si>
  <si>
    <t>104</t>
  </si>
  <si>
    <t xml:space="preserve">    dStart = CDate(wsMake.Range("C5").Value)</t>
  </si>
  <si>
    <t>105</t>
  </si>
  <si>
    <t xml:space="preserve">    dStart = DateSerial(Year(dStart), Month(dStart), Day(dStart))</t>
  </si>
  <si>
    <t>106</t>
  </si>
  <si>
    <t xml:space="preserve">    dEnd = DateAdd("m", 1, dStart) - 1</t>
  </si>
  <si>
    <t>107</t>
  </si>
  <si>
    <t xml:space="preserve">    nDays = dEnd - dStart + 1</t>
  </si>
  <si>
    <t>108</t>
  </si>
  <si>
    <t>109</t>
  </si>
  <si>
    <t xml:space="preserve">    If Day(dStart) = 1 Then</t>
  </si>
  <si>
    <t>110</t>
  </si>
  <si>
    <t xml:space="preserve">        sName = MONTHLY_PREFIX &amp; Year(dStart) &amp; "年" &amp; Month(dStart) &amp; "月"</t>
  </si>
  <si>
    <t>111</t>
  </si>
  <si>
    <t xml:space="preserve">    Else</t>
  </si>
  <si>
    <t>112</t>
  </si>
  <si>
    <t xml:space="preserve">        sName = MONTHLY_PREFIX &amp; Format(dStart, "yyyymmdd") &amp; "～"</t>
  </si>
  <si>
    <t>113</t>
  </si>
  <si>
    <t>114</t>
  </si>
  <si>
    <t>115</t>
  </si>
  <si>
    <t>116</t>
  </si>
  <si>
    <t xml:space="preserve">    roles = RoleList()</t>
  </si>
  <si>
    <t>117</t>
  </si>
  <si>
    <t xml:space="preserve">    Set members = New Collection</t>
  </si>
  <si>
    <t>118</t>
  </si>
  <si>
    <t xml:space="preserve">    For ri = LBound(roles) To UBound(roles)</t>
  </si>
  <si>
    <t>119</t>
  </si>
  <si>
    <t xml:space="preserve">        For r = M_FIRST_ROW To mLast</t>
  </si>
  <si>
    <t>120</t>
  </si>
  <si>
    <t xml:space="preserve">            If IsActiveMember(wsM, r) Then</t>
  </si>
  <si>
    <t>121</t>
  </si>
  <si>
    <t xml:space="preserve">                If Trim$(CStr(wsM.Cells(r, gcRole).Value)) = roles(ri) Then members.Add r</t>
  </si>
  <si>
    <t>122</t>
  </si>
  <si>
    <t xml:space="preserve">            End If</t>
  </si>
  <si>
    <t>123</t>
  </si>
  <si>
    <t xml:space="preserve">        Next r</t>
  </si>
  <si>
    <t>124</t>
  </si>
  <si>
    <t xml:space="preserve">    Next ri</t>
  </si>
  <si>
    <t>125</t>
  </si>
  <si>
    <t>126</t>
  </si>
  <si>
    <t xml:space="preserve">        If IsActiveMember(wsM, r) Then</t>
  </si>
  <si>
    <t>127</t>
  </si>
  <si>
    <t xml:space="preserve">            If Not InList(Trim$(CStr(wsM.Cells(r, gcRole).Value)), roles) Then members.Add r</t>
  </si>
  <si>
    <t>128</t>
  </si>
  <si>
    <t xml:space="preserve">        End If</t>
  </si>
  <si>
    <t>129</t>
  </si>
  <si>
    <t xml:space="preserve">    Next r</t>
  </si>
  <si>
    <t>130</t>
  </si>
  <si>
    <t xml:space="preserve">    If members.Count = 0 Then</t>
  </si>
  <si>
    <t>131</t>
  </si>
  <si>
    <t xml:space="preserve">        Notify "「" &amp; SH_MEMBER &amp; "」シートに在籍中のメンバーがいません。", vbExclamation, "④ 月間シフト作成"</t>
  </si>
  <si>
    <t>132</t>
  </si>
  <si>
    <t>133</t>
  </si>
  <si>
    <t>134</t>
  </si>
  <si>
    <t>135</t>
  </si>
  <si>
    <t xml:space="preserve">    ' ---- 既存シートの確認 ----</t>
  </si>
  <si>
    <t>136</t>
  </si>
  <si>
    <t xml:space="preserve">    If SheetExists(sName) Then</t>
  </si>
  <si>
    <t>137</t>
  </si>
  <si>
    <t xml:space="preserve">        If Not skipConfirm Then</t>
  </si>
  <si>
    <t>138</t>
  </si>
  <si>
    <t xml:space="preserve">            If Notify("「" &amp; sName &amp; "」はすでにあります。作り直しますか？" &amp; vbLf &amp; vbLf &amp; _</t>
  </si>
  <si>
    <t>139</t>
  </si>
  <si>
    <t xml:space="preserve">                      "【作り直すと】" &amp; vbLf &amp; _</t>
  </si>
  <si>
    <t>140</t>
  </si>
  <si>
    <t xml:space="preserve">                      "・②メンバーと③休暇管理から、もう一度作ります" &amp; vbLf &amp; _</t>
  </si>
  <si>
    <t>141</t>
  </si>
  <si>
    <t xml:space="preserve">                      "・この月間シフトで手で直した内容（例：9-18 → " &amp; LeaveOffCode() &amp; "）は消えます" &amp; vbLf &amp; vbLf &amp; _</t>
  </si>
  <si>
    <t>142</t>
  </si>
  <si>
    <t xml:space="preserve">                      "【変わらないもの】" &amp; vbLf &amp; _</t>
  </si>
  <si>
    <t>143</t>
  </si>
  <si>
    <t xml:space="preserve">                      "・⑥タイムシフト（電話当番・業務・備考）はそのままです" &amp; vbLf &amp; _</t>
  </si>
  <si>
    <t>144</t>
  </si>
  <si>
    <t xml:space="preserve">                      "　休みを⑥にも反映するときは、⑥の「休暇を再反映」を押してください", _</t>
  </si>
  <si>
    <t>145</t>
  </si>
  <si>
    <t xml:space="preserve">                      vbYesNo + vbExclamation, "④ 月間シフト作成") = vbNo Then Exit Sub</t>
  </si>
  <si>
    <t>146</t>
  </si>
  <si>
    <t>147</t>
  </si>
  <si>
    <t xml:space="preserve">        oldIdx = wb.Worksheets(sName).Index        ' 作り直すときは同じ位置に</t>
  </si>
  <si>
    <t>148</t>
  </si>
  <si>
    <t xml:space="preserve">        Application.DisplayAlerts = False</t>
  </si>
  <si>
    <t>149</t>
  </si>
  <si>
    <t xml:space="preserve">        wb.Worksheets(sName).Delete</t>
  </si>
  <si>
    <t>150</t>
  </si>
  <si>
    <t xml:space="preserve">        Application.DisplayAlerts = True</t>
  </si>
  <si>
    <t>151</t>
  </si>
  <si>
    <t>152</t>
  </si>
  <si>
    <t>153</t>
  </si>
  <si>
    <t xml:space="preserve">    Application.ScreenUpdating = False</t>
  </si>
  <si>
    <t>154</t>
  </si>
  <si>
    <t xml:space="preserve">    Set hol = HolidayDict()</t>
  </si>
  <si>
    <t>155</t>
  </si>
  <si>
    <t xml:space="preserve">    Dim lv As Object, lvKey As String, lvNote As String, lvFill As Long</t>
  </si>
  <si>
    <t>156</t>
  </si>
  <si>
    <t xml:space="preserve">    Dim wTxt As String, wNote As String, wCode As String</t>
  </si>
  <si>
    <t>157</t>
  </si>
  <si>
    <t xml:space="preserve">    Dim partNote() As String, partFill() As Long</t>
  </si>
  <si>
    <t>158</t>
  </si>
  <si>
    <t xml:space="preserve">    Set lv = LoadLeaves()</t>
  </si>
  <si>
    <t>159</t>
  </si>
  <si>
    <t>160</t>
  </si>
  <si>
    <t xml:space="preserve">    ' ---- シート作成 ----</t>
  </si>
  <si>
    <t>161</t>
  </si>
  <si>
    <t xml:space="preserve">    ' 月間シートは開始日順に並べる（各シートのA2に開始日を非表示で保持）</t>
  </si>
  <si>
    <t>162</t>
  </si>
  <si>
    <t xml:space="preserve">    Dim sh As Worksheet, shBefore As Worksheet</t>
  </si>
  <si>
    <t>163</t>
  </si>
  <si>
    <t xml:space="preserve">    For Each sh In wb.Worksheets</t>
  </si>
  <si>
    <t>164</t>
  </si>
  <si>
    <t xml:space="preserve">        If Left$(sh.Name, Len(MONTHLY_PREFIX)) = MONTHLY_PREFIX Then</t>
  </si>
  <si>
    <t>165</t>
  </si>
  <si>
    <t xml:space="preserve">            If IsNumeric(sh.Range("A2").Value2) And Not IsEmpty(sh.Range("A2").Value2) Then</t>
  </si>
  <si>
    <t>166</t>
  </si>
  <si>
    <t xml:space="preserve">                If CDbl(sh.Range("A2").Value2) &gt; CDbl(dStart) Then Set shBefore = sh: Exit For</t>
  </si>
  <si>
    <t>167</t>
  </si>
  <si>
    <t>168</t>
  </si>
  <si>
    <t>169</t>
  </si>
  <si>
    <t xml:space="preserve">    Next sh</t>
  </si>
  <si>
    <t>170</t>
  </si>
  <si>
    <t xml:space="preserve">    If oldIdx &gt; 0 And oldIdx &lt;= wb.Worksheets.Count Then</t>
  </si>
  <si>
    <t>171</t>
  </si>
  <si>
    <t xml:space="preserve">        Set ws = wb.Worksheets.Add(Before:=wb.Worksheets(oldIdx))</t>
  </si>
  <si>
    <t>172</t>
  </si>
  <si>
    <t xml:space="preserve">    ElseIf shBefore Is Nothing Then</t>
  </si>
  <si>
    <t>173</t>
  </si>
  <si>
    <t xml:space="preserve">        Set ws = wb.Worksheets.Add(After:=wb.Worksheets(wb.Worksheets.Count))</t>
  </si>
  <si>
    <t>174</t>
  </si>
  <si>
    <t>175</t>
  </si>
  <si>
    <t xml:space="preserve">        Set ws = wb.Worksheets.Add(Before:=shBefore)</t>
  </si>
  <si>
    <t>176</t>
  </si>
  <si>
    <t>177</t>
  </si>
  <si>
    <t xml:space="preserve">    ws.Name = sName</t>
  </si>
  <si>
    <t>178</t>
  </si>
  <si>
    <t xml:space="preserve">    ws.Range("A2").Value = dStart</t>
  </si>
  <si>
    <t>179</t>
  </si>
  <si>
    <t xml:space="preserve">    ws.Range("A2").NumberFormat = ";;;"</t>
  </si>
  <si>
    <t>180</t>
  </si>
  <si>
    <t xml:space="preserve">    ws.Tab.color = RGB(91, 155, 213)</t>
  </si>
  <si>
    <t>181</t>
  </si>
  <si>
    <t xml:space="preserve">    ActiveWindow.DisplayGridlines = False</t>
  </si>
  <si>
    <t>182</t>
  </si>
  <si>
    <t xml:space="preserve">    ws.Cells.Font.Name = APP_FONT</t>
  </si>
  <si>
    <t>183</t>
  </si>
  <si>
    <t xml:space="preserve">    ws.Cells.Font.Size = 10</t>
  </si>
  <si>
    <t>184</t>
  </si>
  <si>
    <t>185</t>
  </si>
  <si>
    <t xml:space="preserve">    cSum = SC_DAY1 + nDays                          ' 集計列の先頭</t>
  </si>
  <si>
    <t>186</t>
  </si>
  <si>
    <t xml:space="preserve">    lastR = S_FIRST_ROW + members.Count - 1</t>
  </si>
  <si>
    <t>187</t>
  </si>
  <si>
    <t>188</t>
  </si>
  <si>
    <t xml:space="preserve">    ' タイトル</t>
  </si>
  <si>
    <t>189</t>
  </si>
  <si>
    <t xml:space="preserve">    ws.Hyperlinks.Add Anchor:=ws.Range("A1"), Address:="", SubAddress:="'" &amp; SH_COVER &amp; "'!A1", TextToDisplay:=IcoBack &amp; " 表紙へ"</t>
  </si>
  <si>
    <t>190</t>
  </si>
  <si>
    <t xml:space="preserve">    ws.Range("C1").Value = "⑤ 月間シフト　" &amp; Format(dStart, "yyyy/m/d") &amp; "（" &amp; WeekdayJ(dStart) &amp; "）～ " &amp; _</t>
  </si>
  <si>
    <t>191</t>
  </si>
  <si>
    <t xml:space="preserve">                           Format(dEnd, "yyyy/m/d") &amp; "（" &amp; WeekdayJ(dEnd) &amp; "）"</t>
  </si>
  <si>
    <t>192</t>
  </si>
  <si>
    <t xml:space="preserve">    ws.Range("C1").Font.Size = 14</t>
  </si>
  <si>
    <t>193</t>
  </si>
  <si>
    <t xml:space="preserve">    ws.Range("C1").Font.Bold = True</t>
  </si>
  <si>
    <t>194</t>
  </si>
  <si>
    <t xml:space="preserve">    WriteLegend ws, 2, SC_DAY1</t>
  </si>
  <si>
    <t>195</t>
  </si>
  <si>
    <t>196</t>
  </si>
  <si>
    <t xml:space="preserve">    ' 見出し</t>
  </si>
  <si>
    <t>197</t>
  </si>
  <si>
    <t xml:space="preserve">    ws.Cells(S_DATE_ROW, SC_NO).Value = "No"</t>
  </si>
  <si>
    <t>198</t>
  </si>
  <si>
    <t xml:space="preserve">    ws.Cells(S_DATE_ROW, SC_NAME).Value = "氏名"</t>
  </si>
  <si>
    <t>199</t>
  </si>
  <si>
    <t>200</t>
  </si>
  <si>
    <t xml:space="preserve">    ws.Cells(S_DATE_ROW, SC_BRK).Value = "休憩" &amp; vbLf &amp; "(分)"</t>
  </si>
  <si>
    <t>201</t>
  </si>
  <si>
    <t xml:space="preserve">    For i = SC_NO To SC_BRK</t>
  </si>
  <si>
    <t>202</t>
  </si>
  <si>
    <t xml:space="preserve">        ws.Range(ws.Cells(S_DATE_ROW, i), ws.Cells(S_WDAY_ROW, i)).Merge</t>
  </si>
  <si>
    <t>203</t>
  </si>
  <si>
    <t xml:space="preserve">    Next i</t>
  </si>
  <si>
    <t>204</t>
  </si>
  <si>
    <t xml:space="preserve">    ws.Cells(S_DATE_ROW, cSum).Value = "出勤" &amp; vbLf &amp; "日数"</t>
  </si>
  <si>
    <t>205</t>
  </si>
  <si>
    <t xml:space="preserve">    ws.Cells(S_DATE_ROW, cSum + 1).Value = "公休"</t>
  </si>
  <si>
    <t>206</t>
  </si>
  <si>
    <t xml:space="preserve">    ws.Cells(S_DATE_ROW, cSum + 2).Value = "有給"</t>
  </si>
  <si>
    <t>207</t>
  </si>
  <si>
    <t xml:space="preserve">    ws.Cells(S_DATE_ROW, cSum + 3).Value = "労働" &amp; vbLf &amp; "時間"</t>
  </si>
  <si>
    <t>208</t>
  </si>
  <si>
    <t xml:space="preserve">    For i = cSum To cSum + 3</t>
  </si>
  <si>
    <t>209</t>
  </si>
  <si>
    <t>210</t>
  </si>
  <si>
    <t>211</t>
  </si>
  <si>
    <t>212</t>
  </si>
  <si>
    <t xml:space="preserve">    For i = 0 To nDays - 1</t>
  </si>
  <si>
    <t>213</t>
  </si>
  <si>
    <t xml:space="preserve">        d = dStart + i</t>
  </si>
  <si>
    <t>214</t>
  </si>
  <si>
    <t xml:space="preserve">        sc = SC_DAY1 + i</t>
  </si>
  <si>
    <t>215</t>
  </si>
  <si>
    <t xml:space="preserve">        If i = 0 Or Day(d) = 1 Then ws.Cells(S_MONTH_ROW, sc).Value = Month(d) &amp; "月"</t>
  </si>
  <si>
    <t>216</t>
  </si>
  <si>
    <t xml:space="preserve">        ws.Cells(S_DATE_ROW, sc).Value = d</t>
  </si>
  <si>
    <t>217</t>
  </si>
  <si>
    <t xml:space="preserve">        ws.Cells(S_DATE_ROW, sc).NumberFormat = "d"</t>
  </si>
  <si>
    <t>218</t>
  </si>
  <si>
    <t xml:space="preserve">        ws.Cells(S_WDAY_ROW, sc).Value = WeekdayJ(d)</t>
  </si>
  <si>
    <t>219</t>
  </si>
  <si>
    <t xml:space="preserve">        If hol.Exists(CLng(d)) Then</t>
  </si>
  <si>
    <t>220</t>
  </si>
  <si>
    <t xml:space="preserve">            ws.Cells(S_DATE_ROW, sc).AddComment CStr(hol(CLng(d)))</t>
  </si>
  <si>
    <t>221</t>
  </si>
  <si>
    <t>222</t>
  </si>
  <si>
    <t xml:space="preserve">        With ws.Range(ws.Cells(S_DATE_ROW, sc), ws.Cells(S_WDAY_ROW, sc))</t>
  </si>
  <si>
    <t>223</t>
  </si>
  <si>
    <t xml:space="preserve">            If hol.Exists(CLng(d)) Or Weekday(d) = vbSunday Then</t>
  </si>
  <si>
    <t>224</t>
  </si>
  <si>
    <t xml:space="preserve">                .Interior.color = RGB(252, 228, 228)</t>
  </si>
  <si>
    <t>225</t>
  </si>
  <si>
    <t xml:space="preserve">                .Font.color = RGB(192, 0, 0)</t>
  </si>
  <si>
    <t>226</t>
  </si>
  <si>
    <t xml:space="preserve">                ws.Range(ws.Cells(S_FIRST_ROW, sc), ws.Cells(lastR, sc)).Interior.color = RGB(254, 244, 244)</t>
  </si>
  <si>
    <t>227</t>
  </si>
  <si>
    <t xml:space="preserve">            ElseIf Weekday(d) = vbSaturday Then</t>
  </si>
  <si>
    <t>228</t>
  </si>
  <si>
    <t xml:space="preserve">                .Interior.color = RGB(221, 235, 247)</t>
  </si>
  <si>
    <t>229</t>
  </si>
  <si>
    <t xml:space="preserve">                .Font.color = RGB(0, 70, 160)</t>
  </si>
  <si>
    <t>230</t>
  </si>
  <si>
    <t xml:space="preserve">                ws.Range(ws.Cells(S_FIRST_ROW, sc), ws.Cells(lastR, sc)).Interior.color = RGB(241, 247, 253)</t>
  </si>
  <si>
    <t>231</t>
  </si>
  <si>
    <t xml:space="preserve">            Else</t>
  </si>
  <si>
    <t>232</t>
  </si>
  <si>
    <t xml:space="preserve">                .Interior.color = RGB(242, 242, 242)</t>
  </si>
  <si>
    <t>233</t>
  </si>
  <si>
    <t>234</t>
  </si>
  <si>
    <t xml:space="preserve">        End With</t>
  </si>
  <si>
    <t>235</t>
  </si>
  <si>
    <t>236</t>
  </si>
  <si>
    <t xml:space="preserve">    With ws.Range(ws.Cells(S_DATE_ROW, SC_NO), ws.Cells(S_WDAY_ROW, SC_BRK))</t>
  </si>
  <si>
    <t>237</t>
  </si>
  <si>
    <t xml:space="preserve">        .Interior.color = RGB(31, 78, 121)</t>
  </si>
  <si>
    <t>238</t>
  </si>
  <si>
    <t xml:space="preserve">        .Font.color = vbWhite</t>
  </si>
  <si>
    <t>239</t>
  </si>
  <si>
    <t xml:space="preserve">    End With</t>
  </si>
  <si>
    <t>240</t>
  </si>
  <si>
    <t xml:space="preserve">    With ws.Range(ws.Cells(S_DATE_ROW, cSum), ws.Cells(S_WDAY_ROW, cSum + 3))</t>
  </si>
  <si>
    <t>241</t>
  </si>
  <si>
    <t>242</t>
  </si>
  <si>
    <t>243</t>
  </si>
  <si>
    <t>244</t>
  </si>
  <si>
    <t xml:space="preserve">    With ws.Range(ws.Cells(S_DATE_ROW, SC_NO), ws.Cells(S_WDAY_ROW, cSum + 3))</t>
  </si>
  <si>
    <t>245</t>
  </si>
  <si>
    <t xml:space="preserve">        .HorizontalAlignment = xlCenter</t>
  </si>
  <si>
    <t>246</t>
  </si>
  <si>
    <t xml:space="preserve">        .VerticalAlignment = xlCenter</t>
  </si>
  <si>
    <t>247</t>
  </si>
  <si>
    <t xml:space="preserve">        .Font.Bold = True</t>
  </si>
  <si>
    <t>248</t>
  </si>
  <si>
    <t xml:space="preserve">        .WrapText = True</t>
  </si>
  <si>
    <t>249</t>
  </si>
  <si>
    <t>250</t>
  </si>
  <si>
    <t xml:space="preserve">    ws.Range(ws.Cells(S_MONTH_ROW, SC_DAY1), ws.Cells(S_MONTH_ROW, cSum - 1)).Font.Bold = True</t>
  </si>
  <si>
    <t>251</t>
  </si>
  <si>
    <t>252</t>
  </si>
  <si>
    <t xml:space="preserve">    ' ---- メンバー行 ----</t>
  </si>
  <si>
    <t>253</t>
  </si>
  <si>
    <t xml:space="preserve">    ReDim grid(1 To members.Count, 1 To nDays)</t>
  </si>
  <si>
    <t>254</t>
  </si>
  <si>
    <t xml:space="preserve">    ReDim partNote(1 To members.Count, 1 To nDays)</t>
  </si>
  <si>
    <t>255</t>
  </si>
  <si>
    <t xml:space="preserve">    ReDim partFill(1 To members.Count, 1 To nDays)</t>
  </si>
  <si>
    <t>256</t>
  </si>
  <si>
    <t xml:space="preserve">    For k = 1 To members.Count</t>
  </si>
  <si>
    <t>257</t>
  </si>
  <si>
    <t xml:space="preserve">        mr = members(k)</t>
  </si>
  <si>
    <t>258</t>
  </si>
  <si>
    <t xml:space="preserve">        r = S_FIRST_ROW + k - 1</t>
  </si>
  <si>
    <t>259</t>
  </si>
  <si>
    <t xml:space="preserve">        ws.Cells(r, SC_NO).Value = k</t>
  </si>
  <si>
    <t>260</t>
  </si>
  <si>
    <t xml:space="preserve">        ws.Cells(r, SC_NAME).Value = wsM.Cells(mr, gcName).Value</t>
  </si>
  <si>
    <t>261</t>
  </si>
  <si>
    <t xml:space="preserve">        ws.Cells(r, SC_ROLE).Value = wsM.Cells(mr, gcRole).Value</t>
  </si>
  <si>
    <t>262</t>
  </si>
  <si>
    <t xml:space="preserve">        ws.Cells(r, SC_BRK).Value = MemberBreakMin(wsM, mr)</t>
  </si>
  <si>
    <t>263</t>
  </si>
  <si>
    <t xml:space="preserve">        ws.Cells(r, SC_ROLE).Interior.color = RoleColor(CStr(wsM.Cells(mr, gcRole).Value))</t>
  </si>
  <si>
    <t>264</t>
  </si>
  <si>
    <t xml:space="preserve">        For i = 0 To nDays - 1</t>
  </si>
  <si>
    <t>265</t>
  </si>
  <si>
    <t xml:space="preserve">            d = dStart + i</t>
  </si>
  <si>
    <t>266</t>
  </si>
  <si>
    <t xml:space="preserve">            If hol.Exists(CLng(d)) And HolidayWorkFlag(wsM, mr) &lt;&gt; "出" Then</t>
  </si>
  <si>
    <t>267</t>
  </si>
  <si>
    <t xml:space="preserve">                v = HolidayCode()</t>
  </si>
  <si>
    <t>268</t>
  </si>
  <si>
    <t>269</t>
  </si>
  <si>
    <t xml:space="preserve">                wd = Weekday(d, vbMonday)             ' 月=1 … 日=7</t>
  </si>
  <si>
    <t>270</t>
  </si>
  <si>
    <t xml:space="preserve">                sc = gcDay(wd)</t>
  </si>
  <si>
    <t>271</t>
  </si>
  <si>
    <t xml:space="preserve">                v = ShiftText(wsM.Cells(mr, sc).Value, wsM.Cells(mr, sc + 1).Value)</t>
  </si>
  <si>
    <t>272</t>
  </si>
  <si>
    <t>273</t>
  </si>
  <si>
    <t xml:space="preserve">            ' ③休暇管理の休暇を反映（終日＝記号、時間単位＝いる時間だけ表示）</t>
  </si>
  <si>
    <t>274</t>
  </si>
  <si>
    <t xml:space="preserve">            lvKey = LeaveKey(CStr(wsM.Cells(mr, gcName).Value), d)</t>
  </si>
  <si>
    <t>275</t>
  </si>
  <si>
    <t xml:space="preserve">            If lv.Exists(lvKey) Then</t>
  </si>
  <si>
    <t>276</t>
  </si>
  <si>
    <t xml:space="preserve">                ' 振替出勤など：休みの日でも勤務にする（時間が空欄ならいつもの勤務時間）</t>
  </si>
  <si>
    <t>277</t>
  </si>
  <si>
    <t xml:space="preserve">                wNote = ""</t>
  </si>
  <si>
    <t>278</t>
  </si>
  <si>
    <t xml:space="preserve">                If WorkEntryShift(lv(lvKey), DefaultShiftText(wsM, mr), wTxt, wNote, wCode) Then v = wTxt</t>
  </si>
  <si>
    <t>279</t>
  </si>
  <si>
    <t xml:space="preserve">                v = ApplyLeaveToShift(v, lv(lvKey), lvNote, lvFill)</t>
  </si>
  <si>
    <t>280</t>
  </si>
  <si>
    <t xml:space="preserve">                If lvNote &lt;&gt; "" Then</t>
  </si>
  <si>
    <t>281</t>
  </si>
  <si>
    <t xml:space="preserve">                    partNote(k, i + 1) = IIf(wNote &lt;&gt; "", wNote &amp; vbLf, "") &amp; lvNote</t>
  </si>
  <si>
    <t>282</t>
  </si>
  <si>
    <t xml:space="preserve">                    partFill(k, i + 1) = lvFill</t>
  </si>
  <si>
    <t>283</t>
  </si>
  <si>
    <t xml:space="preserve">                ElseIf wNote &lt;&gt; "" Then</t>
  </si>
  <si>
    <t>284</t>
  </si>
  <si>
    <t xml:space="preserve">                    partNote(k, i + 1) = wNote</t>
  </si>
  <si>
    <t>285</t>
  </si>
  <si>
    <t xml:space="preserve">                    partFill(k, i + 1) = CodeColor(wCode)</t>
  </si>
  <si>
    <t>286</t>
  </si>
  <si>
    <t xml:space="preserve">                End If</t>
  </si>
  <si>
    <t>287</t>
  </si>
  <si>
    <t>288</t>
  </si>
  <si>
    <t xml:space="preserve">            grid(k, i + 1) = v</t>
  </si>
  <si>
    <t>289</t>
  </si>
  <si>
    <t xml:space="preserve">        Next i</t>
  </si>
  <si>
    <t>290</t>
  </si>
  <si>
    <t xml:space="preserve">    Next k</t>
  </si>
  <si>
    <t>291</t>
  </si>
  <si>
    <t>292</t>
  </si>
  <si>
    <t xml:space="preserve">    With ws.Range(ws.Cells(S_FIRST_ROW, SC_DAY1), ws.Cells(lastR, cSum - 1))</t>
  </si>
  <si>
    <t>293</t>
  </si>
  <si>
    <t xml:space="preserve">        .NumberFormat = "@"                 ' 「9-18」が日付に化けないよう文字列にする</t>
  </si>
  <si>
    <t>294</t>
  </si>
  <si>
    <t xml:space="preserve">        .Value = grid</t>
  </si>
  <si>
    <t>295</t>
  </si>
  <si>
    <t>296</t>
  </si>
  <si>
    <t xml:space="preserve">        .Font.Size = 9</t>
  </si>
  <si>
    <t>297</t>
  </si>
  <si>
    <t xml:space="preserve">        .ShrinkToFit = True</t>
  </si>
  <si>
    <t>298</t>
  </si>
  <si>
    <t>299</t>
  </si>
  <si>
    <t xml:space="preserve">    ApplyCodeFormats ws.Range(ws.Cells(S_FIRST_ROW, SC_DAY1), ws.Cells(lastR, cSum - 1))</t>
  </si>
  <si>
    <t>300</t>
  </si>
  <si>
    <t xml:space="preserve">    ' 時間単位の休暇：休暇の色＋コメント</t>
  </si>
  <si>
    <t>301</t>
  </si>
  <si>
    <t>302</t>
  </si>
  <si>
    <t xml:space="preserve">        For i = 1 To nDays</t>
  </si>
  <si>
    <t>303</t>
  </si>
  <si>
    <t xml:space="preserve">            If partNote(k, i) &lt;&gt; "" Then</t>
  </si>
  <si>
    <t>304</t>
  </si>
  <si>
    <t xml:space="preserve">                With ws.Cells(S_FIRST_ROW + k - 1, SC_DAY1 + i - 1)</t>
  </si>
  <si>
    <t>305</t>
  </si>
  <si>
    <t xml:space="preserve">                    .Interior.color = partFill(k, i)</t>
  </si>
  <si>
    <t>306</t>
  </si>
  <si>
    <t xml:space="preserve">                    .AddComment partNote(k, i)</t>
  </si>
  <si>
    <t>307</t>
  </si>
  <si>
    <t xml:space="preserve">                    .Comment.Shape.TextFrame.AutoSize = True</t>
  </si>
  <si>
    <t>308</t>
  </si>
  <si>
    <t xml:space="preserve">                End With</t>
  </si>
  <si>
    <t>309</t>
  </si>
  <si>
    <t>310</t>
  </si>
  <si>
    <t>311</t>
  </si>
  <si>
    <t>312</t>
  </si>
  <si>
    <t>313</t>
  </si>
  <si>
    <t xml:space="preserve">    ' 集計列（手修正にも追従する数式）</t>
  </si>
  <si>
    <t>314</t>
  </si>
  <si>
    <t xml:space="preserve">    Dim g As String</t>
  </si>
  <si>
    <t>315</t>
  </si>
  <si>
    <t xml:space="preserve">    For r = S_FIRST_ROW To lastR</t>
  </si>
  <si>
    <t>316</t>
  </si>
  <si>
    <t xml:space="preserve">        g = ws.Range(ws.Cells(r, SC_DAY1), ws.Cells(r, cSum - 1)).Address(False, False)</t>
  </si>
  <si>
    <t>317</t>
  </si>
  <si>
    <t xml:space="preserve">        ws.Cells(r, cSum).Formula = "=COUNTIF(" &amp; g &amp; ",""*-*"")"</t>
  </si>
  <si>
    <t>318</t>
  </si>
  <si>
    <t xml:space="preserve">        ws.Cells(r, cSum + 1).Formula = "=" &amp; CountCodesFormula(g, "公休")</t>
  </si>
  <si>
    <t>319</t>
  </si>
  <si>
    <t xml:space="preserve">        ws.Cells(r, cSum + 2).Formula = "=" &amp; CountCodesFormula(g, "有給")</t>
  </si>
  <si>
    <t>320</t>
  </si>
  <si>
    <t xml:space="preserve">        ws.Cells(r, cSum + 3).Formula = "=SumShiftHours(" &amp; g &amp; "," &amp; ws.Cells(r, SC_BRK).Address(False, False) &amp; "," &amp; _</t>
  </si>
  <si>
    <t>321</t>
  </si>
  <si>
    <t xml:space="preserve">            ws.Cells(r, cSum + 4).Address(False, False) &amp; "," &amp; ws.Cells(r, cSum + 5).Address(False, False) &amp; ")"</t>
  </si>
  <si>
    <t>322</t>
  </si>
  <si>
    <t>323</t>
  </si>
  <si>
    <t xml:space="preserve">    ' 休憩の開始・終了（非表示）：時間単位の休暇で休憩に重ならない日を正しく計算するため</t>
  </si>
  <si>
    <t>324</t>
  </si>
  <si>
    <t>325</t>
  </si>
  <si>
    <t xml:space="preserve">        MemberBreakWindow wsM, CLng(members(k)), ws.Cells(S_FIRST_ROW + k - 1, cSum + 4), ws.Cells(S_FIRST_ROW + k - 1, cSum + 5)</t>
  </si>
  <si>
    <t>326</t>
  </si>
  <si>
    <t>327</t>
  </si>
  <si>
    <t xml:space="preserve">    ws.Range(ws.Cells(S_FIRST_ROW, cSum + 4), ws.Cells(lastR, cSum + 5)).NumberFormat = "h:mm"</t>
  </si>
  <si>
    <t>328</t>
  </si>
  <si>
    <t xml:space="preserve">    ws.Range(ws.Columns(cSum + 4), ws.Columns(cSum + 5)).Hidden = True</t>
  </si>
  <si>
    <t>329</t>
  </si>
  <si>
    <t xml:space="preserve">    ws.Range(ws.Cells(S_FIRST_ROW, cSum + 3), ws.Cells(lastR, cSum + 3)).NumberFormat = "0.0"</t>
  </si>
  <si>
    <t>330</t>
  </si>
  <si>
    <t xml:space="preserve">    ws.Range(ws.Cells(S_FIRST_ROW, SC_NO), ws.Cells(lastR, SC_NO)).HorizontalAlignment = xlCenter</t>
  </si>
  <si>
    <t>331</t>
  </si>
  <si>
    <t xml:space="preserve">    ws.Range(ws.Cells(S_FIRST_ROW, SC_ROLE), ws.Cells(lastR, SC_BRK)).HorizontalAlignment = xlCenter</t>
  </si>
  <si>
    <t>332</t>
  </si>
  <si>
    <t xml:space="preserve">    ws.Range(ws.Cells(S_FIRST_ROW, cSum), ws.Cells(lastR, cSum + 3)).HorizontalAlignment = xlCenter</t>
  </si>
  <si>
    <t>333</t>
  </si>
  <si>
    <t xml:space="preserve">    ws.Range(ws.Cells(S_FIRST_ROW, cSum), ws.Cells(lastR, cSum + 3)).Interior.color = RGB(242, 242, 242)</t>
  </si>
  <si>
    <t>334</t>
  </si>
  <si>
    <t>335</t>
  </si>
  <si>
    <t xml:space="preserve">    ' 罫線</t>
  </si>
  <si>
    <t>336</t>
  </si>
  <si>
    <t xml:space="preserve">    With ws.Range(ws.Cells(S_DATE_ROW, SC_NO), ws.Cells(lastR, cSum + 3)).Borders</t>
  </si>
  <si>
    <t>337</t>
  </si>
  <si>
    <t xml:space="preserve">        .LineStyle = xlContinuous</t>
  </si>
  <si>
    <t>338</t>
  </si>
  <si>
    <t xml:space="preserve">        .Weight = xlThin</t>
  </si>
  <si>
    <t>339</t>
  </si>
  <si>
    <t xml:space="preserve">        .color = RGB(191, 191, 191)</t>
  </si>
  <si>
    <t>340</t>
  </si>
  <si>
    <t>341</t>
  </si>
  <si>
    <t xml:space="preserve">    ws.Range(ws.Cells(S_DATE_ROW, SC_NO), ws.Cells(lastR, cSum + 3)).BorderAround xlContinuous, xlMedium, , RGB(89, 89, 89)</t>
  </si>
  <si>
    <t>342</t>
  </si>
  <si>
    <t>343</t>
  </si>
  <si>
    <t xml:space="preserve">        If ws.Cells(r, SC_ROLE).Value &lt;&gt; ws.Cells(r - 1, SC_ROLE).Value Then</t>
  </si>
  <si>
    <t>344</t>
  </si>
  <si>
    <t xml:space="preserve">            With ws.Range(ws.Cells(r, SC_NO), ws.Cells(r, cSum + 3)).Borders(xlEdgeTop)</t>
  </si>
  <si>
    <t>345</t>
  </si>
  <si>
    <t xml:space="preserve">                .LineStyle = xlContinuous</t>
  </si>
  <si>
    <t>346</t>
  </si>
  <si>
    <t xml:space="preserve">                .Weight = xlMedium</t>
  </si>
  <si>
    <t>347</t>
  </si>
  <si>
    <t xml:space="preserve">                .color = RGB(89, 89, 89)</t>
  </si>
  <si>
    <t>348</t>
  </si>
  <si>
    <t xml:space="preserve">            End With</t>
  </si>
  <si>
    <t>349</t>
  </si>
  <si>
    <t>350</t>
  </si>
  <si>
    <t>351</t>
  </si>
  <si>
    <t>352</t>
  </si>
  <si>
    <t xml:space="preserve">    ' ---- 日別 出勤人数 ----</t>
  </si>
  <si>
    <t>353</t>
  </si>
  <si>
    <t xml:space="preserve">    Dim sumTop As Long, fx As String, rng As String</t>
  </si>
  <si>
    <t>354</t>
  </si>
  <si>
    <t xml:space="preserve">    sumTop = lastR + 2</t>
  </si>
  <si>
    <t>355</t>
  </si>
  <si>
    <t xml:space="preserve">    rng = "R" &amp; S_FIRST_ROW &amp; "C:R" &amp; lastR &amp; "C"</t>
  </si>
  <si>
    <t>356</t>
  </si>
  <si>
    <t>357</t>
  </si>
  <si>
    <t xml:space="preserve">        r = sumTop + ri - LBound(roles)</t>
  </si>
  <si>
    <t>358</t>
  </si>
  <si>
    <t xml:space="preserve">        ws.Cells(r, SC_NAME).Value = "出勤人数"</t>
  </si>
  <si>
    <t>359</t>
  </si>
  <si>
    <t xml:space="preserve">        ws.Cells(r, SC_ROLE).Value = roles(ri)</t>
  </si>
  <si>
    <t>360</t>
  </si>
  <si>
    <t xml:space="preserve">        ws.Cells(r, SC_ROLE).Interior.color = RoleColor(CStr(roles(ri)))</t>
  </si>
  <si>
    <t>361</t>
  </si>
  <si>
    <t xml:space="preserve">        fx = "=SUMPRODUCT((R" &amp; S_FIRST_ROW &amp; "C" &amp; SC_ROLE &amp; ":R" &amp; lastR &amp; "C" &amp; SC_ROLE &amp; "=""" &amp; roles(ri) &amp; """)" &amp; _</t>
  </si>
  <si>
    <t>362</t>
  </si>
  <si>
    <t xml:space="preserve">             "*ISNUMBER(SEARCH(""-""," &amp; rng &amp; ")))"</t>
  </si>
  <si>
    <t>363</t>
  </si>
  <si>
    <t xml:space="preserve">        ws.Range(ws.Cells(r, SC_DAY1), ws.Cells(r, cSum - 1)).FormulaR1C1 = fx</t>
  </si>
  <si>
    <t>364</t>
  </si>
  <si>
    <t>365</t>
  </si>
  <si>
    <t xml:space="preserve">    r = sumTop + (UBound(roles) - LBound(roles) + 1)</t>
  </si>
  <si>
    <t>366</t>
  </si>
  <si>
    <t xml:space="preserve">    ws.Cells(r, SC_NAME).Value = "出勤人数"</t>
  </si>
  <si>
    <t>367</t>
  </si>
  <si>
    <t xml:space="preserve">    ws.Cells(r, SC_ROLE).Value = "合計"</t>
  </si>
  <si>
    <t>368</t>
  </si>
  <si>
    <t xml:space="preserve">    ws.Range(ws.Cells(r, SC_DAY1), ws.Cells(r, cSum - 1)).FormulaR1C1 = "=SUMPRODUCT(--ISNUMBER(SEARCH(""-""," &amp; rng &amp; ")))"</t>
  </si>
  <si>
    <t>369</t>
  </si>
  <si>
    <t xml:space="preserve">    ws.Range(ws.Cells(r, SC_NAME), ws.Cells(r, cSum - 1)).Font.Bold = True</t>
  </si>
  <si>
    <t>370</t>
  </si>
  <si>
    <t xml:space="preserve">    ws.Range(ws.Cells(r, SC_NAME), ws.Cells(r, cSum - 1)).Interior.color = RGB(255, 242, 204)</t>
  </si>
  <si>
    <t>371</t>
  </si>
  <si>
    <t xml:space="preserve">    With ws.Range(ws.Cells(sumTop, SC_NAME), ws.Cells(r, cSum - 1))</t>
  </si>
  <si>
    <t>372</t>
  </si>
  <si>
    <t xml:space="preserve">        .Borders.LineStyle = xlContinuous</t>
  </si>
  <si>
    <t>373</t>
  </si>
  <si>
    <t xml:space="preserve">        .Borders.color = RGB(191, 191, 191)</t>
  </si>
  <si>
    <t>374</t>
  </si>
  <si>
    <t>375</t>
  </si>
  <si>
    <t>376</t>
  </si>
  <si>
    <t xml:space="preserve">    ws.Range(ws.Cells(sumTop, SC_NAME), ws.Cells(r, SC_NAME)).HorizontalAlignment = xlLeft</t>
  </si>
  <si>
    <t>377</t>
  </si>
  <si>
    <t>378</t>
  </si>
  <si>
    <t>379</t>
  </si>
  <si>
    <t xml:space="preserve">    WriteSkillCheck ws, r + 2, lastR, cSum, dStart, nDays, hol</t>
  </si>
  <si>
    <t>380</t>
  </si>
  <si>
    <t>381</t>
  </si>
  <si>
    <t xml:space="preserve">    ' ---- 列幅・固定 ----</t>
  </si>
  <si>
    <t>382</t>
  </si>
  <si>
    <t xml:space="preserve">    ws.Columns(SC_NO).ColumnWidth = 4</t>
  </si>
  <si>
    <t>383</t>
  </si>
  <si>
    <t xml:space="preserve">    ws.Columns(SC_NAME).ColumnWidth = 12</t>
  </si>
  <si>
    <t>384</t>
  </si>
  <si>
    <t xml:space="preserve">    ws.Columns(SC_ROLE).ColumnWidth = 6</t>
  </si>
  <si>
    <t>385</t>
  </si>
  <si>
    <t xml:space="preserve">    ws.Columns(SC_BRK).ColumnWidth = 5.5</t>
  </si>
  <si>
    <t>386</t>
  </si>
  <si>
    <t xml:space="preserve">    ws.Range(ws.Columns(SC_DAY1), ws.Columns(cSum - 1)).ColumnWidth = 6.8</t>
  </si>
  <si>
    <t>387</t>
  </si>
  <si>
    <t xml:space="preserve">    ws.Range(ws.Columns(cSum), ws.Columns(cSum + 3)).ColumnWidth = 6</t>
  </si>
  <si>
    <t>388</t>
  </si>
  <si>
    <t xml:space="preserve">    ws.Rows(S_DATE_ROW).RowHeight = 18</t>
  </si>
  <si>
    <t>389</t>
  </si>
  <si>
    <t xml:space="preserve">    ws.Rows(S_WDAY_ROW).RowHeight = 16</t>
  </si>
  <si>
    <t>390</t>
  </si>
  <si>
    <t xml:space="preserve">    ws.Activate</t>
  </si>
  <si>
    <t>391</t>
  </si>
  <si>
    <t xml:space="preserve">    ActiveWindow.FreezePanes = False</t>
  </si>
  <si>
    <t>392</t>
  </si>
  <si>
    <t xml:space="preserve">    ws.Cells(S_FIRST_ROW, SC_DAY1).Select</t>
  </si>
  <si>
    <t>393</t>
  </si>
  <si>
    <t xml:space="preserve">    ActiveWindow.FreezePanes = True</t>
  </si>
  <si>
    <t>394</t>
  </si>
  <si>
    <t xml:space="preserve">    ActiveWindow.Zoom = 90</t>
  </si>
  <si>
    <t>395</t>
  </si>
  <si>
    <t>396</t>
  </si>
  <si>
    <t xml:space="preserve">    ' 印刷設定（プリンタが無い環境でも止まらないように）</t>
  </si>
  <si>
    <t>397</t>
  </si>
  <si>
    <t xml:space="preserve">    On Error Resume Next</t>
  </si>
  <si>
    <t>398</t>
  </si>
  <si>
    <t xml:space="preserve">    Application.PrintCommunication = False</t>
  </si>
  <si>
    <t>399</t>
  </si>
  <si>
    <t xml:space="preserve">    With ws.PageSetup</t>
  </si>
  <si>
    <t>400</t>
  </si>
  <si>
    <t xml:space="preserve">        .Orientation = xlLandscape</t>
  </si>
  <si>
    <t>401</t>
  </si>
  <si>
    <t xml:space="preserve">        .Zoom = False</t>
  </si>
  <si>
    <t>402</t>
  </si>
  <si>
    <t xml:space="preserve">        .FitToPagesWide = 1</t>
  </si>
  <si>
    <t>403</t>
  </si>
  <si>
    <t xml:space="preserve">        .FitToPagesTall = False</t>
  </si>
  <si>
    <t>404</t>
  </si>
  <si>
    <t xml:space="preserve">        .PrintTitleRows = "$" &amp; S_DATE_ROW &amp; ":$" &amp; S_WDAY_ROW</t>
  </si>
  <si>
    <t>405</t>
  </si>
  <si>
    <t xml:space="preserve">        .PrintTitleColumns = "$A:$D"</t>
  </si>
  <si>
    <t>406</t>
  </si>
  <si>
    <t xml:space="preserve">        .CenterHeader = sName</t>
  </si>
  <si>
    <t>407</t>
  </si>
  <si>
    <t>408</t>
  </si>
  <si>
    <t xml:space="preserve">    Application.PrintCommunication = True</t>
  </si>
  <si>
    <t>409</t>
  </si>
  <si>
    <t xml:space="preserve">    On Error GoTo 0</t>
  </si>
  <si>
    <t>410</t>
  </si>
  <si>
    <t>411</t>
  </si>
  <si>
    <t xml:space="preserve">    AddMonthlyButtons ws</t>
  </si>
  <si>
    <t>412</t>
  </si>
  <si>
    <t xml:space="preserve">    ws.Range("A1").Select</t>
  </si>
  <si>
    <t>413</t>
  </si>
  <si>
    <t xml:space="preserve">    RefreshCoverList</t>
  </si>
  <si>
    <t>414</t>
  </si>
  <si>
    <t>415</t>
  </si>
  <si>
    <t xml:space="preserve">    Application.ScreenUpdating = True</t>
  </si>
  <si>
    <t>416</t>
  </si>
  <si>
    <t xml:space="preserve">    If Not quietDone Then</t>
  </si>
  <si>
    <t>417</t>
  </si>
  <si>
    <t xml:space="preserve">        Notify "「" &amp; sName &amp; "」を作成しました。（" &amp; members.Count &amp; "名）" &amp; vbLf &amp; vbLf &amp; _</t>
  </si>
  <si>
    <t>418</t>
  </si>
  <si>
    <t xml:space="preserve">               "・セルを直接書き換えて調整できます（例：9-18 → " &amp; LeaveOffCode() &amp; "、10-19）" &amp; vbLf &amp; _</t>
  </si>
  <si>
    <t>419</t>
  </si>
  <si>
    <t xml:space="preserve">               "・休みは③休暇管理に入れて「休暇を反映して作り直す」を押すのがおすすめです" &amp; vbLf &amp; _</t>
  </si>
  <si>
    <t>420</t>
  </si>
  <si>
    <t xml:space="preserve">               "　（作り直すと、ここで手で直した内容は消えるため）" &amp; vbLf &amp; vbLf &amp; _</t>
  </si>
  <si>
    <t>421</t>
  </si>
  <si>
    <t xml:space="preserve">               "次へ：右上の「⑥ タイムシフト作成」", vbInformation, "④ 月間シフト作成"</t>
  </si>
  <si>
    <t>422</t>
  </si>
  <si>
    <t>423</t>
  </si>
  <si>
    <t>424</t>
  </si>
  <si>
    <t>425</t>
  </si>
  <si>
    <t>426</t>
  </si>
  <si>
    <t>' 表紙の「作成済みのシフト」一覧を更新（月間シフト／タイムシフト）</t>
  </si>
  <si>
    <t>427</t>
  </si>
  <si>
    <t>428</t>
  </si>
  <si>
    <t>Public Sub RefreshCoverList()</t>
  </si>
  <si>
    <t>429</t>
  </si>
  <si>
    <t xml:space="preserve">    Dim cv As Worksheet, ws As Worksheet, r As Long, su As Boolean, lbl As String</t>
  </si>
  <si>
    <t>430</t>
  </si>
  <si>
    <t xml:space="preserve">    On Error GoTo EH</t>
  </si>
  <si>
    <t>431</t>
  </si>
  <si>
    <t xml:space="preserve">    Set cv = ThisWorkbook.Worksheets(SH_COVER)</t>
  </si>
  <si>
    <t>432</t>
  </si>
  <si>
    <t xml:space="preserve">    su = Application.ScreenUpdating</t>
  </si>
  <si>
    <t>433</t>
  </si>
  <si>
    <t>434</t>
  </si>
  <si>
    <t xml:space="preserve">    With cv.Range(cv.Cells(CV_LIST_TOP, CV_LIST_COL), cv.Cells(CV_LIST_TOP + CV_LIST_MAX - 1, CV_LIST_COL))</t>
  </si>
  <si>
    <t>435</t>
  </si>
  <si>
    <t xml:space="preserve">        .Hyperlinks.Delete</t>
  </si>
  <si>
    <t>436</t>
  </si>
  <si>
    <t xml:space="preserve">        .ClearContents</t>
  </si>
  <si>
    <t>437</t>
  </si>
  <si>
    <t xml:space="preserve">        .Font.Name = APP_FONT</t>
  </si>
  <si>
    <t>438</t>
  </si>
  <si>
    <t xml:space="preserve">        .Font.Size = 11</t>
  </si>
  <si>
    <t>439</t>
  </si>
  <si>
    <t xml:space="preserve">        .Font.Underline = xlUnderlineStyleNone</t>
  </si>
  <si>
    <t>440</t>
  </si>
  <si>
    <t xml:space="preserve">        .Font.color = RGB(64, 64, 64)</t>
  </si>
  <si>
    <t>441</t>
  </si>
  <si>
    <t>442</t>
  </si>
  <si>
    <t xml:space="preserve">    r = CV_LIST_TOP</t>
  </si>
  <si>
    <t>443</t>
  </si>
  <si>
    <t xml:space="preserve">    For Each ws In ThisWorkbook.Worksheets</t>
  </si>
  <si>
    <t>444</t>
  </si>
  <si>
    <t xml:space="preserve">        lbl = ""</t>
  </si>
  <si>
    <t>445</t>
  </si>
  <si>
    <t xml:space="preserve">        If Left$(ws.Name, Len(MONTHLY_PREFIX)) = MONTHLY_PREFIX Then</t>
  </si>
  <si>
    <t>446</t>
  </si>
  <si>
    <t xml:space="preserve">            lbl = IcoNext &amp; " ⑤ 月間シフト　" &amp; Mid$(ws.Name, Len(MONTHLY_PREFIX) + 1)</t>
  </si>
  <si>
    <t>447</t>
  </si>
  <si>
    <t xml:space="preserve">        ElseIf Left$(ws.Name, Len(TIME_PREFIX)) = TIME_PREFIX Then</t>
  </si>
  <si>
    <t>448</t>
  </si>
  <si>
    <t xml:space="preserve">            lbl = "　└ ⑥ タイムシフト　" &amp; Mid$(ws.Name, Len(TIME_PREFIX) + 1)</t>
  </si>
  <si>
    <t>449</t>
  </si>
  <si>
    <t xml:space="preserve">        ElseIf Left$(ws.Name, Len(ALLOC_PREFIX)) = ALLOC_PREFIX Then</t>
  </si>
  <si>
    <t>450</t>
  </si>
  <si>
    <t xml:space="preserve">            lbl = "　└ ⑧ 配分一覧　" &amp; Mid$(ws.Name, Len(ALLOC_PREFIX) + 1)</t>
  </si>
  <si>
    <t>451</t>
  </si>
  <si>
    <t xml:space="preserve">        ElseIf Left$(ws.Name, Len(HOURS_PREFIX)) = HOURS_PREFIX Then</t>
  </si>
  <si>
    <t>452</t>
  </si>
  <si>
    <t xml:space="preserve">            lbl = "　└ ⑨ 時間集計　" &amp; Mid$(ws.Name, Len(HOURS_PREFIX) + 1)</t>
  </si>
  <si>
    <t>453</t>
  </si>
  <si>
    <t>454</t>
  </si>
  <si>
    <t xml:space="preserve">        If lbl &lt;&gt; "" And r &lt; CV_LIST_TOP + CV_LIST_MAX Then</t>
  </si>
  <si>
    <t>455</t>
  </si>
  <si>
    <t xml:space="preserve">            cv.Hyperlinks.Add Anchor:=cv.Cells(r, CV_LIST_COL), Address:="", _</t>
  </si>
  <si>
    <t>456</t>
  </si>
  <si>
    <t xml:space="preserve">                SubAddress:="'" &amp; ws.Name &amp; "'!A1", TextToDisplay:=lbl</t>
  </si>
  <si>
    <t>457</t>
  </si>
  <si>
    <t xml:space="preserve">            cv.Cells(r, CV_LIST_COL).Font.Name = APP_FONT</t>
  </si>
  <si>
    <t>458</t>
  </si>
  <si>
    <t xml:space="preserve">            cv.Cells(r, CV_LIST_COL).Font.Size = 11</t>
  </si>
  <si>
    <t>459</t>
  </si>
  <si>
    <t xml:space="preserve">            r = r + 1</t>
  </si>
  <si>
    <t>460</t>
  </si>
  <si>
    <t>461</t>
  </si>
  <si>
    <t xml:space="preserve">    Next ws</t>
  </si>
  <si>
    <t>462</t>
  </si>
  <si>
    <t xml:space="preserve">    If r = CV_LIST_TOP Then cv.Cells(r, CV_LIST_COL).Value = "（まだありません）"</t>
  </si>
  <si>
    <t>463</t>
  </si>
  <si>
    <t xml:space="preserve">    Application.ScreenUpdating = su</t>
  </si>
  <si>
    <t>464</t>
  </si>
  <si>
    <t xml:space="preserve">    Exit Sub</t>
  </si>
  <si>
    <t>465</t>
  </si>
  <si>
    <t>EH:</t>
  </si>
  <si>
    <t>466</t>
  </si>
  <si>
    <t>467</t>
  </si>
  <si>
    <t>468</t>
  </si>
  <si>
    <t>469</t>
  </si>
  <si>
    <t>470</t>
  </si>
  <si>
    <t>' ワークシート関数：シフト文字列の労働時間合計（時間）</t>
  </si>
  <si>
    <t>471</t>
  </si>
  <si>
    <t>'   例）=SumShiftHours(E6:AI6, D6)   D6 = 休憩(分)</t>
  </si>
  <si>
    <t>472</t>
  </si>
  <si>
    <t>'   「9-18」「9:30-18:15」「22-7」(日またぎ) を認識。記号(休/有…)は0</t>
  </si>
  <si>
    <t>473</t>
  </si>
  <si>
    <t>474</t>
  </si>
  <si>
    <t>Public Function SumShiftHours(rg As Range, Optional breakMin As Variant = 0, _</t>
  </si>
  <si>
    <t>475</t>
  </si>
  <si>
    <t xml:space="preserve">                              Optional breakStart As Variant, Optional breakEnd As Variant) As Double</t>
  </si>
  <si>
    <t>476</t>
  </si>
  <si>
    <t xml:space="preserve">    Dim c As Range, m As Long, b As Double, total As Double</t>
  </si>
  <si>
    <t>477</t>
  </si>
  <si>
    <t>478</t>
  </si>
  <si>
    <t xml:space="preserve">    If IsNumeric(breakMin) And Not IsEmpty(breakMin) Then b = CDbl(breakMin)</t>
  </si>
  <si>
    <t>479</t>
  </si>
  <si>
    <t xml:space="preserve">    ' 休憩の時間帯が分かれば、勤務区間と重なる分だけ引く（時間単位の休暇に対応）</t>
  </si>
  <si>
    <t>480</t>
  </si>
  <si>
    <t xml:space="preserve">    If Not IsMissing(breakStart) And Not IsMissing(breakEnd) Then</t>
  </si>
  <si>
    <t>481</t>
  </si>
  <si>
    <t xml:space="preserve">        If IsNumeric(breakStart) And IsNumeric(breakEnd) And Not IsEmpty(breakStart) And Not IsEmpty(breakEnd) Then</t>
  </si>
  <si>
    <t>482</t>
  </si>
  <si>
    <t>483</t>
  </si>
  <si>
    <t>484</t>
  </si>
  <si>
    <t>485</t>
  </si>
  <si>
    <t>486</t>
  </si>
  <si>
    <t>487</t>
  </si>
  <si>
    <t xml:space="preserve">    For Each c In rg.Cells</t>
  </si>
  <si>
    <t>488</t>
  </si>
  <si>
    <t xml:space="preserve">        n = ParseSegments(CStr(c.Value), segS, segE)</t>
  </si>
  <si>
    <t>489</t>
  </si>
  <si>
    <t xml:space="preserve">        m = 0</t>
  </si>
  <si>
    <t>490</t>
  </si>
  <si>
    <t xml:space="preserve">        For i = 1 To n</t>
  </si>
  <si>
    <t>491</t>
  </si>
  <si>
    <t xml:space="preserve">            m = m + (segE(i) - segS(i))</t>
  </si>
  <si>
    <t>492</t>
  </si>
  <si>
    <t>493</t>
  </si>
  <si>
    <t>494</t>
  </si>
  <si>
    <t xml:space="preserve">        If n &gt; 0 And Not useWin Then</t>
  </si>
  <si>
    <t>495</t>
  </si>
  <si>
    <t xml:space="preserve">            If m &gt; b Then m = m - b Else m = 0</t>
  </si>
  <si>
    <t>496</t>
  </si>
  <si>
    <t>497</t>
  </si>
  <si>
    <t xml:space="preserve">        If m &gt; 0 Then total = total + m</t>
  </si>
  <si>
    <t>498</t>
  </si>
  <si>
    <t xml:space="preserve">    Next c</t>
  </si>
  <si>
    <t>499</t>
  </si>
  <si>
    <t xml:space="preserve">    SumShiftHours = total / 60</t>
  </si>
  <si>
    <t>500</t>
  </si>
  <si>
    <t>End Function</t>
  </si>
  <si>
    <t>501</t>
  </si>
  <si>
    <t>502</t>
  </si>
  <si>
    <t>Public Function Overlap(ByVal a1 As Long, ByVal a2 As Long, ByVal b1 As Long, ByVal b2 As Long) As Long</t>
  </si>
  <si>
    <t>503</t>
  </si>
  <si>
    <t xml:space="preserve">    Dim lo As Long, hi As Long</t>
  </si>
  <si>
    <t>504</t>
  </si>
  <si>
    <t xml:space="preserve">    lo = IIf(a1 &gt; b1, a1, b1)</t>
  </si>
  <si>
    <t>505</t>
  </si>
  <si>
    <t xml:space="preserve">    hi = IIf(a2 &lt; b2, a2, b2)</t>
  </si>
  <si>
    <t>506</t>
  </si>
  <si>
    <t xml:space="preserve">    If hi &gt; lo Then Overlap = hi - lo</t>
  </si>
  <si>
    <t>507</t>
  </si>
  <si>
    <t>508</t>
  </si>
  <si>
    <t>509</t>
  </si>
  <si>
    <t>' シフト文字列 → 勤務区間（分）。「9-18」「8:25-11/13-17:25」に対応。区間数を返す</t>
  </si>
  <si>
    <t>510</t>
  </si>
  <si>
    <t>Public Function ParseSegments(ByVal s As String, segS() As Long, segE() As Long) As Long</t>
  </si>
  <si>
    <t>511</t>
  </si>
  <si>
    <t xml:space="preserve">    Dim parts As Variant, p As Variant, i As Long, n As Long, a As Long, b As Long</t>
  </si>
  <si>
    <t>512</t>
  </si>
  <si>
    <t xml:space="preserve">    s = NormalizeShift(s)</t>
  </si>
  <si>
    <t>513</t>
  </si>
  <si>
    <t xml:space="preserve">    If InStr(s, "-") = 0 Then Exit Function</t>
  </si>
  <si>
    <t>514</t>
  </si>
  <si>
    <t xml:space="preserve">    parts = Split(Replace(s, ",", "/"), "/")</t>
  </si>
  <si>
    <t>515</t>
  </si>
  <si>
    <t xml:space="preserve">    ReDim segS(1 To UBound(parts) + 1): ReDim segE(1 To UBound(parts) + 1)</t>
  </si>
  <si>
    <t>516</t>
  </si>
  <si>
    <t xml:space="preserve">    For i = 0 To UBound(parts)</t>
  </si>
  <si>
    <t>517</t>
  </si>
  <si>
    <t xml:space="preserve">        p = Split(parts(i), "-")</t>
  </si>
  <si>
    <t>518</t>
  </si>
  <si>
    <t xml:space="preserve">        If UBound(p) = 1 Then</t>
  </si>
  <si>
    <t>519</t>
  </si>
  <si>
    <t xml:space="preserve">            a = TimeToMin(CStr(p(0)))</t>
  </si>
  <si>
    <t>520</t>
  </si>
  <si>
    <t xml:space="preserve">            b = TimeToMin(CStr(p(1)))</t>
  </si>
  <si>
    <t>521</t>
  </si>
  <si>
    <t xml:space="preserve">            If a &gt;= 0 And b &gt;= 0 Then</t>
  </si>
  <si>
    <t>522</t>
  </si>
  <si>
    <t xml:space="preserve">                If b &lt;= a Then b = b + 1440</t>
  </si>
  <si>
    <t>523</t>
  </si>
  <si>
    <t xml:space="preserve">                n = n + 1</t>
  </si>
  <si>
    <t>524</t>
  </si>
  <si>
    <t xml:space="preserve">                segS(n) = a: segE(n) = b</t>
  </si>
  <si>
    <t>525</t>
  </si>
  <si>
    <t>526</t>
  </si>
  <si>
    <t>527</t>
  </si>
  <si>
    <t>528</t>
  </si>
  <si>
    <t xml:space="preserve">    ParseSegments = n</t>
  </si>
  <si>
    <t>529</t>
  </si>
  <si>
    <t>530</t>
  </si>
  <si>
    <t>531</t>
  </si>
  <si>
    <t>' シフト文字列 → 拘束分数（認識できなければ0）</t>
  </si>
  <si>
    <t>532</t>
  </si>
  <si>
    <t>Public Function ShiftMinutes(ByVal s As String) As Long</t>
  </si>
  <si>
    <t>533</t>
  </si>
  <si>
    <t xml:space="preserve">    Dim segS() As Long, segE() As Long, n As Long, i As Long</t>
  </si>
  <si>
    <t>534</t>
  </si>
  <si>
    <t xml:space="preserve">    n = ParseSegments(s, segS, segE)</t>
  </si>
  <si>
    <t>535</t>
  </si>
  <si>
    <t xml:space="preserve">    For i = 1 To n</t>
  </si>
  <si>
    <t>536</t>
  </si>
  <si>
    <t xml:space="preserve">        ShiftMinutes = ShiftMinutes + segE(i) - segS(i)</t>
  </si>
  <si>
    <t>537</t>
  </si>
  <si>
    <t>538</t>
  </si>
  <si>
    <t>539</t>
  </si>
  <si>
    <t>540</t>
  </si>
  <si>
    <t>' 分 → "9" / "9:30"</t>
  </si>
  <si>
    <t>541</t>
  </si>
  <si>
    <t>Public Function FmtMin(ByVal mins As Long) As String</t>
  </si>
  <si>
    <t>542</t>
  </si>
  <si>
    <t xml:space="preserve">    FmtMin = CStr(mins \ 60)</t>
  </si>
  <si>
    <t>543</t>
  </si>
  <si>
    <t xml:space="preserve">    If mins Mod 60 &lt;&gt; 0 Then FmtMin = FmtMin &amp; ":" &amp; Format$(mins Mod 60, "00")</t>
  </si>
  <si>
    <t>544</t>
  </si>
  <si>
    <t>545</t>
  </si>
  <si>
    <t>546</t>
  </si>
  <si>
    <t>' 休憩1の開始・終了をセルへ（休憩が1組のときだけ。複数組は分数で計算）</t>
  </si>
  <si>
    <t>547</t>
  </si>
  <si>
    <t>Public Sub MemberBreakWindow(ws As Worksheet, ByVal r As Long, cS As Range, cE As Range)</t>
  </si>
  <si>
    <t>548</t>
  </si>
  <si>
    <t xml:space="preserve">    If gcBrkCnt &lt;&gt; 1 Then Exit Sub</t>
  </si>
  <si>
    <t>549</t>
  </si>
  <si>
    <t xml:space="preserve">    If gcBrkE(1) = 0 Then Exit Sub</t>
  </si>
  <si>
    <t>550</t>
  </si>
  <si>
    <t xml:space="preserve">    If IsNumeric(ws.Cells(r, gcBrkS(1)).Value) And IsNumeric(ws.Cells(r, gcBrkE(1)).Value) _</t>
  </si>
  <si>
    <t>551</t>
  </si>
  <si>
    <t xml:space="preserve">       And Not IsEmpty(ws.Cells(r, gcBrkS(1)).Value) And Not IsEmpty(ws.Cells(r, gcBrkE(1)).Value) Then</t>
  </si>
  <si>
    <t>552</t>
  </si>
  <si>
    <t xml:space="preserve">        cS.Value = ws.Cells(r, gcBrkS(1)).Value</t>
  </si>
  <si>
    <t>553</t>
  </si>
  <si>
    <t xml:space="preserve">        cE.Value = ws.Cells(r, gcBrkE(1)).Value</t>
  </si>
  <si>
    <t>554</t>
  </si>
  <si>
    <t>555</t>
  </si>
  <si>
    <t>556</t>
  </si>
  <si>
    <t>557</t>
  </si>
  <si>
    <t>558</t>
  </si>
  <si>
    <t>Public Function IcoBack() As String</t>
  </si>
  <si>
    <t>559</t>
  </si>
  <si>
    <t xml:space="preserve">    IcoBack = ChrW(&amp;H25C0)</t>
  </si>
  <si>
    <t>560</t>
  </si>
  <si>
    <t>561</t>
  </si>
  <si>
    <t>562</t>
  </si>
  <si>
    <t>Public Function IcoNext() As String</t>
  </si>
  <si>
    <t>563</t>
  </si>
  <si>
    <t xml:space="preserve">    IcoNext = ChrW(&amp;H25B6)</t>
  </si>
  <si>
    <t>564</t>
  </si>
  <si>
    <t>565</t>
  </si>
  <si>
    <t>566</t>
  </si>
  <si>
    <t>Public Function IcoRefresh() As String</t>
  </si>
  <si>
    <t>567</t>
  </si>
  <si>
    <t xml:space="preserve">    IcoRefresh = ChrW(&amp;H21BB)</t>
  </si>
  <si>
    <t>568</t>
  </si>
  <si>
    <t>569</t>
  </si>
  <si>
    <t>570</t>
  </si>
  <si>
    <t>' シフト文字列 → 開始・終了（分）。成功でTrue</t>
  </si>
  <si>
    <t>571</t>
  </si>
  <si>
    <t>Public Function ParseShift(ByVal s As String, ByRef startMin As Long, ByRef endMin As Long) As Boolean</t>
  </si>
  <si>
    <t>572</t>
  </si>
  <si>
    <t xml:space="preserve">    Dim p As Variant</t>
  </si>
  <si>
    <t>573</t>
  </si>
  <si>
    <t>574</t>
  </si>
  <si>
    <t>575</t>
  </si>
  <si>
    <t xml:space="preserve">    p = Split(s, "-")</t>
  </si>
  <si>
    <t>576</t>
  </si>
  <si>
    <t xml:space="preserve">    If UBound(p) &lt;&gt; 1 Then Exit Function</t>
  </si>
  <si>
    <t>577</t>
  </si>
  <si>
    <t xml:space="preserve">    startMin = TimeToMin(CStr(p(0)))</t>
  </si>
  <si>
    <t>578</t>
  </si>
  <si>
    <t xml:space="preserve">    endMin = TimeToMin(CStr(p(1)))</t>
  </si>
  <si>
    <t>579</t>
  </si>
  <si>
    <t xml:space="preserve">    If startMin &lt; 0 Or endMin &lt; 0 Then Exit Function</t>
  </si>
  <si>
    <t>580</t>
  </si>
  <si>
    <t xml:space="preserve">    If endMin &lt;= startMin Then endMin = endMin + 1440</t>
  </si>
  <si>
    <t>581</t>
  </si>
  <si>
    <t xml:space="preserve">    ParseShift = True</t>
  </si>
  <si>
    <t>582</t>
  </si>
  <si>
    <t>583</t>
  </si>
  <si>
    <t>584</t>
  </si>
  <si>
    <t>Private Function NormalizeShift(ByVal s As String) As String</t>
  </si>
  <si>
    <t>585</t>
  </si>
  <si>
    <t xml:space="preserve">    s = StrConv(Trim$(s), vbNarrow)</t>
  </si>
  <si>
    <t>586</t>
  </si>
  <si>
    <t xml:space="preserve">    s = Replace(s, "~", "-")</t>
  </si>
  <si>
    <t>587</t>
  </si>
  <si>
    <t xml:space="preserve">    s = Replace(s, "－", "-")</t>
  </si>
  <si>
    <t>588</t>
  </si>
  <si>
    <t xml:space="preserve">    s = Replace(s, "ｰ", "-")</t>
  </si>
  <si>
    <t>589</t>
  </si>
  <si>
    <t xml:space="preserve">    s = Replace(s, " ", "")</t>
  </si>
  <si>
    <t>590</t>
  </si>
  <si>
    <t xml:space="preserve">    NormalizeShift = s</t>
  </si>
  <si>
    <t>591</t>
  </si>
  <si>
    <t>592</t>
  </si>
  <si>
    <t>593</t>
  </si>
  <si>
    <t>' "9" "9:30" "9.5" → 分。不正は-1</t>
  </si>
  <si>
    <t>594</t>
  </si>
  <si>
    <t>Public Function TimeToMin(ByVal t As String) As Long</t>
  </si>
  <si>
    <t>595</t>
  </si>
  <si>
    <t xml:space="preserve">    Dim q As Variant</t>
  </si>
  <si>
    <t>596</t>
  </si>
  <si>
    <t xml:space="preserve">    TimeToMin = -1</t>
  </si>
  <si>
    <t>597</t>
  </si>
  <si>
    <t xml:space="preserve">    t = Trim$(t)</t>
  </si>
  <si>
    <t>598</t>
  </si>
  <si>
    <t xml:space="preserve">    If Len(t) = 0 Then Exit Function</t>
  </si>
  <si>
    <t>599</t>
  </si>
  <si>
    <t xml:space="preserve">    If InStr(t, ":") &gt; 0 Then</t>
  </si>
  <si>
    <t>600</t>
  </si>
  <si>
    <t xml:space="preserve">        q = Split(t, ":")</t>
  </si>
  <si>
    <t>601</t>
  </si>
  <si>
    <t xml:space="preserve">        If UBound(q) = 1 Then</t>
  </si>
  <si>
    <t>602</t>
  </si>
  <si>
    <t xml:space="preserve">            If IsNumeric(q(0)) And IsNumeric(q(1)) Then TimeToMin = CLng(q(0)) * 60 + CLng(q(1))</t>
  </si>
  <si>
    <t>603</t>
  </si>
  <si>
    <t>604</t>
  </si>
  <si>
    <t xml:space="preserve">    ElseIf IsNumeric(t) Then</t>
  </si>
  <si>
    <t>605</t>
  </si>
  <si>
    <t xml:space="preserve">        TimeToMin = CLng(CDbl(t) * 60)</t>
  </si>
  <si>
    <t>606</t>
  </si>
  <si>
    <t>607</t>
  </si>
  <si>
    <t>608</t>
  </si>
  <si>
    <t>609</t>
  </si>
  <si>
    <t>' 時刻(シリアル値) → "9" / "9:30"</t>
  </si>
  <si>
    <t>610</t>
  </si>
  <si>
    <t>Public Function FmtTime(ByVal v As Variant) As String</t>
  </si>
  <si>
    <t>611</t>
  </si>
  <si>
    <t xml:space="preserve">    Dim mins As Long</t>
  </si>
  <si>
    <t>612</t>
  </si>
  <si>
    <t xml:space="preserve">    mins = CLng(Round(CDbl(v) * 1440, 0))</t>
  </si>
  <si>
    <t>613</t>
  </si>
  <si>
    <t xml:space="preserve">    FmtTime = CStr(mins \ 60)</t>
  </si>
  <si>
    <t>614</t>
  </si>
  <si>
    <t xml:space="preserve">    If mins Mod 60 &lt;&gt; 0 Then FmtTime = FmtTime &amp; ":" &amp; Format$(mins Mod 60, "00")</t>
  </si>
  <si>
    <t>615</t>
  </si>
  <si>
    <t>616</t>
  </si>
  <si>
    <t>617</t>
  </si>
  <si>
    <t>' 開始・終了セル値 → "9-18"（空欄・文字なら 公休の記号）</t>
  </si>
  <si>
    <t>618</t>
  </si>
  <si>
    <t>Public Function ShiftText(ByVal s As Variant, ByVal e As Variant) As String</t>
  </si>
  <si>
    <t>619</t>
  </si>
  <si>
    <t xml:space="preserve">    If IsEmpty(s) Or IsEmpty(e) Then ShiftText = OffCode(): Exit Function</t>
  </si>
  <si>
    <t>620</t>
  </si>
  <si>
    <t xml:space="preserve">    If VarType(s) = vbString Or VarType(e) = vbString Then ShiftText = OffCode(): Exit Function</t>
  </si>
  <si>
    <t>621</t>
  </si>
  <si>
    <t xml:space="preserve">    If Not IsNumeric(s) Or Not IsNumeric(e) Then ShiftText = OffCode(): Exit Function</t>
  </si>
  <si>
    <t>622</t>
  </si>
  <si>
    <t xml:space="preserve">    If CDbl(s) = CDbl(e) Then ShiftText = OffCode(): Exit Function</t>
  </si>
  <si>
    <t>623</t>
  </si>
  <si>
    <t xml:space="preserve">    ShiftText = FmtTime(s) &amp; "-" &amp; FmtTime(e)</t>
  </si>
  <si>
    <t>624</t>
  </si>
  <si>
    <t>625</t>
  </si>
  <si>
    <t>626</t>
  </si>
  <si>
    <t>627</t>
  </si>
  <si>
    <t>' 補助</t>
  </si>
  <si>
    <t>628</t>
  </si>
  <si>
    <t>629</t>
  </si>
  <si>
    <t>Public Function SheetExists(ByVal nm As String) As Boolean</t>
  </si>
  <si>
    <t>630</t>
  </si>
  <si>
    <t xml:space="preserve">    Dim ws As Object</t>
  </si>
  <si>
    <t>631</t>
  </si>
  <si>
    <t>632</t>
  </si>
  <si>
    <t xml:space="preserve">    Set ws = ThisWorkbook.Sheets(nm)</t>
  </si>
  <si>
    <t>633</t>
  </si>
  <si>
    <t xml:space="preserve">    SheetExists = Not ws Is Nothing</t>
  </si>
  <si>
    <t>634</t>
  </si>
  <si>
    <t>635</t>
  </si>
  <si>
    <t>636</t>
  </si>
  <si>
    <t>Public Function IsActiveMember(ws As Worksheet, ByVal r As Long) As Boolean</t>
  </si>
  <si>
    <t>637</t>
  </si>
  <si>
    <t xml:space="preserve">    If Trim$(CStr(ws.Cells(r, gcName).Value)) = "" Then Exit Function</t>
  </si>
  <si>
    <t>638</t>
  </si>
  <si>
    <t xml:space="preserve">    If gcActive &gt; 0 Then</t>
  </si>
  <si>
    <t>639</t>
  </si>
  <si>
    <t xml:space="preserve">        If Trim$(CStr(ws.Cells(r, gcActive).Value)) = "×" Then Exit Function</t>
  </si>
  <si>
    <t>640</t>
  </si>
  <si>
    <t>641</t>
  </si>
  <si>
    <t xml:space="preserve">    IsActiveMember = True</t>
  </si>
  <si>
    <t>642</t>
  </si>
  <si>
    <t>643</t>
  </si>
  <si>
    <t>644</t>
  </si>
  <si>
    <t>Public Function RoleList() As Variant</t>
  </si>
  <si>
    <t>645</t>
  </si>
  <si>
    <t xml:space="preserve">    Dim ws As Worksheet, r As Long, s As String, lst As String</t>
  </si>
  <si>
    <t>646</t>
  </si>
  <si>
    <t xml:space="preserve">    Set ws = ThisWorkbook.Worksheets(SH_SETTING)</t>
  </si>
  <si>
    <t>647</t>
  </si>
  <si>
    <t xml:space="preserve">    For r = ST_FIRST_ROW To ST_FIRST_ROW + 19</t>
  </si>
  <si>
    <t>648</t>
  </si>
  <si>
    <t xml:space="preserve">        s = Trim$(CStr(ws.Cells(r, STC_ROLE).Value))</t>
  </si>
  <si>
    <t>649</t>
  </si>
  <si>
    <t xml:space="preserve">        If s &lt;&gt; "" Then lst = lst &amp; vbTab &amp; s</t>
  </si>
  <si>
    <t>650</t>
  </si>
  <si>
    <t>651</t>
  </si>
  <si>
    <t xml:space="preserve">    If lst = "" Then lst = vbTab &amp; "SV" &amp; vbTab &amp; "SV補" &amp; vbTab &amp; "OP"</t>
  </si>
  <si>
    <t>652</t>
  </si>
  <si>
    <t xml:space="preserve">    RoleList = Split(Mid$(lst, 2), vbTab)</t>
  </si>
  <si>
    <t>653</t>
  </si>
  <si>
    <t>654</t>
  </si>
  <si>
    <t>655</t>
  </si>
  <si>
    <t>Public Function RoleColor(ByVal role As String) As Long</t>
  </si>
  <si>
    <t>656</t>
  </si>
  <si>
    <t xml:space="preserve">    Dim ws As Worksheet, r As Long</t>
  </si>
  <si>
    <t>657</t>
  </si>
  <si>
    <t>658</t>
  </si>
  <si>
    <t xml:space="preserve">    RoleColor = RGB(255, 255, 255)</t>
  </si>
  <si>
    <t>659</t>
  </si>
  <si>
    <t>660</t>
  </si>
  <si>
    <t xml:space="preserve">        If Trim$(CStr(ws.Cells(r, STC_ROLE).Value)) = Trim$(role) And Trim$(role) &lt;&gt; "" Then</t>
  </si>
  <si>
    <t>661</t>
  </si>
  <si>
    <t xml:space="preserve">            RoleColor = ws.Cells(r, STC_ROLE).Interior.color</t>
  </si>
  <si>
    <t>662</t>
  </si>
  <si>
    <t xml:space="preserve">            Exit Function</t>
  </si>
  <si>
    <t>663</t>
  </si>
  <si>
    <t>664</t>
  </si>
  <si>
    <t>665</t>
  </si>
  <si>
    <t>666</t>
  </si>
  <si>
    <t>667</t>
  </si>
  <si>
    <t>Public Function InList(ByVal s As String, lst As Variant) As Boolean</t>
  </si>
  <si>
    <t>668</t>
  </si>
  <si>
    <t xml:space="preserve">    Dim i As Long</t>
  </si>
  <si>
    <t>669</t>
  </si>
  <si>
    <t xml:space="preserve">    For i = LBound(lst) To UBound(lst)</t>
  </si>
  <si>
    <t>670</t>
  </si>
  <si>
    <t xml:space="preserve">        If lst(i) = s Then InList = True: Exit Function</t>
  </si>
  <si>
    <t>671</t>
  </si>
  <si>
    <t>672</t>
  </si>
  <si>
    <t>673</t>
  </si>
  <si>
    <t>674</t>
  </si>
  <si>
    <t>Public Function HolidayDict() As Object</t>
  </si>
  <si>
    <t>675</t>
  </si>
  <si>
    <t xml:space="preserve">    Dim d As Object, ws As Worksheet, r As Long, lastR As Long, key As Long</t>
  </si>
  <si>
    <t>676</t>
  </si>
  <si>
    <t xml:space="preserve">    Set d = CreateObject("Scripting.Dictionary")</t>
  </si>
  <si>
    <t>677</t>
  </si>
  <si>
    <t>678</t>
  </si>
  <si>
    <t xml:space="preserve">    lastR = ws.Cells(ws.Rows.Count, STC_HOL_DATE).End(xlUp).row</t>
  </si>
  <si>
    <t>679</t>
  </si>
  <si>
    <t xml:space="preserve">    For r = ST_FIRST_ROW To lastR</t>
  </si>
  <si>
    <t>680</t>
  </si>
  <si>
    <t xml:space="preserve">        If IsDate(ws.Cells(r, STC_HOL_DATE).Value) And Not IsEmpty(ws.Cells(r, STC_HOL_DATE).Value) Then</t>
  </si>
  <si>
    <t>681</t>
  </si>
  <si>
    <t xml:space="preserve">            key = CLng(CDate(ws.Cells(r, STC_HOL_DATE).Value))</t>
  </si>
  <si>
    <t>682</t>
  </si>
  <si>
    <t xml:space="preserve">            If Not d.Exists(key) Then d.Add key, CStr(ws.Cells(r, STC_HOL_NAME).Value)</t>
  </si>
  <si>
    <t>683</t>
  </si>
  <si>
    <t>684</t>
  </si>
  <si>
    <t>685</t>
  </si>
  <si>
    <t xml:space="preserve">    Set HolidayDict = d</t>
  </si>
  <si>
    <t>686</t>
  </si>
  <si>
    <t>687</t>
  </si>
  <si>
    <t>688</t>
  </si>
  <si>
    <t>Public Function WeekdayJ(ByVal d As Date) As String</t>
  </si>
  <si>
    <t>689</t>
  </si>
  <si>
    <t xml:space="preserve">    WeekdayJ = Mid$("日月火水木金土", Weekday(d), 1)</t>
  </si>
  <si>
    <t>690</t>
  </si>
  <si>
    <t>691</t>
  </si>
  <si>
    <t>692</t>
  </si>
  <si>
    <t>' 設定シートの勤務記号に色付け（条件付き書式）</t>
  </si>
  <si>
    <t>693</t>
  </si>
  <si>
    <t>Private Sub ApplyCodeFormats(rg As Range)</t>
  </si>
  <si>
    <t>694</t>
  </si>
  <si>
    <t xml:space="preserve">    Dim ws As Worksheet, r As Long, code As String, fc As FormatCondition</t>
  </si>
  <si>
    <t>695</t>
  </si>
  <si>
    <t>696</t>
  </si>
  <si>
    <t xml:space="preserve">    rg.FormatConditions.Delete</t>
  </si>
  <si>
    <t>697</t>
  </si>
  <si>
    <t>698</t>
  </si>
  <si>
    <t xml:space="preserve">        code = Trim$(CStr(ws.Cells(r, STC_CODE).Value))</t>
  </si>
  <si>
    <t>699</t>
  </si>
  <si>
    <t xml:space="preserve">        If code &lt;&gt; "" Then</t>
  </si>
  <si>
    <t>700</t>
  </si>
  <si>
    <t xml:space="preserve">            Set fc = rg.FormatConditions.Add(Type:=xlCellValue, Operator:=xlEqual, Formula1:="=""" &amp; code &amp; """")</t>
  </si>
  <si>
    <t>701</t>
  </si>
  <si>
    <t xml:space="preserve">            fc.Interior.color = ws.Cells(r, STC_CODE).Interior.color</t>
  </si>
  <si>
    <t>702</t>
  </si>
  <si>
    <t xml:space="preserve">            fc.Font.color = ws.Cells(r, STC_CODE).Font.color</t>
  </si>
  <si>
    <t>703</t>
  </si>
  <si>
    <t>704</t>
  </si>
  <si>
    <t>705</t>
  </si>
  <si>
    <t>706</t>
  </si>
  <si>
    <t>707</t>
  </si>
  <si>
    <t>' 集計区分（公休/有給）に属する記号の COUNTIF を足し合わせた式</t>
  </si>
  <si>
    <t>708</t>
  </si>
  <si>
    <t>Private Function CountCodesFormula(ByVal g As String, ByVal kind As String) As String</t>
  </si>
  <si>
    <t>709</t>
  </si>
  <si>
    <t xml:space="preserve">    Dim ws As Worksheet, r As Long, code As String, f As String</t>
  </si>
  <si>
    <t>710</t>
  </si>
  <si>
    <t>711</t>
  </si>
  <si>
    <t>712</t>
  </si>
  <si>
    <t>713</t>
  </si>
  <si>
    <t xml:space="preserve">        If code &lt;&gt; "" And Trim$(CStr(ws.Cells(r, STC_CODE_KIND).Value)) = kind Then</t>
  </si>
  <si>
    <t>714</t>
  </si>
  <si>
    <t xml:space="preserve">            f = f &amp; "+COUNTIF(" &amp; g &amp; ",""" &amp; code &amp; """)"</t>
  </si>
  <si>
    <t>715</t>
  </si>
  <si>
    <t>716</t>
  </si>
  <si>
    <t>717</t>
  </si>
  <si>
    <t xml:space="preserve">    If f = "" Then CountCodesFormula = "0" Else CountCodesFormula = Mid$(f, 2)</t>
  </si>
  <si>
    <t>718</t>
  </si>
  <si>
    <t>719</t>
  </si>
  <si>
    <t>720</t>
  </si>
  <si>
    <t>' 凡例（勤務記号）を指定行に並べる</t>
  </si>
  <si>
    <t>721</t>
  </si>
  <si>
    <t>Private Sub WriteLegend(ws As Worksheet, ByVal row As Long, ByVal col As Long)</t>
  </si>
  <si>
    <t>722</t>
  </si>
  <si>
    <t xml:space="preserve">    Dim st As Worksheet, r As Long, code As String, c As Long</t>
  </si>
  <si>
    <t>723</t>
  </si>
  <si>
    <t xml:space="preserve">    Set st = ThisWorkbook.Worksheets(SH_SETTING)</t>
  </si>
  <si>
    <t>724</t>
  </si>
  <si>
    <t xml:space="preserve">    c = col</t>
  </si>
  <si>
    <t>725</t>
  </si>
  <si>
    <t xml:space="preserve">    ws.Cells(row, c - 1).Value = "凡例"</t>
  </si>
  <si>
    <t>726</t>
  </si>
  <si>
    <t xml:space="preserve">    ws.Cells(row, c - 1).HorizontalAlignment = xlRight</t>
  </si>
  <si>
    <t>727</t>
  </si>
  <si>
    <t xml:space="preserve">    ws.Cells(row, c - 1).Font.color = RGB(118, 118, 118)</t>
  </si>
  <si>
    <t>728</t>
  </si>
  <si>
    <t>729</t>
  </si>
  <si>
    <t xml:space="preserve">        code = Trim$(CStr(st.Cells(r, STC_CODE).Value))</t>
  </si>
  <si>
    <t>730</t>
  </si>
  <si>
    <t>731</t>
  </si>
  <si>
    <t xml:space="preserve">            With ws.Cells(row, c)</t>
  </si>
  <si>
    <t>732</t>
  </si>
  <si>
    <t xml:space="preserve">                .Value = code</t>
  </si>
  <si>
    <t>733</t>
  </si>
  <si>
    <t xml:space="preserve">                .Interior.color = st.Cells(r, STC_CODE).Interior.color</t>
  </si>
  <si>
    <t>734</t>
  </si>
  <si>
    <t xml:space="preserve">                .Font.color = st.Cells(r, STC_CODE).Font.color</t>
  </si>
  <si>
    <t>735</t>
  </si>
  <si>
    <t xml:space="preserve">                .HorizontalAlignment = xlCenter</t>
  </si>
  <si>
    <t>736</t>
  </si>
  <si>
    <t xml:space="preserve">                .Borders.LineStyle = xlContinuous</t>
  </si>
  <si>
    <t>737</t>
  </si>
  <si>
    <t xml:space="preserve">                .Borders.color = RGB(191, 191, 191)</t>
  </si>
  <si>
    <t>738</t>
  </si>
  <si>
    <t>739</t>
  </si>
  <si>
    <t xml:space="preserve">            ws.Cells(row, c + 1).Value = st.Cells(r, STC_CODE_DESC).Value</t>
  </si>
  <si>
    <t>740</t>
  </si>
  <si>
    <t xml:space="preserve">            ws.Cells(row, c + 1).Font.Size = 9</t>
  </si>
  <si>
    <t>741</t>
  </si>
  <si>
    <t xml:space="preserve">            c = c + 3</t>
  </si>
  <si>
    <t>742</t>
  </si>
  <si>
    <t>743</t>
  </si>
  <si>
    <t>744</t>
  </si>
  <si>
    <t>745</t>
  </si>
  <si>
    <t>746</t>
  </si>
  <si>
    <t>' メッセージ表示（SilentMode では表示せず「はい」扱い）</t>
  </si>
  <si>
    <t>747</t>
  </si>
  <si>
    <t>Public Function Notify(ByVal msg As String, Optional ByVal style As VbMsgBoxStyle = vbOKOnly, Optional ByVal ttl As String = "") As VbMsgBoxResult</t>
  </si>
  <si>
    <t>748</t>
  </si>
  <si>
    <t xml:space="preserve">    If SilentMode Then</t>
  </si>
  <si>
    <t>749</t>
  </si>
  <si>
    <t xml:space="preserve">        Notify = vbYes</t>
  </si>
  <si>
    <t>750</t>
  </si>
  <si>
    <t>751</t>
  </si>
  <si>
    <t xml:space="preserve">        Notify = MsgBox(msg, style, ttl)</t>
  </si>
  <si>
    <t>752</t>
  </si>
  <si>
    <t>753</t>
  </si>
  <si>
    <t>754</t>
  </si>
  <si>
    <t>755</t>
  </si>
  <si>
    <t>' テスト用：開始日を指定して無言で作成</t>
  </si>
  <si>
    <t>756</t>
  </si>
  <si>
    <t>Public Sub TestCreate(ByVal startDate As String)</t>
  </si>
  <si>
    <t>757</t>
  </si>
  <si>
    <t xml:space="preserve">    SilentMode = True</t>
  </si>
  <si>
    <t>758</t>
  </si>
  <si>
    <t xml:space="preserve">    ThisWorkbook.Worksheets(SH_MAKE).Range("C5").Value = CDate(startDate)</t>
  </si>
  <si>
    <t>759</t>
  </si>
  <si>
    <t xml:space="preserve">    CreateMonthlyShift</t>
  </si>
  <si>
    <t>760</t>
  </si>
  <si>
    <t xml:space="preserve">    SilentMode = False</t>
  </si>
  <si>
    <t>761</t>
  </si>
  <si>
    <t>762</t>
  </si>
  <si>
    <t>763</t>
  </si>
  <si>
    <t>764</t>
  </si>
  <si>
    <t>' メンバーシートの見出しから列を検出（列の追加・削除に追従）</t>
  </si>
  <si>
    <t>765</t>
  </si>
  <si>
    <t>766</t>
  </si>
  <si>
    <t>'   3行目：月 火 水 木 金 土 日（各曜日の先頭列＝開始、次の列＝終了）</t>
  </si>
  <si>
    <t>767</t>
  </si>
  <si>
    <t>768</t>
  </si>
  <si>
    <t>Public Function LoadMemberCols(ws As Worksheet) As Boolean</t>
  </si>
  <si>
    <t>769</t>
  </si>
  <si>
    <t xml:space="preserve">    Dim c As Long, lastC As Long, h4 As String, h3 As String, i As Long</t>
  </si>
  <si>
    <t>770</t>
  </si>
  <si>
    <t xml:space="preserve">    Dim miss As String, wdays As String</t>
  </si>
  <si>
    <t>771</t>
  </si>
  <si>
    <t xml:space="preserve">    wdays = "月火水木金土日"</t>
  </si>
  <si>
    <t>772</t>
  </si>
  <si>
    <t xml:space="preserve">    gcName = 0: gcRole = 0: gcActive = 0: gcBrkMin = 0: gcHoliday = 0: gcBrkCnt = 0: gcSkillCnt = 0</t>
  </si>
  <si>
    <t>773</t>
  </si>
  <si>
    <t xml:space="preserve">    ReDim gcSkill(1 To 50): ReDim gcSkillName(1 To 50)</t>
  </si>
  <si>
    <t>774</t>
  </si>
  <si>
    <t xml:space="preserve">    For i = 1 To 7: gcDay(i) = 0: Next i</t>
  </si>
  <si>
    <t>775</t>
  </si>
  <si>
    <t xml:space="preserve">    ReDim gcBrkS(1 To 10): ReDim gcBrkE(1 To 10)</t>
  </si>
  <si>
    <t>776</t>
  </si>
  <si>
    <t>777</t>
  </si>
  <si>
    <t xml:space="preserve">    lastC = ws.Cells(M_FIRST_ROW - 1, ws.Columns.Count).End(xlToLeft).Column</t>
  </si>
  <si>
    <t>778</t>
  </si>
  <si>
    <t xml:space="preserve">    For c = 1 To lastC</t>
  </si>
  <si>
    <t>779</t>
  </si>
  <si>
    <t xml:space="preserve">        h4 = HeaderText(ws.Cells(M_FIRST_ROW - 1, c))</t>
  </si>
  <si>
    <t>780</t>
  </si>
  <si>
    <t xml:space="preserve">        h3 = HeaderText(ws.Cells(M_FIRST_ROW - 2, c))</t>
  </si>
  <si>
    <t>781</t>
  </si>
  <si>
    <t xml:space="preserve">        If h4 = "氏名" And gcName = 0 Then</t>
  </si>
  <si>
    <t>782</t>
  </si>
  <si>
    <t xml:space="preserve">            gcName = c</t>
  </si>
  <si>
    <t>783</t>
  </si>
  <si>
    <t>784</t>
  </si>
  <si>
    <t xml:space="preserve">            gcRole = c</t>
  </si>
  <si>
    <t>785</t>
  </si>
  <si>
    <t xml:space="preserve">        ElseIf h4 = "在籍" And gcActive = 0 Then</t>
  </si>
  <si>
    <t>786</t>
  </si>
  <si>
    <t xml:space="preserve">            gcActive = c</t>
  </si>
  <si>
    <t>787</t>
  </si>
  <si>
    <t xml:space="preserve">        ElseIf InStr(h4, "休憩") &gt; 0 And InStr(h4, "開始") &gt; 0 Then</t>
  </si>
  <si>
    <t>788</t>
  </si>
  <si>
    <t xml:space="preserve">            If gcBrkCnt &lt; 10 Then gcBrkCnt = gcBrkCnt + 1: gcBrkS(gcBrkCnt) = c: gcBrkE(gcBrkCnt) = 0</t>
  </si>
  <si>
    <t>789</t>
  </si>
  <si>
    <t xml:space="preserve">        ElseIf InStr(h4, "休憩") &gt; 0 And InStr(h4, "終了") &gt; 0 Then</t>
  </si>
  <si>
    <t>790</t>
  </si>
  <si>
    <t xml:space="preserve">            If gcBrkCnt &gt; 0 Then If gcBrkE(gcBrkCnt) = 0 Then gcBrkE(gcBrkCnt) = c</t>
  </si>
  <si>
    <t>791</t>
  </si>
  <si>
    <t xml:space="preserve">        ElseIf InStr(h4, "休憩") &gt; 0 And InStr(h4, "合計") &gt; 0 Then</t>
  </si>
  <si>
    <t>792</t>
  </si>
  <si>
    <t xml:space="preserve">            gcBrkMin = c</t>
  </si>
  <si>
    <t>793</t>
  </si>
  <si>
    <t xml:space="preserve">        ElseIf Left$(h4, 2) = "祝日" And gcHoliday = 0 Then</t>
  </si>
  <si>
    <t>794</t>
  </si>
  <si>
    <t xml:space="preserve">            gcHoliday = c</t>
  </si>
  <si>
    <t>795</t>
  </si>
  <si>
    <t>796</t>
  </si>
  <si>
    <t xml:space="preserve">        If Left$(h3, 3) = "スキル" And h4 &lt;&gt; "" And gcSkillCnt &lt; 50 Then</t>
  </si>
  <si>
    <t>797</t>
  </si>
  <si>
    <t xml:space="preserve">            gcSkillCnt = gcSkillCnt + 1</t>
  </si>
  <si>
    <t>798</t>
  </si>
  <si>
    <t xml:space="preserve">            gcSkill(gcSkillCnt) = c</t>
  </si>
  <si>
    <t>799</t>
  </si>
  <si>
    <t xml:space="preserve">            gcSkillName(gcSkillCnt) = h4</t>
  </si>
  <si>
    <t>800</t>
  </si>
  <si>
    <t>801</t>
  </si>
  <si>
    <t xml:space="preserve">        If Len(h3) = 1 Then</t>
  </si>
  <si>
    <t>802</t>
  </si>
  <si>
    <t xml:space="preserve">            i = InStr(wdays, h3)</t>
  </si>
  <si>
    <t>803</t>
  </si>
  <si>
    <t xml:space="preserve">            If i &gt; 0 Then If gcDay(i) = 0 Then gcDay(i) = c</t>
  </si>
  <si>
    <t>804</t>
  </si>
  <si>
    <t>805</t>
  </si>
  <si>
    <t>806</t>
  </si>
  <si>
    <t>807</t>
  </si>
  <si>
    <t xml:space="preserve">    If gcName = 0 Then miss = miss &amp; vbLf &amp; "・4行目の「氏名」"</t>
  </si>
  <si>
    <t>808</t>
  </si>
  <si>
    <t>809</t>
  </si>
  <si>
    <t xml:space="preserve">    For i = 1 To 7</t>
  </si>
  <si>
    <t>810</t>
  </si>
  <si>
    <t xml:space="preserve">        If gcDay(i) = 0 Then miss = miss &amp; vbLf &amp; "・3行目の曜日「" &amp; Mid$(wdays, i, 1) &amp; "」"</t>
  </si>
  <si>
    <t>811</t>
  </si>
  <si>
    <t>812</t>
  </si>
  <si>
    <t xml:space="preserve">    If miss &lt;&gt; "" Then</t>
  </si>
  <si>
    <t>813</t>
  </si>
  <si>
    <t xml:space="preserve">        Notify "「" &amp; SH_MEMBER &amp; "」シートで次の見出しが見つかりません。" &amp; vbLf &amp; miss &amp; vbLf &amp; vbLf &amp; _</t>
  </si>
  <si>
    <t>814</t>
  </si>
  <si>
    <t xml:space="preserve">               "見出しの文字を確認してください。", vbExclamation, "月間シフト作成"</t>
  </si>
  <si>
    <t>815</t>
  </si>
  <si>
    <t xml:space="preserve">        Exit Function</t>
  </si>
  <si>
    <t>816</t>
  </si>
  <si>
    <t>817</t>
  </si>
  <si>
    <t xml:space="preserve">    gcFirstRow = M_FIRST_ROW</t>
  </si>
  <si>
    <t>818</t>
  </si>
  <si>
    <t xml:space="preserve">    gcLastRow = ws.Cells(ws.Rows.Count, gcName).End(xlUp).row</t>
  </si>
  <si>
    <t>819</t>
  </si>
  <si>
    <t xml:space="preserve">    If gcLastRow &lt; M_MAX_ROW Then gcLastRow = M_MAX_ROW</t>
  </si>
  <si>
    <t>820</t>
  </si>
  <si>
    <t xml:space="preserve">    LoadMemberCols = True</t>
  </si>
  <si>
    <t>821</t>
  </si>
  <si>
    <t>822</t>
  </si>
  <si>
    <t>823</t>
  </si>
  <si>
    <t>Private Function HeaderText(ByVal cell As Range) As String</t>
  </si>
  <si>
    <t>824</t>
  </si>
  <si>
    <t xml:space="preserve">    Dim s As String</t>
  </si>
  <si>
    <t>825</t>
  </si>
  <si>
    <t xml:space="preserve">    s = CStr(cell.MergeArea.Cells(1, 1).Value)</t>
  </si>
  <si>
    <t>826</t>
  </si>
  <si>
    <t xml:space="preserve">    s = Replace(Replace(Replace(s, vbLf, ""), vbCr, ""), " ", "")</t>
  </si>
  <si>
    <t>827</t>
  </si>
  <si>
    <t xml:space="preserve">    s = Replace(s, "　", "")</t>
  </si>
  <si>
    <t>828</t>
  </si>
  <si>
    <t xml:space="preserve">    HeaderText = s</t>
  </si>
  <si>
    <t>829</t>
  </si>
  <si>
    <t>830</t>
  </si>
  <si>
    <t>831</t>
  </si>
  <si>
    <t>' 休憩（分）：休憩の開始・終了列から計算。無ければ「休憩合計」列の値</t>
  </si>
  <si>
    <t>832</t>
  </si>
  <si>
    <t>Public Function MemberBreakMin(ws As Worksheet, ByVal r As Long) As Double</t>
  </si>
  <si>
    <t>833</t>
  </si>
  <si>
    <t xml:space="preserve">    Dim i As Long, s As Variant, e As Variant, total As Double, found As Boolean</t>
  </si>
  <si>
    <t>834</t>
  </si>
  <si>
    <t xml:space="preserve">    For i = 1 To gcBrkCnt</t>
  </si>
  <si>
    <t>835</t>
  </si>
  <si>
    <t xml:space="preserve">        If gcBrkE(i) &gt; 0 Then</t>
  </si>
  <si>
    <t>836</t>
  </si>
  <si>
    <t xml:space="preserve">            s = ws.Cells(r, gcBrkS(i)).Value</t>
  </si>
  <si>
    <t>837</t>
  </si>
  <si>
    <t xml:space="preserve">            e = ws.Cells(r, gcBrkE(i)).Value</t>
  </si>
  <si>
    <t>838</t>
  </si>
  <si>
    <t xml:space="preserve">            If Not IsEmpty(s) And Not IsEmpty(e) And IsNumeric(s) And IsNumeric(e) Then</t>
  </si>
  <si>
    <t>839</t>
  </si>
  <si>
    <t xml:space="preserve">                If VarType(s) &lt;&gt; vbString And VarType(e) &lt;&gt; vbString Then</t>
  </si>
  <si>
    <t>840</t>
  </si>
  <si>
    <t xml:space="preserve">                    total = total + Round((CDbl(e) - CDbl(s) - Int(CDbl(e) - CDbl(s))) * 1440, 0)</t>
  </si>
  <si>
    <t>841</t>
  </si>
  <si>
    <t xml:space="preserve">                    found = True</t>
  </si>
  <si>
    <t>842</t>
  </si>
  <si>
    <t>843</t>
  </si>
  <si>
    <t>844</t>
  </si>
  <si>
    <t>845</t>
  </si>
  <si>
    <t>846</t>
  </si>
  <si>
    <t xml:space="preserve">    If Not found And gcBrkMin &gt; 0 Then</t>
  </si>
  <si>
    <t>847</t>
  </si>
  <si>
    <t xml:space="preserve">        If IsNumeric(ws.Cells(r, gcBrkMin).Value) And Not IsError(ws.Cells(r, gcBrkMin).Value) Then</t>
  </si>
  <si>
    <t>848</t>
  </si>
  <si>
    <t xml:space="preserve">            total = Val(ws.Cells(r, gcBrkMin).Value)</t>
  </si>
  <si>
    <t>849</t>
  </si>
  <si>
    <t>850</t>
  </si>
  <si>
    <t>851</t>
  </si>
  <si>
    <t xml:space="preserve">    MemberBreakMin = total</t>
  </si>
  <si>
    <t>852</t>
  </si>
  <si>
    <t>853</t>
  </si>
  <si>
    <t>854</t>
  </si>
  <si>
    <t>Private Function HolidayWorkFlag(ws As Worksheet, ByVal r As Long) As String</t>
  </si>
  <si>
    <t>855</t>
  </si>
  <si>
    <t xml:space="preserve">    If gcHoliday = 0 Then HolidayWorkFlag = "休": Exit Function</t>
  </si>
  <si>
    <t>856</t>
  </si>
  <si>
    <t xml:space="preserve">    HolidayWorkFlag = Trim$(CStr(ws.Cells(r, gcHoliday).Value))</t>
  </si>
  <si>
    <t>857</t>
  </si>
  <si>
    <t>858</t>
  </si>
  <si>
    <t>859</t>
  </si>
  <si>
    <t>860</t>
  </si>
  <si>
    <t>' 月間シフト下部：スキル別の出勤人数と最低人数の充足チェック</t>
  </si>
  <si>
    <t>861</t>
  </si>
  <si>
    <t>862</t>
  </si>
  <si>
    <t>'   ・スキルは「メンバー」シートの○を毎回参照（後からスキルを変えても反映）</t>
  </si>
  <si>
    <t>863</t>
  </si>
  <si>
    <t>'   ・最低人数は「設定」のスキル別最低人数を参照（後から変えても反映）</t>
  </si>
  <si>
    <t>864</t>
  </si>
  <si>
    <t>865</t>
  </si>
  <si>
    <t>Private Sub WriteSkillCheck(ws As Worksheet, ByVal titleRow As Long, ByVal lastR As Long, _</t>
  </si>
  <si>
    <t>866</t>
  </si>
  <si>
    <t xml:space="preserve">                            ByVal cSum As Long, ByVal dStart As Date, ByVal nDays As Long, hol As Object)</t>
  </si>
  <si>
    <t>867</t>
  </si>
  <si>
    <t xml:space="preserve">    Dim jRole As String, jSat As Boolean, jSun As Boolean, jHol As Boolean</t>
  </si>
  <si>
    <t>868</t>
  </si>
  <si>
    <t xml:space="preserve">    Dim top As Long, last As Long, jRow As Long, k As Long, r As Long, i As Long, c As Long, d As Date</t>
  </si>
  <si>
    <t>869</t>
  </si>
  <si>
    <t xml:space="preserve">    Dim roleCond As String, work As String, fx As String, mName As String, mSkill As String</t>
  </si>
  <si>
    <t>870</t>
  </si>
  <si>
    <t xml:space="preserve">    Dim reqMin As String, reqName As String, dayRng As Range, fc As FormatCondition, judged As Boolean</t>
  </si>
  <si>
    <t>871</t>
  </si>
  <si>
    <t xml:space="preserve">    Dim lastDayCol As Long, minA As String, firstDay As String</t>
  </si>
  <si>
    <t>872</t>
  </si>
  <si>
    <t>873</t>
  </si>
  <si>
    <t xml:space="preserve">    EnsureSkillSettings</t>
  </si>
  <si>
    <t>874</t>
  </si>
  <si>
    <t>875</t>
  </si>
  <si>
    <t xml:space="preserve">    jSat = (JudgeSetting("土曜を判定", "しない") = "する")</t>
  </si>
  <si>
    <t>876</t>
  </si>
  <si>
    <t xml:space="preserve">    jSun = (JudgeSetting("日曜を判定", "しない") = "する")</t>
  </si>
  <si>
    <t>877</t>
  </si>
  <si>
    <t xml:space="preserve">    jHol = (JudgeSetting("祝日を判定", "しない") = "する")</t>
  </si>
  <si>
    <t>878</t>
  </si>
  <si>
    <t>879</t>
  </si>
  <si>
    <t xml:space="preserve">    lastDayCol = cSum - 1</t>
  </si>
  <si>
    <t>880</t>
  </si>
  <si>
    <t xml:space="preserve">    top = titleRow + 1</t>
  </si>
  <si>
    <t>881</t>
  </si>
  <si>
    <t xml:space="preserve">    last = top + gcSkillCnt                 ' 1行目＝頭数（合計）、以降スキル</t>
  </si>
  <si>
    <t>882</t>
  </si>
  <si>
    <t xml:space="preserve">    jRow = last + 1</t>
  </si>
  <si>
    <t>883</t>
  </si>
  <si>
    <t xml:space="preserve">    firstDay = ColLetter(SC_DAY1)</t>
  </si>
  <si>
    <t>884</t>
  </si>
  <si>
    <t>885</t>
  </si>
  <si>
    <t xml:space="preserve">    ' ---- 見出し ----</t>
  </si>
  <si>
    <t>886</t>
  </si>
  <si>
    <t xml:space="preserve">    ws.Cells(titleRow, SC_NAME).Value = "スキル充足（" &amp; jRole &amp; "のみ）"</t>
  </si>
  <si>
    <t>887</t>
  </si>
  <si>
    <t>888</t>
  </si>
  <si>
    <t xml:space="preserve">    ws.Cells(titleRow, SC_BRK).Value = "最低"</t>
  </si>
  <si>
    <t>889</t>
  </si>
  <si>
    <t xml:space="preserve">    ws.Cells(titleRow, cSum).Value = "不足" &amp; vbLf &amp; "日数"</t>
  </si>
  <si>
    <t>890</t>
  </si>
  <si>
    <t xml:space="preserve">    With ws.Range(ws.Cells(titleRow, SC_NAME), ws.Cells(titleRow, SC_BRK))</t>
  </si>
  <si>
    <t>891</t>
  </si>
  <si>
    <t>892</t>
  </si>
  <si>
    <t>893</t>
  </si>
  <si>
    <t>894</t>
  </si>
  <si>
    <t>895</t>
  </si>
  <si>
    <t xml:space="preserve">    With ws.Cells(titleRow, cSum)</t>
  </si>
  <si>
    <t>896</t>
  </si>
  <si>
    <t>897</t>
  </si>
  <si>
    <t>898</t>
  </si>
  <si>
    <t>899</t>
  </si>
  <si>
    <t>900</t>
  </si>
  <si>
    <t>901</t>
  </si>
  <si>
    <t xml:space="preserve">    For i = 0 To nDays - 1                          ' 日付を再掲（見やすさのため）</t>
  </si>
  <si>
    <t>902</t>
  </si>
  <si>
    <t xml:space="preserve">        ws.Cells(titleRow, SC_DAY1 + i).Formula = "=" &amp; ws.Cells(S_DATE_ROW, SC_DAY1 + i).Address(True, False)</t>
  </si>
  <si>
    <t>903</t>
  </si>
  <si>
    <t>904</t>
  </si>
  <si>
    <t xml:space="preserve">    With ws.Range(ws.Cells(titleRow, SC_DAY1), ws.Cells(titleRow, lastDayCol))</t>
  </si>
  <si>
    <t>905</t>
  </si>
  <si>
    <t xml:space="preserve">        .NumberFormat = "d"</t>
  </si>
  <si>
    <t>906</t>
  </si>
  <si>
    <t xml:space="preserve">        .Interior.color = RGB(242, 242, 242)</t>
  </si>
  <si>
    <t>907</t>
  </si>
  <si>
    <t>908</t>
  </si>
  <si>
    <t>909</t>
  </si>
  <si>
    <t>910</t>
  </si>
  <si>
    <t xml:space="preserve">    ' ---- 人数（スキル別） ----</t>
  </si>
  <si>
    <t>911</t>
  </si>
  <si>
    <t xml:space="preserve">    roleCond = "(R" &amp; S_FIRST_ROW &amp; "C" &amp; SC_ROLE &amp; ":R" &amp; lastR &amp; "C" &amp; SC_ROLE &amp; "=""" &amp; jRole &amp; """)"</t>
  </si>
  <si>
    <t>912</t>
  </si>
  <si>
    <t xml:space="preserve">    work = "ISNUMBER(SEARCH(""-"",R" &amp; S_FIRST_ROW &amp; "C:R" &amp; lastR &amp; "C))"</t>
  </si>
  <si>
    <t>913</t>
  </si>
  <si>
    <t xml:space="preserve">    mName = "'" &amp; SH_MEMBER &amp; "'!R" &amp; gcFirstRow &amp; "C" &amp; gcName &amp; ":R" &amp; gcLastRow &amp; "C" &amp; gcName</t>
  </si>
  <si>
    <t>914</t>
  </si>
  <si>
    <t xml:space="preserve">    reqMin = "'" &amp; SH_SETTING &amp; "'!$" &amp; ColLetter(STC_REQ_MIN) &amp; "$" &amp; (ST_REQ_HEAD + 1) &amp; ":$" &amp; ColLetter(STC_REQ_MIN) &amp; "$" &amp; ST_REQ_LAST</t>
  </si>
  <si>
    <t>915</t>
  </si>
  <si>
    <t xml:space="preserve">    reqName = "'" &amp; SH_SETTING &amp; "'!$" &amp; ColLetter(STC_REQ_NAME) &amp; "$" &amp; (ST_REQ_HEAD + 1) &amp; ":$" &amp; ColLetter(STC_REQ_NAME) &amp; "$" &amp; ST_REQ_LAST</t>
  </si>
  <si>
    <t>916</t>
  </si>
  <si>
    <t>917</t>
  </si>
  <si>
    <t xml:space="preserve">    For k = 0 To gcSkillCnt</t>
  </si>
  <si>
    <t>918</t>
  </si>
  <si>
    <t xml:space="preserve">        r = top + k</t>
  </si>
  <si>
    <t>919</t>
  </si>
  <si>
    <t xml:space="preserve">        If k = 0 Then</t>
  </si>
  <si>
    <t>920</t>
  </si>
  <si>
    <t xml:space="preserve">            ws.Cells(r, SC_NAME).Value = REQ_HEADCOUNT</t>
  </si>
  <si>
    <t>921</t>
  </si>
  <si>
    <t xml:space="preserve">            fx = "=SUMPRODUCT(" &amp; roleCond &amp; "*" &amp; work &amp; ")"</t>
  </si>
  <si>
    <t>922</t>
  </si>
  <si>
    <t xml:space="preserve">        Else</t>
  </si>
  <si>
    <t>923</t>
  </si>
  <si>
    <t xml:space="preserve">            ws.Cells(r, SC_NAME).Value = gcSkillName(k)</t>
  </si>
  <si>
    <t>924</t>
  </si>
  <si>
    <t xml:space="preserve">            mSkill = "'" &amp; SH_MEMBER &amp; "'!R" &amp; gcFirstRow &amp; "C" &amp; gcSkill(k) &amp; ":R" &amp; gcLastRow &amp; "C" &amp; gcSkill(k)</t>
  </si>
  <si>
    <t>925</t>
  </si>
  <si>
    <t xml:space="preserve">            fx = "=SUMPRODUCT(" &amp; roleCond &amp; "*" &amp; work &amp; "*(COUNTIFS(" &amp; mName &amp; _</t>
  </si>
  <si>
    <t>926</t>
  </si>
  <si>
    <t xml:space="preserve">                 ",R" &amp; S_FIRST_ROW &amp; "C" &amp; SC_NAME &amp; ":R" &amp; lastR &amp; "C" &amp; SC_NAME &amp; "," &amp; mSkill &amp; ",""○"")&gt;0))"</t>
  </si>
  <si>
    <t>927</t>
  </si>
  <si>
    <t>928</t>
  </si>
  <si>
    <t xml:space="preserve">        ws.Cells(r, SC_ROLE).Value = jRole</t>
  </si>
  <si>
    <t>929</t>
  </si>
  <si>
    <t xml:space="preserve">        minA = "$" &amp; ColLetter(SC_BRK) &amp; r</t>
  </si>
  <si>
    <t>930</t>
  </si>
  <si>
    <t xml:space="preserve">        ws.Cells(r, SC_BRK).Formula = "=IFERROR(INDEX(" &amp; reqMin &amp; ",MATCH($" &amp; ColLetter(SC_NAME) &amp; r &amp; "," &amp; reqName &amp; ",0)),0)"</t>
  </si>
  <si>
    <t>931</t>
  </si>
  <si>
    <t xml:space="preserve">        ws.Range(ws.Cells(r, SC_DAY1), ws.Cells(r, lastDayCol)).FormulaR1C1 = fx</t>
  </si>
  <si>
    <t>932</t>
  </si>
  <si>
    <t xml:space="preserve">        ' 不足日数（判定対象日のうち最低人数を下回った日数）</t>
  </si>
  <si>
    <t>933</t>
  </si>
  <si>
    <t xml:space="preserve">        ws.Cells(r, cSum).Formula = "=IF(" &amp; minA &amp; "&gt;0,SUMPRODUCT((" &amp; RowRange(ws, r, SC_DAY1, lastDayCol) &amp; "&lt;" &amp; minA &amp; ")*(" &amp; _</t>
  </si>
  <si>
    <t>934</t>
  </si>
  <si>
    <t xml:space="preserve">            RowRange(ws, jRow, SC_DAY1, lastDayCol, True) &amp; "&lt;&gt;""－"")),""－"")"</t>
  </si>
  <si>
    <t>935</t>
  </si>
  <si>
    <t>936</t>
  </si>
  <si>
    <t xml:space="preserve">    ws.Range(ws.Cells(top, SC_BRK), ws.Cells(last, SC_BRK)).NumberFormat = "0;-0;""－"""</t>
  </si>
  <si>
    <t>937</t>
  </si>
  <si>
    <t xml:space="preserve">    ws.Range(ws.Cells(top, SC_NAME), ws.Cells(top, lastDayCol)).Font.Bold = True</t>
  </si>
  <si>
    <t>938</t>
  </si>
  <si>
    <t>939</t>
  </si>
  <si>
    <t xml:space="preserve">    ' ---- 判定行 ----</t>
  </si>
  <si>
    <t>940</t>
  </si>
  <si>
    <t xml:space="preserve">    ws.Cells(jRow, SC_NAME).Value = "判定"</t>
  </si>
  <si>
    <t>941</t>
  </si>
  <si>
    <t xml:space="preserve">    ws.Cells(jRow, SC_ROLE).Value = jRole</t>
  </si>
  <si>
    <t>942</t>
  </si>
  <si>
    <t xml:space="preserve">    fx = "SUMPRODUCT((R" &amp; top &amp; "C:R" &amp; last &amp; "C&lt;R" &amp; top &amp; "C" &amp; SC_BRK &amp; ":R" &amp; last &amp; "C" &amp; SC_BRK &amp; ")*(R" &amp; _</t>
  </si>
  <si>
    <t>943</t>
  </si>
  <si>
    <t xml:space="preserve">         top &amp; "C" &amp; SC_BRK &amp; ":R" &amp; last &amp; "C" &amp; SC_BRK &amp; "&gt;0))"</t>
  </si>
  <si>
    <t>944</t>
  </si>
  <si>
    <t>945</t>
  </si>
  <si>
    <t>946</t>
  </si>
  <si>
    <t xml:space="preserve">        c = SC_DAY1 + i</t>
  </si>
  <si>
    <t>947</t>
  </si>
  <si>
    <t xml:space="preserve">        judged = True</t>
  </si>
  <si>
    <t>948</t>
  </si>
  <si>
    <t xml:space="preserve">        If Weekday(d) = vbSaturday And Not jSat Then judged = False</t>
  </si>
  <si>
    <t>949</t>
  </si>
  <si>
    <t xml:space="preserve">        If Weekday(d) = vbSunday And Not jSun Then judged = False</t>
  </si>
  <si>
    <t>950</t>
  </si>
  <si>
    <t xml:space="preserve">        If hol.Exists(CLng(d)) And Not jHol Then judged = False</t>
  </si>
  <si>
    <t>951</t>
  </si>
  <si>
    <t xml:space="preserve">        If judged Then</t>
  </si>
  <si>
    <t>952</t>
  </si>
  <si>
    <t xml:space="preserve">            ws.Cells(jRow, c).FormulaR1C1 = "=IF(" &amp; fx &amp; "=0,""○"",""×""&amp;" &amp; fx &amp; ")"</t>
  </si>
  <si>
    <t>953</t>
  </si>
  <si>
    <t>954</t>
  </si>
  <si>
    <t xml:space="preserve">            ws.Cells(jRow, c).Value = "－"</t>
  </si>
  <si>
    <t>955</t>
  </si>
  <si>
    <t xml:space="preserve">            ws.Range(ws.Cells(top, c), ws.Cells(jRow, c)).Interior.color = RGB(230, 230, 230)</t>
  </si>
  <si>
    <t>956</t>
  </si>
  <si>
    <t xml:space="preserve">            ws.Range(ws.Cells(top, c), ws.Cells(jRow, c)).Font.color = RGB(150, 150, 150)</t>
  </si>
  <si>
    <t>957</t>
  </si>
  <si>
    <t>958</t>
  </si>
  <si>
    <t>959</t>
  </si>
  <si>
    <t xml:space="preserve">    ws.Cells(jRow, cSum).Formula = "=COUNTIF(" &amp; RowRange(ws, jRow, SC_DAY1, lastDayCol) &amp; ",""×*"")"</t>
  </si>
  <si>
    <t>960</t>
  </si>
  <si>
    <t xml:space="preserve">    ws.Range(ws.Cells(jRow, SC_NAME), ws.Cells(jRow, cSum)).Font.Bold = True</t>
  </si>
  <si>
    <t>961</t>
  </si>
  <si>
    <t xml:space="preserve">    ws.Range(ws.Cells(jRow, SC_NAME), ws.Cells(jRow, SC_BRK)).Interior.color = RGB(255, 242, 204)</t>
  </si>
  <si>
    <t>962</t>
  </si>
  <si>
    <t>963</t>
  </si>
  <si>
    <t xml:space="preserve">    ' ---- 色：不足＝赤、充足＝緑（判定対象外の日は色なし） ----</t>
  </si>
  <si>
    <t>964</t>
  </si>
  <si>
    <t xml:space="preserve">    Set dayRng = ws.Range(ws.Cells(top, SC_DAY1), ws.Cells(last, lastDayCol))</t>
  </si>
  <si>
    <t>965</t>
  </si>
  <si>
    <t xml:space="preserve">    dayRng.FormatConditions.Delete</t>
  </si>
  <si>
    <t>966</t>
  </si>
  <si>
    <t xml:space="preserve">    Set fc = dayRng.FormatConditions.Add(Type:=xlExpression, Formula1:= _</t>
  </si>
  <si>
    <t>967</t>
  </si>
  <si>
    <t xml:space="preserve">        "=AND($" &amp; ColLetter(SC_BRK) &amp; top &amp; "&gt;0," &amp; firstDay &amp; top &amp; "&lt;$" &amp; ColLetter(SC_BRK) &amp; top &amp; "," &amp; firstDay &amp; "$" &amp; jRow &amp; "&lt;&gt;""－"")")</t>
  </si>
  <si>
    <t>968</t>
  </si>
  <si>
    <t xml:space="preserve">    fc.Interior.color = RGB(255, 199, 206)</t>
  </si>
  <si>
    <t>969</t>
  </si>
  <si>
    <t xml:space="preserve">    fc.Font.color = RGB(156, 0, 6)</t>
  </si>
  <si>
    <t>970</t>
  </si>
  <si>
    <t xml:space="preserve">    fc.Font.Bold = True</t>
  </si>
  <si>
    <t>971</t>
  </si>
  <si>
    <t xml:space="preserve">    fc.StopIfTrue = True</t>
  </si>
  <si>
    <t>972</t>
  </si>
  <si>
    <t>973</t>
  </si>
  <si>
    <t xml:space="preserve">        "=AND($" &amp; ColLetter(SC_BRK) &amp; top &amp; "&gt;0," &amp; firstDay &amp; "$" &amp; jRow &amp; "&lt;&gt;""－"")")</t>
  </si>
  <si>
    <t>974</t>
  </si>
  <si>
    <t xml:space="preserve">    fc.Interior.color = RGB(226, 239, 218)</t>
  </si>
  <si>
    <t>975</t>
  </si>
  <si>
    <t>976</t>
  </si>
  <si>
    <t xml:space="preserve">    Set dayRng = ws.Range(ws.Cells(jRow, SC_DAY1), ws.Cells(jRow, lastDayCol))</t>
  </si>
  <si>
    <t>977</t>
  </si>
  <si>
    <t xml:space="preserve">    Set fc = dayRng.FormatConditions.Add(Type:=xlExpression, Formula1:="=LEFT(" &amp; firstDay &amp; jRow &amp; ",1)=""×""")</t>
  </si>
  <si>
    <t>978</t>
  </si>
  <si>
    <t xml:space="preserve">    fc.Interior.color = RGB(192, 0, 0)</t>
  </si>
  <si>
    <t>979</t>
  </si>
  <si>
    <t xml:space="preserve">    fc.Font.color = vbWhite</t>
  </si>
  <si>
    <t>980</t>
  </si>
  <si>
    <t xml:space="preserve">    Set fc = dayRng.FormatConditions.Add(Type:=xlExpression, Formula1:="=" &amp; firstDay &amp; jRow &amp; "=""○""")</t>
  </si>
  <si>
    <t>981</t>
  </si>
  <si>
    <t xml:space="preserve">    fc.Font.color = RGB(0, 97, 0)</t>
  </si>
  <si>
    <t>982</t>
  </si>
  <si>
    <t>983</t>
  </si>
  <si>
    <t xml:space="preserve">    Set dayRng = ws.Range(ws.Cells(top, cSum), ws.Cells(jRow, cSum))</t>
  </si>
  <si>
    <t>984</t>
  </si>
  <si>
    <t>985</t>
  </si>
  <si>
    <t xml:space="preserve">        "=AND(ISNUMBER(" &amp; ColLetter(cSum) &amp; top &amp; ")," &amp; ColLetter(cSum) &amp; top &amp; "&gt;0)")</t>
  </si>
  <si>
    <t>986</t>
  </si>
  <si>
    <t xml:space="preserve">    fc.Font.color = RGB(192, 0, 0)</t>
  </si>
  <si>
    <t>987</t>
  </si>
  <si>
    <t>988</t>
  </si>
  <si>
    <t>989</t>
  </si>
  <si>
    <t xml:space="preserve">    ' ---- 罫線・配置 ----</t>
  </si>
  <si>
    <t>990</t>
  </si>
  <si>
    <t xml:space="preserve">    With ws.Range(ws.Cells(titleRow, SC_NAME), ws.Cells(jRow, lastDayCol))</t>
  </si>
  <si>
    <t>991</t>
  </si>
  <si>
    <t>992</t>
  </si>
  <si>
    <t>993</t>
  </si>
  <si>
    <t>994</t>
  </si>
  <si>
    <t>995</t>
  </si>
  <si>
    <t xml:space="preserve">    With ws.Range(ws.Cells(titleRow, cSum), ws.Cells(jRow, cSum))</t>
  </si>
  <si>
    <t>996</t>
  </si>
  <si>
    <t>997</t>
  </si>
  <si>
    <t>998</t>
  </si>
  <si>
    <t>999</t>
  </si>
  <si>
    <t>1000</t>
  </si>
  <si>
    <t xml:space="preserve">    ws.Range(ws.Cells(titleRow, SC_NAME), ws.Cells(jRow, SC_NAME)).HorizontalAlignment = xlLeft</t>
  </si>
  <si>
    <t>1001</t>
  </si>
  <si>
    <t xml:space="preserve">    ws.Rows(titleRow).RowHeight = 28</t>
  </si>
  <si>
    <t>1002</t>
  </si>
  <si>
    <t xml:space="preserve">    With ws.Range(ws.Cells(jRow, SC_NAME), ws.Cells(jRow, lastDayCol)).Borders(xlEdgeTop)</t>
  </si>
  <si>
    <t>1003</t>
  </si>
  <si>
    <t>1004</t>
  </si>
  <si>
    <t xml:space="preserve">        .Weight = xlMedium</t>
  </si>
  <si>
    <t>1005</t>
  </si>
  <si>
    <t>1006</t>
  </si>
  <si>
    <t>1007</t>
  </si>
  <si>
    <t>1008</t>
  </si>
  <si>
    <t>Private Function RowRange(ws As Worksheet, ByVal r As Long, ByVal c1 As Long, ByVal c2 As Long, _</t>
  </si>
  <si>
    <t>1009</t>
  </si>
  <si>
    <t xml:space="preserve">                          Optional ByVal absRow As Boolean = False) As String</t>
  </si>
  <si>
    <t>1010</t>
  </si>
  <si>
    <t xml:space="preserve">    RowRange = ws.Range(ws.Cells(r, c1), ws.Cells(r, c2)).Address(absRow, False)</t>
  </si>
  <si>
    <t>1011</t>
  </si>
  <si>
    <t>1012</t>
  </si>
  <si>
    <t>1013</t>
  </si>
  <si>
    <t>Public Function ColLetter(ByVal c As Long) As String</t>
  </si>
  <si>
    <t>1014</t>
  </si>
  <si>
    <t xml:space="preserve">    ColLetter = Split(ThisWorkbook.Worksheets(1).Cells(1, c).Address(True, False), "$")(0)</t>
  </si>
  <si>
    <t>1015</t>
  </si>
  <si>
    <t>1016</t>
  </si>
  <si>
    <t>1017</t>
  </si>
  <si>
    <t>1018</t>
  </si>
  <si>
    <t>' 設定シート：スキル別最低人数・充足判定の設定（無ければ作る／新スキルは追記）</t>
  </si>
  <si>
    <t>1019</t>
  </si>
  <si>
    <t>1020</t>
  </si>
  <si>
    <t>Public Sub EnsureSkillSettings()</t>
  </si>
  <si>
    <t>1021</t>
  </si>
  <si>
    <t xml:space="preserve">    Dim st As Worksheet, r As Long, k As Long, found As Boolean, lastR As Long</t>
  </si>
  <si>
    <t>1022</t>
  </si>
  <si>
    <t>1023</t>
  </si>
  <si>
    <t>1024</t>
  </si>
  <si>
    <t xml:space="preserve">    If Trim$(CStr(st.Cells(ST_REQ_HEAD, STC_REQ_NAME).Value)) &lt;&gt; "項目" Then</t>
  </si>
  <si>
    <t>1025</t>
  </si>
  <si>
    <t>1026</t>
  </si>
  <si>
    <t xml:space="preserve">        st.Cells(ST_REQ_HEAD - 1, STC_REQ_NAME).Font.Bold = True</t>
  </si>
  <si>
    <t>1027</t>
  </si>
  <si>
    <t xml:space="preserve">        st.Cells(ST_REQ_HEAD, STC_REQ_NAME).Value = "項目"</t>
  </si>
  <si>
    <t>1028</t>
  </si>
  <si>
    <t xml:space="preserve">        st.Cells(ST_REQ_HEAD, STC_REQ_MIN).Value = "最低人数"</t>
  </si>
  <si>
    <t>1029</t>
  </si>
  <si>
    <t xml:space="preserve">        SettingHeader st.Range(st.Cells(ST_REQ_HEAD, STC_REQ_NAME), st.Cells(ST_REQ_HEAD, STC_REQ_MIN))</t>
  </si>
  <si>
    <t>1030</t>
  </si>
  <si>
    <t xml:space="preserve">        st.Cells(ST_REQ_HEAD + 1, STC_REQ_NAME).Value = REQ_HEADCOUNT</t>
  </si>
  <si>
    <t>1031</t>
  </si>
  <si>
    <t xml:space="preserve">        With st.Range(st.Cells(ST_REQ_HEAD + 1, STC_REQ_NAME), st.Cells(ST_REQ_LAST, STC_REQ_MIN))</t>
  </si>
  <si>
    <t>1032</t>
  </si>
  <si>
    <t xml:space="preserve">            .Borders.LineStyle = xlContinuous</t>
  </si>
  <si>
    <t>1033</t>
  </si>
  <si>
    <t xml:space="preserve">            .Borders.color = RGB(191, 191, 191)</t>
  </si>
  <si>
    <t>1034</t>
  </si>
  <si>
    <t>1035</t>
  </si>
  <si>
    <t xml:space="preserve">        With st.Range(st.Cells(ST_REQ_HEAD + 1, STC_REQ_MIN), st.Cells(ST_REQ_LAST, STC_REQ_MIN))</t>
  </si>
  <si>
    <t>1036</t>
  </si>
  <si>
    <t xml:space="preserve">            .Interior.color = RGB(255, 255, 230)</t>
  </si>
  <si>
    <t>1037</t>
  </si>
  <si>
    <t xml:space="preserve">            .HorizontalAlignment = xlCenter</t>
  </si>
  <si>
    <t>1038</t>
  </si>
  <si>
    <t xml:space="preserve">            .NumberFormat = "0""人"""</t>
  </si>
  <si>
    <t>1039</t>
  </si>
  <si>
    <t>1040</t>
  </si>
  <si>
    <t xml:space="preserve">        st.Columns(STC_REQ_NAME).ColumnWidth = 16</t>
  </si>
  <si>
    <t>1041</t>
  </si>
  <si>
    <t xml:space="preserve">        st.Columns(STC_REQ_MIN).ColumnWidth = 10</t>
  </si>
  <si>
    <t>1042</t>
  </si>
  <si>
    <t>1043</t>
  </si>
  <si>
    <t xml:space="preserve">        st.Cells(ST_REQ_HEAD - 1, STC_JDG_KEY).Value = "充足判定の設定"</t>
  </si>
  <si>
    <t>1044</t>
  </si>
  <si>
    <t xml:space="preserve">        st.Cells(ST_REQ_HEAD - 1, STC_JDG_KEY).Font.Bold = True</t>
  </si>
  <si>
    <t>1045</t>
  </si>
  <si>
    <t xml:space="preserve">        st.Cells(ST_REQ_HEAD, STC_JDG_KEY).Value = "項目"</t>
  </si>
  <si>
    <t>1046</t>
  </si>
  <si>
    <t xml:space="preserve">        st.Cells(ST_REQ_HEAD, STC_JDG_VAL).Value = "値"</t>
  </si>
  <si>
    <t>1047</t>
  </si>
  <si>
    <t xml:space="preserve">        SettingHeader st.Range(st.Cells(ST_REQ_HEAD, STC_JDG_KEY), st.Cells(ST_REQ_HEAD, STC_JDG_VAL))</t>
  </si>
  <si>
    <t>1048</t>
  </si>
  <si>
    <t>1049</t>
  </si>
  <si>
    <t xml:space="preserve">        st.Cells(ST_REQ_HEAD + 1, STC_JDG_VAL).Value = "OP"</t>
  </si>
  <si>
    <t>1050</t>
  </si>
  <si>
    <t xml:space="preserve">        st.Cells(ST_REQ_HEAD + 2, STC_JDG_KEY).Value = "土曜を判定"</t>
  </si>
  <si>
    <t>1051</t>
  </si>
  <si>
    <t xml:space="preserve">        st.Cells(ST_REQ_HEAD + 2, STC_JDG_VAL).Value = "しない"</t>
  </si>
  <si>
    <t>1052</t>
  </si>
  <si>
    <t xml:space="preserve">        st.Cells(ST_REQ_HEAD + 3, STC_JDG_KEY).Value = "日曜を判定"</t>
  </si>
  <si>
    <t>1053</t>
  </si>
  <si>
    <t xml:space="preserve">        st.Cells(ST_REQ_HEAD + 3, STC_JDG_VAL).Value = "しない"</t>
  </si>
  <si>
    <t>1054</t>
  </si>
  <si>
    <t xml:space="preserve">        st.Cells(ST_REQ_HEAD + 4, STC_JDG_KEY).Value = "祝日を判定"</t>
  </si>
  <si>
    <t>1055</t>
  </si>
  <si>
    <t xml:space="preserve">        st.Cells(ST_REQ_HEAD + 4, STC_JDG_VAL).Value = "しない"</t>
  </si>
  <si>
    <t>1056</t>
  </si>
  <si>
    <t xml:space="preserve">        With st.Range(st.Cells(ST_REQ_HEAD + 1, STC_JDG_KEY), st.Cells(ST_REQ_HEAD + 4, STC_JDG_VAL))</t>
  </si>
  <si>
    <t>1057</t>
  </si>
  <si>
    <t>1058</t>
  </si>
  <si>
    <t>1059</t>
  </si>
  <si>
    <t>1060</t>
  </si>
  <si>
    <t xml:space="preserve">        With st.Range(st.Cells(ST_REQ_HEAD + 1, STC_JDG_VAL), st.Cells(ST_REQ_HEAD + 4, STC_JDG_VAL))</t>
  </si>
  <si>
    <t>1061</t>
  </si>
  <si>
    <t>1062</t>
  </si>
  <si>
    <t>1063</t>
  </si>
  <si>
    <t>1064</t>
  </si>
  <si>
    <t xml:space="preserve">        With st.Cells(ST_REQ_HEAD + 1, STC_JDG_VAL).Validation</t>
  </si>
  <si>
    <t>1065</t>
  </si>
  <si>
    <t xml:space="preserve">            .Delete</t>
  </si>
  <si>
    <t>1066</t>
  </si>
  <si>
    <t>1067</t>
  </si>
  <si>
    <t>1068</t>
  </si>
  <si>
    <t xml:space="preserve">        With st.Range(st.Cells(ST_REQ_HEAD + 2, STC_JDG_VAL), st.Cells(ST_REQ_HEAD + 4, STC_JDG_VAL)).Validation</t>
  </si>
  <si>
    <t>1069</t>
  </si>
  <si>
    <t>1070</t>
  </si>
  <si>
    <t xml:space="preserve">            .Add Type:=xlValidateList, AlertStyle:=xlValidAlertStop, Formula1:="する,しない"</t>
  </si>
  <si>
    <t>1071</t>
  </si>
  <si>
    <t>1072</t>
  </si>
  <si>
    <t xml:space="preserve">        st.Columns(STC_JDG_KEY).ColumnWidth = 14</t>
  </si>
  <si>
    <t>1073</t>
  </si>
  <si>
    <t xml:space="preserve">        st.Columns(STC_JDG_VAL).ColumnWidth = 8</t>
  </si>
  <si>
    <t>1074</t>
  </si>
  <si>
    <t xml:space="preserve">        st.Cells(ST_REQ_HEAD + 6, STC_JDG_KEY).Value = "・最低人数が空欄／0 の項目は判定しません。"</t>
  </si>
  <si>
    <t>1075</t>
  </si>
  <si>
    <t xml:space="preserve">        st.Cells(ST_REQ_HEAD + 7, STC_JDG_KEY).Value = "・スキル名はメンバーシートの見出しと同じ文字にしてください。"</t>
  </si>
  <si>
    <t>1076</t>
  </si>
  <si>
    <t xml:space="preserve">        st.Cells(ST_REQ_HEAD + 8, STC_JDG_KEY).Value = "・新しいスキル列は、月間シフト作成時に左の表へ自動で追加されます。"</t>
  </si>
  <si>
    <t>1077</t>
  </si>
  <si>
    <t xml:space="preserve">        st.Cells(ST_REQ_HEAD + 9, STC_JDG_KEY).Value = "・最低人数を変えると、作成済みの月間シフトの判定も自動で変わります。"</t>
  </si>
  <si>
    <t>1078</t>
  </si>
  <si>
    <t xml:space="preserve">        With st.Range(st.Cells(ST_REQ_HEAD + 6, STC_JDG_KEY), st.Cells(ST_REQ_HEAD + 9, STC_JDG_KEY)).Font</t>
  </si>
  <si>
    <t>1079</t>
  </si>
  <si>
    <t xml:space="preserve">            .color = RGB(89, 89, 89)</t>
  </si>
  <si>
    <t>1080</t>
  </si>
  <si>
    <t xml:space="preserve">            .Size = 9</t>
  </si>
  <si>
    <t>1081</t>
  </si>
  <si>
    <t>1082</t>
  </si>
  <si>
    <t>1083</t>
  </si>
  <si>
    <t>1084</t>
  </si>
  <si>
    <t xml:space="preserve">    ' メンバーシートのスキルで未登録のものを追記</t>
  </si>
  <si>
    <t>1085</t>
  </si>
  <si>
    <t xml:space="preserve">    If gcSkillCnt = 0 Then</t>
  </si>
  <si>
    <t>1086</t>
  </si>
  <si>
    <t xml:space="preserve">        If Not LoadMemberCols(ThisWorkbook.Worksheets(SH_MEMBER)) Then Exit Sub</t>
  </si>
  <si>
    <t>1087</t>
  </si>
  <si>
    <t>1088</t>
  </si>
  <si>
    <t xml:space="preserve">    For k = 1 To gcSkillCnt</t>
  </si>
  <si>
    <t>1089</t>
  </si>
  <si>
    <t xml:space="preserve">        found = False</t>
  </si>
  <si>
    <t>1090</t>
  </si>
  <si>
    <t xml:space="preserve">        lastR = ST_REQ_HEAD</t>
  </si>
  <si>
    <t>1091</t>
  </si>
  <si>
    <t xml:space="preserve">        For r = ST_REQ_HEAD + 1 To ST_REQ_LAST</t>
  </si>
  <si>
    <t>1092</t>
  </si>
  <si>
    <t xml:space="preserve">            If Trim$(CStr(st.Cells(r, STC_REQ_NAME).Value)) &lt;&gt; "" Then</t>
  </si>
  <si>
    <t>1093</t>
  </si>
  <si>
    <t xml:space="preserve">                lastR = r</t>
  </si>
  <si>
    <t>1094</t>
  </si>
  <si>
    <t xml:space="preserve">                If Trim$(CStr(st.Cells(r, STC_REQ_NAME).Value)) = gcSkillName(k) Then found = True: Exit For</t>
  </si>
  <si>
    <t>1095</t>
  </si>
  <si>
    <t>1096</t>
  </si>
  <si>
    <t>1097</t>
  </si>
  <si>
    <t xml:space="preserve">        If Not found And lastR &lt; ST_REQ_LAST Then st.Cells(lastR + 1, STC_REQ_NAME).Value = gcSkillName(k)</t>
  </si>
  <si>
    <t>1098</t>
  </si>
  <si>
    <t>1099</t>
  </si>
  <si>
    <t>1100</t>
  </si>
  <si>
    <t>1101</t>
  </si>
  <si>
    <t>Private Sub SettingHeader(rg As Range)</t>
  </si>
  <si>
    <t>1102</t>
  </si>
  <si>
    <t xml:space="preserve">    With rg</t>
  </si>
  <si>
    <t>1103</t>
  </si>
  <si>
    <t>1104</t>
  </si>
  <si>
    <t>1105</t>
  </si>
  <si>
    <t>1106</t>
  </si>
  <si>
    <t>1107</t>
  </si>
  <si>
    <t>1108</t>
  </si>
  <si>
    <t>1109</t>
  </si>
  <si>
    <t>1110</t>
  </si>
  <si>
    <t>Public Function JudgeSetting(ByVal key As String, ByVal def As String) As String</t>
  </si>
  <si>
    <t>1111</t>
  </si>
  <si>
    <t xml:space="preserve">    Dim st As Worksheet, r As Long</t>
  </si>
  <si>
    <t>1112</t>
  </si>
  <si>
    <t>1113</t>
  </si>
  <si>
    <t xml:space="preserve">    JudgeSetting = def</t>
  </si>
  <si>
    <t>1114</t>
  </si>
  <si>
    <t xml:space="preserve">    For r = ST_REQ_HEAD + 1 To ST_REQ_HEAD + 20</t>
  </si>
  <si>
    <t>1115</t>
  </si>
  <si>
    <t xml:space="preserve">        If Trim$(CStr(st.Cells(r, STC_JDG_KEY).Value)) = key Then</t>
  </si>
  <si>
    <t>1116</t>
  </si>
  <si>
    <t xml:space="preserve">            If Trim$(CStr(st.Cells(r, STC_JDG_VAL).Value)) &lt;&gt; "" Then JudgeSetting = Trim$(CStr(st.Cells(r, STC_JDG_VAL).Value))</t>
  </si>
  <si>
    <t>1117</t>
  </si>
  <si>
    <t>1118</t>
  </si>
  <si>
    <t>1119</t>
  </si>
  <si>
    <t>1120</t>
  </si>
  <si>
    <t>1121</t>
  </si>
  <si>
    <t>1122</t>
  </si>
  <si>
    <t>' 設定シートの表だけ先に用意する（最低人数を入力するため）</t>
  </si>
  <si>
    <t>1123</t>
  </si>
  <si>
    <t>Public Sub SetupSkillSettings()</t>
  </si>
  <si>
    <t>1124</t>
  </si>
  <si>
    <t xml:space="preserve">    If LoadMemberCols(ThisWorkbook.Worksheets(SH_MEMBER)) Then EnsureSkillSettings</t>
  </si>
  <si>
    <t>1125</t>
  </si>
  <si>
    <t>1126</t>
  </si>
  <si>
    <t>1127</t>
  </si>
  <si>
    <t>1128</t>
  </si>
  <si>
    <t>' 勤務記号（設定シートから取得）</t>
  </si>
  <si>
    <t>1129</t>
  </si>
  <si>
    <t>'   公休の記号：集計区分が「公休」の最初の記号（祝日用を除く）。無ければ "休"</t>
  </si>
  <si>
    <t>1130</t>
  </si>
  <si>
    <t>'   祝日の記号：意味に「祝」を含む記号。無ければ "祝"</t>
  </si>
  <si>
    <t>1131</t>
  </si>
  <si>
    <t>1132</t>
  </si>
  <si>
    <t>Public Function OffCode() As String</t>
  </si>
  <si>
    <t>1133</t>
  </si>
  <si>
    <t xml:space="preserve">    Static cache As String, stamp As Single</t>
  </si>
  <si>
    <t>1134</t>
  </si>
  <si>
    <t xml:space="preserve">    If cache &lt;&gt; "" And Abs(Timer - stamp) &lt; 2 Then OffCode = cache: Exit Function</t>
  </si>
  <si>
    <t>1135</t>
  </si>
  <si>
    <t xml:space="preserve">    Dim st As Worksheet, r As Long, code As String</t>
  </si>
  <si>
    <t>1136</t>
  </si>
  <si>
    <t>1137</t>
  </si>
  <si>
    <t xml:space="preserve">    OffCode = "休"</t>
  </si>
  <si>
    <t>1138</t>
  </si>
  <si>
    <t>1139</t>
  </si>
  <si>
    <t>1140</t>
  </si>
  <si>
    <t xml:space="preserve">        If code &lt;&gt; "" And Trim$(CStr(st.Cells(r, STC_CODE_KIND).Value)) = "公休" _</t>
  </si>
  <si>
    <t>1141</t>
  </si>
  <si>
    <t xml:space="preserve">           And InStr(CStr(st.Cells(r, STC_CODE_DESC).Value), "祝") = 0 Then</t>
  </si>
  <si>
    <t>1142</t>
  </si>
  <si>
    <t xml:space="preserve">            OffCode = code</t>
  </si>
  <si>
    <t>1143</t>
  </si>
  <si>
    <t xml:space="preserve">            Exit For</t>
  </si>
  <si>
    <t>1144</t>
  </si>
  <si>
    <t>1145</t>
  </si>
  <si>
    <t>1146</t>
  </si>
  <si>
    <t xml:space="preserve">    cache = OffCode: stamp = Timer</t>
  </si>
  <si>
    <t>1147</t>
  </si>
  <si>
    <t>1148</t>
  </si>
  <si>
    <t>1149</t>
  </si>
  <si>
    <t>Public Function HolidayCode() As String</t>
  </si>
  <si>
    <t>1150</t>
  </si>
  <si>
    <t>1151</t>
  </si>
  <si>
    <t>1152</t>
  </si>
  <si>
    <t xml:space="preserve">    HolidayCode = "祝"</t>
  </si>
  <si>
    <t>1153</t>
  </si>
  <si>
    <t>1154</t>
  </si>
  <si>
    <t>1155</t>
  </si>
  <si>
    <t xml:space="preserve">        If code &lt;&gt; "" And InStr(CStr(st.Cells(r, STC_CODE_DESC).Value), "祝") &gt; 0 Then</t>
  </si>
  <si>
    <t>1156</t>
  </si>
  <si>
    <t xml:space="preserve">            HolidayCode = code</t>
  </si>
  <si>
    <t>1157</t>
  </si>
  <si>
    <t>1158</t>
  </si>
  <si>
    <t>1159</t>
  </si>
  <si>
    <t>1160</t>
  </si>
  <si>
    <t>1161</t>
  </si>
  <si>
    <t>1162</t>
  </si>
  <si>
    <t>' ②メンバーの列（見出しから検出した結果）を他のモジュールから使う</t>
  </si>
  <si>
    <t>1163</t>
  </si>
  <si>
    <t>Public Function LoadMemberColsPublic(ws As Worksheet) As Boolean</t>
  </si>
  <si>
    <t>1164</t>
  </si>
  <si>
    <t xml:space="preserve">    LoadMemberColsPublic = LoadMemberCols(ws)</t>
  </si>
  <si>
    <t>1165</t>
  </si>
  <si>
    <t>1166</t>
  </si>
  <si>
    <t>1167</t>
  </si>
  <si>
    <t>Public Function MemberNameCol() As Long</t>
  </si>
  <si>
    <t>1168</t>
  </si>
  <si>
    <t xml:space="preserve">    MemberNameCol = gcName</t>
  </si>
  <si>
    <t>1169</t>
  </si>
  <si>
    <t>1170</t>
  </si>
  <si>
    <t>1171</t>
  </si>
  <si>
    <t>Public Function MemberRoleCol() As Long</t>
  </si>
  <si>
    <t>1172</t>
  </si>
  <si>
    <t xml:space="preserve">    MemberRoleCol = gcRole</t>
  </si>
  <si>
    <t>1173</t>
  </si>
  <si>
    <t>1174</t>
  </si>
  <si>
    <t>1175</t>
  </si>
  <si>
    <t>' いつもの勤務時間（②で最初に時間が入っている曜日）。無ければ ""</t>
  </si>
  <si>
    <t>1176</t>
  </si>
  <si>
    <t>Public Function DefaultShiftText(ws As Worksheet, ByVal r As Long) As String</t>
  </si>
  <si>
    <t>1177</t>
  </si>
  <si>
    <t xml:space="preserve">    Dim i As Long, t As String</t>
  </si>
  <si>
    <t>1178</t>
  </si>
  <si>
    <t>1179</t>
  </si>
  <si>
    <t xml:space="preserve">        If gcDay(i) &gt; 0 Then</t>
  </si>
  <si>
    <t>1180</t>
  </si>
  <si>
    <t xml:space="preserve">            t = ShiftText(ws.Cells(r, gcDay(i)).Value, ws.Cells(r, gcDay(i) + 1).Value)</t>
  </si>
  <si>
    <t>1181</t>
  </si>
  <si>
    <t xml:space="preserve">            If InStr(t, "-") &gt; 0 Then DefaultShiftText = t: Exit Function</t>
  </si>
  <si>
    <t>1182</t>
  </si>
  <si>
    <t>1183</t>
  </si>
  <si>
    <t>1184</t>
  </si>
  <si>
    <t>1185</t>
  </si>
  <si>
    <t>1186</t>
  </si>
  <si>
    <t>' ②メンバーのスキル列：スキル名 → 列番号（LoadMemberCols の後に使う）</t>
  </si>
  <si>
    <t>1187</t>
  </si>
  <si>
    <t>Public Function MemberSkillCols() As Object</t>
  </si>
  <si>
    <t>1188</t>
  </si>
  <si>
    <t xml:space="preserve">    Dim d As Object, i As Long</t>
  </si>
  <si>
    <t>1189</t>
  </si>
  <si>
    <t>1190</t>
  </si>
  <si>
    <t xml:space="preserve">    For i = 1 To gcSkillCnt</t>
  </si>
  <si>
    <t>1191</t>
  </si>
  <si>
    <t xml:space="preserve">        d(gcSkillName(i)) = gcSkill(i)</t>
  </si>
  <si>
    <t>1192</t>
  </si>
  <si>
    <t>1193</t>
  </si>
  <si>
    <t xml:space="preserve">    Set MemberSkillCols = d</t>
  </si>
  <si>
    <t>1194</t>
  </si>
  <si>
    <t>1195</t>
  </si>
  <si>
    <t>1196</t>
  </si>
  <si>
    <t>' ②メンバーの休憩（1組目）を分で返す。無ければ False</t>
  </si>
  <si>
    <t>1197</t>
  </si>
  <si>
    <t>1198</t>
  </si>
  <si>
    <t xml:space="preserve">    Dim s As Variant, e As Variant</t>
  </si>
  <si>
    <t>1199</t>
  </si>
  <si>
    <t xml:space="preserve">    If gcBrkCnt &lt; 1 Then Exit Function</t>
  </si>
  <si>
    <t>1200</t>
  </si>
  <si>
    <t xml:space="preserve">    If gcBrkE(1) = 0 Then Exit Function</t>
  </si>
  <si>
    <t>1201</t>
  </si>
  <si>
    <t xml:space="preserve">    s = ws.Cells(r, gcBrkS(1)).Value</t>
  </si>
  <si>
    <t>1202</t>
  </si>
  <si>
    <t xml:space="preserve">    e = ws.Cells(r, gcBrkE(1)).Value</t>
  </si>
  <si>
    <t>1203</t>
  </si>
  <si>
    <t xml:space="preserve">    If IsEmpty(s) Or IsEmpty(e) Or Not IsNumeric(s) Or Not IsNumeric(e) Then Exit Function</t>
  </si>
  <si>
    <t>1204</t>
  </si>
  <si>
    <t xml:space="preserve">    If VarType(s) = vbString Or VarType(e) = vbString Then Exit Function</t>
  </si>
  <si>
    <t>1205</t>
  </si>
  <si>
    <t>1206</t>
  </si>
  <si>
    <t>1207</t>
  </si>
  <si>
    <t>1208</t>
  </si>
  <si>
    <t>■ modTime</t>
  </si>
  <si>
    <t>' タイムシフト：月間シフトから作成（1日＝1ブロックを縦に並べる）</t>
  </si>
  <si>
    <t>'   まずは公休・有給扱い（設定の集計区分）の日を、全時間枠に表示</t>
  </si>
  <si>
    <t>Public Const TIME_PREFIX As String = "⑥タイム_"</t>
  </si>
  <si>
    <t>Public Const TC_AUTO As Long = 18               ' R 自動で入れた値の記録（非表示）：枠1|枠2|…|枠10|電話</t>
  </si>
  <si>
    <t>Public gRefreshMsg As String                    ' 休暇を再反映の結果（ポップアップ用）</t>
  </si>
  <si>
    <t>Public Const TS_FIRST_HOUR As Long = 8</t>
  </si>
  <si>
    <t>Public Const TS_LAST_HOUR As Long = 18          ' 17:00～18:00 の枠まで</t>
  </si>
  <si>
    <t>Public Const TC_NO As Long = 1                  ' A</t>
  </si>
  <si>
    <t>Public Const TC_NAME As Long = 2                ' B</t>
  </si>
  <si>
    <t>Public Const TC_ROLE As Long = 3                ' C</t>
  </si>
  <si>
    <t>Public Const TC_PHONE As Long = 4               ' D 電話当番</t>
  </si>
  <si>
    <t>Public Const TC_SLOT1 As Long = 5               ' E～N 時間枠</t>
  </si>
  <si>
    <t>Public Const TC_TOP As Long = 16                ' P 「▲上へ」</t>
  </si>
  <si>
    <t>Public Const TC_META As Long = 17               ' Q 日付（非表示・再反映用）</t>
  </si>
  <si>
    <t>Public Const TS_JUMP_ROW As Long = 4            ' 日付ジャンプ（4～6行目）</t>
  </si>
  <si>
    <t>Public Const TS_BLOCK_TOP As Long = 8           ' 最初の日のブロック見出し行</t>
  </si>
  <si>
    <t>Public Const PHONE_MARK As String = "○"</t>
  </si>
  <si>
    <t>Public Function TsSlotCount() As Long</t>
  </si>
  <si>
    <t xml:space="preserve">    TsSlotCount = TS_LAST_HOUR - TS_FIRST_HOUR</t>
  </si>
  <si>
    <t>Public Function TcNote() As Long</t>
  </si>
  <si>
    <t xml:space="preserve">    TcNote = TC_SLOT1 + TsSlotCount()           ' O 備考</t>
  </si>
  <si>
    <t>'--------------------------------------------------------------</t>
  </si>
  <si>
    <t>' 月間シフトシートのボタンから実行</t>
  </si>
  <si>
    <t>Public Sub CreateTimeShiftFromActive()</t>
  </si>
  <si>
    <t xml:space="preserve">    If Left$(ActiveSheet.Name, Len(MONTHLY_PREFIX)) &lt;&gt; MONTHLY_PREFIX Then</t>
  </si>
  <si>
    <t xml:space="preserve">        Notify "月間シフトのシート（" &amp; MONTHLY_PREFIX &amp; "～）で実行してください。", vbExclamation, "⑥ タイムシフト作成"</t>
  </si>
  <si>
    <t xml:space="preserve">    CreateTimeShift ActiveSheet</t>
  </si>
  <si>
    <t>' テスト用</t>
  </si>
  <si>
    <t>Public Sub TestTimeShift(ByVal monthlyName As String)</t>
  </si>
  <si>
    <t xml:space="preserve">    CreateTimeShift ThisWorkbook.Worksheets(monthlyName)</t>
  </si>
  <si>
    <t>Public Sub CreateTimeShift(wsMon As Worksheet)</t>
  </si>
  <si>
    <t xml:space="preserve">    Dim wb As Workbook, ts As Worksheet, tName As String, ans As VbMsgBoxResult</t>
  </si>
  <si>
    <t xml:space="preserve">    Dim dStart As Date, dEnd As Date, nDays As Long, nMem As Long</t>
  </si>
  <si>
    <t xml:space="preserve">    Dim i As Long, k As Long, r As Long, c As Long, hr As Long, d As Date</t>
  </si>
  <si>
    <t xml:space="preserve">    Dim hol As Object, lastRow As Long, nSlot As Long, cNote As Long</t>
  </si>
  <si>
    <t xml:space="preserve">    Dim label As String, fillC As Long</t>
  </si>
  <si>
    <t xml:space="preserve">    tName = TIME_PREFIX &amp; Mid$(wsMon.Name, Len(MONTHLY_PREFIX) + 1)</t>
  </si>
  <si>
    <t xml:space="preserve">    ' ---- 月間シフトの範囲を読む ----</t>
  </si>
  <si>
    <t xml:space="preserve">    If Not IsNumeric(wsMon.Range("A2").Value2) Or IsEmpty(wsMon.Range("A2").Value2) Then</t>
  </si>
  <si>
    <t xml:space="preserve">        Notify "この月間シフトは古い形式のため、開始日が分かりません。" &amp; vbLf &amp; _</t>
  </si>
  <si>
    <t xml:space="preserve">               "「④ 月間シフト作成」でもう一度作成してから実行してください。", vbExclamation, "⑥ タイムシフト作成"</t>
  </si>
  <si>
    <t xml:space="preserve">    dStart = CDate(wsMon.Range("A2").Value2)</t>
  </si>
  <si>
    <t xml:space="preserve">    c = SC_DAY1</t>
  </si>
  <si>
    <t xml:space="preserve">    Do While IsNumeric(wsMon.Cells(S_DATE_ROW, c).Value2) And Not IsEmpty(wsMon.Cells(S_DATE_ROW, c).Value2)</t>
  </si>
  <si>
    <t xml:space="preserve">        c = c + 1</t>
  </si>
  <si>
    <t xml:space="preserve">    Loop</t>
  </si>
  <si>
    <t xml:space="preserve">    nDays = c - SC_DAY1</t>
  </si>
  <si>
    <t xml:space="preserve">    r = S_FIRST_ROW</t>
  </si>
  <si>
    <t xml:space="preserve">    Do While IsNumeric(wsMon.Cells(r, SC_NO).Value2) And Not IsEmpty(wsMon.Cells(r, SC_NO).Value2)</t>
  </si>
  <si>
    <t xml:space="preserve">        r = r + 1</t>
  </si>
  <si>
    <t xml:space="preserve">    nMem = r - S_FIRST_ROW</t>
  </si>
  <si>
    <t xml:space="preserve">    If nDays = 0 Or nMem = 0 Then</t>
  </si>
  <si>
    <t xml:space="preserve">        Notify "月間シフトに日付またはメンバーがありません。", vbExclamation, "⑥ タイムシフト作成"</t>
  </si>
  <si>
    <t xml:space="preserve">    dEnd = dStart + nDays - 1</t>
  </si>
  <si>
    <t xml:space="preserve">    ' ---- 既存シート ----</t>
  </si>
  <si>
    <t xml:space="preserve">    If SheetExists(tName) Then</t>
  </si>
  <si>
    <t xml:space="preserve">        ans = Notify("「" &amp; tName &amp; "」はすでにあります。どうしますか？" &amp; vbLf &amp; vbLf &amp; _</t>
  </si>
  <si>
    <t xml:space="preserve">                     "【はい】休暇の反映だけ行う（おすすめ）" &amp; vbLf &amp; _</t>
  </si>
  <si>
    <t xml:space="preserve">                     "　休みの枠の業務は消え、終日休みの人の電話当番の○を外します。" &amp; vbLf &amp; _</t>
  </si>
  <si>
    <t xml:space="preserve">                     "　それ以外の業務・○・備考は、自動・手入力とも残ります。" &amp; vbLf &amp; vbLf &amp; _</t>
  </si>
  <si>
    <t xml:space="preserve">                     "【いいえ】作り直す" &amp; vbLf &amp; _</t>
  </si>
  <si>
    <t xml:space="preserve">                     "　電話当番・業務・備考など、自動で入れたものも手入力もすべて消えます。" &amp; vbLf &amp; vbLf &amp; _</t>
  </si>
  <si>
    <t xml:space="preserve">                     "【キャンセル】何もしない", vbYesNoCancel + vbQuestion, "⑥ タイムシフト作成")</t>
  </si>
  <si>
    <t xml:space="preserve">        If ans = vbCancel Then Exit Sub</t>
  </si>
  <si>
    <t xml:space="preserve">        If ans = vbYes Then</t>
  </si>
  <si>
    <t xml:space="preserve">            RefreshTimeShift wb.Worksheets(tName)</t>
  </si>
  <si>
    <t xml:space="preserve">            wb.Worksheets(tName).Activate</t>
  </si>
  <si>
    <t xml:space="preserve">            Notify "休暇を反映しました。" &amp; vbLf &amp; vbLf &amp; gRefreshMsg, vbInformation, "⑥ タイムシフト作成"</t>
  </si>
  <si>
    <t xml:space="preserve">            Exit Sub</t>
  </si>
  <si>
    <t xml:space="preserve">        If Notify("本当に「" &amp; tName &amp; "」を作り直しますか？" &amp; vbLf &amp; vbLf &amp; _</t>
  </si>
  <si>
    <t xml:space="preserve">                  "電話当番・業務・備考など、このシートの内容はすべて消えます（元に戻せません）。" &amp; vbLf &amp; _</t>
  </si>
  <si>
    <t xml:space="preserve">                  "作り直したあとは「⑦ 電話・業務を割り振る」からやり直しになります。", _</t>
  </si>
  <si>
    <t xml:space="preserve">                  vbYesNo + vbExclamation + vbDefaultButton2, "⑥ タイムシフト作成") = vbNo Then Exit Sub</t>
  </si>
  <si>
    <t xml:space="preserve">        wb.Worksheets(tName).Delete</t>
  </si>
  <si>
    <t xml:space="preserve">    nSlot = TsSlotCount()</t>
  </si>
  <si>
    <t xml:space="preserve">    cNote = TcNote()</t>
  </si>
  <si>
    <t xml:space="preserve">    Set ts = wb.Worksheets.Add(After:=wsMon)</t>
  </si>
  <si>
    <t xml:space="preserve">    ts.Name = tName</t>
  </si>
  <si>
    <t xml:space="preserve">    ts.Tab.color = RGB(112, 48, 160)</t>
  </si>
  <si>
    <t xml:space="preserve">    ts.Cells.Font.Name = APP_FONT</t>
  </si>
  <si>
    <t xml:space="preserve">    ts.Cells.Font.Size = 10</t>
  </si>
  <si>
    <t xml:space="preserve">    ' ---- タイトル部 ----</t>
  </si>
  <si>
    <t xml:space="preserve">    ts.Hyperlinks.Add Anchor:=ts.Range("A1"), Address:="", SubAddress:="'" &amp; SH_COVER &amp; "'!A1", TextToDisplay:=IcoBack &amp; " 表紙へ"</t>
  </si>
  <si>
    <t xml:space="preserve">    ts.Range("A2").Value = dStart:            ts.Range("A2").NumberFormat = ";;;"</t>
  </si>
  <si>
    <t xml:space="preserve">    ts.Range("A3").Value = wsMon.Name:        ts.Range("A3").NumberFormat = ";;;"</t>
  </si>
  <si>
    <t xml:space="preserve">    With ts.Range("C1")</t>
  </si>
  <si>
    <t xml:space="preserve">        .Value = "⑥ タイムシフト　" &amp; Format(dStart, "yyyy/m/d") &amp; "（" &amp; WeekdayJ(dStart) &amp; "）～ " &amp; _</t>
  </si>
  <si>
    <t xml:space="preserve">                 Format(dEnd, "yyyy/m/d") &amp; "（" &amp; WeekdayJ(dEnd) &amp; "）　" &amp; TS_FIRST_HOUR &amp; ":00～" &amp; TS_LAST_HOUR &amp; ":00"</t>
  </si>
  <si>
    <t xml:space="preserve">        .Font.Size = 14</t>
  </si>
  <si>
    <t xml:space="preserve">    ts.Hyperlinks.Add Anchor:=ts.Range("C2"), Address:="", SubAddress:="'" &amp; wsMon.Name &amp; "'!A1", _</t>
  </si>
  <si>
    <t xml:space="preserve">        TextToDisplay:=IcoNext &amp; " 元の月間シフト（" &amp; Mid$(wsMon.Name, Len(MONTHLY_PREFIX) + 1) &amp; "）へ"</t>
  </si>
  <si>
    <t xml:space="preserve">    LegendLeaveCodes ts, 2, TC_SLOT1 + 3</t>
  </si>
  <si>
    <t xml:space="preserve">    ' ---- 日付ジャンプ（11日ずつ3行：電話当番～17:00 の列） ----</t>
  </si>
  <si>
    <t xml:space="preserve">    ts.Cells(TS_JUMP_ROW, TC_NAME).Value = "日付へ移動 " &amp; IcoNext</t>
  </si>
  <si>
    <t xml:space="preserve">    ts.Cells(TS_JUMP_ROW, TC_NAME).Font.color = RGB(118, 118, 118)</t>
  </si>
  <si>
    <t xml:space="preserve">    ts.Cells(TS_JUMP_ROW, TC_NAME).HorizontalAlignment = xlRight</t>
  </si>
  <si>
    <t xml:space="preserve">    ' ---- 日ごとのブロック ----</t>
  </si>
  <si>
    <t xml:space="preserve">    hr = TS_BLOCK_TOP</t>
  </si>
  <si>
    <t xml:space="preserve">        label = Month(d) &amp; "/" &amp; Day(d) &amp; "（" &amp; WeekdayJ(d) &amp; "）"</t>
  </si>
  <si>
    <t xml:space="preserve">        If hol.Exists(CLng(d)) Then label = label &amp; " " &amp; hol(CLng(d))</t>
  </si>
  <si>
    <t xml:space="preserve">        If hol.Exists(CLng(d)) Or Weekday(d) = vbSunday Then</t>
  </si>
  <si>
    <t xml:space="preserve">            fillC = RGB(192, 0, 0)</t>
  </si>
  <si>
    <t xml:space="preserve">        ElseIf Weekday(d) = vbSaturday Then</t>
  </si>
  <si>
    <t xml:space="preserve">            fillC = RGB(47, 117, 181)</t>
  </si>
  <si>
    <t xml:space="preserve">            fillC = RGB(31, 78, 121)</t>
  </si>
  <si>
    <t xml:space="preserve">        ' 見出し行</t>
  </si>
  <si>
    <t xml:space="preserve">        ts.Range(ts.Cells(hr, TC_NO), ts.Cells(hr, TC_ROLE)).Merge</t>
  </si>
  <si>
    <t xml:space="preserve">        With ts.Cells(hr, TC_NO)</t>
  </si>
  <si>
    <t xml:space="preserve">            .Value = label</t>
  </si>
  <si>
    <t xml:space="preserve">            .Font.Bold = True</t>
  </si>
  <si>
    <t xml:space="preserve">            .Font.color = vbWhite</t>
  </si>
  <si>
    <t xml:space="preserve">            .HorizontalAlignment = xlLeft</t>
  </si>
  <si>
    <t xml:space="preserve">            .IndentLevel = 1</t>
  </si>
  <si>
    <t xml:space="preserve">        ts.Range(ts.Cells(hr, TC_NO), ts.Cells(hr, TC_ROLE)).Interior.color = fillC</t>
  </si>
  <si>
    <t xml:space="preserve">        ts.Cells(hr, TC_PHONE).Value = "電話" &amp; vbLf &amp; "当番"</t>
  </si>
  <si>
    <t xml:space="preserve">        For k = 0 To nSlot - 1</t>
  </si>
  <si>
    <t xml:space="preserve">            ts.Cells(hr, TC_SLOT1 + k).Value = (TS_FIRST_HOUR + k) &amp; ":00"</t>
  </si>
  <si>
    <t xml:space="preserve">        Next k</t>
  </si>
  <si>
    <t xml:space="preserve">        ts.Cells(hr, cNote).Value = "備考"</t>
  </si>
  <si>
    <t xml:space="preserve">        With ts.Range(ts.Cells(hr, TC_PHONE), ts.Cells(hr, cNote))</t>
  </si>
  <si>
    <t xml:space="preserve">            .Interior.color = RGB(221, 235, 247)</t>
  </si>
  <si>
    <t xml:space="preserve">            .WrapText = True</t>
  </si>
  <si>
    <t xml:space="preserve">        ts.Rows(hr).RowHeight = 26</t>
  </si>
  <si>
    <t xml:space="preserve">        ts.Cells(hr, TC_META).Value = CLng(d)</t>
  </si>
  <si>
    <t xml:space="preserve">        ts.Hyperlinks.Add Anchor:=ts.Cells(hr, TC_TOP), Address:="", SubAddress:="'" &amp; tName &amp; "'!A" &amp; (TS_BLOCK_TOP - 1), TextToDisplay:="▲"</t>
  </si>
  <si>
    <t xml:space="preserve">        ts.Cells(hr, TC_TOP).HorizontalAlignment = xlCenter</t>
  </si>
  <si>
    <t xml:space="preserve">        ' メンバー行</t>
  </si>
  <si>
    <t xml:space="preserve">        For k = 1 To nMem</t>
  </si>
  <si>
    <t xml:space="preserve">            r = hr + k</t>
  </si>
  <si>
    <t xml:space="preserve">            ts.Cells(r, TC_NO).Value = k</t>
  </si>
  <si>
    <t xml:space="preserve">            ts.Cells(r, TC_NAME).Value = wsMon.Cells(S_FIRST_ROW + k - 1, SC_NAME).Value</t>
  </si>
  <si>
    <t xml:space="preserve">            ts.Cells(r, TC_ROLE).Value = wsMon.Cells(S_FIRST_ROW + k - 1, SC_ROLE).Value</t>
  </si>
  <si>
    <t xml:space="preserve">            ts.Cells(r, TC_ROLE).Interior.color = RoleColor(CStr(ts.Cells(r, TC_ROLE).Value))</t>
  </si>
  <si>
    <t xml:space="preserve">            ts.Cells(r, TC_META).Value = CLng(d)</t>
  </si>
  <si>
    <t xml:space="preserve">        With ts.Cells(hr + 1, TC_PHONE).Resize(nMem, 1).Validation</t>
  </si>
  <si>
    <t xml:space="preserve">            .Add Type:=xlValidateList, AlertStyle:=xlValidAlertStop, Formula1:=PHONE_MARK</t>
  </si>
  <si>
    <t xml:space="preserve">        With ts.Range(ts.Cells(hr, TC_NO), ts.Cells(hr + nMem, cNote))</t>
  </si>
  <si>
    <t xml:space="preserve">            .BorderAround xlContinuous, xlMedium, , RGB(89, 89, 89)</t>
  </si>
  <si>
    <t xml:space="preserve">        ts.Range(ts.Cells(hr, TC_PHONE), ts.Cells(hr + nMem, TC_PHONE)).Borders(xlEdgeRight).Weight = xlMedium</t>
  </si>
  <si>
    <t xml:space="preserve">        ts.Range(ts.Cells(hr, cNote), ts.Cells(hr + nMem, cNote)).Borders(xlEdgeLeft).Weight = xlMedium</t>
  </si>
  <si>
    <t xml:space="preserve">        ' 日付ジャンプ</t>
  </si>
  <si>
    <t xml:space="preserve">        With ts.Cells(TS_JUMP_ROW + (i \ 11), TC_PHONE + (i Mod 11))</t>
  </si>
  <si>
    <t xml:space="preserve">            ts.Hyperlinks.Add Anchor:=.Cells(1, 1), Address:="", SubAddress:="'" &amp; tName &amp; "'!A" &amp; hr, TextToDisplay:=CStr(Day(d))</t>
  </si>
  <si>
    <t xml:space="preserve">            .Font.Underline = xlUnderlineStyleNone</t>
  </si>
  <si>
    <t xml:space="preserve">            .Font.color = fillC</t>
  </si>
  <si>
    <t xml:space="preserve">            .Interior.color = RGB(242, 242, 242)</t>
  </si>
  <si>
    <t xml:space="preserve">            .Borders.color = RGB(217, 217, 217)</t>
  </si>
  <si>
    <t xml:space="preserve">        hr = hr + nMem + 2</t>
  </si>
  <si>
    <t xml:space="preserve">    lastRow = hr - 2</t>
  </si>
  <si>
    <t xml:space="preserve">    ' ---- 全体の書式 ----</t>
  </si>
  <si>
    <t xml:space="preserve">    With ts.Range(ts.Cells(TS_BLOCK_TOP, TC_NO), ts.Cells(lastRow, TC_ROLE))</t>
  </si>
  <si>
    <t xml:space="preserve">    ts.Range(ts.Cells(TS_BLOCK_TOP, TC_NAME), ts.Cells(lastRow, TC_NAME)).HorizontalAlignment = xlLeft</t>
  </si>
  <si>
    <t xml:space="preserve">    With ts.Range(ts.Cells(TS_BLOCK_TOP, TC_PHONE), ts.Cells(lastRow, cNote - 1))</t>
  </si>
  <si>
    <t xml:space="preserve">    ts.Range(ts.Cells(TS_BLOCK_TOP, cNote), ts.Cells(lastRow, cNote)).HorizontalAlignment = xlLeft</t>
  </si>
  <si>
    <t xml:space="preserve">    ts.Range(ts.Cells(TS_BLOCK_TOP, cNote), ts.Cells(lastRow, cNote)).WrapText = False</t>
  </si>
  <si>
    <t xml:space="preserve">    ' 時間枠：勤務記号の色（設定シート）</t>
  </si>
  <si>
    <t xml:space="preserve">    ApplyCodeFormatsTo ts.Range(ts.Cells(TS_BLOCK_TOP, TC_SLOT1), ts.Cells(lastRow, cNote - 1))</t>
  </si>
  <si>
    <t xml:space="preserve">    ' 電話当番：○ を強調</t>
  </si>
  <si>
    <t xml:space="preserve">    Dim fc As FormatCondition</t>
  </si>
  <si>
    <t xml:space="preserve">    With ts.Range(ts.Cells(TS_BLOCK_TOP, TC_PHONE), ts.Cells(lastRow, TC_PHONE))</t>
  </si>
  <si>
    <t xml:space="preserve">        .FormatConditions.Delete</t>
  </si>
  <si>
    <t xml:space="preserve">        Set fc = .FormatConditions.Add(Type:=xlCellValue, Operator:=xlEqual, Formula1:="=""" &amp; PHONE_MARK &amp; """")</t>
  </si>
  <si>
    <t xml:space="preserve">        fc.Interior.color = RGB(255, 230, 153)</t>
  </si>
  <si>
    <t xml:space="preserve">        fc.Font.Bold = True</t>
  </si>
  <si>
    <t xml:space="preserve">        fc.Font.color = RGB(128, 96, 0)</t>
  </si>
  <si>
    <t xml:space="preserve">    ts.Columns(TC_NO).ColumnWidth = 4</t>
  </si>
  <si>
    <t xml:space="preserve">    ts.Columns(TC_NAME).ColumnWidth = 12</t>
  </si>
  <si>
    <t xml:space="preserve">    ts.Columns(TC_ROLE).ColumnWidth = 6</t>
  </si>
  <si>
    <t xml:space="preserve">    ts.Columns(TC_PHONE).ColumnWidth = 6</t>
  </si>
  <si>
    <t xml:space="preserve">    ts.Range(ts.Columns(TC_SLOT1), ts.Columns(cNote - 1)).ColumnWidth = 6.5</t>
  </si>
  <si>
    <t xml:space="preserve">    ts.Columns(cNote).ColumnWidth = 40</t>
  </si>
  <si>
    <t xml:space="preserve">    ts.Columns(TC_TOP).ColumnWidth = 4</t>
  </si>
  <si>
    <t xml:space="preserve">    ts.Columns(TC_META).Hidden = True</t>
  </si>
  <si>
    <t xml:space="preserve">    ts.Columns(TC_AUTO).Hidden = True</t>
  </si>
  <si>
    <t xml:space="preserve">    MakeButton ts, ts.Cells(1, cNote).Left + 4, 3, 170, 30, IcoRefresh &amp; " 休暇を再反映", RGB(112, 48, 160), "RefreshActiveTimeShift"</t>
  </si>
  <si>
    <t xml:space="preserve">    AddTaskButtons ts</t>
  </si>
  <si>
    <t xml:space="preserve">    ' 休みを反映</t>
  </si>
  <si>
    <t xml:space="preserve">    RefreshTimeShift ts, True</t>
  </si>
  <si>
    <t xml:space="preserve">    ts.Activate</t>
  </si>
  <si>
    <t xml:space="preserve">    ts.Range("A" &amp; (TS_BLOCK_TOP - 1)).Select</t>
  </si>
  <si>
    <t xml:space="preserve">    ActiveWindow.Zoom = 100</t>
  </si>
  <si>
    <t xml:space="preserve">    ts.Range("A1").Select</t>
  </si>
  <si>
    <t xml:space="preserve">    With ts.PageSetup</t>
  </si>
  <si>
    <t xml:space="preserve">        .Orientation = xlPortrait</t>
  </si>
  <si>
    <t xml:space="preserve">        .CenterHeader = tName</t>
  </si>
  <si>
    <t xml:space="preserve">        .PrintArea = ts.Range(ts.Cells(1, TC_NO), ts.Cells(lastRow, cNote)).Address</t>
  </si>
  <si>
    <t xml:space="preserve">    Notify "「" &amp; tName &amp; "」を作成しました。" &amp; vbLf &amp; vbLf &amp; _</t>
  </si>
  <si>
    <t xml:space="preserve">           "・休み（公休・有給扱い、③の時間単位の休み）を時間枠に表示しています" &amp; vbLf &amp; _</t>
  </si>
  <si>
    <t xml:space="preserve">           "・上の日付を押すと、その日へ移動します" &amp; vbLf &amp; vbLf &amp; _</t>
  </si>
  <si>
    <t xml:space="preserve">           "次へ：右上の「⑦ 電話・業務を割り振る」", vbInformation, "⑥ タイムシフト作成"</t>
  </si>
  <si>
    <t>' 休暇の表示を再反映（⑤月間シフト＋③休暇管理）</t>
  </si>
  <si>
    <t>'   ・月間シフトが公休/有給扱いの記号、または③で終日の休暇 → 全時間枠にその記号</t>
  </si>
  <si>
    <t>'   ・③で時間単位の休暇 → その時間の枠だけ記号</t>
  </si>
  <si>
    <t>'   ・それ以外の枠 → 前に入れた休暇の記号だけ消す（手入力は残す）</t>
  </si>
  <si>
    <t>'   ・終日休みの人 → 電話当番の○を外す（出勤に戻っても○・業務は戻さない。手で直す）</t>
  </si>
  <si>
    <t>Public Sub RefreshActiveTimeShift()</t>
  </si>
  <si>
    <t xml:space="preserve">    If Left$(ActiveSheet.Name, Len(TIME_PREFIX)) &lt;&gt; TIME_PREFIX Then</t>
  </si>
  <si>
    <t xml:space="preserve">        Notify "タイムシフトのシート（" &amp; TIME_PREFIX &amp; "～）で実行してください。", vbExclamation, "⑥ 休暇を再反映"</t>
  </si>
  <si>
    <t xml:space="preserve">    If Notify(RefreshExplain(ActiveSheet.Name) &amp; vbLf &amp; vbLf &amp; "実行しますか？", vbYesNo + vbQuestion, "⑥ 休暇を再反映") = vbNo Then Exit Sub</t>
  </si>
  <si>
    <t xml:space="preserve">    RefreshTimeShift ActiveSheet</t>
  </si>
  <si>
    <t xml:space="preserve">    Notify "休暇を反映しました。" &amp; vbLf &amp; vbLf &amp; gRefreshMsg &amp; vbLf &amp; vbLf &amp; _</t>
  </si>
  <si>
    <t xml:space="preserve">           "⑧配分一覧・⑨時間集計は、それぞれの更新ボタンで数え直してください。", vbInformation, "⑥ 休暇を再反映"</t>
  </si>
  <si>
    <t>' 「休暇を再反映」で何が変わるかの説明（確認ポップアップ用）</t>
  </si>
  <si>
    <t>Public Function RefreshExplain(ByVal tName As String) As String</t>
  </si>
  <si>
    <t xml:space="preserve">    RefreshExplain = "③休暇管理と⑤月間シフトの休みを「" &amp; tName &amp; "」に反映します。" &amp; vbLf &amp; vbLf &amp; _</t>
  </si>
  <si>
    <t xml:space="preserve">        "【変わるもの】" &amp; vbLf &amp; _</t>
  </si>
  <si>
    <t xml:space="preserve">        "・休みの時間の枠 → 「" &amp; LeaveOffCode() &amp; "」などの記号に置き換え" &amp; vbLf &amp; _</t>
  </si>
  <si>
    <t xml:space="preserve">        "　（その枠の業務は、自動で入れたものも手入力も消えます）" &amp; vbLf &amp; _</t>
  </si>
  <si>
    <t xml:space="preserve">        "・終日休みの人 → 電話当番の○を外します（自動・手入力とも）" &amp; vbLf &amp; _</t>
  </si>
  <si>
    <t xml:space="preserve">        "・休みでなくなった枠 → 記号を消して空欄に（業務や○は戻りません）" &amp; vbLf &amp; vbLf &amp; _</t>
  </si>
  <si>
    <t xml:space="preserve">        "【変わらないもの】" &amp; vbLf &amp; _</t>
  </si>
  <si>
    <t xml:space="preserve">        "・休みと重ならない枠の業務（自動・手入力とも）" &amp; vbLf &amp; _</t>
  </si>
  <si>
    <t xml:space="preserve">        "・休みでない人の電話当番の○、備考" &amp; vbLf &amp; vbLf &amp; _</t>
  </si>
  <si>
    <t xml:space="preserve">        "※空いた業務・電話当番は補充しません。終わったあと手で直してください。"</t>
  </si>
  <si>
    <t>Public Sub RefreshTimeShift(ts As Worksheet, Optional ByVal quiet As Boolean = False)</t>
  </si>
  <si>
    <t xml:space="preserve">    Dim wsMon As Worksheet, monName As String, leave As Object</t>
  </si>
  <si>
    <t xml:space="preserve">    Dim nameRow As Object, dateCol As Object, r As Long, lastRow As Long, c As Long</t>
  </si>
  <si>
    <t xml:space="preserve">    Dim nm As String, dKey As Long, code As String, v As Variant, k As Long, nSlot As Long</t>
  </si>
  <si>
    <t xml:space="preserve">    Dim su As Boolean, lv As Object, allCodes As Object, fullCode As String, ent As Variant</t>
  </si>
  <si>
    <t xml:space="preserve">    Dim slotS As Long, slotCode As String, old As String</t>
  </si>
  <si>
    <t xml:space="preserve">    Dim nAdd As Long, nLost As Long, nPhone As Long, nClear As Long, lostList As String, phoneList As String</t>
  </si>
  <si>
    <t xml:space="preserve">    gRefreshMsg = ""</t>
  </si>
  <si>
    <t xml:space="preserve">    monName = CStr(ts.Range("A3").Value)</t>
  </si>
  <si>
    <t xml:space="preserve">    If Not SheetExists(monName) Then</t>
  </si>
  <si>
    <t xml:space="preserve">        Notify "元の月間シフト「" &amp; monName &amp; "」が見つかりません。", vbExclamation, "⑥ 休暇を再反映"</t>
  </si>
  <si>
    <t xml:space="preserve">    Set wsMon = ThisWorkbook.Worksheets(monName)</t>
  </si>
  <si>
    <t xml:space="preserve">    Set leave = LeaveCodes()</t>
  </si>
  <si>
    <t xml:space="preserve">    Set allCodes = AllWorkCodes()</t>
  </si>
  <si>
    <t xml:space="preserve">    Set nameRow = CreateObject("Scripting.Dictionary")</t>
  </si>
  <si>
    <t xml:space="preserve">    Set dateCol = CreateObject("Scripting.Dictionary")</t>
  </si>
  <si>
    <t xml:space="preserve">        nm = Trim$(CStr(wsMon.Cells(r, SC_NAME).Value))</t>
  </si>
  <si>
    <t xml:space="preserve">        If Not nameRow.Exists(nm) Then nameRow.Add nm, r</t>
  </si>
  <si>
    <t xml:space="preserve">        dateCol(CLng(wsMon.Cells(S_DATE_ROW, c).Value2)) = c</t>
  </si>
  <si>
    <t xml:space="preserve">    lastRow = ts.Cells(ts.Rows.Count, TC_META).End(xlUp).row</t>
  </si>
  <si>
    <t xml:space="preserve">    For r = TS_BLOCK_TOP To lastRow</t>
  </si>
  <si>
    <t xml:space="preserve">        If IsNumeric(ts.Cells(r, TC_NO).Value2) And Not IsEmpty(ts.Cells(r, TC_NO).Value2) _</t>
  </si>
  <si>
    <t xml:space="preserve">           And IsNumeric(ts.Cells(r, TC_META).Value2) And Not IsEmpty(ts.Cells(r, TC_META).Value2) Then</t>
  </si>
  <si>
    <t xml:space="preserve">            nm = Trim$(CStr(ts.Cells(r, TC_NAME).Value))</t>
  </si>
  <si>
    <t xml:space="preserve">            dKey = CLng(ts.Cells(r, TC_META).Value2)</t>
  </si>
  <si>
    <t xml:space="preserve">            code = ""</t>
  </si>
  <si>
    <t xml:space="preserve">            If nameRow.Exists(nm) And dateCol.Exists(dKey) Then</t>
  </si>
  <si>
    <t xml:space="preserve">                code = Trim$(CStr(wsMon.Cells(nameRow(nm), dateCol(dKey)).Value))</t>
  </si>
  <si>
    <t xml:space="preserve">            ' 終日の休暇（③の終日 → 月間シフトの休暇記号 の順）</t>
  </si>
  <si>
    <t xml:space="preserve">            fullCode = ""</t>
  </si>
  <si>
    <t xml:space="preserve">            If lv.Exists(LeaveKey(nm, CDate(dKey))) Then</t>
  </si>
  <si>
    <t xml:space="preserve">                For Each ent In lv(LeaveKey(nm, CDate(dKey)))</t>
  </si>
  <si>
    <t xml:space="preserve">                    If ent(3) And Not ent(5) And fullCode = "" Then fullCode = ent(0)</t>
  </si>
  <si>
    <t xml:space="preserve">                Next ent</t>
  </si>
  <si>
    <t xml:space="preserve">            If fullCode = "" And leave.Exists(code) Then</t>
  </si>
  <si>
    <t xml:space="preserve">                fullCode = code</t>
  </si>
  <si>
    <t xml:space="preserve">                If lv.Exists(LeaveKey(nm, CDate(dKey))) Then</t>
  </si>
  <si>
    <t xml:space="preserve">                    If HasWorkEntry(lv(LeaveKey(nm, CDate(dKey)))) Then fullCode = ""   ' 振替出勤</t>
  </si>
  <si>
    <t xml:space="preserve">            v = ts.Cells(r, TC_SLOT1).Resize(1, nSlot).Value</t>
  </si>
  <si>
    <t xml:space="preserve">            For k = 1 To nSlot</t>
  </si>
  <si>
    <t xml:space="preserve">                slotCode = ""</t>
  </si>
  <si>
    <t xml:space="preserve">                If fullCode &lt;&gt; "" Then</t>
  </si>
  <si>
    <t xml:space="preserve">                    slotCode = fullCode</t>
  </si>
  <si>
    <t xml:space="preserve">                ElseIf lv.Exists(LeaveKey(nm, CDate(dKey))) Then</t>
  </si>
  <si>
    <t xml:space="preserve">                    For Each ent In lv(LeaveKey(nm, CDate(dKey)))</t>
  </si>
  <si>
    <t xml:space="preserve">                        If Not ent(3) And Not ent(5) Then</t>
  </si>
  <si>
    <t xml:space="preserve">                            If Overlap(slotS, slotS + 60, CLng(ent(1)), CLng(ent(2))) &gt; 0 Then slotCode = ent(0): Exit For</t>
  </si>
  <si>
    <t xml:space="preserve">                        End If</t>
  </si>
  <si>
    <t xml:space="preserve">                    Next ent</t>
  </si>
  <si>
    <t xml:space="preserve">                old = Trim$(CStr(v(1, k)))</t>
  </si>
  <si>
    <t xml:space="preserve">                If slotCode &lt;&gt; "" Then</t>
  </si>
  <si>
    <t xml:space="preserve">                    If old &lt;&gt; slotCode Then</t>
  </si>
  <si>
    <t xml:space="preserve">                        If old = "" Then</t>
  </si>
  <si>
    <t xml:space="preserve">                        ElseIf Not allCodes.Exists(old) Then</t>
  </si>
  <si>
    <t xml:space="preserve">                            nLost = nLost + 1             ' 業務など（自動・手入力とも）が休みで消えた</t>
  </si>
  <si>
    <t xml:space="preserve">                            If nLost &lt;= 10 Then lostList = lostList &amp; vbLf &amp; "　" &amp; Month(CDate(dKey)) &amp; "/" &amp; Day(CDate(dKey)) &amp; " " &amp; nm &amp; " " &amp; (TS_FIRST_HOUR + k - 1) &amp; ":00 " &amp; old</t>
  </si>
  <si>
    <t xml:space="preserve">                    End If</t>
  </si>
  <si>
    <t xml:space="preserve">                    v(1, k) = slotCode</t>
  </si>
  <si>
    <t xml:space="preserve">                ElseIf allCodes.Exists(old) Then</t>
  </si>
  <si>
    <t xml:space="preserve">                    v(1, k) = Empty</t>
  </si>
  <si>
    <t xml:space="preserve">                    nClear = nClear + 1</t>
  </si>
  <si>
    <t xml:space="preserve">            Next k</t>
  </si>
  <si>
    <t xml:space="preserve">            ts.Cells(r, TC_SLOT1).Resize(1, nSlot).Value = v</t>
  </si>
  <si>
    <t xml:space="preserve">            ts.Cells(r, TC_NAME).Font.color = IIf(fullCode &lt;&gt; "", RGB(166, 166, 166), RGB(0, 0, 0))</t>
  </si>
  <si>
    <t xml:space="preserve">            ' 終日休みになった人は電話当番の○を外す（出勤に戻っても○は戻さない＝手で直す）</t>
  </si>
  <si>
    <t xml:space="preserve">            If fullCode &lt;&gt; "" And Trim$(CStr(ts.Cells(r, TC_PHONE).Value)) &lt;&gt; "" Then</t>
  </si>
  <si>
    <t xml:space="preserve">                ts.Cells(r, TC_PHONE).ClearContents</t>
  </si>
  <si>
    <t xml:space="preserve">                ts.Cells(r, TC_PHONE).Font.color = RGB(0, 0, 0)</t>
  </si>
  <si>
    <t xml:space="preserve">                nPhone = nPhone + 1</t>
  </si>
  <si>
    <t xml:space="preserve">                If nPhone &lt;= 10 Then phoneList = phoneList &amp; vbLf &amp; "　" &amp; Month(CDate(dKey)) &amp; "/" &amp; Day(CDate(dKey)) &amp; " " &amp; nm</t>
  </si>
  <si>
    <t xml:space="preserve">    ' 結果のまとめ（ボタンから実行したときに表示）</t>
  </si>
  <si>
    <t xml:space="preserve">    gRefreshMsg = "・休みにした枠：" &amp; nAdd &amp; " 枠" &amp; vbLf &amp; _</t>
  </si>
  <si>
    <t xml:space="preserve">                  "・休みで消えた業務など（自動・手入力とも）：" &amp; nLost &amp; " 枠" &amp; lostList &amp; IIf(nLost &gt; 10, vbLf &amp; "　…ほか " &amp; (nLost - 10) &amp; " 枠", "") &amp; vbLf &amp; _</t>
  </si>
  <si>
    <t xml:space="preserve">                  "・外した電話当番の○：" &amp; nPhone &amp; " 件" &amp; phoneList &amp; IIf(nPhone &gt; 10, vbLf &amp; "　…ほか " &amp; (nPhone - 10) &amp; " 件", "") &amp; vbLf &amp; _</t>
  </si>
  <si>
    <t xml:space="preserve">                  "・休みでなくなって空欄にした枠：" &amp; nClear &amp; " 枠"</t>
  </si>
  <si>
    <t xml:space="preserve">    If nLost + nPhone &gt; 0 Then gRefreshMsg = gRefreshMsg &amp; vbLf &amp; vbLf &amp; "空いた業務・電話当番は補充していません。手で直してください。"</t>
  </si>
  <si>
    <t>' 公休・有給扱いの記号（設定シートの集計区分）</t>
  </si>
  <si>
    <t>Public Function LeaveCodes() As Object</t>
  </si>
  <si>
    <t xml:space="preserve">    Dim d As Object, st As Worksheet, r As Long, code As String, kind As String</t>
  </si>
  <si>
    <t xml:space="preserve">        kind = Trim$(CStr(st.Cells(r, STC_CODE_KIND).Value))</t>
  </si>
  <si>
    <t xml:space="preserve">        If code &lt;&gt; "" And (kind = "公休" Or kind = "有給") Then</t>
  </si>
  <si>
    <t xml:space="preserve">            If Not d.Exists(code) Then d.Add code, kind</t>
  </si>
  <si>
    <t xml:space="preserve">    Set LeaveCodes = d</t>
  </si>
  <si>
    <t>Private Sub LegendLeaveCodes(ws As Worksheet, ByVal row As Long, ByVal col As Long)</t>
  </si>
  <si>
    <t xml:space="preserve">    Dim st As Worksheet, r As Long, code As String, c As Long, kind As String</t>
  </si>
  <si>
    <t xml:space="preserve">    ws.Cells(row, col - 1).Value = "表示中"</t>
  </si>
  <si>
    <t xml:space="preserve">    ws.Cells(row, col - 1).HorizontalAlignment = xlRight</t>
  </si>
  <si>
    <t xml:space="preserve">    ws.Cells(row, col - 1).Font.color = RGB(118, 118, 118)</t>
  </si>
  <si>
    <t xml:space="preserve">            c = c + 2</t>
  </si>
  <si>
    <t>Public Sub ApplyCodeFormatsTo(rg As Range)</t>
  </si>
  <si>
    <t xml:space="preserve">    Dim st As Worksheet, r As Long, code As String, fc As FormatCondition</t>
  </si>
  <si>
    <t xml:space="preserve">            fc.Interior.color = st.Cells(r, STC_CODE).Interior.color</t>
  </si>
  <si>
    <t xml:space="preserve">            fc.Font.color = st.Cells(r, STC_CODE).Font.color</t>
  </si>
  <si>
    <t>' ボタン（図形）</t>
  </si>
  <si>
    <t>Public Function MakeButton(ws As Worksheet, ByVal x As Double, ByVal y As Double, ByVal w As Double, ByVal h As Double, _</t>
  </si>
  <si>
    <t xml:space="preserve">                           ByVal txt As String, ByVal col As Long, ByVal macroName As String) As Shape</t>
  </si>
  <si>
    <t xml:space="preserve">    Dim shp As Shape</t>
  </si>
  <si>
    <t xml:space="preserve">    Set shp = ws.Shapes.AddShape(msoShapeRoundedRectangle, x, y, w, h)</t>
  </si>
  <si>
    <t xml:space="preserve">    shp.Fill.ForeColor.RGB = col</t>
  </si>
  <si>
    <t xml:space="preserve">    shp.Line.Visible = msoFalse</t>
  </si>
  <si>
    <t xml:space="preserve">    shp.Shadow.Visible = msoFalse</t>
  </si>
  <si>
    <t xml:space="preserve">    With shp.TextFrame2</t>
  </si>
  <si>
    <t xml:space="preserve">        .TextRange.Text = txt</t>
  </si>
  <si>
    <t xml:space="preserve">        .TextRange.Font.Name = APP_FONT</t>
  </si>
  <si>
    <t xml:space="preserve">        .TextRange.Font.NameFarEast = APP_FONT</t>
  </si>
  <si>
    <t xml:space="preserve">        .TextRange.Font.Size = 11</t>
  </si>
  <si>
    <t xml:space="preserve">        .TextRange.Font.Bold = msoTrue</t>
  </si>
  <si>
    <t xml:space="preserve">        .TextRange.Font.Fill.ForeColor.RGB = RGB(255, 255, 255)</t>
  </si>
  <si>
    <t xml:space="preserve">        .TextRange.ParagraphFormat.Alignment = msoAlignCenter</t>
  </si>
  <si>
    <t xml:space="preserve">        .VerticalAnchor = msoAnchorMiddle</t>
  </si>
  <si>
    <t xml:space="preserve">        .MarginTop = 0: .MarginBottom = 0</t>
  </si>
  <si>
    <t xml:space="preserve">    shp.Placement = xlFreeFloating</t>
  </si>
  <si>
    <t xml:space="preserve">    If macroName &lt;&gt; "" Then shp.OnAction = macroName</t>
  </si>
  <si>
    <t xml:space="preserve">    Set MakeButton = shp</t>
  </si>
  <si>
    <t>' 月間シフトシートのボタン（既にあれば置き直す）</t>
  </si>
  <si>
    <t>Public Sub AddMonthlyButtons(ws As Worksheet)</t>
  </si>
  <si>
    <t xml:space="preserve">    Dim shp As Shape, x As Double</t>
  </si>
  <si>
    <t xml:space="preserve">    ws.Shapes("btnTimeShift").Delete</t>
  </si>
  <si>
    <t xml:space="preserve">    ws.Shapes("btnRecreate").Delete</t>
  </si>
  <si>
    <t xml:space="preserve">    x = ws.Cells(1, SC_DAY1 + 16).Left</t>
  </si>
  <si>
    <t xml:space="preserve">    Set shp = MakeButton(ws, x, 3, 200, 30, "次へ：⑥ タイムシフト作成 " &amp; IcoNext, RGB(112, 48, 160), "CreateTimeShiftFromActive")</t>
  </si>
  <si>
    <t xml:space="preserve">    shp.Name = "btnTimeShift"</t>
  </si>
  <si>
    <t xml:space="preserve">    Set shp = MakeButton(ws, x + 210, 3, 210, 30, IcoRefresh &amp; " 休暇を反映して作り直す", RGB(237, 125, 49), "RecreateActiveMonthly")</t>
  </si>
  <si>
    <t xml:space="preserve">    shp.Name = "btnRecreate"</t>
  </si>
  <si>
    <t>' 既存の月間シフト全部にボタンを付ける（更新時に1回実行）</t>
  </si>
  <si>
    <t>Public Sub AddMonthlyButtonsAll()</t>
  </si>
  <si>
    <t xml:space="preserve">    Dim ws As Worksheet</t>
  </si>
  <si>
    <t xml:space="preserve">        If Left$(ws.Name, Len(MONTHLY_PREFIX)) = MONTHLY_PREFIX Then AddMonthlyButtons ws</t>
  </si>
  <si>
    <t>' 月間シフトを同じ開始日で作り直す（タイムシフトがあれば休暇を再反映）</t>
  </si>
  <si>
    <t>Public Sub RecreateActiveMonthly()</t>
  </si>
  <si>
    <t xml:space="preserve">    Dim ws As Worksheet, tName As String, mName As String, msg As String</t>
  </si>
  <si>
    <t xml:space="preserve">    Set ws = ActiveSheet</t>
  </si>
  <si>
    <t xml:space="preserve">    If Left$(ws.Name, Len(MONTHLY_PREFIX)) &lt;&gt; MONTHLY_PREFIX Then Exit Sub</t>
  </si>
  <si>
    <t xml:space="preserve">    If Not IsNumeric(ws.Range("A2").Value2) Or IsEmpty(ws.Range("A2").Value2) Then</t>
  </si>
  <si>
    <t xml:space="preserve">        Notify "この月間シフトは古い形式のため作り直せません。「④ 月間シフト作成」から作成してください。", vbExclamation, "⑤ 休暇を反映して作り直す"</t>
  </si>
  <si>
    <t xml:space="preserve">    mName = ws.Name</t>
  </si>
  <si>
    <t xml:space="preserve">    tName = TIME_PREFIX &amp; Mid$(mName, Len(MONTHLY_PREFIX) + 1)</t>
  </si>
  <si>
    <t xml:space="preserve">    msg = "③休暇管理の内容で「" &amp; mName &amp; "」を作り直します。" &amp; vbLf &amp; vbLf &amp; _</t>
  </si>
  <si>
    <t xml:space="preserve">          "【⑤ 月間シフト】" &amp; vbLf &amp; _</t>
  </si>
  <si>
    <t xml:space="preserve">          "・②メンバーと③休暇管理から、もう一度作ります" &amp; vbLf &amp; _</t>
  </si>
  <si>
    <t xml:space="preserve">          "・この月間シフトで手で直した内容（例：9-18 → " &amp; LeaveOffCode() &amp; "）は消えます" &amp; vbLf</t>
  </si>
  <si>
    <t xml:space="preserve">        msg = msg &amp; vbLf &amp; "【⑥ タイムシフト】続けて休暇を反映します" &amp; vbLf &amp; _</t>
  </si>
  <si>
    <t xml:space="preserve">              "・休みの時間の枠 → 記号に置き換え（その枠の業務は、自動・手入力とも消えます）" &amp; vbLf &amp; _</t>
  </si>
  <si>
    <t xml:space="preserve">              "・終日休みの人 → 電話当番の○を外します" &amp; vbLf &amp; _</t>
  </si>
  <si>
    <t xml:space="preserve">              "・休みでなくなった枠 → 記号を消して空欄に（業務や○は戻りません）" &amp; vbLf &amp; _</t>
  </si>
  <si>
    <t xml:space="preserve">              "・それ以外の業務・○・備考は、自動・手入力とも残ります" &amp; vbLf</t>
  </si>
  <si>
    <t xml:space="preserve">    If Notify(msg &amp; vbLf &amp; "実行しますか？", vbYesNo + vbQuestion, "⑤ 休暇を反映して作り直す") = vbNo Then Exit Sub</t>
  </si>
  <si>
    <t xml:space="preserve">    ThisWorkbook.Worksheets(SH_MAKE).Range("C5").Value = CDate(ws.Range("A2").Value2)</t>
  </si>
  <si>
    <t xml:space="preserve">    CreateMonthlyShift True, True</t>
  </si>
  <si>
    <t xml:space="preserve">    If Not SheetExists(mName) Then Exit Sub</t>
  </si>
  <si>
    <t xml:space="preserve">    msg = "「" &amp; mName &amp; "」を作り直しました。"</t>
  </si>
  <si>
    <t xml:space="preserve">        RefreshTimeShift ThisWorkbook.Worksheets(tName)</t>
  </si>
  <si>
    <t xml:space="preserve">        msg = msg &amp; vbLf &amp; vbLf &amp; "【⑥ タイムシフトへの反映】" &amp; vbLf &amp; gRefreshMsg</t>
  </si>
  <si>
    <t xml:space="preserve">    ThisWorkbook.Worksheets(mName).Activate</t>
  </si>
  <si>
    <t xml:space="preserve">    Notify msg, vbInformation, "⑤ 休暇を反映して作り直す"</t>
  </si>
  <si>
    <t>' 表紙⑥：一番新しい（最後の）タイムシフトへ</t>
  </si>
  <si>
    <t>Public Sub GoTimeShift()</t>
  </si>
  <si>
    <t xml:space="preserve">    Dim ws As Worksheet, target As Worksheet</t>
  </si>
  <si>
    <t xml:space="preserve">        If Left$(ws.Name, Len(TIME_PREFIX)) = TIME_PREFIX Then Set target = ws</t>
  </si>
  <si>
    <t xml:space="preserve">    If target Is Nothing Then</t>
  </si>
  <si>
    <t xml:space="preserve">        Notify "タイムシフトはまだありません。" &amp; vbLf &amp; _</t>
  </si>
  <si>
    <t xml:space="preserve">               "月間シフトのシート右上「タイムシフト作成」ボタンで作成してください。", vbInformation, "タイムシフト"</t>
  </si>
  <si>
    <t xml:space="preserve">        target.Activate</t>
  </si>
  <si>
    <t xml:space="preserve">        target.Range("A1").Select</t>
  </si>
  <si>
    <t>' 設定シートのすべての勤務記号（タイムシフトで「自動で入れた記号」を見分けるため）</t>
  </si>
  <si>
    <t>Public Function AllWorkCodes() As Object</t>
  </si>
  <si>
    <t xml:space="preserve">    Dim d As Object, st As Worksheet, r As Long, code As String</t>
  </si>
  <si>
    <t xml:space="preserve">        If code &lt;&gt; "" Then d(code) = True</t>
  </si>
  <si>
    <t xml:space="preserve">    Set AllWorkCodes = d</t>
  </si>
  <si>
    <t>' テスト用：直近の「休暇を再反映」の結果</t>
  </si>
  <si>
    <t>Public Function LastRefreshMsg() As String</t>
  </si>
  <si>
    <t xml:space="preserve">    LastRefreshMsg = gRefreshMsg</t>
  </si>
  <si>
    <t>■ modFlow</t>
  </si>
  <si>
    <t>標準モジュール　272行</t>
  </si>
  <si>
    <t>' 作業の流れ：表紙（手順ボタン）・各シートの「次へ」ボタン・移動</t>
  </si>
  <si>
    <t>'   最初に1回：① 各種設定 → ② メンバー</t>
  </si>
  <si>
    <t>'   毎月　　　：③ 休暇管理 → ④ 月間シフト作成 → ⑤ 月間シフト → ⑥ タイムシフト</t>
  </si>
  <si>
    <t>' 移動用マクロ（ボタンから）</t>
  </si>
  <si>
    <t>Public Sub GoStep1(): GoSheet SH_SETTING: End Sub</t>
  </si>
  <si>
    <t>Public Sub GoStep2(): GoSheet SH_MEMBER: End Sub</t>
  </si>
  <si>
    <t>Public Sub GoStep3(): GoSheet SH_LEAVE: End Sub</t>
  </si>
  <si>
    <t>Public Sub GoStep4(): GoSheet SH_MAKE: End Sub</t>
  </si>
  <si>
    <t>Public Sub GoStep5()</t>
  </si>
  <si>
    <t xml:space="preserve">        If Left$(ws.Name, Len(MONTHLY_PREFIX)) = MONTHLY_PREFIX Then Set target = ws</t>
  </si>
  <si>
    <t xml:space="preserve">        Notify "月間シフトはまだありません。" &amp; vbLf &amp; "「④ 月間シフト作成」で作成してください。", vbInformation, "⑤ 月間シフト"</t>
  </si>
  <si>
    <t xml:space="preserve">        GoSheet SH_MAKE</t>
  </si>
  <si>
    <t>Public Sub GoStep6()</t>
  </si>
  <si>
    <t xml:space="preserve">    GoTimeShift</t>
  </si>
  <si>
    <t>Public Sub GoCover(): GoSheet SH_COVER: End Sub</t>
  </si>
  <si>
    <t>Private Sub GoSheet(ByVal nm As String)</t>
  </si>
  <si>
    <t xml:space="preserve">    If SheetExists(nm) Then</t>
  </si>
  <si>
    <t xml:space="preserve">        ThisWorkbook.Worksheets(nm).Activate</t>
  </si>
  <si>
    <t xml:space="preserve">        ThisWorkbook.Worksheets(nm).Range("A1").Select</t>
  </si>
  <si>
    <t>' 表紙を「手順どおりのボタン」に作り直す</t>
  </si>
  <si>
    <t>Public Sub BuildCoverFlow()</t>
  </si>
  <si>
    <t xml:space="preserve">    Dim cv As Worksheet, i As Long, y As Double, x As Double, w As Double, h As Double</t>
  </si>
  <si>
    <t xml:space="preserve">    Do While cv.Shapes.Count &gt; 0</t>
  </si>
  <si>
    <t xml:space="preserve">        cv.Shapes(1).Delete</t>
  </si>
  <si>
    <t xml:space="preserve">    cv.Range("B4:G60").UnMerge</t>
  </si>
  <si>
    <t xml:space="preserve">    cv.Range("B4:G60").Clear</t>
  </si>
  <si>
    <t xml:space="preserve">    cv.Range("B4:G60").Font.Name = APP_FONT</t>
  </si>
  <si>
    <t xml:space="preserve">    cv.Range("B2").Value = "オペレーター シフト管理"</t>
  </si>
  <si>
    <t xml:space="preserve">    cv.Range("B3").Value = "上から順番に進めてください。①② は最初に1回、③～⑨ は毎月の作業です（⑦のあと手で直してから⑨）。"</t>
  </si>
  <si>
    <t xml:space="preserve">    cv.Range("B3").Font.color = RGB(89, 89, 89)</t>
  </si>
  <si>
    <t xml:space="preserve">    cv.Range("B3").Font.Size = 11</t>
  </si>
  <si>
    <t xml:space="preserve">    x = cv.Range("B5").Left</t>
  </si>
  <si>
    <t xml:space="preserve">    w = cv.Range("B5:G5").Width</t>
  </si>
  <si>
    <t xml:space="preserve">    h = 52</t>
  </si>
  <si>
    <t xml:space="preserve">    y = cv.Range("B5").top</t>
  </si>
  <si>
    <t xml:space="preserve">    y = SectionLabel(cv, x, y, w, "最初に1回（準備）", RGB(89, 89, 89))</t>
  </si>
  <si>
    <t xml:space="preserve">    y = FlowButton(cv, x, y, w, h, "① 各種設定", "祝日・勤務記号・最低人数・業務ルール（時間・人数・スキル）", RGB(127, 127, 127), "GoStep1")</t>
  </si>
  <si>
    <t xml:space="preserve">    y = FlowArrow(cv, x, y, w)</t>
  </si>
  <si>
    <t xml:space="preserve">    y = FlowButton(cv, x, y, w, h, "② メンバー", "一人ひとりの勤務時間・休憩・スキル（いつもの形）", RGB(237, 125, 49), "GoStep2")</t>
  </si>
  <si>
    <t xml:space="preserve">    y = y + 14</t>
  </si>
  <si>
    <t xml:space="preserve">    y = SectionLabel(cv, x, y, w, "毎月の作業", RGB(31, 78, 121))</t>
  </si>
  <si>
    <t xml:space="preserve">    y = FlowButton(cv, x, y, w, h, "③ 休暇管理", "種類（休み／出勤）と、1時間ごとの「休」「出」（午前だけ未勤務・中抜けもOK）", RGB(255, 192, 0), "GoStep3")</t>
  </si>
  <si>
    <t xml:space="preserve">    y = FlowButton(cv, x, y, w, h, "④ 月間シフト作成", "開始日を入れてボタン（②＋③から自動で作成）", RGB(112, 173, 71), "GoStep4")</t>
  </si>
  <si>
    <t xml:space="preserve">    y = FlowButton(cv, x, y, w, h, "⑤ 月間シフト", "できたシフトの確認・調整、スキルの充足チェック（最新の月へ）", RGB(91, 155, 213), "GoStep5")</t>
  </si>
  <si>
    <t xml:space="preserve">    y = FlowButton(cv, x, y, w, h, "⑥ タイムシフト", "1時間ごとの配置・電話当番・備考（⑤のボタンで作成）", RGB(112, 48, 160), "GoStep6")</t>
  </si>
  <si>
    <t xml:space="preserve">    y = FlowButton(cv, x, y, w, h, "⑦ 電話当番・業務の自動割り振り", "電話当番3人と業務を、ルールどおり1か月で均等に（あとで手修正OK）", RGB(237, 125, 49), "GoStep7")</t>
  </si>
  <si>
    <t xml:space="preserve">    y = FlowButton(cv, x, y, w, h, "⑧ 配分一覧", "今月だれが何回どの業務をしたか（均等チェック付き）", RGB(0, 176, 80), "GoStep8")</t>
  </si>
  <si>
    <t xml:space="preserve">    y = FlowButton(cv, x, y, w, h, "⑨ 時間集計", "手修正のあと、業務ごとの時間（ルールにない業務・1枠に複数も）", RGB(112, 48, 160), "GoStep9")</t>
  </si>
  <si>
    <t xml:space="preserve">    y = SectionLabel(cv, x, y, w, "今後", RGB(166, 166, 166))</t>
  </si>
  <si>
    <t xml:space="preserve">    y = FlowButton(cv, x, y, w, h, "⑩ 業務・進捗管理（準備中）", "残業務と処理時間から、時間帯ごとの割り当てと進捗", RGB(217, 217, 217), "")</t>
  </si>
  <si>
    <t xml:space="preserve">    ' 注意書き（ボタンの下の行）</t>
  </si>
  <si>
    <t xml:space="preserve">    For i = 5 To 200</t>
  </si>
  <si>
    <t xml:space="preserve">        If cv.Rows(i).top &gt; y + 8 Then Exit For</t>
  </si>
  <si>
    <t xml:space="preserve">    cv.Cells(i, 2).Value = "※ マクロを有効にして開いてください。各シート左上の「" &amp; IcoBack &amp; " 表紙へ」でここに戻れます。"</t>
  </si>
  <si>
    <t xml:space="preserve">    cv.Cells(i, 2).Font.color = RGB(192, 0, 0)</t>
  </si>
  <si>
    <t xml:space="preserve">    cv.Cells(i, 2).Font.Size = 9</t>
  </si>
  <si>
    <t xml:space="preserve">    cv.Cells(CV_LIST_TOP - 2, CV_LIST_COL).Value = "作成済みのシフト"</t>
  </si>
  <si>
    <t xml:space="preserve">    cv.Cells(CV_LIST_TOP - 2, CV_LIST_COL).Font.Bold = True</t>
  </si>
  <si>
    <t xml:space="preserve">    cv.Cells(CV_LIST_TOP - 2, CV_LIST_COL).Font.Size = 12</t>
  </si>
  <si>
    <t>Private Function SectionLabel(cv As Worksheet, ByVal x As Double, ByVal y As Double, ByVal w As Double, _</t>
  </si>
  <si>
    <t xml:space="preserve">                              ByVal txt As String, ByVal col As Long) As Double</t>
  </si>
  <si>
    <t xml:space="preserve">    Set shp = cv.Shapes.AddTextbox(msoTextOrientationHorizontal, x, y, w, 20)</t>
  </si>
  <si>
    <t xml:space="preserve">    shp.Fill.Visible = msoFalse</t>
  </si>
  <si>
    <t xml:space="preserve">        .MarginLeft = 0: .MarginTop = 0: .MarginBottom = 0</t>
  </si>
  <si>
    <t xml:space="preserve">        .TextRange.Font.Size = 12</t>
  </si>
  <si>
    <t xml:space="preserve">        .TextRange.Font.Fill.ForeColor.RGB = col</t>
  </si>
  <si>
    <t xml:space="preserve">    SectionLabel = y + 24</t>
  </si>
  <si>
    <t>Private Function FlowArrow(cv As Worksheet, ByVal x As Double, ByVal y As Double, ByVal w As Double) As Double</t>
  </si>
  <si>
    <t xml:space="preserve">    Set shp = cv.Shapes.AddShape(msoShapeDownArrow, x + w / 2 - 9, y + 2, 18, 14)</t>
  </si>
  <si>
    <t xml:space="preserve">    shp.Fill.ForeColor.RGB = RGB(191, 191, 191)</t>
  </si>
  <si>
    <t xml:space="preserve">    FlowArrow = y + 18</t>
  </si>
  <si>
    <t>Private Function FlowButton(cv As Worksheet, ByVal x As Double, ByVal y As Double, ByVal w As Double, ByVal h As Double, _</t>
  </si>
  <si>
    <t xml:space="preserve">                            ByVal title As String, ByVal desc As String, ByVal col As Long, ByVal macroName As String) As Double</t>
  </si>
  <si>
    <t xml:space="preserve">    Set shp = MakeButton(cv, x, y, w, h, title &amp; vbCr &amp; desc, col, macroName)</t>
  </si>
  <si>
    <t xml:space="preserve">    With shp.TextFrame2.TextRange</t>
  </si>
  <si>
    <t xml:space="preserve">        .Paragraphs(1).Font.Size = 13</t>
  </si>
  <si>
    <t xml:space="preserve">        .Paragraphs(1).Font.Bold = msoTrue</t>
  </si>
  <si>
    <t xml:space="preserve">        .Paragraphs(2).Font.Size = 9</t>
  </si>
  <si>
    <t xml:space="preserve">        .Paragraphs(2).Font.Bold = msoFalse</t>
  </si>
  <si>
    <t xml:space="preserve">        If macroName = "" Then .Font.Fill.ForeColor.RGB = RGB(128, 128, 128)</t>
  </si>
  <si>
    <t xml:space="preserve">    FlowButton = y + h</t>
  </si>
  <si>
    <t>' 各シートの右上に「次へ」ボタン</t>
  </si>
  <si>
    <t>Public Sub AddNextButton(ws As Worksheet, ByVal x As Double, ByVal txt As String, ByVal col As Long, ByVal macroName As String)</t>
  </si>
  <si>
    <t xml:space="preserve">    ws.Shapes("btnNext").Delete</t>
  </si>
  <si>
    <t xml:space="preserve">    If ws.Rows(1).RowHeight &lt; 30 Then ws.Rows(1).RowHeight = 30</t>
  </si>
  <si>
    <t xml:space="preserve">    Set shp = MakeButton(ws, x, 3, 230, 25, txt, col, macroName)</t>
  </si>
  <si>
    <t xml:space="preserve">    shp.Name = "btnNext"</t>
  </si>
  <si>
    <t>' v3 への移行（既存ブックに1回だけ実行）</t>
  </si>
  <si>
    <t>Public Sub MigrateToV3()</t>
  </si>
  <si>
    <t xml:space="preserve">    Dim wb As Workbook, ws As Worksheet, oldNames As Object, k As Variant, nm As String</t>
  </si>
  <si>
    <t xml:space="preserve">    Dim h As Hyperlink, sa As String, t As String, shp As Shape, lv As Worksheet</t>
  </si>
  <si>
    <t xml:space="preserve">    Set oldNames = CreateObject("Scripting.Dictionary")</t>
  </si>
  <si>
    <t xml:space="preserve">    ' 1) シート名を番号付きに</t>
  </si>
  <si>
    <t xml:space="preserve">    RenameSheet "設定", SH_SETTING, oldNames</t>
  </si>
  <si>
    <t xml:space="preserve">    RenameSheet "メンバー", SH_MEMBER, oldNames</t>
  </si>
  <si>
    <t xml:space="preserve">    RenameSheet "月間シフト作成", SH_MAKE, oldNames</t>
  </si>
  <si>
    <t xml:space="preserve">    For Each ws In wb.Worksheets</t>
  </si>
  <si>
    <t xml:space="preserve">        nm = ws.Name</t>
  </si>
  <si>
    <t xml:space="preserve">        If Left$(nm, 3) = "月間_" Then RenameSheet nm, MONTHLY_PREFIX &amp; Mid$(nm, 4), oldNames</t>
  </si>
  <si>
    <t xml:space="preserve">        If Left$(nm, 4) = "タイム_" Then RenameSheet nm, TIME_PREFIX &amp; Mid$(nm, 5), oldNames</t>
  </si>
  <si>
    <t xml:space="preserve">    ' 2) リンク先の書き換え ＋「?」になっていた記号を直す</t>
  </si>
  <si>
    <t xml:space="preserve">        For Each h In ws.Hyperlinks</t>
  </si>
  <si>
    <t xml:space="preserve">            On Error Resume Next</t>
  </si>
  <si>
    <t xml:space="preserve">            sa = h.SubAddress</t>
  </si>
  <si>
    <t xml:space="preserve">            For Each k In oldNames.Keys</t>
  </si>
  <si>
    <t xml:space="preserve">                If InStr(sa, "'" &amp; k &amp; "'!") &gt; 0 Then sa = Replace(sa, "'" &amp; k &amp; "'!", "'" &amp; oldNames(k) &amp; "'!")</t>
  </si>
  <si>
    <t xml:space="preserve">                If Left$(sa, Len(k) + 1) = k &amp; "!" Then sa = "'" &amp; oldNames(k) &amp; "'!" &amp; Mid$(sa, Len(k) + 2)</t>
  </si>
  <si>
    <t xml:space="preserve">            If sa &lt;&gt; h.SubAddress Then h.SubAddress = sa</t>
  </si>
  <si>
    <t xml:space="preserve">            t = ""</t>
  </si>
  <si>
    <t xml:space="preserve">            t = h.TextToDisplay</t>
  </si>
  <si>
    <t xml:space="preserve">            If Left$(t, 1) = "?" Then</t>
  </si>
  <si>
    <t xml:space="preserve">                If InStr(t, "表紙") &gt; 0 Then h.TextToDisplay = IcoBack &amp; Mid$(t, 2) Else h.TextToDisplay = IcoNext &amp; Mid$(t, 2)</t>
  </si>
  <si>
    <t xml:space="preserve">            On Error GoTo 0</t>
  </si>
  <si>
    <t xml:space="preserve">        Next h</t>
  </si>
  <si>
    <t xml:space="preserve">    ' 2b) 各シート左上の「表紙へ」リンクの記号をそろえる</t>
  </si>
  <si>
    <t xml:space="preserve">    FixBackLinks</t>
  </si>
  <si>
    <t xml:space="preserve">    ' 3) タイムシフトの参照先（月間シフト名）と表示</t>
  </si>
  <si>
    <t xml:space="preserve">        If Left$(ws.Name, Len(TIME_PREFIX)) = TIME_PREFIX Then</t>
  </si>
  <si>
    <t xml:space="preserve">            nm = CStr(ws.Range("A3").Value)</t>
  </si>
  <si>
    <t xml:space="preserve">            If oldNames.Exists(nm) Then ws.Range("A3").Value = oldNames(nm)</t>
  </si>
  <si>
    <t xml:space="preserve">            If Left$(CStr(ws.Range("C1").Value), 6) = "タイムシフト" Then ws.Range("C1").Value = "⑥ " &amp; ws.Range("C1").Value</t>
  </si>
  <si>
    <t xml:space="preserve">            If CStr(ws.Cells(TS_JUMP_ROW, TC_NAME).Value) Like "日付へ移動*" Then ws.Cells(TS_JUMP_ROW, TC_NAME).Value = "日付へ移動 " &amp; IcoNext</t>
  </si>
  <si>
    <t xml:space="preserve">            For Each shp In ws.Shapes</t>
  </si>
  <si>
    <t xml:space="preserve">                If shp.OnAction Like "*RefreshActiveTimeShift" Then shp.TextFrame2.TextRange.Text = IcoRefresh &amp; " 休暇を再反映"</t>
  </si>
  <si>
    <t xml:space="preserve">            Next shp</t>
  </si>
  <si>
    <t xml:space="preserve">        ElseIf Left$(ws.Name, Len(MONTHLY_PREFIX)) = MONTHLY_PREFIX Then</t>
  </si>
  <si>
    <t xml:space="preserve">            If Left$(CStr(ws.Range("C1").Value), 5) = "月間シフト" Then ws.Range("C1").Value = "⑤ " &amp; ws.Range("C1").Value</t>
  </si>
  <si>
    <t xml:space="preserve">            AddMonthlyButtons ws</t>
  </si>
  <si>
    <t xml:space="preserve">    ' 4) ①に「振＝振替出勤」を追加し、③休暇管理を作る</t>
  </si>
  <si>
    <t xml:space="preserve">    EnsureWorkCode</t>
  </si>
  <si>
    <t xml:space="preserve">    If Not SheetExists(SH_LEAVE) Then</t>
  </si>
  <si>
    <t xml:space="preserve">        Set lv = wb.Worksheets.Add(After:=wb.Worksheets(SH_MEMBER))</t>
  </si>
  <si>
    <t xml:space="preserve">        lv.Name = SH_LEAVE</t>
  </si>
  <si>
    <t xml:space="preserve">        BuildLeaveSheet lv</t>
  </si>
  <si>
    <t xml:space="preserve">    ' 5) 並び順：表紙 → ① → ② → ③ → ④ → 作成した月</t>
  </si>
  <si>
    <t xml:space="preserve">    wb.Worksheets(SH_SETTING).Move After:=wb.Worksheets(SH_COVER)</t>
  </si>
  <si>
    <t xml:space="preserve">    wb.Worksheets(SH_MEMBER).Move After:=wb.Worksheets(SH_SETTING)</t>
  </si>
  <si>
    <t xml:space="preserve">    wb.Worksheets(SH_LEAVE).Move After:=wb.Worksheets(SH_MEMBER)</t>
  </si>
  <si>
    <t xml:space="preserve">    wb.Worksheets(SH_MAKE).Move After:=wb.Worksheets(SH_LEAVE)</t>
  </si>
  <si>
    <t xml:space="preserve">    ' 6) 各シートの表題と「次へ」ボタン</t>
  </si>
  <si>
    <t xml:space="preserve">    With wb.Worksheets(SH_SETTING)</t>
  </si>
  <si>
    <t xml:space="preserve">        .Range("A2").Value = "① 各種設定（最初に1回）"</t>
  </si>
  <si>
    <t xml:space="preserve">        AddNextButton wb.Worksheets(SH_SETTING), .Range("J1").Left, "次へ：② メンバー " &amp; IcoNext, RGB(237, 125, 49), "GoStep2"</t>
  </si>
  <si>
    <t xml:space="preserve">    With wb.Worksheets(SH_MEMBER)</t>
  </si>
  <si>
    <t xml:space="preserve">        .Range("C1").Value = "② メンバー・勤務設定（いつもの勤務の形）"</t>
  </si>
  <si>
    <t xml:space="preserve">        AddNextButton wb.Worksheets(SH_MEMBER), .Range("P1").Left, "次へ：③ 休暇管理 " &amp; IcoNext, RGB(255, 192, 0), "GoStep3"</t>
  </si>
  <si>
    <t xml:space="preserve">    With wb.Worksheets(SH_MAKE)</t>
  </si>
  <si>
    <t xml:space="preserve">        .Range("B3").Value = "④ 月間シフト作成"</t>
  </si>
  <si>
    <t xml:space="preserve">        .Range("B19").Value = "※ ②メンバーの勤務の形に、③休暇管理の休暇（終日・時間単位）を反映して作ります。"</t>
  </si>
  <si>
    <t xml:space="preserve">        .Range("B19").Font.color = RGB(118, 118, 118)</t>
  </si>
  <si>
    <t xml:space="preserve">        For Each shp In .Shapes</t>
  </si>
  <si>
    <t xml:space="preserve">            If shp.OnAction Like "*CreateMonthlyShift" Then shp.TextFrame2.TextRange.Text = IcoNext &amp; " 月間シフトを作成"</t>
  </si>
  <si>
    <t xml:space="preserve">        Next shp</t>
  </si>
  <si>
    <t xml:space="preserve">        AddNextButton wb.Worksheets(SH_MAKE), .Range("E1").Left, "作成後は ⑤ 月間シフトへ " &amp; IcoNext, RGB(91, 155, 213), "GoStep5"</t>
  </si>
  <si>
    <t xml:space="preserve">    ' 7) 表紙</t>
  </si>
  <si>
    <t xml:space="preserve">    BuildCoverFlow</t>
  </si>
  <si>
    <t xml:space="preserve">    wb.Worksheets(SH_COVER).Activate</t>
  </si>
  <si>
    <t>Public Sub FixBackLinks()</t>
  </si>
  <si>
    <t xml:space="preserve">    Dim ws As Worksheet, h As Hyperlink</t>
  </si>
  <si>
    <t xml:space="preserve">            If h.Range.Address = "$A$1" And InStr(h.SubAddress, SH_COVER) &gt; 0 Then h.TextToDisplay = IcoBack &amp; " 表紙へ"</t>
  </si>
  <si>
    <t>Private Sub RenameSheet(ByVal oldName As String, ByVal newName As String, oldNames As Object)</t>
  </si>
  <si>
    <t xml:space="preserve">    If SheetExists(oldName) And Not SheetExists(newName) Then</t>
  </si>
  <si>
    <t xml:space="preserve">        ThisWorkbook.Worksheets(oldName).Name = newName</t>
  </si>
  <si>
    <t xml:space="preserve">        oldNames(oldName) = newName</t>
  </si>
  <si>
    <t>■ modLeave</t>
  </si>
  <si>
    <t>標準モジュール　650行</t>
  </si>
  <si>
    <t>' ③休暇管理：1行＝1件（日付・氏名・種類・1時間枠）</t>
  </si>
  <si>
    <t>'   種類：休み／出勤（休みの日の出勤）</t>
  </si>
  <si>
    <t>'   1時間枠：「休」＝いない時間、「出」＝いる時間</t>
  </si>
  <si>
    <t>'   枠が空欄 → 種類「休み」＝終日休み、「出勤」＝いつもの勤務時間で出勤</t>
  </si>
  <si>
    <t>'   午前だけ未勤務・中抜けなども、1行の枠の選び方で表せる</t>
  </si>
  <si>
    <t>Public Const LV_HEAD As Long = 5            ' 見出し行</t>
  </si>
  <si>
    <t>Public Const LV_FIRST As Long = 6           ' データ開始行</t>
  </si>
  <si>
    <t>Public Const LV_LAST As Long = 1005         ' 1000件まで</t>
  </si>
  <si>
    <t>Public Const LC_NO As Long = 1              ' A</t>
  </si>
  <si>
    <t>Public Const LC_DATE As Long = 2            ' B 日付</t>
  </si>
  <si>
    <t>Public Const LC_NAME As Long = 3            ' C 氏名</t>
  </si>
  <si>
    <t>Public Const LC_TYPE As Long = 5            ' E 種類（休み／出勤）</t>
  </si>
  <si>
    <t>Public Const LC_SLOT1 As Long = 6           ' F～O 8:00～17:00 の1時間枠</t>
  </si>
  <si>
    <t>Public Const LV_TYPE_OFF As String = "休み"     ' 月間シフトのコメントに使う名前</t>
  </si>
  <si>
    <t>Public Const LV_TYPE_WORK As String = "出勤"</t>
  </si>
  <si>
    <t>Public Const MARK_OFF As String = "休"          ' 枠・終日の列で選ぶ記号</t>
  </si>
  <si>
    <t>Public Const MARK_WORK As String = "出"</t>
  </si>
  <si>
    <t>Public Const KEY_OFF_CODE As String = "③休みの記号"</t>
  </si>
  <si>
    <t>Public Const KEY_WORK_CODE As String = "③出勤の記号"</t>
  </si>
  <si>
    <t>Public Function LvSlotCount() As Long</t>
  </si>
  <si>
    <t xml:space="preserve">    LvSlotCount = TS_LAST_HOUR - TS_FIRST_HOUR</t>
  </si>
  <si>
    <t>Public Function LcHours() As Long           ' P 時間（自動）</t>
  </si>
  <si>
    <t xml:space="preserve">    LcHours = LC_SLOT1 + LvSlotCount()</t>
  </si>
  <si>
    <t>Public Function LcNote() As Long            ' Q 備考</t>
  </si>
  <si>
    <t xml:space="preserve">    LcNote = LcHours() + 1</t>
  </si>
  <si>
    <t>Public Function LeaveKey(ByVal nm As String, ByVal d As Date) As String</t>
  </si>
  <si>
    <t xml:space="preserve">    LeaveKey = Trim$(nm) &amp; "|" &amp; CLng(d)</t>
  </si>
  <si>
    <t>' ③で使う記号（①各種設定の「③休みの記号」「③出勤の記号」）</t>
  </si>
  <si>
    <t>Public Function LeaveOffCode() As String</t>
  </si>
  <si>
    <t xml:space="preserve">    Dim def As String, st As Worksheet, r As Long</t>
  </si>
  <si>
    <t xml:space="preserve">    For r = ST_FIRST_ROW To ST_FIRST_ROW + 19                ' 既定：集計区分「有給」の最初の記号</t>
  </si>
  <si>
    <t xml:space="preserve">        If Trim$(CStr(st.Cells(r, STC_CODE_KIND).Value)) = "有給" And Trim$(CStr(st.Cells(r, STC_CODE).Value)) &lt;&gt; "" Then</t>
  </si>
  <si>
    <t xml:space="preserve">            def = Trim$(CStr(st.Cells(r, STC_CODE).Value)): Exit For</t>
  </si>
  <si>
    <t xml:space="preserve">    If def = "" Then def = OffCode()</t>
  </si>
  <si>
    <t xml:space="preserve">    LeaveOffCode = JudgeSetting(KEY_OFF_CODE, def)</t>
  </si>
  <si>
    <t>Public Function LeaveWorkCode() As String</t>
  </si>
  <si>
    <t xml:space="preserve">    LeaveWorkCode = JudgeSetting(KEY_WORK_CODE, "振")</t>
  </si>
  <si>
    <t>' 休暇・出勤を読み込む：キー「氏名|日付」→ Collection of Array(記号, 開始分, 終了分, 終日?, 種類, 出勤?)</t>
  </si>
  <si>
    <t>'   「休」「出」それぞれ、続いている枠を1つの区間にまとめる（中抜けは区間が2つになる）</t>
  </si>
  <si>
    <t>'   枠が全部空欄 → 種類「休み」＝終日休み、「出勤」＝いつもの勤務時間で出勤（空欄は休み）</t>
  </si>
  <si>
    <t>Public Function LoadLeaves() As Object</t>
  </si>
  <si>
    <t xml:space="preserve">    Dim d As Object, ws As Worksheet, r As Long, lastR As Long, nSlot As Long</t>
  </si>
  <si>
    <t xml:space="preserve">    Dim nm As String, dt As Date, allDay As String, key As String</t>
  </si>
  <si>
    <t xml:space="preserve">    Dim v As Variant, marks() As String, k As Long, anyMark As Boolean</t>
  </si>
  <si>
    <t xml:space="preserve">    Set LoadLeaves = d</t>
  </si>
  <si>
    <t xml:space="preserve">    If Not SheetExists(SH_LEAVE) Then Exit Function</t>
  </si>
  <si>
    <t xml:space="preserve">    Set ws = ThisWorkbook.Worksheets(SH_LEAVE)</t>
  </si>
  <si>
    <t xml:space="preserve">    nSlot = LvSlotCount()</t>
  </si>
  <si>
    <t xml:space="preserve">    ReDim marks(1 To nSlot)</t>
  </si>
  <si>
    <t xml:space="preserve">    lastR = ws.Cells(ws.Rows.Count, LC_DATE).End(xlUp).row</t>
  </si>
  <si>
    <t xml:space="preserve">    For r = LV_FIRST To lastR</t>
  </si>
  <si>
    <t xml:space="preserve">        nm = Trim$(CStr(ws.Cells(r, LC_NAME).Value))</t>
  </si>
  <si>
    <t xml:space="preserve">        If nm &lt;&gt; "" And IsDate(ws.Cells(r, LC_DATE).Value) And Not IsEmpty(ws.Cells(r, LC_DATE).Value) Then</t>
  </si>
  <si>
    <t xml:space="preserve">            dt = CDate(ws.Cells(r, LC_DATE).Value)</t>
  </si>
  <si>
    <t xml:space="preserve">            allDay = NormMark(CStr(ws.Cells(r, LC_TYPE).Value), MARK_OFF)</t>
  </si>
  <si>
    <t xml:space="preserve">            key = LeaveKey(nm, dt)</t>
  </si>
  <si>
    <t xml:space="preserve">            If Not d.Exists(key) Then d.Add key, New Collection</t>
  </si>
  <si>
    <t xml:space="preserve">            v = ws.Cells(r, LC_SLOT1).Resize(1, nSlot).Value</t>
  </si>
  <si>
    <t xml:space="preserve">            anyMark = False</t>
  </si>
  <si>
    <t xml:space="preserve">                marks(k) = ""</t>
  </si>
  <si>
    <t xml:space="preserve">                If Trim$(CStr(v(1, k))) &lt;&gt; "" Then marks(k) = NormMark(CStr(v(1, k)), allDay): anyMark = True</t>
  </si>
  <si>
    <t xml:space="preserve">            If anyMark Then</t>
  </si>
  <si>
    <t xml:space="preserve">                AddRuns d(key), marks, MARK_OFF</t>
  </si>
  <si>
    <t xml:space="preserve">                AddRuns d(key), marks, MARK_WORK</t>
  </si>
  <si>
    <t xml:space="preserve">            ElseIf allDay = MARK_WORK Then</t>
  </si>
  <si>
    <t xml:space="preserve">                d(key).Add Array(LeaveWorkCode(), 0, 0, True, LV_TYPE_WORK, True)</t>
  </si>
  <si>
    <t xml:space="preserve">                d(key).Add Array(LeaveOffCode(), 0, 0, True, LV_TYPE_OFF, False)</t>
  </si>
  <si>
    <t>' 入力の揺れをそろえる：休／休み／× → 休、出／出勤 → 出、○など → 既定</t>
  </si>
  <si>
    <t>Private Function NormMark(ByVal s As String, ByVal def As String) As String</t>
  </si>
  <si>
    <t xml:space="preserve">    s = Trim$(s)</t>
  </si>
  <si>
    <t xml:space="preserve">    Select Case s</t>
  </si>
  <si>
    <t xml:space="preserve">        Case "": NormMark = def</t>
  </si>
  <si>
    <t xml:space="preserve">        Case MARK_OFF, LV_TYPE_OFF, "×", "x", "X": NormMark = MARK_OFF</t>
  </si>
  <si>
    <t xml:space="preserve">        Case MARK_WORK, LV_TYPE_WORK: NormMark = MARK_WORK</t>
  </si>
  <si>
    <t xml:space="preserve">        Case Else: NormMark = def</t>
  </si>
  <si>
    <t xml:space="preserve">    End Select</t>
  </si>
  <si>
    <t>' 同じ記号が続く枠を区間にして追加</t>
  </si>
  <si>
    <t>Private Sub AddRuns(col As Collection, marks() As String, ByVal mk As String)</t>
  </si>
  <si>
    <t xml:space="preserve">    Dim k As Long, runS As Long, n As Long, isWork As Boolean</t>
  </si>
  <si>
    <t xml:space="preserve">    n = UBound(marks)</t>
  </si>
  <si>
    <t xml:space="preserve">    isWork = (mk = MARK_WORK)</t>
  </si>
  <si>
    <t xml:space="preserve">    runS = 0</t>
  </si>
  <si>
    <t xml:space="preserve">    For k = 1 To n + 1</t>
  </si>
  <si>
    <t xml:space="preserve">        If k &lt;= n Then</t>
  </si>
  <si>
    <t xml:space="preserve">            If marks(k) = mk Then</t>
  </si>
  <si>
    <t xml:space="preserve">                If runS = 0 Then runS = k</t>
  </si>
  <si>
    <t xml:space="preserve">                GoTo NextK</t>
  </si>
  <si>
    <t xml:space="preserve">        If runS &gt; 0 Then</t>
  </si>
  <si>
    <t xml:space="preserve">            col.Add Array(IIf(isWork, LeaveWorkCode(), LeaveOffCode()), (TS_FIRST_HOUR + runS - 1) * 60, (TS_FIRST_HOUR + k - 1) * 60, _</t>
  </si>
  <si>
    <t xml:space="preserve">                          False, IIf(isWork, LV_TYPE_WORK, LV_TYPE_OFF), isWork)</t>
  </si>
  <si>
    <t xml:space="preserve">            runS = 0</t>
  </si>
  <si>
    <t>NextK:</t>
  </si>
  <si>
    <t>' 時刻セル → 分（空欄は -1）。9:00（時刻）／9／"9:00" のどれでも可（旧形式の変換用）</t>
  </si>
  <si>
    <t>Public Function LeaveTimeToMin(ByVal v As Variant) As Long</t>
  </si>
  <si>
    <t xml:space="preserve">    LeaveTimeToMin = -1</t>
  </si>
  <si>
    <t xml:space="preserve">    If IsEmpty(v) Then Exit Function</t>
  </si>
  <si>
    <t xml:space="preserve">    If VarType(v) = vbString Then</t>
  </si>
  <si>
    <t xml:space="preserve">        If Trim$(v) = "" Then Exit Function</t>
  </si>
  <si>
    <t xml:space="preserve">        LeaveTimeToMin = TimeToMin(StrConv(Trim$(v), vbNarrow))</t>
  </si>
  <si>
    <t xml:space="preserve">    ElseIf IsNumeric(v) Then</t>
  </si>
  <si>
    <t xml:space="preserve">        If CDbl(v) &lt; 1 Then</t>
  </si>
  <si>
    <t xml:space="preserve">            LeaveTimeToMin = CLng(Round(CDbl(v) * 1440, 0))</t>
  </si>
  <si>
    <t xml:space="preserve">        ElseIf CDbl(v) &lt;= 24 Then</t>
  </si>
  <si>
    <t xml:space="preserve">            LeaveTimeToMin = CLng(CDbl(v) * 60)</t>
  </si>
  <si>
    <t>' シフト文字列に休みを当てる</t>
  </si>
  <si>
    <t>'   終日        → 休みの記号</t>
  </si>
  <si>
    <t>'   時間単位    → 勤務区間から休みの時間を除いた「いる時間」（例 9-13、8:25-11/13-17:25）</t>
  </si>
  <si>
    <t>'                  note に「休み 13:00～18:00」、fillColor に記号の色</t>
  </si>
  <si>
    <t>'   休みの日    → そのまま（終日の休みだけは記号に置き換える）</t>
  </si>
  <si>
    <t>Public Function ApplyLeaveToShift(ByVal base As String, entries As Collection, _</t>
  </si>
  <si>
    <t xml:space="preserve">                                  ByRef note As String, ByRef fillColor As Long) As String</t>
  </si>
  <si>
    <t xml:space="preserve">    Dim ent As Variant, segS() As Long, segE() As Long, n As Long, i As Long, j As Long</t>
  </si>
  <si>
    <t xml:space="preserve">    Dim outS() As Long, outE() As Long, m As Long, txt As String, hit As Boolean, firstCode As String</t>
  </si>
  <si>
    <t xml:space="preserve">    note = "": fillColor = -1</t>
  </si>
  <si>
    <t xml:space="preserve">    For Each ent In entries</t>
  </si>
  <si>
    <t xml:space="preserve">        If ent(3) And Not ent(5) Then ApplyLeaveToShift = ent(0): Exit Function</t>
  </si>
  <si>
    <t xml:space="preserve">    Next ent</t>
  </si>
  <si>
    <t xml:space="preserve">    n = ParseSegments(base, segS, segE)</t>
  </si>
  <si>
    <t xml:space="preserve">    If n = 0 Then ApplyLeaveToShift = base: Exit Function</t>
  </si>
  <si>
    <t xml:space="preserve">    ' 各休み区間で勤務区間を削る</t>
  </si>
  <si>
    <t xml:space="preserve">        If ent(5) Then GoTo NextEnt                     ' 出勤の行は除く</t>
  </si>
  <si>
    <t xml:space="preserve">        ReDim outS(1 To n * 2): ReDim outE(1 To n * 2)</t>
  </si>
  <si>
    <t xml:space="preserve">            If Overlap(segS(i), segE(i), CLng(ent(1)), CLng(ent(2))) &gt; 0 Then</t>
  </si>
  <si>
    <t xml:space="preserve">                hit = True</t>
  </si>
  <si>
    <t xml:space="preserve">                If firstCode = "" Then firstCode = ent(0)</t>
  </si>
  <si>
    <t xml:space="preserve">                If note &lt;&gt; "" Then note = note &amp; vbLf</t>
  </si>
  <si>
    <t xml:space="preserve">                note = note &amp; ent(4) &amp; " " &amp; FmtHM(IIf(ent(1) &gt; segS(i), ent(1), segS(i))) &amp; _</t>
  </si>
  <si>
    <t xml:space="preserve">                       "～" &amp; FmtHM(IIf(ent(2) &lt; segE(i), ent(2), segE(i)))</t>
  </si>
  <si>
    <t xml:space="preserve">                If segS(i) &lt; ent(1) Then m = m + 1: outS(m) = segS(i): outE(m) = ent(1)</t>
  </si>
  <si>
    <t xml:space="preserve">                If segE(i) &gt; ent(2) Then m = m + 1: outS(m) = ent(2): outE(m) = segE(i)</t>
  </si>
  <si>
    <t xml:space="preserve">                m = m + 1: outS(m) = segS(i): outE(m) = segE(i)</t>
  </si>
  <si>
    <t xml:space="preserve">        n = m</t>
  </si>
  <si>
    <t xml:space="preserve">        If n = 0 Then Exit For</t>
  </si>
  <si>
    <t xml:space="preserve">        ReDim segS(1 To n): ReDim segE(1 To n)</t>
  </si>
  <si>
    <t xml:space="preserve">        For j = 1 To n: segS(j) = outS(j): segE(j) = outE(j): Next j</t>
  </si>
  <si>
    <t>NextEnt:</t>
  </si>
  <si>
    <t xml:space="preserve">    If Not hit Then ApplyLeaveToShift = base: Exit Function     ' 勤務時間外の休みは影響なし</t>
  </si>
  <si>
    <t xml:space="preserve">    If n = 0 Then ApplyLeaveToShift = firstCode: note = "": Exit Function   ' 全部休み → 終日扱い</t>
  </si>
  <si>
    <t xml:space="preserve">        If txt &lt;&gt; "" Then txt = txt &amp; "/"</t>
  </si>
  <si>
    <t xml:space="preserve">        txt = txt &amp; FmtMin(segS(i)) &amp; "-" &amp; FmtMin(segE(i))</t>
  </si>
  <si>
    <t xml:space="preserve">    fillColor = CodeColor(firstCode)</t>
  </si>
  <si>
    <t xml:space="preserve">    ApplyLeaveToShift = txt</t>
  </si>
  <si>
    <t>' 出勤の行があれば、その日の勤務を返す</t>
  </si>
  <si>
    <t>'   ○あり → ○の時間（中抜けは「9-12/14-18」）／○なし → いつもの勤務時間</t>
  </si>
  <si>
    <t>Public Function WorkEntryShift(entries As Collection, ByVal defaultShift As String, _</t>
  </si>
  <si>
    <t xml:space="preserve">                               ByRef shiftTxt As String, ByRef note As String, ByRef code As String) As Boolean</t>
  </si>
  <si>
    <t xml:space="preserve">    Dim ent As Variant, full As Boolean, found As Boolean, txt As String, nT As String</t>
  </si>
  <si>
    <t xml:space="preserve">        If ent(5) Then</t>
  </si>
  <si>
    <t xml:space="preserve">            found = True</t>
  </si>
  <si>
    <t xml:space="preserve">            code = ent(0)</t>
  </si>
  <si>
    <t xml:space="preserve">            If ent(3) Then</t>
  </si>
  <si>
    <t xml:space="preserve">                full = True</t>
  </si>
  <si>
    <t xml:space="preserve">                If txt &lt;&gt; "" Then txt = txt &amp; "/": nT = nT &amp; "、"</t>
  </si>
  <si>
    <t xml:space="preserve">                txt = txt &amp; FmtMin(CLng(ent(1))) &amp; "-" &amp; FmtMin(CLng(ent(2)))</t>
  </si>
  <si>
    <t xml:space="preserve">                nT = nT &amp; FmtHM(CLng(ent(1))) &amp; "～" &amp; FmtHM(CLng(ent(2)))</t>
  </si>
  <si>
    <t xml:space="preserve">    If Not found Then Exit Function</t>
  </si>
  <si>
    <t xml:space="preserve">    If full Or txt = "" Then</t>
  </si>
  <si>
    <t xml:space="preserve">        If defaultShift = "" Then</t>
  </si>
  <si>
    <t xml:space="preserve">            note = LV_TYPE_WORK &amp; "（いつもの勤務時間がありません。③で時間に○を付けてください）"</t>
  </si>
  <si>
    <t xml:space="preserve">        shiftTxt = defaultShift</t>
  </si>
  <si>
    <t xml:space="preserve">        note = LV_TYPE_WORK &amp; "（いつもの勤務時間）"</t>
  </si>
  <si>
    <t xml:space="preserve">        shiftTxt = txt</t>
  </si>
  <si>
    <t xml:space="preserve">        note = LV_TYPE_WORK &amp; " " &amp; nT</t>
  </si>
  <si>
    <t xml:space="preserve">    WorkEntryShift = True</t>
  </si>
  <si>
    <t>Public Function HasWorkEntry(entries As Collection) As Boolean</t>
  </si>
  <si>
    <t xml:space="preserve">    Dim ent As Variant</t>
  </si>
  <si>
    <t xml:space="preserve">        If ent(5) Then HasWorkEntry = True: Exit Function</t>
  </si>
  <si>
    <t>Public Function FmtHM(ByVal mins As Long) As String</t>
  </si>
  <si>
    <t xml:space="preserve">    FmtHM = (mins \ 60) &amp; ":" &amp; Format$(mins Mod 60, "00")</t>
  </si>
  <si>
    <t>Public Function CodeColor(ByVal code As String) As Long</t>
  </si>
  <si>
    <t xml:space="preserve">    CodeColor = RGB(226, 239, 218)</t>
  </si>
  <si>
    <t xml:space="preserve">        If Trim$(CStr(st.Cells(r, STC_CODE).Value)) = code And code &lt;&gt; "" Then</t>
  </si>
  <si>
    <t xml:space="preserve">            CodeColor = st.Cells(r, STC_CODE).Interior.color</t>
  </si>
  <si>
    <t>Private Function CodeFontColor(ByVal code As String) As Long</t>
  </si>
  <si>
    <t xml:space="preserve">    CodeFontColor = RGB(0, 0, 0)</t>
  </si>
  <si>
    <t xml:space="preserve">            CodeFontColor = st.Cells(r, STC_CODE).Font.color</t>
  </si>
  <si>
    <t>' ③休暇管理シートを作る</t>
  </si>
  <si>
    <t>Public Sub BuildLeaveSheet(ws As Worksheet)</t>
  </si>
  <si>
    <t xml:space="preserve">    Dim wsM As Worksheet, nmCol As String, roleCol As String, fc As FormatCondition</t>
  </si>
  <si>
    <t xml:space="preserve">    Dim k As Long, nSlot As Long, cH As Long, cN As Long, slotRng As Range, f1 As String</t>
  </si>
  <si>
    <t xml:space="preserve">    Set wsM = ThisWorkbook.Worksheets(SH_MEMBER)</t>
  </si>
  <si>
    <t xml:space="preserve">    If Not LoadMemberColsPublic(wsM) Then Exit Sub</t>
  </si>
  <si>
    <t xml:space="preserve">    nmCol = ColLetter(MemberNameCol())</t>
  </si>
  <si>
    <t xml:space="preserve">    roleCol = ColLetter(MemberRoleCol())</t>
  </si>
  <si>
    <t xml:space="preserve">    nSlot = LvSlotCount(): cH = LcHours(): cN = LcNote()</t>
  </si>
  <si>
    <t xml:space="preserve">    EnsureLeaveCodeSettings</t>
  </si>
  <si>
    <t xml:space="preserve">    ws.Tab.color = RGB(255, 192, 0)</t>
  </si>
  <si>
    <t xml:space="preserve">    ws.Rows(1).RowHeight = 30</t>
  </si>
  <si>
    <t xml:space="preserve">    With ws.Range("C1")</t>
  </si>
  <si>
    <t xml:space="preserve">        .Value = "③ 休暇管理（1時間単位）"</t>
  </si>
  <si>
    <t xml:space="preserve">        .Font.Size = 16</t>
  </si>
  <si>
    <t xml:space="preserve">        .Font.color = RGB(31, 78, 121)</t>
  </si>
  <si>
    <t xml:space="preserve">    ws.Range("C2").Value = "1行に1件。種類「休み」＝いない時間の枠に「休」、種類「出勤」（休みの日の出勤）＝いる時間の枠に「出」。午前だけ未勤務・中抜けもOK。"</t>
  </si>
  <si>
    <t xml:space="preserve">    ws.Range("C3").Value = "枠が空欄なら1日まるごと（休み＝終日休み、出勤＝いつもの時間）。" &amp; _</t>
  </si>
  <si>
    <t xml:space="preserve">                           "枠をまとめて選んで「休」を入力し Ctrl＋Enter で一度に入ります。"</t>
  </si>
  <si>
    <t xml:space="preserve">    ws.Range("C2:C3").Font.color = RGB(89, 89, 89)</t>
  </si>
  <si>
    <t xml:space="preserve">    ws.Cells(LV_HEAD, LC_NO).Value = "No"</t>
  </si>
  <si>
    <t xml:space="preserve">    ws.Cells(LV_HEAD, LC_DATE).Value = "日付"</t>
  </si>
  <si>
    <t xml:space="preserve">    ws.Cells(LV_HEAD, LC_NAME).Value = "氏名"</t>
  </si>
  <si>
    <t xml:space="preserve">    ws.Cells(LV_HEAD, LC_TYPE).Value = "種類"</t>
  </si>
  <si>
    <t xml:space="preserve">    For k = 0 To nSlot - 1</t>
  </si>
  <si>
    <t xml:space="preserve">        ws.Cells(LV_HEAD, LC_SLOT1 + k).Value = (TS_FIRST_HOUR + k) &amp; ":00"</t>
  </si>
  <si>
    <t xml:space="preserve">    ws.Cells(LV_HEAD, cH).Value = "時間"</t>
  </si>
  <si>
    <t xml:space="preserve">    ws.Cells(LV_HEAD, cN).Value = "備考（理由など）"</t>
  </si>
  <si>
    <t xml:space="preserve">    With ws.Range(ws.Cells(LV_HEAD, LC_NO), ws.Cells(LV_HEAD, cN))</t>
  </si>
  <si>
    <t xml:space="preserve">    ws.Range(ws.Cells(LV_HEAD, LC_SLOT1), ws.Cells(LV_HEAD, LC_SLOT1 + nSlot - 1)).Interior.color = RGB(47, 117, 181)</t>
  </si>
  <si>
    <t xml:space="preserve">    ws.Range(ws.Cells(LV_HEAD, LC_SLOT1), ws.Cells(LV_HEAD, LC_SLOT1 + nSlot - 1)).NumberFormat = "h:mm"</t>
  </si>
  <si>
    <t xml:space="preserve">    ws.Rows(LV_HEAD).RowHeight = 24</t>
  </si>
  <si>
    <t xml:space="preserve">    ws.Rows(LV_HEAD - 1).RowHeight = 24</t>
  </si>
  <si>
    <t xml:space="preserve">    ws.Cells(LV_HEAD - 1, LC_DATE).Value = "黄色＝入力　灰色＝自動"</t>
  </si>
  <si>
    <t xml:space="preserve">    ws.Cells(LV_HEAD - 1, LC_DATE).Font.Size = 9</t>
  </si>
  <si>
    <t xml:space="preserve">    ws.Cells(LV_HEAD - 1, LC_DATE).Font.color = RGB(118, 118, 118)</t>
  </si>
  <si>
    <t xml:space="preserve">    With ws.Range(ws.Cells(LV_HEAD - 1, LC_SLOT1), ws.Cells(LV_HEAD - 1, LC_SLOT1 + nSlot - 1))</t>
  </si>
  <si>
    <t xml:space="preserve">        .Merge</t>
  </si>
  <si>
    <t xml:space="preserve">        .Value = "休 ＝ いない時間 ／ 出 ＝ いる時間"</t>
  </si>
  <si>
    <t xml:space="preserve">        .Interior.color = RGB(221, 235, 247)</t>
  </si>
  <si>
    <t xml:space="preserve">    ' 入力欄</t>
  </si>
  <si>
    <t xml:space="preserve">    ws.Range(ws.Cells(LV_FIRST, LC_DATE), ws.Cells(LV_LAST, cN)).Interior.color = RGB(255, 255, 230)</t>
  </si>
  <si>
    <t xml:space="preserve">    With ws.Range(ws.Cells(LV_FIRST, LC_NO), ws.Cells(LV_LAST, cN)).Borders</t>
  </si>
  <si>
    <t xml:space="preserve">    ws.Range(ws.Cells(LV_HEAD, LC_SLOT1), ws.Cells(LV_LAST, LC_SLOT1)).Borders(xlEdgeLeft).Weight = xlMedium</t>
  </si>
  <si>
    <t xml:space="preserve">    ws.Range(ws.Cells(LV_HEAD, cH), ws.Cells(LV_LAST, cH)).Borders(xlEdgeLeft).Weight = xlMedium</t>
  </si>
  <si>
    <t xml:space="preserve">    ws.Range(ws.Cells(LV_FIRST, LC_DATE), ws.Cells(LV_LAST, LC_DATE)).NumberFormat = "yyyy/m/d(aaa)"</t>
  </si>
  <si>
    <t xml:space="preserve">    ws.Range(ws.Cells(LV_FIRST, LC_NO), ws.Cells(LV_LAST, cH)).HorizontalAlignment = xlCenter</t>
  </si>
  <si>
    <t xml:space="preserve">    ws.Range(ws.Cells(LV_FIRST, LC_NAME), ws.Cells(LV_LAST, LC_NAME)).HorizontalAlignment = xlLeft</t>
  </si>
  <si>
    <t xml:space="preserve">    ' ドロップダウン</t>
  </si>
  <si>
    <t xml:space="preserve">    ThisWorkbook.names("メンバー一覧").Delete</t>
  </si>
  <si>
    <t xml:space="preserve">    ThisWorkbook.names("休暇種類").Delete</t>
  </si>
  <si>
    <t xml:space="preserve">    ThisWorkbook.names.Add Name:="メンバー一覧", RefersTo:="=OFFSET('" &amp; SH_MEMBER &amp; "'!$" &amp; nmCol &amp; "$" &amp; M_FIRST_ROW &amp; ",0,0,MAX(1,COUNTA('" &amp; _</t>
  </si>
  <si>
    <t xml:space="preserve">        SH_MEMBER &amp; "'!$" &amp; nmCol &amp; "$" &amp; M_FIRST_ROW &amp; ":$" &amp; nmCol &amp; "$" &amp; M_MAX_ROW &amp; ")),1)"</t>
  </si>
  <si>
    <t xml:space="preserve">    With ws.Range(ws.Cells(LV_FIRST, LC_DATE), ws.Cells(LV_LAST, LC_DATE)).Validation</t>
  </si>
  <si>
    <t xml:space="preserve">        .Delete</t>
  </si>
  <si>
    <t xml:space="preserve">        .Add Type:=xlValidateDate, AlertStyle:=xlValidAlertStop, Operator:=xlGreater, Formula1:="2000/1/1"</t>
  </si>
  <si>
    <t xml:space="preserve">        .ErrorMessage = "日付を入力してください（例：2026/10/15）"</t>
  </si>
  <si>
    <t xml:space="preserve">    With ws.Range(ws.Cells(LV_FIRST, LC_NAME), ws.Cells(LV_LAST, LC_NAME)).Validation</t>
  </si>
  <si>
    <t xml:space="preserve">        .Add Type:=xlValidateList, AlertStyle:=xlValidAlertStop, Formula1:="=メンバー一覧"</t>
  </si>
  <si>
    <t xml:space="preserve">    With ws.Range(ws.Cells(LV_FIRST, LC_TYPE), ws.Cells(LV_LAST, LC_TYPE)).Validation</t>
  </si>
  <si>
    <t xml:space="preserve">        .Add Type:=xlValidateList, AlertStyle:=xlValidAlertStop, Formula1:=LV_TYPE_OFF &amp; "," &amp; LV_TYPE_WORK</t>
  </si>
  <si>
    <t xml:space="preserve">    Set slotRng = ws.Range(ws.Cells(LV_FIRST, LC_SLOT1), ws.Cells(LV_LAST, LC_SLOT1 + nSlot - 1))</t>
  </si>
  <si>
    <t xml:space="preserve">    With slotRng.Validation</t>
  </si>
  <si>
    <t xml:space="preserve">        .Add Type:=xlValidateList, AlertStyle:=xlValidAlertStop, Formula1:=MARK_OFF &amp; "," &amp; MARK_WORK</t>
  </si>
  <si>
    <t xml:space="preserve">        .ErrorMessage = "「休」（いない）か「出」（いる）を選んでください。"</t>
  </si>
  <si>
    <t xml:space="preserve">    WriteLeaveFormulas ws, LV_FIRST, LV_LAST, nmCol, roleCol</t>
  </si>
  <si>
    <t xml:space="preserve">    ' 色：枠の「出」＝③出勤の記号の色、「休」＝③休みの記号の色。種類「出勤」は青</t>
  </si>
  <si>
    <t xml:space="preserve">    slotRng.FormatConditions.Delete</t>
  </si>
  <si>
    <t xml:space="preserve">    f1 = ColLetter(LC_SLOT1) &amp; LV_FIRST</t>
  </si>
  <si>
    <t xml:space="preserve">    Set fc = slotRng.FormatConditions.Add(Type:=xlCellValue, Operator:=xlEqual, Formula1:="=""" &amp; MARK_WORK &amp; """")</t>
  </si>
  <si>
    <t xml:space="preserve">    fc.Interior.color = CodeColor(LeaveWorkCode())</t>
  </si>
  <si>
    <t xml:space="preserve">    fc.Font.color = CodeFontColor(LeaveWorkCode())</t>
  </si>
  <si>
    <t xml:space="preserve">    Set fc = slotRng.FormatConditions.Add(Type:=xlCellValue, Operator:=xlEqual, Formula1:="=""" &amp; MARK_OFF &amp; """")</t>
  </si>
  <si>
    <t xml:space="preserve">    fc.Interior.color = CodeColor(LeaveOffCode())</t>
  </si>
  <si>
    <t xml:space="preserve">    fc.Font.color = CodeFontColor(LeaveOffCode())</t>
  </si>
  <si>
    <t xml:space="preserve">    With ws.Range(ws.Cells(LV_FIRST, LC_TYPE), ws.Cells(LV_LAST, LC_TYPE))</t>
  </si>
  <si>
    <t xml:space="preserve">        Set fc = .FormatConditions.Add(Type:=xlCellValue, Operator:=xlEqual, Formula1:="=""" &amp; LV_TYPE_WORK &amp; """")</t>
  </si>
  <si>
    <t xml:space="preserve">        fc.Interior.color = RGB(189, 215, 238)</t>
  </si>
  <si>
    <t xml:space="preserve">        fc.Font.color = RGB(31, 78, 121)</t>
  </si>
  <si>
    <t xml:space="preserve">    With ws.Range(ws.Cells(LV_FIRST, LC_NAME), ws.Cells(LV_LAST, LC_NAME))</t>
  </si>
  <si>
    <t xml:space="preserve">        Set fc = .FormatConditions.Add(Type:=xlExpression, Formula1:="=AND($C" &amp; LV_FIRST &amp; "&lt;&gt;"""",$D" &amp; LV_FIRST &amp; "="""")")</t>
  </si>
  <si>
    <t xml:space="preserve">        fc.Interior.color = RGB(255, 199, 206)</t>
  </si>
  <si>
    <t xml:space="preserve">    With ws.Range(ws.Cells(LV_FIRST, cH), ws.Cells(LV_LAST, cH))</t>
  </si>
  <si>
    <t xml:space="preserve">        Set fc = .FormatConditions.Add(Type:=xlExpression, Formula1:="=LEFT(" &amp; ColLetter(cH) &amp; LV_FIRST &amp; ",2)=""終日""")</t>
  </si>
  <si>
    <t xml:space="preserve">    ws.Columns(LC_NO).ColumnWidth = 5</t>
  </si>
  <si>
    <t xml:space="preserve">    ws.Columns(LC_DATE).ColumnWidth = 15</t>
  </si>
  <si>
    <t xml:space="preserve">    ws.Columns(LC_NAME).ColumnWidth = 12</t>
  </si>
  <si>
    <t xml:space="preserve">    ws.Columns(LC_ROLE).ColumnWidth = 7</t>
  </si>
  <si>
    <t xml:space="preserve">    ws.Columns(LC_TYPE).ColumnWidth = 8</t>
  </si>
  <si>
    <t xml:space="preserve">    ws.Range(ws.Columns(LC_SLOT1), ws.Columns(LC_SLOT1 + nSlot - 1)).ColumnWidth = 6</t>
  </si>
  <si>
    <t xml:space="preserve">    ws.Columns(cH).ColumnWidth = 12</t>
  </si>
  <si>
    <t xml:space="preserve">    ws.Columns(cN).ColumnWidth = 30</t>
  </si>
  <si>
    <t xml:space="preserve">    MakeButton ws, ws.Cells(1, cN).Left + 8, 3, 220, 26, "次へ：④ 月間シフト作成 " &amp; IcoNext, RGB(112, 173, 71), "GoStep4"</t>
  </si>
  <si>
    <t xml:space="preserve">    MakeButton ws, ws.Cells(LV_HEAD - 1, cN).Left + 8, ws.Cells(LV_HEAD - 1, cN).top + 2, 220, 20, "日付順に並べ替え", RGB(127, 127, 127), "SortLeaves"</t>
  </si>
  <si>
    <t xml:space="preserve">    ws.Cells(LV_FIRST, LC_SLOT1).Select</t>
  </si>
  <si>
    <t xml:space="preserve">    ws.Cells(LV_FIRST, LC_DATE).Select</t>
  </si>
  <si>
    <t>Private Sub WriteLeaveFormulas(ws As Worksheet, ByVal r1 As Long, ByVal r2 As Long, ByVal nmCol As String, ByVal roleCol As String)</t>
  </si>
  <si>
    <t xml:space="preserve">    Dim mRng As String, slotS As String, cH As Long</t>
  </si>
  <si>
    <t xml:space="preserve">    cH = LcHours()</t>
  </si>
  <si>
    <t xml:space="preserve">    mRng = "'" &amp; SH_MEMBER &amp; "'!$"</t>
  </si>
  <si>
    <t xml:space="preserve">    slotS = ColLetter(LC_SLOT1) &amp; r1 &amp; ":" &amp; ColLetter(LC_SLOT1 + LvSlotCount() - 1) &amp; r1</t>
  </si>
  <si>
    <t xml:space="preserve">    ws.Range(ws.Cells(r1, LC_NO), ws.Cells(r2, LC_NO)).Formula = "=IF(B" &amp; r1 &amp; "="""","""",ROW()-" &amp; (LV_FIRST - 1) &amp; ")"</t>
  </si>
  <si>
    <t xml:space="preserve">    ws.Range(ws.Cells(r1, LC_ROLE), ws.Cells(r2, LC_ROLE)).Formula = "=IF(C" &amp; r1 &amp; "="""","""",IFERROR(INDEX(" &amp; mRng &amp; roleCol &amp; "$" &amp; M_FIRST_ROW &amp; ":$" &amp; roleCol &amp; "$" &amp; M_MAX_ROW &amp; _</t>
  </si>
  <si>
    <t xml:space="preserve">        ",MATCH(C" &amp; r1 &amp; "," &amp; mRng &amp; nmCol &amp; "$" &amp; M_FIRST_ROW &amp; ":$" &amp; nmCol &amp; "$" &amp; M_MAX_ROW &amp; ",0)),""""))"</t>
  </si>
  <si>
    <t xml:space="preserve">    ' 例：「休 2h」「出 5h」、枠が空欄なら「終日」（休み）／「いつもの時間」（出勤）</t>
  </si>
  <si>
    <t xml:space="preserve">    ws.Range(ws.Cells(r1, cH), ws.Cells(r2, cH)).Formula = "=IF(C" &amp; r1 &amp; "="""","""",IF(COUNTA(" &amp; slotS &amp; ")=0," &amp; _</t>
  </si>
  <si>
    <t xml:space="preserve">        "IF(E" &amp; r1 &amp; "=""" &amp; LV_TYPE_WORK &amp; """,""いつもの時間"",""終日"")," &amp; _</t>
  </si>
  <si>
    <t xml:space="preserve">        "TRIM(IF(COUNTIF(" &amp; slotS &amp; ",""" &amp; MARK_OFF &amp; """)&gt;0,""休 ""&amp;COUNTIF(" &amp; slotS &amp; ",""" &amp; MARK_OFF &amp; """)&amp;""h "","""")" &amp; _</t>
  </si>
  <si>
    <t xml:space="preserve">        "&amp;IF(COUNTIF(" &amp; slotS &amp; ",""" &amp; MARK_WORK &amp; """)&gt;0,""出 ""&amp;COUNTIF(" &amp; slotS &amp; ",""" &amp; MARK_WORK &amp; """)&amp;""h"",""""))))"</t>
  </si>
  <si>
    <t xml:space="preserve">    With ws.Range(ws.Cells(r1, LC_NO), ws.Cells(r2, LC_NO))</t>
  </si>
  <si>
    <t xml:space="preserve">        .Font.color = RGB(118, 118, 118)</t>
  </si>
  <si>
    <t xml:space="preserve">    ws.Range(ws.Cells(r1, LC_ROLE), ws.Cells(r2, LC_ROLE)).Interior.color = RGB(242, 242, 242)</t>
  </si>
  <si>
    <t xml:space="preserve">    ws.Range(ws.Cells(r1, cH), ws.Cells(r2, cH)).Interior.color = RGB(242, 242, 242)</t>
  </si>
  <si>
    <t>' 日付→氏名の順に並べ替え（入力欄だけ並べ替えて、自動の列は式を書き直す）</t>
  </si>
  <si>
    <t>Public Sub SortLeaves()</t>
  </si>
  <si>
    <t xml:space="preserve">    Dim ws As Worksheet, lastR As Long, wsM As Worksheet</t>
  </si>
  <si>
    <t xml:space="preserve">    If lastR &lt; LV_FIRST + 1 Then Exit Sub</t>
  </si>
  <si>
    <t xml:space="preserve">    With ws.Sort</t>
  </si>
  <si>
    <t xml:space="preserve">        .SortFields.Clear</t>
  </si>
  <si>
    <t xml:space="preserve">        .SortFields.Add key:=ws.Range(ws.Cells(LV_FIRST, LC_DATE), ws.Cells(lastR, LC_DATE)), order:=xlAscending</t>
  </si>
  <si>
    <t xml:space="preserve">        .SortFields.Add key:=ws.Range(ws.Cells(LV_FIRST, LC_NAME), ws.Cells(lastR, LC_NAME)), order:=xlAscending</t>
  </si>
  <si>
    <t xml:space="preserve">        .SetRange ws.Range(ws.Cells(LV_FIRST, LC_DATE), ws.Cells(lastR, LcNote()))</t>
  </si>
  <si>
    <t xml:space="preserve">        .Header = xlNo</t>
  </si>
  <si>
    <t xml:space="preserve">        .Apply</t>
  </si>
  <si>
    <t xml:space="preserve">    If LoadMemberColsPublic(wsM) Then</t>
  </si>
  <si>
    <t xml:space="preserve">        WriteLeaveFormulas ws, LV_FIRST, LV_LAST, ColLetter(MemberNameCol()), ColLetter(MemberRoleCol())</t>
  </si>
  <si>
    <t>' ①各種設定：「振＝振替出勤（出勤）」と、③で使う記号の設定</t>
  </si>
  <si>
    <t>Public Sub EnsureWorkCode()</t>
  </si>
  <si>
    <t xml:space="preserve">    Dim st As Worksheet, r As Long, found As Boolean, emptyR As Long</t>
  </si>
  <si>
    <t xml:space="preserve">        If Trim$(CStr(st.Cells(r, STC_CODE_DESC).Value)) = "振替出勤" Then found = True</t>
  </si>
  <si>
    <t xml:space="preserve">        If emptyR = 0 And Trim$(CStr(st.Cells(r, STC_CODE).Value)) = "" Then emptyR = r</t>
  </si>
  <si>
    <t xml:space="preserve">    With st.Range(st.Cells(ST_FIRST_ROW, STC_CODE_KIND), st.Cells(ST_FIRST_ROW + 19, STC_CODE_KIND)).Validation</t>
  </si>
  <si>
    <t xml:space="preserve">        .Add Type:=xlValidateList, AlertStyle:=xlValidAlertStop, Formula1:="公休,有給,その他,出勤"</t>
  </si>
  <si>
    <t xml:space="preserve">    If Not found And emptyR &gt; 0 Then</t>
  </si>
  <si>
    <t xml:space="preserve">        st.Cells(emptyR, STC_CODE).Value = "振"</t>
  </si>
  <si>
    <t xml:space="preserve">        st.Cells(emptyR, STC_CODE).Interior.color = RGB(189, 215, 238)</t>
  </si>
  <si>
    <t xml:space="preserve">        st.Cells(emptyR, STC_CODE).Font.color = RGB(31, 78, 121)</t>
  </si>
  <si>
    <t xml:space="preserve">        st.Cells(emptyR, STC_CODE).Font.Bold = True</t>
  </si>
  <si>
    <t xml:space="preserve">        st.Cells(emptyR, STC_CODE).HorizontalAlignment = xlCenter</t>
  </si>
  <si>
    <t xml:space="preserve">        st.Cells(emptyR, STC_CODE_DESC).Value = "振替出勤"</t>
  </si>
  <si>
    <t xml:space="preserve">        st.Cells(emptyR, STC_CODE_KIND).Value = "出勤"</t>
  </si>
  <si>
    <t xml:space="preserve">        st.Cells(emptyR, STC_CODE_KIND).HorizontalAlignment = xlCenter</t>
  </si>
  <si>
    <t>Public Sub EnsureLeaveCodeSettings()</t>
  </si>
  <si>
    <t xml:space="preserve">    Dim st As Worksheet, r As Long, top As Long, hasOff As Boolean, defOff As String</t>
  </si>
  <si>
    <t xml:space="preserve">        If Trim$(CStr(st.Cells(r, STC_JDG_KEY).Value)) = KEY_OFF_CODE Then hasOff = True</t>
  </si>
  <si>
    <t xml:space="preserve">    If hasOff Then Exit Sub</t>
  </si>
  <si>
    <t xml:space="preserve">    defOff = LeaveOffCode()</t>
  </si>
  <si>
    <t xml:space="preserve">    top = ST_REQ_HEAD + 11                      ' 充足判定の設定の下</t>
  </si>
  <si>
    <t xml:space="preserve">    st.Cells(top - 1, STC_JDG_KEY).Value = "③休暇管理で使う記号"</t>
  </si>
  <si>
    <t xml:space="preserve">    st.Cells(top - 1, STC_JDG_KEY).Font.Bold = True</t>
  </si>
  <si>
    <t xml:space="preserve">    st.Cells(top, STC_JDG_KEY).Value = KEY_OFF_CODE</t>
  </si>
  <si>
    <t xml:space="preserve">    st.Cells(top, STC_JDG_VAL).Value = defOff</t>
  </si>
  <si>
    <t xml:space="preserve">    st.Cells(top + 1, STC_JDG_KEY).Value = KEY_WORK_CODE</t>
  </si>
  <si>
    <t xml:space="preserve">    st.Cells(top + 1, STC_JDG_VAL).Value = "振"</t>
  </si>
  <si>
    <t xml:space="preserve">    With st.Range(st.Cells(top, STC_JDG_KEY), st.Cells(top + 1, STC_JDG_VAL))</t>
  </si>
  <si>
    <t xml:space="preserve">    With st.Range(st.Cells(top, STC_JDG_VAL), st.Cells(top + 1, STC_JDG_VAL))</t>
  </si>
  <si>
    <t xml:space="preserve">        .Interior.color = RGB(255, 255, 230)</t>
  </si>
  <si>
    <t xml:space="preserve">        .Validation.Delete</t>
  </si>
  <si>
    <t xml:space="preserve">        .Validation.Add Type:=xlValidateList, AlertStyle:=xlValidAlertStop, _</t>
  </si>
  <si>
    <t xml:space="preserve">            Formula1:="='" &amp; SH_SETTING &amp; "'!$" &amp; ColLetter(STC_CODE) &amp; "$" &amp; ST_FIRST_ROW &amp; ":$" &amp; ColLetter(STC_CODE) &amp; "$" &amp; (ST_FIRST_ROW + 19)</t>
  </si>
  <si>
    <t xml:space="preserve">    st.Cells(top + 2, STC_JDG_KEY).Value = "・月間シフトで③の「休み」「出勤」を表示する記号（色も使います）"</t>
  </si>
  <si>
    <t xml:space="preserve">    st.Cells(top + 2, STC_JDG_KEY).Font.Size = 9</t>
  </si>
  <si>
    <t xml:space="preserve">    st.Cells(top + 2, STC_JDG_KEY).Font.color = RGB(89, 89, 89)</t>
  </si>
  <si>
    <t>' ③休暇管理を新しい形（1時間枠）に作り直す。旧形式（開始・終了）の入力は変換して引き継ぐ</t>
  </si>
  <si>
    <t>Public Sub MigrateLeaveSheetV4()</t>
  </si>
  <si>
    <t xml:space="preserve">    Dim wb As Workbook, ws As Worksheet, r As Long, lastR As Long, n As Long, k As Long</t>
  </si>
  <si>
    <t xml:space="preserve">    Dim dts() As Variant, nms() As Variant, typs() As Variant, aa() As Long, bb() As Long, notes() As Variant</t>
  </si>
  <si>
    <t xml:space="preserve">    Dim kindOf As Object, codeOf As Object, typ As String, s As Long, idx As Long</t>
  </si>
  <si>
    <t xml:space="preserve">    If SheetExists(SH_LEAVE) Then</t>
  </si>
  <si>
    <t xml:space="preserve">        Set ws = wb.Worksheets(SH_LEAVE)</t>
  </si>
  <si>
    <t xml:space="preserve">        If Left$(CStr(ws.Cells(LV_HEAD, 6).Value), 2) = "開始" Then        ' 旧形式</t>
  </si>
  <si>
    <t xml:space="preserve">            lastR = ws.Cells(ws.Rows.Count, LC_DATE).End(xlUp).row</t>
  </si>
  <si>
    <t xml:space="preserve">            ReDim dts(1 To 1000): ReDim nms(1 To 1000): ReDim typs(1 To 1000)</t>
  </si>
  <si>
    <t xml:space="preserve">            ReDim aa(1 To 1000): ReDim bb(1 To 1000): ReDim notes(1 To 1000)</t>
  </si>
  <si>
    <t xml:space="preserve">            Set codeOf = CreateObject("Scripting.Dictionary")</t>
  </si>
  <si>
    <t xml:space="preserve">            For r = ST_FIRST_ROW To ST_FIRST_ROW + 19</t>
  </si>
  <si>
    <t xml:space="preserve">                codeOf(Trim$(CStr(wb.Worksheets(SH_SETTING).Cells(r, STC_CODE_DESC).Value))) = _</t>
  </si>
  <si>
    <t xml:space="preserve">                    Trim$(CStr(wb.Worksheets(SH_SETTING).Cells(r, STC_CODE_KIND).Value))</t>
  </si>
  <si>
    <t xml:space="preserve">            Next r</t>
  </si>
  <si>
    <t xml:space="preserve">            For r = LV_FIRST To lastR</t>
  </si>
  <si>
    <t xml:space="preserve">                If IsDate(ws.Cells(r, 2).Value) And Trim$(CStr(ws.Cells(r, 3).Value)) &lt;&gt; "" And n &lt; 1000 Then</t>
  </si>
  <si>
    <t xml:space="preserve">                    n = n + 1</t>
  </si>
  <si>
    <t xml:space="preserve">                    dts(n) = ws.Cells(r, 2).Value</t>
  </si>
  <si>
    <t xml:space="preserve">                    nms(n) = ws.Cells(r, 3).Value</t>
  </si>
  <si>
    <t xml:space="preserve">                    typ = Trim$(CStr(ws.Cells(r, 5).Value))</t>
  </si>
  <si>
    <t xml:space="preserve">                    typs(n) = LV_TYPE_OFF</t>
  </si>
  <si>
    <t xml:space="preserve">                    If codeOf.Exists(typ) Then If codeOf(typ) = "出勤" Then typs(n) = LV_TYPE_WORK</t>
  </si>
  <si>
    <t xml:space="preserve">                    aa(n) = LeaveTimeToMin(ws.Cells(r, 6).Value)</t>
  </si>
  <si>
    <t xml:space="preserve">                    bb(n) = LeaveTimeToMin(ws.Cells(r, 7).Value)</t>
  </si>
  <si>
    <t xml:space="preserve">                    notes(n) = ws.Cells(r, 9).Value</t>
  </si>
  <si>
    <t xml:space="preserve">            idx = ws.Index</t>
  </si>
  <si>
    <t xml:space="preserve">            Application.DisplayAlerts = False</t>
  </si>
  <si>
    <t xml:space="preserve">            ws.Delete</t>
  </si>
  <si>
    <t xml:space="preserve">            Application.DisplayAlerts = True</t>
  </si>
  <si>
    <t xml:space="preserve">            Set ws = wb.Worksheets.Add(Before:=wb.Worksheets(idx))</t>
  </si>
  <si>
    <t xml:space="preserve">            ws.Name = SH_LEAVE</t>
  </si>
  <si>
    <t xml:space="preserve">            BuildLeaveSheet ws</t>
  </si>
  <si>
    <t xml:space="preserve">            For k = 1 To n</t>
  </si>
  <si>
    <t xml:space="preserve">                r = LV_FIRST + k - 1</t>
  </si>
  <si>
    <t xml:space="preserve">                ws.Cells(r, LC_DATE).Value = dts(k)</t>
  </si>
  <si>
    <t xml:space="preserve">                ws.Cells(r, LC_NAME).Value = nms(k)</t>
  </si>
  <si>
    <t xml:space="preserve">                ws.Cells(r, LC_TYPE).Value = typs(k)</t>
  </si>
  <si>
    <t xml:space="preserve">                ws.Cells(r, LcNote()).Value = notes(k)</t>
  </si>
  <si>
    <t xml:space="preserve">                If aa(k) &gt;= 0 Or bb(k) &gt;= 0 Then</t>
  </si>
  <si>
    <t xml:space="preserve">                    If aa(k) &lt; 0 Then aa(k) = 0</t>
  </si>
  <si>
    <t xml:space="preserve">                    If bb(k) &lt; 0 Then bb(k) = 24 * 60</t>
  </si>
  <si>
    <t xml:space="preserve">                    For s = 0 To LvSlotCount() - 1</t>
  </si>
  <si>
    <t xml:space="preserve">                        If Overlap((TS_FIRST_HOUR + s) * 60, (TS_FIRST_HOUR + s + 1) * 60, aa(k), bb(k)) &gt; 0 Then</t>
  </si>
  <si>
    <t xml:space="preserve">                            ws.Cells(r, LC_SLOT1 + s).Value = IIf(typs(k) = LV_TYPE_WORK, MARK_WORK, MARK_OFF)</t>
  </si>
  <si>
    <t xml:space="preserve">                    Next s</t>
  </si>
  <si>
    <t xml:space="preserve">        Set ws = wb.Worksheets.Add(After:=wb.Worksheets(SH_MEMBER))</t>
  </si>
  <si>
    <t xml:space="preserve">        ws.Name = SH_LEAVE</t>
  </si>
  <si>
    <t xml:space="preserve">        BuildLeaveSheet ws</t>
  </si>
  <si>
    <t>' ③の1時間枠を「○」から「休／出」に作り直す（○は種類に合わせて 休／出 に置き換えて引き継ぐ）</t>
  </si>
  <si>
    <t>Public Sub MigrateLeaveSheetV5()</t>
  </si>
  <si>
    <t xml:space="preserve">    Dim wb As Workbook, ws As Worksheet, r As Long, lastR As Long, n As Long, k As Long, idx As Long</t>
  </si>
  <si>
    <t xml:space="preserve">    Dim nSlot As Long, dts() As Variant, nms() As Variant, alld() As String, notes() As Variant</t>
  </si>
  <si>
    <t xml:space="preserve">    Dim sl() As String, v As Variant, anyMark As Boolean, typ As String, noteCol As Long</t>
  </si>
  <si>
    <t xml:space="preserve">    If Not SheetExists(SH_LEAVE) Then MigrateLeaveSheetV4: Exit Sub</t>
  </si>
  <si>
    <t xml:space="preserve">    Set ws = wb.Worksheets(SH_LEAVE)</t>
  </si>
  <si>
    <t xml:space="preserve">    If Left$(CStr(ws.Cells(LV_HEAD, 6).Value), 2) = "開始" Then MigrateLeaveSheetV4: Exit Sub   ' さらに古い形</t>
  </si>
  <si>
    <t xml:space="preserve">    If InStr(CStr(ws.Cells(LV_HEAD - 1, LC_SLOT1).Value), "○") = 0 Then Exit Sub            ' 変換済み</t>
  </si>
  <si>
    <t xml:space="preserve">    noteCol = LcNote()</t>
  </si>
  <si>
    <t xml:space="preserve">    ReDim dts(1 To 1000): ReDim nms(1 To 1000): ReDim alld(1 To 1000): ReDim notes(1 To 1000)</t>
  </si>
  <si>
    <t xml:space="preserve">    ReDim sl(1 To 1000, 1 To nSlot)</t>
  </si>
  <si>
    <t xml:space="preserve">        If IsDate(ws.Cells(r, LC_DATE).Value) And Trim$(CStr(ws.Cells(r, LC_NAME).Value)) &lt;&gt; "" And n &lt; 1000 Then</t>
  </si>
  <si>
    <t xml:space="preserve">            n = n + 1</t>
  </si>
  <si>
    <t xml:space="preserve">            dts(n) = ws.Cells(r, LC_DATE).Value</t>
  </si>
  <si>
    <t xml:space="preserve">            nms(n) = ws.Cells(r, LC_NAME).Value</t>
  </si>
  <si>
    <t xml:space="preserve">            notes(n) = ws.Cells(r, noteCol).Value</t>
  </si>
  <si>
    <t xml:space="preserve">            typ = IIf(Trim$(CStr(ws.Cells(r, LC_TYPE).Value)) = LV_TYPE_WORK, LV_TYPE_WORK, LV_TYPE_OFF)</t>
  </si>
  <si>
    <t xml:space="preserve">            alld(n) = typ</t>
  </si>
  <si>
    <t xml:space="preserve">                If Trim$(CStr(v(1, k))) &lt;&gt; "" Then sl(n, k) = IIf(typ = LV_TYPE_WORK, MARK_WORK, MARK_OFF)</t>
  </si>
  <si>
    <t xml:space="preserve">    idx = ws.Index</t>
  </si>
  <si>
    <t xml:space="preserve">    Application.DisplayAlerts = False</t>
  </si>
  <si>
    <t xml:space="preserve">    ws.Delete</t>
  </si>
  <si>
    <t xml:space="preserve">    Application.DisplayAlerts = True</t>
  </si>
  <si>
    <t xml:space="preserve">    Set ws = wb.Worksheets.Add(Before:=wb.Worksheets(idx))</t>
  </si>
  <si>
    <t xml:space="preserve">    ws.Name = SH_LEAVE</t>
  </si>
  <si>
    <t xml:space="preserve">    BuildLeaveSheet ws</t>
  </si>
  <si>
    <t xml:space="preserve">    For k = 1 To n</t>
  </si>
  <si>
    <t xml:space="preserve">        r = LV_FIRST + k - 1</t>
  </si>
  <si>
    <t xml:space="preserve">        ws.Cells(r, LC_DATE).Value = dts(k)</t>
  </si>
  <si>
    <t xml:space="preserve">        ws.Cells(r, LC_NAME).Value = nms(k)</t>
  </si>
  <si>
    <t xml:space="preserve">        ws.Cells(r, LC_TYPE).Value = alld(k)</t>
  </si>
  <si>
    <t xml:space="preserve">        For idx = 1 To nSlot</t>
  </si>
  <si>
    <t xml:space="preserve">            If sl(k, idx) &lt;&gt; "" Then ws.Cells(r, LC_SLOT1 + idx - 1).Value = sl(k, idx)</t>
  </si>
  <si>
    <t xml:space="preserve">        Next idx</t>
  </si>
  <si>
    <t xml:space="preserve">        ws.Cells(r, noteCol).Value = notes(k)</t>
  </si>
  <si>
    <t>■ modTask</t>
  </si>
  <si>
    <t>標準モジュール　1299行</t>
  </si>
  <si>
    <t>' ⑦ 業務の自動割り振り：⑥タイムシフトに 電話当番（○）と業務名を入れる</t>
  </si>
  <si>
    <t>' ⑧ 配分一覧：人 × 業務 の回数（1日1回）</t>
  </si>
  <si>
    <t>' ⑨ 時間集計：人 × 業務 の時間（手修正のあとに。ルールにない業務も自動で列に）</t>
  </si>
  <si>
    <t>'   ルールは ①各種設定 の「業務ルール」表（P～X列）。上の行から順に割り振る</t>
  </si>
  <si>
    <t>'   1つの枠に複数の業務 →「/」で区切る（例：受領/通勤2次）。時間は等分して数える</t>
  </si>
  <si>
    <t>Public Const ALLOC_PREFIX As String = "⑧配分_"</t>
  </si>
  <si>
    <t>Public Const HOURS_PREFIX As String = "⑨時間_"</t>
  </si>
  <si>
    <t>Public Const PHONE_TASK As String = "電話当番"</t>
  </si>
  <si>
    <t>Public Const STC_TASK As Long = 16          ' P 業務名（セルの色＝タイムシフトでの色）</t>
  </si>
  <si>
    <t>Public Const STC_TASK_S As Long = 17        ' Q 開始（時）</t>
  </si>
  <si>
    <t>Public Const STC_TASK_E As Long = 18        ' R 終了（時）</t>
  </si>
  <si>
    <t>Public Const STC_TASK_N As Long = 20        ' T 人数</t>
  </si>
  <si>
    <t>Public Const STC_TASK_SKILL As Long = 21    ' U 必要スキル</t>
  </si>
  <si>
    <t>Public Const STC_TASK_AVOID As Long = 22    ' V 優先：この業務が同じ日に入っていない人</t>
  </si>
  <si>
    <t>Public Const STC_TASK_NOPH As Long = 24     ' X 電話当番を除く（○）</t>
  </si>
  <si>
    <t>Public Const TASK_FIRST As Long = 5</t>
  </si>
  <si>
    <t>Public Const TASK_LAST As Long = 34</t>
  </si>
  <si>
    <t>Public Const AUTO_FONT As Long = 6299648    ' RGB(0,32,96)：自動で入れた印（文字色）。やり直し時はこの色だけ消す</t>
  </si>
  <si>
    <t>Private Const HOURS_SPARE As Long = 3       ' ⑨の予備列</t>
  </si>
  <si>
    <t>Private Type TaskRule</t>
  </si>
  <si>
    <t xml:space="preserve">    nm As String</t>
  </si>
  <si>
    <t xml:space="preserve">    sMin As Long</t>
  </si>
  <si>
    <t xml:space="preserve">    eMin As Long</t>
  </si>
  <si>
    <t xml:space="preserve">    role As String</t>
  </si>
  <si>
    <t xml:space="preserve">    n As Long</t>
  </si>
  <si>
    <t xml:space="preserve">    skill As String</t>
  </si>
  <si>
    <t xml:space="preserve">    avoid As String</t>
  </si>
  <si>
    <t xml:space="preserve">    fb As String</t>
  </si>
  <si>
    <t xml:space="preserve">    noPhone As Boolean</t>
  </si>
  <si>
    <t xml:space="preserve">    isPhone As Boolean</t>
  </si>
  <si>
    <t xml:space="preserve">    color As Long</t>
  </si>
  <si>
    <t>End Type</t>
  </si>
  <si>
    <t>' 割り振り中に使う参照（AssignTasks で設定）</t>
  </si>
  <si>
    <t>Private m_wsM As Worksheet, m_wsMon As Worksheet</t>
  </si>
  <si>
    <t>Private m_memRow As Object, m_skillCol As Object, m_monRow As Object, m_monCol As Object</t>
  </si>
  <si>
    <t>' ボタンから</t>
  </si>
  <si>
    <t>Public Sub AssignTasksActive()</t>
  </si>
  <si>
    <t xml:space="preserve">    Dim ts As Worksheet</t>
  </si>
  <si>
    <t xml:space="preserve">    Set ts = TimeSheetOfActive()</t>
  </si>
  <si>
    <t xml:space="preserve">    If ts Is Nothing Then</t>
  </si>
  <si>
    <t xml:space="preserve">        Notify "⑥タイムシフト（または⑧・⑨）のシートで実行してください。", vbExclamation, "⑦ 業務の自動割り振り"</t>
  </si>
  <si>
    <t xml:space="preserve">    If Notify("「" &amp; ts.Name &amp; "」に電話当番と業務を自動で割り振ります。" &amp; vbLf &amp; vbLf &amp; _</t>
  </si>
  <si>
    <t xml:space="preserve">              "【入れ直すもの】" &amp; vbLf &amp; _</t>
  </si>
  <si>
    <t xml:space="preserve">              "・前回この機能で自動で入れた電話当番の○と業務（紺色の太字）" &amp; vbLf &amp; _</t>
  </si>
  <si>
    <t xml:space="preserve">              "　月全体で入れ直すので、自動の配置は前回と変わります" &amp; vbLf &amp; vbLf &amp; _</t>
  </si>
  <si>
    <t xml:space="preserve">              "【残すもの】" &amp; vbLf &amp; _</t>
  </si>
  <si>
    <t xml:space="preserve">              "・手で入力した○・業務・備考（自動の業務を手で書き換えた枠も含む）" &amp; vbLf &amp; _</t>
  </si>
  <si>
    <t xml:space="preserve">              "　手入力の分は、人数と回数にも数えます" &amp; vbLf &amp; _</t>
  </si>
  <si>
    <t xml:space="preserve">              "・休みの表示" &amp; vbLf &amp; vbLf &amp; _</t>
  </si>
  <si>
    <t xml:space="preserve">              "・土日祝は割り振りません（①各種設定の判定設定）" &amp; vbLf &amp; _</t>
  </si>
  <si>
    <t xml:space="preserve">              "・⑧配分一覧は作り直します。⑨時間集計は「集計し直す」で更新してください" &amp; vbLf &amp; vbLf &amp; _</t>
  </si>
  <si>
    <t xml:space="preserve">              "実行しますか？", vbYesNo + vbQuestion, "⑦ 電話当番・業務の自動割り振り") = vbNo Then Exit Sub</t>
  </si>
  <si>
    <t xml:space="preserve">    AssignTasks ts</t>
  </si>
  <si>
    <t>Public Sub GoStep7()</t>
  </si>
  <si>
    <t xml:space="preserve">    Set ts = LatestSheet(TIME_PREFIX)</t>
  </si>
  <si>
    <t xml:space="preserve">        Notify "タイムシフトがまだありません。" &amp; vbLf &amp; "⑤月間シフトの「⑥ タイムシフト作成」から作成してください。", vbInformation, "⑦ 業務の自動割り振り"</t>
  </si>
  <si>
    <t xml:space="preserve">    AssignTasksActive</t>
  </si>
  <si>
    <t>Public Sub GoStep8()</t>
  </si>
  <si>
    <t xml:space="preserve">    Set ws = LatestSheet(ALLOC_PREFIX)</t>
  </si>
  <si>
    <t xml:space="preserve">    If ws Is Nothing Then</t>
  </si>
  <si>
    <t xml:space="preserve">        Notify "配分一覧はまだありません。" &amp; vbLf &amp; "「⑦ 業務の自動割り振り」を実行すると作成されます。", vbInformation, "⑧ 配分一覧"</t>
  </si>
  <si>
    <t xml:space="preserve">    FillAllocation ws</t>
  </si>
  <si>
    <t>Public Sub GoStep9()</t>
  </si>
  <si>
    <t xml:space="preserve">        Notify "タイムシフトがまだありません。", vbInformation, "⑨ 時間集計"</t>
  </si>
  <si>
    <t xml:space="preserve">    BuildHoursSheet ts</t>
  </si>
  <si>
    <t>Public Sub RefreshActiveAllocation()</t>
  </si>
  <si>
    <t xml:space="preserve">    If Left$(ActiveSheet.Name, Len(ALLOC_PREFIX)) = ALLOC_PREFIX Then FillAllocation ActiveSheet</t>
  </si>
  <si>
    <t>Public Sub GoAllocationFromTime()</t>
  </si>
  <si>
    <t xml:space="preserve">    Dim ts As Worksheet, aName As String</t>
  </si>
  <si>
    <t xml:space="preserve">    If ts Is Nothing Then Exit Sub</t>
  </si>
  <si>
    <t xml:space="preserve">    aName = ALLOC_PREFIX &amp; Mid$(ts.Name, Len(TIME_PREFIX) + 1)</t>
  </si>
  <si>
    <t xml:space="preserve">    If Not SheetExists(aName) Then BuildAllocationSheet ts, New Collection</t>
  </si>
  <si>
    <t xml:space="preserve">    FillAllocation ThisWorkbook.Worksheets(aName)</t>
  </si>
  <si>
    <t xml:space="preserve">    ThisWorkbook.Worksheets(aName).Activate</t>
  </si>
  <si>
    <t xml:space="preserve">    ThisWorkbook.Worksheets(aName).Range("A1").Select</t>
  </si>
  <si>
    <t>Public Sub GoHoursFromActive()</t>
  </si>
  <si>
    <t>Public Sub TestAssign(ByVal timeName As String)</t>
  </si>
  <si>
    <t xml:space="preserve">    AssignTasks ThisWorkbook.Worksheets(timeName)</t>
  </si>
  <si>
    <t>Private Function LatestSheet(ByVal prefix As String) As Worksheet</t>
  </si>
  <si>
    <t xml:space="preserve">        If Left$(ws.Name, Len(prefix)) = prefix Then Set LatestSheet = ws</t>
  </si>
  <si>
    <t>Private Function TimeSheetOfActive() As Worksheet</t>
  </si>
  <si>
    <t xml:space="preserve">    Dim nm As String, sfx As String</t>
  </si>
  <si>
    <t xml:space="preserve">    nm = ActiveSheet.Name</t>
  </si>
  <si>
    <t xml:space="preserve">    If Left$(nm, Len(TIME_PREFIX)) = TIME_PREFIX Then</t>
  </si>
  <si>
    <t xml:space="preserve">        Set TimeSheetOfActive = ActiveSheet</t>
  </si>
  <si>
    <t xml:space="preserve">    ElseIf Left$(nm, Len(ALLOC_PREFIX)) = ALLOC_PREFIX Then</t>
  </si>
  <si>
    <t xml:space="preserve">        sfx = Mid$(nm, Len(ALLOC_PREFIX) + 1)</t>
  </si>
  <si>
    <t xml:space="preserve">    ElseIf Left$(nm, Len(HOURS_PREFIX)) = HOURS_PREFIX Then</t>
  </si>
  <si>
    <t xml:space="preserve">        sfx = Mid$(nm, Len(HOURS_PREFIX) + 1)</t>
  </si>
  <si>
    <t xml:space="preserve">    If sfx &lt;&gt; "" Then</t>
  </si>
  <si>
    <t xml:space="preserve">        If SheetExists(TIME_PREFIX &amp; sfx) Then Set TimeSheetOfActive = ThisWorkbook.Worksheets(TIME_PREFIX &amp; sfx)</t>
  </si>
  <si>
    <t>' 1つの枠の中身を業務に分ける（「/」「／」「＋」「+」改行で区切る）</t>
  </si>
  <si>
    <t>Public Function SplitTasks(ByVal s As String) As Collection</t>
  </si>
  <si>
    <t xml:space="preserve">    Dim c As New Collection, p As Variant</t>
  </si>
  <si>
    <t xml:space="preserve">    s = Replace(Replace(Replace(Replace(s, "／", "/"), "＋", "/"), "+", "/"), vbLf, "/")</t>
  </si>
  <si>
    <t xml:space="preserve">    For Each p In Split(s, "/")</t>
  </si>
  <si>
    <t xml:space="preserve">        If Trim$(p) &lt;&gt; "" Then c.Add Trim$(p)</t>
  </si>
  <si>
    <t xml:space="preserve">    Next p</t>
  </si>
  <si>
    <t xml:space="preserve">    Set SplitTasks = c</t>
  </si>
  <si>
    <t>' 割り振り本体</t>
  </si>
  <si>
    <t>Public Sub AssignTasks(ts As Worksheet)</t>
  </si>
  <si>
    <t xml:space="preserve">    Dim rules() As TaskRule, nR As Long, i As Long, k As Long, r As Long, h As Long, j As Long</t>
  </si>
  <si>
    <t xml:space="preserve">    Dim monName As String, taskSet As Object, cnt As Object, tot As Object, seen As Object, dayTask As Object</t>
  </si>
  <si>
    <t xml:space="preserve">    Dim phoneToday As Object, nSlot As Long, cNote As Long, lastRow As Long, c As Long, v As Variant, nm As String</t>
  </si>
  <si>
    <t xml:space="preserve">    Dim hol As Object, jSat As Boolean, jSun As Boolean, jHol As Boolean, ok As Boolean</t>
  </si>
  <si>
    <t xml:space="preserve">    Dim d As Date, dayRows As Collection, hdr As Long, dayIdx As Long, shortages As Collection, shortTxt As String</t>
  </si>
  <si>
    <t xml:space="preserve">    Dim g1 As Long, g2 As Long, q As Long, need() As Long, elig() As Long</t>
  </si>
  <si>
    <t xml:space="preserve">    Dim bestQ As Long, bestJ As Long, bestScore As Double, sc As Double, mr As Long, pass As Long</t>
  </si>
  <si>
    <t xml:space="preserve">    Dim avoidHit As Boolean, role As String, p As Variant</t>
  </si>
  <si>
    <t xml:space="preserve">    Dim canMat() As Boolean, nmOf() As String, baseShort As Long</t>
  </si>
  <si>
    <t xml:space="preserve">    Dim rec As Variant, hasRec As Boolean</t>
  </si>
  <si>
    <t xml:space="preserve">    nR = LoadRules(rules)</t>
  </si>
  <si>
    <t xml:space="preserve">    If nR = 0 Then</t>
  </si>
  <si>
    <t xml:space="preserve">        Notify "①各種設定の「業務ルール」が空です。", vbExclamation, "⑦ 業務の自動割り振り"</t>
  </si>
  <si>
    <t xml:space="preserve">        Notify "元の月間シフト「" &amp; monName &amp; "」が見つかりません。", vbExclamation, "⑦ 業務の自動割り振り"</t>
  </si>
  <si>
    <t xml:space="preserve">    Set m_wsMon = ThisWorkbook.Worksheets(monName)</t>
  </si>
  <si>
    <t xml:space="preserve">    Set m_wsM = ThisWorkbook.Worksheets(SH_MEMBER)</t>
  </si>
  <si>
    <t xml:space="preserve">    If Not LoadMemberColsPublic(m_wsM) Then Exit Sub</t>
  </si>
  <si>
    <t xml:space="preserve">    Randomize</t>
  </si>
  <si>
    <t xml:space="preserve">    ' 月間シフト：氏名→行、日付→列／②メンバー：氏名→行、スキル列</t>
  </si>
  <si>
    <t xml:space="preserve">    Set m_monRow = CreateObject("Scripting.Dictionary")</t>
  </si>
  <si>
    <t xml:space="preserve">    Set m_monCol = CreateObject("Scripting.Dictionary")</t>
  </si>
  <si>
    <t xml:space="preserve">    Do While IsNumeric(m_wsMon.Cells(r, SC_NO).Value2) And Not IsEmpty(m_wsMon.Cells(r, SC_NO).Value2)</t>
  </si>
  <si>
    <t xml:space="preserve">        m_monRow(Trim$(CStr(m_wsMon.Cells(r, SC_NAME).Value))) = r</t>
  </si>
  <si>
    <t xml:space="preserve">    Do While IsNumeric(m_wsMon.Cells(S_DATE_ROW, c).Value2) And Not IsEmpty(m_wsMon.Cells(S_DATE_ROW, c).Value2)</t>
  </si>
  <si>
    <t xml:space="preserve">        m_monCol(CLng(m_wsMon.Cells(S_DATE_ROW, c).Value2)) = c</t>
  </si>
  <si>
    <t xml:space="preserve">    Set m_memRow = CreateObject("Scripting.Dictionary")</t>
  </si>
  <si>
    <t xml:space="preserve">    For r = M_FIRST_ROW To M_MAX_ROW</t>
  </si>
  <si>
    <t xml:space="preserve">        nm = Trim$(CStr(m_wsM.Cells(r, MemberNameCol()).Value))</t>
  </si>
  <si>
    <t xml:space="preserve">        If nm &lt;&gt; "" And Not m_memRow.Exists(nm) Then m_memRow(nm) = r</t>
  </si>
  <si>
    <t xml:space="preserve">    Set m_skillCol = MemberSkillCols()</t>
  </si>
  <si>
    <t xml:space="preserve">    Set taskSet = CreateObject("Scripting.Dictionary")</t>
  </si>
  <si>
    <t xml:space="preserve">    For i = 1 To nR</t>
  </si>
  <si>
    <t xml:space="preserve">        If Not rules(i).isPhone Then taskSet(rules(i).nm) = True</t>
  </si>
  <si>
    <t xml:space="preserve">    Set cnt = CreateObject("Scripting.Dictionary")      ' 業務|氏名 → 回数（電話当番も）</t>
  </si>
  <si>
    <t xml:space="preserve">    Set tot = CreateObject("Scripting.Dictionary")      ' 氏名 → 業務の合計回数</t>
  </si>
  <si>
    <t xml:space="preserve">    Set seen = CreateObject("Scripting.Dictionary")</t>
  </si>
  <si>
    <t xml:space="preserve">    Set shortages = New Collection</t>
  </si>
  <si>
    <t xml:space="preserve">    ' 1) 前回自動で入れた分を消す／手で入れた分を数える／見出しの不足表示を戻す</t>
  </si>
  <si>
    <t xml:space="preserve">        If IsNumeric(ts.Cells(r, TC_META).Value2) And Not IsEmpty(ts.Cells(r, TC_META).Value2) Then</t>
  </si>
  <si>
    <t xml:space="preserve">            If IsNumeric(ts.Cells(r, TC_NO).Value2) And Not IsEmpty(ts.Cells(r, TC_NO).Value2) Then</t>
  </si>
  <si>
    <t xml:space="preserve">                nm = Trim$(CStr(ts.Cells(r, TC_NAME).Value))</t>
  </si>
  <si>
    <t xml:space="preserve">                ' 自動で入れた値の記録（R列）。記録と同じ値のままなら自動、書き換えられていれば手入力</t>
  </si>
  <si>
    <t xml:space="preserve">                rec = AutoRec(ts, r, nSlot)</t>
  </si>
  <si>
    <t xml:space="preserve">                hasRec = (Trim$(CStr(ts.Cells(r, TC_AUTO).Value)) &lt;&gt; "")</t>
  </si>
  <si>
    <t xml:space="preserve">                With ts.Cells(r, TC_PHONE)</t>
  </si>
  <si>
    <t xml:space="preserve">                    If Trim$(CStr(.Value)) &lt;&gt; "" Then</t>
  </si>
  <si>
    <t xml:space="preserve">                        If (hasRec And rec(nSlot) = Trim$(CStr(.Value))) Or (Not hasRec And .Font.color = AUTO_FONT) Then</t>
  </si>
  <si>
    <t xml:space="preserve">                            .ClearContents</t>
  </si>
  <si>
    <t xml:space="preserve">                            .Font.color = RGB(0, 0, 0)</t>
  </si>
  <si>
    <t xml:space="preserve">                        Else</t>
  </si>
  <si>
    <t xml:space="preserve">                            AddCount cnt, PHONE_TASK &amp; "|" &amp; nm, 1</t>
  </si>
  <si>
    <t xml:space="preserve">                For k = 0 To nSlot - 1</t>
  </si>
  <si>
    <t xml:space="preserve">                    With ts.Cells(r, TC_SLOT1 + k)</t>
  </si>
  <si>
    <t xml:space="preserve">                        v = Trim$(CStr(.Value))</t>
  </si>
  <si>
    <t xml:space="preserve">                        If v &lt;&gt; "" And ((hasRec And rec(k) = v) Or (Not hasRec And .Font.color = AUTO_FONT And taskSet.Exists(v))) Then</t>
  </si>
  <si>
    <t xml:space="preserve">                            .Font.Bold = False</t>
  </si>
  <si>
    <t xml:space="preserve">                        ElseIf v &lt;&gt; "" Then</t>
  </si>
  <si>
    <t xml:space="preserve">                            If .Font.color = AUTO_FONT Then .Font.color = RGB(0, 0, 0)    ' 手で書き換えた枠は黒字に</t>
  </si>
  <si>
    <t xml:space="preserve">                            For Each p In SplitTasks(v)</t>
  </si>
  <si>
    <t xml:space="preserve">                                If taskSet.Exists(p) And Not seen.Exists(r &amp; "|" &amp; p) Then</t>
  </si>
  <si>
    <t xml:space="preserve">                                    seen(r &amp; "|" &amp; p) = True</t>
  </si>
  <si>
    <t xml:space="preserve">                                    AddCount cnt, p &amp; "|" &amp; nm, 1</t>
  </si>
  <si>
    <t xml:space="preserve">                                    AddCount tot, nm, 1</t>
  </si>
  <si>
    <t xml:space="preserve">                                End If</t>
  </si>
  <si>
    <t xml:space="preserve">                            Next p</t>
  </si>
  <si>
    <t xml:space="preserve">                    End With</t>
  </si>
  <si>
    <t xml:space="preserve">                Next k</t>
  </si>
  <si>
    <t xml:space="preserve">                ts.Cells(r, TC_AUTO).ClearContents</t>
  </si>
  <si>
    <t xml:space="preserve">            ElseIf Left$(CStr(ts.Cells(r, cNote).Value), 2) = "備考" Then</t>
  </si>
  <si>
    <t xml:space="preserve">                ts.Cells(r, cNote).Value = "備考"</t>
  </si>
  <si>
    <t xml:space="preserve">                ts.Cells(r, cNote).Font.color = RGB(0, 0, 0)</t>
  </si>
  <si>
    <t xml:space="preserve">    ' 2) 日ごとに：電話当番 → 業務（開始時刻が同じルールはまとめて）</t>
  </si>
  <si>
    <t xml:space="preserve">    r = TS_BLOCK_TOP</t>
  </si>
  <si>
    <t xml:space="preserve">    Do While r &lt;= lastRow</t>
  </si>
  <si>
    <t xml:space="preserve">        If IsNumeric(ts.Cells(r, TC_META).Value2) And Not IsEmpty(ts.Cells(r, TC_META).Value2) _</t>
  </si>
  <si>
    <t xml:space="preserve">           And Not IsNumeric(ts.Cells(r, TC_NO).Value2) Then</t>
  </si>
  <si>
    <t xml:space="preserve">            hdr = r</t>
  </si>
  <si>
    <t xml:space="preserve">            d = CDate(ts.Cells(r, TC_META).Value2)</t>
  </si>
  <si>
    <t xml:space="preserve">            Set dayRows = New Collection</t>
  </si>
  <si>
    <t xml:space="preserve">            Do While IsNumeric(ts.Cells(r, TC_NO).Value2) And Not IsEmpty(ts.Cells(r, TC_NO).Value2)</t>
  </si>
  <si>
    <t xml:space="preserve">                dayRows.Add r</t>
  </si>
  <si>
    <t xml:space="preserve">                r = r + 1</t>
  </si>
  <si>
    <t xml:space="preserve">            Loop</t>
  </si>
  <si>
    <t xml:space="preserve">            ok = True</t>
  </si>
  <si>
    <t xml:space="preserve">            If Weekday(d) = vbSaturday And Not jSat Then ok = False</t>
  </si>
  <si>
    <t xml:space="preserve">            If Weekday(d) = vbSunday And Not jSun Then ok = False</t>
  </si>
  <si>
    <t xml:space="preserve">            If hol.Exists(CLng(d)) And Not jHol Then ok = False</t>
  </si>
  <si>
    <t xml:space="preserve">            If ok And dayRows.Count &gt; 0 Then</t>
  </si>
  <si>
    <t xml:space="preserve">                dayIdx = Day(d)</t>
  </si>
  <si>
    <t xml:space="preserve">                ' その日にすでに入っている業務・電話当番（手入力）</t>
  </si>
  <si>
    <t xml:space="preserve">                Set dayTask = CreateObject("Scripting.Dictionary")</t>
  </si>
  <si>
    <t xml:space="preserve">                Set phoneToday = CreateObject("Scripting.Dictionary")</t>
  </si>
  <si>
    <t xml:space="preserve">                For j = 1 To dayRows.Count</t>
  </si>
  <si>
    <t xml:space="preserve">                    nm = Trim$(CStr(ts.Cells(dayRows(j), TC_NAME).Value))</t>
  </si>
  <si>
    <t xml:space="preserve">                    dayTask(nm) = "|"</t>
  </si>
  <si>
    <t xml:space="preserve">                    If Trim$(CStr(ts.Cells(dayRows(j), TC_PHONE).Value)) &lt;&gt; "" Then phoneToday(nm) = True</t>
  </si>
  <si>
    <t xml:space="preserve">                    For k = 0 To nSlot - 1</t>
  </si>
  <si>
    <t xml:space="preserve">                        For Each p In SplitTasks(CStr(ts.Cells(dayRows(j), TC_SLOT1 + k).Value))</t>
  </si>
  <si>
    <t xml:space="preserve">                            If taskSet.Exists(p) Then dayTask(nm) = dayTask(nm) &amp; p &amp; "|"</t>
  </si>
  <si>
    <t xml:space="preserve">                        Next p</t>
  </si>
  <si>
    <t xml:space="preserve">                    Next k</t>
  </si>
  <si>
    <t xml:space="preserve">                Next j</t>
  </si>
  <si>
    <t xml:space="preserve">                shortTxt = ""</t>
  </si>
  <si>
    <t xml:space="preserve">                ' 2-1) 電話当番：当番回数の少ない人からランダムに</t>
  </si>
  <si>
    <t xml:space="preserve">                '      ただし、その人を当番にするとその日の業務の人数が足りなくなる場合は後回し</t>
  </si>
  <si>
    <t xml:space="preserve">                ReDim canMat(1 To nR, 1 To dayRows.Count): ReDim nmOf(1 To dayRows.Count)</t>
  </si>
  <si>
    <t xml:space="preserve">                    nmOf(j) = Trim$(CStr(ts.Cells(dayRows(j), TC_NAME).Value))</t>
  </si>
  <si>
    <t xml:space="preserve">                    role = Trim$(CStr(ts.Cells(dayRows(j), TC_ROLE).Value))</t>
  </si>
  <si>
    <t xml:space="preserve">                    For q = 1 To nR</t>
  </si>
  <si>
    <t xml:space="preserve">                        If Not rules(q).isPhone And rules(q).noPhone Then</t>
  </si>
  <si>
    <t xml:space="preserve">                            If role = rules(q).role Or (role = rules(q).fb And rules(q).fb &lt;&gt; "") Then</t>
  </si>
  <si>
    <t xml:space="preserve">                                canMat(q, j) = CanDo(ts, dayRows(j), d, rules(q))</t>
  </si>
  <si>
    <t xml:space="preserve">                            End If</t>
  </si>
  <si>
    <t xml:space="preserve">                    Next q</t>
  </si>
  <si>
    <t xml:space="preserve">                For i = 1 To nR</t>
  </si>
  <si>
    <t xml:space="preserve">                    If rules(i).isPhone Then</t>
  </si>
  <si>
    <t xml:space="preserve">                        k = rules(i).n - phoneToday.Count</t>
  </si>
  <si>
    <t xml:space="preserve">                            role = IIf(pass = 1, rules(i).role, rules(i).fb)</t>
  </si>
  <si>
    <t xml:space="preserve">                            Do While k &gt; 0 And role &lt;&gt; ""</t>
  </si>
  <si>
    <t xml:space="preserve">                                bestJ = 0: bestScore = 0</t>
  </si>
  <si>
    <t xml:space="preserve">                                baseShort = ShortScore(rules, nR, canMat, nmOf, phoneToday)</t>
  </si>
  <si>
    <t xml:space="preserve">                                For j = 1 To dayRows.Count</t>
  </si>
  <si>
    <t xml:space="preserve">                                    mr = dayRows(j)</t>
  </si>
  <si>
    <t xml:space="preserve">                                    nm = Trim$(CStr(ts.Cells(mr, TC_NAME).Value))</t>
  </si>
  <si>
    <t xml:space="preserve">                                    If Not phoneToday.Exists(nm) Then</t>
  </si>
  <si>
    <t xml:space="preserve">                                        If Trim$(CStr(ts.Cells(mr, TC_ROLE).Value)) = role Then</t>
  </si>
  <si>
    <t xml:space="preserve">                                            If CanDo(ts, mr, d, rules(i)) Then</t>
  </si>
  <si>
    <t xml:space="preserve">                                                sc = GetCount(cnt, PHONE_TASK &amp; "|" &amp; nm) * 1000# + Rnd() * 100#</t>
  </si>
  <si>
    <t xml:space="preserve">                                                phoneToday(nm) = True</t>
  </si>
  <si>
    <t xml:space="preserve">                                                If ShortScore(rules, nR, canMat, nmOf, phoneToday) &gt; baseShort Then sc = sc + 1000000#</t>
  </si>
  <si>
    <t xml:space="preserve">                                                phoneToday.Remove nm</t>
  </si>
  <si>
    <t xml:space="preserve">                                                If bestJ = 0 Or sc &lt; bestScore Then bestJ = j: bestScore = sc</t>
  </si>
  <si>
    <t xml:space="preserve">                                            End If</t>
  </si>
  <si>
    <t xml:space="preserve">                                        End If</t>
  </si>
  <si>
    <t xml:space="preserve">                                    End If</t>
  </si>
  <si>
    <t xml:space="preserve">                                Next j</t>
  </si>
  <si>
    <t xml:space="preserve">                                If bestJ = 0 Then Exit Do</t>
  </si>
  <si>
    <t xml:space="preserve">                                mr = dayRows(bestJ)</t>
  </si>
  <si>
    <t xml:space="preserve">                                nm = Trim$(CStr(ts.Cells(mr, TC_NAME).Value))</t>
  </si>
  <si>
    <t xml:space="preserve">                                With ts.Cells(mr, TC_PHONE)</t>
  </si>
  <si>
    <t xml:space="preserve">                                    .Value = PHONE_MARK</t>
  </si>
  <si>
    <t xml:space="preserve">                                    PutAutoRec ts, mr, nSlot, nSlot, PHONE_MARK</t>
  </si>
  <si>
    <t xml:space="preserve">                                    .Font.color = AUTO_FONT</t>
  </si>
  <si>
    <t xml:space="preserve">                                End With</t>
  </si>
  <si>
    <t xml:space="preserve">                                phoneToday(nm) = True</t>
  </si>
  <si>
    <t xml:space="preserve">                                AddCount cnt, PHONE_TASK &amp; "|" &amp; nm, 1</t>
  </si>
  <si>
    <t xml:space="preserve">                                k = k - 1</t>
  </si>
  <si>
    <t xml:space="preserve">                            Loop</t>
  </si>
  <si>
    <t xml:space="preserve">                        Next pass</t>
  </si>
  <si>
    <t xml:space="preserve">                        If k &gt; 0 Then shortTxt = shortTxt &amp; IIf(shortTxt = "", "", "、") &amp; PHONE_TASK &amp; k &amp; "人"</t>
  </si>
  <si>
    <t xml:space="preserve">                Next i</t>
  </si>
  <si>
    <t xml:space="preserve">                ' 2-2) 業務：開始時刻が同じルールをまとめ、1人ずつ「いちばん点数の低い（業務・人）」から</t>
  </si>
  <si>
    <t xml:space="preserve">                i = 1</t>
  </si>
  <si>
    <t xml:space="preserve">                Do While i &lt;= nR</t>
  </si>
  <si>
    <t xml:space="preserve">                    g1 = i: g2 = i</t>
  </si>
  <si>
    <t xml:space="preserve">                    Do While g2 &lt; nR</t>
  </si>
  <si>
    <t xml:space="preserve">                        If rules(g2 + 1).sMin &lt;&gt; rules(g1).sMin Then Exit Do</t>
  </si>
  <si>
    <t xml:space="preserve">                        g2 = g2 + 1</t>
  </si>
  <si>
    <t xml:space="preserve">                    Loop</t>
  </si>
  <si>
    <t xml:space="preserve">                    For q = g1 To g2</t>
  </si>
  <si>
    <t xml:space="preserve">                        If Not rules(q).isPhone And rules(q).sMin &gt;= TS_FIRST_HOUR * 60 And rules(q).eMin &lt;= TS_LAST_HOUR * 60 _</t>
  </si>
  <si>
    <t xml:space="preserve">                           And rules(q).eMin &gt; rules(q).sMin Then</t>
  </si>
  <si>
    <t xml:space="preserve">                            need(q) = rules(q).n</t>
  </si>
  <si>
    <t xml:space="preserve">                            For j = 1 To dayRows.Count</t>
  </si>
  <si>
    <t xml:space="preserve">                                mr = dayRows(j)</t>
  </si>
  <si>
    <t xml:space="preserve">                                role = Trim$(CStr(ts.Cells(mr, TC_ROLE).Value))</t>
  </si>
  <si>
    <t xml:space="preserve">                                If role = rules(q).role Or (role = rules(q).fb And rules(q).fb &lt;&gt; "") Then</t>
  </si>
  <si>
    <t xml:space="preserve">                                    ' 手で入れた同じ業務は人数に数える</t>
  </si>
  <si>
    <t xml:space="preserve">                                    If InStr("|" &amp; Join(CollToArr(SplitTasks(CStr(ts.Cells(mr, TC_SLOT1 + rules(q).sMin \ 60 - TS_FIRST_HOUR).Value))), "|") &amp; "|", _</t>
  </si>
  <si>
    <t xml:space="preserve">                                             "|" &amp; rules(q).nm &amp; "|") &gt; 0 Then</t>
  </si>
  <si>
    <t xml:space="preserve">                                        need(q) = need(q) - 1</t>
  </si>
  <si>
    <t xml:space="preserve">                                    ElseIf rules(q).noPhone And phoneToday.Exists(nm) Then</t>
  </si>
  <si>
    <t xml:space="preserve">                                        ' 電話当番は除く</t>
  </si>
  <si>
    <t xml:space="preserve">                                    ElseIf CanDo(ts, mr, d, rules(q)) Then</t>
  </si>
  <si>
    <t xml:space="preserve">                                        elig(q, j) = IIf(role = rules(q).role, 1, 2)</t>
  </si>
  <si>
    <t xml:space="preserve">                            Next j</t>
  </si>
  <si>
    <t xml:space="preserve">                    Do</t>
  </si>
  <si>
    <t xml:space="preserve">                        bestQ = 0: bestJ = 0: bestScore = 0</t>
  </si>
  <si>
    <t xml:space="preserve">                            For q = g1 To g2</t>
  </si>
  <si>
    <t xml:space="preserve">                                If need(q) &gt; 0 Then</t>
  </si>
  <si>
    <t xml:space="preserve">                                    For j = 1 To dayRows.Count</t>
  </si>
  <si>
    <t xml:space="preserve">                                        If elig(q, j) = pass Then</t>
  </si>
  <si>
    <t xml:space="preserve">                                            mr = dayRows(j)</t>
  </si>
  <si>
    <t xml:space="preserve">                                            ok = True</t>
  </si>
  <si>
    <t xml:space="preserve">                                            For h = rules(q).sMin \ 60 To (rules(q).eMin - 1) \ 60</t>
  </si>
  <si>
    <t xml:space="preserve">                                                If Trim$(CStr(ts.Cells(mr, TC_SLOT1 + h - TS_FIRST_HOUR).Value)) &lt;&gt; "" Then ok = False</t>
  </si>
  <si>
    <t xml:space="preserve">                                            Next h</t>
  </si>
  <si>
    <t xml:space="preserve">                                            If ok Then</t>
  </si>
  <si>
    <t xml:space="preserve">                                                nm = Trim$(CStr(ts.Cells(mr, TC_NAME).Value))</t>
  </si>
  <si>
    <t xml:space="preserve">                                                avoidHit = False</t>
  </si>
  <si>
    <t xml:space="preserve">                                                If rules(q).avoid &lt;&gt; "" Then avoidHit = (InStr(dayTask(nm), "|" &amp; rules(q).avoid &amp; "|") &gt; 0)</t>
  </si>
  <si>
    <t xml:space="preserve">                                                sc = IIf(avoidHit, 100000000#, 0) + GetCount(cnt, rules(q).nm &amp; "|" &amp; nm) * 100000# _</t>
  </si>
  <si>
    <t xml:space="preserve">                                                   + GetCount(tot, nm) * 100# + (Len(dayTask(nm)) - Len(Replace(dayTask(nm), "|", ""))) * 10# _</t>
  </si>
  <si>
    <t xml:space="preserve">                                                   + ((j + dayIdx * 3) Mod dayRows.Count) / dayRows.Count</t>
  </si>
  <si>
    <t xml:space="preserve">                                                If bestQ = 0 Or sc &lt; bestScore Then bestQ = q: bestJ = j: bestScore = sc</t>
  </si>
  <si>
    <t xml:space="preserve">                                            Else</t>
  </si>
  <si>
    <t xml:space="preserve">                                                elig(q, j) = 0</t>
  </si>
  <si>
    <t xml:space="preserve">                                    Next j</t>
  </si>
  <si>
    <t xml:space="preserve">                            Next q</t>
  </si>
  <si>
    <t xml:space="preserve">                            If bestQ &gt; 0 Then Exit For</t>
  </si>
  <si>
    <t xml:space="preserve">                        If bestQ = 0 Then Exit Do</t>
  </si>
  <si>
    <t xml:space="preserve">                        mr = dayRows(bestJ)</t>
  </si>
  <si>
    <t xml:space="preserve">                        nm = Trim$(CStr(ts.Cells(mr, TC_NAME).Value))</t>
  </si>
  <si>
    <t xml:space="preserve">                        For h = rules(bestQ).sMin \ 60 To (rules(bestQ).eMin - 1) \ 60</t>
  </si>
  <si>
    <t xml:space="preserve">                            With ts.Cells(mr, TC_SLOT1 + h - TS_FIRST_HOUR)</t>
  </si>
  <si>
    <t xml:space="preserve">                                .Value = rules(bestQ).nm</t>
  </si>
  <si>
    <t xml:space="preserve">                                PutAutoRec ts, mr, nSlot, h - TS_FIRST_HOUR, rules(bestQ).nm</t>
  </si>
  <si>
    <t xml:space="preserve">                                .Font.color = AUTO_FONT</t>
  </si>
  <si>
    <t xml:space="preserve">                                .Font.Bold = True</t>
  </si>
  <si>
    <t xml:space="preserve">                            End With</t>
  </si>
  <si>
    <t xml:space="preserve">                        Next h</t>
  </si>
  <si>
    <t xml:space="preserve">                        elig(bestQ, bestJ) = 0</t>
  </si>
  <si>
    <t xml:space="preserve">                        need(bestQ) = need(bestQ) - 1</t>
  </si>
  <si>
    <t xml:space="preserve">                        AddCount cnt, rules(bestQ).nm &amp; "|" &amp; nm, 1</t>
  </si>
  <si>
    <t xml:space="preserve">                        AddCount tot, nm, 1</t>
  </si>
  <si>
    <t xml:space="preserve">                        dayTask(nm) = dayTask(nm) &amp; rules(bestQ).nm &amp; "|"</t>
  </si>
  <si>
    <t xml:space="preserve">                        If need(q) &gt; 0 Then</t>
  </si>
  <si>
    <t xml:space="preserve">                            shortTxt = shortTxt &amp; IIf(shortTxt = "", "", "、") &amp; rules(q).nm &amp; need(q) &amp; "人"</t>
  </si>
  <si>
    <t xml:space="preserve">                    i = g2 + 1</t>
  </si>
  <si>
    <t xml:space="preserve">                Loop</t>
  </si>
  <si>
    <t xml:space="preserve">                If shortTxt &lt;&gt; "" Then</t>
  </si>
  <si>
    <t xml:space="preserve">                    ts.Cells(hdr, cNote).Value = "備考　※不足：" &amp; shortTxt</t>
  </si>
  <si>
    <t xml:space="preserve">                    ts.Cells(hdr, cNote).Font.color = RGB(192, 0, 0)</t>
  </si>
  <si>
    <t xml:space="preserve">                    shortages.Add Month(d) &amp; "/" &amp; Day(d) &amp; "（" &amp; WeekdayJ(d) &amp; "）　" &amp; shortTxt</t>
  </si>
  <si>
    <t xml:space="preserve">    ApplyTaskFormats ts</t>
  </si>
  <si>
    <t xml:space="preserve">    BuildAllocationSheet ts, shortages</t>
  </si>
  <si>
    <t xml:space="preserve">    Notify "電話当番と業務を割り振りました。" &amp; vbLf &amp; _</t>
  </si>
  <si>
    <t xml:space="preserve">           IIf(shortages.Count &gt; 0, "人数が足りない日が " &amp; shortages.Count &amp; " 日あります（⑧配分一覧の下に一覧）。", "すべての日で人数を満たしています。") &amp; vbLf &amp; _</t>
  </si>
  <si>
    <t xml:space="preserve">           "自動で入れた○・業務は紺色の太字です。このあと自由に手で直してください" &amp; vbLf &amp; _</t>
  </si>
  <si>
    <t xml:space="preserve">           "（手で直した枠は、次に⑦を押しても残ります）。" &amp; vbLf &amp; vbLf &amp; _</t>
  </si>
  <si>
    <t xml:space="preserve">           "手で直したら：⑧「最新の状態に更新」で回数、⑨「時間集計」で業務ごとの時間", vbInformation, "⑦ 電話当番・業務の自動割り振り"</t>
  </si>
  <si>
    <t>' その人がその業務（ルール）をできるか：スキル／勤務時間／休憩</t>
  </si>
  <si>
    <t>'   電話当番：その日に勤務していればOK（時間は問わない）</t>
  </si>
  <si>
    <t>Private Function CanDo(ts As Worksheet, ByVal mr As Long, ByVal d As Date, rl As TaskRule) As Boolean</t>
  </si>
  <si>
    <t xml:space="preserve">    nm = Trim$(CStr(ts.Cells(mr, TC_NAME).Value))</t>
  </si>
  <si>
    <t xml:space="preserve">    If rl.skill &lt;&gt; "" Then</t>
  </si>
  <si>
    <t xml:space="preserve">        If Not (m_memRow.Exists(nm) And m_skillCol.Exists(rl.skill)) Then Exit Function</t>
  </si>
  <si>
    <t xml:space="preserve">        If Trim$(CStr(m_wsM.Cells(m_memRow(nm), m_skillCol(rl.skill)).Value)) &lt;&gt; "○" Then Exit Function</t>
  </si>
  <si>
    <t xml:space="preserve">    If Not (m_monRow.Exists(nm) And m_monCol.Exists(CLng(d))) Then Exit Function</t>
  </si>
  <si>
    <t xml:space="preserve">    ns = ParseSegments(CStr(m_wsMon.Cells(m_monRow(nm), m_monCol(CLng(d))).Value), segS, segE)</t>
  </si>
  <si>
    <t xml:space="preserve">    If ns = 0 Then Exit Function</t>
  </si>
  <si>
    <t xml:space="preserve">    If rl.isPhone Then CanDo = True: Exit Function</t>
  </si>
  <si>
    <t xml:space="preserve">    For k = 1 To ns</t>
  </si>
  <si>
    <t xml:space="preserve">        If segS(k) &lt;= rl.sMin And segE(k) &gt;= rl.eMin Then ok = True</t>
  </si>
  <si>
    <t xml:space="preserve">    If Not ok Then Exit Function</t>
  </si>
  <si>
    <t xml:space="preserve">    If m_memRow.Exists(nm) Then</t>
  </si>
  <si>
    <t xml:space="preserve">    CanDo = True</t>
  </si>
  <si>
    <t>' 電話当番を除いた人だけで業務を回したときの「足りない人数」の合計</t>
  </si>
  <si>
    <t>'   ルールごと（その業務ができる人の数）と、同じ時間の業務まとめ（重ならない人の数）の両方で見る</t>
  </si>
  <si>
    <t>Private Function ShortScore(rules() As TaskRule, ByVal nR As Long, canMat() As Boolean, nmOf() As String, removed As Object) As Long</t>
  </si>
  <si>
    <t xml:space="preserve">    Dim q As Long, j As Long, c As Long, s As Long, g1 As Long, g2 As Long, needSum As Long, uni As Long, any1 As Boolean</t>
  </si>
  <si>
    <t xml:space="preserve">    For q = 1 To nR</t>
  </si>
  <si>
    <t xml:space="preserve">        If Not rules(q).isPhone And rules(q).noPhone Then</t>
  </si>
  <si>
    <t xml:space="preserve">            c = 0</t>
  </si>
  <si>
    <t xml:space="preserve">            For j = 1 To UBound(nmOf)</t>
  </si>
  <si>
    <t xml:space="preserve">                If canMat(q, j) And Not removed.Exists(nmOf(j)) Then c = c + 1</t>
  </si>
  <si>
    <t xml:space="preserve">            Next j</t>
  </si>
  <si>
    <t xml:space="preserve">            If c &lt; rules(q).n Then s = s + rules(q).n - c</t>
  </si>
  <si>
    <t xml:space="preserve">    Next q</t>
  </si>
  <si>
    <t xml:space="preserve">    g1 = 1</t>
  </si>
  <si>
    <t xml:space="preserve">    Do While g1 &lt;= nR</t>
  </si>
  <si>
    <t xml:space="preserve">        g2 = g1</t>
  </si>
  <si>
    <t xml:space="preserve">        Do While g2 &lt; nR</t>
  </si>
  <si>
    <t xml:space="preserve">            If rules(g2 + 1).sMin &lt;&gt; rules(g1).sMin Then Exit Do</t>
  </si>
  <si>
    <t xml:space="preserve">            g2 = g2 + 1</t>
  </si>
  <si>
    <t xml:space="preserve">        Loop</t>
  </si>
  <si>
    <t xml:space="preserve">        needSum = 0</t>
  </si>
  <si>
    <t xml:space="preserve">        For q = g1 To g2</t>
  </si>
  <si>
    <t xml:space="preserve">            If Not rules(q).isPhone And rules(q).noPhone Then needSum = needSum + rules(q).n</t>
  </si>
  <si>
    <t xml:space="preserve">        Next q</t>
  </si>
  <si>
    <t xml:space="preserve">        If needSum &gt; 0 Then</t>
  </si>
  <si>
    <t xml:space="preserve">            uni = 0</t>
  </si>
  <si>
    <t xml:space="preserve">                If Not removed.Exists(nmOf(j)) Then</t>
  </si>
  <si>
    <t xml:space="preserve">                    any1 = False</t>
  </si>
  <si>
    <t xml:space="preserve">                        If canMat(q, j) Then any1 = True</t>
  </si>
  <si>
    <t xml:space="preserve">                    If any1 Then uni = uni + 1</t>
  </si>
  <si>
    <t xml:space="preserve">            If uni &lt; needSum Then s = s + needSum - uni</t>
  </si>
  <si>
    <t xml:space="preserve">        g1 = g2 + 1</t>
  </si>
  <si>
    <t xml:space="preserve">    ShortScore = s</t>
  </si>
  <si>
    <t>' R列の記録を配列に（0～nSlot-1＝時間枠、nSlot＝電話当番）</t>
  </si>
  <si>
    <t>Private Function AutoRec(ts As Worksheet, ByVal r As Long, ByVal nSlot As Long) As Variant</t>
  </si>
  <si>
    <t xml:space="preserve">    Dim a() As String, p As Variant, i As Long</t>
  </si>
  <si>
    <t xml:space="preserve">    ReDim a(0 To nSlot)</t>
  </si>
  <si>
    <t xml:space="preserve">    p = Split(CStr(ts.Cells(r, TC_AUTO).Value), "|")</t>
  </si>
  <si>
    <t xml:space="preserve">    For i = 0 To UBound(p)</t>
  </si>
  <si>
    <t xml:space="preserve">        If i &lt;= nSlot Then a(i) = p(i)</t>
  </si>
  <si>
    <t xml:space="preserve">    AutoRec = a</t>
  </si>
  <si>
    <t>Private Sub PutAutoRec(ts As Worksheet, ByVal r As Long, ByVal nSlot As Long, ByVal idx As Long, ByVal v As String)</t>
  </si>
  <si>
    <t xml:space="preserve">    Dim a As Variant</t>
  </si>
  <si>
    <t xml:space="preserve">    a = AutoRec(ts, r, nSlot)</t>
  </si>
  <si>
    <t xml:space="preserve">    a(idx) = v</t>
  </si>
  <si>
    <t xml:space="preserve">    ts.Cells(r, TC_AUTO).Value = "'" &amp; Join(a, "|")</t>
  </si>
  <si>
    <t>Private Function CollToArr(c As Collection) As Variant</t>
  </si>
  <si>
    <t xml:space="preserve">    Dim a() As String, i As Long</t>
  </si>
  <si>
    <t xml:space="preserve">    If c.Count = 0 Then CollToArr = Array(""): Exit Function</t>
  </si>
  <si>
    <t xml:space="preserve">    ReDim a(0 To c.Count - 1)</t>
  </si>
  <si>
    <t xml:space="preserve">    For i = 1 To c.Count: a(i - 1) = c(i): Next i</t>
  </si>
  <si>
    <t xml:space="preserve">    CollToArr = a</t>
  </si>
  <si>
    <t>Private Sub AddCount(d As Object, ByVal key As String, ByVal n As Double)</t>
  </si>
  <si>
    <t xml:space="preserve">    If d.Exists(key) Then d(key) = d(key) + n Else d(key) = n</t>
  </si>
  <si>
    <t>Private Function GetCount(d As Object, ByVal key As String) As Double</t>
  </si>
  <si>
    <t xml:space="preserve">    If d.Exists(key) Then GetCount = d(key)</t>
  </si>
  <si>
    <t>' 業務ルールの読み込み</t>
  </si>
  <si>
    <t>Private Function LoadRules(rules() As TaskRule) As Long</t>
  </si>
  <si>
    <t xml:space="preserve">    Dim st As Worksheet, r As Long, n As Long, nm As String</t>
  </si>
  <si>
    <t xml:space="preserve">    EnsureTaskRules</t>
  </si>
  <si>
    <t xml:space="preserve">    ReDim rules(1 To TASK_LAST - TASK_FIRST + 1)</t>
  </si>
  <si>
    <t xml:space="preserve">    For r = TASK_FIRST To TASK_LAST</t>
  </si>
  <si>
    <t xml:space="preserve">        nm = Trim$(CStr(st.Cells(r, STC_TASK).Value))</t>
  </si>
  <si>
    <t xml:space="preserve">        If nm &lt;&gt; "" And IsNumeric(st.Cells(r, STC_TASK_N).Value) And Not IsEmpty(st.Cells(r, STC_TASK_N).Value) Then</t>
  </si>
  <si>
    <t xml:space="preserve">            If nm = PHONE_TASK Or (IsNumeric(st.Cells(r, STC_TASK_S).Value) And IsNumeric(st.Cells(r, STC_TASK_E).Value)) Then</t>
  </si>
  <si>
    <t xml:space="preserve">                With rules(n)</t>
  </si>
  <si>
    <t xml:space="preserve">                    .nm = nm</t>
  </si>
  <si>
    <t xml:space="preserve">                    .isPhone = (nm = PHONE_TASK)</t>
  </si>
  <si>
    <t xml:space="preserve">                    .sMin = CLng(Val(st.Cells(r, STC_TASK_S).Value) * 60)</t>
  </si>
  <si>
    <t xml:space="preserve">                    .eMin = CLng(Val(st.Cells(r, STC_TASK_E).Value) * 60)</t>
  </si>
  <si>
    <t xml:space="preserve">                    .role = Trim$(CStr(st.Cells(r, STC_TASK_ROLE).Value))</t>
  </si>
  <si>
    <t xml:space="preserve">                    .n = CLng(Val(st.Cells(r, STC_TASK_N).Value))</t>
  </si>
  <si>
    <t xml:space="preserve">                    .skill = Trim$(CStr(st.Cells(r, STC_TASK_SKILL).Value))</t>
  </si>
  <si>
    <t xml:space="preserve">                    .avoid = Trim$(CStr(st.Cells(r, STC_TASK_AVOID).Value))</t>
  </si>
  <si>
    <t xml:space="preserve">                    .fb = Trim$(CStr(st.Cells(r, STC_TASK_FB).Value))</t>
  </si>
  <si>
    <t xml:space="preserve">                    .noPhone = (Trim$(CStr(st.Cells(r, STC_TASK_NOPH).Value)) = "○")</t>
  </si>
  <si>
    <t xml:space="preserve">                    .color = st.Cells(r, STC_TASK).Interior.color</t>
  </si>
  <si>
    <t xml:space="preserve">    LoadRules = n</t>
  </si>
  <si>
    <t>' 業務名 → 色（重複は最初の行）。電話当番は除く</t>
  </si>
  <si>
    <t>Private Function TaskColors() As Object</t>
  </si>
  <si>
    <t xml:space="preserve">    Dim d As Object, st As Worksheet, r As Long, nm As String</t>
  </si>
  <si>
    <t xml:space="preserve">        If nm &lt;&gt; "" And nm &lt;&gt; PHONE_TASK And Not d.Exists(nm) Then d(nm) = st.Cells(r, STC_TASK).Interior.color</t>
  </si>
  <si>
    <t xml:space="preserve">    Set TaskColors = d</t>
  </si>
  <si>
    <t>' 時間枠の色：勤務記号＋業務（「/」で複数入れた枠は先頭の業務の色）</t>
  </si>
  <si>
    <t>Public Sub ApplyTaskFormats(ts As Worksheet)</t>
  </si>
  <si>
    <t xml:space="preserve">    Dim rg As Range, lastRow As Long, tc As Object, k As Variant, fc As FormatCondition, f1 As String</t>
  </si>
  <si>
    <t xml:space="preserve">    Set rg = ts.Range(ts.Cells(TS_BLOCK_TOP, TC_SLOT1), ts.Cells(lastRow, TC_SLOT1 + TsSlotCount() - 1))</t>
  </si>
  <si>
    <t xml:space="preserve">    ApplyCodeFormatsTo rg</t>
  </si>
  <si>
    <t xml:space="preserve">    f1 = ColLetter(TC_SLOT1) &amp; TS_BLOCK_TOP</t>
  </si>
  <si>
    <t xml:space="preserve">    Set tc = TaskColors()</t>
  </si>
  <si>
    <t xml:space="preserve">    For Each k In tc.Keys</t>
  </si>
  <si>
    <t xml:space="preserve">        Set fc = rg.FormatConditions.Add(Type:=xlExpression, Formula1:="=OR(" &amp; f1 &amp; "=""" &amp; k &amp; """,LEFT(" &amp; f1 &amp; "," &amp; (Len(k) + 1) &amp; ")=""" &amp; k &amp; "/"")")</t>
  </si>
  <si>
    <t xml:space="preserve">        fc.Interior.color = tc(k)</t>
  </si>
  <si>
    <t xml:space="preserve">    rg.ShrinkToFit = True</t>
  </si>
  <si>
    <t>' ①各種設定：業務ルール表（無ければ既定で作る／古い表には列と電話当番の行を足す）</t>
  </si>
  <si>
    <t>Public Sub EnsureTaskRules()</t>
  </si>
  <si>
    <t xml:space="preserve">    Dim st As Worksheet, r As Long, hasPhone As Boolean</t>
  </si>
  <si>
    <t xml:space="preserve">    If Trim$(CStr(st.Cells(ST_REQ_HEAD, STC_TASK).Value)) &lt;&gt; "業務名" Then</t>
  </si>
  <si>
    <t xml:space="preserve">        st.Cells(ST_REQ_HEAD - 1, STC_TASK).Value = "業務ルール（⑦ 自動割り振り：上の行から順に割り振る）"</t>
  </si>
  <si>
    <t xml:space="preserve">        st.Cells(ST_REQ_HEAD - 1, STC_TASK).Font.Bold = True</t>
  </si>
  <si>
    <t xml:space="preserve">        st.Cells(ST_REQ_HEAD, STC_TASK).Value = "業務名"</t>
  </si>
  <si>
    <t xml:space="preserve">        st.Cells(ST_REQ_HEAD, STC_TASK_S).Value = "開始(時)"</t>
  </si>
  <si>
    <t xml:space="preserve">        st.Cells(ST_REQ_HEAD, STC_TASK_E).Value = "終了(時)"</t>
  </si>
  <si>
    <t xml:space="preserve">        st.Cells(ST_REQ_HEAD, STC_TASK_N).Value = "人数"</t>
  </si>
  <si>
    <t xml:space="preserve">        st.Cells(ST_REQ_HEAD, STC_TASK_SKILL).Value = "必要スキル"</t>
  </si>
  <si>
    <t xml:space="preserve">        st.Cells(ST_REQ_HEAD, STC_TASK_AVOID).Value = "優先：この業務が" &amp; vbLf &amp; "同じ日に無い人"</t>
  </si>
  <si>
    <t xml:space="preserve">        TaskRow st, TASK_FIRST + 1, "受領仕分け", 10, 11, "SV補", 1, FindSkill("受領仕分け", ""), "", RGB(248, 203, 173)</t>
  </si>
  <si>
    <t xml:space="preserve">        TaskRow st, TASK_FIRST + 2, "受領仕分け", 10, 11, "OP", 2, FindSkill("受領仕分け", ""), "", RGB(248, 203, 173)</t>
  </si>
  <si>
    <t xml:space="preserve">        TaskRow st, TASK_FIRST + 3, "受領", 13, 14, "OP", 3, FindSkill("受領", ""), "", RGB(255, 230, 153)</t>
  </si>
  <si>
    <t xml:space="preserve">        TaskRow st, TASK_FIRST + 4, "通勤発送", 14, 15, "OP", 1, FindSkill("通勤", "発送"), "受領", RGB(204, 192, 218)</t>
  </si>
  <si>
    <t xml:space="preserve">        TaskRow st, TASK_FIRST + 5, "扶発送", 14, 15, "OP", 1, FindSkill("扶", "発送"), "受領", RGB(180, 198, 231)</t>
  </si>
  <si>
    <t xml:space="preserve">        TaskRow st, TASK_FIRST + 6, "住・給与発送", 14, 15, "OP", 1, FindSkill("住", "発送"), "受領", RGB(198, 224, 180)</t>
  </si>
  <si>
    <t xml:space="preserve">    If Trim$(CStr(st.Cells(ST_REQ_HEAD, STC_TASK_FB).Value)) = "" Then</t>
  </si>
  <si>
    <t xml:space="preserve">        st.Cells(ST_REQ_HEAD, STC_TASK_NOPH).Value = "電話当番" &amp; vbLf &amp; "を除く"</t>
  </si>
  <si>
    <t xml:space="preserve">        For r = TASK_FIRST To TASK_LAST</t>
  </si>
  <si>
    <t xml:space="preserve">            If Trim$(CStr(st.Cells(r, STC_TASK_ROLE).Value)) = "OP" Then st.Cells(r, STC_TASK_FB).Value = "SV補"</t>
  </si>
  <si>
    <t xml:space="preserve">            If Trim$(CStr(st.Cells(r, STC_TASK).Value)) &lt;&gt; "" Then st.Cells(r, STC_TASK_NOPH).Value = "○"</t>
  </si>
  <si>
    <t xml:space="preserve">    ' 電話当番の行（先頭）</t>
  </si>
  <si>
    <t xml:space="preserve">        If Trim$(CStr(st.Cells(r, STC_TASK).Value)) = PHONE_TASK Then hasPhone = True</t>
  </si>
  <si>
    <t xml:space="preserve">    If Not hasPhone Then</t>
  </si>
  <si>
    <t xml:space="preserve">        If Trim$(CStr(st.Cells(TASK_FIRST, STC_TASK).Value)) &lt;&gt; "" Then</t>
  </si>
  <si>
    <t xml:space="preserve">            st.Range(st.Cells(TASK_FIRST, STC_TASK), st.Cells(TASK_FIRST, STC_TASK_NOPH)).Insert Shift:=xlDown</t>
  </si>
  <si>
    <t xml:space="preserve">            st.Range(st.Cells(TASK_LAST + 1, STC_TASK), st.Cells(TASK_LAST + 1, STC_TASK_NOPH)).Delete Shift:=xlUp</t>
  </si>
  <si>
    <t xml:space="preserve">        TaskRow st, TASK_FIRST, PHONE_TASK, 0, 0, "OP", 3, FindSkill("電話", ""), "", RGB(255, 230, 153)</t>
  </si>
  <si>
    <t xml:space="preserve">        st.Cells(TASK_FIRST, STC_TASK_S).Value = "終日"</t>
  </si>
  <si>
    <t xml:space="preserve">        st.Cells(TASK_FIRST, STC_TASK_E).Value = "－"</t>
  </si>
  <si>
    <t xml:space="preserve">        st.Cells(TASK_FIRST, STC_TASK_FB).Value = "SV補"</t>
  </si>
  <si>
    <t xml:space="preserve">        st.Cells(TASK_FIRST, STC_TASK_NOPH).Value = "－"</t>
  </si>
  <si>
    <t xml:space="preserve">    FormatTaskTable st</t>
  </si>
  <si>
    <t>Private Sub FormatTaskTable(st As Worksheet)</t>
  </si>
  <si>
    <t xml:space="preserve">    Dim r As Long</t>
  </si>
  <si>
    <t xml:space="preserve">    With st.Range(st.Cells(ST_REQ_HEAD, STC_TASK), st.Cells(ST_REQ_HEAD, STC_TASK_NOPH))</t>
  </si>
  <si>
    <t xml:space="preserve">    st.Rows(ST_REQ_HEAD).RowHeight = 30</t>
  </si>
  <si>
    <t xml:space="preserve">    With st.Range(st.Cells(TASK_FIRST, STC_TASK), st.Cells(TASK_LAST, STC_TASK_NOPH))</t>
  </si>
  <si>
    <t xml:space="preserve">    With st.Range(st.Cells(TASK_FIRST, STC_TASK_S), st.Cells(TASK_LAST, STC_TASK_NOPH))</t>
  </si>
  <si>
    <t xml:space="preserve">    With st.Range(st.Cells(TASK_FIRST + 1, STC_TASK_S), st.Cells(TASK_LAST, STC_TASK_E)).Validation</t>
  </si>
  <si>
    <t xml:space="preserve">        .Add Type:=xlValidateWholeNumber, AlertStyle:=xlValidAlertStop, Operator:=xlBetween, Formula1:=CStr(TS_FIRST_HOUR), Formula2:=CStr(TS_LAST_HOUR)</t>
  </si>
  <si>
    <t xml:space="preserve">        .ErrorMessage = TS_FIRST_HOUR &amp; "～" &amp; TS_LAST_HOUR &amp; " の数字（時）で入力してください。例：10"</t>
  </si>
  <si>
    <t xml:space="preserve">    With st.Range(st.Cells(TASK_FIRST, STC_TASK_ROLE), st.Cells(TASK_LAST, STC_TASK_ROLE)).Validation</t>
  </si>
  <si>
    <t xml:space="preserve">    With st.Range(st.Cells(TASK_FIRST, STC_TASK_FB), st.Cells(TASK_LAST, STC_TASK_FB)).Validation</t>
  </si>
  <si>
    <t xml:space="preserve">    With st.Range(st.Cells(TASK_FIRST, STC_TASK_SKILL), st.Cells(TASK_LAST, STC_TASK_SKILL)).Validation</t>
  </si>
  <si>
    <t xml:space="preserve">        .Add Type:=xlValidateList, AlertStyle:=xlValidAlertStop, _</t>
  </si>
  <si>
    <t xml:space="preserve">            Formula1:="='" &amp; SH_SETTING &amp; "'!$" &amp; ColLetter(STC_REQ_NAME) &amp; "$" &amp; (ST_REQ_HEAD + 2) &amp; ":$" &amp; ColLetter(STC_REQ_NAME) &amp; "$" &amp; ST_REQ_LAST</t>
  </si>
  <si>
    <t xml:space="preserve">    With st.Range(st.Cells(TASK_FIRST, STC_TASK_AVOID), st.Cells(TASK_LAST, STC_TASK_AVOID)).Validation</t>
  </si>
  <si>
    <t xml:space="preserve">            Formula1:="='" &amp; SH_SETTING &amp; "'!$" &amp; ColLetter(STC_TASK) &amp; "$" &amp; TASK_FIRST &amp; ":$" &amp; ColLetter(STC_TASK) &amp; "$" &amp; TASK_LAST</t>
  </si>
  <si>
    <t xml:space="preserve">    With st.Range(st.Cells(TASK_FIRST + 1, STC_TASK_NOPH), st.Cells(TASK_LAST, STC_TASK_NOPH)).Validation</t>
  </si>
  <si>
    <t xml:space="preserve">        .Add Type:=xlValidateList, AlertStyle:=xlValidAlertStop, Formula1:="○"</t>
  </si>
  <si>
    <t xml:space="preserve">    st.Columns(STC_TASK).ColumnWidth = 14</t>
  </si>
  <si>
    <t xml:space="preserve">    st.Range(st.Columns(STC_TASK_S), st.Columns(STC_TASK_N)).ColumnWidth = 8</t>
  </si>
  <si>
    <t xml:space="preserve">    st.Columns(STC_TASK_SKILL).ColumnWidth = 14</t>
  </si>
  <si>
    <t xml:space="preserve">    st.Columns(STC_TASK_AVOID).ColumnWidth = 15</t>
  </si>
  <si>
    <t xml:space="preserve">    st.Range(st.Columns(STC_TASK_FB), st.Columns(STC_TASK_NOPH)).ColumnWidth = 10</t>
  </si>
  <si>
    <t xml:space="preserve">    r = TASK_LAST + 2</t>
  </si>
  <si>
    <t xml:space="preserve">    st.Range(st.Cells(r, STC_TASK), st.Cells(r + 4, STC_TASK)).ClearContents</t>
  </si>
  <si>
    <t xml:space="preserve">    st.Cells(r, STC_TASK).Value = "・1行目の「電話当番」は、その日に勤務している人から回数の少ない人をランダムに選び、⑥の電話当番列に○。"</t>
  </si>
  <si>
    <t xml:space="preserve">    st.Cells(r + 2, STC_TASK).Value = "・「電話当番を除く」が○の業務は、その日の電話当番には割り振りません。"</t>
  </si>
  <si>
    <t xml:space="preserve">    st.Cells(r + 3, STC_TASK).Value = "・業務名のセルの塗りつぶし色が、タイムシフトでの色になります。"</t>
  </si>
  <si>
    <t xml:space="preserve">    With st.Range(st.Cells(r, STC_TASK), st.Cells(r + 3, STC_TASK)).Font</t>
  </si>
  <si>
    <t xml:space="preserve">        .Size = 9</t>
  </si>
  <si>
    <t xml:space="preserve">        .color = RGB(89, 89, 89)</t>
  </si>
  <si>
    <t>Private Sub TaskRow(st As Worksheet, ByVal r As Long, ByVal nm As String, ByVal s As Long, ByVal e As Long, _</t>
  </si>
  <si>
    <t xml:space="preserve">                    ByVal role As String, ByVal n As Long, ByVal skill As String, ByVal avoid As String, ByVal col As Long)</t>
  </si>
  <si>
    <t xml:space="preserve">    st.Cells(r, STC_TASK).Value = nm</t>
  </si>
  <si>
    <t xml:space="preserve">    st.Cells(r, STC_TASK).Interior.color = col</t>
  </si>
  <si>
    <t xml:space="preserve">    st.Cells(r, STC_TASK).Font.Bold = True</t>
  </si>
  <si>
    <t xml:space="preserve">    st.Cells(r, STC_TASK_S).Value = s</t>
  </si>
  <si>
    <t xml:space="preserve">    st.Cells(r, STC_TASK_E).Value = e</t>
  </si>
  <si>
    <t xml:space="preserve">    st.Cells(r, STC_TASK_ROLE).Value = role</t>
  </si>
  <si>
    <t xml:space="preserve">    st.Cells(r, STC_TASK_N).Value = n</t>
  </si>
  <si>
    <t xml:space="preserve">    st.Cells(r, STC_TASK_SKILL).Value = skill</t>
  </si>
  <si>
    <t xml:space="preserve">    st.Cells(r, STC_TASK_AVOID).Value = avoid</t>
  </si>
  <si>
    <t>' ②のスキル名から探す（key1 を含み、key2 も含む／key2 が空なら完全一致を優先）</t>
  </si>
  <si>
    <t>Private Function FindSkill(ByVal key1 As String, ByVal key2 As String) As String</t>
  </si>
  <si>
    <t xml:space="preserve">    Dim sc As Object, k As Variant</t>
  </si>
  <si>
    <t xml:space="preserve">    If Not LoadMemberColsPublic(ThisWorkbook.Worksheets(SH_MEMBER)) Then Exit Function</t>
  </si>
  <si>
    <t xml:space="preserve">    Set sc = MemberSkillCols()</t>
  </si>
  <si>
    <t xml:space="preserve">    If key2 = "" Then</t>
  </si>
  <si>
    <t xml:space="preserve">        If sc.Exists(key1) Then FindSkill = key1: Exit Function</t>
  </si>
  <si>
    <t xml:space="preserve">    For Each k In sc.Keys</t>
  </si>
  <si>
    <t xml:space="preserve">        If InStr(k, key1) &gt; 0 And (key2 = "" Or InStr(k, key2) &gt; 0) Then FindSkill = k: Exit Function</t>
  </si>
  <si>
    <t>' ⑧ 配分一覧（回数）</t>
  </si>
  <si>
    <t>Public Sub BuildAllocationSheet(ts As Worksheet, shortages As Collection)</t>
  </si>
  <si>
    <t xml:space="preserve">    Dim aName As String, ws As Worksheet, rules() As TaskRule, nR As Long, tasks As Object, tk As Variant</t>
  </si>
  <si>
    <t xml:space="preserve">    Dim r As Long, c As Long, i As Long, nT As Long, firstRow As Long, lastMem As Long, statTop As Long</t>
  </si>
  <si>
    <t xml:space="preserve">    Dim wsM As Worksheet, memRow As Object, skillCol As Object, nm As String, role As String, elig As Boolean</t>
  </si>
  <si>
    <t xml:space="preserve">    Dim fc As FormatCondition, cTot As Long, idx As Long, s As Variant</t>
  </si>
  <si>
    <t xml:space="preserve">    DeleteSheetIfExists aName</t>
  </si>
  <si>
    <t xml:space="preserve">    Set ws = ThisWorkbook.Worksheets.Add(After:=ts)</t>
  </si>
  <si>
    <t xml:space="preserve">    ws.Name = aName</t>
  </si>
  <si>
    <t xml:space="preserve">    ws.Tab.color = RGB(0, 176, 80)</t>
  </si>
  <si>
    <t xml:space="preserve">    Set tasks = CreateObject("Scripting.Dictionary")</t>
  </si>
  <si>
    <t xml:space="preserve">        If Not tasks.Exists(rules(i).nm) Then tasks.Add rules(i).nm, rules(i).color</t>
  </si>
  <si>
    <t xml:space="preserve">    nT = tasks.Count</t>
  </si>
  <si>
    <t xml:space="preserve">    cTot = 5 + nT</t>
  </si>
  <si>
    <t xml:space="preserve">        .Value = "⑧ 業務の配分一覧（回数）　" &amp; Mid$(ts.Name, Len(TIME_PREFIX) + 1) &amp; "　※1日1回として数えます"</t>
  </si>
  <si>
    <t xml:space="preserve">    ws.Hyperlinks.Add Anchor:=ws.Range("C2"), Address:="", SubAddress:="'" &amp; ts.Name &amp; "'!A1", _</t>
  </si>
  <si>
    <t xml:space="preserve">        TextToDisplay:=IcoBack &amp; " ⑥ タイムシフト（" &amp; Mid$(ts.Name, Len(TIME_PREFIX) + 1) &amp; "）へ"</t>
  </si>
  <si>
    <t xml:space="preserve">    ws.Range("C3").Font.Size = 9</t>
  </si>
  <si>
    <t xml:space="preserve">    ws.Range("C3").Font.color = RGB(89, 89, 89)</t>
  </si>
  <si>
    <t xml:space="preserve">    ws.Cells(5, 1).Value = "No"</t>
  </si>
  <si>
    <t xml:space="preserve">    ws.Cells(5, 2).Value = "氏名"</t>
  </si>
  <si>
    <t xml:space="preserve">    ws.Cells(5, 4).Value = "出勤" &amp; vbLf &amp; "日数"</t>
  </si>
  <si>
    <t xml:space="preserve">    c = 5</t>
  </si>
  <si>
    <t xml:space="preserve">    For Each tk In tasks.Keys</t>
  </si>
  <si>
    <t xml:space="preserve">        ws.Cells(5, c).Value = tk</t>
  </si>
  <si>
    <t xml:space="preserve">        ws.Cells(4, c).Interior.color = tasks(tk)</t>
  </si>
  <si>
    <t xml:space="preserve">    Next tk</t>
  </si>
  <si>
    <t xml:space="preserve">    ws.Cells(5, cTot).Value = "合計"</t>
  </si>
  <si>
    <t xml:space="preserve">    HeaderRow ws.Range(ws.Cells(5, 1), ws.Cells(5, cTot))</t>
  </si>
  <si>
    <t xml:space="preserve">    ws.Rows(4).RowHeight = 6</t>
  </si>
  <si>
    <t xml:space="preserve">    LoadMemberColsPublic wsM</t>
  </si>
  <si>
    <t xml:space="preserve">    Set memRow = CreateObject("Scripting.Dictionary")</t>
  </si>
  <si>
    <t xml:space="preserve">        nm = Trim$(CStr(wsM.Cells(r, MemberNameCol()).Value))</t>
  </si>
  <si>
    <t xml:space="preserve">        If nm &lt;&gt; "" And Not memRow.Exists(nm) Then memRow(nm) = r</t>
  </si>
  <si>
    <t xml:space="preserve">    Set skillCol = MemberSkillCols()</t>
  </si>
  <si>
    <t xml:space="preserve">    firstRow = 6</t>
  </si>
  <si>
    <t xml:space="preserve">    r = TS_BLOCK_TOP + 1</t>
  </si>
  <si>
    <t xml:space="preserve">    i = 0</t>
  </si>
  <si>
    <t xml:space="preserve">    Do While IsNumeric(ts.Cells(r, TC_NO).Value2) And Not IsEmpty(ts.Cells(r, TC_NO).Value2)</t>
  </si>
  <si>
    <t xml:space="preserve">        i = i + 1</t>
  </si>
  <si>
    <t xml:space="preserve">        nm = Trim$(CStr(ts.Cells(r, TC_NAME).Value))</t>
  </si>
  <si>
    <t xml:space="preserve">        role = Trim$(CStr(ts.Cells(r, TC_ROLE).Value))</t>
  </si>
  <si>
    <t xml:space="preserve">        ws.Cells(firstRow + i - 1, 1).Value = i</t>
  </si>
  <si>
    <t xml:space="preserve">        ws.Cells(firstRow + i - 1, 2).Value = nm</t>
  </si>
  <si>
    <t xml:space="preserve">        ws.Cells(firstRow + i - 1, 3).Value = role</t>
  </si>
  <si>
    <t xml:space="preserve">        ws.Cells(firstRow + i - 1, 3).Interior.color = RoleColor(role)</t>
  </si>
  <si>
    <t xml:space="preserve">        c = 5</t>
  </si>
  <si>
    <t xml:space="preserve">        For Each tk In tasks.Keys</t>
  </si>
  <si>
    <t xml:space="preserve">            elig = False</t>
  </si>
  <si>
    <t xml:space="preserve">            For idx = 1 To nR</t>
  </si>
  <si>
    <t xml:space="preserve">                If rules(idx).nm = tk And (rules(idx).role = role Or (rules(idx).fb = role And role &lt;&gt; "")) Then</t>
  </si>
  <si>
    <t xml:space="preserve">                    If rules(idx).skill = "" Then</t>
  </si>
  <si>
    <t xml:space="preserve">                        elig = True</t>
  </si>
  <si>
    <t xml:space="preserve">                    ElseIf memRow.Exists(nm) And skillCol.Exists(rules(idx).skill) Then</t>
  </si>
  <si>
    <t xml:space="preserve">                        If Trim$(CStr(wsM.Cells(memRow(nm), skillCol(rules(idx).skill)).Value)) = "○" Then elig = True</t>
  </si>
  <si>
    <t xml:space="preserve">            Next idx</t>
  </si>
  <si>
    <t xml:space="preserve">            If Not elig Then</t>
  </si>
  <si>
    <t xml:space="preserve">                ws.Cells(firstRow + i - 1, c).Value = "－"</t>
  </si>
  <si>
    <t xml:space="preserve">                ws.Cells(firstRow + i - 1, c).Font.color = RGB(191, 191, 191)</t>
  </si>
  <si>
    <t xml:space="preserve">            c = c + 1</t>
  </si>
  <si>
    <t xml:space="preserve">        Next tk</t>
  </si>
  <si>
    <t xml:space="preserve">    lastMem = firstRow + i - 1</t>
  </si>
  <si>
    <t xml:space="preserve">    If i = 0 Then lastMem = firstRow</t>
  </si>
  <si>
    <t xml:space="preserve">    GridRange ws.Range(ws.Cells(5, 1), ws.Cells(lastMem, cTot))</t>
  </si>
  <si>
    <t xml:space="preserve">    ws.Range(ws.Cells(firstRow, 1), ws.Cells(lastMem, cTot)).HorizontalAlignment = xlCenter</t>
  </si>
  <si>
    <t xml:space="preserve">    ws.Range(ws.Cells(firstRow, 2), ws.Cells(lastMem, 2)).HorizontalAlignment = xlLeft</t>
  </si>
  <si>
    <t xml:space="preserve">    ws.Range(ws.Cells(firstRow, cTot), ws.Cells(lastMem, cTot)).Font.Bold = True</t>
  </si>
  <si>
    <t xml:space="preserve">    ws.Range(ws.Cells(firstRow, cTot), ws.Cells(lastMem, cTot)).Interior.color = RGB(242, 242, 242)</t>
  </si>
  <si>
    <t xml:space="preserve">    ' 均等チェック（対象者だけで 最多・最少・差）</t>
  </si>
  <si>
    <t xml:space="preserve">    statTop = lastMem + 2</t>
  </si>
  <si>
    <t xml:space="preserve">    ws.Cells(statTop, 2).Value = "最多"</t>
  </si>
  <si>
    <t xml:space="preserve">    ws.Cells(statTop + 1, 2).Value = "最少"</t>
  </si>
  <si>
    <t xml:space="preserve">    ws.Cells(statTop + 2, 2).Value = "差（最多－最少）"</t>
  </si>
  <si>
    <t xml:space="preserve">    For c = 5 To cTot - 1</t>
  </si>
  <si>
    <t xml:space="preserve">        ws.Cells(statTop, c).Formula = "=IF(COUNT(" &amp; ColRange(ws, c, firstRow, lastMem) &amp; ")=0,""－"",MAX(" &amp; ColRange(ws, c, firstRow, lastMem) &amp; "))"</t>
  </si>
  <si>
    <t xml:space="preserve">        ws.Cells(statTop + 1, c).Formula = "=IF(COUNT(" &amp; ColRange(ws, c, firstRow, lastMem) &amp; ")=0,""－"",MIN(" &amp; ColRange(ws, c, firstRow, lastMem) &amp; "))"</t>
  </si>
  <si>
    <t xml:space="preserve">        ws.Cells(statTop + 2, c).Formula = "=IF(ISNUMBER(" &amp; ws.Cells(statTop, c).Address(False, False) &amp; ")," &amp; _</t>
  </si>
  <si>
    <t xml:space="preserve">            ws.Cells(statTop, c).Address(False, False) &amp; "-" &amp; ws.Cells(statTop + 1, c).Address(False, False) &amp; ",""－"")"</t>
  </si>
  <si>
    <t xml:space="preserve">    GridRange ws.Range(ws.Cells(statTop, 2), ws.Cells(statTop + 2, cTot - 1))</t>
  </si>
  <si>
    <t xml:space="preserve">    ws.Range(ws.Cells(statTop, 2), ws.Cells(statTop + 2, cTot - 1)).HorizontalAlignment = xlCenter</t>
  </si>
  <si>
    <t xml:space="preserve">    ws.Range(ws.Cells(statTop, 2), ws.Cells(statTop + 2, 4)).Interior.color = RGB(242, 242, 242)</t>
  </si>
  <si>
    <t xml:space="preserve">    ws.Range(ws.Cells(statTop + 2, 2), ws.Cells(statTop + 2, cTot - 1)).Font.Bold = True</t>
  </si>
  <si>
    <t xml:space="preserve">    With ws.Range(ws.Cells(statTop + 2, 5), ws.Cells(statTop + 2, cTot - 1))</t>
  </si>
  <si>
    <t xml:space="preserve">        Set fc = .FormatConditions.Add(Type:=xlExpression, Formula1:="=AND(ISNUMBER(E" &amp; (statTop + 2) &amp; "),E" &amp; (statTop + 2) &amp; "&gt;=2)")</t>
  </si>
  <si>
    <t xml:space="preserve">        Set fc = .FormatConditions.Add(Type:=xlExpression, Formula1:="=AND(ISNUMBER(E" &amp; (statTop + 2) &amp; "),E" &amp; (statTop + 2) &amp; "&lt;=1)")</t>
  </si>
  <si>
    <t xml:space="preserve">        fc.Interior.color = RGB(198, 239, 206)</t>
  </si>
  <si>
    <t xml:space="preserve">    ws.Cells(statTop + 3, 2).Value = "※ 差が1以下なら緑（ほぼ均等）、2以上は赤。出勤日数が少ない人は回数も少なくなります。"</t>
  </si>
  <si>
    <t xml:space="preserve">    ws.Cells(statTop + 3, 2).Font.Size = 9</t>
  </si>
  <si>
    <t xml:space="preserve">    ws.Cells(statTop + 3, 2).Font.color = RGB(89, 89, 89)</t>
  </si>
  <si>
    <t xml:space="preserve">    r = statTop + 5</t>
  </si>
  <si>
    <t xml:space="preserve">    ws.Cells(r, 2).Value = "人数が足りなかった日（直近の割り振り）"</t>
  </si>
  <si>
    <t xml:space="preserve">    ws.Cells(r, 2).Font.Bold = True</t>
  </si>
  <si>
    <t xml:space="preserve">    If shortages.Count = 0 Then</t>
  </si>
  <si>
    <t xml:space="preserve">        ws.Cells(r + 1, 2).Value = "なし"</t>
  </si>
  <si>
    <t xml:space="preserve">        For Each s In shortages</t>
  </si>
  <si>
    <t xml:space="preserve">            ws.Cells(r, 2).Value = s</t>
  </si>
  <si>
    <t xml:space="preserve">            ws.Cells(r, 2).Font.color = RGB(192, 0, 0)</t>
  </si>
  <si>
    <t xml:space="preserve">        Next s</t>
  </si>
  <si>
    <t xml:space="preserve">    ws.Columns(1).ColumnWidth = 4</t>
  </si>
  <si>
    <t xml:space="preserve">    ws.Columns(2).ColumnWidth = 14</t>
  </si>
  <si>
    <t xml:space="preserve">    ws.Columns(3).ColumnWidth = 6</t>
  </si>
  <si>
    <t xml:space="preserve">    ws.Columns(4).ColumnWidth = 6</t>
  </si>
  <si>
    <t xml:space="preserve">    ws.Range(ws.Columns(5), ws.Columns(cTot)).ColumnWidth = 11</t>
  </si>
  <si>
    <t xml:space="preserve">    MakeButton ws, ws.Cells(1, cTot + 1).Left + 8, 3, 190, 26, IcoRefresh &amp; " 最新の状態に更新", RGB(0, 176, 80), "RefreshActiveAllocation"</t>
  </si>
  <si>
    <t xml:space="preserve">    MakeButton ws, ws.Cells(1, cTot + 1).Left + 8, 34, 190, 26, IcoRefresh &amp; " 割り振りをやり直す", RGB(237, 125, 49), "AssignTasksActive"</t>
  </si>
  <si>
    <t xml:space="preserve">    MakeButton ws, ws.Cells(1, cTot + 1).Left + 8, 65, 190, 26, "次へ：⑨ 時間集計 " &amp; IcoNext, RGB(112, 48, 160), "GoHoursFromActive"</t>
  </si>
  <si>
    <t xml:space="preserve">    ws.Range("A2").Value = ts.Name: ws.Range("A2").NumberFormat = ";;;"</t>
  </si>
  <si>
    <t xml:space="preserve">    ws.Range("A3").Value = lastMem: ws.Range("A3").NumberFormat = ";;;"</t>
  </si>
  <si>
    <t xml:space="preserve">    ws.Range("E6").Select</t>
  </si>
  <si>
    <t>Private Sub DeleteSheetIfExists(ByVal nm As String)</t>
  </si>
  <si>
    <t xml:space="preserve">        ThisWorkbook.Worksheets(nm).Delete</t>
  </si>
  <si>
    <t>Private Sub HeaderRow(rg As Range)</t>
  </si>
  <si>
    <t xml:space="preserve">    rg.Rows(1).RowHeight = 30</t>
  </si>
  <si>
    <t>Private Sub GridRange(rg As Range)</t>
  </si>
  <si>
    <t xml:space="preserve">    With rg.Borders</t>
  </si>
  <si>
    <t>Private Function ColRange(ws As Worksheet, ByVal c As Long, ByVal r1 As Long, ByVal r2 As Long) As String</t>
  </si>
  <si>
    <t xml:space="preserve">    ColRange = ws.Range(ws.Cells(r1, c), ws.Cells(r2, c)).Address(False, False)</t>
  </si>
  <si>
    <t>' 出勤日数・労働時間を月間シフトから読む準備</t>
  </si>
  <si>
    <t>Private Function MonthlyInfo(ts As Worksheet, monRow As Object, ByRef cDays As Long, ByRef cHours As Long) As Worksheet</t>
  </si>
  <si>
    <t xml:space="preserve">    Dim wsMon As Worksheet, r As Long, c As Long</t>
  </si>
  <si>
    <t xml:space="preserve">    If Not SheetExists(CStr(ts.Range("A3").Value)) Then Exit Function</t>
  </si>
  <si>
    <t xml:space="preserve">    Set wsMon = ThisWorkbook.Worksheets(CStr(ts.Range("A3").Value))</t>
  </si>
  <si>
    <t xml:space="preserve">        monRow(Trim$(CStr(wsMon.Cells(r, SC_NAME).Value))) = r</t>
  </si>
  <si>
    <t xml:space="preserve">    For c = SC_DAY1 To SC_DAY1 + 45</t>
  </si>
  <si>
    <t xml:space="preserve">        If Left$(CStr(wsMon.Cells(S_DATE_ROW, c).Value), 2) = "出勤" Then cDays = c</t>
  </si>
  <si>
    <t xml:space="preserve">        If Left$(CStr(wsMon.Cells(S_DATE_ROW, c).Value), 2) = "労働" Then cHours = c</t>
  </si>
  <si>
    <t xml:space="preserve">    Set MonthlyInfo = wsMon</t>
  </si>
  <si>
    <t>' ⑧の回数を数え直す（各日・各人で、その業務があれば1回。電話当番は○の日数）</t>
  </si>
  <si>
    <t>Public Sub FillAllocation(ws As Worksheet)</t>
  </si>
  <si>
    <t xml:space="preserve">    Dim ts As Worksheet, wsMon As Worksheet, r As Long, k As Long, c As Long, lastMem As Long, lastRow As Long</t>
  </si>
  <si>
    <t xml:space="preserve">    Dim cnt As Object, nm As String, seen As Object, cTot As Long, tot As Double, p As Variant</t>
  </si>
  <si>
    <t xml:space="preserve">    Dim monRow As Object, cDays As Long, cHours As Long, nSlot As Long</t>
  </si>
  <si>
    <t xml:space="preserve">    If Not SheetExists(CStr(ws.Range("A2").Value)) Then Exit Sub</t>
  </si>
  <si>
    <t xml:space="preserve">    Set ts = ThisWorkbook.Worksheets(CStr(ws.Range("A2").Value))</t>
  </si>
  <si>
    <t xml:space="preserve">    lastMem = CLng(Val(ws.Range("A3").Value))</t>
  </si>
  <si>
    <t xml:space="preserve">    If lastMem &lt; 6 Then Exit Sub</t>
  </si>
  <si>
    <t xml:space="preserve">    Set cnt = CreateObject("Scripting.Dictionary")</t>
  </si>
  <si>
    <t xml:space="preserve">            If Trim$(CStr(ts.Cells(r, TC_PHONE).Value)) &lt;&gt; "" Then AddCount cnt, PHONE_TASK &amp; "|" &amp; nm, 1</t>
  </si>
  <si>
    <t xml:space="preserve">            Set seen = CreateObject("Scripting.Dictionary")</t>
  </si>
  <si>
    <t xml:space="preserve">            For k = 0 To nSlot - 1</t>
  </si>
  <si>
    <t xml:space="preserve">                For Each p In SplitTasks(CStr(ts.Cells(r, TC_SLOT1 + k).Value))</t>
  </si>
  <si>
    <t xml:space="preserve">                    If Not seen.Exists(p) Then</t>
  </si>
  <si>
    <t xml:space="preserve">                        seen(p) = True</t>
  </si>
  <si>
    <t xml:space="preserve">                        AddCount cnt, p &amp; "|" &amp; nm, 1</t>
  </si>
  <si>
    <t xml:space="preserve">                Next p</t>
  </si>
  <si>
    <t xml:space="preserve">    Set monRow = CreateObject("Scripting.Dictionary")</t>
  </si>
  <si>
    <t xml:space="preserve">    Set wsMon = MonthlyInfo(ts, monRow, cDays, cHours)</t>
  </si>
  <si>
    <t xml:space="preserve">    cTot = 5</t>
  </si>
  <si>
    <t xml:space="preserve">    Do While Trim$(CStr(ws.Cells(5, cTot).Value)) &lt;&gt; "合計" And cTot &lt; 80</t>
  </si>
  <si>
    <t xml:space="preserve">        cTot = cTot + 1</t>
  </si>
  <si>
    <t xml:space="preserve">    For r = 6 To lastMem</t>
  </si>
  <si>
    <t xml:space="preserve">        nm = Trim$(CStr(ws.Cells(r, 2).Value))</t>
  </si>
  <si>
    <t xml:space="preserve">        If cDays &gt; 0 And monRow.Exists(nm) Then ws.Cells(r, 4).Value = wsMon.Cells(monRow(nm), cDays).Value</t>
  </si>
  <si>
    <t xml:space="preserve">        tot = 0</t>
  </si>
  <si>
    <t xml:space="preserve">        For c = 5 To cTot - 1</t>
  </si>
  <si>
    <t xml:space="preserve">            If CStr(ws.Cells(r, c).Value) &lt;&gt; "－" Then ws.Cells(r, c).Value = GetCount(cnt, CStr(ws.Cells(5, c).Value) &amp; "|" &amp; nm)</t>
  </si>
  <si>
    <t xml:space="preserve">            If CStr(ws.Cells(5, c).Value) &lt;&gt; PHONE_TASK Then tot = tot + GetCount(cnt, CStr(ws.Cells(5, c).Value) &amp; "|" &amp; nm)</t>
  </si>
  <si>
    <t xml:space="preserve">        Next c</t>
  </si>
  <si>
    <t xml:space="preserve">        ws.Cells(r, cTot).Value = tot</t>
  </si>
  <si>
    <t xml:space="preserve">    With ws.Range(ws.Cells(6, 5), ws.Cells(lastMem, cTot - 1))</t>
  </si>
  <si>
    <t xml:space="preserve">        .FormatConditions.AddDatabar</t>
  </si>
  <si>
    <t xml:space="preserve">        .FormatConditions(1).BarColor.color = RGB(99, 190, 123)</t>
  </si>
  <si>
    <t xml:space="preserve">    If ws.Cells(4, cTot).Value = "" Then</t>
  </si>
  <si>
    <t xml:space="preserve">        ws.Cells(4, cTot).Value = "※電話当番を除く"</t>
  </si>
  <si>
    <t xml:space="preserve">        ws.Cells(4, cTot).Font.Size = 8</t>
  </si>
  <si>
    <t>' ⑨ 時間集計：人 × 業務 の時間（h）</t>
  </si>
  <si>
    <t>'   ・⑥の時間枠に入っている業務を全部数える（ルールにない業務も列を自動で追加）</t>
  </si>
  <si>
    <t>'   ・1枠に「/」で複数入れたら、1時間を業務の数で等分</t>
  </si>
  <si>
    <t>'   ・予備列：見出しに業務名を入れて「集計し直す」を押すと、その業務も数える</t>
  </si>
  <si>
    <t>Public Sub BuildHoursSheet(ts As Worksheet)</t>
  </si>
  <si>
    <t xml:space="preserve">    Dim hName As String, ws As Worksheet, keepHdr As Collection, c As Long, v As String</t>
  </si>
  <si>
    <t xml:space="preserve">    hName = HOURS_PREFIX &amp; Mid$(ts.Name, Len(TIME_PREFIX) + 1)</t>
  </si>
  <si>
    <t xml:space="preserve">    Set keepHdr = New Collection</t>
  </si>
  <si>
    <t xml:space="preserve">    If SheetExists(hName) Then</t>
  </si>
  <si>
    <t xml:space="preserve">        Set ws = ThisWorkbook.Worksheets(hName)</t>
  </si>
  <si>
    <t xml:space="preserve">        ' 予備列などに手で入れた見出しを引き継ぐ</t>
  </si>
  <si>
    <t xml:space="preserve">        For c = 7 To 120</t>
  </si>
  <si>
    <t xml:space="preserve">            v = Trim$(CStr(ws.Cells(5, c).Value))</t>
  </si>
  <si>
    <t xml:space="preserve">            If v = "業務合計" Then Exit For</t>
  </si>
  <si>
    <t xml:space="preserve">            If v &lt;&gt; "" And v &lt;&gt; "（予備）" Then keepHdr.Add v</t>
  </si>
  <si>
    <t xml:space="preserve">        DeleteSheetIfExists hName</t>
  </si>
  <si>
    <t xml:space="preserve">    If SheetExists(ALLOC_PREFIX &amp; Mid$(ts.Name, Len(TIME_PREFIX) + 1)) Then</t>
  </si>
  <si>
    <t xml:space="preserve">        Set ws = ThisWorkbook.Worksheets.Add(After:=ThisWorkbook.Worksheets(ALLOC_PREFIX &amp; Mid$(ts.Name, Len(TIME_PREFIX) + 1)))</t>
  </si>
  <si>
    <t xml:space="preserve">        Set ws = ThisWorkbook.Worksheets.Add(After:=ts)</t>
  </si>
  <si>
    <t xml:space="preserve">    ws.Name = hName</t>
  </si>
  <si>
    <t xml:space="preserve">    FillHours ws, keepHdr</t>
  </si>
  <si>
    <t>Public Sub RefreshActiveHours()</t>
  </si>
  <si>
    <t xml:space="preserve">    If Left$(ActiveSheet.Name, Len(HOURS_PREFIX)) &lt;&gt; HOURS_PREFIX Then Exit Sub</t>
  </si>
  <si>
    <t xml:space="preserve">    If Not SheetExists(CStr(ActiveSheet.Range("A2").Value)) Then Exit Sub</t>
  </si>
  <si>
    <t xml:space="preserve">    Set ts = ThisWorkbook.Worksheets(CStr(ActiveSheet.Range("A2").Value))</t>
  </si>
  <si>
    <t>Private Sub FillHours(ws As Worksheet, keepHdr As Collection)</t>
  </si>
  <si>
    <t xml:space="preserve">    Dim ts As Worksheet, rules() As TaskRule, nR As Long, i As Long, r As Long, k As Long, c As Long</t>
  </si>
  <si>
    <t xml:space="preserve">    Dim names As Object, order As Collection, nm As String, p As Variant, parts As Collection</t>
  </si>
  <si>
    <t xml:space="preserve">    Dim hrs As Object, phone As Object, codes As Object, members As Collection, lastRow As Long, nSlot As Long</t>
  </si>
  <si>
    <t xml:space="preserve">    Dim monRow As Object, wsMon As Worksheet, cDays As Long, cHours As Long, firstRow As Long, lastMem As Long</t>
  </si>
  <si>
    <t xml:space="preserve">    Dim cTask1 As Long, cSpare1 As Long, cTot As Long, cFree As Long, nTask As Long, t As Variant, x As Double</t>
  </si>
  <si>
    <t xml:space="preserve">    Set codes = AllWorkCodes()</t>
  </si>
  <si>
    <t xml:space="preserve">    Set hrs = CreateObject("Scripting.Dictionary")      ' 業務|氏名 → 時間</t>
  </si>
  <si>
    <t xml:space="preserve">    Set phone = CreateObject("Scripting.Dictionary")    ' 氏名 → 電話当番の日数</t>
  </si>
  <si>
    <t xml:space="preserve">    Set names = CreateObject("Scripting.Dictionary")</t>
  </si>
  <si>
    <t xml:space="preserve">    Set order = New Collection</t>
  </si>
  <si>
    <t xml:space="preserve">    ' 列の順：業務ルールの順 → 手で入れていた見出し → ⑥で見つかった業務</t>
  </si>
  <si>
    <t xml:space="preserve">        If Not rules(i).isPhone And Not names.Exists(rules(i).nm) Then names(rules(i).nm) = True: order.Add rules(i).nm</t>
  </si>
  <si>
    <t xml:space="preserve">    For Each t In keepHdr</t>
  </si>
  <si>
    <t xml:space="preserve">        If Not names.Exists(t) Then names(t) = True: order.Add t</t>
  </si>
  <si>
    <t xml:space="preserve">    Next t</t>
  </si>
  <si>
    <t xml:space="preserve">            If Trim$(CStr(ts.Cells(r, TC_PHONE).Value)) &lt;&gt; "" Then AddCount phone, nm, 1</t>
  </si>
  <si>
    <t xml:space="preserve">                Set parts = SplitTasks(CStr(ts.Cells(r, TC_SLOT1 + k).Value))</t>
  </si>
  <si>
    <t xml:space="preserve">                If parts.Count &gt; 0 Then</t>
  </si>
  <si>
    <t xml:space="preserve">                    x = 1# / parts.Count</t>
  </si>
  <si>
    <t xml:space="preserve">                    For Each p In parts</t>
  </si>
  <si>
    <t xml:space="preserve">                        If Not codes.Exists(p) Then</t>
  </si>
  <si>
    <t xml:space="preserve">                            AddCount hrs, p &amp; "|" &amp; nm, x</t>
  </si>
  <si>
    <t xml:space="preserve">                            If Not names.Exists(p) Then names(p) = True: order.Add p</t>
  </si>
  <si>
    <t xml:space="preserve">                    Next p</t>
  </si>
  <si>
    <t xml:space="preserve">    ' メンバー（最初の日の並び）</t>
  </si>
  <si>
    <t xml:space="preserve">        members.Add r</t>
  </si>
  <si>
    <t xml:space="preserve">    ' ---- レイアウト ----</t>
  </si>
  <si>
    <t xml:space="preserve">    ws.Tab.color = RGB(112, 48, 160)</t>
  </si>
  <si>
    <t xml:space="preserve">        .Value = "⑨ 業務ごとの時間集計　" &amp; Mid$(ts.Name, Len(TIME_PREFIX) + 1) &amp; "（単位：時間）"</t>
  </si>
  <si>
    <t xml:space="preserve">    ws.Range("C3").Value = "⑥を手で直したら「集計し直す」。1つの枠に複数の業務は「/」で区切る（例：受領/通勤2次）→1時間を等分。" &amp; _</t>
  </si>
  <si>
    <t xml:space="preserve">                           "ルールにない業務も自動で列に入ります。予備列の見出しに業務名を入れて「集計し直す」でも数えます。"</t>
  </si>
  <si>
    <t xml:space="preserve">    nTask = order.Count</t>
  </si>
  <si>
    <t xml:space="preserve">    cTask1 = 7</t>
  </si>
  <si>
    <t xml:space="preserve">    cSpare1 = cTask1 + nTask</t>
  </si>
  <si>
    <t xml:space="preserve">    cTot = cSpare1 + HOURS_SPARE</t>
  </si>
  <si>
    <t xml:space="preserve">    cFree = cTot + 1</t>
  </si>
  <si>
    <t xml:space="preserve">    ws.Cells(5, 5).Value = "労働" &amp; vbLf &amp; "時間"</t>
  </si>
  <si>
    <t xml:space="preserve">    ws.Cells(5, 6).Value = PHONE_TASK &amp; vbLf &amp; "（日）"</t>
  </si>
  <si>
    <t xml:space="preserve">    For Each t In order</t>
  </si>
  <si>
    <t xml:space="preserve">        ws.Cells(5, cTask1 + i).Value = t</t>
  </si>
  <si>
    <t xml:space="preserve">    For i = 0 To HOURS_SPARE - 1</t>
  </si>
  <si>
    <t xml:space="preserve">        With ws.Cells(5, cSpare1 + i)</t>
  </si>
  <si>
    <t xml:space="preserve">            .Value = "（予備）"</t>
  </si>
  <si>
    <t xml:space="preserve">    ws.Cells(5, cTot).Value = "業務合計"</t>
  </si>
  <si>
    <t xml:space="preserve">    ws.Cells(5, cFree).Value = "業務なし" &amp; vbLf &amp; "（労働－業務）"</t>
  </si>
  <si>
    <t xml:space="preserve">    HeaderRow ws.Range(ws.Cells(5, 1), ws.Cells(5, cFree))</t>
  </si>
  <si>
    <t xml:space="preserve">    With ws.Range(ws.Cells(5, cSpare1), ws.Cells(5, cSpare1 + HOURS_SPARE - 1))</t>
  </si>
  <si>
    <t xml:space="preserve">        .Font.color = RGB(166, 166, 166)</t>
  </si>
  <si>
    <t xml:space="preserve">    ColorTaskHeaders ws, cTask1, cSpare1 - 1</t>
  </si>
  <si>
    <t xml:space="preserve">    lastMem = firstRow + members.Count - 1</t>
  </si>
  <si>
    <t xml:space="preserve">    For Each t In members</t>
  </si>
  <si>
    <t xml:space="preserve">        r = firstRow + i</t>
  </si>
  <si>
    <t xml:space="preserve">        nm = Trim$(CStr(ts.Cells(t, TC_NAME).Value))</t>
  </si>
  <si>
    <t xml:space="preserve">        ws.Cells(r, 1).Value = i + 1</t>
  </si>
  <si>
    <t xml:space="preserve">        ws.Cells(r, 2).Value = nm</t>
  </si>
  <si>
    <t xml:space="preserve">        ws.Cells(r, 3).Value = ts.Cells(t, TC_ROLE).Value</t>
  </si>
  <si>
    <t xml:space="preserve">        ws.Cells(r, 3).Interior.color = RoleColor(CStr(ts.Cells(t, TC_ROLE).Value))</t>
  </si>
  <si>
    <t xml:space="preserve">        If Not wsMon Is Nothing And monRow.Exists(nm) Then</t>
  </si>
  <si>
    <t xml:space="preserve">            If cDays &gt; 0 Then ws.Cells(r, 4).Value = wsMon.Cells(monRow(nm), cDays).Value</t>
  </si>
  <si>
    <t xml:space="preserve">            If cHours &gt; 0 Then ws.Cells(r, 5).Value = wsMon.Cells(monRow(nm), cHours).Value</t>
  </si>
  <si>
    <t xml:space="preserve">        ws.Cells(r, 6).Value = GetCount(phone, nm)</t>
  </si>
  <si>
    <t xml:space="preserve">        For c = cTask1 To cSpare1 + HOURS_SPARE - 1</t>
  </si>
  <si>
    <t xml:space="preserve">            If Trim$(CStr(ws.Cells(5, c).Value)) &lt;&gt; "（予備）" Then ws.Cells(r, c).Value = GetCount(hrs, CStr(ws.Cells(5, c).Value) &amp; "|" &amp; nm)</t>
  </si>
  <si>
    <t xml:space="preserve">        ws.Cells(r, cTot).Formula = "=SUM(" &amp; ws.Range(ws.Cells(r, cTask1), ws.Cells(r, cTot - 1)).Address(False, False) &amp; ")"</t>
  </si>
  <si>
    <t xml:space="preserve">        ws.Cells(r, cFree).Formula = "=IF(ISNUMBER(E" &amp; r &amp; "),E" &amp; r &amp; "-" &amp; ws.Cells(r, cTot).Address(False, False) &amp; ","""")"</t>
  </si>
  <si>
    <t>1209</t>
  </si>
  <si>
    <t>1210</t>
  </si>
  <si>
    <t xml:space="preserve">    If members.Count = 0 Then lastMem = firstRow</t>
  </si>
  <si>
    <t>1211</t>
  </si>
  <si>
    <t>1212</t>
  </si>
  <si>
    <t xml:space="preserve">    ' 合計行</t>
  </si>
  <si>
    <t>1213</t>
  </si>
  <si>
    <t xml:space="preserve">    r = lastMem + 1</t>
  </si>
  <si>
    <t>1214</t>
  </si>
  <si>
    <t xml:space="preserve">    ws.Cells(r, 2).Value = "合計"</t>
  </si>
  <si>
    <t>1215</t>
  </si>
  <si>
    <t xml:space="preserve">    For c = 4 To cFree</t>
  </si>
  <si>
    <t>1216</t>
  </si>
  <si>
    <t xml:space="preserve">        ws.Cells(r, c).Formula = "=SUM(" &amp; ColRange(ws, c, firstRow, lastMem) &amp; ")"</t>
  </si>
  <si>
    <t>1217</t>
  </si>
  <si>
    <t>1218</t>
  </si>
  <si>
    <t xml:space="preserve">    ws.Range(ws.Cells(r, 1), ws.Cells(r, cFree)).Font.Bold = True</t>
  </si>
  <si>
    <t>1219</t>
  </si>
  <si>
    <t xml:space="preserve">    ws.Range(ws.Cells(r, 1), ws.Cells(r, cFree)).Interior.color = RGB(255, 242, 204)</t>
  </si>
  <si>
    <t>1220</t>
  </si>
  <si>
    <t xml:space="preserve">    ws.Range(ws.Cells(r, 1), ws.Cells(r, cFree)).Borders(xlEdgeTop).Weight = xlMedium</t>
  </si>
  <si>
    <t>1221</t>
  </si>
  <si>
    <t>1222</t>
  </si>
  <si>
    <t xml:space="preserve">    GridRange ws.Range(ws.Cells(5, 1), ws.Cells(r, cFree))</t>
  </si>
  <si>
    <t>1223</t>
  </si>
  <si>
    <t xml:space="preserve">    ws.Range(ws.Cells(firstRow, 1), ws.Cells(r, cFree)).HorizontalAlignment = xlCenter</t>
  </si>
  <si>
    <t>1224</t>
  </si>
  <si>
    <t xml:space="preserve">    ws.Range(ws.Cells(firstRow, 2), ws.Cells(r, 2)).HorizontalAlignment = xlLeft</t>
  </si>
  <si>
    <t>1225</t>
  </si>
  <si>
    <t xml:space="preserve">    ws.Range(ws.Cells(firstRow, 4), ws.Cells(r, cFree)).NumberFormat = "0.0;-0.0;""－"""</t>
  </si>
  <si>
    <t>1226</t>
  </si>
  <si>
    <t xml:space="preserve">    ws.Range(ws.Cells(firstRow, 4), ws.Cells(r, 4)).NumberFormat = "0;-0;""－"""</t>
  </si>
  <si>
    <t>1227</t>
  </si>
  <si>
    <t xml:space="preserve">    ws.Range(ws.Cells(firstRow, 6), ws.Cells(r, 6)).NumberFormat = "0;-0;""－"""</t>
  </si>
  <si>
    <t>1228</t>
  </si>
  <si>
    <t xml:space="preserve">    ws.Range(ws.Cells(firstRow, cTot), ws.Cells(r, cTot)).Interior.color = RGB(242, 242, 242)</t>
  </si>
  <si>
    <t>1229</t>
  </si>
  <si>
    <t xml:space="preserve">    ws.Range(ws.Cells(5, cTot), ws.Cells(r, cTot)).Borders(xlEdgeLeft).Weight = xlMedium</t>
  </si>
  <si>
    <t>1230</t>
  </si>
  <si>
    <t xml:space="preserve">    With ws.Range(ws.Cells(firstRow, cTask1), ws.Cells(lastMem, cTot - 1))</t>
  </si>
  <si>
    <t>1231</t>
  </si>
  <si>
    <t>1232</t>
  </si>
  <si>
    <t>1233</t>
  </si>
  <si>
    <t xml:space="preserve">        .FormatConditions(1).BarColor.color = RGB(142, 169, 219)</t>
  </si>
  <si>
    <t>1234</t>
  </si>
  <si>
    <t>1235</t>
  </si>
  <si>
    <t>1236</t>
  </si>
  <si>
    <t>1237</t>
  </si>
  <si>
    <t xml:space="preserve">    ws.Columns(2).ColumnWidth = 12</t>
  </si>
  <si>
    <t>1238</t>
  </si>
  <si>
    <t>1239</t>
  </si>
  <si>
    <t xml:space="preserve">    ws.Range(ws.Columns(4), ws.Columns(6)).ColumnWidth = 8</t>
  </si>
  <si>
    <t>1240</t>
  </si>
  <si>
    <t xml:space="preserve">    ws.Range(ws.Columns(cTask1), ws.Columns(cFree)).ColumnWidth = 10</t>
  </si>
  <si>
    <t>1241</t>
  </si>
  <si>
    <t xml:space="preserve">    ws.Columns(cFree).ColumnWidth = 12</t>
  </si>
  <si>
    <t>1242</t>
  </si>
  <si>
    <t>1243</t>
  </si>
  <si>
    <t xml:space="preserve">    MakeButton ws, ws.Cells(1, cFree + 1).Left + 8, 3, 170, 26, IcoRefresh &amp; " 集計し直す", RGB(112, 48, 160), "RefreshActiveHours"</t>
  </si>
  <si>
    <t>1244</t>
  </si>
  <si>
    <t>1245</t>
  </si>
  <si>
    <t>1246</t>
  </si>
  <si>
    <t xml:space="preserve">    ws.Cells(firstRow, cTask1).Select</t>
  </si>
  <si>
    <t>1247</t>
  </si>
  <si>
    <t>1248</t>
  </si>
  <si>
    <t>1249</t>
  </si>
  <si>
    <t>1250</t>
  </si>
  <si>
    <t>Private Sub ColorTaskHeaders(ws As Worksheet, ByVal c1 As Long, ByVal c2 As Long)</t>
  </si>
  <si>
    <t>1251</t>
  </si>
  <si>
    <t xml:space="preserve">    Dim tc As Object, c As Long</t>
  </si>
  <si>
    <t>1252</t>
  </si>
  <si>
    <t>1253</t>
  </si>
  <si>
    <t>1254</t>
  </si>
  <si>
    <t xml:space="preserve">    For c = c1 To c2</t>
  </si>
  <si>
    <t>1255</t>
  </si>
  <si>
    <t xml:space="preserve">        If tc.Exists(CStr(ws.Cells(5, c).Value)) Then ws.Cells(4, c).Interior.color = tc(CStr(ws.Cells(5, c).Value))</t>
  </si>
  <si>
    <t>1256</t>
  </si>
  <si>
    <t>1257</t>
  </si>
  <si>
    <t>1258</t>
  </si>
  <si>
    <t>1259</t>
  </si>
  <si>
    <t>1260</t>
  </si>
  <si>
    <t>' タイムシフトのボタン：⑦ 割り振る／⑧ 配分一覧／⑨ 時間集計</t>
  </si>
  <si>
    <t>1261</t>
  </si>
  <si>
    <t>1262</t>
  </si>
  <si>
    <t>Public Sub AddTaskButtons(ts As Worksheet)</t>
  </si>
  <si>
    <t>1263</t>
  </si>
  <si>
    <t xml:space="preserve">    Dim shp As Shape, x As Double, y As Double</t>
  </si>
  <si>
    <t>1264</t>
  </si>
  <si>
    <t>1265</t>
  </si>
  <si>
    <t xml:space="preserve">    ts.Shapes("btnAssign").Delete</t>
  </si>
  <si>
    <t>1266</t>
  </si>
  <si>
    <t xml:space="preserve">    ts.Shapes("btnAlloc").Delete</t>
  </si>
  <si>
    <t>1267</t>
  </si>
  <si>
    <t xml:space="preserve">    ts.Shapes("btnHours").Delete</t>
  </si>
  <si>
    <t>1268</t>
  </si>
  <si>
    <t>1269</t>
  </si>
  <si>
    <t xml:space="preserve">    x = ts.Cells(1, TcNote()).Left + 4</t>
  </si>
  <si>
    <t>1270</t>
  </si>
  <si>
    <t xml:space="preserve">    y = ts.Cells(TS_JUMP_ROW, 1).top</t>
  </si>
  <si>
    <t>1271</t>
  </si>
  <si>
    <t xml:space="preserve">    Set shp = MakeButton(ts, x, y, 150, 22, "⑦ 電話・業務を割り振る " &amp; IcoNext, RGB(237, 125, 49), "AssignTasksActive")</t>
  </si>
  <si>
    <t>1272</t>
  </si>
  <si>
    <t xml:space="preserve">    shp.Name = "btnAssign"</t>
  </si>
  <si>
    <t>1273</t>
  </si>
  <si>
    <t xml:space="preserve">    shp.TextFrame2.TextRange.Font.Size = 10</t>
  </si>
  <si>
    <t>1274</t>
  </si>
  <si>
    <t xml:space="preserve">    Set shp = MakeButton(ts, x + 154, y, 90, 22, "⑧ 配分一覧", RGB(0, 176, 80), "GoAllocationFromTime")</t>
  </si>
  <si>
    <t>1275</t>
  </si>
  <si>
    <t xml:space="preserve">    shp.Name = "btnAlloc"</t>
  </si>
  <si>
    <t>1276</t>
  </si>
  <si>
    <t>1277</t>
  </si>
  <si>
    <t xml:space="preserve">    Set shp = MakeButton(ts, x + 248, y, 90, 22, "⑨ 時間集計", RGB(112, 48, 160), "GoHoursFromActive")</t>
  </si>
  <si>
    <t>1278</t>
  </si>
  <si>
    <t xml:space="preserve">    shp.Name = "btnHours"</t>
  </si>
  <si>
    <t>1279</t>
  </si>
  <si>
    <t>1280</t>
  </si>
  <si>
    <t>1281</t>
  </si>
  <si>
    <t>1282</t>
  </si>
  <si>
    <t>' v7 への移行（既存ブックに1回）</t>
  </si>
  <si>
    <t>1283</t>
  </si>
  <si>
    <t>Public Sub MigrateToV7()</t>
  </si>
  <si>
    <t>1284</t>
  </si>
  <si>
    <t>1285</t>
  </si>
  <si>
    <t>1286</t>
  </si>
  <si>
    <t>1287</t>
  </si>
  <si>
    <t>1288</t>
  </si>
  <si>
    <t>1289</t>
  </si>
  <si>
    <t xml:space="preserve">            AddTaskButtons ws</t>
  </si>
  <si>
    <t>1290</t>
  </si>
  <si>
    <t xml:space="preserve">            ApplyTaskFormats ws</t>
  </si>
  <si>
    <t>1291</t>
  </si>
  <si>
    <t>1292</t>
  </si>
  <si>
    <t>1293</t>
  </si>
  <si>
    <t>1294</t>
  </si>
  <si>
    <t>1295</t>
  </si>
  <si>
    <t>1296</t>
  </si>
  <si>
    <t>1297</t>
  </si>
  <si>
    <t>Public Sub MigrateToV6()</t>
  </si>
  <si>
    <t>1298</t>
  </si>
  <si>
    <t xml:space="preserve">    MigrateToV7</t>
  </si>
  <si>
    <t>1299</t>
  </si>
  <si>
    <t>休</t>
    <phoneticPr fontId="1"/>
  </si>
  <si>
    <t>-</t>
    <phoneticPr fontId="1"/>
  </si>
  <si>
    <t>シフト休/土日</t>
    <phoneticPr fontId="1"/>
  </si>
  <si>
    <t>-</t>
    <phoneticPr fontId="1"/>
  </si>
  <si>
    <t>1233行</t>
  </si>
  <si>
    <t>630行</t>
  </si>
  <si>
    <t>標準モジュール　1231行</t>
  </si>
  <si>
    <t xml:space="preserve">    Dim segS() As Long, segE() As Long, n As Long, i As Long, bS As Long, bE As Long, useWin As Boolean</t>
  </si>
  <si>
    <t xml:space="preserve">            bS = CLng(Round(CDbl(breakStart) * 1440, 0))</t>
  </si>
  <si>
    <t xml:space="preserve">            bE = CLng(Round(CDbl(breakEnd) * 1440, 0))</t>
  </si>
  <si>
    <t xml:space="preserve">            If bE &gt; bS Then useWin = True</t>
  </si>
  <si>
    <t xml:space="preserve">            If useWin Then m = m - Overlap(segS(i), segE(i), bS, bE)</t>
  </si>
  <si>
    <t>' 記号（三角・矢印の記号は VBA のコードに直接書けないため ChrW で出す）</t>
  </si>
  <si>
    <t>Public Function MemberBreakMinutes(ws As Worksheet, ByVal r As Long, ByRef bS As Long, ByRef bE As Long) As Boolean</t>
  </si>
  <si>
    <t xml:space="preserve">    bS = CLng(Round(CDbl(s) * 1440, 0))</t>
  </si>
  <si>
    <t xml:space="preserve">    bE = CLng(Round(CDbl(e) * 1440, 0))</t>
  </si>
  <si>
    <t xml:space="preserve">    MemberBreakMinutes = (bE &gt; bS)</t>
  </si>
  <si>
    <t>' ②メンバーの休憩（全組）を分で返す。組数を返す</t>
  </si>
  <si>
    <t>Public Function MemberBreakList(ws As Worksheet, ByVal r As Long, bS() As Long, bE() As Long) As Long</t>
  </si>
  <si>
    <t xml:space="preserve">    Dim i As Long, n As Long, s As Variant, e As Variant</t>
  </si>
  <si>
    <t xml:space="preserve">    ReDim bS(1 To gcBrkCnt): ReDim bE(1 To gcBrkCnt)</t>
  </si>
  <si>
    <t xml:space="preserve">                    If e &gt; s Then</t>
  </si>
  <si>
    <t xml:space="preserve">                        n = n + 1</t>
  </si>
  <si>
    <t xml:space="preserve">                        bS(n) = CLng(Round(CDbl(s) * 1440, 0))</t>
  </si>
  <si>
    <t xml:space="preserve">                        bE(n) = CLng(Round(CDbl(e) * 1440, 0))</t>
  </si>
  <si>
    <t xml:space="preserve">    MemberBreakList = n</t>
  </si>
  <si>
    <t>標準モジュール　628行</t>
  </si>
  <si>
    <t>Public Const BREAK_MARK As String = "-"          ' 休憩の時間枠に入れる記号</t>
  </si>
  <si>
    <t xml:space="preserve">           "・休憩の時間帯（②メンバー）に「" &amp; BREAK_MARK &amp; "」を入れています" &amp; vbLf &amp; _</t>
  </si>
  <si>
    <t xml:space="preserve">        "・休憩の時間の枠（②メンバーの休憩） → 「" &amp; BREAK_MARK &amp; "」に置き換え" &amp; vbLf &amp; _</t>
  </si>
  <si>
    <t xml:space="preserve">    Dim wsM As Worksheet, hasM As Boolean, memRow As Object, nBrk As Long, nb As Long, b As Long, j As Long</t>
  </si>
  <si>
    <t xml:space="preserve">    Dim bS() As Long, bE() As Long, segS() As Long, segE() As Long, ns As Long, nBrkSlot As Long</t>
  </si>
  <si>
    <t xml:space="preserve">    ' ②メンバーの行（休憩の時間帯を読むため）</t>
  </si>
  <si>
    <t xml:space="preserve">    hasM = LoadMemberColsPublic(wsM)</t>
  </si>
  <si>
    <t xml:space="preserve">    If hasM Then</t>
  </si>
  <si>
    <t xml:space="preserve">        For r = M_FIRST_ROW To M_MAX_ROW</t>
  </si>
  <si>
    <t xml:space="preserve">            nm = Trim$(CStr(wsM.Cells(r, MemberNameCol()).Value))</t>
  </si>
  <si>
    <t xml:space="preserve">            If nm &lt;&gt; "" And Not memRow.Exists(nm) Then memRow(nm) = r</t>
  </si>
  <si>
    <t xml:space="preserve">            ' 休憩：出勤日だけ、勤務時間と重なる休憩の時間帯</t>
  </si>
  <si>
    <t xml:space="preserve">            nb = 0: ns = 0</t>
  </si>
  <si>
    <t xml:space="preserve">            If fullCode = "" And memRow.Exists(nm) Then</t>
  </si>
  <si>
    <t xml:space="preserve">                ns = ParseSegments(code, segS, segE)</t>
  </si>
  <si>
    <t xml:space="preserve">                If ns &gt; 0 Then nb = MemberBreakList(wsM, memRow(nm), bS, bE)</t>
  </si>
  <si>
    <t xml:space="preserve">                slotS = (TS_FIRST_HOUR + k - 1) * 60</t>
  </si>
  <si>
    <t xml:space="preserve">                If slotCode = "" Then</t>
  </si>
  <si>
    <t xml:space="preserve">                    For b = 1 To nb</t>
  </si>
  <si>
    <t xml:space="preserve">                        For j = 1 To ns</t>
  </si>
  <si>
    <t xml:space="preserve">                            If Overlap(slotS, slotS + 60, IIf(bS(b) &gt; segS(j), bS(b), segS(j)), IIf(bE(b) &lt; segE(j), bE(b), segE(j))) &gt; 0 Then slotCode = BREAK_MARK</t>
  </si>
  <si>
    <t xml:space="preserve">                        Next j</t>
  </si>
  <si>
    <t xml:space="preserve">                    Next b</t>
  </si>
  <si>
    <t xml:space="preserve">                    If slotCode &lt;&gt; "" Then nBrkSlot = nBrkSlot + 1</t>
  </si>
  <si>
    <t xml:space="preserve">                            If slotCode = BREAK_MARK And fullCode = "" Then nBrk = nBrk + 1 Else nAdd = nAdd + 1</t>
  </si>
  <si>
    <t xml:space="preserve">                  "・休憩にした枠（「" &amp; BREAK_MARK &amp; "」）：" &amp; nBrk &amp; " 枠（休憩の枠は全部で " &amp; nBrkSlot &amp; " 枠）" &amp; vbLf &amp; _</t>
  </si>
  <si>
    <t>'   ・⑥ タイムシフト作成（右向き三角）</t>
  </si>
  <si>
    <t>'   ・（回転矢印）休暇を反映して作り直す（③休暇管理を直したあと）</t>
  </si>
  <si>
    <t xml:space="preserve">    d(BREAK_MARK) = True                        ' 休憩の記号（業務の時間に数えない・再反映で消せる）</t>
  </si>
  <si>
    <t xml:space="preserve">    Dim nm As String, segS() As Long, segE() As Long, ns As Long, k As Long, bS As Long, bE As Long, ok As Boolean</t>
  </si>
  <si>
    <t xml:space="preserve">        If MemberBreakMinutes(m_wsM, m_memRow(nm), bS, bE) Then</t>
  </si>
  <si>
    <t xml:space="preserve">            If Overlap(bS, bE, rl.sMin, rl.eMin) &gt; 0 Then Exit Function</t>
  </si>
  <si>
    <t>-</t>
  </si>
  <si>
    <t>住・給</t>
    <phoneticPr fontId="1"/>
  </si>
  <si>
    <t>年調</t>
    <phoneticPr fontId="1"/>
  </si>
  <si>
    <t>担当</t>
    <rPh sb="0" eb="2">
      <t>タントウ</t>
    </rPh>
    <phoneticPr fontId="1"/>
  </si>
  <si>
    <t>担当（並び順・色）</t>
    <phoneticPr fontId="1"/>
  </si>
  <si>
    <t>担当</t>
    <phoneticPr fontId="1"/>
  </si>
  <si>
    <t>足りない時
の担当</t>
    <phoneticPr fontId="1"/>
  </si>
  <si>
    <t>判定する担当</t>
    <phoneticPr fontId="1"/>
  </si>
  <si>
    <t>・担当／記号のセルの塗りつぶし色が、月間シフトの色になります。</t>
    <phoneticPr fontId="1"/>
  </si>
  <si>
    <t>・担当の並び順が、月間シフトでの並び順になります。</t>
    <phoneticPr fontId="1"/>
  </si>
  <si>
    <t>・必要スキルは ②メンバーで○の人だけ（空欄ならスキル不問）。担当の人で足りなければ「足りない時の担当」から。</t>
    <phoneticPr fontId="1"/>
  </si>
  <si>
    <t>「－」はその業務の対象外（担当・スキルが合わない）。タイムシフトを手で直したら「最新の状態に更新」。時間は ⑨ 時間集計 で。</t>
    <phoneticPr fontId="1"/>
  </si>
  <si>
    <t>このブックのマクロ（VBA）の控えです。別の端末へ移したときにマクロが削除されても、ここから元に戻せます。このシートは消さないでください。　作成：2026/10/03 01:20</t>
  </si>
  <si>
    <t>Public Const MC_ROLE As Long = 3          ' C 担当</t>
  </si>
  <si>
    <t>Public Const STC_ROLE As Long = 4         ' D 担当</t>
  </si>
  <si>
    <t xml:space="preserve">    ' ---- 対象メンバー（担当順に並べる） ----</t>
  </si>
  <si>
    <t xml:space="preserve">    For r = M_FIRST_ROW To mLast          ' 担当が一覧にない人は最後に</t>
  </si>
  <si>
    <t xml:space="preserve">    ws.Cells(S_DATE_ROW, SC_ROLE).Value = "担当"</t>
  </si>
  <si>
    <t xml:space="preserve">    For r = S_FIRST_ROW + 1 To lastR                   ' 担当の切れ目に太線</t>
  </si>
  <si>
    <t xml:space="preserve">    ' ---- スキル充足チェック（判定する担当のメンバーだけで数える） ----</t>
  </si>
  <si>
    <t>'   4行目：氏名／担当／在籍／休憩…開始／休憩…終了／休憩…合計／祝日…</t>
  </si>
  <si>
    <t xml:space="preserve">        ElseIf (h4 = "担当" Or h4 = "区分") And gcRole = 0 Then   ' 「区分」は前の見出し</t>
  </si>
  <si>
    <t xml:space="preserve">    If gcRole = 0 Then miss = miss &amp; vbLf &amp; "・4行目の「担当」"</t>
  </si>
  <si>
    <t>'   ・数えるのは「設定」の判定する担当（既定 OP）で、勤務（"-"を含む）の人</t>
  </si>
  <si>
    <t xml:space="preserve">    jRole = JudgeSetting("判定する担当", JudgeSetting("判定する区分", "OP"))   ' 「判定する区分」は前の項目名</t>
  </si>
  <si>
    <t xml:space="preserve">    ws.Cells(titleRow, SC_ROLE).Value = "担当"</t>
  </si>
  <si>
    <t xml:space="preserve">        st.Cells(ST_REQ_HEAD - 1, STC_REQ_NAME).Value = "スキル別 最低人数（判定する担当の人だけで数える）"</t>
  </si>
  <si>
    <t xml:space="preserve">        st.Cells(ST_REQ_HEAD + 1, STC_JDG_KEY).Value = "判定する担当"</t>
  </si>
  <si>
    <t xml:space="preserve">            .Add Type:=xlValidateList, AlertStyle:=xlValidAlertStop, Formula1:="=担当一覧"</t>
  </si>
  <si>
    <t>'   列：No／氏名／担当／電話当番／8:00～17:00（1時間ごと）／備考</t>
  </si>
  <si>
    <t>Public Const LC_ROLE As Long = 4            ' D 担当（自動）</t>
  </si>
  <si>
    <t xml:space="preserve">    ws.Cells(LV_HEAD, LC_ROLE).Value = "担当"</t>
  </si>
  <si>
    <t>Public Const STC_TASK_ROLE As Long = 19     ' S 担当</t>
  </si>
  <si>
    <t>Public Const STC_TASK_FB As Long = 23       ' W 足りない時の担当（例：SV補）</t>
  </si>
  <si>
    <t xml:space="preserve">                        For pass = 1 To 2                       ' 1回目＝担当、2回目＝足りない時の担当</t>
  </si>
  <si>
    <t xml:space="preserve">                    ReDim need(g1 To g2): ReDim elig(g1 To g2, 1 To dayRows.Count)   ' elig：0=不可 1=担当 2=足りない時の担当</t>
  </si>
  <si>
    <t xml:space="preserve">                        For pass = 1 To 2                       ' まず担当の人、いなければ足りない時の担当</t>
  </si>
  <si>
    <t xml:space="preserve">        st.Cells(ST_REQ_HEAD, STC_TASK_ROLE).Value = "担当"</t>
  </si>
  <si>
    <t xml:space="preserve">    ' 列の追加（W：足りない時の担当、X：電話当番を除く）</t>
  </si>
  <si>
    <t xml:space="preserve">        st.Cells(ST_REQ_HEAD, STC_TASK_FB).Value = "足りない時" &amp; vbLf &amp; "の担当"</t>
  </si>
  <si>
    <t xml:space="preserve">        .Add Type:=xlValidateList, AlertStyle:=xlValidAlertStop, Formula1:="=担当一覧"</t>
  </si>
  <si>
    <t xml:space="preserve">    st.Cells(r + 1, STC_TASK).Value = "・必要スキルは ②メンバーで○の人だけ（空欄ならスキル不問）。担当の人で足りなければ「足りない時の担当」から。"</t>
  </si>
  <si>
    <t xml:space="preserve">    ws.Range("C3").Value = "「－」はその業務の対象外（担当・スキルが合わない）。タイムシフトを手で直したら「最新の状態に更新」。時間は ⑨ 時間集計 で。"</t>
  </si>
  <si>
    <t xml:space="preserve">    ws.Cells(5, 3).Value = "担当"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</si>
</sst>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yyyy/m/d\(aaa\)"/>
    <numFmt numFmtId="177" formatCode="0.0"/>
    <numFmt numFmtId="178" formatCode="0&quot;名&quot;"/>
    <numFmt numFmtId="179" formatCode=";;;"/>
    <numFmt numFmtId="180" formatCode="d"/>
    <numFmt numFmtId="181" formatCode="0&quot;人&quot;"/>
    <numFmt numFmtId="182" formatCode="0;\-0;&quot;－&quot;"/>
  </numFmts>
  <fonts count="48">
    <font>
      <sz val="10"/>
      <color theme="1"/>
      <name val="Meiryo UI"/>
      <family val="2"/>
      <charset val="128"/>
    </font>
    <font>
      <sz val="6"/>
      <name val="Meiryo UI"/>
      <family val="2"/>
      <charset val="128"/>
    </font>
    <font>
      <sz val="11"/>
      <color rgb="FF404040"/>
      <name val="Meiryo UI"/>
      <family val="2"/>
      <charset val="128"/>
    </font>
    <font>
      <u/>
      <sz val="10"/>
      <color theme="10"/>
      <name val="Meiryo UI"/>
      <family val="2"/>
      <charset val="128"/>
    </font>
    <font>
      <b/>
      <sz val="16"/>
      <color rgb="FF1F4E79"/>
      <name val="Meiryo UI"/>
      <family val="3"/>
      <charset val="128"/>
    </font>
    <font>
      <b/>
      <sz val="10"/>
      <color theme="1"/>
      <name val="Meiryo UI"/>
      <family val="3"/>
      <charset val="128"/>
    </font>
    <font>
      <b/>
      <sz val="10"/>
      <color rgb="FFFFFFFF"/>
      <name val="Meiryo UI"/>
      <family val="3"/>
      <charset val="128"/>
    </font>
    <font>
      <sz val="10"/>
      <color rgb="FF595959"/>
      <name val="Meiryo UI"/>
      <family val="2"/>
      <charset val="128"/>
    </font>
    <font>
      <b/>
      <sz val="10"/>
      <color rgb="FF595959"/>
      <name val="Meiryo UI"/>
      <family val="3"/>
      <charset val="128"/>
    </font>
    <font>
      <b/>
      <sz val="10"/>
      <color rgb="FFC00000"/>
      <name val="Meiryo UI"/>
      <family val="3"/>
      <charset val="128"/>
    </font>
    <font>
      <b/>
      <sz val="10"/>
      <color rgb="FF006100"/>
      <name val="Meiryo UI"/>
      <family val="3"/>
      <charset val="128"/>
    </font>
    <font>
      <b/>
      <sz val="10"/>
      <color rgb="FF9C0006"/>
      <name val="Meiryo UI"/>
      <family val="3"/>
      <charset val="128"/>
    </font>
    <font>
      <sz val="9"/>
      <color rgb="FF595959"/>
      <name val="Meiryo UI"/>
      <family val="2"/>
      <charset val="128"/>
    </font>
    <font>
      <sz val="10"/>
      <color rgb="FF767676"/>
      <name val="Meiryo UI"/>
      <family val="2"/>
      <charset val="128"/>
    </font>
    <font>
      <sz val="9"/>
      <color rgb="FFC00000"/>
      <name val="Meiryo UI"/>
      <family val="2"/>
      <charset val="128"/>
    </font>
    <font>
      <b/>
      <sz val="13"/>
      <color theme="1"/>
      <name val="Meiryo UI"/>
      <family val="3"/>
      <charset val="128"/>
    </font>
    <font>
      <b/>
      <sz val="12"/>
      <color theme="1"/>
      <name val="Meiryo UI"/>
      <family val="3"/>
      <charset val="128"/>
    </font>
    <font>
      <sz val="10"/>
      <color rgb="FF404040"/>
      <name val="Meiryo UI"/>
      <family val="2"/>
      <charset val="128"/>
    </font>
    <font>
      <b/>
      <sz val="24"/>
      <color rgb="FF1F4E79"/>
      <name val="Meiryo UI"/>
      <family val="3"/>
      <charset val="128"/>
    </font>
    <font>
      <sz val="10"/>
      <color rgb="FF006100"/>
      <name val="Meiryo UI"/>
      <family val="2"/>
      <charset val="128"/>
    </font>
    <font>
      <b/>
      <sz val="14"/>
      <color theme="1"/>
      <name val="Meiryo UI"/>
      <family val="3"/>
      <charset val="128"/>
    </font>
    <font>
      <sz val="9"/>
      <color theme="1"/>
      <name val="Meiryo UI"/>
      <family val="2"/>
      <charset val="128"/>
    </font>
    <font>
      <sz val="10"/>
      <color rgb="FFC00000"/>
      <name val="Meiryo UI"/>
      <family val="2"/>
      <charset val="128"/>
    </font>
    <font>
      <sz val="9"/>
      <color indexed="81"/>
      <name val="MS P ゴシック"/>
      <family val="3"/>
      <charset val="128"/>
    </font>
    <font>
      <b/>
      <sz val="10"/>
      <color rgb="FF0046A0"/>
      <name val="Meiryo UI"/>
      <family val="3"/>
      <charset val="128"/>
    </font>
    <font>
      <sz val="9"/>
      <color theme="1"/>
      <name val="Meiryo UI"/>
      <family val="3"/>
      <charset val="128"/>
    </font>
    <font>
      <u/>
      <sz val="11"/>
      <color theme="10"/>
      <name val="Meiryo UI"/>
      <family val="2"/>
      <charset val="128"/>
    </font>
    <font>
      <sz val="9"/>
      <color rgb="FF595959"/>
      <name val="Meiryo UI"/>
      <family val="3"/>
      <charset val="128"/>
    </font>
    <font>
      <b/>
      <sz val="10"/>
      <color rgb="FF969696"/>
      <name val="Meiryo UI"/>
      <family val="3"/>
      <charset val="128"/>
    </font>
    <font>
      <sz val="10"/>
      <color rgb="FF969696"/>
      <name val="Meiryo UI"/>
      <family val="2"/>
      <charset val="128"/>
    </font>
    <font>
      <b/>
      <sz val="9"/>
      <color rgb="FFFFFFFF"/>
      <name val="Meiryo UI"/>
      <family val="3"/>
      <charset val="128"/>
    </font>
    <font>
      <b/>
      <sz val="10"/>
      <color rgb="FF1F4E79"/>
      <name val="Meiryo UI"/>
      <family val="3"/>
      <charset val="128"/>
    </font>
    <font>
      <b/>
      <sz val="10"/>
      <color rgb="FF2F75B5"/>
      <name val="Meiryo UI"/>
      <family val="3"/>
      <charset val="128"/>
    </font>
    <font>
      <sz val="10"/>
      <color rgb="FF000000"/>
      <name val="Meiryo UI"/>
      <family val="2"/>
      <charset val="128"/>
    </font>
    <font>
      <sz val="10"/>
      <color rgb="FFA6A6A6"/>
      <name val="Meiryo UI"/>
      <family val="2"/>
      <charset val="128"/>
    </font>
    <font>
      <sz val="9"/>
      <color rgb="FF767676"/>
      <name val="Meiryo UI"/>
      <family val="2"/>
      <charset val="128"/>
    </font>
    <font>
      <sz val="11"/>
      <color rgb="FF595959"/>
      <name val="Meiryo UI"/>
      <family val="2"/>
      <charset val="128"/>
    </font>
    <font>
      <sz val="10"/>
      <color rgb="FF1F4E79"/>
      <name val="Meiryo UI"/>
      <family val="2"/>
      <charset val="128"/>
    </font>
    <font>
      <b/>
      <sz val="10"/>
      <color rgb="FF000000"/>
      <name val="Meiryo UI"/>
      <family val="3"/>
      <charset val="128"/>
    </font>
    <font>
      <b/>
      <sz val="10"/>
      <color rgb="FF002060"/>
      <name val="Meiryo UI"/>
      <family val="3"/>
      <charset val="128"/>
    </font>
    <font>
      <b/>
      <sz val="14"/>
      <color rgb="FF1F4E79"/>
      <name val="Meiryo UI"/>
      <family val="3"/>
      <charset val="128"/>
    </font>
    <font>
      <sz val="10"/>
      <color rgb="FFBFBFBF"/>
      <name val="Meiryo UI"/>
      <family val="2"/>
      <charset val="128"/>
    </font>
    <font>
      <sz val="10"/>
      <color rgb="FF000000"/>
      <name val="Meiryo UI"/>
      <family val="3"/>
      <charset val="128"/>
    </font>
    <font>
      <sz val="10"/>
      <color rgb="FF002060"/>
      <name val="Meiryo UI"/>
      <family val="2"/>
      <charset val="128"/>
    </font>
    <font>
      <sz val="8"/>
      <color theme="1"/>
      <name val="Meiryo UI"/>
      <family val="2"/>
      <charset val="128"/>
    </font>
    <font>
      <b/>
      <sz val="10"/>
      <name val="Meiryo UI"/>
      <family val="3"/>
      <charset val="128"/>
    </font>
    <font>
      <sz val="10"/>
      <name val="Meiryo UI"/>
      <family val="3"/>
      <charset val="128"/>
    </font>
    <font>
      <sz val="10"/>
      <color theme="1"/>
      <name val="MS Gothic"/>
      <family val="3"/>
      <charset val="128"/>
    </font>
  </fonts>
  <fills count="28">
    <fill>
      <patternFill patternType="none"/>
    </fill>
    <fill>
      <patternFill patternType="gray125"/>
    </fill>
    <fill>
      <patternFill patternType="solid">
        <fgColor rgb="FF1F4E79"/>
        <bgColor indexed="64"/>
      </patternFill>
    </fill>
    <fill>
      <patternFill patternType="solid">
        <fgColor rgb="FFFFFFE6"/>
        <bgColor indexed="64"/>
      </patternFill>
    </fill>
    <fill>
      <patternFill patternType="solid">
        <fgColor rgb="FFF8CBAD"/>
        <bgColor indexed="64"/>
      </patternFill>
    </fill>
    <fill>
      <patternFill patternType="solid">
        <fgColor rgb="FFFFE699"/>
        <bgColor indexed="64"/>
      </patternFill>
    </fill>
    <fill>
      <patternFill patternType="solid">
        <fgColor rgb="FFBDD7EE"/>
        <bgColor indexed="64"/>
      </patternFill>
    </fill>
    <fill>
      <patternFill patternType="solid">
        <fgColor rgb="FFD9D9D9"/>
        <bgColor indexed="64"/>
      </patternFill>
    </fill>
    <fill>
      <patternFill patternType="solid">
        <fgColor rgb="FFC6EFCE"/>
        <bgColor indexed="64"/>
      </patternFill>
    </fill>
    <fill>
      <patternFill patternType="solid">
        <fgColor rgb="FFFFC7CE"/>
        <bgColor indexed="64"/>
      </patternFill>
    </fill>
    <fill>
      <patternFill patternType="solid">
        <fgColor rgb="FF4472C4"/>
        <bgColor indexed="64"/>
      </patternFill>
    </fill>
    <fill>
      <patternFill patternType="solid">
        <fgColor rgb="FF2F75B5"/>
        <bgColor indexed="64"/>
      </patternFill>
    </fill>
    <fill>
      <patternFill patternType="solid">
        <fgColor rgb="FFF2F6FC"/>
        <bgColor indexed="64"/>
      </patternFill>
    </fill>
    <fill>
      <patternFill patternType="solid">
        <fgColor rgb="FFF2F2F2"/>
        <bgColor indexed="64"/>
      </patternFill>
    </fill>
    <fill>
      <patternFill patternType="solid">
        <fgColor rgb="FFFFF2CC"/>
        <bgColor indexed="64"/>
      </patternFill>
    </fill>
    <fill>
      <patternFill patternType="solid">
        <fgColor rgb="FFDDEBF7"/>
        <bgColor indexed="64"/>
      </patternFill>
    </fill>
    <fill>
      <patternFill patternType="solid">
        <fgColor rgb="FFF1F7FD"/>
        <bgColor indexed="64"/>
      </patternFill>
    </fill>
    <fill>
      <patternFill patternType="solid">
        <fgColor rgb="FFFCE4E4"/>
        <bgColor indexed="64"/>
      </patternFill>
    </fill>
    <fill>
      <patternFill patternType="solid">
        <fgColor rgb="FFFEF4F4"/>
        <bgColor indexed="64"/>
      </patternFill>
    </fill>
    <fill>
      <patternFill patternType="solid">
        <fgColor rgb="FFE6E6E6"/>
        <bgColor indexed="64"/>
      </patternFill>
    </fill>
    <fill>
      <patternFill patternType="solid">
        <fgColor rgb="FFC00000"/>
        <bgColor indexed="64"/>
      </patternFill>
    </fill>
    <fill>
      <patternFill patternType="solid">
        <fgColor rgb="FFCCC0DA"/>
        <bgColor indexed="64"/>
      </patternFill>
    </fill>
    <fill>
      <patternFill patternType="solid">
        <fgColor rgb="FFB4C6E7"/>
        <bgColor indexed="64"/>
      </patternFill>
    </fill>
    <fill>
      <patternFill patternType="solid">
        <fgColor rgb="FFC6E0B4"/>
        <bgColor indexed="64"/>
      </patternFill>
    </fill>
    <fill>
      <patternFill patternType="solid">
        <fgColor theme="8"/>
        <bgColor indexed="64"/>
      </patternFill>
    </fill>
    <fill>
      <patternFill patternType="solid">
        <fgColor rgb="FF5B9BD5"/>
        <bgColor indexed="64"/>
      </patternFill>
    </fill>
    <fill>
      <patternFill patternType="solid">
        <fgColor rgb="FFD9E3EF"/>
        <bgColor indexed="64"/>
      </patternFill>
    </fill>
    <fill>
      <patternFill patternType="solid">
        <fgColor rgb="FF404040"/>
        <bgColor indexed="64"/>
      </patternFill>
    </fill>
  </fills>
  <borders count="43">
    <border>
      <left/>
      <right/>
      <top/>
      <bottom/>
      <diagonal/>
    </border>
    <border>
      <left style="thin">
        <color rgb="FFBFBFBF"/>
      </left>
      <right style="thin">
        <color rgb="FFBFBFBF"/>
      </right>
      <top style="thin">
        <color rgb="FFBFBFBF"/>
      </top>
      <bottom style="thin">
        <color rgb="FFBFBFBF"/>
      </bottom>
      <diagonal/>
    </border>
    <border>
      <left style="medium">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top/>
      <bottom style="medium">
        <color rgb="FF1F4E79"/>
      </bottom>
      <diagonal/>
    </border>
    <border>
      <left style="medium">
        <color indexed="64"/>
      </left>
      <right style="thin">
        <color rgb="FFBFBFBF"/>
      </right>
      <top style="medium">
        <color indexed="64"/>
      </top>
      <bottom style="thin">
        <color rgb="FFBFBFBF"/>
      </bottom>
      <diagonal/>
    </border>
    <border>
      <left style="thin">
        <color rgb="FFBFBFBF"/>
      </left>
      <right style="thin">
        <color rgb="FFBFBFBF"/>
      </right>
      <top style="medium">
        <color indexed="64"/>
      </top>
      <bottom style="thin">
        <color rgb="FFBFBFBF"/>
      </bottom>
      <diagonal/>
    </border>
    <border>
      <left style="thin">
        <color rgb="FFBFBFBF"/>
      </left>
      <right style="medium">
        <color indexed="64"/>
      </right>
      <top style="medium">
        <color indexed="64"/>
      </top>
      <bottom style="thin">
        <color rgb="FFBFBFBF"/>
      </bottom>
      <diagonal/>
    </border>
    <border>
      <left style="medium">
        <color indexed="64"/>
      </left>
      <right style="thin">
        <color rgb="FFBFBFBF"/>
      </right>
      <top style="thin">
        <color rgb="FFBFBFBF"/>
      </top>
      <bottom style="thin">
        <color rgb="FFBFBFBF"/>
      </bottom>
      <diagonal/>
    </border>
    <border>
      <left style="thin">
        <color rgb="FFBFBFBF"/>
      </left>
      <right style="medium">
        <color indexed="64"/>
      </right>
      <top style="thin">
        <color rgb="FFBFBFBF"/>
      </top>
      <bottom style="thin">
        <color rgb="FFBFBFBF"/>
      </bottom>
      <diagonal/>
    </border>
    <border>
      <left style="medium">
        <color indexed="64"/>
      </left>
      <right style="thin">
        <color rgb="FFBFBFBF"/>
      </right>
      <top style="thin">
        <color rgb="FFBFBFBF"/>
      </top>
      <bottom style="medium">
        <color indexed="64"/>
      </bottom>
      <diagonal/>
    </border>
    <border>
      <left style="thin">
        <color rgb="FFBFBFBF"/>
      </left>
      <right style="thin">
        <color rgb="FFBFBFBF"/>
      </right>
      <top style="thin">
        <color rgb="FFBFBFBF"/>
      </top>
      <bottom style="medium">
        <color indexed="64"/>
      </bottom>
      <diagonal/>
    </border>
    <border>
      <left style="thin">
        <color rgb="FFBFBFBF"/>
      </left>
      <right style="medium">
        <color indexed="64"/>
      </right>
      <top style="thin">
        <color rgb="FFBFBFBF"/>
      </top>
      <bottom style="medium">
        <color indexed="64"/>
      </bottom>
      <diagonal/>
    </border>
    <border>
      <left style="medium">
        <color indexed="64"/>
      </left>
      <right style="thin">
        <color rgb="FFBFBFBF"/>
      </right>
      <top style="thin">
        <color rgb="FFBFBFBF"/>
      </top>
      <bottom/>
      <diagonal/>
    </border>
    <border>
      <left style="thin">
        <color rgb="FFBFBFBF"/>
      </left>
      <right style="thin">
        <color rgb="FFBFBFBF"/>
      </right>
      <top style="thin">
        <color rgb="FFBFBFBF"/>
      </top>
      <bottom/>
      <diagonal/>
    </border>
    <border>
      <left style="thin">
        <color rgb="FFBFBFBF"/>
      </left>
      <right style="medium">
        <color indexed="64"/>
      </right>
      <top style="thin">
        <color rgb="FFBFBFBF"/>
      </top>
      <bottom/>
      <diagonal/>
    </border>
    <border>
      <left style="medium">
        <color indexed="64"/>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style="medium">
        <color indexed="64"/>
      </right>
      <top/>
      <bottom style="thin">
        <color rgb="FFBFBFBF"/>
      </bottom>
      <diagonal/>
    </border>
    <border>
      <left style="medium">
        <color indexed="64"/>
      </left>
      <right style="thin">
        <color rgb="FFBFBFBF"/>
      </right>
      <top style="medium">
        <color rgb="FF595959"/>
      </top>
      <bottom style="thin">
        <color rgb="FFBFBFBF"/>
      </bottom>
      <diagonal/>
    </border>
    <border>
      <left style="thin">
        <color rgb="FFBFBFBF"/>
      </left>
      <right style="thin">
        <color rgb="FFBFBFBF"/>
      </right>
      <top style="medium">
        <color rgb="FF595959"/>
      </top>
      <bottom style="thin">
        <color rgb="FFBFBFBF"/>
      </bottom>
      <diagonal/>
    </border>
    <border>
      <left style="thin">
        <color rgb="FFBFBFBF"/>
      </left>
      <right style="medium">
        <color indexed="64"/>
      </right>
      <top style="medium">
        <color rgb="FF595959"/>
      </top>
      <bottom style="thin">
        <color rgb="FFBFBFBF"/>
      </bottom>
      <diagonal/>
    </border>
    <border>
      <left style="medium">
        <color indexed="64"/>
      </left>
      <right style="thin">
        <color rgb="FFBFBFBF"/>
      </right>
      <top/>
      <bottom/>
      <diagonal/>
    </border>
    <border>
      <left style="thin">
        <color rgb="FFBFBFBF"/>
      </left>
      <right style="thin">
        <color rgb="FFBFBFBF"/>
      </right>
      <top/>
      <bottom/>
      <diagonal/>
    </border>
    <border>
      <left style="thin">
        <color rgb="FFBFBFBF"/>
      </left>
      <right style="medium">
        <color indexed="64"/>
      </right>
      <top/>
      <bottom/>
      <diagonal/>
    </border>
    <border>
      <left style="thin">
        <color rgb="FFBFBFBF"/>
      </left>
      <right style="thin">
        <color rgb="FFBFBFBF"/>
      </right>
      <top style="medium">
        <color rgb="FFBFBFBF"/>
      </top>
      <bottom style="thin">
        <color rgb="FFBFBFBF"/>
      </bottom>
      <diagonal/>
    </border>
    <border>
      <left/>
      <right style="thin">
        <color rgb="FFBFBFBF"/>
      </right>
      <top style="medium">
        <color indexed="64"/>
      </top>
      <bottom style="thin">
        <color rgb="FFBFBFBF"/>
      </bottom>
      <diagonal/>
    </border>
    <border>
      <left/>
      <right style="thin">
        <color rgb="FFBFBFBF"/>
      </right>
      <top style="thin">
        <color rgb="FFBFBFBF"/>
      </top>
      <bottom style="thin">
        <color rgb="FFBFBFBF"/>
      </bottom>
      <diagonal/>
    </border>
    <border>
      <left/>
      <right style="thin">
        <color rgb="FFBFBFBF"/>
      </right>
      <top style="thin">
        <color rgb="FFBFBFBF"/>
      </top>
      <bottom style="medium">
        <color indexed="64"/>
      </bottom>
      <diagonal/>
    </border>
    <border>
      <left style="thin">
        <color rgb="FFBFBFBF"/>
      </left>
      <right style="medium">
        <color rgb="FFBFBFBF"/>
      </right>
      <top style="medium">
        <color indexed="64"/>
      </top>
      <bottom style="thin">
        <color rgb="FFBFBFBF"/>
      </bottom>
      <diagonal/>
    </border>
    <border>
      <left style="thin">
        <color rgb="FFBFBFBF"/>
      </left>
      <right style="medium">
        <color rgb="FFBFBFBF"/>
      </right>
      <top style="thin">
        <color rgb="FFBFBFBF"/>
      </top>
      <bottom style="thin">
        <color rgb="FFBFBFBF"/>
      </bottom>
      <diagonal/>
    </border>
    <border>
      <left style="thin">
        <color rgb="FFBFBFBF"/>
      </left>
      <right style="medium">
        <color rgb="FFBFBFBF"/>
      </right>
      <top style="thin">
        <color rgb="FFBFBFBF"/>
      </top>
      <bottom style="medium">
        <color indexed="64"/>
      </bottom>
      <diagonal/>
    </border>
    <border>
      <left style="thin">
        <color rgb="FFBFBFBF"/>
      </left>
      <right/>
      <top style="medium">
        <color indexed="64"/>
      </top>
      <bottom style="thin">
        <color rgb="FFBFBFBF"/>
      </bottom>
      <diagonal/>
    </border>
    <border>
      <left style="thin">
        <color rgb="FFBFBFBF"/>
      </left>
      <right/>
      <top style="thin">
        <color rgb="FFBFBFBF"/>
      </top>
      <bottom style="medium">
        <color indexed="64"/>
      </bottom>
      <diagonal/>
    </border>
    <border>
      <left style="medium">
        <color rgb="FFBFBFBF"/>
      </left>
      <right style="medium">
        <color indexed="64"/>
      </right>
      <top style="medium">
        <color indexed="64"/>
      </top>
      <bottom style="thin">
        <color rgb="FFBFBFBF"/>
      </bottom>
      <diagonal/>
    </border>
    <border>
      <left style="medium">
        <color rgb="FFBFBFBF"/>
      </left>
      <right style="medium">
        <color indexed="64"/>
      </right>
      <top style="thin">
        <color rgb="FFBFBFBF"/>
      </top>
      <bottom style="thin">
        <color rgb="FFBFBFBF"/>
      </bottom>
      <diagonal/>
    </border>
    <border>
      <left style="medium">
        <color rgb="FFBFBFBF"/>
      </left>
      <right style="medium">
        <color indexed="64"/>
      </right>
      <top style="thin">
        <color rgb="FFBFBFBF"/>
      </top>
      <bottom style="medium">
        <color indexed="64"/>
      </bottom>
      <diagonal/>
    </border>
    <border>
      <left style="thin">
        <color rgb="FFD9D9D9"/>
      </left>
      <right style="thin">
        <color rgb="FFD9D9D9"/>
      </right>
      <top style="thin">
        <color rgb="FFD9D9D9"/>
      </top>
      <bottom style="thin">
        <color rgb="FFD9D9D9"/>
      </bottom>
      <diagonal/>
    </border>
    <border>
      <left style="medium">
        <color auto="1"/>
      </left>
      <right style="thin">
        <color rgb="FFBFBFBF"/>
      </right>
      <top style="thin">
        <color rgb="FFBFBFBF"/>
      </top>
      <bottom style="thin">
        <color rgb="FFBFBFBF"/>
      </bottom>
      <diagonal/>
    </border>
    <border>
      <left style="medium">
        <color auto="1"/>
      </left>
      <right/>
      <top/>
      <bottom/>
      <diagonal/>
    </border>
    <border>
      <left style="medium">
        <color auto="1"/>
      </left>
      <right style="thin">
        <color rgb="FFBFBFBF"/>
      </right>
      <top style="thin">
        <color rgb="FFBFBFBF"/>
      </top>
      <bottom style="thin">
        <color rgb="FFBFBFBF"/>
      </bottom>
      <diagonal/>
    </border>
    <border>
      <left/>
      <right/>
      <top/>
      <bottom style="medium">
        <color indexed="64"/>
      </bottom>
      <diagonal/>
    </border>
    <border>
      <left/>
      <right/>
      <top style="medium">
        <color indexed="64"/>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242">
    <xf numFmtId="0" fontId="0" fillId="0" borderId="0" xfId="0">
      <alignment vertical="center"/>
    </xf>
    <xf numFmtId="0" fontId="2" fillId="0" borderId="0" xfId="0" applyFont="1">
      <alignment vertical="center"/>
    </xf>
    <xf numFmtId="0" fontId="3" fillId="0" borderId="0" xfId="1">
      <alignment vertical="center"/>
    </xf>
    <xf numFmtId="0" fontId="4" fillId="0" borderId="0" xfId="0" applyFont="1">
      <alignment vertical="center"/>
    </xf>
    <xf numFmtId="0" fontId="5" fillId="0" borderId="0" xfId="0" applyFont="1">
      <alignment vertical="center"/>
    </xf>
    <xf numFmtId="0" fontId="6" fillId="2" borderId="1" xfId="0" applyFont="1" applyFill="1" applyBorder="1" applyAlignment="1">
      <alignment horizontal="center" vertical="center" wrapText="1"/>
    </xf>
    <xf numFmtId="176" fontId="0" fillId="3" borderId="1" xfId="0" applyNumberFormat="1" applyFill="1" applyBorder="1">
      <alignment vertical="center"/>
    </xf>
    <xf numFmtId="0" fontId="0" fillId="3" borderId="1" xfId="0" applyFill="1" applyBorder="1">
      <alignment vertical="center"/>
    </xf>
    <xf numFmtId="0" fontId="0" fillId="4"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0" borderId="1" xfId="0" applyBorder="1" applyAlignment="1">
      <alignment horizontal="center" vertical="center"/>
    </xf>
    <xf numFmtId="0" fontId="8" fillId="7" borderId="1" xfId="0" applyFont="1" applyFill="1" applyBorder="1" applyAlignment="1">
      <alignment horizontal="center" vertical="center"/>
    </xf>
    <xf numFmtId="0" fontId="0" fillId="0" borderId="1" xfId="0" applyBorder="1">
      <alignment vertical="center"/>
    </xf>
    <xf numFmtId="0" fontId="9" fillId="4" borderId="1" xfId="0" applyFont="1" applyFill="1" applyBorder="1" applyAlignment="1">
      <alignment horizontal="center" vertical="center"/>
    </xf>
    <xf numFmtId="0" fontId="10" fillId="8" borderId="1" xfId="0" applyFont="1" applyFill="1" applyBorder="1" applyAlignment="1">
      <alignment horizontal="center" vertical="center"/>
    </xf>
    <xf numFmtId="0" fontId="11" fillId="9" borderId="1" xfId="0" applyFont="1" applyFill="1" applyBorder="1" applyAlignment="1">
      <alignment horizontal="center" vertical="center"/>
    </xf>
    <xf numFmtId="0" fontId="7" fillId="0" borderId="0" xfId="0" applyFont="1">
      <alignment vertical="center"/>
    </xf>
    <xf numFmtId="0" fontId="12" fillId="0" borderId="0" xfId="0" applyFont="1">
      <alignment vertical="center"/>
    </xf>
    <xf numFmtId="0" fontId="6" fillId="11" borderId="1"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1" xfId="0" applyFill="1" applyBorder="1" applyAlignment="1">
      <alignment horizontal="left" vertical="center"/>
    </xf>
    <xf numFmtId="20" fontId="0" fillId="3" borderId="1" xfId="0" applyNumberFormat="1" applyFill="1" applyBorder="1" applyAlignment="1">
      <alignment horizontal="center" vertical="center"/>
    </xf>
    <xf numFmtId="0" fontId="6" fillId="11" borderId="3" xfId="0" applyFont="1" applyFill="1" applyBorder="1" applyAlignment="1">
      <alignment horizontal="center" vertical="center" wrapText="1"/>
    </xf>
    <xf numFmtId="0" fontId="0" fillId="3" borderId="3" xfId="0" applyFill="1" applyBorder="1" applyAlignment="1">
      <alignment horizontal="center" vertical="center"/>
    </xf>
    <xf numFmtId="0" fontId="6" fillId="11" borderId="2" xfId="0" applyFont="1" applyFill="1" applyBorder="1" applyAlignment="1">
      <alignment horizontal="center" vertical="center" wrapText="1"/>
    </xf>
    <xf numFmtId="20" fontId="0" fillId="3" borderId="2" xfId="0" applyNumberFormat="1" applyFill="1" applyBorder="1" applyAlignment="1">
      <alignment horizontal="center" vertical="center"/>
    </xf>
    <xf numFmtId="20" fontId="0" fillId="3" borderId="3" xfId="0" applyNumberFormat="1" applyFill="1" applyBorder="1" applyAlignment="1">
      <alignment horizontal="center" vertical="center"/>
    </xf>
    <xf numFmtId="20" fontId="0" fillId="12" borderId="2" xfId="0" applyNumberFormat="1" applyFill="1" applyBorder="1" applyAlignment="1">
      <alignment horizontal="center" vertical="center"/>
    </xf>
    <xf numFmtId="20" fontId="0" fillId="12" borderId="3" xfId="0" applyNumberFormat="1" applyFill="1" applyBorder="1" applyAlignment="1">
      <alignment horizontal="center" vertical="center"/>
    </xf>
    <xf numFmtId="0" fontId="0" fillId="3" borderId="2" xfId="0" applyFill="1" applyBorder="1" applyAlignment="1">
      <alignment horizontal="center" vertical="center"/>
    </xf>
    <xf numFmtId="0" fontId="13" fillId="13" borderId="1" xfId="0" applyFont="1" applyFill="1" applyBorder="1" applyAlignment="1">
      <alignment horizontal="center" vertical="center"/>
    </xf>
    <xf numFmtId="0" fontId="0" fillId="13" borderId="3" xfId="0" applyFill="1" applyBorder="1" applyAlignment="1">
      <alignment horizontal="center" vertical="center"/>
    </xf>
    <xf numFmtId="177" fontId="0" fillId="13" borderId="3" xfId="0" applyNumberFormat="1" applyFill="1" applyBorder="1" applyAlignment="1">
      <alignment horizontal="center" vertical="center"/>
    </xf>
    <xf numFmtId="0" fontId="14" fillId="0" borderId="0" xfId="0" applyFont="1">
      <alignment vertical="center"/>
    </xf>
    <xf numFmtId="0" fontId="5" fillId="0" borderId="1" xfId="0" applyFont="1" applyBorder="1">
      <alignment vertical="center"/>
    </xf>
    <xf numFmtId="176" fontId="15" fillId="14" borderId="1" xfId="0" applyNumberFormat="1" applyFont="1" applyFill="1" applyBorder="1" applyAlignment="1">
      <alignment horizontal="center" vertical="center"/>
    </xf>
    <xf numFmtId="176" fontId="0" fillId="0" borderId="1" xfId="0" applyNumberFormat="1" applyBorder="1" applyAlignment="1">
      <alignment horizontal="center" vertical="center"/>
    </xf>
    <xf numFmtId="178" fontId="0" fillId="0" borderId="1"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3" fillId="0" borderId="0" xfId="0" applyFont="1">
      <alignment vertical="center"/>
    </xf>
    <xf numFmtId="0" fontId="18" fillId="0" borderId="4" xfId="0" applyFont="1" applyBorder="1">
      <alignment vertical="center"/>
    </xf>
    <xf numFmtId="0" fontId="0" fillId="0" borderId="4" xfId="0" applyBorder="1">
      <alignment vertical="center"/>
    </xf>
    <xf numFmtId="0" fontId="20" fillId="0" borderId="0" xfId="0" applyFont="1">
      <alignment vertical="center"/>
    </xf>
    <xf numFmtId="0" fontId="13" fillId="0" borderId="0" xfId="0" applyFont="1" applyAlignment="1">
      <alignment horizontal="right" vertical="center"/>
    </xf>
    <xf numFmtId="0" fontId="7" fillId="7" borderId="1" xfId="0" applyFont="1" applyFill="1" applyBorder="1" applyAlignment="1">
      <alignment horizontal="center" vertical="center"/>
    </xf>
    <xf numFmtId="0" fontId="21" fillId="0" borderId="0" xfId="0" applyFont="1">
      <alignment vertical="center"/>
    </xf>
    <xf numFmtId="0" fontId="22" fillId="4" borderId="1" xfId="0" applyFont="1" applyFill="1" applyBorder="1" applyAlignment="1">
      <alignment horizontal="center" vertical="center"/>
    </xf>
    <xf numFmtId="0" fontId="19" fillId="8" borderId="1" xfId="0" applyFont="1" applyFill="1" applyBorder="1" applyAlignment="1">
      <alignment horizontal="center" vertical="center"/>
    </xf>
    <xf numFmtId="0" fontId="5" fillId="13" borderId="1" xfId="0" applyFont="1" applyFill="1" applyBorder="1" applyAlignment="1">
      <alignment horizontal="center" vertical="center" wrapText="1"/>
    </xf>
    <xf numFmtId="0" fontId="24" fillId="15"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49" fontId="21" fillId="0" borderId="1" xfId="0" applyNumberFormat="1" applyFont="1" applyBorder="1" applyAlignment="1">
      <alignment horizontal="center" vertical="center" shrinkToFit="1"/>
    </xf>
    <xf numFmtId="49" fontId="25" fillId="16" borderId="1" xfId="0" applyNumberFormat="1" applyFont="1" applyFill="1" applyBorder="1" applyAlignment="1">
      <alignment horizontal="center" vertical="center" shrinkToFit="1"/>
    </xf>
    <xf numFmtId="49" fontId="25" fillId="18" borderId="1" xfId="0" applyNumberFormat="1" applyFont="1" applyFill="1" applyBorder="1" applyAlignment="1">
      <alignment horizontal="center" vertical="center" shrinkToFit="1"/>
    </xf>
    <xf numFmtId="180" fontId="5" fillId="13" borderId="6" xfId="0" applyNumberFormat="1" applyFont="1" applyFill="1" applyBorder="1" applyAlignment="1">
      <alignment horizontal="center" vertical="center" wrapText="1"/>
    </xf>
    <xf numFmtId="180" fontId="24" fillId="15" borderId="6" xfId="0" applyNumberFormat="1" applyFont="1" applyFill="1" applyBorder="1" applyAlignment="1">
      <alignment horizontal="center" vertical="center" wrapText="1"/>
    </xf>
    <xf numFmtId="180" fontId="9" fillId="17" borderId="6" xfId="0" applyNumberFormat="1" applyFont="1" applyFill="1" applyBorder="1" applyAlignment="1">
      <alignment horizontal="center" vertical="center" wrapText="1"/>
    </xf>
    <xf numFmtId="49" fontId="21" fillId="0" borderId="11" xfId="0" applyNumberFormat="1" applyFont="1" applyBorder="1" applyAlignment="1">
      <alignment horizontal="center" vertical="center" shrinkToFit="1"/>
    </xf>
    <xf numFmtId="49" fontId="25" fillId="16" borderId="11" xfId="0" applyNumberFormat="1" applyFont="1" applyFill="1" applyBorder="1" applyAlignment="1">
      <alignment horizontal="center" vertical="center" shrinkToFit="1"/>
    </xf>
    <xf numFmtId="49" fontId="25" fillId="18" borderId="11" xfId="0" applyNumberFormat="1" applyFont="1" applyFill="1" applyBorder="1" applyAlignment="1">
      <alignment horizontal="center" vertical="center" shrinkToFit="1"/>
    </xf>
    <xf numFmtId="49" fontId="21" fillId="0" borderId="14" xfId="0" applyNumberFormat="1" applyFont="1" applyBorder="1" applyAlignment="1">
      <alignment horizontal="center" vertical="center" shrinkToFit="1"/>
    </xf>
    <xf numFmtId="49" fontId="25" fillId="16" borderId="14" xfId="0" applyNumberFormat="1" applyFont="1" applyFill="1" applyBorder="1" applyAlignment="1">
      <alignment horizontal="center" vertical="center" shrinkToFit="1"/>
    </xf>
    <xf numFmtId="49" fontId="25" fillId="18" borderId="14" xfId="0" applyNumberFormat="1" applyFont="1" applyFill="1" applyBorder="1" applyAlignment="1">
      <alignment horizontal="center" vertical="center" shrinkToFit="1"/>
    </xf>
    <xf numFmtId="49" fontId="21" fillId="0" borderId="17" xfId="0" applyNumberFormat="1" applyFont="1" applyBorder="1" applyAlignment="1">
      <alignment horizontal="center" vertical="center" shrinkToFit="1"/>
    </xf>
    <xf numFmtId="49" fontId="25" fillId="16" borderId="17" xfId="0" applyNumberFormat="1" applyFont="1" applyFill="1" applyBorder="1" applyAlignment="1">
      <alignment horizontal="center" vertical="center" shrinkToFit="1"/>
    </xf>
    <xf numFmtId="49" fontId="25" fillId="18" borderId="17" xfId="0" applyNumberFormat="1" applyFont="1" applyFill="1" applyBorder="1" applyAlignment="1">
      <alignment horizontal="center" vertical="center" shrinkToFit="1"/>
    </xf>
    <xf numFmtId="49" fontId="21" fillId="0" borderId="20" xfId="0" applyNumberFormat="1" applyFont="1" applyBorder="1" applyAlignment="1">
      <alignment horizontal="center" vertical="center" shrinkToFit="1"/>
    </xf>
    <xf numFmtId="49" fontId="25" fillId="16" borderId="20" xfId="0" applyNumberFormat="1" applyFont="1" applyFill="1" applyBorder="1" applyAlignment="1">
      <alignment horizontal="center" vertical="center" shrinkToFit="1"/>
    </xf>
    <xf numFmtId="49" fontId="25" fillId="18" borderId="20" xfId="0" applyNumberFormat="1" applyFont="1" applyFill="1" applyBorder="1" applyAlignment="1">
      <alignment horizontal="center" vertical="center" shrinkToFit="1"/>
    </xf>
    <xf numFmtId="49" fontId="21" fillId="0" borderId="23" xfId="0" applyNumberFormat="1" applyFont="1" applyBorder="1" applyAlignment="1">
      <alignment horizontal="center" vertical="center" shrinkToFit="1"/>
    </xf>
    <xf numFmtId="49" fontId="25" fillId="16" borderId="23" xfId="0" applyNumberFormat="1" applyFont="1" applyFill="1" applyBorder="1" applyAlignment="1">
      <alignment horizontal="center" vertical="center" shrinkToFit="1"/>
    </xf>
    <xf numFmtId="49" fontId="25" fillId="18" borderId="23" xfId="0" applyNumberFormat="1" applyFont="1" applyFill="1" applyBorder="1" applyAlignment="1">
      <alignment horizontal="center" vertical="center" shrinkToFit="1"/>
    </xf>
    <xf numFmtId="0" fontId="5" fillId="14" borderId="1" xfId="0" applyFont="1" applyFill="1" applyBorder="1" applyAlignment="1">
      <alignment horizontal="center" vertical="center"/>
    </xf>
    <xf numFmtId="0" fontId="5" fillId="14" borderId="1" xfId="0" applyFont="1" applyFill="1" applyBorder="1" applyAlignment="1">
      <alignment horizontal="left" vertical="center"/>
    </xf>
    <xf numFmtId="0" fontId="26" fillId="0" borderId="0" xfId="1" applyFont="1">
      <alignment vertical="center"/>
    </xf>
    <xf numFmtId="0" fontId="6" fillId="2" borderId="0" xfId="0" applyFont="1" applyFill="1" applyAlignment="1">
      <alignment horizontal="center" vertical="center"/>
    </xf>
    <xf numFmtId="181" fontId="0" fillId="3" borderId="1" xfId="0" applyNumberFormat="1" applyFill="1" applyBorder="1" applyAlignment="1">
      <alignment horizontal="center" vertical="center"/>
    </xf>
    <xf numFmtId="0" fontId="27" fillId="0" borderId="0" xfId="0" applyFont="1">
      <alignment vertical="center"/>
    </xf>
    <xf numFmtId="0" fontId="6" fillId="2" borderId="1" xfId="0" applyFont="1" applyFill="1" applyBorder="1" applyAlignment="1">
      <alignment horizontal="center" vertical="center"/>
    </xf>
    <xf numFmtId="180" fontId="5" fillId="13" borderId="1" xfId="0" applyNumberFormat="1" applyFont="1" applyFill="1" applyBorder="1" applyAlignment="1">
      <alignment horizontal="center" vertical="center"/>
    </xf>
    <xf numFmtId="0" fontId="5" fillId="0" borderId="1" xfId="0" applyFont="1" applyBorder="1" applyAlignment="1">
      <alignment horizontal="center" vertical="center"/>
    </xf>
    <xf numFmtId="182" fontId="5" fillId="0" borderId="1" xfId="0" applyNumberFormat="1" applyFont="1" applyBorder="1" applyAlignment="1">
      <alignment horizontal="center" vertical="center"/>
    </xf>
    <xf numFmtId="0" fontId="28" fillId="19" borderId="1" xfId="0" applyFont="1" applyFill="1" applyBorder="1" applyAlignment="1">
      <alignment horizontal="center" vertical="center"/>
    </xf>
    <xf numFmtId="0" fontId="29" fillId="19" borderId="1" xfId="0" applyFont="1" applyFill="1" applyBorder="1" applyAlignment="1">
      <alignment horizontal="center" vertical="center"/>
    </xf>
    <xf numFmtId="0" fontId="6" fillId="2" borderId="1" xfId="0" applyFont="1" applyFill="1" applyBorder="1" applyAlignment="1">
      <alignment horizontal="left" vertical="center"/>
    </xf>
    <xf numFmtId="0" fontId="5" fillId="0" borderId="1" xfId="0" applyFont="1" applyBorder="1" applyAlignment="1">
      <alignment horizontal="left" vertical="center"/>
    </xf>
    <xf numFmtId="0" fontId="29" fillId="19" borderId="14" xfId="0" applyFont="1" applyFill="1" applyBorder="1" applyAlignment="1">
      <alignment horizontal="center" vertical="center"/>
    </xf>
    <xf numFmtId="0" fontId="5" fillId="14" borderId="25" xfId="0" applyFont="1" applyFill="1" applyBorder="1" applyAlignment="1">
      <alignment horizontal="left" vertical="center"/>
    </xf>
    <xf numFmtId="0" fontId="5" fillId="14" borderId="25" xfId="0" applyFont="1" applyFill="1" applyBorder="1" applyAlignment="1">
      <alignment horizontal="center" vertical="center"/>
    </xf>
    <xf numFmtId="0" fontId="5" fillId="0" borderId="25" xfId="0" applyFont="1" applyBorder="1" applyAlignment="1">
      <alignment horizontal="center" vertical="center"/>
    </xf>
    <xf numFmtId="0" fontId="28" fillId="19" borderId="25" xfId="0" applyFont="1" applyFill="1" applyBorder="1" applyAlignment="1">
      <alignment horizontal="center" vertical="center"/>
    </xf>
    <xf numFmtId="181" fontId="6" fillId="2" borderId="1" xfId="0" applyNumberFormat="1" applyFont="1" applyFill="1" applyBorder="1" applyAlignment="1">
      <alignment horizontal="center" vertical="center"/>
    </xf>
    <xf numFmtId="0" fontId="30" fillId="2" borderId="0" xfId="0" applyFont="1" applyFill="1" applyAlignment="1">
      <alignment horizontal="center" vertical="center"/>
    </xf>
    <xf numFmtId="0" fontId="27" fillId="0" borderId="1" xfId="0" applyFont="1" applyBorder="1">
      <alignment vertical="center"/>
    </xf>
    <xf numFmtId="179" fontId="0" fillId="0" borderId="0" xfId="0" applyNumberFormat="1">
      <alignment vertical="center"/>
    </xf>
    <xf numFmtId="0" fontId="0" fillId="13" borderId="1" xfId="0" applyFill="1"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6" borderId="11" xfId="0" applyFill="1" applyBorder="1" applyAlignment="1">
      <alignment horizontal="center" vertical="center"/>
    </xf>
    <xf numFmtId="0" fontId="0" fillId="0" borderId="11" xfId="0" applyBorder="1" applyAlignment="1">
      <alignment horizontal="center" vertical="center"/>
    </xf>
    <xf numFmtId="0" fontId="3" fillId="0" borderId="0" xfId="1" applyAlignment="1">
      <alignment horizontal="center" vertical="center"/>
    </xf>
    <xf numFmtId="0" fontId="5" fillId="15" borderId="29" xfId="0" applyFont="1" applyFill="1" applyBorder="1" applyAlignment="1">
      <alignment horizontal="center" vertical="center" wrapText="1"/>
    </xf>
    <xf numFmtId="0" fontId="31" fillId="13" borderId="37" xfId="1" applyFont="1" applyFill="1" applyBorder="1" applyAlignment="1">
      <alignment horizontal="center" vertical="center"/>
    </xf>
    <xf numFmtId="0" fontId="32" fillId="13" borderId="37" xfId="1" applyFont="1" applyFill="1" applyBorder="1" applyAlignment="1">
      <alignment horizontal="center" vertical="center"/>
    </xf>
    <xf numFmtId="0" fontId="9" fillId="13" borderId="37" xfId="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5" xfId="0" applyBorder="1" applyAlignment="1">
      <alignment horizontal="left" vertical="center"/>
    </xf>
    <xf numFmtId="0" fontId="0" fillId="0" borderId="36" xfId="0" applyBorder="1" applyAlignment="1">
      <alignment horizontal="left" vertical="center"/>
    </xf>
    <xf numFmtId="0" fontId="33" fillId="0" borderId="1" xfId="0" applyFont="1" applyBorder="1" applyAlignment="1">
      <alignment horizontal="left" vertical="center"/>
    </xf>
    <xf numFmtId="0" fontId="34" fillId="0" borderId="1" xfId="0" applyFont="1" applyBorder="1" applyAlignment="1">
      <alignment horizontal="left" vertical="center"/>
    </xf>
    <xf numFmtId="0" fontId="33" fillId="0" borderId="11" xfId="0" applyFont="1" applyBorder="1" applyAlignment="1">
      <alignment horizontal="left" vertical="center"/>
    </xf>
    <xf numFmtId="0" fontId="34" fillId="0" borderId="11" xfId="0" applyFont="1" applyBorder="1" applyAlignment="1">
      <alignment horizontal="left" vertical="center"/>
    </xf>
    <xf numFmtId="0" fontId="31" fillId="6" borderId="1" xfId="0" applyFont="1" applyFill="1" applyBorder="1" applyAlignment="1">
      <alignment horizontal="center" vertical="center"/>
    </xf>
    <xf numFmtId="0" fontId="35" fillId="0" borderId="0" xfId="0" applyFont="1">
      <alignment vertical="center"/>
    </xf>
    <xf numFmtId="0" fontId="36" fillId="0" borderId="0" xfId="0" applyFont="1">
      <alignment vertical="center"/>
    </xf>
    <xf numFmtId="20" fontId="6" fillId="11" borderId="0" xfId="0" applyNumberFormat="1" applyFont="1" applyFill="1" applyAlignment="1">
      <alignment horizontal="center" vertical="center"/>
    </xf>
    <xf numFmtId="0" fontId="37" fillId="6" borderId="1" xfId="0" applyFont="1" applyFill="1" applyBorder="1" applyAlignment="1">
      <alignment horizontal="center" vertical="center"/>
    </xf>
    <xf numFmtId="20" fontId="0" fillId="0" borderId="0" xfId="0" applyNumberFormat="1">
      <alignment vertical="center"/>
    </xf>
    <xf numFmtId="0" fontId="0" fillId="0" borderId="38" xfId="0" applyBorder="1" applyAlignment="1">
      <alignment horizontal="center" vertical="center"/>
    </xf>
    <xf numFmtId="177" fontId="0" fillId="13" borderId="9" xfId="0" applyNumberFormat="1" applyFill="1" applyBorder="1" applyAlignment="1">
      <alignment horizontal="center" vertical="center"/>
    </xf>
    <xf numFmtId="0" fontId="0" fillId="0" borderId="11" xfId="0" applyBorder="1">
      <alignment vertical="center"/>
    </xf>
    <xf numFmtId="0" fontId="0" fillId="13" borderId="11" xfId="0" applyFill="1" applyBorder="1" applyAlignment="1">
      <alignment horizontal="center" vertical="center"/>
    </xf>
    <xf numFmtId="177" fontId="0" fillId="13" borderId="12" xfId="0" applyNumberFormat="1" applyFill="1" applyBorder="1" applyAlignment="1">
      <alignment horizontal="center" vertical="center"/>
    </xf>
    <xf numFmtId="0" fontId="0" fillId="0" borderId="13" xfId="0" applyBorder="1" applyAlignment="1">
      <alignment horizontal="center" vertical="center"/>
    </xf>
    <xf numFmtId="0" fontId="0" fillId="0" borderId="14" xfId="0" applyBorder="1">
      <alignment vertical="center"/>
    </xf>
    <xf numFmtId="0" fontId="0" fillId="4" borderId="14" xfId="0" applyFill="1" applyBorder="1" applyAlignment="1">
      <alignment horizontal="center" vertical="center"/>
    </xf>
    <xf numFmtId="0" fontId="0" fillId="0" borderId="14" xfId="0" applyBorder="1" applyAlignment="1">
      <alignment horizontal="center" vertical="center"/>
    </xf>
    <xf numFmtId="0" fontId="0" fillId="13" borderId="14" xfId="0" applyFill="1" applyBorder="1" applyAlignment="1">
      <alignment horizontal="center" vertical="center"/>
    </xf>
    <xf numFmtId="177" fontId="0" fillId="13" borderId="15" xfId="0" applyNumberFormat="1" applyFill="1" applyBorder="1" applyAlignment="1">
      <alignment horizontal="center" vertical="center"/>
    </xf>
    <xf numFmtId="0" fontId="0" fillId="0" borderId="16" xfId="0" applyBorder="1" applyAlignment="1">
      <alignment horizontal="center" vertical="center"/>
    </xf>
    <xf numFmtId="0" fontId="0" fillId="0" borderId="17" xfId="0" applyBorder="1">
      <alignment vertical="center"/>
    </xf>
    <xf numFmtId="0" fontId="0" fillId="0" borderId="17" xfId="0" applyBorder="1" applyAlignment="1">
      <alignment horizontal="center" vertical="center"/>
    </xf>
    <xf numFmtId="0" fontId="0" fillId="13" borderId="17" xfId="0" applyFill="1" applyBorder="1" applyAlignment="1">
      <alignment horizontal="center" vertical="center"/>
    </xf>
    <xf numFmtId="177" fontId="0" fillId="13" borderId="18" xfId="0" applyNumberFormat="1" applyFill="1" applyBorder="1" applyAlignment="1">
      <alignment horizontal="center" vertical="center"/>
    </xf>
    <xf numFmtId="0" fontId="0" fillId="0" borderId="19" xfId="0" applyBorder="1" applyAlignment="1">
      <alignment horizontal="center" vertical="center"/>
    </xf>
    <xf numFmtId="0" fontId="0" fillId="0" borderId="20" xfId="0" applyBorder="1">
      <alignment vertical="center"/>
    </xf>
    <xf numFmtId="0" fontId="0" fillId="5" borderId="20" xfId="0" applyFill="1" applyBorder="1" applyAlignment="1">
      <alignment horizontal="center" vertical="center"/>
    </xf>
    <xf numFmtId="0" fontId="0" fillId="0" borderId="20" xfId="0" applyBorder="1" applyAlignment="1">
      <alignment horizontal="center" vertical="center"/>
    </xf>
    <xf numFmtId="0" fontId="0" fillId="13" borderId="20" xfId="0" applyFill="1" applyBorder="1" applyAlignment="1">
      <alignment horizontal="center" vertical="center"/>
    </xf>
    <xf numFmtId="177" fontId="0" fillId="13" borderId="21" xfId="0" applyNumberFormat="1" applyFill="1" applyBorder="1" applyAlignment="1">
      <alignment horizontal="center" vertical="center"/>
    </xf>
    <xf numFmtId="0" fontId="0" fillId="0" borderId="22" xfId="0" applyBorder="1" applyAlignment="1">
      <alignment horizontal="center" vertical="center"/>
    </xf>
    <xf numFmtId="0" fontId="0" fillId="0" borderId="23" xfId="0" applyBorder="1">
      <alignment vertical="center"/>
    </xf>
    <xf numFmtId="0" fontId="0" fillId="5" borderId="23" xfId="0" applyFill="1" applyBorder="1" applyAlignment="1">
      <alignment horizontal="center" vertical="center"/>
    </xf>
    <xf numFmtId="0" fontId="0" fillId="0" borderId="23" xfId="0" applyBorder="1" applyAlignment="1">
      <alignment horizontal="center" vertical="center"/>
    </xf>
    <xf numFmtId="0" fontId="0" fillId="13" borderId="23" xfId="0" applyFill="1" applyBorder="1" applyAlignment="1">
      <alignment horizontal="center" vertical="center"/>
    </xf>
    <xf numFmtId="177" fontId="0" fillId="13" borderId="24" xfId="0" applyNumberFormat="1" applyFill="1" applyBorder="1" applyAlignment="1">
      <alignment horizontal="center" vertical="center"/>
    </xf>
    <xf numFmtId="0" fontId="0" fillId="6" borderId="17" xfId="0" applyFill="1" applyBorder="1" applyAlignment="1">
      <alignment horizontal="center" vertical="center"/>
    </xf>
    <xf numFmtId="0" fontId="0" fillId="6" borderId="20" xfId="0" applyFill="1" applyBorder="1" applyAlignment="1">
      <alignment horizontal="center" vertical="center"/>
    </xf>
    <xf numFmtId="0" fontId="0" fillId="0" borderId="1" xfId="0" applyBorder="1" applyAlignment="1">
      <alignment horizontal="left" vertical="center"/>
    </xf>
    <xf numFmtId="182" fontId="0" fillId="0" borderId="1" xfId="0" applyNumberFormat="1" applyBorder="1" applyAlignment="1">
      <alignment horizontal="center" vertical="center"/>
    </xf>
    <xf numFmtId="0" fontId="0" fillId="0" borderId="14" xfId="0" applyBorder="1" applyAlignment="1">
      <alignment horizontal="left" vertical="center"/>
    </xf>
    <xf numFmtId="182" fontId="0" fillId="0" borderId="14" xfId="0" applyNumberFormat="1" applyBorder="1" applyAlignment="1">
      <alignment horizontal="center" vertical="center"/>
    </xf>
    <xf numFmtId="20" fontId="6" fillId="11" borderId="39" xfId="0" applyNumberFormat="1" applyFont="1" applyFill="1" applyBorder="1" applyAlignment="1">
      <alignment horizontal="center" vertical="center"/>
    </xf>
    <xf numFmtId="0" fontId="6" fillId="2" borderId="39" xfId="0" applyFont="1" applyFill="1" applyBorder="1" applyAlignment="1">
      <alignment horizontal="center" vertical="center"/>
    </xf>
    <xf numFmtId="176" fontId="0" fillId="3" borderId="1" xfId="0" applyNumberFormat="1" applyFill="1" applyBorder="1" applyAlignment="1">
      <alignment horizontal="center" vertical="center"/>
    </xf>
    <xf numFmtId="0" fontId="0" fillId="3" borderId="40" xfId="0" applyFill="1" applyBorder="1" applyAlignment="1">
      <alignment horizontal="center" vertical="center"/>
    </xf>
    <xf numFmtId="0" fontId="0" fillId="13" borderId="40" xfId="0" applyFill="1" applyBorder="1" applyAlignment="1">
      <alignment horizontal="center" vertical="center"/>
    </xf>
    <xf numFmtId="0" fontId="6" fillId="2" borderId="0" xfId="0" applyFont="1" applyFill="1" applyAlignment="1">
      <alignment horizontal="center" vertical="center" wrapText="1"/>
    </xf>
    <xf numFmtId="0" fontId="5" fillId="4" borderId="1" xfId="0" applyFont="1" applyFill="1" applyBorder="1">
      <alignment vertical="center"/>
    </xf>
    <xf numFmtId="0" fontId="5" fillId="5" borderId="1" xfId="0" applyFont="1" applyFill="1" applyBorder="1">
      <alignment vertical="center"/>
    </xf>
    <xf numFmtId="0" fontId="5" fillId="21" borderId="1" xfId="0" applyFont="1" applyFill="1" applyBorder="1">
      <alignment vertical="center"/>
    </xf>
    <xf numFmtId="0" fontId="5" fillId="22" borderId="1" xfId="0" applyFont="1" applyFill="1" applyBorder="1">
      <alignment vertical="center"/>
    </xf>
    <xf numFmtId="0" fontId="5" fillId="23" borderId="1" xfId="0" applyFont="1" applyFill="1" applyBorder="1">
      <alignment vertical="center"/>
    </xf>
    <xf numFmtId="20" fontId="5" fillId="15" borderId="26" xfId="0" applyNumberFormat="1" applyFont="1" applyFill="1" applyBorder="1" applyAlignment="1">
      <alignment horizontal="center" vertical="center" wrapText="1" shrinkToFit="1"/>
    </xf>
    <xf numFmtId="20" fontId="5" fillId="15" borderId="6" xfId="0" applyNumberFormat="1" applyFont="1" applyFill="1" applyBorder="1" applyAlignment="1">
      <alignment horizontal="center" vertical="center" wrapText="1" shrinkToFit="1"/>
    </xf>
    <xf numFmtId="20" fontId="5" fillId="15" borderId="32" xfId="0" applyNumberFormat="1" applyFont="1" applyFill="1" applyBorder="1" applyAlignment="1">
      <alignment horizontal="center" vertical="center" wrapText="1" shrinkToFit="1"/>
    </xf>
    <xf numFmtId="0" fontId="0" fillId="0" borderId="27" xfId="0" applyBorder="1" applyAlignment="1">
      <alignment horizontal="center" vertical="center" shrinkToFit="1"/>
    </xf>
    <xf numFmtId="0" fontId="0" fillId="0" borderId="1" xfId="0" applyBorder="1" applyAlignment="1">
      <alignment horizontal="center" vertical="center" shrinkToFit="1"/>
    </xf>
    <xf numFmtId="0" fontId="0" fillId="0" borderId="3" xfId="0" applyBorder="1" applyAlignment="1">
      <alignment horizontal="center" vertical="center" shrinkToFit="1"/>
    </xf>
    <xf numFmtId="0" fontId="0" fillId="0" borderId="28" xfId="0" applyBorder="1" applyAlignment="1">
      <alignment horizontal="center" vertical="center" shrinkToFit="1"/>
    </xf>
    <xf numFmtId="0" fontId="0" fillId="0" borderId="11" xfId="0" applyBorder="1" applyAlignment="1">
      <alignment horizontal="center" vertical="center" shrinkToFit="1"/>
    </xf>
    <xf numFmtId="0" fontId="0" fillId="0" borderId="33" xfId="0" applyBorder="1" applyAlignment="1">
      <alignment horizontal="center" vertical="center" shrinkToFit="1"/>
    </xf>
    <xf numFmtId="0" fontId="0" fillId="0" borderId="0" xfId="0" applyAlignment="1">
      <alignment horizontal="center" vertical="center" shrinkToFit="1"/>
    </xf>
    <xf numFmtId="0" fontId="38" fillId="15" borderId="34" xfId="0" applyFont="1" applyFill="1" applyBorder="1" applyAlignment="1">
      <alignment horizontal="left" vertical="center"/>
    </xf>
    <xf numFmtId="0" fontId="39" fillId="0" borderId="1" xfId="0" applyFont="1" applyBorder="1" applyAlignment="1">
      <alignment horizontal="center" vertical="center" shrinkToFit="1"/>
    </xf>
    <xf numFmtId="0" fontId="39" fillId="0" borderId="11" xfId="0" applyFont="1" applyBorder="1" applyAlignment="1">
      <alignment horizontal="center" vertical="center" shrinkToFit="1"/>
    </xf>
    <xf numFmtId="0" fontId="40" fillId="0" borderId="0" xfId="0" applyFont="1">
      <alignment vertical="center"/>
    </xf>
    <xf numFmtId="0" fontId="41" fillId="0" borderId="1" xfId="0" applyFont="1" applyBorder="1" applyAlignment="1">
      <alignment horizontal="center" vertical="center"/>
    </xf>
    <xf numFmtId="0" fontId="5" fillId="13" borderId="1" xfId="0" applyFont="1" applyFill="1" applyBorder="1" applyAlignment="1">
      <alignment horizontal="center" vertical="center"/>
    </xf>
    <xf numFmtId="0" fontId="42" fillId="0" borderId="1" xfId="0" applyFont="1" applyBorder="1" applyAlignment="1">
      <alignment horizontal="center" vertical="center" shrinkToFit="1"/>
    </xf>
    <xf numFmtId="0" fontId="42" fillId="0" borderId="11" xfId="0" applyFont="1" applyBorder="1" applyAlignment="1">
      <alignment horizontal="center" vertical="center" shrinkToFit="1"/>
    </xf>
    <xf numFmtId="0" fontId="43" fillId="0" borderId="30" xfId="0" applyFont="1" applyBorder="1" applyAlignment="1">
      <alignment horizontal="center" vertical="center"/>
    </xf>
    <xf numFmtId="0" fontId="43" fillId="0" borderId="31" xfId="0" applyFont="1" applyBorder="1" applyAlignment="1">
      <alignment horizontal="center" vertical="center"/>
    </xf>
    <xf numFmtId="0" fontId="44" fillId="0" borderId="0" xfId="0" applyFont="1">
      <alignment vertical="center"/>
    </xf>
    <xf numFmtId="0" fontId="46" fillId="3" borderId="1" xfId="0" applyFont="1" applyFill="1" applyBorder="1" applyAlignment="1">
      <alignment horizontal="center" vertical="center" wrapText="1"/>
    </xf>
    <xf numFmtId="0" fontId="45" fillId="5" borderId="1" xfId="0" applyFont="1" applyFill="1" applyBorder="1" applyAlignment="1">
      <alignment vertical="center" wrapText="1"/>
    </xf>
    <xf numFmtId="0" fontId="5" fillId="24" borderId="1" xfId="0" applyFont="1" applyFill="1" applyBorder="1">
      <alignment vertical="center"/>
    </xf>
    <xf numFmtId="0" fontId="33" fillId="0" borderId="30" xfId="0" applyFont="1" applyBorder="1" applyAlignment="1">
      <alignment horizontal="center" vertical="center"/>
    </xf>
    <xf numFmtId="0" fontId="33" fillId="0" borderId="31" xfId="0" applyFont="1" applyBorder="1" applyAlignment="1">
      <alignment horizontal="center" vertical="center"/>
    </xf>
    <xf numFmtId="0" fontId="0" fillId="0" borderId="0" xfId="0" quotePrefix="1">
      <alignment vertical="center"/>
    </xf>
    <xf numFmtId="0" fontId="39" fillId="0" borderId="3" xfId="0" applyFont="1" applyBorder="1" applyAlignment="1">
      <alignment horizontal="center" vertical="center" shrinkToFit="1"/>
    </xf>
    <xf numFmtId="0" fontId="9" fillId="15" borderId="34" xfId="0" applyFont="1" applyFill="1" applyBorder="1" applyAlignment="1">
      <alignment horizontal="left" vertical="center"/>
    </xf>
    <xf numFmtId="0" fontId="0" fillId="5" borderId="0" xfId="0" applyFill="1">
      <alignment vertical="center"/>
    </xf>
    <xf numFmtId="0" fontId="0" fillId="4" borderId="0" xfId="0" applyFill="1">
      <alignment vertical="center"/>
    </xf>
    <xf numFmtId="0" fontId="0" fillId="21" borderId="0" xfId="0" applyFill="1">
      <alignment vertical="center"/>
    </xf>
    <xf numFmtId="0" fontId="0" fillId="22" borderId="0" xfId="0" applyFill="1">
      <alignment vertical="center"/>
    </xf>
    <xf numFmtId="0" fontId="0" fillId="23" borderId="0" xfId="0" applyFill="1">
      <alignment vertical="center"/>
    </xf>
    <xf numFmtId="0" fontId="0" fillId="25" borderId="0" xfId="0" applyFill="1">
      <alignment vertical="center"/>
    </xf>
    <xf numFmtId="0" fontId="22" fillId="0" borderId="0" xfId="0" applyFont="1">
      <alignment vertical="center"/>
    </xf>
    <xf numFmtId="49" fontId="20" fillId="0" borderId="0" xfId="0" applyNumberFormat="1" applyFont="1">
      <alignment vertical="center"/>
    </xf>
    <xf numFmtId="49" fontId="7" fillId="0" borderId="0" xfId="0" applyNumberFormat="1" applyFont="1">
      <alignment vertical="center"/>
    </xf>
    <xf numFmtId="49" fontId="16" fillId="0" borderId="41" xfId="0" applyNumberFormat="1" applyFont="1" applyBorder="1">
      <alignment vertical="center"/>
    </xf>
    <xf numFmtId="49" fontId="5" fillId="26" borderId="1" xfId="0" applyNumberFormat="1" applyFont="1" applyFill="1" applyBorder="1" applyAlignment="1">
      <alignment vertical="top"/>
    </xf>
    <xf numFmtId="49" fontId="5" fillId="26" borderId="1" xfId="0" applyNumberFormat="1" applyFont="1" applyFill="1" applyBorder="1" applyAlignment="1">
      <alignment vertical="top" wrapText="1"/>
    </xf>
    <xf numFmtId="49" fontId="6" fillId="27" borderId="0" xfId="0" applyNumberFormat="1" applyFont="1" applyFill="1">
      <alignment vertical="center"/>
    </xf>
    <xf numFmtId="49" fontId="3" fillId="0" borderId="1" xfId="1" applyNumberFormat="1" applyBorder="1" applyAlignment="1">
      <alignment vertical="top" wrapText="1"/>
    </xf>
    <xf numFmtId="49" fontId="34" fillId="0" borderId="0" xfId="0" applyNumberFormat="1" applyFont="1" applyAlignment="1">
      <alignment horizontal="right" vertical="center"/>
    </xf>
    <xf numFmtId="0" fontId="6"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31" fillId="15" borderId="0" xfId="0" applyFont="1" applyFill="1" applyAlignment="1">
      <alignment horizontal="center" vertical="center"/>
    </xf>
    <xf numFmtId="0" fontId="6" fillId="2" borderId="6"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5" xfId="0" applyFont="1" applyFill="1" applyBorder="1" applyAlignment="1">
      <alignment horizontal="center" vertical="center" wrapText="1"/>
    </xf>
    <xf numFmtId="0" fontId="6" fillId="2" borderId="38" xfId="0" applyFont="1" applyFill="1" applyBorder="1" applyAlignment="1">
      <alignment horizontal="center" vertical="center" wrapText="1"/>
    </xf>
    <xf numFmtId="0" fontId="6" fillId="11" borderId="5" xfId="0" applyFont="1" applyFill="1" applyBorder="1" applyAlignment="1">
      <alignment horizontal="center" vertical="center"/>
    </xf>
    <xf numFmtId="0" fontId="0" fillId="11" borderId="6" xfId="0" applyFill="1" applyBorder="1" applyAlignment="1">
      <alignment horizontal="left" vertical="center"/>
    </xf>
    <xf numFmtId="0" fontId="0" fillId="11" borderId="6" xfId="0" applyFill="1" applyBorder="1" applyAlignment="1">
      <alignment horizontal="center" vertical="center"/>
    </xf>
    <xf numFmtId="0" fontId="6" fillId="20" borderId="5" xfId="0" applyFont="1" applyFill="1" applyBorder="1" applyAlignment="1">
      <alignment horizontal="center" vertical="center"/>
    </xf>
    <xf numFmtId="0" fontId="0" fillId="20" borderId="6" xfId="0" applyFill="1" applyBorder="1" applyAlignment="1">
      <alignment horizontal="left" vertical="center"/>
    </xf>
    <xf numFmtId="0" fontId="0" fillId="20" borderId="6" xfId="0" applyFill="1" applyBorder="1" applyAlignment="1">
      <alignment horizontal="center" vertical="center"/>
    </xf>
    <xf numFmtId="0" fontId="6" fillId="2" borderId="5" xfId="0" applyFont="1" applyFill="1" applyBorder="1" applyAlignment="1">
      <alignment horizontal="center" vertical="center"/>
    </xf>
    <xf numFmtId="0" fontId="0" fillId="2" borderId="6" xfId="0" applyFill="1" applyBorder="1" applyAlignment="1">
      <alignment horizontal="left" vertical="center"/>
    </xf>
    <xf numFmtId="0" fontId="0" fillId="2" borderId="6" xfId="0" applyFill="1" applyBorder="1" applyAlignment="1">
      <alignment horizontal="center" vertical="center"/>
    </xf>
    <xf numFmtId="49" fontId="0" fillId="0" borderId="0" xfId="0" applyNumberFormat="1" applyFont="1">
      <alignment vertical="center"/>
    </xf>
    <xf numFmtId="49" fontId="0" fillId="0" borderId="41" xfId="0" applyNumberFormat="1" applyFont="1" applyBorder="1">
      <alignment vertical="center"/>
    </xf>
    <xf numFmtId="49" fontId="0" fillId="0" borderId="1" xfId="0" applyNumberFormat="1" applyFont="1" applyBorder="1" applyAlignment="1">
      <alignment vertical="top"/>
    </xf>
    <xf numFmtId="49" fontId="0" fillId="0" borderId="1" xfId="0" applyNumberFormat="1" applyFont="1" applyBorder="1" applyAlignment="1">
      <alignment vertical="top" wrapText="1"/>
    </xf>
    <xf numFmtId="49" fontId="0" fillId="0" borderId="42" xfId="0" applyNumberFormat="1" applyFont="1" applyBorder="1" applyAlignment="1">
      <alignment vertical="center" wrapText="1"/>
    </xf>
    <xf numFmtId="49" fontId="0" fillId="0" borderId="0" xfId="0" applyNumberFormat="1" applyFont="1" applyAlignment="1">
      <alignment vertical="center" wrapText="1"/>
    </xf>
    <xf numFmtId="49" fontId="0" fillId="0" borderId="0" xfId="0" applyNumberFormat="1" applyFont="1" applyAlignment="1">
      <alignment vertical="center"/>
    </xf>
    <xf numFmtId="49" fontId="0" fillId="0" borderId="41" xfId="0" applyNumberFormat="1" applyFont="1" applyBorder="1" applyAlignment="1">
      <alignment vertical="center"/>
    </xf>
    <xf numFmtId="49" fontId="6" fillId="27" borderId="0" xfId="0" applyNumberFormat="1" applyFont="1" applyFill="1" applyAlignment="1">
      <alignment vertical="center"/>
    </xf>
    <xf numFmtId="49" fontId="47" fillId="0" borderId="0" xfId="0" applyNumberFormat="1" applyFont="1" applyAlignment="1">
      <alignment vertical="center"/>
    </xf>
    <xf numFmtId="49" fontId="47" fillId="0" borderId="0" xfId="0" quotePrefix="1" applyNumberFormat="1" applyFont="1" applyAlignment="1">
      <alignment vertical="center"/>
    </xf>
  </cellXfs>
  <cellStyles count="2">
    <cellStyle name="ハイパーリンク" xfId="1" builtinId="8"/>
    <cellStyle name="標準" xfId="0" builtinId="0"/>
  </cellStyles>
  <dxfs count="27">
    <dxf>
      <fill>
        <patternFill>
          <bgColor rgb="FFC6EFCE"/>
        </patternFill>
      </fill>
    </dxf>
    <dxf>
      <fill>
        <patternFill>
          <bgColor rgb="FFFFC7CE"/>
        </patternFill>
      </fill>
    </dxf>
    <dxf>
      <fill>
        <patternFill>
          <bgColor rgb="FF5B9BD5"/>
        </patternFill>
      </fill>
    </dxf>
    <dxf>
      <fill>
        <patternFill>
          <bgColor rgb="FFC6E0B4"/>
        </patternFill>
      </fill>
    </dxf>
    <dxf>
      <fill>
        <patternFill>
          <bgColor rgb="FFB4C6E7"/>
        </patternFill>
      </fill>
    </dxf>
    <dxf>
      <fill>
        <patternFill>
          <bgColor rgb="FFCCC0DA"/>
        </patternFill>
      </fill>
    </dxf>
    <dxf>
      <fill>
        <patternFill>
          <bgColor rgb="FFFFE699"/>
        </patternFill>
      </fill>
    </dxf>
    <dxf>
      <fill>
        <patternFill>
          <bgColor rgb="FFF8CBAD"/>
        </patternFill>
      </fill>
    </dxf>
    <dxf>
      <font>
        <color rgb="FF1F4E79"/>
      </font>
      <fill>
        <patternFill>
          <bgColor rgb="FFBDD7EE"/>
        </patternFill>
      </fill>
    </dxf>
    <dxf>
      <font>
        <color rgb="FF006100"/>
      </font>
      <fill>
        <patternFill>
          <bgColor rgb="FFC6EFCE"/>
        </patternFill>
      </fill>
    </dxf>
    <dxf>
      <font>
        <color rgb="FFC00000"/>
      </font>
      <fill>
        <patternFill>
          <bgColor rgb="FFF8CBAD"/>
        </patternFill>
      </fill>
    </dxf>
    <dxf>
      <font>
        <color rgb="FF595959"/>
      </font>
      <fill>
        <patternFill>
          <bgColor rgb="FFD9D9D9"/>
        </patternFill>
      </fill>
    </dxf>
    <dxf>
      <font>
        <b/>
        <i val="0"/>
        <color rgb="FF806000"/>
      </font>
      <fill>
        <patternFill>
          <bgColor rgb="FFFFE699"/>
        </patternFill>
      </fill>
    </dxf>
    <dxf>
      <font>
        <color rgb="FF1F4E79"/>
      </font>
      <fill>
        <patternFill>
          <bgColor rgb="FFBDD7EE"/>
        </patternFill>
      </fill>
    </dxf>
    <dxf>
      <font>
        <color rgb="FF006100"/>
      </font>
      <fill>
        <patternFill>
          <bgColor rgb="FFC6EFCE"/>
        </patternFill>
      </fill>
    </dxf>
    <dxf>
      <font>
        <color rgb="FFC00000"/>
      </font>
      <fill>
        <patternFill>
          <bgColor rgb="FFF8CBAD"/>
        </patternFill>
      </fill>
    </dxf>
    <dxf>
      <font>
        <color rgb="FF595959"/>
      </font>
      <fill>
        <patternFill>
          <bgColor rgb="FFD9D9D9"/>
        </patternFill>
      </fill>
    </dxf>
    <dxf>
      <font>
        <b/>
        <i val="0"/>
        <color rgb="FFC00000"/>
      </font>
    </dxf>
    <dxf>
      <font>
        <color rgb="FF006100"/>
      </font>
    </dxf>
    <dxf>
      <font>
        <color rgb="FFFFFFFF"/>
      </font>
      <fill>
        <patternFill>
          <bgColor rgb="FFC00000"/>
        </patternFill>
      </fill>
    </dxf>
    <dxf>
      <fill>
        <patternFill>
          <bgColor rgb="FFE2EFDA"/>
        </patternFill>
      </fill>
    </dxf>
    <dxf>
      <font>
        <b/>
        <i val="0"/>
        <color rgb="FF9C0006"/>
      </font>
      <fill>
        <patternFill>
          <bgColor rgb="FFFFC7CE"/>
        </patternFill>
      </fill>
    </dxf>
    <dxf>
      <font>
        <b/>
        <i val="0"/>
      </font>
    </dxf>
    <dxf>
      <fill>
        <patternFill>
          <bgColor rgb="FFFFC7CE"/>
        </patternFill>
      </fill>
    </dxf>
    <dxf>
      <font>
        <b/>
        <i val="0"/>
        <color rgb="FF1F4E79"/>
      </font>
      <fill>
        <patternFill>
          <bgColor rgb="FFBDD7EE"/>
        </patternFill>
      </fill>
    </dxf>
    <dxf>
      <font>
        <b/>
        <i val="0"/>
        <color rgb="FF006100"/>
      </font>
      <fill>
        <patternFill>
          <bgColor rgb="FFC6EFCE"/>
        </patternFill>
      </fill>
    </dxf>
    <dxf>
      <font>
        <b/>
        <i val="0"/>
        <color rgb="FF1F4E79"/>
      </font>
      <fill>
        <patternFill>
          <bgColor rgb="FFBDD7E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7</xdr:col>
      <xdr:colOff>0</xdr:colOff>
      <xdr:row>5</xdr:row>
      <xdr:rowOff>44450</xdr:rowOff>
    </xdr:to>
    <xdr:sp macro="" textlink="">
      <xdr:nvSpPr>
        <xdr:cNvPr id="8" name="テキスト ボックス 7">
          <a:extLst>
            <a:ext uri="{FF2B5EF4-FFF2-40B4-BE49-F238E27FC236}">
              <a16:creationId xmlns:a16="http://schemas.microsoft.com/office/drawing/2014/main" id="{1CAC2343-FE6D-AE72-6D19-B2E2DD6B448A}"/>
            </a:ext>
          </a:extLst>
        </xdr:cNvPr>
        <xdr:cNvSpPr txBox="1"/>
      </xdr:nvSpPr>
      <xdr:spPr>
        <a:xfrm>
          <a:off x="276225" y="1066800"/>
          <a:ext cx="577215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bIns="0" rtlCol="0" anchor="t"/>
        <a:lstStyle/>
        <a:p>
          <a:r>
            <a:rPr kumimoji="1" lang="ja-JP" altLang="en-US" sz="1200" b="1">
              <a:solidFill>
                <a:srgbClr val="595959"/>
              </a:solidFill>
              <a:latin typeface="Meiryo UI" panose="020B0604030504040204" pitchFamily="50" charset="-128"/>
              <a:ea typeface="Meiryo UI" panose="020B0604030504040204" pitchFamily="50" charset="-128"/>
            </a:rPr>
            <a:t>最初に</a:t>
          </a:r>
          <a:r>
            <a:rPr kumimoji="1" lang="en-US" altLang="ja-JP" sz="1200" b="1">
              <a:solidFill>
                <a:srgbClr val="595959"/>
              </a:solidFill>
              <a:latin typeface="Meiryo UI" panose="020B0604030504040204" pitchFamily="50" charset="-128"/>
              <a:ea typeface="Meiryo UI" panose="020B0604030504040204" pitchFamily="50" charset="-128"/>
            </a:rPr>
            <a:t>1</a:t>
          </a:r>
          <a:r>
            <a:rPr kumimoji="1" lang="ja-JP" altLang="en-US" sz="1200" b="1">
              <a:solidFill>
                <a:srgbClr val="595959"/>
              </a:solidFill>
              <a:latin typeface="Meiryo UI" panose="020B0604030504040204" pitchFamily="50" charset="-128"/>
              <a:ea typeface="Meiryo UI" panose="020B0604030504040204" pitchFamily="50" charset="-128"/>
            </a:rPr>
            <a:t>回（準備）</a:t>
          </a:r>
        </a:p>
      </xdr:txBody>
    </xdr:sp>
    <xdr:clientData/>
  </xdr:twoCellAnchor>
  <xdr:twoCellAnchor editAs="absolute">
    <xdr:from>
      <xdr:col>1</xdr:col>
      <xdr:colOff>0</xdr:colOff>
      <xdr:row>5</xdr:row>
      <xdr:rowOff>95250</xdr:rowOff>
    </xdr:from>
    <xdr:to>
      <xdr:col>7</xdr:col>
      <xdr:colOff>0</xdr:colOff>
      <xdr:row>8</xdr:row>
      <xdr:rowOff>174625</xdr:rowOff>
    </xdr:to>
    <xdr:sp macro="GoStep1" textlink="">
      <xdr:nvSpPr>
        <xdr:cNvPr id="9" name="四角形: 角を丸くする 8">
          <a:extLst>
            <a:ext uri="{FF2B5EF4-FFF2-40B4-BE49-F238E27FC236}">
              <a16:creationId xmlns:a16="http://schemas.microsoft.com/office/drawing/2014/main" id="{7C9FF975-57B0-D8AD-218D-D18D0541AAE0}"/>
            </a:ext>
          </a:extLst>
        </xdr:cNvPr>
        <xdr:cNvSpPr/>
      </xdr:nvSpPr>
      <xdr:spPr>
        <a:xfrm>
          <a:off x="276225" y="1371600"/>
          <a:ext cx="5772150" cy="660400"/>
        </a:xfrm>
        <a:prstGeom prst="roundRect">
          <a:avLst/>
        </a:prstGeom>
        <a:solidFill>
          <a:srgbClr val="7F7F7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rgbClr val="FFFFFF"/>
              </a:solidFill>
              <a:latin typeface="Meiryo UI" panose="020B0604030504040204" pitchFamily="50" charset="-128"/>
              <a:ea typeface="Meiryo UI" panose="020B0604030504040204" pitchFamily="50" charset="-128"/>
            </a:rPr>
            <a:t>① 各種設定</a:t>
          </a:r>
        </a:p>
        <a:p>
          <a:pPr algn="ctr"/>
          <a:r>
            <a:rPr kumimoji="1" lang="ja-JP" altLang="en-US" sz="900" b="0">
              <a:solidFill>
                <a:srgbClr val="FFFFFF"/>
              </a:solidFill>
              <a:latin typeface="Meiryo UI" panose="020B0604030504040204" pitchFamily="50" charset="-128"/>
              <a:ea typeface="Meiryo UI" panose="020B0604030504040204" pitchFamily="50" charset="-128"/>
            </a:rPr>
            <a:t>祝日・勤務記号・最低人数・業務ルール（時間・人数・スキル）</a:t>
          </a:r>
        </a:p>
      </xdr:txBody>
    </xdr:sp>
    <xdr:clientData/>
  </xdr:twoCellAnchor>
  <xdr:twoCellAnchor editAs="absolute">
    <xdr:from>
      <xdr:col>3</xdr:col>
      <xdr:colOff>847725</xdr:colOff>
      <xdr:row>9</xdr:row>
      <xdr:rowOff>0</xdr:rowOff>
    </xdr:from>
    <xdr:to>
      <xdr:col>4</xdr:col>
      <xdr:colOff>114300</xdr:colOff>
      <xdr:row>9</xdr:row>
      <xdr:rowOff>177800</xdr:rowOff>
    </xdr:to>
    <xdr:sp macro="" textlink="">
      <xdr:nvSpPr>
        <xdr:cNvPr id="10" name="矢印: 下 9">
          <a:extLst>
            <a:ext uri="{FF2B5EF4-FFF2-40B4-BE49-F238E27FC236}">
              <a16:creationId xmlns:a16="http://schemas.microsoft.com/office/drawing/2014/main" id="{BEA1E93D-DF59-7984-6BA4-A585FE009FD2}"/>
            </a:ext>
          </a:extLst>
        </xdr:cNvPr>
        <xdr:cNvSpPr/>
      </xdr:nvSpPr>
      <xdr:spPr>
        <a:xfrm>
          <a:off x="3048000" y="2057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10</xdr:row>
      <xdr:rowOff>3175</xdr:rowOff>
    </xdr:from>
    <xdr:to>
      <xdr:col>7</xdr:col>
      <xdr:colOff>0</xdr:colOff>
      <xdr:row>13</xdr:row>
      <xdr:rowOff>63500</xdr:rowOff>
    </xdr:to>
    <xdr:sp macro="GoStep2" textlink="">
      <xdr:nvSpPr>
        <xdr:cNvPr id="11" name="四角形: 角を丸くする 10">
          <a:extLst>
            <a:ext uri="{FF2B5EF4-FFF2-40B4-BE49-F238E27FC236}">
              <a16:creationId xmlns:a16="http://schemas.microsoft.com/office/drawing/2014/main" id="{50E313D5-8BF2-66F7-CFF3-F92F38A1828E}"/>
            </a:ext>
          </a:extLst>
        </xdr:cNvPr>
        <xdr:cNvSpPr/>
      </xdr:nvSpPr>
      <xdr:spPr>
        <a:xfrm>
          <a:off x="276225" y="2260600"/>
          <a:ext cx="5772150" cy="6604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rgbClr val="FFFFFF"/>
              </a:solidFill>
              <a:latin typeface="Meiryo UI" panose="020B0604030504040204" pitchFamily="50" charset="-128"/>
              <a:ea typeface="Meiryo UI" panose="020B0604030504040204" pitchFamily="50" charset="-128"/>
            </a:rPr>
            <a:t>② メンバー</a:t>
          </a:r>
        </a:p>
        <a:p>
          <a:pPr algn="ctr"/>
          <a:r>
            <a:rPr kumimoji="1" lang="ja-JP" altLang="en-US" sz="900" b="0">
              <a:solidFill>
                <a:srgbClr val="FFFFFF"/>
              </a:solidFill>
              <a:latin typeface="Meiryo UI" panose="020B0604030504040204" pitchFamily="50" charset="-128"/>
              <a:ea typeface="Meiryo UI" panose="020B0604030504040204" pitchFamily="50" charset="-128"/>
            </a:rPr>
            <a:t>一人ひとりの勤務時間・休憩・スキル（いつもの形）</a:t>
          </a:r>
        </a:p>
      </xdr:txBody>
    </xdr:sp>
    <xdr:clientData/>
  </xdr:twoCellAnchor>
  <xdr:twoCellAnchor editAs="absolute">
    <xdr:from>
      <xdr:col>1</xdr:col>
      <xdr:colOff>0</xdr:colOff>
      <xdr:row>14</xdr:row>
      <xdr:rowOff>41275</xdr:rowOff>
    </xdr:from>
    <xdr:to>
      <xdr:col>7</xdr:col>
      <xdr:colOff>0</xdr:colOff>
      <xdr:row>15</xdr:row>
      <xdr:rowOff>95250</xdr:rowOff>
    </xdr:to>
    <xdr:sp macro="" textlink="">
      <xdr:nvSpPr>
        <xdr:cNvPr id="12" name="テキスト ボックス 11">
          <a:extLst>
            <a:ext uri="{FF2B5EF4-FFF2-40B4-BE49-F238E27FC236}">
              <a16:creationId xmlns:a16="http://schemas.microsoft.com/office/drawing/2014/main" id="{0133E895-CDB6-AF81-3AB8-067B7F2500F8}"/>
            </a:ext>
          </a:extLst>
        </xdr:cNvPr>
        <xdr:cNvSpPr txBox="1"/>
      </xdr:nvSpPr>
      <xdr:spPr>
        <a:xfrm>
          <a:off x="276225" y="3098800"/>
          <a:ext cx="577215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bIns="0" rtlCol="0" anchor="t"/>
        <a:lstStyle/>
        <a:p>
          <a:r>
            <a:rPr kumimoji="1" lang="ja-JP" altLang="en-US" sz="1200" b="1">
              <a:solidFill>
                <a:srgbClr val="1F4E79"/>
              </a:solidFill>
              <a:latin typeface="Meiryo UI" panose="020B0604030504040204" pitchFamily="50" charset="-128"/>
              <a:ea typeface="Meiryo UI" panose="020B0604030504040204" pitchFamily="50" charset="-128"/>
            </a:rPr>
            <a:t>毎月の作業</a:t>
          </a:r>
        </a:p>
      </xdr:txBody>
    </xdr:sp>
    <xdr:clientData/>
  </xdr:twoCellAnchor>
  <xdr:twoCellAnchor editAs="absolute">
    <xdr:from>
      <xdr:col>1</xdr:col>
      <xdr:colOff>0</xdr:colOff>
      <xdr:row>15</xdr:row>
      <xdr:rowOff>146050</xdr:rowOff>
    </xdr:from>
    <xdr:to>
      <xdr:col>7</xdr:col>
      <xdr:colOff>0</xdr:colOff>
      <xdr:row>19</xdr:row>
      <xdr:rowOff>6350</xdr:rowOff>
    </xdr:to>
    <xdr:sp macro="GoStep3" textlink="">
      <xdr:nvSpPr>
        <xdr:cNvPr id="13" name="四角形: 角を丸くする 12">
          <a:extLst>
            <a:ext uri="{FF2B5EF4-FFF2-40B4-BE49-F238E27FC236}">
              <a16:creationId xmlns:a16="http://schemas.microsoft.com/office/drawing/2014/main" id="{1B55D819-C8F5-3D25-D780-C26C4B9240F3}"/>
            </a:ext>
          </a:extLst>
        </xdr:cNvPr>
        <xdr:cNvSpPr/>
      </xdr:nvSpPr>
      <xdr:spPr>
        <a:xfrm>
          <a:off x="276225" y="3403600"/>
          <a:ext cx="5772150" cy="6604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ysClr val="windowText" lastClr="000000"/>
              </a:solidFill>
              <a:latin typeface="Meiryo UI" panose="020B0604030504040204" pitchFamily="50" charset="-128"/>
              <a:ea typeface="Meiryo UI" panose="020B0604030504040204" pitchFamily="50" charset="-128"/>
            </a:rPr>
            <a:t>③ 休暇管理</a:t>
          </a:r>
        </a:p>
        <a:p>
          <a:pPr algn="ctr"/>
          <a:r>
            <a:rPr kumimoji="1" lang="ja-JP" altLang="en-US" sz="900" b="0">
              <a:solidFill>
                <a:sysClr val="windowText" lastClr="000000"/>
              </a:solidFill>
              <a:latin typeface="Meiryo UI" panose="020B0604030504040204" pitchFamily="50" charset="-128"/>
              <a:ea typeface="Meiryo UI" panose="020B0604030504040204" pitchFamily="50" charset="-128"/>
            </a:rPr>
            <a:t>種類（休み／出勤）と、</a:t>
          </a:r>
          <a:r>
            <a:rPr kumimoji="1" lang="en-US" altLang="ja-JP" sz="900" b="0">
              <a:solidFill>
                <a:sysClr val="windowText" lastClr="000000"/>
              </a:solidFill>
              <a:latin typeface="Meiryo UI" panose="020B0604030504040204" pitchFamily="50" charset="-128"/>
              <a:ea typeface="Meiryo UI" panose="020B0604030504040204" pitchFamily="50" charset="-128"/>
            </a:rPr>
            <a:t>1</a:t>
          </a:r>
          <a:r>
            <a:rPr kumimoji="1" lang="ja-JP" altLang="en-US" sz="900" b="0">
              <a:solidFill>
                <a:sysClr val="windowText" lastClr="000000"/>
              </a:solidFill>
              <a:latin typeface="Meiryo UI" panose="020B0604030504040204" pitchFamily="50" charset="-128"/>
              <a:ea typeface="Meiryo UI" panose="020B0604030504040204" pitchFamily="50" charset="-128"/>
            </a:rPr>
            <a:t>時間ごとの「休」「出」（午前だけ未勤務・中抜けも</a:t>
          </a:r>
          <a:r>
            <a:rPr kumimoji="1" lang="en-US" altLang="ja-JP" sz="900" b="0">
              <a:solidFill>
                <a:sysClr val="windowText" lastClr="000000"/>
              </a:solidFill>
              <a:latin typeface="Meiryo UI" panose="020B0604030504040204" pitchFamily="50" charset="-128"/>
              <a:ea typeface="Meiryo UI" panose="020B0604030504040204" pitchFamily="50" charset="-128"/>
            </a:rPr>
            <a:t>OK</a:t>
          </a:r>
          <a:r>
            <a:rPr kumimoji="1" lang="ja-JP" altLang="en-US" sz="900" b="0">
              <a:solidFill>
                <a:sysClr val="windowText" lastClr="000000"/>
              </a:solidFill>
              <a:latin typeface="Meiryo UI" panose="020B0604030504040204" pitchFamily="50" charset="-128"/>
              <a:ea typeface="Meiryo UI" panose="020B0604030504040204" pitchFamily="50" charset="-128"/>
            </a:rPr>
            <a:t>）</a:t>
          </a:r>
        </a:p>
      </xdr:txBody>
    </xdr:sp>
    <xdr:clientData/>
  </xdr:twoCellAnchor>
  <xdr:twoCellAnchor editAs="absolute">
    <xdr:from>
      <xdr:col>3</xdr:col>
      <xdr:colOff>847725</xdr:colOff>
      <xdr:row>19</xdr:row>
      <xdr:rowOff>31750</xdr:rowOff>
    </xdr:from>
    <xdr:to>
      <xdr:col>4</xdr:col>
      <xdr:colOff>114300</xdr:colOff>
      <xdr:row>20</xdr:row>
      <xdr:rowOff>9525</xdr:rowOff>
    </xdr:to>
    <xdr:sp macro="" textlink="">
      <xdr:nvSpPr>
        <xdr:cNvPr id="14" name="矢印: 下 13">
          <a:extLst>
            <a:ext uri="{FF2B5EF4-FFF2-40B4-BE49-F238E27FC236}">
              <a16:creationId xmlns:a16="http://schemas.microsoft.com/office/drawing/2014/main" id="{710C43B8-51A8-EA38-9716-1BB59E4C8898}"/>
            </a:ext>
          </a:extLst>
        </xdr:cNvPr>
        <xdr:cNvSpPr/>
      </xdr:nvSpPr>
      <xdr:spPr>
        <a:xfrm>
          <a:off x="3048000" y="4089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20</xdr:row>
      <xdr:rowOff>34925</xdr:rowOff>
    </xdr:from>
    <xdr:to>
      <xdr:col>7</xdr:col>
      <xdr:colOff>0</xdr:colOff>
      <xdr:row>23</xdr:row>
      <xdr:rowOff>95250</xdr:rowOff>
    </xdr:to>
    <xdr:sp macro="GoStep4" textlink="">
      <xdr:nvSpPr>
        <xdr:cNvPr id="15" name="四角形: 角を丸くする 14">
          <a:extLst>
            <a:ext uri="{FF2B5EF4-FFF2-40B4-BE49-F238E27FC236}">
              <a16:creationId xmlns:a16="http://schemas.microsoft.com/office/drawing/2014/main" id="{32C826B2-43E7-C09B-05C6-1BD1A6F35274}"/>
            </a:ext>
          </a:extLst>
        </xdr:cNvPr>
        <xdr:cNvSpPr/>
      </xdr:nvSpPr>
      <xdr:spPr>
        <a:xfrm>
          <a:off x="276225" y="4292600"/>
          <a:ext cx="5772150" cy="660400"/>
        </a:xfrm>
        <a:prstGeom prst="roundRect">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ysClr val="windowText" lastClr="000000"/>
              </a:solidFill>
              <a:latin typeface="Meiryo UI" panose="020B0604030504040204" pitchFamily="50" charset="-128"/>
              <a:ea typeface="Meiryo UI" panose="020B0604030504040204" pitchFamily="50" charset="-128"/>
            </a:rPr>
            <a:t>④ 月間シフト作成</a:t>
          </a:r>
        </a:p>
        <a:p>
          <a:pPr algn="ctr"/>
          <a:r>
            <a:rPr kumimoji="1" lang="ja-JP" altLang="en-US" sz="900" b="0">
              <a:solidFill>
                <a:sysClr val="windowText" lastClr="000000"/>
              </a:solidFill>
              <a:latin typeface="Meiryo UI" panose="020B0604030504040204" pitchFamily="50" charset="-128"/>
              <a:ea typeface="Meiryo UI" panose="020B0604030504040204" pitchFamily="50" charset="-128"/>
            </a:rPr>
            <a:t>開始日を入れてボタン（②＋③から自動で作成）</a:t>
          </a:r>
        </a:p>
      </xdr:txBody>
    </xdr:sp>
    <xdr:clientData/>
  </xdr:twoCellAnchor>
  <xdr:twoCellAnchor editAs="absolute">
    <xdr:from>
      <xdr:col>3</xdr:col>
      <xdr:colOff>847725</xdr:colOff>
      <xdr:row>23</xdr:row>
      <xdr:rowOff>120650</xdr:rowOff>
    </xdr:from>
    <xdr:to>
      <xdr:col>4</xdr:col>
      <xdr:colOff>114300</xdr:colOff>
      <xdr:row>24</xdr:row>
      <xdr:rowOff>98425</xdr:rowOff>
    </xdr:to>
    <xdr:sp macro="" textlink="">
      <xdr:nvSpPr>
        <xdr:cNvPr id="16" name="矢印: 下 15">
          <a:extLst>
            <a:ext uri="{FF2B5EF4-FFF2-40B4-BE49-F238E27FC236}">
              <a16:creationId xmlns:a16="http://schemas.microsoft.com/office/drawing/2014/main" id="{FABE4139-2888-B24F-09E0-27225AF554D2}"/>
            </a:ext>
          </a:extLst>
        </xdr:cNvPr>
        <xdr:cNvSpPr/>
      </xdr:nvSpPr>
      <xdr:spPr>
        <a:xfrm>
          <a:off x="3048000" y="4978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24</xdr:row>
      <xdr:rowOff>123825</xdr:rowOff>
    </xdr:from>
    <xdr:to>
      <xdr:col>7</xdr:col>
      <xdr:colOff>0</xdr:colOff>
      <xdr:row>27</xdr:row>
      <xdr:rowOff>184150</xdr:rowOff>
    </xdr:to>
    <xdr:sp macro="GoStep5" textlink="">
      <xdr:nvSpPr>
        <xdr:cNvPr id="17" name="四角形: 角を丸くする 16">
          <a:extLst>
            <a:ext uri="{FF2B5EF4-FFF2-40B4-BE49-F238E27FC236}">
              <a16:creationId xmlns:a16="http://schemas.microsoft.com/office/drawing/2014/main" id="{27A0C8CF-A695-C622-6696-D5A8649752A0}"/>
            </a:ext>
          </a:extLst>
        </xdr:cNvPr>
        <xdr:cNvSpPr/>
      </xdr:nvSpPr>
      <xdr:spPr>
        <a:xfrm>
          <a:off x="276225" y="5181600"/>
          <a:ext cx="5772150" cy="6604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ysClr val="windowText" lastClr="000000"/>
              </a:solidFill>
              <a:latin typeface="Meiryo UI" panose="020B0604030504040204" pitchFamily="50" charset="-128"/>
              <a:ea typeface="Meiryo UI" panose="020B0604030504040204" pitchFamily="50" charset="-128"/>
            </a:rPr>
            <a:t>⑤ 月間シフト</a:t>
          </a:r>
        </a:p>
        <a:p>
          <a:pPr algn="ctr"/>
          <a:r>
            <a:rPr kumimoji="1" lang="ja-JP" altLang="en-US" sz="900" b="0">
              <a:solidFill>
                <a:sysClr val="windowText" lastClr="000000"/>
              </a:solidFill>
              <a:latin typeface="Meiryo UI" panose="020B0604030504040204" pitchFamily="50" charset="-128"/>
              <a:ea typeface="Meiryo UI" panose="020B0604030504040204" pitchFamily="50" charset="-128"/>
            </a:rPr>
            <a:t>できたシフトの確認・調整、スキルの充足チェック（最新の月へ）</a:t>
          </a:r>
        </a:p>
      </xdr:txBody>
    </xdr:sp>
    <xdr:clientData/>
  </xdr:twoCellAnchor>
  <xdr:twoCellAnchor editAs="absolute">
    <xdr:from>
      <xdr:col>3</xdr:col>
      <xdr:colOff>847725</xdr:colOff>
      <xdr:row>28</xdr:row>
      <xdr:rowOff>9525</xdr:rowOff>
    </xdr:from>
    <xdr:to>
      <xdr:col>4</xdr:col>
      <xdr:colOff>114300</xdr:colOff>
      <xdr:row>28</xdr:row>
      <xdr:rowOff>187325</xdr:rowOff>
    </xdr:to>
    <xdr:sp macro="" textlink="">
      <xdr:nvSpPr>
        <xdr:cNvPr id="18" name="矢印: 下 17">
          <a:extLst>
            <a:ext uri="{FF2B5EF4-FFF2-40B4-BE49-F238E27FC236}">
              <a16:creationId xmlns:a16="http://schemas.microsoft.com/office/drawing/2014/main" id="{4E5D45DE-E25F-E640-E664-B693C5B6C520}"/>
            </a:ext>
          </a:extLst>
        </xdr:cNvPr>
        <xdr:cNvSpPr/>
      </xdr:nvSpPr>
      <xdr:spPr>
        <a:xfrm>
          <a:off x="3048000" y="5867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29</xdr:row>
      <xdr:rowOff>12700</xdr:rowOff>
    </xdr:from>
    <xdr:to>
      <xdr:col>7</xdr:col>
      <xdr:colOff>0</xdr:colOff>
      <xdr:row>32</xdr:row>
      <xdr:rowOff>73025</xdr:rowOff>
    </xdr:to>
    <xdr:sp macro="GoStep6" textlink="">
      <xdr:nvSpPr>
        <xdr:cNvPr id="19" name="四角形: 角を丸くする 18">
          <a:extLst>
            <a:ext uri="{FF2B5EF4-FFF2-40B4-BE49-F238E27FC236}">
              <a16:creationId xmlns:a16="http://schemas.microsoft.com/office/drawing/2014/main" id="{53A88456-0346-203F-6802-43C86A79B668}"/>
            </a:ext>
          </a:extLst>
        </xdr:cNvPr>
        <xdr:cNvSpPr/>
      </xdr:nvSpPr>
      <xdr:spPr>
        <a:xfrm>
          <a:off x="276225" y="6070600"/>
          <a:ext cx="5772150" cy="6604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rgbClr val="FFFFFF"/>
              </a:solidFill>
              <a:latin typeface="Meiryo UI" panose="020B0604030504040204" pitchFamily="50" charset="-128"/>
              <a:ea typeface="Meiryo UI" panose="020B0604030504040204" pitchFamily="50" charset="-128"/>
            </a:rPr>
            <a:t>⑥ タイムシフト</a:t>
          </a:r>
        </a:p>
        <a:p>
          <a:pPr algn="ctr"/>
          <a:r>
            <a:rPr kumimoji="1" lang="en-US" altLang="ja-JP" sz="900" b="0">
              <a:solidFill>
                <a:srgbClr val="FFFFFF"/>
              </a:solidFill>
              <a:latin typeface="Meiryo UI" panose="020B0604030504040204" pitchFamily="50" charset="-128"/>
              <a:ea typeface="Meiryo UI" panose="020B0604030504040204" pitchFamily="50" charset="-128"/>
            </a:rPr>
            <a:t>1</a:t>
          </a:r>
          <a:r>
            <a:rPr kumimoji="1" lang="ja-JP" altLang="en-US" sz="900" b="0">
              <a:solidFill>
                <a:srgbClr val="FFFFFF"/>
              </a:solidFill>
              <a:latin typeface="Meiryo UI" panose="020B0604030504040204" pitchFamily="50" charset="-128"/>
              <a:ea typeface="Meiryo UI" panose="020B0604030504040204" pitchFamily="50" charset="-128"/>
            </a:rPr>
            <a:t>時間ごとの配置・電話当番・備考（⑤のボタンで作成）</a:t>
          </a:r>
        </a:p>
      </xdr:txBody>
    </xdr:sp>
    <xdr:clientData/>
  </xdr:twoCellAnchor>
  <xdr:twoCellAnchor editAs="absolute">
    <xdr:from>
      <xdr:col>3</xdr:col>
      <xdr:colOff>847725</xdr:colOff>
      <xdr:row>32</xdr:row>
      <xdr:rowOff>98425</xdr:rowOff>
    </xdr:from>
    <xdr:to>
      <xdr:col>4</xdr:col>
      <xdr:colOff>114300</xdr:colOff>
      <xdr:row>33</xdr:row>
      <xdr:rowOff>76200</xdr:rowOff>
    </xdr:to>
    <xdr:sp macro="" textlink="">
      <xdr:nvSpPr>
        <xdr:cNvPr id="20" name="矢印: 下 19">
          <a:extLst>
            <a:ext uri="{FF2B5EF4-FFF2-40B4-BE49-F238E27FC236}">
              <a16:creationId xmlns:a16="http://schemas.microsoft.com/office/drawing/2014/main" id="{D05901AF-45EB-95D1-ABF9-7D0E8408E986}"/>
            </a:ext>
          </a:extLst>
        </xdr:cNvPr>
        <xdr:cNvSpPr/>
      </xdr:nvSpPr>
      <xdr:spPr>
        <a:xfrm>
          <a:off x="3048000" y="6756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33</xdr:row>
      <xdr:rowOff>101600</xdr:rowOff>
    </xdr:from>
    <xdr:to>
      <xdr:col>7</xdr:col>
      <xdr:colOff>0</xdr:colOff>
      <xdr:row>36</xdr:row>
      <xdr:rowOff>161925</xdr:rowOff>
    </xdr:to>
    <xdr:sp macro="GoStep7" textlink="">
      <xdr:nvSpPr>
        <xdr:cNvPr id="21" name="四角形: 角を丸くする 20">
          <a:extLst>
            <a:ext uri="{FF2B5EF4-FFF2-40B4-BE49-F238E27FC236}">
              <a16:creationId xmlns:a16="http://schemas.microsoft.com/office/drawing/2014/main" id="{21E31CB6-5684-4655-914A-E578B8A63CC2}"/>
            </a:ext>
          </a:extLst>
        </xdr:cNvPr>
        <xdr:cNvSpPr/>
      </xdr:nvSpPr>
      <xdr:spPr>
        <a:xfrm>
          <a:off x="276225" y="6959600"/>
          <a:ext cx="5772150" cy="6604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ysClr val="windowText" lastClr="000000"/>
              </a:solidFill>
              <a:latin typeface="Meiryo UI" panose="020B0604030504040204" pitchFamily="50" charset="-128"/>
              <a:ea typeface="Meiryo UI" panose="020B0604030504040204" pitchFamily="50" charset="-128"/>
            </a:rPr>
            <a:t>⑦ 電話当番・業務の自動割り振り</a:t>
          </a:r>
        </a:p>
        <a:p>
          <a:pPr algn="ctr"/>
          <a:r>
            <a:rPr kumimoji="1" lang="ja-JP" altLang="en-US" sz="900" b="0">
              <a:solidFill>
                <a:sysClr val="windowText" lastClr="000000"/>
              </a:solidFill>
              <a:latin typeface="Meiryo UI" panose="020B0604030504040204" pitchFamily="50" charset="-128"/>
              <a:ea typeface="Meiryo UI" panose="020B0604030504040204" pitchFamily="50" charset="-128"/>
            </a:rPr>
            <a:t>電話当番</a:t>
          </a:r>
          <a:r>
            <a:rPr kumimoji="1" lang="en-US" altLang="ja-JP" sz="900" b="0">
              <a:solidFill>
                <a:sysClr val="windowText" lastClr="000000"/>
              </a:solidFill>
              <a:latin typeface="Meiryo UI" panose="020B0604030504040204" pitchFamily="50" charset="-128"/>
              <a:ea typeface="Meiryo UI" panose="020B0604030504040204" pitchFamily="50" charset="-128"/>
            </a:rPr>
            <a:t>3</a:t>
          </a:r>
          <a:r>
            <a:rPr kumimoji="1" lang="ja-JP" altLang="en-US" sz="900" b="0">
              <a:solidFill>
                <a:sysClr val="windowText" lastClr="000000"/>
              </a:solidFill>
              <a:latin typeface="Meiryo UI" panose="020B0604030504040204" pitchFamily="50" charset="-128"/>
              <a:ea typeface="Meiryo UI" panose="020B0604030504040204" pitchFamily="50" charset="-128"/>
            </a:rPr>
            <a:t>人と業務を、ルールどおり</a:t>
          </a:r>
          <a:r>
            <a:rPr kumimoji="1" lang="en-US" altLang="ja-JP" sz="900" b="0">
              <a:solidFill>
                <a:sysClr val="windowText" lastClr="000000"/>
              </a:solidFill>
              <a:latin typeface="Meiryo UI" panose="020B0604030504040204" pitchFamily="50" charset="-128"/>
              <a:ea typeface="Meiryo UI" panose="020B0604030504040204" pitchFamily="50" charset="-128"/>
            </a:rPr>
            <a:t>1</a:t>
          </a:r>
          <a:r>
            <a:rPr kumimoji="1" lang="ja-JP" altLang="en-US" sz="900" b="0">
              <a:solidFill>
                <a:sysClr val="windowText" lastClr="000000"/>
              </a:solidFill>
              <a:latin typeface="Meiryo UI" panose="020B0604030504040204" pitchFamily="50" charset="-128"/>
              <a:ea typeface="Meiryo UI" panose="020B0604030504040204" pitchFamily="50" charset="-128"/>
            </a:rPr>
            <a:t>か月で均等に（あとで手修正</a:t>
          </a:r>
          <a:r>
            <a:rPr kumimoji="1" lang="en-US" altLang="ja-JP" sz="900" b="0">
              <a:solidFill>
                <a:sysClr val="windowText" lastClr="000000"/>
              </a:solidFill>
              <a:latin typeface="Meiryo UI" panose="020B0604030504040204" pitchFamily="50" charset="-128"/>
              <a:ea typeface="Meiryo UI" panose="020B0604030504040204" pitchFamily="50" charset="-128"/>
            </a:rPr>
            <a:t>OK</a:t>
          </a:r>
          <a:r>
            <a:rPr kumimoji="1" lang="ja-JP" altLang="en-US" sz="900" b="0">
              <a:solidFill>
                <a:sysClr val="windowText" lastClr="000000"/>
              </a:solidFill>
              <a:latin typeface="Meiryo UI" panose="020B0604030504040204" pitchFamily="50" charset="-128"/>
              <a:ea typeface="Meiryo UI" panose="020B0604030504040204" pitchFamily="50" charset="-128"/>
            </a:rPr>
            <a:t>）</a:t>
          </a:r>
        </a:p>
      </xdr:txBody>
    </xdr:sp>
    <xdr:clientData/>
  </xdr:twoCellAnchor>
  <xdr:twoCellAnchor editAs="absolute">
    <xdr:from>
      <xdr:col>3</xdr:col>
      <xdr:colOff>847725</xdr:colOff>
      <xdr:row>36</xdr:row>
      <xdr:rowOff>187325</xdr:rowOff>
    </xdr:from>
    <xdr:to>
      <xdr:col>4</xdr:col>
      <xdr:colOff>114300</xdr:colOff>
      <xdr:row>37</xdr:row>
      <xdr:rowOff>165100</xdr:rowOff>
    </xdr:to>
    <xdr:sp macro="" textlink="">
      <xdr:nvSpPr>
        <xdr:cNvPr id="34" name="矢印: 下 33">
          <a:extLst>
            <a:ext uri="{FF2B5EF4-FFF2-40B4-BE49-F238E27FC236}">
              <a16:creationId xmlns:a16="http://schemas.microsoft.com/office/drawing/2014/main" id="{04BF357B-6881-EA9B-2154-1B9C5C76BE70}"/>
            </a:ext>
          </a:extLst>
        </xdr:cNvPr>
        <xdr:cNvSpPr/>
      </xdr:nvSpPr>
      <xdr:spPr>
        <a:xfrm>
          <a:off x="3048000" y="7645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37</xdr:row>
      <xdr:rowOff>190500</xdr:rowOff>
    </xdr:from>
    <xdr:to>
      <xdr:col>7</xdr:col>
      <xdr:colOff>0</xdr:colOff>
      <xdr:row>41</xdr:row>
      <xdr:rowOff>50800</xdr:rowOff>
    </xdr:to>
    <xdr:sp macro="GoStep8" textlink="">
      <xdr:nvSpPr>
        <xdr:cNvPr id="35" name="四角形: 角を丸くする 34">
          <a:extLst>
            <a:ext uri="{FF2B5EF4-FFF2-40B4-BE49-F238E27FC236}">
              <a16:creationId xmlns:a16="http://schemas.microsoft.com/office/drawing/2014/main" id="{5D058124-4881-B61B-541D-18144E675559}"/>
            </a:ext>
          </a:extLst>
        </xdr:cNvPr>
        <xdr:cNvSpPr/>
      </xdr:nvSpPr>
      <xdr:spPr>
        <a:xfrm>
          <a:off x="276225" y="7848600"/>
          <a:ext cx="5772150" cy="660400"/>
        </a:xfrm>
        <a:prstGeom prst="roundRect">
          <a:avLst/>
        </a:prstGeom>
        <a:solidFill>
          <a:srgbClr val="00B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ysClr val="windowText" lastClr="000000"/>
              </a:solidFill>
              <a:latin typeface="Meiryo UI" panose="020B0604030504040204" pitchFamily="50" charset="-128"/>
              <a:ea typeface="Meiryo UI" panose="020B0604030504040204" pitchFamily="50" charset="-128"/>
            </a:rPr>
            <a:t>⑧ 配分一覧</a:t>
          </a:r>
        </a:p>
        <a:p>
          <a:pPr algn="ctr"/>
          <a:r>
            <a:rPr kumimoji="1" lang="ja-JP" altLang="en-US" sz="900" b="0">
              <a:solidFill>
                <a:sysClr val="windowText" lastClr="000000"/>
              </a:solidFill>
              <a:latin typeface="Meiryo UI" panose="020B0604030504040204" pitchFamily="50" charset="-128"/>
              <a:ea typeface="Meiryo UI" panose="020B0604030504040204" pitchFamily="50" charset="-128"/>
            </a:rPr>
            <a:t>今月だれが何回どの業務をしたか（均等チェック付き）</a:t>
          </a:r>
        </a:p>
      </xdr:txBody>
    </xdr:sp>
    <xdr:clientData/>
  </xdr:twoCellAnchor>
  <xdr:twoCellAnchor editAs="absolute">
    <xdr:from>
      <xdr:col>3</xdr:col>
      <xdr:colOff>847725</xdr:colOff>
      <xdr:row>41</xdr:row>
      <xdr:rowOff>76200</xdr:rowOff>
    </xdr:from>
    <xdr:to>
      <xdr:col>4</xdr:col>
      <xdr:colOff>114300</xdr:colOff>
      <xdr:row>42</xdr:row>
      <xdr:rowOff>53975</xdr:rowOff>
    </xdr:to>
    <xdr:sp macro="" textlink="">
      <xdr:nvSpPr>
        <xdr:cNvPr id="36" name="矢印: 下 35">
          <a:extLst>
            <a:ext uri="{FF2B5EF4-FFF2-40B4-BE49-F238E27FC236}">
              <a16:creationId xmlns:a16="http://schemas.microsoft.com/office/drawing/2014/main" id="{0943F742-209E-C001-672C-41E403EC1171}"/>
            </a:ext>
          </a:extLst>
        </xdr:cNvPr>
        <xdr:cNvSpPr/>
      </xdr:nvSpPr>
      <xdr:spPr>
        <a:xfrm>
          <a:off x="3048000" y="8534400"/>
          <a:ext cx="228600" cy="177800"/>
        </a:xfrm>
        <a:prstGeom prst="downArrow">
          <a:avLst/>
        </a:prstGeom>
        <a:solidFill>
          <a:srgbClr val="BFBF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0</xdr:colOff>
      <xdr:row>42</xdr:row>
      <xdr:rowOff>79375</xdr:rowOff>
    </xdr:from>
    <xdr:to>
      <xdr:col>7</xdr:col>
      <xdr:colOff>0</xdr:colOff>
      <xdr:row>45</xdr:row>
      <xdr:rowOff>139700</xdr:rowOff>
    </xdr:to>
    <xdr:sp macro="GoStep9" textlink="">
      <xdr:nvSpPr>
        <xdr:cNvPr id="37" name="四角形: 角を丸くする 36">
          <a:extLst>
            <a:ext uri="{FF2B5EF4-FFF2-40B4-BE49-F238E27FC236}">
              <a16:creationId xmlns:a16="http://schemas.microsoft.com/office/drawing/2014/main" id="{B6748906-FE8A-73A2-5C63-4C5CA2B7D6AB}"/>
            </a:ext>
          </a:extLst>
        </xdr:cNvPr>
        <xdr:cNvSpPr/>
      </xdr:nvSpPr>
      <xdr:spPr>
        <a:xfrm>
          <a:off x="276225" y="8737600"/>
          <a:ext cx="5772150" cy="6604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rgbClr val="FFFFFF"/>
              </a:solidFill>
              <a:latin typeface="Meiryo UI" panose="020B0604030504040204" pitchFamily="50" charset="-128"/>
              <a:ea typeface="Meiryo UI" panose="020B0604030504040204" pitchFamily="50" charset="-128"/>
            </a:rPr>
            <a:t>⑨ 時間集計</a:t>
          </a:r>
        </a:p>
        <a:p>
          <a:pPr algn="ctr"/>
          <a:r>
            <a:rPr kumimoji="1" lang="ja-JP" altLang="en-US" sz="900" b="0">
              <a:solidFill>
                <a:srgbClr val="FFFFFF"/>
              </a:solidFill>
              <a:latin typeface="Meiryo UI" panose="020B0604030504040204" pitchFamily="50" charset="-128"/>
              <a:ea typeface="Meiryo UI" panose="020B0604030504040204" pitchFamily="50" charset="-128"/>
            </a:rPr>
            <a:t>手修正のあと、業務ごとの時間（ルールにない業務・</a:t>
          </a:r>
          <a:r>
            <a:rPr kumimoji="1" lang="en-US" altLang="ja-JP" sz="900" b="0">
              <a:solidFill>
                <a:srgbClr val="FFFFFF"/>
              </a:solidFill>
              <a:latin typeface="Meiryo UI" panose="020B0604030504040204" pitchFamily="50" charset="-128"/>
              <a:ea typeface="Meiryo UI" panose="020B0604030504040204" pitchFamily="50" charset="-128"/>
            </a:rPr>
            <a:t>1</a:t>
          </a:r>
          <a:r>
            <a:rPr kumimoji="1" lang="ja-JP" altLang="en-US" sz="900" b="0">
              <a:solidFill>
                <a:srgbClr val="FFFFFF"/>
              </a:solidFill>
              <a:latin typeface="Meiryo UI" panose="020B0604030504040204" pitchFamily="50" charset="-128"/>
              <a:ea typeface="Meiryo UI" panose="020B0604030504040204" pitchFamily="50" charset="-128"/>
            </a:rPr>
            <a:t>枠に複数も）</a:t>
          </a:r>
        </a:p>
      </xdr:txBody>
    </xdr:sp>
    <xdr:clientData/>
  </xdr:twoCellAnchor>
  <xdr:twoCellAnchor editAs="absolute">
    <xdr:from>
      <xdr:col>1</xdr:col>
      <xdr:colOff>0</xdr:colOff>
      <xdr:row>46</xdr:row>
      <xdr:rowOff>117475</xdr:rowOff>
    </xdr:from>
    <xdr:to>
      <xdr:col>7</xdr:col>
      <xdr:colOff>0</xdr:colOff>
      <xdr:row>47</xdr:row>
      <xdr:rowOff>171450</xdr:rowOff>
    </xdr:to>
    <xdr:sp macro="" textlink="">
      <xdr:nvSpPr>
        <xdr:cNvPr id="38" name="テキスト ボックス 37">
          <a:extLst>
            <a:ext uri="{FF2B5EF4-FFF2-40B4-BE49-F238E27FC236}">
              <a16:creationId xmlns:a16="http://schemas.microsoft.com/office/drawing/2014/main" id="{5651E2D0-5137-D984-43A2-8974AB51A109}"/>
            </a:ext>
          </a:extLst>
        </xdr:cNvPr>
        <xdr:cNvSpPr txBox="1"/>
      </xdr:nvSpPr>
      <xdr:spPr>
        <a:xfrm>
          <a:off x="276225" y="9575800"/>
          <a:ext cx="577215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bIns="0" rtlCol="0" anchor="t"/>
        <a:lstStyle/>
        <a:p>
          <a:r>
            <a:rPr kumimoji="1" lang="ja-JP" altLang="en-US" sz="1200" b="1">
              <a:solidFill>
                <a:srgbClr val="A6A6A6"/>
              </a:solidFill>
              <a:latin typeface="Meiryo UI" panose="020B0604030504040204" pitchFamily="50" charset="-128"/>
              <a:ea typeface="Meiryo UI" panose="020B0604030504040204" pitchFamily="50" charset="-128"/>
            </a:rPr>
            <a:t>今後</a:t>
          </a:r>
        </a:p>
      </xdr:txBody>
    </xdr:sp>
    <xdr:clientData/>
  </xdr:twoCellAnchor>
  <xdr:twoCellAnchor editAs="absolute">
    <xdr:from>
      <xdr:col>1</xdr:col>
      <xdr:colOff>0</xdr:colOff>
      <xdr:row>48</xdr:row>
      <xdr:rowOff>22225</xdr:rowOff>
    </xdr:from>
    <xdr:to>
      <xdr:col>7</xdr:col>
      <xdr:colOff>0</xdr:colOff>
      <xdr:row>51</xdr:row>
      <xdr:rowOff>82550</xdr:rowOff>
    </xdr:to>
    <xdr:sp macro="" textlink="">
      <xdr:nvSpPr>
        <xdr:cNvPr id="39" name="四角形: 角を丸くする 38">
          <a:extLst>
            <a:ext uri="{FF2B5EF4-FFF2-40B4-BE49-F238E27FC236}">
              <a16:creationId xmlns:a16="http://schemas.microsoft.com/office/drawing/2014/main" id="{C9EF422C-EA52-B010-0046-5F51B3AA926E}"/>
            </a:ext>
          </a:extLst>
        </xdr:cNvPr>
        <xdr:cNvSpPr/>
      </xdr:nvSpPr>
      <xdr:spPr>
        <a:xfrm>
          <a:off x="276225" y="9880600"/>
          <a:ext cx="5772150" cy="660400"/>
        </a:xfrm>
        <a:prstGeom prst="roundRect">
          <a:avLst/>
        </a:prstGeom>
        <a:solidFill>
          <a:srgbClr val="D9D9D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300" b="1">
              <a:solidFill>
                <a:srgbClr val="808080"/>
              </a:solidFill>
              <a:latin typeface="Meiryo UI" panose="020B0604030504040204" pitchFamily="50" charset="-128"/>
              <a:ea typeface="Meiryo UI" panose="020B0604030504040204" pitchFamily="50" charset="-128"/>
            </a:rPr>
            <a:t>⑩ 業務・進捗管理（準備中）</a:t>
          </a:r>
        </a:p>
        <a:p>
          <a:pPr algn="ctr"/>
          <a:r>
            <a:rPr kumimoji="1" lang="ja-JP" altLang="en-US" sz="900" b="0">
              <a:solidFill>
                <a:srgbClr val="808080"/>
              </a:solidFill>
              <a:latin typeface="Meiryo UI" panose="020B0604030504040204" pitchFamily="50" charset="-128"/>
              <a:ea typeface="Meiryo UI" panose="020B0604030504040204" pitchFamily="50" charset="-128"/>
            </a:rPr>
            <a:t>残業務と処理時間から、時間帯ごとの割り当てと進捗</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0</xdr:colOff>
      <xdr:row>0</xdr:row>
      <xdr:rowOff>38100</xdr:rowOff>
    </xdr:from>
    <xdr:to>
      <xdr:col>12</xdr:col>
      <xdr:colOff>158750</xdr:colOff>
      <xdr:row>0</xdr:row>
      <xdr:rowOff>355600</xdr:rowOff>
    </xdr:to>
    <xdr:sp macro="GoStep2" textlink="">
      <xdr:nvSpPr>
        <xdr:cNvPr id="2" name="btnNext">
          <a:extLst>
            <a:ext uri="{FF2B5EF4-FFF2-40B4-BE49-F238E27FC236}">
              <a16:creationId xmlns:a16="http://schemas.microsoft.com/office/drawing/2014/main" id="{306F2BB1-DAFE-7887-515A-94ABFAF7E052}"/>
            </a:ext>
          </a:extLst>
        </xdr:cNvPr>
        <xdr:cNvSpPr/>
      </xdr:nvSpPr>
      <xdr:spPr>
        <a:xfrm>
          <a:off x="7981950" y="38100"/>
          <a:ext cx="2921000" cy="317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次へ：② メンバー ▶</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15</xdr:col>
      <xdr:colOff>0</xdr:colOff>
      <xdr:row>0</xdr:row>
      <xdr:rowOff>38100</xdr:rowOff>
    </xdr:from>
    <xdr:to>
      <xdr:col>20</xdr:col>
      <xdr:colOff>396875</xdr:colOff>
      <xdr:row>0</xdr:row>
      <xdr:rowOff>355600</xdr:rowOff>
    </xdr:to>
    <xdr:sp macro="GoStep3" textlink="">
      <xdr:nvSpPr>
        <xdr:cNvPr id="2" name="btnNext">
          <a:extLst>
            <a:ext uri="{FF2B5EF4-FFF2-40B4-BE49-F238E27FC236}">
              <a16:creationId xmlns:a16="http://schemas.microsoft.com/office/drawing/2014/main" id="{D2F65F08-F697-6F79-058B-4564624565CA}"/>
            </a:ext>
          </a:extLst>
        </xdr:cNvPr>
        <xdr:cNvSpPr/>
      </xdr:nvSpPr>
      <xdr:spPr>
        <a:xfrm>
          <a:off x="8029575" y="38100"/>
          <a:ext cx="2921000" cy="317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ysClr val="windowText" lastClr="000000"/>
              </a:solidFill>
              <a:latin typeface="Meiryo UI" panose="020B0604030504040204" pitchFamily="50" charset="-128"/>
              <a:ea typeface="Meiryo UI" panose="020B0604030504040204" pitchFamily="50" charset="-128"/>
            </a:rPr>
            <a:t>次へ：③ 休暇管理 ▶</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16</xdr:col>
      <xdr:colOff>101600</xdr:colOff>
      <xdr:row>0</xdr:row>
      <xdr:rowOff>38100</xdr:rowOff>
    </xdr:from>
    <xdr:to>
      <xdr:col>17</xdr:col>
      <xdr:colOff>561975</xdr:colOff>
      <xdr:row>0</xdr:row>
      <xdr:rowOff>368300</xdr:rowOff>
    </xdr:to>
    <xdr:sp macro="GoStep4" textlink="">
      <xdr:nvSpPr>
        <xdr:cNvPr id="2" name="四角形: 角を丸くする 1">
          <a:extLst>
            <a:ext uri="{FF2B5EF4-FFF2-40B4-BE49-F238E27FC236}">
              <a16:creationId xmlns:a16="http://schemas.microsoft.com/office/drawing/2014/main" id="{83894346-36C3-B5E7-3C14-20917F92DB29}"/>
            </a:ext>
          </a:extLst>
        </xdr:cNvPr>
        <xdr:cNvSpPr/>
      </xdr:nvSpPr>
      <xdr:spPr>
        <a:xfrm>
          <a:off x="9931400" y="38100"/>
          <a:ext cx="2794000" cy="330200"/>
        </a:xfrm>
        <a:prstGeom prst="roundRect">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次へ：④ 月間シフト作成 ▶</a:t>
          </a:r>
        </a:p>
      </xdr:txBody>
    </xdr:sp>
    <xdr:clientData/>
  </xdr:twoCellAnchor>
  <xdr:twoCellAnchor editAs="absolute">
    <xdr:from>
      <xdr:col>16</xdr:col>
      <xdr:colOff>101600</xdr:colOff>
      <xdr:row>3</xdr:row>
      <xdr:rowOff>25400</xdr:rowOff>
    </xdr:from>
    <xdr:to>
      <xdr:col>17</xdr:col>
      <xdr:colOff>561975</xdr:colOff>
      <xdr:row>3</xdr:row>
      <xdr:rowOff>279400</xdr:rowOff>
    </xdr:to>
    <xdr:sp macro="SortLeaves" textlink="">
      <xdr:nvSpPr>
        <xdr:cNvPr id="3" name="四角形: 角を丸くする 2">
          <a:extLst>
            <a:ext uri="{FF2B5EF4-FFF2-40B4-BE49-F238E27FC236}">
              <a16:creationId xmlns:a16="http://schemas.microsoft.com/office/drawing/2014/main" id="{B2DF31D7-214D-9392-71E8-2EE0441ED9E7}"/>
            </a:ext>
          </a:extLst>
        </xdr:cNvPr>
        <xdr:cNvSpPr/>
      </xdr:nvSpPr>
      <xdr:spPr>
        <a:xfrm>
          <a:off x="9931400" y="768350"/>
          <a:ext cx="2794000" cy="254000"/>
        </a:xfrm>
        <a:prstGeom prst="roundRect">
          <a:avLst/>
        </a:prstGeom>
        <a:solidFill>
          <a:srgbClr val="7F7F7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日付順に並べ替え</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0</xdr:colOff>
      <xdr:row>2</xdr:row>
      <xdr:rowOff>247650</xdr:rowOff>
    </xdr:from>
    <xdr:to>
      <xdr:col>7</xdr:col>
      <xdr:colOff>482600</xdr:colOff>
      <xdr:row>5</xdr:row>
      <xdr:rowOff>130175</xdr:rowOff>
    </xdr:to>
    <xdr:sp macro="CreateMonthlyShift" textlink="">
      <xdr:nvSpPr>
        <xdr:cNvPr id="2" name="btnCreate">
          <a:extLst>
            <a:ext uri="{FF2B5EF4-FFF2-40B4-BE49-F238E27FC236}">
              <a16:creationId xmlns:a16="http://schemas.microsoft.com/office/drawing/2014/main" id="{6560F86D-D8B3-819A-0AE1-80270ADE8B1F}"/>
            </a:ext>
          </a:extLst>
        </xdr:cNvPr>
        <xdr:cNvSpPr/>
      </xdr:nvSpPr>
      <xdr:spPr>
        <a:xfrm>
          <a:off x="3238500" y="809625"/>
          <a:ext cx="2540000" cy="558800"/>
        </a:xfrm>
        <a:prstGeom prst="roundRect">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Meiryo UI" panose="020B0604030504040204" pitchFamily="50" charset="-128"/>
              <a:ea typeface="Meiryo UI" panose="020B0604030504040204" pitchFamily="50" charset="-128"/>
            </a:rPr>
            <a:t>▶ 月間シフトを作成</a:t>
          </a:r>
        </a:p>
      </xdr:txBody>
    </xdr:sp>
    <xdr:clientData/>
  </xdr:twoCellAnchor>
  <xdr:twoCellAnchor editAs="absolute">
    <xdr:from>
      <xdr:col>4</xdr:col>
      <xdr:colOff>0</xdr:colOff>
      <xdr:row>0</xdr:row>
      <xdr:rowOff>38100</xdr:rowOff>
    </xdr:from>
    <xdr:to>
      <xdr:col>8</xdr:col>
      <xdr:colOff>177800</xdr:colOff>
      <xdr:row>0</xdr:row>
      <xdr:rowOff>355600</xdr:rowOff>
    </xdr:to>
    <xdr:sp macro="GoStep5" textlink="">
      <xdr:nvSpPr>
        <xdr:cNvPr id="3" name="btnNext">
          <a:extLst>
            <a:ext uri="{FF2B5EF4-FFF2-40B4-BE49-F238E27FC236}">
              <a16:creationId xmlns:a16="http://schemas.microsoft.com/office/drawing/2014/main" id="{3D905054-BCAC-5509-2B4C-0D0E187C10D0}"/>
            </a:ext>
          </a:extLst>
        </xdr:cNvPr>
        <xdr:cNvSpPr/>
      </xdr:nvSpPr>
      <xdr:spPr>
        <a:xfrm>
          <a:off x="3238500" y="38100"/>
          <a:ext cx="2921000" cy="317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ysClr val="windowText" lastClr="000000"/>
              </a:solidFill>
              <a:latin typeface="Meiryo UI" panose="020B0604030504040204" pitchFamily="50" charset="-128"/>
              <a:ea typeface="Meiryo UI" panose="020B0604030504040204" pitchFamily="50" charset="-128"/>
            </a:rPr>
            <a:t>作成後は ⑤ 各月の月間シフトへ ▶</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20</xdr:col>
      <xdr:colOff>0</xdr:colOff>
      <xdr:row>0</xdr:row>
      <xdr:rowOff>38100</xdr:rowOff>
    </xdr:from>
    <xdr:to>
      <xdr:col>24</xdr:col>
      <xdr:colOff>292100</xdr:colOff>
      <xdr:row>1</xdr:row>
      <xdr:rowOff>171450</xdr:rowOff>
    </xdr:to>
    <xdr:sp macro="CreateTimeShiftFromActive" textlink="">
      <xdr:nvSpPr>
        <xdr:cNvPr id="2" name="btnTimeShift">
          <a:extLst>
            <a:ext uri="{FF2B5EF4-FFF2-40B4-BE49-F238E27FC236}">
              <a16:creationId xmlns:a16="http://schemas.microsoft.com/office/drawing/2014/main" id="{2B293F0F-B23E-440C-FAF3-4D638357BF09}"/>
            </a:ext>
          </a:extLst>
        </xdr:cNvPr>
        <xdr:cNvSpPr/>
      </xdr:nvSpPr>
      <xdr:spPr>
        <a:xfrm>
          <a:off x="11277600" y="38100"/>
          <a:ext cx="2540000" cy="3810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次へ：⑥ タイムシフト作成 ▶</a:t>
          </a:r>
        </a:p>
      </xdr:txBody>
    </xdr:sp>
    <xdr:clientData/>
  </xdr:twoCellAnchor>
  <xdr:twoCellAnchor editAs="absolute">
    <xdr:from>
      <xdr:col>24</xdr:col>
      <xdr:colOff>419100</xdr:colOff>
      <xdr:row>0</xdr:row>
      <xdr:rowOff>38100</xdr:rowOff>
    </xdr:from>
    <xdr:to>
      <xdr:col>29</xdr:col>
      <xdr:colOff>276225</xdr:colOff>
      <xdr:row>1</xdr:row>
      <xdr:rowOff>171450</xdr:rowOff>
    </xdr:to>
    <xdr:sp macro="RecreateActiveMonthly" textlink="">
      <xdr:nvSpPr>
        <xdr:cNvPr id="3" name="btnRecreate">
          <a:extLst>
            <a:ext uri="{FF2B5EF4-FFF2-40B4-BE49-F238E27FC236}">
              <a16:creationId xmlns:a16="http://schemas.microsoft.com/office/drawing/2014/main" id="{1BE4C3D7-5F20-76CE-A14D-CB0411A42FB1}"/>
            </a:ext>
          </a:extLst>
        </xdr:cNvPr>
        <xdr:cNvSpPr/>
      </xdr:nvSpPr>
      <xdr:spPr>
        <a:xfrm>
          <a:off x="13944600" y="38100"/>
          <a:ext cx="2667000" cy="3810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400" b="1">
              <a:solidFill>
                <a:srgbClr val="FFFFFF"/>
              </a:solidFill>
              <a:latin typeface="Meiryo UI" panose="020B0604030504040204" pitchFamily="50" charset="-128"/>
              <a:ea typeface="Meiryo UI" panose="020B0604030504040204" pitchFamily="50" charset="-128"/>
            </a:rPr>
            <a:t>↻</a:t>
          </a:r>
          <a:r>
            <a:rPr kumimoji="1" lang="ja-JP" altLang="en-US" sz="1100" b="1">
              <a:solidFill>
                <a:srgbClr val="FFFFFF"/>
              </a:solidFill>
              <a:latin typeface="Meiryo UI" panose="020B0604030504040204" pitchFamily="50" charset="-128"/>
              <a:ea typeface="Meiryo UI" panose="020B0604030504040204" pitchFamily="50" charset="-128"/>
            </a:rPr>
            <a:t> 休暇を反映して作り直す</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14</xdr:col>
      <xdr:colOff>50800</xdr:colOff>
      <xdr:row>0</xdr:row>
      <xdr:rowOff>38100</xdr:rowOff>
    </xdr:from>
    <xdr:to>
      <xdr:col>14</xdr:col>
      <xdr:colOff>2209800</xdr:colOff>
      <xdr:row>1</xdr:row>
      <xdr:rowOff>171450</xdr:rowOff>
    </xdr:to>
    <xdr:sp macro="RefreshActiveTimeShift" textlink="">
      <xdr:nvSpPr>
        <xdr:cNvPr id="2" name="四角形: 角を丸くする 1">
          <a:extLst>
            <a:ext uri="{FF2B5EF4-FFF2-40B4-BE49-F238E27FC236}">
              <a16:creationId xmlns:a16="http://schemas.microsoft.com/office/drawing/2014/main" id="{E42C9EB5-01C8-2978-A2B9-302A70F5FC64}"/>
            </a:ext>
          </a:extLst>
        </xdr:cNvPr>
        <xdr:cNvSpPr/>
      </xdr:nvSpPr>
      <xdr:spPr>
        <a:xfrm>
          <a:off x="7804150" y="38100"/>
          <a:ext cx="2159000" cy="3810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400" b="1">
              <a:solidFill>
                <a:srgbClr val="FFFFFF"/>
              </a:solidFill>
              <a:latin typeface="Meiryo UI" panose="020B0604030504040204" pitchFamily="50" charset="-128"/>
              <a:ea typeface="Meiryo UI" panose="020B0604030504040204" pitchFamily="50" charset="-128"/>
            </a:rPr>
            <a:t>↻</a:t>
          </a:r>
          <a:r>
            <a:rPr kumimoji="1" lang="ja-JP" altLang="en-US" sz="1100" b="1">
              <a:solidFill>
                <a:srgbClr val="FFFFFF"/>
              </a:solidFill>
              <a:latin typeface="Meiryo UI" panose="020B0604030504040204" pitchFamily="50" charset="-128"/>
              <a:ea typeface="Meiryo UI" panose="020B0604030504040204" pitchFamily="50" charset="-128"/>
            </a:rPr>
            <a:t> 休暇を再反映</a:t>
          </a:r>
        </a:p>
      </xdr:txBody>
    </xdr:sp>
    <xdr:clientData/>
  </xdr:twoCellAnchor>
  <xdr:twoCellAnchor editAs="absolute">
    <xdr:from>
      <xdr:col>14</xdr:col>
      <xdr:colOff>50800</xdr:colOff>
      <xdr:row>3</xdr:row>
      <xdr:rowOff>0</xdr:rowOff>
    </xdr:from>
    <xdr:to>
      <xdr:col>14</xdr:col>
      <xdr:colOff>1955800</xdr:colOff>
      <xdr:row>4</xdr:row>
      <xdr:rowOff>98425</xdr:rowOff>
    </xdr:to>
    <xdr:sp macro="AssignTasksActive" textlink="">
      <xdr:nvSpPr>
        <xdr:cNvPr id="5" name="btnAssign">
          <a:extLst>
            <a:ext uri="{FF2B5EF4-FFF2-40B4-BE49-F238E27FC236}">
              <a16:creationId xmlns:a16="http://schemas.microsoft.com/office/drawing/2014/main" id="{94C3C967-1E6E-6A65-0522-FFA749638FFB}"/>
            </a:ext>
          </a:extLst>
        </xdr:cNvPr>
        <xdr:cNvSpPr/>
      </xdr:nvSpPr>
      <xdr:spPr>
        <a:xfrm>
          <a:off x="7804150" y="609600"/>
          <a:ext cx="1905000" cy="2794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⑦ 電話・業務を割り振る ▶</a:t>
          </a:r>
        </a:p>
      </xdr:txBody>
    </xdr:sp>
    <xdr:clientData/>
  </xdr:twoCellAnchor>
  <xdr:twoCellAnchor editAs="absolute">
    <xdr:from>
      <xdr:col>14</xdr:col>
      <xdr:colOff>2006600</xdr:colOff>
      <xdr:row>3</xdr:row>
      <xdr:rowOff>0</xdr:rowOff>
    </xdr:from>
    <xdr:to>
      <xdr:col>15</xdr:col>
      <xdr:colOff>53975</xdr:colOff>
      <xdr:row>4</xdr:row>
      <xdr:rowOff>98425</xdr:rowOff>
    </xdr:to>
    <xdr:sp macro="GoAllocationFromTime" textlink="">
      <xdr:nvSpPr>
        <xdr:cNvPr id="6" name="btnAlloc">
          <a:extLst>
            <a:ext uri="{FF2B5EF4-FFF2-40B4-BE49-F238E27FC236}">
              <a16:creationId xmlns:a16="http://schemas.microsoft.com/office/drawing/2014/main" id="{5A3C0E57-377E-40F9-25AF-2BCCC7AB224B}"/>
            </a:ext>
          </a:extLst>
        </xdr:cNvPr>
        <xdr:cNvSpPr/>
      </xdr:nvSpPr>
      <xdr:spPr>
        <a:xfrm>
          <a:off x="9759950" y="609600"/>
          <a:ext cx="1143000" cy="279400"/>
        </a:xfrm>
        <a:prstGeom prst="roundRect">
          <a:avLst/>
        </a:prstGeom>
        <a:solidFill>
          <a:srgbClr val="00B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⑧ 配分一覧</a:t>
          </a:r>
        </a:p>
      </xdr:txBody>
    </xdr:sp>
    <xdr:clientData/>
  </xdr:twoCellAnchor>
  <xdr:twoCellAnchor editAs="absolute">
    <xdr:from>
      <xdr:col>15</xdr:col>
      <xdr:colOff>104775</xdr:colOff>
      <xdr:row>3</xdr:row>
      <xdr:rowOff>0</xdr:rowOff>
    </xdr:from>
    <xdr:to>
      <xdr:col>19</xdr:col>
      <xdr:colOff>209550</xdr:colOff>
      <xdr:row>4</xdr:row>
      <xdr:rowOff>98425</xdr:rowOff>
    </xdr:to>
    <xdr:sp macro="GoHoursFromActive" textlink="">
      <xdr:nvSpPr>
        <xdr:cNvPr id="7" name="btnHours">
          <a:extLst>
            <a:ext uri="{FF2B5EF4-FFF2-40B4-BE49-F238E27FC236}">
              <a16:creationId xmlns:a16="http://schemas.microsoft.com/office/drawing/2014/main" id="{F55AE035-7844-63D6-E68A-A78A37E3550F}"/>
            </a:ext>
          </a:extLst>
        </xdr:cNvPr>
        <xdr:cNvSpPr/>
      </xdr:nvSpPr>
      <xdr:spPr>
        <a:xfrm>
          <a:off x="10953750" y="609600"/>
          <a:ext cx="1143000" cy="2794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⑨ 時間集計</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12</xdr:col>
      <xdr:colOff>101600</xdr:colOff>
      <xdr:row>0</xdr:row>
      <xdr:rowOff>38100</xdr:rowOff>
    </xdr:from>
    <xdr:to>
      <xdr:col>15</xdr:col>
      <xdr:colOff>457200</xdr:colOff>
      <xdr:row>0</xdr:row>
      <xdr:rowOff>368300</xdr:rowOff>
    </xdr:to>
    <xdr:sp macro="RefreshActiveAllocation" textlink="">
      <xdr:nvSpPr>
        <xdr:cNvPr id="2" name="四角形: 角を丸くする 1">
          <a:extLst>
            <a:ext uri="{FF2B5EF4-FFF2-40B4-BE49-F238E27FC236}">
              <a16:creationId xmlns:a16="http://schemas.microsoft.com/office/drawing/2014/main" id="{B15F715E-0123-6DDB-6D9B-1F7ED9A52C5F}"/>
            </a:ext>
          </a:extLst>
        </xdr:cNvPr>
        <xdr:cNvSpPr/>
      </xdr:nvSpPr>
      <xdr:spPr>
        <a:xfrm>
          <a:off x="9664700" y="38100"/>
          <a:ext cx="2413000" cy="330200"/>
        </a:xfrm>
        <a:prstGeom prst="roundRect">
          <a:avLst/>
        </a:prstGeom>
        <a:solidFill>
          <a:srgbClr val="00B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 最新の状態に更新</a:t>
          </a:r>
        </a:p>
      </xdr:txBody>
    </xdr:sp>
    <xdr:clientData/>
  </xdr:twoCellAnchor>
  <xdr:twoCellAnchor editAs="absolute">
    <xdr:from>
      <xdr:col>12</xdr:col>
      <xdr:colOff>101600</xdr:colOff>
      <xdr:row>1</xdr:row>
      <xdr:rowOff>50800</xdr:rowOff>
    </xdr:from>
    <xdr:to>
      <xdr:col>15</xdr:col>
      <xdr:colOff>457200</xdr:colOff>
      <xdr:row>3</xdr:row>
      <xdr:rowOff>19050</xdr:rowOff>
    </xdr:to>
    <xdr:sp macro="AssignTasksActive" textlink="">
      <xdr:nvSpPr>
        <xdr:cNvPr id="3" name="四角形: 角を丸くする 2">
          <a:extLst>
            <a:ext uri="{FF2B5EF4-FFF2-40B4-BE49-F238E27FC236}">
              <a16:creationId xmlns:a16="http://schemas.microsoft.com/office/drawing/2014/main" id="{87F05CA9-24C9-B6F3-E944-4247C7BC33EC}"/>
            </a:ext>
          </a:extLst>
        </xdr:cNvPr>
        <xdr:cNvSpPr/>
      </xdr:nvSpPr>
      <xdr:spPr>
        <a:xfrm>
          <a:off x="9664700" y="431800"/>
          <a:ext cx="2413000" cy="3302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 割り振りをやり直す</a:t>
          </a:r>
        </a:p>
      </xdr:txBody>
    </xdr:sp>
    <xdr:clientData/>
  </xdr:twoCellAnchor>
  <xdr:twoCellAnchor editAs="absolute">
    <xdr:from>
      <xdr:col>12</xdr:col>
      <xdr:colOff>101600</xdr:colOff>
      <xdr:row>4</xdr:row>
      <xdr:rowOff>6350</xdr:rowOff>
    </xdr:from>
    <xdr:to>
      <xdr:col>15</xdr:col>
      <xdr:colOff>457200</xdr:colOff>
      <xdr:row>4</xdr:row>
      <xdr:rowOff>336550</xdr:rowOff>
    </xdr:to>
    <xdr:sp macro="GoHoursFromActive" textlink="">
      <xdr:nvSpPr>
        <xdr:cNvPr id="4" name="四角形: 角を丸くする 3">
          <a:extLst>
            <a:ext uri="{FF2B5EF4-FFF2-40B4-BE49-F238E27FC236}">
              <a16:creationId xmlns:a16="http://schemas.microsoft.com/office/drawing/2014/main" id="{FB542D06-1522-36EA-82B1-547CA2064E40}"/>
            </a:ext>
          </a:extLst>
        </xdr:cNvPr>
        <xdr:cNvSpPr/>
      </xdr:nvSpPr>
      <xdr:spPr>
        <a:xfrm>
          <a:off x="9664700" y="825500"/>
          <a:ext cx="2413000" cy="330200"/>
        </a:xfrm>
        <a:prstGeom prst="roundRect">
          <a:avLst/>
        </a:prstGeom>
        <a:solidFill>
          <a:srgbClr val="7030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kumimoji="1" lang="ja-JP" altLang="en-US" sz="1100" b="1">
              <a:solidFill>
                <a:srgbClr val="FFFFFF"/>
              </a:solidFill>
              <a:latin typeface="Meiryo UI" panose="020B0604030504040204" pitchFamily="50" charset="-128"/>
              <a:ea typeface="Meiryo UI" panose="020B0604030504040204" pitchFamily="50" charset="-128"/>
            </a:rPr>
            <a:t>次へ：⑨ 時間集計 ▶</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82E27-60C1-4DD3-B2BC-97B5191AF3BC}">
  <sheetPr codeName="Sheet1">
    <tabColor rgb="FF1F4E79"/>
  </sheetPr>
  <dimension ref="B2:I66"/>
  <sheetViews>
    <sheetView showGridLines="0" workbookViewId="0"/>
  </sheetViews>
  <sheetFormatPr defaultRowHeight="14.25"/>
  <cols>
    <col min="1" max="1" width="3.625" customWidth="1"/>
    <col min="2" max="7" width="12.625" customWidth="1"/>
    <col min="8" max="8" width="4.625" customWidth="1"/>
    <col min="9" max="9" width="30.625" customWidth="1"/>
  </cols>
  <sheetData>
    <row r="2" spans="2:9" ht="39.950000000000003" customHeight="1" thickBot="1">
      <c r="B2" s="42" t="s">
        <v>144</v>
      </c>
      <c r="C2" s="43"/>
      <c r="D2" s="43"/>
      <c r="E2" s="43"/>
      <c r="F2" s="43"/>
      <c r="G2" s="43"/>
      <c r="H2" s="43"/>
      <c r="I2" s="43"/>
    </row>
    <row r="3" spans="2:9" ht="15.75">
      <c r="B3" s="119" t="s">
        <v>242</v>
      </c>
    </row>
    <row r="5" spans="2:9" ht="16.5">
      <c r="I5" s="39" t="s">
        <v>143</v>
      </c>
    </row>
    <row r="7" spans="2:9" ht="15.75">
      <c r="I7" s="76" t="s">
        <v>206</v>
      </c>
    </row>
    <row r="8" spans="2:9" ht="15.75">
      <c r="I8" s="76" t="s">
        <v>207</v>
      </c>
    </row>
    <row r="9" spans="2:9" ht="15.75">
      <c r="I9" s="76" t="s">
        <v>236</v>
      </c>
    </row>
    <row r="10" spans="2:9" ht="15.75">
      <c r="I10" s="1"/>
    </row>
    <row r="11" spans="2:9" ht="15.75">
      <c r="I11" s="1"/>
    </row>
    <row r="12" spans="2:9" ht="15.75">
      <c r="I12" s="1"/>
    </row>
    <row r="13" spans="2:9" ht="15.75">
      <c r="I13" s="1"/>
    </row>
    <row r="14" spans="2:9" ht="15.75">
      <c r="I14" s="1"/>
    </row>
    <row r="15" spans="2:9" ht="15.75">
      <c r="I15" s="1"/>
    </row>
    <row r="16" spans="2:9" ht="15.75">
      <c r="I16" s="1"/>
    </row>
    <row r="17" spans="9:9" ht="15.75">
      <c r="I17" s="1"/>
    </row>
    <row r="18" spans="9:9" ht="15.75">
      <c r="I18" s="1"/>
    </row>
    <row r="19" spans="9:9" ht="15.75">
      <c r="I19" s="1"/>
    </row>
    <row r="20" spans="9:9" ht="15.75">
      <c r="I20" s="1"/>
    </row>
    <row r="21" spans="9:9" ht="15.75">
      <c r="I21" s="1"/>
    </row>
    <row r="22" spans="9:9" ht="15.75">
      <c r="I22" s="1"/>
    </row>
    <row r="23" spans="9:9" ht="15.75">
      <c r="I23" s="1"/>
    </row>
    <row r="24" spans="9:9" ht="15.75">
      <c r="I24" s="1"/>
    </row>
    <row r="25" spans="9:9" ht="15.75">
      <c r="I25" s="1"/>
    </row>
    <row r="26" spans="9:9" ht="15.75">
      <c r="I26" s="1"/>
    </row>
    <row r="27" spans="9:9" ht="15.75">
      <c r="I27" s="1"/>
    </row>
    <row r="28" spans="9:9" ht="15.75">
      <c r="I28" s="1"/>
    </row>
    <row r="29" spans="9:9" ht="15.75">
      <c r="I29" s="1"/>
    </row>
    <row r="30" spans="9:9" ht="15.75">
      <c r="I30" s="1"/>
    </row>
    <row r="31" spans="9:9" ht="15.75">
      <c r="I31" s="1"/>
    </row>
    <row r="32" spans="9:9" ht="15.75">
      <c r="I32" s="1"/>
    </row>
    <row r="33" spans="9:9" ht="15.75">
      <c r="I33" s="1"/>
    </row>
    <row r="34" spans="9:9" ht="15.75">
      <c r="I34" s="1"/>
    </row>
    <row r="35" spans="9:9" ht="15.75">
      <c r="I35" s="1"/>
    </row>
    <row r="36" spans="9:9" ht="15.75">
      <c r="I36" s="1"/>
    </row>
    <row r="37" spans="9:9" ht="15.75">
      <c r="I37" s="1"/>
    </row>
    <row r="38" spans="9:9" ht="15.75">
      <c r="I38" s="1"/>
    </row>
    <row r="39" spans="9:9" ht="15.75">
      <c r="I39" s="1"/>
    </row>
    <row r="40" spans="9:9" ht="15.75">
      <c r="I40" s="1"/>
    </row>
    <row r="41" spans="9:9" ht="15.75">
      <c r="I41" s="1"/>
    </row>
    <row r="42" spans="9:9" ht="15.75">
      <c r="I42" s="1"/>
    </row>
    <row r="43" spans="9:9" ht="15.75">
      <c r="I43" s="1"/>
    </row>
    <row r="44" spans="9:9" ht="15.75">
      <c r="I44" s="1"/>
    </row>
    <row r="45" spans="9:9" ht="15.75">
      <c r="I45" s="1"/>
    </row>
    <row r="46" spans="9:9" ht="15.75">
      <c r="I46" s="1"/>
    </row>
    <row r="47" spans="9:9" ht="15.75">
      <c r="I47" s="1"/>
    </row>
    <row r="48" spans="9:9" ht="15.75">
      <c r="I48" s="1"/>
    </row>
    <row r="49" spans="2:9" ht="15.75">
      <c r="I49" s="1"/>
    </row>
    <row r="50" spans="2:9" ht="15.75">
      <c r="I50" s="1"/>
    </row>
    <row r="51" spans="2:9" ht="15.75">
      <c r="I51" s="1"/>
    </row>
    <row r="52" spans="2:9" ht="15.75">
      <c r="I52" s="1"/>
    </row>
    <row r="53" spans="2:9" ht="15.75">
      <c r="B53" s="34" t="s">
        <v>205</v>
      </c>
      <c r="I53" s="1"/>
    </row>
    <row r="54" spans="2:9" ht="15.75">
      <c r="I54" s="1"/>
    </row>
    <row r="55" spans="2:9" ht="15.75">
      <c r="I55" s="1"/>
    </row>
    <row r="56" spans="2:9" ht="15.75">
      <c r="I56" s="1"/>
    </row>
    <row r="57" spans="2:9" ht="15.75">
      <c r="I57" s="1"/>
    </row>
    <row r="58" spans="2:9" ht="15.75">
      <c r="I58" s="1"/>
    </row>
    <row r="59" spans="2:9" ht="15.75">
      <c r="I59" s="1"/>
    </row>
    <row r="60" spans="2:9" ht="15.75">
      <c r="I60" s="1"/>
    </row>
    <row r="61" spans="2:9" ht="15.75">
      <c r="I61" s="1"/>
    </row>
    <row r="62" spans="2:9" ht="15.75">
      <c r="I62" s="1"/>
    </row>
    <row r="63" spans="2:9" ht="15.75">
      <c r="I63" s="1"/>
    </row>
    <row r="64" spans="2:9" ht="15.75">
      <c r="I64" s="1"/>
    </row>
    <row r="65" spans="9:9" ht="15.75">
      <c r="I65" s="1"/>
    </row>
    <row r="66" spans="9:9" ht="15.75">
      <c r="I66" s="1"/>
    </row>
  </sheetData>
  <phoneticPr fontId="1"/>
  <hyperlinks>
    <hyperlink ref="I7" location="'⑤月間_2026年10月'!A1" display="▶ ⑤ 月間シフト　2026年10月" xr:uid="{912D9914-C361-43F8-843A-1FF63618214F}"/>
    <hyperlink ref="I8" location="'⑥タイム_2026年10月'!A1" display="　└ ⑥ タイムシフト　2026年10月" xr:uid="{20328FE6-1549-4F8D-923C-3CA770445D1B}"/>
    <hyperlink ref="I9" location="'⑧配分_2026年10月'!A1" display="　└ ⑧ 配分一覧　2026年10月" xr:uid="{FCF59D16-E9BA-4A6A-A2D1-AC93455CD1D7}"/>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1A68A-AE0D-4341-AB6F-5DC19182B293}">
  <sheetPr codeName="Sheet4">
    <tabColor rgb="FFA5A5A5"/>
  </sheetPr>
  <dimension ref="A1:X155"/>
  <sheetViews>
    <sheetView showGridLines="0" topLeftCell="F1" workbookViewId="0">
      <selection activeCell="N13" sqref="N13"/>
    </sheetView>
  </sheetViews>
  <sheetFormatPr defaultRowHeight="14.25"/>
  <cols>
    <col min="1" max="1" width="15.625" customWidth="1"/>
    <col min="2" max="2" width="16.625" customWidth="1"/>
    <col min="4" max="4" width="12.625" customWidth="1"/>
    <col min="6" max="6" width="7.625" customWidth="1"/>
    <col min="7" max="7" width="14.625" customWidth="1"/>
    <col min="8" max="8" width="10.625" customWidth="1"/>
    <col min="10" max="10" width="16.625" customWidth="1"/>
    <col min="11" max="11" width="10.625" customWidth="1"/>
    <col min="13" max="13" width="14.625" customWidth="1"/>
    <col min="14" max="14" width="8.625" customWidth="1"/>
    <col min="16" max="16" width="14.625" customWidth="1"/>
    <col min="17" max="20" width="8.625" customWidth="1"/>
    <col min="21" max="21" width="14.625" customWidth="1"/>
    <col min="22" max="22" width="15.625" customWidth="1"/>
    <col min="23" max="24" width="10.625" customWidth="1"/>
  </cols>
  <sheetData>
    <row r="1" spans="1:24" ht="30" customHeight="1">
      <c r="A1" s="2" t="s">
        <v>188</v>
      </c>
    </row>
    <row r="2" spans="1:24" ht="21">
      <c r="A2" s="3" t="s">
        <v>201</v>
      </c>
    </row>
    <row r="3" spans="1:24">
      <c r="A3" s="4" t="s">
        <v>0</v>
      </c>
      <c r="D3" s="4" t="s">
        <v>4496</v>
      </c>
      <c r="F3" s="4" t="s">
        <v>24</v>
      </c>
      <c r="J3" s="4"/>
      <c r="M3" s="4" t="s">
        <v>140</v>
      </c>
      <c r="P3" s="4" t="s">
        <v>217</v>
      </c>
    </row>
    <row r="4" spans="1:24" ht="30" customHeight="1">
      <c r="A4" s="5" t="s">
        <v>1</v>
      </c>
      <c r="B4" s="5" t="s">
        <v>2</v>
      </c>
      <c r="D4" s="5" t="s">
        <v>4497</v>
      </c>
      <c r="F4" s="5" t="s">
        <v>25</v>
      </c>
      <c r="G4" s="5" t="s">
        <v>26</v>
      </c>
      <c r="H4" s="5" t="s">
        <v>27</v>
      </c>
      <c r="J4" s="80" t="s">
        <v>138</v>
      </c>
      <c r="K4" s="93" t="s">
        <v>114</v>
      </c>
      <c r="M4" s="94" t="s">
        <v>138</v>
      </c>
      <c r="N4" s="77" t="s">
        <v>115</v>
      </c>
      <c r="P4" s="162" t="s">
        <v>218</v>
      </c>
      <c r="Q4" s="162" t="s">
        <v>219</v>
      </c>
      <c r="R4" s="162" t="s">
        <v>220</v>
      </c>
      <c r="S4" s="162" t="s">
        <v>4497</v>
      </c>
      <c r="T4" s="162" t="s">
        <v>221</v>
      </c>
      <c r="U4" s="162" t="s">
        <v>222</v>
      </c>
      <c r="V4" s="162" t="s">
        <v>223</v>
      </c>
      <c r="W4" s="162" t="s">
        <v>4498</v>
      </c>
      <c r="X4" s="162" t="s">
        <v>237</v>
      </c>
    </row>
    <row r="5" spans="1:24">
      <c r="A5" s="6">
        <v>46023</v>
      </c>
      <c r="B5" s="7" t="s">
        <v>3</v>
      </c>
      <c r="D5" s="8" t="s">
        <v>21</v>
      </c>
      <c r="F5" s="12" t="s">
        <v>4434</v>
      </c>
      <c r="G5" s="13" t="s">
        <v>4435</v>
      </c>
      <c r="H5" s="11" t="s">
        <v>29</v>
      </c>
      <c r="J5" s="13" t="s">
        <v>139</v>
      </c>
      <c r="K5" s="78">
        <v>3</v>
      </c>
      <c r="M5" s="95" t="s">
        <v>4499</v>
      </c>
      <c r="N5" s="20" t="s">
        <v>23</v>
      </c>
      <c r="P5" s="190" t="s">
        <v>238</v>
      </c>
      <c r="Q5" s="189" t="s">
        <v>239</v>
      </c>
      <c r="R5" s="189" t="s">
        <v>130</v>
      </c>
      <c r="S5" s="189" t="s">
        <v>23</v>
      </c>
      <c r="T5" s="189">
        <v>3</v>
      </c>
      <c r="U5" s="189" t="s">
        <v>56</v>
      </c>
      <c r="V5" s="189"/>
      <c r="W5" s="189" t="s">
        <v>22</v>
      </c>
      <c r="X5" s="189" t="s">
        <v>130</v>
      </c>
    </row>
    <row r="6" spans="1:24">
      <c r="A6" s="6">
        <v>46034</v>
      </c>
      <c r="B6" s="7" t="s">
        <v>4</v>
      </c>
      <c r="D6" s="9" t="s">
        <v>22</v>
      </c>
      <c r="F6" s="14" t="s">
        <v>30</v>
      </c>
      <c r="G6" s="13" t="s">
        <v>31</v>
      </c>
      <c r="H6" s="11" t="s">
        <v>29</v>
      </c>
      <c r="J6" s="13" t="s">
        <v>56</v>
      </c>
      <c r="K6" s="78">
        <v>2</v>
      </c>
      <c r="M6" s="95" t="s">
        <v>141</v>
      </c>
      <c r="N6" s="20" t="s">
        <v>116</v>
      </c>
      <c r="P6" s="163" t="s">
        <v>122</v>
      </c>
      <c r="Q6" s="20">
        <v>10</v>
      </c>
      <c r="R6" s="20">
        <v>11</v>
      </c>
      <c r="S6" s="20" t="s">
        <v>22</v>
      </c>
      <c r="T6" s="20">
        <v>1</v>
      </c>
      <c r="U6" s="20" t="s">
        <v>122</v>
      </c>
      <c r="V6" s="20"/>
      <c r="W6" s="189" t="s">
        <v>22</v>
      </c>
      <c r="X6" s="20" t="s">
        <v>57</v>
      </c>
    </row>
    <row r="7" spans="1:24">
      <c r="A7" s="6">
        <v>46064</v>
      </c>
      <c r="B7" s="7" t="s">
        <v>5</v>
      </c>
      <c r="D7" s="10" t="s">
        <v>23</v>
      </c>
      <c r="F7" s="15" t="s">
        <v>112</v>
      </c>
      <c r="G7" s="13" t="s">
        <v>32</v>
      </c>
      <c r="H7" s="11" t="s">
        <v>33</v>
      </c>
      <c r="J7" s="13" t="s">
        <v>122</v>
      </c>
      <c r="K7" s="78">
        <v>2</v>
      </c>
      <c r="M7" s="95" t="s">
        <v>142</v>
      </c>
      <c r="N7" s="20" t="s">
        <v>116</v>
      </c>
      <c r="P7" s="163" t="s">
        <v>122</v>
      </c>
      <c r="Q7" s="20">
        <v>10</v>
      </c>
      <c r="R7" s="20">
        <v>11</v>
      </c>
      <c r="S7" s="20" t="s">
        <v>23</v>
      </c>
      <c r="T7" s="20">
        <v>2</v>
      </c>
      <c r="U7" s="20" t="s">
        <v>122</v>
      </c>
      <c r="V7" s="20"/>
      <c r="W7" s="20" t="s">
        <v>22</v>
      </c>
      <c r="X7" s="20" t="s">
        <v>57</v>
      </c>
    </row>
    <row r="8" spans="1:24">
      <c r="A8" s="6">
        <v>46076</v>
      </c>
      <c r="B8" s="7" t="s">
        <v>6</v>
      </c>
      <c r="D8" s="11"/>
      <c r="F8" s="117" t="s">
        <v>193</v>
      </c>
      <c r="G8" s="13" t="s">
        <v>194</v>
      </c>
      <c r="H8" s="11" t="s">
        <v>195</v>
      </c>
      <c r="J8" s="13" t="s">
        <v>133</v>
      </c>
      <c r="K8" s="78">
        <v>1</v>
      </c>
      <c r="M8" s="13" t="s">
        <v>117</v>
      </c>
      <c r="N8" s="20" t="s">
        <v>116</v>
      </c>
      <c r="P8" s="164" t="s">
        <v>124</v>
      </c>
      <c r="Q8" s="20">
        <v>13</v>
      </c>
      <c r="R8" s="20">
        <v>14</v>
      </c>
      <c r="S8" s="20" t="s">
        <v>23</v>
      </c>
      <c r="T8" s="20">
        <v>3</v>
      </c>
      <c r="U8" s="20" t="s">
        <v>124</v>
      </c>
      <c r="V8" s="20"/>
      <c r="W8" s="20" t="s">
        <v>22</v>
      </c>
      <c r="X8" s="20" t="s">
        <v>57</v>
      </c>
    </row>
    <row r="9" spans="1:24">
      <c r="A9" s="6">
        <v>46101</v>
      </c>
      <c r="B9" s="7" t="s">
        <v>7</v>
      </c>
      <c r="D9" s="11"/>
      <c r="F9" s="16"/>
      <c r="G9" s="13"/>
      <c r="H9" s="11"/>
      <c r="J9" s="13" t="s">
        <v>131</v>
      </c>
      <c r="K9" s="78">
        <v>1</v>
      </c>
      <c r="P9" s="165" t="s">
        <v>250</v>
      </c>
      <c r="Q9" s="20">
        <v>14</v>
      </c>
      <c r="R9" s="20">
        <v>15</v>
      </c>
      <c r="S9" s="20" t="s">
        <v>23</v>
      </c>
      <c r="T9" s="20">
        <v>1</v>
      </c>
      <c r="U9" s="20" t="s">
        <v>125</v>
      </c>
      <c r="V9" s="20" t="s">
        <v>124</v>
      </c>
      <c r="W9" s="20" t="s">
        <v>22</v>
      </c>
      <c r="X9" s="20" t="s">
        <v>57</v>
      </c>
    </row>
    <row r="10" spans="1:24">
      <c r="A10" s="6">
        <v>46141</v>
      </c>
      <c r="B10" s="7" t="s">
        <v>8</v>
      </c>
      <c r="D10" s="11"/>
      <c r="F10" s="11"/>
      <c r="G10" s="13"/>
      <c r="H10" s="11"/>
      <c r="J10" s="13" t="s">
        <v>123</v>
      </c>
      <c r="K10" s="78">
        <v>1</v>
      </c>
      <c r="M10" s="18" t="s">
        <v>118</v>
      </c>
      <c r="P10" s="166" t="s">
        <v>249</v>
      </c>
      <c r="Q10" s="20">
        <v>14</v>
      </c>
      <c r="R10" s="20">
        <v>15</v>
      </c>
      <c r="S10" s="20" t="s">
        <v>23</v>
      </c>
      <c r="T10" s="20">
        <v>1</v>
      </c>
      <c r="U10" s="20" t="s">
        <v>135</v>
      </c>
      <c r="V10" s="20" t="s">
        <v>124</v>
      </c>
      <c r="W10" s="20" t="s">
        <v>22</v>
      </c>
      <c r="X10" s="20" t="s">
        <v>57</v>
      </c>
    </row>
    <row r="11" spans="1:24">
      <c r="A11" s="6">
        <v>46145</v>
      </c>
      <c r="B11" s="7" t="s">
        <v>9</v>
      </c>
      <c r="D11" s="11"/>
      <c r="F11" s="11"/>
      <c r="G11" s="13"/>
      <c r="H11" s="11"/>
      <c r="J11" s="13" t="s">
        <v>124</v>
      </c>
      <c r="K11" s="78">
        <v>3</v>
      </c>
      <c r="M11" s="79" t="s">
        <v>119</v>
      </c>
      <c r="P11" s="167" t="s">
        <v>226</v>
      </c>
      <c r="Q11" s="20">
        <v>14</v>
      </c>
      <c r="R11" s="20">
        <v>15</v>
      </c>
      <c r="S11" s="20" t="s">
        <v>23</v>
      </c>
      <c r="T11" s="20">
        <v>1</v>
      </c>
      <c r="U11" s="20" t="s">
        <v>136</v>
      </c>
      <c r="V11" s="20" t="s">
        <v>124</v>
      </c>
      <c r="W11" s="20" t="s">
        <v>22</v>
      </c>
      <c r="X11" s="20" t="s">
        <v>57</v>
      </c>
    </row>
    <row r="12" spans="1:24">
      <c r="A12" s="6">
        <v>46146</v>
      </c>
      <c r="B12" s="7" t="s">
        <v>10</v>
      </c>
      <c r="D12" s="11"/>
      <c r="F12" s="11"/>
      <c r="G12" s="13"/>
      <c r="H12" s="11"/>
      <c r="J12" s="13" t="s">
        <v>135</v>
      </c>
      <c r="K12" s="78">
        <v>1</v>
      </c>
      <c r="M12" s="79" t="s">
        <v>120</v>
      </c>
      <c r="P12" s="191" t="s">
        <v>251</v>
      </c>
      <c r="Q12" s="20">
        <v>17</v>
      </c>
      <c r="R12" s="20">
        <v>18</v>
      </c>
      <c r="S12" s="20" t="s">
        <v>23</v>
      </c>
      <c r="T12" s="20">
        <v>2</v>
      </c>
      <c r="U12" s="20" t="s">
        <v>251</v>
      </c>
      <c r="V12" s="20"/>
      <c r="W12" s="20" t="s">
        <v>22</v>
      </c>
      <c r="X12" s="20" t="s">
        <v>57</v>
      </c>
    </row>
    <row r="13" spans="1:24">
      <c r="A13" s="6">
        <v>46147</v>
      </c>
      <c r="B13" s="7" t="s">
        <v>11</v>
      </c>
      <c r="D13" s="11"/>
      <c r="F13" s="11"/>
      <c r="G13" s="13"/>
      <c r="H13" s="11"/>
      <c r="J13" s="13" t="s">
        <v>136</v>
      </c>
      <c r="K13" s="78">
        <v>1</v>
      </c>
      <c r="M13" s="79" t="s">
        <v>121</v>
      </c>
      <c r="P13" s="13"/>
      <c r="Q13" s="20"/>
      <c r="R13" s="20"/>
      <c r="S13" s="20"/>
      <c r="T13" s="20"/>
      <c r="U13" s="20"/>
      <c r="V13" s="20"/>
      <c r="W13" s="20"/>
      <c r="X13" s="20"/>
    </row>
    <row r="14" spans="1:24">
      <c r="A14" s="6">
        <v>46148</v>
      </c>
      <c r="B14" s="7" t="s">
        <v>12</v>
      </c>
      <c r="D14" s="11"/>
      <c r="F14" s="11"/>
      <c r="G14" s="13"/>
      <c r="H14" s="11"/>
      <c r="J14" s="13" t="s">
        <v>125</v>
      </c>
      <c r="K14" s="78">
        <v>1</v>
      </c>
      <c r="M14" s="4" t="s">
        <v>208</v>
      </c>
      <c r="P14" s="13"/>
      <c r="Q14" s="20"/>
      <c r="R14" s="20"/>
      <c r="S14" s="20"/>
      <c r="T14" s="20"/>
      <c r="U14" s="20"/>
      <c r="V14" s="20"/>
      <c r="W14" s="20"/>
      <c r="X14" s="20"/>
    </row>
    <row r="15" spans="1:24">
      <c r="A15" s="6">
        <v>46223</v>
      </c>
      <c r="B15" s="7" t="s">
        <v>13</v>
      </c>
      <c r="F15" s="11"/>
      <c r="G15" s="13"/>
      <c r="H15" s="11"/>
      <c r="J15" s="13" t="s">
        <v>251</v>
      </c>
      <c r="K15" s="78">
        <v>1</v>
      </c>
      <c r="M15" s="13" t="s">
        <v>209</v>
      </c>
      <c r="N15" s="20" t="s">
        <v>28</v>
      </c>
      <c r="P15" s="13"/>
      <c r="Q15" s="20"/>
      <c r="R15" s="20"/>
      <c r="S15" s="20"/>
      <c r="T15" s="20"/>
      <c r="U15" s="20"/>
      <c r="V15" s="20"/>
      <c r="W15" s="20"/>
      <c r="X15" s="20"/>
    </row>
    <row r="16" spans="1:24">
      <c r="A16" s="6">
        <v>46245</v>
      </c>
      <c r="B16" s="7" t="s">
        <v>14</v>
      </c>
      <c r="F16" s="11"/>
      <c r="G16" s="13"/>
      <c r="H16" s="11"/>
      <c r="J16" s="13"/>
      <c r="K16" s="78"/>
      <c r="M16" s="13" t="s">
        <v>210</v>
      </c>
      <c r="N16" s="20" t="s">
        <v>193</v>
      </c>
      <c r="P16" s="13"/>
      <c r="Q16" s="20"/>
      <c r="R16" s="20"/>
      <c r="S16" s="20"/>
      <c r="T16" s="20"/>
      <c r="U16" s="20"/>
      <c r="V16" s="20"/>
      <c r="W16" s="20"/>
      <c r="X16" s="20"/>
    </row>
    <row r="17" spans="1:24">
      <c r="A17" s="6">
        <v>46286</v>
      </c>
      <c r="B17" s="7" t="s">
        <v>15</v>
      </c>
      <c r="F17" s="11"/>
      <c r="G17" s="13"/>
      <c r="H17" s="11"/>
      <c r="J17" s="13"/>
      <c r="K17" s="78"/>
      <c r="M17" s="18" t="s">
        <v>211</v>
      </c>
      <c r="P17" s="13"/>
      <c r="Q17" s="20"/>
      <c r="R17" s="20"/>
      <c r="S17" s="20"/>
      <c r="T17" s="20"/>
      <c r="U17" s="20"/>
      <c r="V17" s="20"/>
      <c r="W17" s="20"/>
      <c r="X17" s="20"/>
    </row>
    <row r="18" spans="1:24">
      <c r="A18" s="6">
        <v>46287</v>
      </c>
      <c r="B18" s="7" t="s">
        <v>16</v>
      </c>
      <c r="F18" s="11"/>
      <c r="G18" s="13"/>
      <c r="H18" s="11"/>
      <c r="J18" s="13"/>
      <c r="K18" s="78"/>
      <c r="P18" s="13"/>
      <c r="Q18" s="20"/>
      <c r="R18" s="20"/>
      <c r="S18" s="20"/>
      <c r="T18" s="20"/>
      <c r="U18" s="20"/>
      <c r="V18" s="20"/>
      <c r="W18" s="20"/>
      <c r="X18" s="20"/>
    </row>
    <row r="19" spans="1:24">
      <c r="A19" s="6">
        <v>46288</v>
      </c>
      <c r="B19" s="7" t="s">
        <v>17</v>
      </c>
      <c r="F19" s="11"/>
      <c r="G19" s="13"/>
      <c r="H19" s="11"/>
      <c r="J19" s="13"/>
      <c r="K19" s="78"/>
      <c r="P19" s="13"/>
      <c r="Q19" s="20"/>
      <c r="R19" s="20"/>
      <c r="S19" s="20"/>
      <c r="T19" s="20"/>
      <c r="U19" s="20"/>
      <c r="V19" s="20"/>
      <c r="W19" s="20"/>
      <c r="X19" s="20"/>
    </row>
    <row r="20" spans="1:24">
      <c r="A20" s="6">
        <v>46307</v>
      </c>
      <c r="B20" s="7" t="s">
        <v>18</v>
      </c>
      <c r="F20" s="11"/>
      <c r="G20" s="13"/>
      <c r="H20" s="11"/>
      <c r="J20" s="13"/>
      <c r="K20" s="78"/>
      <c r="P20" s="13"/>
      <c r="Q20" s="20"/>
      <c r="R20" s="20"/>
      <c r="S20" s="20"/>
      <c r="T20" s="20"/>
      <c r="U20" s="20"/>
      <c r="V20" s="20"/>
      <c r="W20" s="20"/>
      <c r="X20" s="20"/>
    </row>
    <row r="21" spans="1:24">
      <c r="A21" s="6">
        <v>46329</v>
      </c>
      <c r="B21" s="7" t="s">
        <v>19</v>
      </c>
      <c r="F21" s="11"/>
      <c r="G21" s="13"/>
      <c r="H21" s="11"/>
      <c r="J21" s="13"/>
      <c r="K21" s="78"/>
      <c r="P21" s="13"/>
      <c r="Q21" s="20"/>
      <c r="R21" s="20"/>
      <c r="S21" s="20"/>
      <c r="T21" s="20"/>
      <c r="U21" s="20"/>
      <c r="V21" s="20"/>
      <c r="W21" s="20"/>
      <c r="X21" s="20"/>
    </row>
    <row r="22" spans="1:24">
      <c r="A22" s="6">
        <v>46349</v>
      </c>
      <c r="B22" s="7" t="s">
        <v>20</v>
      </c>
      <c r="F22" s="11"/>
      <c r="G22" s="13"/>
      <c r="H22" s="11"/>
      <c r="J22" s="13"/>
      <c r="K22" s="78"/>
      <c r="P22" s="13"/>
      <c r="Q22" s="20"/>
      <c r="R22" s="20"/>
      <c r="S22" s="20"/>
      <c r="T22" s="20"/>
      <c r="U22" s="20"/>
      <c r="V22" s="20"/>
      <c r="W22" s="20"/>
      <c r="X22" s="20"/>
    </row>
    <row r="23" spans="1:24">
      <c r="A23" s="6">
        <v>46388</v>
      </c>
      <c r="B23" s="7" t="s">
        <v>3</v>
      </c>
      <c r="F23" s="11"/>
      <c r="G23" s="13"/>
      <c r="H23" s="11"/>
      <c r="J23" s="13"/>
      <c r="K23" s="78"/>
      <c r="P23" s="13"/>
      <c r="Q23" s="20"/>
      <c r="R23" s="20"/>
      <c r="S23" s="20"/>
      <c r="T23" s="20"/>
      <c r="U23" s="20"/>
      <c r="V23" s="20"/>
      <c r="W23" s="20"/>
      <c r="X23" s="20"/>
    </row>
    <row r="24" spans="1:24">
      <c r="A24" s="6">
        <v>46398</v>
      </c>
      <c r="B24" s="7" t="s">
        <v>4</v>
      </c>
      <c r="F24" s="11"/>
      <c r="G24" s="13"/>
      <c r="H24" s="11"/>
      <c r="J24" s="13"/>
      <c r="K24" s="78"/>
      <c r="P24" s="13"/>
      <c r="Q24" s="20"/>
      <c r="R24" s="20"/>
      <c r="S24" s="20"/>
      <c r="T24" s="20"/>
      <c r="U24" s="20"/>
      <c r="V24" s="20"/>
      <c r="W24" s="20"/>
      <c r="X24" s="20"/>
    </row>
    <row r="25" spans="1:24">
      <c r="A25" s="6">
        <v>46429</v>
      </c>
      <c r="B25" s="7" t="s">
        <v>5</v>
      </c>
      <c r="J25" s="13"/>
      <c r="K25" s="78"/>
      <c r="P25" s="13"/>
      <c r="Q25" s="20"/>
      <c r="R25" s="20"/>
      <c r="S25" s="20"/>
      <c r="T25" s="20"/>
      <c r="U25" s="20"/>
      <c r="V25" s="20"/>
      <c r="W25" s="20"/>
      <c r="X25" s="20"/>
    </row>
    <row r="26" spans="1:24">
      <c r="A26" s="6">
        <v>46441</v>
      </c>
      <c r="B26" s="7" t="s">
        <v>6</v>
      </c>
      <c r="J26" s="13"/>
      <c r="K26" s="78"/>
      <c r="P26" s="13"/>
      <c r="Q26" s="20"/>
      <c r="R26" s="20"/>
      <c r="S26" s="20"/>
      <c r="T26" s="20"/>
      <c r="U26" s="20"/>
      <c r="V26" s="20"/>
      <c r="W26" s="20"/>
      <c r="X26" s="20"/>
    </row>
    <row r="27" spans="1:24">
      <c r="A27" s="6">
        <v>46467</v>
      </c>
      <c r="B27" s="7" t="s">
        <v>7</v>
      </c>
      <c r="D27" s="4" t="s">
        <v>35</v>
      </c>
      <c r="J27" s="13"/>
      <c r="K27" s="78"/>
      <c r="P27" s="13"/>
      <c r="Q27" s="20"/>
      <c r="R27" s="20"/>
      <c r="S27" s="20"/>
      <c r="T27" s="20"/>
      <c r="U27" s="20"/>
      <c r="V27" s="20"/>
      <c r="W27" s="20"/>
      <c r="X27" s="20"/>
    </row>
    <row r="28" spans="1:24">
      <c r="A28" s="6">
        <v>46468</v>
      </c>
      <c r="B28" s="7" t="s">
        <v>12</v>
      </c>
      <c r="D28" s="17" t="s">
        <v>36</v>
      </c>
      <c r="J28" s="13"/>
      <c r="K28" s="78"/>
      <c r="P28" s="13"/>
      <c r="Q28" s="20"/>
      <c r="R28" s="20"/>
      <c r="S28" s="20"/>
      <c r="T28" s="20"/>
      <c r="U28" s="20"/>
      <c r="V28" s="20"/>
      <c r="W28" s="20"/>
      <c r="X28" s="20"/>
    </row>
    <row r="29" spans="1:24">
      <c r="A29" s="6">
        <v>46506</v>
      </c>
      <c r="B29" s="7" t="s">
        <v>8</v>
      </c>
      <c r="D29" s="17" t="s">
        <v>37</v>
      </c>
      <c r="J29" s="13"/>
      <c r="K29" s="78"/>
      <c r="P29" s="13"/>
      <c r="Q29" s="20"/>
      <c r="R29" s="20"/>
      <c r="S29" s="20"/>
      <c r="T29" s="20"/>
      <c r="U29" s="20"/>
      <c r="V29" s="20"/>
      <c r="W29" s="20"/>
      <c r="X29" s="20"/>
    </row>
    <row r="30" spans="1:24">
      <c r="A30" s="6">
        <v>46510</v>
      </c>
      <c r="B30" s="7" t="s">
        <v>9</v>
      </c>
      <c r="D30" s="17" t="s">
        <v>4500</v>
      </c>
      <c r="J30" s="13"/>
      <c r="K30" s="78"/>
      <c r="P30" s="13"/>
      <c r="Q30" s="20"/>
      <c r="R30" s="20"/>
      <c r="S30" s="20"/>
      <c r="T30" s="20"/>
      <c r="U30" s="20"/>
      <c r="V30" s="20"/>
      <c r="W30" s="20"/>
      <c r="X30" s="20"/>
    </row>
    <row r="31" spans="1:24">
      <c r="A31" s="6">
        <v>46511</v>
      </c>
      <c r="B31" s="7" t="s">
        <v>10</v>
      </c>
      <c r="D31" s="17" t="s">
        <v>4501</v>
      </c>
      <c r="J31" s="13"/>
      <c r="K31" s="78"/>
      <c r="P31" s="13"/>
      <c r="Q31" s="20"/>
      <c r="R31" s="20"/>
      <c r="S31" s="20"/>
      <c r="T31" s="20"/>
      <c r="U31" s="20"/>
      <c r="V31" s="20"/>
      <c r="W31" s="20"/>
      <c r="X31" s="20"/>
    </row>
    <row r="32" spans="1:24">
      <c r="A32" s="6">
        <v>46512</v>
      </c>
      <c r="B32" s="7" t="s">
        <v>11</v>
      </c>
      <c r="D32" s="17" t="s">
        <v>38</v>
      </c>
      <c r="J32" s="13"/>
      <c r="K32" s="78"/>
      <c r="P32" s="13"/>
      <c r="Q32" s="20"/>
      <c r="R32" s="20"/>
      <c r="S32" s="20"/>
      <c r="T32" s="20"/>
      <c r="U32" s="20"/>
      <c r="V32" s="20"/>
      <c r="W32" s="20"/>
      <c r="X32" s="20"/>
    </row>
    <row r="33" spans="1:24">
      <c r="A33" s="6">
        <v>46587</v>
      </c>
      <c r="B33" s="7" t="s">
        <v>13</v>
      </c>
      <c r="J33" s="13"/>
      <c r="K33" s="78"/>
      <c r="P33" s="13"/>
      <c r="Q33" s="20"/>
      <c r="R33" s="20"/>
      <c r="S33" s="20"/>
      <c r="T33" s="20"/>
      <c r="U33" s="20"/>
      <c r="V33" s="20"/>
      <c r="W33" s="20"/>
      <c r="X33" s="20"/>
    </row>
    <row r="34" spans="1:24">
      <c r="A34" s="6">
        <v>46610</v>
      </c>
      <c r="B34" s="7" t="s">
        <v>14</v>
      </c>
      <c r="J34" s="13"/>
      <c r="K34" s="78"/>
      <c r="P34" s="13"/>
      <c r="Q34" s="20"/>
      <c r="R34" s="20"/>
      <c r="S34" s="20"/>
      <c r="T34" s="20"/>
      <c r="U34" s="20"/>
      <c r="V34" s="20"/>
      <c r="W34" s="20"/>
      <c r="X34" s="20"/>
    </row>
    <row r="35" spans="1:24">
      <c r="A35" s="6">
        <v>46650</v>
      </c>
      <c r="B35" s="7" t="s">
        <v>15</v>
      </c>
      <c r="J35" s="13"/>
      <c r="K35" s="78"/>
    </row>
    <row r="36" spans="1:24">
      <c r="A36" s="6">
        <v>46653</v>
      </c>
      <c r="B36" s="7" t="s">
        <v>17</v>
      </c>
      <c r="J36" s="13"/>
      <c r="K36" s="78"/>
      <c r="P36" s="79" t="s">
        <v>240</v>
      </c>
    </row>
    <row r="37" spans="1:24">
      <c r="A37" s="6">
        <v>46671</v>
      </c>
      <c r="B37" s="7" t="s">
        <v>18</v>
      </c>
      <c r="J37" s="13"/>
      <c r="K37" s="78"/>
      <c r="P37" s="79" t="s">
        <v>4502</v>
      </c>
    </row>
    <row r="38" spans="1:24">
      <c r="A38" s="6">
        <v>46694</v>
      </c>
      <c r="B38" s="7" t="s">
        <v>19</v>
      </c>
      <c r="J38" s="13"/>
      <c r="K38" s="78"/>
      <c r="P38" s="79" t="s">
        <v>241</v>
      </c>
    </row>
    <row r="39" spans="1:24">
      <c r="A39" s="6">
        <v>46714</v>
      </c>
      <c r="B39" s="7" t="s">
        <v>20</v>
      </c>
      <c r="J39" s="13"/>
      <c r="K39" s="78"/>
      <c r="P39" s="79" t="s">
        <v>227</v>
      </c>
    </row>
    <row r="40" spans="1:24">
      <c r="A40" s="6"/>
      <c r="B40" s="7"/>
      <c r="J40" s="13"/>
      <c r="K40" s="78"/>
    </row>
    <row r="41" spans="1:24">
      <c r="A41" s="6"/>
      <c r="B41" s="7"/>
      <c r="J41" s="13"/>
      <c r="K41" s="78"/>
    </row>
    <row r="42" spans="1:24">
      <c r="A42" s="6"/>
      <c r="B42" s="7"/>
      <c r="J42" s="13"/>
      <c r="K42" s="78"/>
    </row>
    <row r="43" spans="1:24">
      <c r="A43" s="6"/>
      <c r="B43" s="7"/>
      <c r="J43" s="13"/>
      <c r="K43" s="78"/>
    </row>
    <row r="44" spans="1:24">
      <c r="A44" s="6"/>
      <c r="B44" s="7"/>
      <c r="J44" s="13"/>
      <c r="K44" s="78"/>
    </row>
    <row r="45" spans="1:24">
      <c r="A45" s="6"/>
      <c r="B45" s="7"/>
      <c r="J45" s="13"/>
      <c r="K45" s="78"/>
    </row>
    <row r="46" spans="1:24">
      <c r="A46" s="6"/>
      <c r="B46" s="7"/>
      <c r="J46" s="13"/>
      <c r="K46" s="78"/>
    </row>
    <row r="47" spans="1:24">
      <c r="A47" s="6"/>
      <c r="B47" s="7"/>
      <c r="J47" s="13"/>
      <c r="K47" s="78"/>
    </row>
    <row r="48" spans="1:24">
      <c r="A48" s="6"/>
      <c r="B48" s="7"/>
      <c r="J48" s="13"/>
      <c r="K48" s="78"/>
    </row>
    <row r="49" spans="1:11">
      <c r="A49" s="6"/>
      <c r="B49" s="7"/>
      <c r="J49" s="13"/>
      <c r="K49" s="78"/>
    </row>
    <row r="50" spans="1:11">
      <c r="A50" s="6"/>
      <c r="B50" s="7"/>
      <c r="J50" s="13"/>
      <c r="K50" s="78"/>
    </row>
    <row r="51" spans="1:11">
      <c r="A51" s="6"/>
      <c r="B51" s="7"/>
      <c r="J51" s="13"/>
      <c r="K51" s="78"/>
    </row>
    <row r="52" spans="1:11">
      <c r="A52" s="6"/>
      <c r="B52" s="7"/>
    </row>
    <row r="53" spans="1:11">
      <c r="A53" s="6"/>
      <c r="B53" s="7"/>
    </row>
    <row r="54" spans="1:11">
      <c r="A54" s="6"/>
      <c r="B54" s="7"/>
    </row>
    <row r="55" spans="1:11">
      <c r="A55" s="6"/>
      <c r="B55" s="7"/>
    </row>
    <row r="56" spans="1:11">
      <c r="A56" s="6"/>
      <c r="B56" s="7"/>
    </row>
    <row r="57" spans="1:11">
      <c r="A57" s="6"/>
      <c r="B57" s="7"/>
    </row>
    <row r="58" spans="1:11">
      <c r="A58" s="6"/>
      <c r="B58" s="7"/>
    </row>
    <row r="59" spans="1:11">
      <c r="A59" s="6"/>
      <c r="B59" s="7"/>
    </row>
    <row r="60" spans="1:11">
      <c r="A60" s="6"/>
      <c r="B60" s="7"/>
    </row>
    <row r="61" spans="1:11">
      <c r="A61" s="6"/>
      <c r="B61" s="7"/>
    </row>
    <row r="62" spans="1:11">
      <c r="A62" s="6"/>
      <c r="B62" s="7"/>
    </row>
    <row r="63" spans="1:11">
      <c r="A63" s="6"/>
      <c r="B63" s="7"/>
    </row>
    <row r="64" spans="1:11">
      <c r="A64" s="6"/>
      <c r="B64" s="7"/>
    </row>
    <row r="65" spans="1:2">
      <c r="A65" s="6"/>
      <c r="B65" s="7"/>
    </row>
    <row r="66" spans="1:2">
      <c r="A66" s="6"/>
      <c r="B66" s="7"/>
    </row>
    <row r="67" spans="1:2">
      <c r="A67" s="6"/>
      <c r="B67" s="7"/>
    </row>
    <row r="68" spans="1:2">
      <c r="A68" s="6"/>
      <c r="B68" s="7"/>
    </row>
    <row r="69" spans="1:2">
      <c r="A69" s="6"/>
      <c r="B69" s="7"/>
    </row>
    <row r="70" spans="1:2">
      <c r="A70" s="6"/>
      <c r="B70" s="7"/>
    </row>
    <row r="71" spans="1:2">
      <c r="A71" s="6"/>
      <c r="B71" s="7"/>
    </row>
    <row r="72" spans="1:2">
      <c r="A72" s="6"/>
      <c r="B72" s="7"/>
    </row>
    <row r="73" spans="1:2">
      <c r="A73" s="6"/>
      <c r="B73" s="7"/>
    </row>
    <row r="74" spans="1:2">
      <c r="A74" s="6"/>
      <c r="B74" s="7"/>
    </row>
    <row r="75" spans="1:2">
      <c r="A75" s="6"/>
      <c r="B75" s="7"/>
    </row>
    <row r="76" spans="1:2">
      <c r="A76" s="6"/>
      <c r="B76" s="7"/>
    </row>
    <row r="77" spans="1:2">
      <c r="A77" s="6"/>
      <c r="B77" s="7"/>
    </row>
    <row r="78" spans="1:2">
      <c r="A78" s="6"/>
      <c r="B78" s="7"/>
    </row>
    <row r="79" spans="1:2">
      <c r="A79" s="6"/>
      <c r="B79" s="7"/>
    </row>
    <row r="80" spans="1:2">
      <c r="A80" s="6"/>
      <c r="B80" s="7"/>
    </row>
    <row r="81" spans="1:2">
      <c r="A81" s="6"/>
      <c r="B81" s="7"/>
    </row>
    <row r="82" spans="1:2">
      <c r="A82" s="6"/>
      <c r="B82" s="7"/>
    </row>
    <row r="83" spans="1:2">
      <c r="A83" s="6"/>
      <c r="B83" s="7"/>
    </row>
    <row r="84" spans="1:2">
      <c r="A84" s="6"/>
      <c r="B84" s="7"/>
    </row>
    <row r="85" spans="1:2">
      <c r="A85" s="6"/>
      <c r="B85" s="7"/>
    </row>
    <row r="86" spans="1:2">
      <c r="A86" s="6"/>
      <c r="B86" s="7"/>
    </row>
    <row r="87" spans="1:2">
      <c r="A87" s="6"/>
      <c r="B87" s="7"/>
    </row>
    <row r="88" spans="1:2">
      <c r="A88" s="6"/>
      <c r="B88" s="7"/>
    </row>
    <row r="89" spans="1:2">
      <c r="A89" s="6"/>
      <c r="B89" s="7"/>
    </row>
    <row r="90" spans="1:2">
      <c r="A90" s="6"/>
      <c r="B90" s="7"/>
    </row>
    <row r="91" spans="1:2">
      <c r="A91" s="6"/>
      <c r="B91" s="7"/>
    </row>
    <row r="92" spans="1:2">
      <c r="A92" s="6"/>
      <c r="B92" s="7"/>
    </row>
    <row r="93" spans="1:2">
      <c r="A93" s="6"/>
      <c r="B93" s="7"/>
    </row>
    <row r="94" spans="1:2">
      <c r="A94" s="6"/>
      <c r="B94" s="7"/>
    </row>
    <row r="95" spans="1:2">
      <c r="A95" s="6"/>
      <c r="B95" s="7"/>
    </row>
    <row r="96" spans="1:2">
      <c r="A96" s="6"/>
      <c r="B96" s="7"/>
    </row>
    <row r="97" spans="1:2">
      <c r="A97" s="6"/>
      <c r="B97" s="7"/>
    </row>
    <row r="98" spans="1:2">
      <c r="A98" s="6"/>
      <c r="B98" s="7"/>
    </row>
    <row r="99" spans="1:2">
      <c r="A99" s="6"/>
      <c r="B99" s="7"/>
    </row>
    <row r="100" spans="1:2">
      <c r="A100" s="6"/>
      <c r="B100" s="7"/>
    </row>
    <row r="101" spans="1:2">
      <c r="A101" s="6"/>
      <c r="B101" s="7"/>
    </row>
    <row r="102" spans="1:2">
      <c r="A102" s="6"/>
      <c r="B102" s="7"/>
    </row>
    <row r="103" spans="1:2">
      <c r="A103" s="6"/>
      <c r="B103" s="7"/>
    </row>
    <row r="104" spans="1:2">
      <c r="A104" s="6"/>
      <c r="B104" s="7"/>
    </row>
    <row r="105" spans="1:2">
      <c r="A105" s="6"/>
      <c r="B105" s="7"/>
    </row>
    <row r="106" spans="1:2">
      <c r="A106" s="6"/>
      <c r="B106" s="7"/>
    </row>
    <row r="107" spans="1:2">
      <c r="A107" s="6"/>
      <c r="B107" s="7"/>
    </row>
    <row r="108" spans="1:2">
      <c r="A108" s="6"/>
      <c r="B108" s="7"/>
    </row>
    <row r="109" spans="1:2">
      <c r="A109" s="6"/>
      <c r="B109" s="7"/>
    </row>
    <row r="110" spans="1:2">
      <c r="A110" s="6"/>
      <c r="B110" s="7"/>
    </row>
    <row r="111" spans="1:2">
      <c r="A111" s="6"/>
      <c r="B111" s="7"/>
    </row>
    <row r="112" spans="1:2">
      <c r="A112" s="6"/>
      <c r="B112" s="7"/>
    </row>
    <row r="113" spans="1:2">
      <c r="A113" s="6"/>
      <c r="B113" s="7"/>
    </row>
    <row r="114" spans="1:2">
      <c r="A114" s="6"/>
      <c r="B114" s="7"/>
    </row>
    <row r="115" spans="1:2">
      <c r="A115" s="6"/>
      <c r="B115" s="7"/>
    </row>
    <row r="116" spans="1:2">
      <c r="A116" s="6"/>
      <c r="B116" s="7"/>
    </row>
    <row r="117" spans="1:2">
      <c r="A117" s="6"/>
      <c r="B117" s="7"/>
    </row>
    <row r="118" spans="1:2">
      <c r="A118" s="6"/>
      <c r="B118" s="7"/>
    </row>
    <row r="119" spans="1:2">
      <c r="A119" s="6"/>
      <c r="B119" s="7"/>
    </row>
    <row r="120" spans="1:2">
      <c r="A120" s="6"/>
      <c r="B120" s="7"/>
    </row>
    <row r="121" spans="1:2">
      <c r="A121" s="6"/>
      <c r="B121" s="7"/>
    </row>
    <row r="122" spans="1:2">
      <c r="A122" s="6"/>
      <c r="B122" s="7"/>
    </row>
    <row r="123" spans="1:2">
      <c r="A123" s="6"/>
      <c r="B123" s="7"/>
    </row>
    <row r="124" spans="1:2">
      <c r="A124" s="6"/>
      <c r="B124" s="7"/>
    </row>
    <row r="125" spans="1:2">
      <c r="A125" s="6"/>
      <c r="B125" s="7"/>
    </row>
    <row r="126" spans="1:2">
      <c r="A126" s="6"/>
      <c r="B126" s="7"/>
    </row>
    <row r="127" spans="1:2">
      <c r="A127" s="6"/>
      <c r="B127" s="7"/>
    </row>
    <row r="128" spans="1:2">
      <c r="A128" s="6"/>
      <c r="B128" s="7"/>
    </row>
    <row r="129" spans="1:2">
      <c r="A129" s="6"/>
      <c r="B129" s="7"/>
    </row>
    <row r="130" spans="1:2">
      <c r="A130" s="6"/>
      <c r="B130" s="7"/>
    </row>
    <row r="131" spans="1:2">
      <c r="A131" s="6"/>
      <c r="B131" s="7"/>
    </row>
    <row r="132" spans="1:2">
      <c r="A132" s="6"/>
      <c r="B132" s="7"/>
    </row>
    <row r="133" spans="1:2">
      <c r="A133" s="6"/>
      <c r="B133" s="7"/>
    </row>
    <row r="134" spans="1:2">
      <c r="A134" s="6"/>
      <c r="B134" s="7"/>
    </row>
    <row r="135" spans="1:2">
      <c r="A135" s="6"/>
      <c r="B135" s="7"/>
    </row>
    <row r="136" spans="1:2">
      <c r="A136" s="6"/>
      <c r="B136" s="7"/>
    </row>
    <row r="137" spans="1:2">
      <c r="A137" s="6"/>
      <c r="B137" s="7"/>
    </row>
    <row r="138" spans="1:2">
      <c r="A138" s="6"/>
      <c r="B138" s="7"/>
    </row>
    <row r="139" spans="1:2">
      <c r="A139" s="6"/>
      <c r="B139" s="7"/>
    </row>
    <row r="140" spans="1:2">
      <c r="A140" s="6"/>
      <c r="B140" s="7"/>
    </row>
    <row r="141" spans="1:2">
      <c r="A141" s="6"/>
      <c r="B141" s="7"/>
    </row>
    <row r="142" spans="1:2">
      <c r="A142" s="6"/>
      <c r="B142" s="7"/>
    </row>
    <row r="143" spans="1:2">
      <c r="A143" s="6"/>
      <c r="B143" s="7"/>
    </row>
    <row r="144" spans="1:2">
      <c r="A144" s="6"/>
      <c r="B144" s="7"/>
    </row>
    <row r="145" spans="1:2">
      <c r="A145" s="6"/>
      <c r="B145" s="7"/>
    </row>
    <row r="146" spans="1:2">
      <c r="A146" s="6"/>
      <c r="B146" s="7"/>
    </row>
    <row r="147" spans="1:2">
      <c r="A147" s="6"/>
      <c r="B147" s="7"/>
    </row>
    <row r="148" spans="1:2">
      <c r="A148" s="6"/>
      <c r="B148" s="7"/>
    </row>
    <row r="149" spans="1:2">
      <c r="A149" s="6"/>
      <c r="B149" s="7"/>
    </row>
    <row r="150" spans="1:2">
      <c r="A150" s="6"/>
      <c r="B150" s="7"/>
    </row>
    <row r="151" spans="1:2">
      <c r="A151" s="6"/>
      <c r="B151" s="7"/>
    </row>
    <row r="152" spans="1:2">
      <c r="A152" s="6"/>
      <c r="B152" s="7"/>
    </row>
    <row r="153" spans="1:2">
      <c r="A153" s="6"/>
      <c r="B153" s="7"/>
    </row>
    <row r="154" spans="1:2">
      <c r="A154" s="6"/>
      <c r="B154" s="7"/>
    </row>
    <row r="155" spans="1:2">
      <c r="A155" s="6"/>
      <c r="B155" s="7"/>
    </row>
  </sheetData>
  <phoneticPr fontId="1"/>
  <dataValidations count="8">
    <dataValidation type="list" allowBlank="1" showInputMessage="1" showErrorMessage="1" sqref="N5 S5:S34 W5:W34" xr:uid="{5976C895-52D5-475F-BEFC-694F22B4D37B}">
      <formula1>担当一覧</formula1>
    </dataValidation>
    <dataValidation type="list" allowBlank="1" showInputMessage="1" showErrorMessage="1" sqref="N6:N8" xr:uid="{49B38A9C-202E-41B4-8C77-50A719EE7DFA}">
      <formula1>"する,しない"</formula1>
    </dataValidation>
    <dataValidation type="list" allowBlank="1" showInputMessage="1" showErrorMessage="1" sqref="H5:H24" xr:uid="{743444FA-8F19-4ED3-8F51-012F4B920E29}">
      <formula1>"公休,有給,その他,出勤"</formula1>
    </dataValidation>
    <dataValidation type="list" allowBlank="1" showInputMessage="1" showErrorMessage="1" sqref="N15:N16" xr:uid="{BAF6FB1D-3259-4E31-B82B-700EC1DD6A7B}">
      <formula1>$F$5:$F$24</formula1>
    </dataValidation>
    <dataValidation type="list" allowBlank="1" showInputMessage="1" showErrorMessage="1" sqref="U5:U34" xr:uid="{F01B1401-44ED-429F-8B4E-10B5AD6C11BB}">
      <formula1>$J$6:$J$51</formula1>
    </dataValidation>
    <dataValidation type="list" allowBlank="1" showInputMessage="1" showErrorMessage="1" sqref="V5:V34" xr:uid="{ED6D6507-9FE7-4E58-9FF7-27BA27C1B4EA}">
      <formula1>$P$5:$P$34</formula1>
    </dataValidation>
    <dataValidation type="list" allowBlank="1" showInputMessage="1" showErrorMessage="1" sqref="X6:X34" xr:uid="{C68450FC-50A0-4BD6-AABC-A5FDCD40371C}">
      <formula1>"○"</formula1>
    </dataValidation>
    <dataValidation type="whole" allowBlank="1" showInputMessage="1" showErrorMessage="1" error="8～18 の数字（時）で入力してください。例：10" sqref="Q6:R34" xr:uid="{076555F9-A9B5-4F07-83BB-A6A2CEE5D182}">
      <formula1>8</formula1>
      <formula2>18</formula2>
    </dataValidation>
  </dataValidations>
  <hyperlinks>
    <hyperlink ref="A1" location="'表紙'!A1" display="◀ 表紙へ" xr:uid="{9271C3FE-48D1-4F8B-A906-99082CB2472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EBCA1-1610-4461-950C-8A3EF9309995}">
  <sheetPr codeName="Sheet2">
    <tabColor rgb="FFED7D31"/>
  </sheetPr>
  <dimension ref="A1:AI104"/>
  <sheetViews>
    <sheetView showGridLines="0" tabSelected="1" zoomScaleNormal="100" workbookViewId="0">
      <pane xSplit="2" ySplit="4" topLeftCell="C5" activePane="bottomRight" state="frozen"/>
      <selection pane="topRight" activeCell="C1" sqref="C1"/>
      <selection pane="bottomLeft" activeCell="A5" sqref="A5"/>
      <selection pane="bottomRight" activeCell="C5" sqref="C5"/>
    </sheetView>
  </sheetViews>
  <sheetFormatPr defaultRowHeight="14.25"/>
  <cols>
    <col min="1" max="1" width="4.625" customWidth="1"/>
    <col min="2" max="2" width="13.625" customWidth="1"/>
    <col min="3" max="3" width="7.625" customWidth="1"/>
    <col min="4" max="4" width="5.625" customWidth="1"/>
    <col min="5" max="6" width="6.625" customWidth="1"/>
    <col min="7" max="7" width="7.625" customWidth="1"/>
    <col min="8" max="21" width="6.625" customWidth="1"/>
    <col min="22" max="22" width="7.625" customWidth="1"/>
    <col min="23" max="23" width="8.125" customWidth="1"/>
    <col min="24" max="34" width="7.125" customWidth="1"/>
  </cols>
  <sheetData>
    <row r="1" spans="1:35" ht="30" customHeight="1">
      <c r="A1" s="2" t="s">
        <v>188</v>
      </c>
      <c r="C1" s="3" t="s">
        <v>202</v>
      </c>
    </row>
    <row r="2" spans="1:35">
      <c r="C2" s="18" t="s">
        <v>62</v>
      </c>
    </row>
    <row r="3" spans="1:35">
      <c r="A3" s="215" t="s">
        <v>39</v>
      </c>
      <c r="B3" s="215"/>
      <c r="C3" s="215"/>
      <c r="D3" s="213"/>
      <c r="E3" s="212" t="s">
        <v>40</v>
      </c>
      <c r="F3" s="215"/>
      <c r="G3" s="213"/>
      <c r="H3" s="212" t="s">
        <v>41</v>
      </c>
      <c r="I3" s="213"/>
      <c r="J3" s="212" t="s">
        <v>42</v>
      </c>
      <c r="K3" s="213"/>
      <c r="L3" s="212" t="s">
        <v>43</v>
      </c>
      <c r="M3" s="213"/>
      <c r="N3" s="212" t="s">
        <v>44</v>
      </c>
      <c r="O3" s="213"/>
      <c r="P3" s="212" t="s">
        <v>45</v>
      </c>
      <c r="Q3" s="213"/>
      <c r="R3" s="214" t="s">
        <v>46</v>
      </c>
      <c r="S3" s="213"/>
      <c r="T3" s="214" t="s">
        <v>47</v>
      </c>
      <c r="U3" s="213"/>
      <c r="V3" s="212" t="s">
        <v>34</v>
      </c>
      <c r="W3" s="213"/>
      <c r="X3" s="212" t="s">
        <v>113</v>
      </c>
      <c r="Y3" s="215"/>
      <c r="Z3" s="215"/>
      <c r="AA3" s="215"/>
      <c r="AB3" s="215"/>
      <c r="AC3" s="215"/>
      <c r="AD3" s="215"/>
      <c r="AE3" s="215"/>
      <c r="AF3" s="215"/>
      <c r="AG3" s="215"/>
      <c r="AH3" s="215"/>
    </row>
    <row r="4" spans="1:35" ht="30" customHeight="1">
      <c r="A4" s="19" t="s">
        <v>48</v>
      </c>
      <c r="B4" s="19" t="s">
        <v>49</v>
      </c>
      <c r="C4" s="19" t="s">
        <v>4495</v>
      </c>
      <c r="D4" s="23" t="s">
        <v>50</v>
      </c>
      <c r="E4" s="25" t="s">
        <v>91</v>
      </c>
      <c r="F4" s="19" t="s">
        <v>92</v>
      </c>
      <c r="G4" s="23" t="s">
        <v>51</v>
      </c>
      <c r="H4" s="25" t="s">
        <v>52</v>
      </c>
      <c r="I4" s="23" t="s">
        <v>53</v>
      </c>
      <c r="J4" s="25" t="s">
        <v>52</v>
      </c>
      <c r="K4" s="23" t="s">
        <v>53</v>
      </c>
      <c r="L4" s="25" t="s">
        <v>52</v>
      </c>
      <c r="M4" s="23" t="s">
        <v>53</v>
      </c>
      <c r="N4" s="25" t="s">
        <v>52</v>
      </c>
      <c r="O4" s="23" t="s">
        <v>53</v>
      </c>
      <c r="P4" s="25" t="s">
        <v>52</v>
      </c>
      <c r="Q4" s="23" t="s">
        <v>53</v>
      </c>
      <c r="R4" s="25" t="s">
        <v>52</v>
      </c>
      <c r="S4" s="23" t="s">
        <v>53</v>
      </c>
      <c r="T4" s="25" t="s">
        <v>52</v>
      </c>
      <c r="U4" s="23" t="s">
        <v>53</v>
      </c>
      <c r="V4" s="25" t="s">
        <v>54</v>
      </c>
      <c r="W4" s="23" t="s">
        <v>55</v>
      </c>
      <c r="X4" s="25" t="s">
        <v>56</v>
      </c>
      <c r="Y4" s="19" t="s">
        <v>110</v>
      </c>
      <c r="Z4" s="19" t="s">
        <v>134</v>
      </c>
      <c r="AA4" s="19" t="s">
        <v>132</v>
      </c>
      <c r="AB4" s="19" t="s">
        <v>108</v>
      </c>
      <c r="AC4" s="19" t="s">
        <v>93</v>
      </c>
      <c r="AD4" s="19" t="s">
        <v>246</v>
      </c>
      <c r="AE4" s="19" t="s">
        <v>247</v>
      </c>
      <c r="AF4" s="19" t="s">
        <v>137</v>
      </c>
      <c r="AG4" s="19" t="s">
        <v>109</v>
      </c>
      <c r="AH4" s="19" t="s">
        <v>248</v>
      </c>
    </row>
    <row r="5" spans="1:35">
      <c r="A5" s="31">
        <f t="shared" ref="A5:A36" si="0">IF(B5="","",ROW()-4)</f>
        <v>1</v>
      </c>
      <c r="B5" s="21" t="s">
        <v>64</v>
      </c>
      <c r="C5" s="20" t="s">
        <v>21</v>
      </c>
      <c r="D5" s="24" t="s">
        <v>57</v>
      </c>
      <c r="E5" s="26">
        <v>0.54166666666666663</v>
      </c>
      <c r="F5" s="22">
        <v>0.58333333333333337</v>
      </c>
      <c r="G5" s="32">
        <f t="shared" ref="G5:G36" si="1">IF(B5="","",ROUND(IF(AND(ISNUMBER(E5),ISNUMBER(F5)),MOD(F5-E5,1),0)*1440,0))</f>
        <v>60</v>
      </c>
      <c r="H5" s="26">
        <v>0.375</v>
      </c>
      <c r="I5" s="27">
        <v>0.75</v>
      </c>
      <c r="J5" s="26">
        <v>0.375</v>
      </c>
      <c r="K5" s="27">
        <v>0.75</v>
      </c>
      <c r="L5" s="26">
        <v>0.375</v>
      </c>
      <c r="M5" s="27">
        <v>0.75</v>
      </c>
      <c r="N5" s="26">
        <v>0.375</v>
      </c>
      <c r="O5" s="27">
        <v>0.75</v>
      </c>
      <c r="P5" s="26">
        <v>0.375</v>
      </c>
      <c r="Q5" s="27">
        <v>0.75</v>
      </c>
      <c r="R5" s="28"/>
      <c r="S5" s="29"/>
      <c r="T5" s="28"/>
      <c r="U5" s="29"/>
      <c r="V5" s="30" t="s">
        <v>28</v>
      </c>
      <c r="W5" s="33">
        <f t="shared" ref="W5:W36" si="2">IF(B5="","",IF(AND(ISNUMBER(H5),ISNUMBER(I5),H5&lt;&gt;I5),MAX(0,MOD(I5-H5,1)*24-G5/60),0)+IF(AND(ISNUMBER(J5),ISNUMBER(K5),J5&lt;&gt;K5),MAX(0,MOD(K5-J5,1)*24-G5/60),0)+IF(AND(ISNUMBER(L5),ISNUMBER(M5),L5&lt;&gt;M5),MAX(0,MOD(M5-L5,1)*24-G5/60),0)+IF(AND(ISNUMBER(N5),ISNUMBER(O5),N5&lt;&gt;O5),MAX(0,MOD(O5-N5,1)*24-G5/60),0)+IF(AND(ISNUMBER(P5),ISNUMBER(Q5),P5&lt;&gt;Q5),MAX(0,MOD(Q5-P5,1)*24-G5/60),0)+IF(AND(ISNUMBER(R5),ISNUMBER(S5),R5&lt;&gt;S5),MAX(0,MOD(S5-R5,1)*24-G5/60),0)+IF(AND(ISNUMBER(T5),ISNUMBER(U5),T5&lt;&gt;U5),MAX(0,MOD(U5-T5,1)*24-G5/60),0))</f>
        <v>40</v>
      </c>
      <c r="X5" s="30"/>
      <c r="Y5" s="20" t="s">
        <v>57</v>
      </c>
      <c r="Z5" s="20" t="s">
        <v>57</v>
      </c>
      <c r="AA5" s="20" t="s">
        <v>57</v>
      </c>
      <c r="AB5" s="20"/>
      <c r="AC5" s="20" t="s">
        <v>57</v>
      </c>
      <c r="AD5" s="20" t="s">
        <v>57</v>
      </c>
      <c r="AE5" s="20" t="s">
        <v>57</v>
      </c>
      <c r="AF5" s="20" t="s">
        <v>57</v>
      </c>
      <c r="AG5" s="20"/>
      <c r="AH5" s="20" t="s">
        <v>57</v>
      </c>
      <c r="AI5" s="34"/>
    </row>
    <row r="6" spans="1:35">
      <c r="A6" s="31">
        <f t="shared" si="0"/>
        <v>2</v>
      </c>
      <c r="B6" s="21" t="s">
        <v>66</v>
      </c>
      <c r="C6" s="20" t="s">
        <v>21</v>
      </c>
      <c r="D6" s="24" t="s">
        <v>57</v>
      </c>
      <c r="E6" s="26">
        <v>0.5</v>
      </c>
      <c r="F6" s="22">
        <v>0.54166666666666663</v>
      </c>
      <c r="G6" s="32">
        <f t="shared" si="1"/>
        <v>60</v>
      </c>
      <c r="H6" s="26">
        <v>0.375</v>
      </c>
      <c r="I6" s="27">
        <v>0.75</v>
      </c>
      <c r="J6" s="26">
        <v>0.375</v>
      </c>
      <c r="K6" s="27">
        <v>0.75</v>
      </c>
      <c r="L6" s="26">
        <v>0.375</v>
      </c>
      <c r="M6" s="27">
        <v>0.75</v>
      </c>
      <c r="N6" s="26">
        <v>0.375</v>
      </c>
      <c r="O6" s="27">
        <v>0.75</v>
      </c>
      <c r="P6" s="26">
        <v>0.375</v>
      </c>
      <c r="Q6" s="27">
        <v>0.75</v>
      </c>
      <c r="R6" s="28"/>
      <c r="S6" s="29"/>
      <c r="T6" s="28"/>
      <c r="U6" s="29"/>
      <c r="V6" s="30" t="s">
        <v>28</v>
      </c>
      <c r="W6" s="33">
        <f t="shared" si="2"/>
        <v>40</v>
      </c>
      <c r="X6" s="30"/>
      <c r="Y6" s="20" t="s">
        <v>57</v>
      </c>
      <c r="Z6" s="20"/>
      <c r="AA6" s="20"/>
      <c r="AB6" s="20" t="s">
        <v>57</v>
      </c>
      <c r="AC6" s="20" t="s">
        <v>57</v>
      </c>
      <c r="AD6" s="20" t="s">
        <v>57</v>
      </c>
      <c r="AE6" s="20" t="s">
        <v>57</v>
      </c>
      <c r="AF6" s="20" t="s">
        <v>57</v>
      </c>
      <c r="AG6" s="20" t="s">
        <v>57</v>
      </c>
      <c r="AH6" s="20" t="s">
        <v>57</v>
      </c>
    </row>
    <row r="7" spans="1:35">
      <c r="A7" s="31">
        <f t="shared" si="0"/>
        <v>3</v>
      </c>
      <c r="B7" s="21" t="s">
        <v>68</v>
      </c>
      <c r="C7" s="20" t="s">
        <v>21</v>
      </c>
      <c r="D7" s="24" t="s">
        <v>57</v>
      </c>
      <c r="E7" s="26">
        <v>0.54166666666666663</v>
      </c>
      <c r="F7" s="22">
        <v>0.58333333333333337</v>
      </c>
      <c r="G7" s="32">
        <f t="shared" si="1"/>
        <v>60</v>
      </c>
      <c r="H7" s="26">
        <v>0.375</v>
      </c>
      <c r="I7" s="27">
        <v>0.75</v>
      </c>
      <c r="J7" s="26">
        <v>0.375</v>
      </c>
      <c r="K7" s="27">
        <v>0.75</v>
      </c>
      <c r="L7" s="26">
        <v>0.375</v>
      </c>
      <c r="M7" s="27">
        <v>0.75</v>
      </c>
      <c r="N7" s="26">
        <v>0.375</v>
      </c>
      <c r="O7" s="27">
        <v>0.75</v>
      </c>
      <c r="P7" s="26">
        <v>0.375</v>
      </c>
      <c r="Q7" s="27">
        <v>0.75</v>
      </c>
      <c r="R7" s="28"/>
      <c r="S7" s="29"/>
      <c r="T7" s="28"/>
      <c r="U7" s="29"/>
      <c r="V7" s="30" t="s">
        <v>28</v>
      </c>
      <c r="W7" s="33">
        <f t="shared" si="2"/>
        <v>40</v>
      </c>
      <c r="X7" s="30"/>
      <c r="Y7" s="20" t="s">
        <v>57</v>
      </c>
      <c r="Z7" s="20" t="s">
        <v>57</v>
      </c>
      <c r="AA7" s="20" t="s">
        <v>57</v>
      </c>
      <c r="AB7" s="20" t="s">
        <v>57</v>
      </c>
      <c r="AC7" s="20" t="s">
        <v>57</v>
      </c>
      <c r="AD7" s="20" t="s">
        <v>57</v>
      </c>
      <c r="AE7" s="20" t="s">
        <v>57</v>
      </c>
      <c r="AF7" s="20" t="s">
        <v>57</v>
      </c>
      <c r="AG7" s="20" t="s">
        <v>111</v>
      </c>
      <c r="AH7" s="20" t="s">
        <v>111</v>
      </c>
    </row>
    <row r="8" spans="1:35">
      <c r="A8" s="31">
        <f t="shared" si="0"/>
        <v>4</v>
      </c>
      <c r="B8" s="21" t="s">
        <v>70</v>
      </c>
      <c r="C8" s="20" t="s">
        <v>22</v>
      </c>
      <c r="D8" s="24" t="s">
        <v>57</v>
      </c>
      <c r="E8" s="26">
        <v>0.5</v>
      </c>
      <c r="F8" s="22">
        <v>0.54166666666666663</v>
      </c>
      <c r="G8" s="32">
        <f t="shared" si="1"/>
        <v>60</v>
      </c>
      <c r="H8" s="26">
        <v>0.375</v>
      </c>
      <c r="I8" s="27">
        <v>0.75</v>
      </c>
      <c r="J8" s="26">
        <v>0.375</v>
      </c>
      <c r="K8" s="27">
        <v>0.75</v>
      </c>
      <c r="L8" s="26">
        <v>0.375</v>
      </c>
      <c r="M8" s="27">
        <v>0.75</v>
      </c>
      <c r="N8" s="26">
        <v>0.375</v>
      </c>
      <c r="O8" s="27">
        <v>0.75</v>
      </c>
      <c r="P8" s="26">
        <v>0.375</v>
      </c>
      <c r="Q8" s="27">
        <v>0.75</v>
      </c>
      <c r="R8" s="28"/>
      <c r="S8" s="29"/>
      <c r="T8" s="28"/>
      <c r="U8" s="29"/>
      <c r="V8" s="30" t="s">
        <v>28</v>
      </c>
      <c r="W8" s="33">
        <f t="shared" si="2"/>
        <v>40</v>
      </c>
      <c r="X8" s="30"/>
      <c r="Y8" s="20" t="s">
        <v>57</v>
      </c>
      <c r="Z8" s="20" t="s">
        <v>57</v>
      </c>
      <c r="AA8" s="20" t="s">
        <v>57</v>
      </c>
      <c r="AB8" s="20"/>
      <c r="AC8" s="20" t="s">
        <v>57</v>
      </c>
      <c r="AD8" s="20" t="s">
        <v>57</v>
      </c>
      <c r="AE8" s="20" t="s">
        <v>57</v>
      </c>
      <c r="AF8" s="20" t="s">
        <v>57</v>
      </c>
      <c r="AG8" s="20"/>
      <c r="AH8" s="20" t="s">
        <v>57</v>
      </c>
    </row>
    <row r="9" spans="1:35">
      <c r="A9" s="31">
        <f t="shared" si="0"/>
        <v>5</v>
      </c>
      <c r="B9" s="21" t="s">
        <v>72</v>
      </c>
      <c r="C9" s="20" t="s">
        <v>22</v>
      </c>
      <c r="D9" s="24" t="s">
        <v>57</v>
      </c>
      <c r="E9" s="26">
        <v>0.54166666666666663</v>
      </c>
      <c r="F9" s="22">
        <v>0.58333333333333337</v>
      </c>
      <c r="G9" s="32">
        <f t="shared" si="1"/>
        <v>60</v>
      </c>
      <c r="H9" s="26">
        <v>0.375</v>
      </c>
      <c r="I9" s="27">
        <v>0.72916666666666663</v>
      </c>
      <c r="J9" s="26">
        <v>0.375</v>
      </c>
      <c r="K9" s="27">
        <v>0.72916666666666663</v>
      </c>
      <c r="L9" s="26">
        <v>0.375</v>
      </c>
      <c r="M9" s="27">
        <v>0.72916666666666663</v>
      </c>
      <c r="N9" s="26">
        <v>0.375</v>
      </c>
      <c r="O9" s="27">
        <v>0.72916666666666663</v>
      </c>
      <c r="P9" s="26">
        <v>0.375</v>
      </c>
      <c r="Q9" s="27">
        <v>0.72916666666666663</v>
      </c>
      <c r="R9" s="28"/>
      <c r="S9" s="29"/>
      <c r="T9" s="28"/>
      <c r="U9" s="29"/>
      <c r="V9" s="30" t="s">
        <v>28</v>
      </c>
      <c r="W9" s="33">
        <f t="shared" si="2"/>
        <v>37.5</v>
      </c>
      <c r="X9" s="30"/>
      <c r="Y9" s="20" t="s">
        <v>57</v>
      </c>
      <c r="Z9" s="20" t="s">
        <v>57</v>
      </c>
      <c r="AA9" s="20" t="s">
        <v>57</v>
      </c>
      <c r="AB9" s="20" t="s">
        <v>57</v>
      </c>
      <c r="AC9" s="20" t="s">
        <v>57</v>
      </c>
      <c r="AD9" s="20" t="s">
        <v>57</v>
      </c>
      <c r="AE9" s="20" t="s">
        <v>57</v>
      </c>
      <c r="AF9" s="20" t="s">
        <v>57</v>
      </c>
      <c r="AG9" s="20" t="s">
        <v>57</v>
      </c>
      <c r="AH9" s="20" t="s">
        <v>57</v>
      </c>
    </row>
    <row r="10" spans="1:35">
      <c r="A10" s="31">
        <f t="shared" si="0"/>
        <v>6</v>
      </c>
      <c r="B10" s="21" t="s">
        <v>74</v>
      </c>
      <c r="C10" s="20" t="s">
        <v>23</v>
      </c>
      <c r="D10" s="24" t="s">
        <v>57</v>
      </c>
      <c r="E10" s="26">
        <v>0.5</v>
      </c>
      <c r="F10" s="22">
        <v>0.54166666666666663</v>
      </c>
      <c r="G10" s="32">
        <f t="shared" si="1"/>
        <v>60</v>
      </c>
      <c r="H10" s="26">
        <v>0.39583333333333331</v>
      </c>
      <c r="I10" s="27">
        <v>0.72916666666666663</v>
      </c>
      <c r="J10" s="26">
        <v>0.39583333333333331</v>
      </c>
      <c r="K10" s="27">
        <v>0.72916666666666663</v>
      </c>
      <c r="L10" s="26">
        <v>0.39583333333333331</v>
      </c>
      <c r="M10" s="27">
        <v>0.72916666666666663</v>
      </c>
      <c r="N10" s="26">
        <v>0.39583333333333331</v>
      </c>
      <c r="O10" s="27">
        <v>0.72916666666666663</v>
      </c>
      <c r="P10" s="26">
        <v>0.39583333333333331</v>
      </c>
      <c r="Q10" s="27">
        <v>0.72916666666666663</v>
      </c>
      <c r="R10" s="28"/>
      <c r="S10" s="29"/>
      <c r="T10" s="28"/>
      <c r="U10" s="29"/>
      <c r="V10" s="30" t="s">
        <v>28</v>
      </c>
      <c r="W10" s="33">
        <f t="shared" si="2"/>
        <v>35</v>
      </c>
      <c r="X10" s="30" t="s">
        <v>57</v>
      </c>
      <c r="Y10" s="20"/>
      <c r="Z10" s="20" t="s">
        <v>57</v>
      </c>
      <c r="AA10" s="20"/>
      <c r="AB10" s="20"/>
      <c r="AC10" s="20"/>
      <c r="AD10" s="20"/>
      <c r="AE10" s="20"/>
      <c r="AF10" s="20"/>
      <c r="AG10" s="20"/>
      <c r="AH10" s="20"/>
    </row>
    <row r="11" spans="1:35">
      <c r="A11" s="31">
        <f t="shared" si="0"/>
        <v>7</v>
      </c>
      <c r="B11" s="21" t="s">
        <v>76</v>
      </c>
      <c r="C11" s="20" t="s">
        <v>23</v>
      </c>
      <c r="D11" s="24" t="s">
        <v>57</v>
      </c>
      <c r="E11" s="26">
        <v>0.5</v>
      </c>
      <c r="F11" s="22">
        <v>0.54166666666666663</v>
      </c>
      <c r="G11" s="32">
        <f t="shared" si="1"/>
        <v>60</v>
      </c>
      <c r="H11" s="26">
        <v>0.35069444444444442</v>
      </c>
      <c r="I11" s="27">
        <v>0.66319444444444442</v>
      </c>
      <c r="J11" s="26">
        <v>0.35069444444444442</v>
      </c>
      <c r="K11" s="27">
        <v>0.66319444444444442</v>
      </c>
      <c r="L11" s="26">
        <v>0.35069444444444442</v>
      </c>
      <c r="M11" s="27">
        <v>0.66319444444444442</v>
      </c>
      <c r="N11" s="26">
        <v>0.35069444444444442</v>
      </c>
      <c r="O11" s="27">
        <v>0.66319444444444442</v>
      </c>
      <c r="P11" s="26"/>
      <c r="Q11" s="27"/>
      <c r="R11" s="28"/>
      <c r="S11" s="29"/>
      <c r="T11" s="28"/>
      <c r="U11" s="29"/>
      <c r="V11" s="30" t="s">
        <v>28</v>
      </c>
      <c r="W11" s="33">
        <f t="shared" si="2"/>
        <v>26</v>
      </c>
      <c r="X11" s="30" t="s">
        <v>57</v>
      </c>
      <c r="Y11" s="20"/>
      <c r="Z11" s="20" t="s">
        <v>57</v>
      </c>
      <c r="AA11" s="20"/>
      <c r="AB11" s="20"/>
      <c r="AC11" s="20"/>
      <c r="AD11" s="20"/>
      <c r="AE11" s="20"/>
      <c r="AF11" s="20"/>
      <c r="AG11" s="20"/>
      <c r="AH11" s="20"/>
    </row>
    <row r="12" spans="1:35">
      <c r="A12" s="31">
        <f t="shared" si="0"/>
        <v>8</v>
      </c>
      <c r="B12" s="21" t="s">
        <v>78</v>
      </c>
      <c r="C12" s="20" t="s">
        <v>23</v>
      </c>
      <c r="D12" s="24" t="s">
        <v>57</v>
      </c>
      <c r="E12" s="26">
        <v>0.5</v>
      </c>
      <c r="F12" s="22">
        <v>0.54166666666666663</v>
      </c>
      <c r="G12" s="32">
        <f t="shared" si="1"/>
        <v>60</v>
      </c>
      <c r="H12" s="26">
        <v>0.35069444444444442</v>
      </c>
      <c r="I12" s="27">
        <v>0.72569444444444442</v>
      </c>
      <c r="J12" s="26">
        <v>0.35069444444444442</v>
      </c>
      <c r="K12" s="27">
        <v>0.72569444444444442</v>
      </c>
      <c r="L12" s="26">
        <v>0.35069444444444442</v>
      </c>
      <c r="M12" s="27">
        <v>0.72569444444444442</v>
      </c>
      <c r="N12" s="26">
        <v>0.35069444444444442</v>
      </c>
      <c r="O12" s="27">
        <v>0.72569444444444442</v>
      </c>
      <c r="P12" s="26">
        <v>0.35069444444444442</v>
      </c>
      <c r="Q12" s="27">
        <v>0.72569444444444442</v>
      </c>
      <c r="R12" s="28"/>
      <c r="S12" s="29"/>
      <c r="T12" s="28"/>
      <c r="U12" s="29"/>
      <c r="V12" s="30" t="s">
        <v>28</v>
      </c>
      <c r="W12" s="33">
        <f t="shared" si="2"/>
        <v>40</v>
      </c>
      <c r="X12" s="30" t="s">
        <v>57</v>
      </c>
      <c r="Y12" s="20"/>
      <c r="Z12" s="20"/>
      <c r="AA12" s="20" t="s">
        <v>57</v>
      </c>
      <c r="AB12" s="20"/>
      <c r="AC12" s="20"/>
      <c r="AD12" s="20"/>
      <c r="AE12" s="20"/>
      <c r="AF12" s="20"/>
      <c r="AG12" s="20"/>
      <c r="AH12" s="20"/>
    </row>
    <row r="13" spans="1:35">
      <c r="A13" s="31">
        <f t="shared" si="0"/>
        <v>9</v>
      </c>
      <c r="B13" s="21" t="s">
        <v>80</v>
      </c>
      <c r="C13" s="20" t="s">
        <v>23</v>
      </c>
      <c r="D13" s="24" t="s">
        <v>57</v>
      </c>
      <c r="E13" s="26">
        <v>0.5</v>
      </c>
      <c r="F13" s="22">
        <v>0.54166666666666663</v>
      </c>
      <c r="G13" s="32">
        <f t="shared" si="1"/>
        <v>60</v>
      </c>
      <c r="H13" s="26">
        <v>0.35069444444444442</v>
      </c>
      <c r="I13" s="27">
        <v>0.72569444444444442</v>
      </c>
      <c r="J13" s="26">
        <v>0.35069444444444442</v>
      </c>
      <c r="K13" s="27">
        <v>0.72569444444444442</v>
      </c>
      <c r="L13" s="26">
        <v>0.35069444444444442</v>
      </c>
      <c r="M13" s="27">
        <v>0.72569444444444442</v>
      </c>
      <c r="N13" s="26">
        <v>0.35069444444444442</v>
      </c>
      <c r="O13" s="27">
        <v>0.72569444444444442</v>
      </c>
      <c r="P13" s="26">
        <v>0.35069444444444442</v>
      </c>
      <c r="Q13" s="27">
        <v>0.72569444444444442</v>
      </c>
      <c r="R13" s="28"/>
      <c r="S13" s="29"/>
      <c r="T13" s="28"/>
      <c r="U13" s="29"/>
      <c r="V13" s="30" t="s">
        <v>28</v>
      </c>
      <c r="W13" s="33">
        <f t="shared" si="2"/>
        <v>40</v>
      </c>
      <c r="X13" s="30" t="s">
        <v>57</v>
      </c>
      <c r="Y13" s="20"/>
      <c r="Z13" s="20"/>
      <c r="AA13" s="20" t="s">
        <v>57</v>
      </c>
      <c r="AB13" s="20"/>
      <c r="AC13" s="20"/>
      <c r="AD13" s="20"/>
      <c r="AE13" s="20"/>
      <c r="AF13" s="20"/>
      <c r="AG13" s="20"/>
      <c r="AH13" s="20"/>
    </row>
    <row r="14" spans="1:35">
      <c r="A14" s="31">
        <f t="shared" si="0"/>
        <v>10</v>
      </c>
      <c r="B14" s="21" t="s">
        <v>82</v>
      </c>
      <c r="C14" s="20" t="s">
        <v>23</v>
      </c>
      <c r="D14" s="24" t="s">
        <v>57</v>
      </c>
      <c r="E14" s="26">
        <v>0.5</v>
      </c>
      <c r="F14" s="22">
        <v>0.54166666666666663</v>
      </c>
      <c r="G14" s="32">
        <f t="shared" si="1"/>
        <v>60</v>
      </c>
      <c r="H14" s="26">
        <v>0.375</v>
      </c>
      <c r="I14" s="27">
        <v>0.75</v>
      </c>
      <c r="J14" s="26">
        <v>0.375</v>
      </c>
      <c r="K14" s="27">
        <v>0.75</v>
      </c>
      <c r="L14" s="26"/>
      <c r="M14" s="27"/>
      <c r="N14" s="26">
        <v>0.375</v>
      </c>
      <c r="O14" s="27">
        <v>0.75</v>
      </c>
      <c r="P14" s="26">
        <v>0.375</v>
      </c>
      <c r="Q14" s="27">
        <v>0.75</v>
      </c>
      <c r="R14" s="28"/>
      <c r="S14" s="29"/>
      <c r="T14" s="28"/>
      <c r="U14" s="29"/>
      <c r="V14" s="30" t="s">
        <v>28</v>
      </c>
      <c r="W14" s="33">
        <f t="shared" si="2"/>
        <v>32</v>
      </c>
      <c r="X14" s="30"/>
      <c r="Y14" s="20" t="s">
        <v>57</v>
      </c>
      <c r="Z14" s="20" t="s">
        <v>57</v>
      </c>
      <c r="AA14" s="20" t="s">
        <v>57</v>
      </c>
      <c r="AB14" s="20" t="s">
        <v>57</v>
      </c>
      <c r="AC14" s="20" t="s">
        <v>57</v>
      </c>
      <c r="AD14" s="20" t="s">
        <v>57</v>
      </c>
      <c r="AE14" s="20" t="s">
        <v>57</v>
      </c>
      <c r="AF14" s="20" t="s">
        <v>57</v>
      </c>
      <c r="AG14" s="20" t="s">
        <v>57</v>
      </c>
      <c r="AH14" s="20" t="s">
        <v>57</v>
      </c>
    </row>
    <row r="15" spans="1:35">
      <c r="A15" s="31">
        <f t="shared" si="0"/>
        <v>11</v>
      </c>
      <c r="B15" s="21" t="s">
        <v>84</v>
      </c>
      <c r="C15" s="20" t="s">
        <v>23</v>
      </c>
      <c r="D15" s="24" t="s">
        <v>57</v>
      </c>
      <c r="E15" s="26">
        <v>0.5</v>
      </c>
      <c r="F15" s="22">
        <v>0.54166666666666663</v>
      </c>
      <c r="G15" s="32">
        <f t="shared" si="1"/>
        <v>60</v>
      </c>
      <c r="H15" s="26">
        <v>0.375</v>
      </c>
      <c r="I15" s="27">
        <v>0.75</v>
      </c>
      <c r="J15" s="26">
        <v>0.375</v>
      </c>
      <c r="K15" s="27">
        <v>0.75</v>
      </c>
      <c r="L15" s="26">
        <v>0.375</v>
      </c>
      <c r="M15" s="27">
        <v>0.75</v>
      </c>
      <c r="N15" s="26"/>
      <c r="O15" s="27"/>
      <c r="P15" s="26">
        <v>0.375</v>
      </c>
      <c r="Q15" s="27">
        <v>0.75</v>
      </c>
      <c r="R15" s="28"/>
      <c r="S15" s="29"/>
      <c r="T15" s="28"/>
      <c r="U15" s="29"/>
      <c r="V15" s="30" t="s">
        <v>28</v>
      </c>
      <c r="W15" s="33">
        <f t="shared" si="2"/>
        <v>32</v>
      </c>
      <c r="X15" s="30"/>
      <c r="Y15" s="20" t="s">
        <v>57</v>
      </c>
      <c r="Z15" s="20" t="s">
        <v>57</v>
      </c>
      <c r="AA15" s="20" t="s">
        <v>57</v>
      </c>
      <c r="AB15" s="20" t="s">
        <v>57</v>
      </c>
      <c r="AC15" s="20" t="s">
        <v>57</v>
      </c>
      <c r="AD15" s="20" t="s">
        <v>57</v>
      </c>
      <c r="AE15" s="20" t="s">
        <v>57</v>
      </c>
      <c r="AF15" s="20" t="s">
        <v>57</v>
      </c>
      <c r="AG15" s="20" t="s">
        <v>57</v>
      </c>
      <c r="AH15" s="20" t="s">
        <v>57</v>
      </c>
    </row>
    <row r="16" spans="1:35">
      <c r="A16" s="31">
        <f t="shared" si="0"/>
        <v>12</v>
      </c>
      <c r="B16" s="21" t="s">
        <v>86</v>
      </c>
      <c r="C16" s="20" t="s">
        <v>23</v>
      </c>
      <c r="D16" s="24" t="s">
        <v>57</v>
      </c>
      <c r="E16" s="26">
        <v>0.5</v>
      </c>
      <c r="F16" s="22">
        <v>0.54166666666666663</v>
      </c>
      <c r="G16" s="32">
        <f t="shared" si="1"/>
        <v>60</v>
      </c>
      <c r="H16" s="26">
        <v>0.35416666666666669</v>
      </c>
      <c r="I16" s="27">
        <v>0.72916666666666663</v>
      </c>
      <c r="J16" s="26"/>
      <c r="K16" s="27"/>
      <c r="L16" s="26">
        <v>0.35416666666666669</v>
      </c>
      <c r="M16" s="27">
        <v>0.72916666666666663</v>
      </c>
      <c r="N16" s="26">
        <v>0.35416666666666669</v>
      </c>
      <c r="O16" s="27">
        <v>0.72916666666666663</v>
      </c>
      <c r="P16" s="26">
        <v>0.35416666666666669</v>
      </c>
      <c r="Q16" s="27">
        <v>0.72916666666666663</v>
      </c>
      <c r="R16" s="28"/>
      <c r="S16" s="29"/>
      <c r="T16" s="28"/>
      <c r="U16" s="29"/>
      <c r="V16" s="30" t="s">
        <v>28</v>
      </c>
      <c r="W16" s="33">
        <f t="shared" si="2"/>
        <v>31.999999999999993</v>
      </c>
      <c r="X16" s="30" t="s">
        <v>57</v>
      </c>
      <c r="Y16" s="20" t="s">
        <v>57</v>
      </c>
      <c r="Z16" s="20" t="s">
        <v>57</v>
      </c>
      <c r="AA16" s="20" t="s">
        <v>57</v>
      </c>
      <c r="AB16" s="20" t="s">
        <v>57</v>
      </c>
      <c r="AC16" s="20" t="s">
        <v>57</v>
      </c>
      <c r="AD16" s="20" t="s">
        <v>57</v>
      </c>
      <c r="AE16" s="20" t="s">
        <v>57</v>
      </c>
      <c r="AF16" s="20" t="s">
        <v>57</v>
      </c>
      <c r="AG16" s="20" t="s">
        <v>57</v>
      </c>
      <c r="AH16" s="20" t="s">
        <v>57</v>
      </c>
    </row>
    <row r="17" spans="1:34">
      <c r="A17" s="31">
        <f t="shared" si="0"/>
        <v>13</v>
      </c>
      <c r="B17" s="21" t="s">
        <v>88</v>
      </c>
      <c r="C17" s="20" t="s">
        <v>23</v>
      </c>
      <c r="D17" s="24" t="s">
        <v>57</v>
      </c>
      <c r="E17" s="26">
        <v>0.5</v>
      </c>
      <c r="F17" s="22">
        <v>0.54166666666666663</v>
      </c>
      <c r="G17" s="32">
        <f t="shared" si="1"/>
        <v>60</v>
      </c>
      <c r="H17" s="26">
        <v>0.35069444444444442</v>
      </c>
      <c r="I17" s="27">
        <v>0.72569444444444442</v>
      </c>
      <c r="J17" s="26">
        <v>0.35069444444444442</v>
      </c>
      <c r="K17" s="27">
        <v>0.72569444444444442</v>
      </c>
      <c r="L17" s="26">
        <v>0.35069444444444442</v>
      </c>
      <c r="M17" s="27">
        <v>0.72569444444444442</v>
      </c>
      <c r="N17" s="26">
        <v>0.35069444444444442</v>
      </c>
      <c r="O17" s="27">
        <v>0.72569444444444442</v>
      </c>
      <c r="P17" s="26">
        <v>0.35069444444444442</v>
      </c>
      <c r="Q17" s="27">
        <v>0.72569444444444442</v>
      </c>
      <c r="R17" s="28"/>
      <c r="S17" s="29"/>
      <c r="T17" s="28"/>
      <c r="U17" s="29"/>
      <c r="V17" s="30" t="s">
        <v>28</v>
      </c>
      <c r="W17" s="33">
        <f t="shared" si="2"/>
        <v>40</v>
      </c>
      <c r="X17" s="30" t="s">
        <v>57</v>
      </c>
      <c r="Y17" s="20" t="s">
        <v>57</v>
      </c>
      <c r="Z17" s="20" t="s">
        <v>57</v>
      </c>
      <c r="AA17" s="20" t="s">
        <v>57</v>
      </c>
      <c r="AB17" s="20" t="s">
        <v>57</v>
      </c>
      <c r="AC17" s="20" t="s">
        <v>57</v>
      </c>
      <c r="AD17" s="20" t="s">
        <v>57</v>
      </c>
      <c r="AE17" s="20" t="s">
        <v>57</v>
      </c>
      <c r="AF17" s="20" t="s">
        <v>57</v>
      </c>
      <c r="AG17" s="20" t="s">
        <v>57</v>
      </c>
      <c r="AH17" s="20" t="s">
        <v>57</v>
      </c>
    </row>
    <row r="18" spans="1:34">
      <c r="A18" s="31">
        <f t="shared" si="0"/>
        <v>14</v>
      </c>
      <c r="B18" s="21" t="s">
        <v>89</v>
      </c>
      <c r="C18" s="20" t="s">
        <v>23</v>
      </c>
      <c r="D18" s="24" t="s">
        <v>90</v>
      </c>
      <c r="E18" s="26">
        <v>0.5</v>
      </c>
      <c r="F18" s="22">
        <v>0.54166666666666663</v>
      </c>
      <c r="G18" s="32">
        <f t="shared" si="1"/>
        <v>60</v>
      </c>
      <c r="H18" s="26"/>
      <c r="I18" s="27"/>
      <c r="J18" s="26"/>
      <c r="K18" s="27"/>
      <c r="L18" s="26"/>
      <c r="M18" s="27"/>
      <c r="N18" s="26"/>
      <c r="O18" s="27"/>
      <c r="P18" s="26"/>
      <c r="Q18" s="27"/>
      <c r="R18" s="28"/>
      <c r="S18" s="29"/>
      <c r="T18" s="28"/>
      <c r="U18" s="29"/>
      <c r="V18" s="30" t="s">
        <v>28</v>
      </c>
      <c r="W18" s="33">
        <f t="shared" si="2"/>
        <v>0</v>
      </c>
      <c r="X18" s="30"/>
      <c r="Y18" s="20"/>
      <c r="Z18" s="20"/>
      <c r="AA18" s="20"/>
      <c r="AB18" s="20"/>
      <c r="AC18" s="20"/>
      <c r="AD18" s="20"/>
      <c r="AE18" s="20"/>
      <c r="AF18" s="20"/>
      <c r="AG18" s="20"/>
      <c r="AH18" s="20"/>
    </row>
    <row r="19" spans="1:34">
      <c r="A19" s="31" t="str">
        <f t="shared" si="0"/>
        <v/>
      </c>
      <c r="B19" s="21"/>
      <c r="C19" s="20"/>
      <c r="D19" s="24"/>
      <c r="E19" s="26"/>
      <c r="F19" s="22"/>
      <c r="G19" s="32" t="str">
        <f t="shared" si="1"/>
        <v/>
      </c>
      <c r="H19" s="26"/>
      <c r="I19" s="27"/>
      <c r="J19" s="26"/>
      <c r="K19" s="27"/>
      <c r="L19" s="26"/>
      <c r="M19" s="27"/>
      <c r="N19" s="26"/>
      <c r="O19" s="27"/>
      <c r="P19" s="26"/>
      <c r="Q19" s="27"/>
      <c r="R19" s="28"/>
      <c r="S19" s="29"/>
      <c r="T19" s="28"/>
      <c r="U19" s="29"/>
      <c r="V19" s="30"/>
      <c r="W19" s="33" t="str">
        <f t="shared" si="2"/>
        <v/>
      </c>
      <c r="X19" s="30"/>
      <c r="Y19" s="20"/>
      <c r="Z19" s="20"/>
      <c r="AA19" s="20"/>
      <c r="AB19" s="20"/>
      <c r="AC19" s="20"/>
      <c r="AD19" s="20"/>
      <c r="AE19" s="20"/>
      <c r="AF19" s="20"/>
      <c r="AG19" s="20"/>
      <c r="AH19" s="20"/>
    </row>
    <row r="20" spans="1:34">
      <c r="A20" s="31" t="str">
        <f t="shared" si="0"/>
        <v/>
      </c>
      <c r="B20" s="21"/>
      <c r="C20" s="20"/>
      <c r="D20" s="24"/>
      <c r="E20" s="26"/>
      <c r="F20" s="22"/>
      <c r="G20" s="32" t="str">
        <f t="shared" si="1"/>
        <v/>
      </c>
      <c r="H20" s="26"/>
      <c r="I20" s="27"/>
      <c r="J20" s="26"/>
      <c r="K20" s="27"/>
      <c r="L20" s="26"/>
      <c r="M20" s="27"/>
      <c r="N20" s="26"/>
      <c r="O20" s="27"/>
      <c r="P20" s="26"/>
      <c r="Q20" s="27"/>
      <c r="R20" s="28"/>
      <c r="S20" s="29"/>
      <c r="T20" s="28"/>
      <c r="U20" s="29"/>
      <c r="V20" s="30"/>
      <c r="W20" s="33" t="str">
        <f t="shared" si="2"/>
        <v/>
      </c>
      <c r="X20" s="30"/>
      <c r="Y20" s="20"/>
      <c r="Z20" s="20"/>
      <c r="AA20" s="20"/>
      <c r="AB20" s="20"/>
      <c r="AC20" s="20"/>
      <c r="AD20" s="20"/>
      <c r="AE20" s="20"/>
      <c r="AF20" s="20"/>
      <c r="AG20" s="20"/>
      <c r="AH20" s="20"/>
    </row>
    <row r="21" spans="1:34">
      <c r="A21" s="31" t="str">
        <f t="shared" si="0"/>
        <v/>
      </c>
      <c r="B21" s="21"/>
      <c r="C21" s="20"/>
      <c r="D21" s="24"/>
      <c r="E21" s="26"/>
      <c r="F21" s="22"/>
      <c r="G21" s="32" t="str">
        <f t="shared" si="1"/>
        <v/>
      </c>
      <c r="H21" s="26"/>
      <c r="I21" s="27"/>
      <c r="J21" s="26"/>
      <c r="K21" s="27"/>
      <c r="L21" s="26"/>
      <c r="M21" s="27"/>
      <c r="N21" s="26"/>
      <c r="O21" s="27"/>
      <c r="P21" s="26"/>
      <c r="Q21" s="27"/>
      <c r="R21" s="28"/>
      <c r="S21" s="29"/>
      <c r="T21" s="28"/>
      <c r="U21" s="29"/>
      <c r="V21" s="30"/>
      <c r="W21" s="33" t="str">
        <f t="shared" si="2"/>
        <v/>
      </c>
      <c r="X21" s="30"/>
      <c r="Y21" s="20"/>
      <c r="Z21" s="20"/>
      <c r="AA21" s="20"/>
      <c r="AB21" s="20"/>
      <c r="AC21" s="20"/>
      <c r="AD21" s="20"/>
      <c r="AE21" s="20"/>
      <c r="AF21" s="20"/>
      <c r="AG21" s="20"/>
      <c r="AH21" s="20"/>
    </row>
    <row r="22" spans="1:34">
      <c r="A22" s="31" t="str">
        <f t="shared" si="0"/>
        <v/>
      </c>
      <c r="B22" s="21"/>
      <c r="C22" s="20"/>
      <c r="D22" s="24"/>
      <c r="E22" s="26"/>
      <c r="F22" s="22"/>
      <c r="G22" s="32" t="str">
        <f t="shared" si="1"/>
        <v/>
      </c>
      <c r="H22" s="26"/>
      <c r="I22" s="27"/>
      <c r="J22" s="26"/>
      <c r="K22" s="27"/>
      <c r="L22" s="26"/>
      <c r="M22" s="27"/>
      <c r="N22" s="26"/>
      <c r="O22" s="27"/>
      <c r="P22" s="26"/>
      <c r="Q22" s="27"/>
      <c r="R22" s="28"/>
      <c r="S22" s="29"/>
      <c r="T22" s="28"/>
      <c r="U22" s="29"/>
      <c r="V22" s="30"/>
      <c r="W22" s="33" t="str">
        <f t="shared" si="2"/>
        <v/>
      </c>
      <c r="X22" s="30"/>
      <c r="Y22" s="20"/>
      <c r="Z22" s="20"/>
      <c r="AA22" s="20"/>
      <c r="AB22" s="20"/>
      <c r="AC22" s="20"/>
      <c r="AD22" s="20"/>
      <c r="AE22" s="20"/>
      <c r="AF22" s="20"/>
      <c r="AG22" s="20"/>
      <c r="AH22" s="20"/>
    </row>
    <row r="23" spans="1:34">
      <c r="A23" s="31" t="str">
        <f t="shared" si="0"/>
        <v/>
      </c>
      <c r="B23" s="21"/>
      <c r="C23" s="20"/>
      <c r="D23" s="24"/>
      <c r="E23" s="26"/>
      <c r="F23" s="22"/>
      <c r="G23" s="32" t="str">
        <f t="shared" si="1"/>
        <v/>
      </c>
      <c r="H23" s="26"/>
      <c r="I23" s="27"/>
      <c r="J23" s="26"/>
      <c r="K23" s="27"/>
      <c r="L23" s="26"/>
      <c r="M23" s="27"/>
      <c r="N23" s="26"/>
      <c r="O23" s="27"/>
      <c r="P23" s="26"/>
      <c r="Q23" s="27"/>
      <c r="R23" s="28"/>
      <c r="S23" s="29"/>
      <c r="T23" s="28"/>
      <c r="U23" s="29"/>
      <c r="V23" s="30"/>
      <c r="W23" s="33" t="str">
        <f t="shared" si="2"/>
        <v/>
      </c>
      <c r="X23" s="30"/>
      <c r="Y23" s="20"/>
      <c r="Z23" s="20"/>
      <c r="AA23" s="20"/>
      <c r="AB23" s="20"/>
      <c r="AC23" s="20"/>
      <c r="AD23" s="20"/>
      <c r="AE23" s="20"/>
      <c r="AF23" s="20"/>
      <c r="AG23" s="20"/>
      <c r="AH23" s="20"/>
    </row>
    <row r="24" spans="1:34">
      <c r="A24" s="31" t="str">
        <f t="shared" si="0"/>
        <v/>
      </c>
      <c r="B24" s="21"/>
      <c r="C24" s="20"/>
      <c r="D24" s="24"/>
      <c r="E24" s="26"/>
      <c r="F24" s="22"/>
      <c r="G24" s="32" t="str">
        <f t="shared" si="1"/>
        <v/>
      </c>
      <c r="H24" s="26"/>
      <c r="I24" s="27"/>
      <c r="J24" s="26"/>
      <c r="K24" s="27"/>
      <c r="L24" s="26"/>
      <c r="M24" s="27"/>
      <c r="N24" s="26"/>
      <c r="O24" s="27"/>
      <c r="P24" s="26"/>
      <c r="Q24" s="27"/>
      <c r="R24" s="28"/>
      <c r="S24" s="29"/>
      <c r="T24" s="28"/>
      <c r="U24" s="29"/>
      <c r="V24" s="30"/>
      <c r="W24" s="33" t="str">
        <f t="shared" si="2"/>
        <v/>
      </c>
      <c r="X24" s="30"/>
      <c r="Y24" s="20"/>
      <c r="Z24" s="20"/>
      <c r="AA24" s="20"/>
      <c r="AB24" s="20"/>
      <c r="AC24" s="20"/>
      <c r="AD24" s="20"/>
      <c r="AE24" s="20"/>
      <c r="AF24" s="20"/>
      <c r="AG24" s="20"/>
      <c r="AH24" s="20"/>
    </row>
    <row r="25" spans="1:34">
      <c r="A25" s="31" t="str">
        <f t="shared" si="0"/>
        <v/>
      </c>
      <c r="B25" s="21"/>
      <c r="C25" s="20"/>
      <c r="D25" s="24"/>
      <c r="E25" s="26"/>
      <c r="F25" s="22"/>
      <c r="G25" s="32" t="str">
        <f t="shared" si="1"/>
        <v/>
      </c>
      <c r="H25" s="26"/>
      <c r="I25" s="27"/>
      <c r="J25" s="26"/>
      <c r="K25" s="27"/>
      <c r="L25" s="26"/>
      <c r="M25" s="27"/>
      <c r="N25" s="26"/>
      <c r="O25" s="27"/>
      <c r="P25" s="26"/>
      <c r="Q25" s="27"/>
      <c r="R25" s="28"/>
      <c r="S25" s="29"/>
      <c r="T25" s="28"/>
      <c r="U25" s="29"/>
      <c r="V25" s="30"/>
      <c r="W25" s="33" t="str">
        <f t="shared" si="2"/>
        <v/>
      </c>
      <c r="X25" s="30"/>
      <c r="Y25" s="20"/>
      <c r="Z25" s="20"/>
      <c r="AA25" s="20"/>
      <c r="AB25" s="20"/>
      <c r="AC25" s="20"/>
      <c r="AD25" s="20"/>
      <c r="AE25" s="20"/>
      <c r="AF25" s="20"/>
      <c r="AG25" s="20"/>
      <c r="AH25" s="20"/>
    </row>
    <row r="26" spans="1:34">
      <c r="A26" s="31" t="str">
        <f t="shared" si="0"/>
        <v/>
      </c>
      <c r="B26" s="21"/>
      <c r="C26" s="20"/>
      <c r="D26" s="24"/>
      <c r="E26" s="26"/>
      <c r="F26" s="22"/>
      <c r="G26" s="32" t="str">
        <f t="shared" si="1"/>
        <v/>
      </c>
      <c r="H26" s="26"/>
      <c r="I26" s="27"/>
      <c r="J26" s="26"/>
      <c r="K26" s="27"/>
      <c r="L26" s="26"/>
      <c r="M26" s="27"/>
      <c r="N26" s="26"/>
      <c r="O26" s="27"/>
      <c r="P26" s="26"/>
      <c r="Q26" s="27"/>
      <c r="R26" s="28"/>
      <c r="S26" s="29"/>
      <c r="T26" s="28"/>
      <c r="U26" s="29"/>
      <c r="V26" s="30"/>
      <c r="W26" s="33" t="str">
        <f t="shared" si="2"/>
        <v/>
      </c>
      <c r="X26" s="30"/>
      <c r="Y26" s="20"/>
      <c r="Z26" s="20"/>
      <c r="AA26" s="20"/>
      <c r="AB26" s="20"/>
      <c r="AC26" s="20"/>
      <c r="AD26" s="20"/>
      <c r="AE26" s="20"/>
      <c r="AF26" s="20"/>
      <c r="AG26" s="20"/>
      <c r="AH26" s="20"/>
    </row>
    <row r="27" spans="1:34">
      <c r="A27" s="31" t="str">
        <f t="shared" si="0"/>
        <v/>
      </c>
      <c r="B27" s="21"/>
      <c r="C27" s="20"/>
      <c r="D27" s="24"/>
      <c r="E27" s="26"/>
      <c r="F27" s="22"/>
      <c r="G27" s="32" t="str">
        <f t="shared" si="1"/>
        <v/>
      </c>
      <c r="H27" s="26"/>
      <c r="I27" s="27"/>
      <c r="J27" s="26"/>
      <c r="K27" s="27"/>
      <c r="L27" s="26"/>
      <c r="M27" s="27"/>
      <c r="N27" s="26"/>
      <c r="O27" s="27"/>
      <c r="P27" s="26"/>
      <c r="Q27" s="27"/>
      <c r="R27" s="28"/>
      <c r="S27" s="29"/>
      <c r="T27" s="28"/>
      <c r="U27" s="29"/>
      <c r="V27" s="30"/>
      <c r="W27" s="33" t="str">
        <f t="shared" si="2"/>
        <v/>
      </c>
      <c r="X27" s="30"/>
      <c r="Y27" s="20"/>
      <c r="Z27" s="20"/>
      <c r="AA27" s="20"/>
      <c r="AB27" s="20"/>
      <c r="AC27" s="20"/>
      <c r="AD27" s="20"/>
      <c r="AE27" s="20"/>
      <c r="AF27" s="20"/>
      <c r="AG27" s="20"/>
      <c r="AH27" s="20"/>
    </row>
    <row r="28" spans="1:34">
      <c r="A28" s="31" t="str">
        <f t="shared" si="0"/>
        <v/>
      </c>
      <c r="B28" s="21"/>
      <c r="C28" s="20"/>
      <c r="D28" s="24"/>
      <c r="E28" s="26"/>
      <c r="F28" s="22"/>
      <c r="G28" s="32" t="str">
        <f t="shared" si="1"/>
        <v/>
      </c>
      <c r="H28" s="26"/>
      <c r="I28" s="27"/>
      <c r="J28" s="26"/>
      <c r="K28" s="27"/>
      <c r="L28" s="26"/>
      <c r="M28" s="27"/>
      <c r="N28" s="26"/>
      <c r="O28" s="27"/>
      <c r="P28" s="26"/>
      <c r="Q28" s="27"/>
      <c r="R28" s="28"/>
      <c r="S28" s="29"/>
      <c r="T28" s="28"/>
      <c r="U28" s="29"/>
      <c r="V28" s="30"/>
      <c r="W28" s="33" t="str">
        <f t="shared" si="2"/>
        <v/>
      </c>
      <c r="X28" s="30"/>
      <c r="Y28" s="20"/>
      <c r="Z28" s="20"/>
      <c r="AA28" s="20"/>
      <c r="AB28" s="20"/>
      <c r="AC28" s="20"/>
      <c r="AD28" s="20"/>
      <c r="AE28" s="20"/>
      <c r="AF28" s="20"/>
      <c r="AG28" s="20"/>
      <c r="AH28" s="20"/>
    </row>
    <row r="29" spans="1:34">
      <c r="A29" s="31" t="str">
        <f t="shared" si="0"/>
        <v/>
      </c>
      <c r="B29" s="21"/>
      <c r="C29" s="20"/>
      <c r="D29" s="24"/>
      <c r="E29" s="26"/>
      <c r="F29" s="22"/>
      <c r="G29" s="32" t="str">
        <f t="shared" si="1"/>
        <v/>
      </c>
      <c r="H29" s="26"/>
      <c r="I29" s="27"/>
      <c r="J29" s="26"/>
      <c r="K29" s="27"/>
      <c r="L29" s="26"/>
      <c r="M29" s="27"/>
      <c r="N29" s="26"/>
      <c r="O29" s="27"/>
      <c r="P29" s="26"/>
      <c r="Q29" s="27"/>
      <c r="R29" s="28"/>
      <c r="S29" s="29"/>
      <c r="T29" s="28"/>
      <c r="U29" s="29"/>
      <c r="V29" s="30"/>
      <c r="W29" s="33" t="str">
        <f t="shared" si="2"/>
        <v/>
      </c>
      <c r="X29" s="30"/>
      <c r="Y29" s="20"/>
      <c r="Z29" s="20"/>
      <c r="AA29" s="20"/>
      <c r="AB29" s="20"/>
      <c r="AC29" s="20"/>
      <c r="AD29" s="20"/>
      <c r="AE29" s="20"/>
      <c r="AF29" s="20"/>
      <c r="AG29" s="20"/>
      <c r="AH29" s="20"/>
    </row>
    <row r="30" spans="1:34">
      <c r="A30" s="31" t="str">
        <f t="shared" si="0"/>
        <v/>
      </c>
      <c r="B30" s="21"/>
      <c r="C30" s="20"/>
      <c r="D30" s="24"/>
      <c r="E30" s="26"/>
      <c r="F30" s="22"/>
      <c r="G30" s="32" t="str">
        <f t="shared" si="1"/>
        <v/>
      </c>
      <c r="H30" s="26"/>
      <c r="I30" s="27"/>
      <c r="J30" s="26"/>
      <c r="K30" s="27"/>
      <c r="L30" s="26"/>
      <c r="M30" s="27"/>
      <c r="N30" s="26"/>
      <c r="O30" s="27"/>
      <c r="P30" s="26"/>
      <c r="Q30" s="27"/>
      <c r="R30" s="28"/>
      <c r="S30" s="29"/>
      <c r="T30" s="28"/>
      <c r="U30" s="29"/>
      <c r="V30" s="30"/>
      <c r="W30" s="33" t="str">
        <f t="shared" si="2"/>
        <v/>
      </c>
      <c r="X30" s="30"/>
      <c r="Y30" s="20"/>
      <c r="Z30" s="20"/>
      <c r="AA30" s="20"/>
      <c r="AB30" s="20"/>
      <c r="AC30" s="20"/>
      <c r="AD30" s="20"/>
      <c r="AE30" s="20"/>
      <c r="AF30" s="20"/>
      <c r="AG30" s="20"/>
      <c r="AH30" s="20"/>
    </row>
    <row r="31" spans="1:34">
      <c r="A31" s="31" t="str">
        <f t="shared" si="0"/>
        <v/>
      </c>
      <c r="B31" s="21"/>
      <c r="C31" s="20"/>
      <c r="D31" s="24"/>
      <c r="E31" s="26"/>
      <c r="F31" s="22"/>
      <c r="G31" s="32" t="str">
        <f t="shared" si="1"/>
        <v/>
      </c>
      <c r="H31" s="26"/>
      <c r="I31" s="27"/>
      <c r="J31" s="26"/>
      <c r="K31" s="27"/>
      <c r="L31" s="26"/>
      <c r="M31" s="27"/>
      <c r="N31" s="26"/>
      <c r="O31" s="27"/>
      <c r="P31" s="26"/>
      <c r="Q31" s="27"/>
      <c r="R31" s="28"/>
      <c r="S31" s="29"/>
      <c r="T31" s="28"/>
      <c r="U31" s="29"/>
      <c r="V31" s="30"/>
      <c r="W31" s="33" t="str">
        <f t="shared" si="2"/>
        <v/>
      </c>
      <c r="X31" s="30"/>
      <c r="Y31" s="20"/>
      <c r="Z31" s="20"/>
      <c r="AA31" s="20"/>
      <c r="AB31" s="20"/>
      <c r="AC31" s="20"/>
      <c r="AD31" s="20"/>
      <c r="AE31" s="20"/>
      <c r="AF31" s="20"/>
      <c r="AG31" s="20"/>
      <c r="AH31" s="20"/>
    </row>
    <row r="32" spans="1:34">
      <c r="A32" s="31" t="str">
        <f t="shared" si="0"/>
        <v/>
      </c>
      <c r="B32" s="21"/>
      <c r="C32" s="20"/>
      <c r="D32" s="24"/>
      <c r="E32" s="26"/>
      <c r="F32" s="22"/>
      <c r="G32" s="32" t="str">
        <f t="shared" si="1"/>
        <v/>
      </c>
      <c r="H32" s="26"/>
      <c r="I32" s="27"/>
      <c r="J32" s="26"/>
      <c r="K32" s="27"/>
      <c r="L32" s="26"/>
      <c r="M32" s="27"/>
      <c r="N32" s="26"/>
      <c r="O32" s="27"/>
      <c r="P32" s="26"/>
      <c r="Q32" s="27"/>
      <c r="R32" s="28"/>
      <c r="S32" s="29"/>
      <c r="T32" s="28"/>
      <c r="U32" s="29"/>
      <c r="V32" s="30"/>
      <c r="W32" s="33" t="str">
        <f t="shared" si="2"/>
        <v/>
      </c>
      <c r="X32" s="30"/>
      <c r="Y32" s="20"/>
      <c r="Z32" s="20"/>
      <c r="AA32" s="20"/>
      <c r="AB32" s="20"/>
      <c r="AC32" s="20"/>
      <c r="AD32" s="20"/>
      <c r="AE32" s="20"/>
      <c r="AF32" s="20"/>
      <c r="AG32" s="20"/>
      <c r="AH32" s="20"/>
    </row>
    <row r="33" spans="1:34">
      <c r="A33" s="31" t="str">
        <f t="shared" si="0"/>
        <v/>
      </c>
      <c r="B33" s="21"/>
      <c r="C33" s="20"/>
      <c r="D33" s="24"/>
      <c r="E33" s="26"/>
      <c r="F33" s="22"/>
      <c r="G33" s="32" t="str">
        <f t="shared" si="1"/>
        <v/>
      </c>
      <c r="H33" s="26"/>
      <c r="I33" s="27"/>
      <c r="J33" s="26"/>
      <c r="K33" s="27"/>
      <c r="L33" s="26"/>
      <c r="M33" s="27"/>
      <c r="N33" s="26"/>
      <c r="O33" s="27"/>
      <c r="P33" s="26"/>
      <c r="Q33" s="27"/>
      <c r="R33" s="28"/>
      <c r="S33" s="29"/>
      <c r="T33" s="28"/>
      <c r="U33" s="29"/>
      <c r="V33" s="30"/>
      <c r="W33" s="33" t="str">
        <f t="shared" si="2"/>
        <v/>
      </c>
      <c r="X33" s="30"/>
      <c r="Y33" s="20"/>
      <c r="Z33" s="20"/>
      <c r="AA33" s="20"/>
      <c r="AB33" s="20"/>
      <c r="AC33" s="20"/>
      <c r="AD33" s="20"/>
      <c r="AE33" s="20"/>
      <c r="AF33" s="20"/>
      <c r="AG33" s="20"/>
      <c r="AH33" s="20"/>
    </row>
    <row r="34" spans="1:34">
      <c r="A34" s="31" t="str">
        <f t="shared" si="0"/>
        <v/>
      </c>
      <c r="B34" s="21"/>
      <c r="C34" s="20"/>
      <c r="D34" s="24"/>
      <c r="E34" s="26"/>
      <c r="F34" s="22"/>
      <c r="G34" s="32" t="str">
        <f t="shared" si="1"/>
        <v/>
      </c>
      <c r="H34" s="26"/>
      <c r="I34" s="27"/>
      <c r="J34" s="26"/>
      <c r="K34" s="27"/>
      <c r="L34" s="26"/>
      <c r="M34" s="27"/>
      <c r="N34" s="26"/>
      <c r="O34" s="27"/>
      <c r="P34" s="26"/>
      <c r="Q34" s="27"/>
      <c r="R34" s="28"/>
      <c r="S34" s="29"/>
      <c r="T34" s="28"/>
      <c r="U34" s="29"/>
      <c r="V34" s="30"/>
      <c r="W34" s="33" t="str">
        <f t="shared" si="2"/>
        <v/>
      </c>
      <c r="X34" s="30"/>
      <c r="Y34" s="20"/>
      <c r="Z34" s="20"/>
      <c r="AA34" s="20"/>
      <c r="AB34" s="20"/>
      <c r="AC34" s="20"/>
      <c r="AD34" s="20"/>
      <c r="AE34" s="20"/>
      <c r="AF34" s="20"/>
      <c r="AG34" s="20"/>
      <c r="AH34" s="20"/>
    </row>
    <row r="35" spans="1:34">
      <c r="A35" s="31" t="str">
        <f t="shared" si="0"/>
        <v/>
      </c>
      <c r="B35" s="21"/>
      <c r="C35" s="20"/>
      <c r="D35" s="24"/>
      <c r="E35" s="26"/>
      <c r="F35" s="22"/>
      <c r="G35" s="32" t="str">
        <f t="shared" si="1"/>
        <v/>
      </c>
      <c r="H35" s="26"/>
      <c r="I35" s="27"/>
      <c r="J35" s="26"/>
      <c r="K35" s="27"/>
      <c r="L35" s="26"/>
      <c r="M35" s="27"/>
      <c r="N35" s="26"/>
      <c r="O35" s="27"/>
      <c r="P35" s="26"/>
      <c r="Q35" s="27"/>
      <c r="R35" s="28"/>
      <c r="S35" s="29"/>
      <c r="T35" s="28"/>
      <c r="U35" s="29"/>
      <c r="V35" s="30"/>
      <c r="W35" s="33" t="str">
        <f t="shared" si="2"/>
        <v/>
      </c>
      <c r="X35" s="30"/>
      <c r="Y35" s="20"/>
      <c r="Z35" s="20"/>
      <c r="AA35" s="20"/>
      <c r="AB35" s="20"/>
      <c r="AC35" s="20"/>
      <c r="AD35" s="20"/>
      <c r="AE35" s="20"/>
      <c r="AF35" s="20"/>
      <c r="AG35" s="20"/>
      <c r="AH35" s="20"/>
    </row>
    <row r="36" spans="1:34">
      <c r="A36" s="31" t="str">
        <f t="shared" si="0"/>
        <v/>
      </c>
      <c r="B36" s="21"/>
      <c r="C36" s="20"/>
      <c r="D36" s="24"/>
      <c r="E36" s="26"/>
      <c r="F36" s="22"/>
      <c r="G36" s="32" t="str">
        <f t="shared" si="1"/>
        <v/>
      </c>
      <c r="H36" s="26"/>
      <c r="I36" s="27"/>
      <c r="J36" s="26"/>
      <c r="K36" s="27"/>
      <c r="L36" s="26"/>
      <c r="M36" s="27"/>
      <c r="N36" s="26"/>
      <c r="O36" s="27"/>
      <c r="P36" s="26"/>
      <c r="Q36" s="27"/>
      <c r="R36" s="28"/>
      <c r="S36" s="29"/>
      <c r="T36" s="28"/>
      <c r="U36" s="29"/>
      <c r="V36" s="30"/>
      <c r="W36" s="33" t="str">
        <f t="shared" si="2"/>
        <v/>
      </c>
      <c r="X36" s="30"/>
      <c r="Y36" s="20"/>
      <c r="Z36" s="20"/>
      <c r="AA36" s="20"/>
      <c r="AB36" s="20"/>
      <c r="AC36" s="20"/>
      <c r="AD36" s="20"/>
      <c r="AE36" s="20"/>
      <c r="AF36" s="20"/>
      <c r="AG36" s="20"/>
      <c r="AH36" s="20"/>
    </row>
    <row r="37" spans="1:34">
      <c r="A37" s="31" t="str">
        <f t="shared" ref="A37:A68" si="3">IF(B37="","",ROW()-4)</f>
        <v/>
      </c>
      <c r="B37" s="21"/>
      <c r="C37" s="20"/>
      <c r="D37" s="24"/>
      <c r="E37" s="26"/>
      <c r="F37" s="22"/>
      <c r="G37" s="32" t="str">
        <f t="shared" ref="G37:G68" si="4">IF(B37="","",ROUND(IF(AND(ISNUMBER(E37),ISNUMBER(F37)),MOD(F37-E37,1),0)*1440,0))</f>
        <v/>
      </c>
      <c r="H37" s="26"/>
      <c r="I37" s="27"/>
      <c r="J37" s="26"/>
      <c r="K37" s="27"/>
      <c r="L37" s="26"/>
      <c r="M37" s="27"/>
      <c r="N37" s="26"/>
      <c r="O37" s="27"/>
      <c r="P37" s="26"/>
      <c r="Q37" s="27"/>
      <c r="R37" s="28"/>
      <c r="S37" s="29"/>
      <c r="T37" s="28"/>
      <c r="U37" s="29"/>
      <c r="V37" s="30"/>
      <c r="W37" s="33" t="str">
        <f t="shared" ref="W37:W68" si="5">IF(B37="","",IF(AND(ISNUMBER(H37),ISNUMBER(I37),H37&lt;&gt;I37),MAX(0,MOD(I37-H37,1)*24-G37/60),0)+IF(AND(ISNUMBER(J37),ISNUMBER(K37),J37&lt;&gt;K37),MAX(0,MOD(K37-J37,1)*24-G37/60),0)+IF(AND(ISNUMBER(L37),ISNUMBER(M37),L37&lt;&gt;M37),MAX(0,MOD(M37-L37,1)*24-G37/60),0)+IF(AND(ISNUMBER(N37),ISNUMBER(O37),N37&lt;&gt;O37),MAX(0,MOD(O37-N37,1)*24-G37/60),0)+IF(AND(ISNUMBER(P37),ISNUMBER(Q37),P37&lt;&gt;Q37),MAX(0,MOD(Q37-P37,1)*24-G37/60),0)+IF(AND(ISNUMBER(R37),ISNUMBER(S37),R37&lt;&gt;S37),MAX(0,MOD(S37-R37,1)*24-G37/60),0)+IF(AND(ISNUMBER(T37),ISNUMBER(U37),T37&lt;&gt;U37),MAX(0,MOD(U37-T37,1)*24-G37/60),0))</f>
        <v/>
      </c>
      <c r="X37" s="30"/>
      <c r="Y37" s="20"/>
      <c r="Z37" s="20"/>
      <c r="AA37" s="20"/>
      <c r="AB37" s="20"/>
      <c r="AC37" s="20"/>
      <c r="AD37" s="20"/>
      <c r="AE37" s="20"/>
      <c r="AF37" s="20"/>
      <c r="AG37" s="20"/>
      <c r="AH37" s="20"/>
    </row>
    <row r="38" spans="1:34">
      <c r="A38" s="31" t="str">
        <f t="shared" si="3"/>
        <v/>
      </c>
      <c r="B38" s="21"/>
      <c r="C38" s="20"/>
      <c r="D38" s="24"/>
      <c r="E38" s="26"/>
      <c r="F38" s="22"/>
      <c r="G38" s="32" t="str">
        <f t="shared" si="4"/>
        <v/>
      </c>
      <c r="H38" s="26"/>
      <c r="I38" s="27"/>
      <c r="J38" s="26"/>
      <c r="K38" s="27"/>
      <c r="L38" s="26"/>
      <c r="M38" s="27"/>
      <c r="N38" s="26"/>
      <c r="O38" s="27"/>
      <c r="P38" s="26"/>
      <c r="Q38" s="27"/>
      <c r="R38" s="28"/>
      <c r="S38" s="29"/>
      <c r="T38" s="28"/>
      <c r="U38" s="29"/>
      <c r="V38" s="30"/>
      <c r="W38" s="33" t="str">
        <f t="shared" si="5"/>
        <v/>
      </c>
      <c r="X38" s="30"/>
      <c r="Y38" s="20"/>
      <c r="Z38" s="20"/>
      <c r="AA38" s="20"/>
      <c r="AB38" s="20"/>
      <c r="AC38" s="20"/>
      <c r="AD38" s="20"/>
      <c r="AE38" s="20"/>
      <c r="AF38" s="20"/>
      <c r="AG38" s="20"/>
      <c r="AH38" s="20"/>
    </row>
    <row r="39" spans="1:34">
      <c r="A39" s="31" t="str">
        <f t="shared" si="3"/>
        <v/>
      </c>
      <c r="B39" s="21"/>
      <c r="C39" s="20"/>
      <c r="D39" s="24"/>
      <c r="E39" s="26"/>
      <c r="F39" s="22"/>
      <c r="G39" s="32" t="str">
        <f t="shared" si="4"/>
        <v/>
      </c>
      <c r="H39" s="26"/>
      <c r="I39" s="27"/>
      <c r="J39" s="26"/>
      <c r="K39" s="27"/>
      <c r="L39" s="26"/>
      <c r="M39" s="27"/>
      <c r="N39" s="26"/>
      <c r="O39" s="27"/>
      <c r="P39" s="26"/>
      <c r="Q39" s="27"/>
      <c r="R39" s="28"/>
      <c r="S39" s="29"/>
      <c r="T39" s="28"/>
      <c r="U39" s="29"/>
      <c r="V39" s="30"/>
      <c r="W39" s="33" t="str">
        <f t="shared" si="5"/>
        <v/>
      </c>
      <c r="X39" s="30"/>
      <c r="Y39" s="20"/>
      <c r="Z39" s="20"/>
      <c r="AA39" s="20"/>
      <c r="AB39" s="20"/>
      <c r="AC39" s="20"/>
      <c r="AD39" s="20"/>
      <c r="AE39" s="20"/>
      <c r="AF39" s="20"/>
      <c r="AG39" s="20"/>
      <c r="AH39" s="20"/>
    </row>
    <row r="40" spans="1:34">
      <c r="A40" s="31" t="str">
        <f t="shared" si="3"/>
        <v/>
      </c>
      <c r="B40" s="21"/>
      <c r="C40" s="20"/>
      <c r="D40" s="24"/>
      <c r="E40" s="26"/>
      <c r="F40" s="22"/>
      <c r="G40" s="32" t="str">
        <f t="shared" si="4"/>
        <v/>
      </c>
      <c r="H40" s="26"/>
      <c r="I40" s="27"/>
      <c r="J40" s="26"/>
      <c r="K40" s="27"/>
      <c r="L40" s="26"/>
      <c r="M40" s="27"/>
      <c r="N40" s="26"/>
      <c r="O40" s="27"/>
      <c r="P40" s="26"/>
      <c r="Q40" s="27"/>
      <c r="R40" s="28"/>
      <c r="S40" s="29"/>
      <c r="T40" s="28"/>
      <c r="U40" s="29"/>
      <c r="V40" s="30"/>
      <c r="W40" s="33" t="str">
        <f t="shared" si="5"/>
        <v/>
      </c>
      <c r="X40" s="30"/>
      <c r="Y40" s="20"/>
      <c r="Z40" s="20"/>
      <c r="AA40" s="20"/>
      <c r="AB40" s="20"/>
      <c r="AC40" s="20"/>
      <c r="AD40" s="20"/>
      <c r="AE40" s="20"/>
      <c r="AF40" s="20"/>
      <c r="AG40" s="20"/>
      <c r="AH40" s="20"/>
    </row>
    <row r="41" spans="1:34">
      <c r="A41" s="31" t="str">
        <f t="shared" si="3"/>
        <v/>
      </c>
      <c r="B41" s="21"/>
      <c r="C41" s="20"/>
      <c r="D41" s="24"/>
      <c r="E41" s="26"/>
      <c r="F41" s="22"/>
      <c r="G41" s="32" t="str">
        <f t="shared" si="4"/>
        <v/>
      </c>
      <c r="H41" s="26"/>
      <c r="I41" s="27"/>
      <c r="J41" s="26"/>
      <c r="K41" s="27"/>
      <c r="L41" s="26"/>
      <c r="M41" s="27"/>
      <c r="N41" s="26"/>
      <c r="O41" s="27"/>
      <c r="P41" s="26"/>
      <c r="Q41" s="27"/>
      <c r="R41" s="28"/>
      <c r="S41" s="29"/>
      <c r="T41" s="28"/>
      <c r="U41" s="29"/>
      <c r="V41" s="30"/>
      <c r="W41" s="33" t="str">
        <f t="shared" si="5"/>
        <v/>
      </c>
      <c r="X41" s="30"/>
      <c r="Y41" s="20"/>
      <c r="Z41" s="20"/>
      <c r="AA41" s="20"/>
      <c r="AB41" s="20"/>
      <c r="AC41" s="20"/>
      <c r="AD41" s="20"/>
      <c r="AE41" s="20"/>
      <c r="AF41" s="20"/>
      <c r="AG41" s="20"/>
      <c r="AH41" s="20"/>
    </row>
    <row r="42" spans="1:34">
      <c r="A42" s="31" t="str">
        <f t="shared" si="3"/>
        <v/>
      </c>
      <c r="B42" s="21"/>
      <c r="C42" s="20"/>
      <c r="D42" s="24"/>
      <c r="E42" s="26"/>
      <c r="F42" s="22"/>
      <c r="G42" s="32" t="str">
        <f t="shared" si="4"/>
        <v/>
      </c>
      <c r="H42" s="26"/>
      <c r="I42" s="27"/>
      <c r="J42" s="26"/>
      <c r="K42" s="27"/>
      <c r="L42" s="26"/>
      <c r="M42" s="27"/>
      <c r="N42" s="26"/>
      <c r="O42" s="27"/>
      <c r="P42" s="26"/>
      <c r="Q42" s="27"/>
      <c r="R42" s="28"/>
      <c r="S42" s="29"/>
      <c r="T42" s="28"/>
      <c r="U42" s="29"/>
      <c r="V42" s="30"/>
      <c r="W42" s="33" t="str">
        <f t="shared" si="5"/>
        <v/>
      </c>
      <c r="X42" s="30"/>
      <c r="Y42" s="20"/>
      <c r="Z42" s="20"/>
      <c r="AA42" s="20"/>
      <c r="AB42" s="20"/>
      <c r="AC42" s="20"/>
      <c r="AD42" s="20"/>
      <c r="AE42" s="20"/>
      <c r="AF42" s="20"/>
      <c r="AG42" s="20"/>
      <c r="AH42" s="20"/>
    </row>
    <row r="43" spans="1:34">
      <c r="A43" s="31" t="str">
        <f t="shared" si="3"/>
        <v/>
      </c>
      <c r="B43" s="21"/>
      <c r="C43" s="20"/>
      <c r="D43" s="24"/>
      <c r="E43" s="26"/>
      <c r="F43" s="22"/>
      <c r="G43" s="32" t="str">
        <f t="shared" si="4"/>
        <v/>
      </c>
      <c r="H43" s="26"/>
      <c r="I43" s="27"/>
      <c r="J43" s="26"/>
      <c r="K43" s="27"/>
      <c r="L43" s="26"/>
      <c r="M43" s="27"/>
      <c r="N43" s="26"/>
      <c r="O43" s="27"/>
      <c r="P43" s="26"/>
      <c r="Q43" s="27"/>
      <c r="R43" s="28"/>
      <c r="S43" s="29"/>
      <c r="T43" s="28"/>
      <c r="U43" s="29"/>
      <c r="V43" s="30"/>
      <c r="W43" s="33" t="str">
        <f t="shared" si="5"/>
        <v/>
      </c>
      <c r="X43" s="30"/>
      <c r="Y43" s="20"/>
      <c r="Z43" s="20"/>
      <c r="AA43" s="20"/>
      <c r="AB43" s="20"/>
      <c r="AC43" s="20"/>
      <c r="AD43" s="20"/>
      <c r="AE43" s="20"/>
      <c r="AF43" s="20"/>
      <c r="AG43" s="20"/>
      <c r="AH43" s="20"/>
    </row>
    <row r="44" spans="1:34">
      <c r="A44" s="31" t="str">
        <f t="shared" si="3"/>
        <v/>
      </c>
      <c r="B44" s="21"/>
      <c r="C44" s="20"/>
      <c r="D44" s="24"/>
      <c r="E44" s="26"/>
      <c r="F44" s="22"/>
      <c r="G44" s="32" t="str">
        <f t="shared" si="4"/>
        <v/>
      </c>
      <c r="H44" s="26"/>
      <c r="I44" s="27"/>
      <c r="J44" s="26"/>
      <c r="K44" s="27"/>
      <c r="L44" s="26"/>
      <c r="M44" s="27"/>
      <c r="N44" s="26"/>
      <c r="O44" s="27"/>
      <c r="P44" s="26"/>
      <c r="Q44" s="27"/>
      <c r="R44" s="28"/>
      <c r="S44" s="29"/>
      <c r="T44" s="28"/>
      <c r="U44" s="29"/>
      <c r="V44" s="30"/>
      <c r="W44" s="33" t="str">
        <f t="shared" si="5"/>
        <v/>
      </c>
      <c r="X44" s="30"/>
      <c r="Y44" s="20"/>
      <c r="Z44" s="20"/>
      <c r="AA44" s="20"/>
      <c r="AB44" s="20"/>
      <c r="AC44" s="20"/>
      <c r="AD44" s="20"/>
      <c r="AE44" s="20"/>
      <c r="AF44" s="20"/>
      <c r="AG44" s="20"/>
      <c r="AH44" s="20"/>
    </row>
    <row r="45" spans="1:34">
      <c r="A45" s="31" t="str">
        <f t="shared" si="3"/>
        <v/>
      </c>
      <c r="B45" s="21"/>
      <c r="C45" s="20"/>
      <c r="D45" s="24"/>
      <c r="E45" s="26"/>
      <c r="F45" s="22"/>
      <c r="G45" s="32" t="str">
        <f t="shared" si="4"/>
        <v/>
      </c>
      <c r="H45" s="26"/>
      <c r="I45" s="27"/>
      <c r="J45" s="26"/>
      <c r="K45" s="27"/>
      <c r="L45" s="26"/>
      <c r="M45" s="27"/>
      <c r="N45" s="26"/>
      <c r="O45" s="27"/>
      <c r="P45" s="26"/>
      <c r="Q45" s="27"/>
      <c r="R45" s="28"/>
      <c r="S45" s="29"/>
      <c r="T45" s="28"/>
      <c r="U45" s="29"/>
      <c r="V45" s="30"/>
      <c r="W45" s="33" t="str">
        <f t="shared" si="5"/>
        <v/>
      </c>
      <c r="X45" s="30"/>
      <c r="Y45" s="20"/>
      <c r="Z45" s="20"/>
      <c r="AA45" s="20"/>
      <c r="AB45" s="20"/>
      <c r="AC45" s="20"/>
      <c r="AD45" s="20"/>
      <c r="AE45" s="20"/>
      <c r="AF45" s="20"/>
      <c r="AG45" s="20"/>
      <c r="AH45" s="20"/>
    </row>
    <row r="46" spans="1:34">
      <c r="A46" s="31" t="str">
        <f t="shared" si="3"/>
        <v/>
      </c>
      <c r="B46" s="21"/>
      <c r="C46" s="20"/>
      <c r="D46" s="24"/>
      <c r="E46" s="26"/>
      <c r="F46" s="22"/>
      <c r="G46" s="32" t="str">
        <f t="shared" si="4"/>
        <v/>
      </c>
      <c r="H46" s="26"/>
      <c r="I46" s="27"/>
      <c r="J46" s="26"/>
      <c r="K46" s="27"/>
      <c r="L46" s="26"/>
      <c r="M46" s="27"/>
      <c r="N46" s="26"/>
      <c r="O46" s="27"/>
      <c r="P46" s="26"/>
      <c r="Q46" s="27"/>
      <c r="R46" s="28"/>
      <c r="S46" s="29"/>
      <c r="T46" s="28"/>
      <c r="U46" s="29"/>
      <c r="V46" s="30"/>
      <c r="W46" s="33" t="str">
        <f t="shared" si="5"/>
        <v/>
      </c>
      <c r="X46" s="30"/>
      <c r="Y46" s="20"/>
      <c r="Z46" s="20"/>
      <c r="AA46" s="20"/>
      <c r="AB46" s="20"/>
      <c r="AC46" s="20"/>
      <c r="AD46" s="20"/>
      <c r="AE46" s="20"/>
      <c r="AF46" s="20"/>
      <c r="AG46" s="20"/>
      <c r="AH46" s="20"/>
    </row>
    <row r="47" spans="1:34">
      <c r="A47" s="31" t="str">
        <f t="shared" si="3"/>
        <v/>
      </c>
      <c r="B47" s="21"/>
      <c r="C47" s="20"/>
      <c r="D47" s="24"/>
      <c r="E47" s="26"/>
      <c r="F47" s="22"/>
      <c r="G47" s="32" t="str">
        <f t="shared" si="4"/>
        <v/>
      </c>
      <c r="H47" s="26"/>
      <c r="I47" s="27"/>
      <c r="J47" s="26"/>
      <c r="K47" s="27"/>
      <c r="L47" s="26"/>
      <c r="M47" s="27"/>
      <c r="N47" s="26"/>
      <c r="O47" s="27"/>
      <c r="P47" s="26"/>
      <c r="Q47" s="27"/>
      <c r="R47" s="28"/>
      <c r="S47" s="29"/>
      <c r="T47" s="28"/>
      <c r="U47" s="29"/>
      <c r="V47" s="30"/>
      <c r="W47" s="33" t="str">
        <f t="shared" si="5"/>
        <v/>
      </c>
      <c r="X47" s="30"/>
      <c r="Y47" s="20"/>
      <c r="Z47" s="20"/>
      <c r="AA47" s="20"/>
      <c r="AB47" s="20"/>
      <c r="AC47" s="20"/>
      <c r="AD47" s="20"/>
      <c r="AE47" s="20"/>
      <c r="AF47" s="20"/>
      <c r="AG47" s="20"/>
      <c r="AH47" s="20"/>
    </row>
    <row r="48" spans="1:34">
      <c r="A48" s="31" t="str">
        <f t="shared" si="3"/>
        <v/>
      </c>
      <c r="B48" s="21"/>
      <c r="C48" s="20"/>
      <c r="D48" s="24"/>
      <c r="E48" s="26"/>
      <c r="F48" s="22"/>
      <c r="G48" s="32" t="str">
        <f t="shared" si="4"/>
        <v/>
      </c>
      <c r="H48" s="26"/>
      <c r="I48" s="27"/>
      <c r="J48" s="26"/>
      <c r="K48" s="27"/>
      <c r="L48" s="26"/>
      <c r="M48" s="27"/>
      <c r="N48" s="26"/>
      <c r="O48" s="27"/>
      <c r="P48" s="26"/>
      <c r="Q48" s="27"/>
      <c r="R48" s="28"/>
      <c r="S48" s="29"/>
      <c r="T48" s="28"/>
      <c r="U48" s="29"/>
      <c r="V48" s="30"/>
      <c r="W48" s="33" t="str">
        <f t="shared" si="5"/>
        <v/>
      </c>
      <c r="X48" s="30"/>
      <c r="Y48" s="20"/>
      <c r="Z48" s="20"/>
      <c r="AA48" s="20"/>
      <c r="AB48" s="20"/>
      <c r="AC48" s="20"/>
      <c r="AD48" s="20"/>
      <c r="AE48" s="20"/>
      <c r="AF48" s="20"/>
      <c r="AG48" s="20"/>
      <c r="AH48" s="20"/>
    </row>
    <row r="49" spans="1:34">
      <c r="A49" s="31" t="str">
        <f t="shared" si="3"/>
        <v/>
      </c>
      <c r="B49" s="21"/>
      <c r="C49" s="20"/>
      <c r="D49" s="24"/>
      <c r="E49" s="26"/>
      <c r="F49" s="22"/>
      <c r="G49" s="32" t="str">
        <f t="shared" si="4"/>
        <v/>
      </c>
      <c r="H49" s="26"/>
      <c r="I49" s="27"/>
      <c r="J49" s="26"/>
      <c r="K49" s="27"/>
      <c r="L49" s="26"/>
      <c r="M49" s="27"/>
      <c r="N49" s="26"/>
      <c r="O49" s="27"/>
      <c r="P49" s="26"/>
      <c r="Q49" s="27"/>
      <c r="R49" s="28"/>
      <c r="S49" s="29"/>
      <c r="T49" s="28"/>
      <c r="U49" s="29"/>
      <c r="V49" s="30"/>
      <c r="W49" s="33" t="str">
        <f t="shared" si="5"/>
        <v/>
      </c>
      <c r="X49" s="30"/>
      <c r="Y49" s="20"/>
      <c r="Z49" s="20"/>
      <c r="AA49" s="20"/>
      <c r="AB49" s="20"/>
      <c r="AC49" s="20"/>
      <c r="AD49" s="20"/>
      <c r="AE49" s="20"/>
      <c r="AF49" s="20"/>
      <c r="AG49" s="20"/>
      <c r="AH49" s="20"/>
    </row>
    <row r="50" spans="1:34">
      <c r="A50" s="31" t="str">
        <f t="shared" si="3"/>
        <v/>
      </c>
      <c r="B50" s="21"/>
      <c r="C50" s="20"/>
      <c r="D50" s="24"/>
      <c r="E50" s="26"/>
      <c r="F50" s="22"/>
      <c r="G50" s="32" t="str">
        <f t="shared" si="4"/>
        <v/>
      </c>
      <c r="H50" s="26"/>
      <c r="I50" s="27"/>
      <c r="J50" s="26"/>
      <c r="K50" s="27"/>
      <c r="L50" s="26"/>
      <c r="M50" s="27"/>
      <c r="N50" s="26"/>
      <c r="O50" s="27"/>
      <c r="P50" s="26"/>
      <c r="Q50" s="27"/>
      <c r="R50" s="28"/>
      <c r="S50" s="29"/>
      <c r="T50" s="28"/>
      <c r="U50" s="29"/>
      <c r="V50" s="30"/>
      <c r="W50" s="33" t="str">
        <f t="shared" si="5"/>
        <v/>
      </c>
      <c r="X50" s="30"/>
      <c r="Y50" s="20"/>
      <c r="Z50" s="20"/>
      <c r="AA50" s="20"/>
      <c r="AB50" s="20"/>
      <c r="AC50" s="20"/>
      <c r="AD50" s="20"/>
      <c r="AE50" s="20"/>
      <c r="AF50" s="20"/>
      <c r="AG50" s="20"/>
      <c r="AH50" s="20"/>
    </row>
    <row r="51" spans="1:34">
      <c r="A51" s="31" t="str">
        <f t="shared" si="3"/>
        <v/>
      </c>
      <c r="B51" s="21"/>
      <c r="C51" s="20"/>
      <c r="D51" s="24"/>
      <c r="E51" s="26"/>
      <c r="F51" s="22"/>
      <c r="G51" s="32" t="str">
        <f t="shared" si="4"/>
        <v/>
      </c>
      <c r="H51" s="26"/>
      <c r="I51" s="27"/>
      <c r="J51" s="26"/>
      <c r="K51" s="27"/>
      <c r="L51" s="26"/>
      <c r="M51" s="27"/>
      <c r="N51" s="26"/>
      <c r="O51" s="27"/>
      <c r="P51" s="26"/>
      <c r="Q51" s="27"/>
      <c r="R51" s="28"/>
      <c r="S51" s="29"/>
      <c r="T51" s="28"/>
      <c r="U51" s="29"/>
      <c r="V51" s="30"/>
      <c r="W51" s="33" t="str">
        <f t="shared" si="5"/>
        <v/>
      </c>
      <c r="X51" s="30"/>
      <c r="Y51" s="20"/>
      <c r="Z51" s="20"/>
      <c r="AA51" s="20"/>
      <c r="AB51" s="20"/>
      <c r="AC51" s="20"/>
      <c r="AD51" s="20"/>
      <c r="AE51" s="20"/>
      <c r="AF51" s="20"/>
      <c r="AG51" s="20"/>
      <c r="AH51" s="20"/>
    </row>
    <row r="52" spans="1:34">
      <c r="A52" s="31" t="str">
        <f t="shared" si="3"/>
        <v/>
      </c>
      <c r="B52" s="21"/>
      <c r="C52" s="20"/>
      <c r="D52" s="24"/>
      <c r="E52" s="26"/>
      <c r="F52" s="22"/>
      <c r="G52" s="32" t="str">
        <f t="shared" si="4"/>
        <v/>
      </c>
      <c r="H52" s="26"/>
      <c r="I52" s="27"/>
      <c r="J52" s="26"/>
      <c r="K52" s="27"/>
      <c r="L52" s="26"/>
      <c r="M52" s="27"/>
      <c r="N52" s="26"/>
      <c r="O52" s="27"/>
      <c r="P52" s="26"/>
      <c r="Q52" s="27"/>
      <c r="R52" s="28"/>
      <c r="S52" s="29"/>
      <c r="T52" s="28"/>
      <c r="U52" s="29"/>
      <c r="V52" s="30"/>
      <c r="W52" s="33" t="str">
        <f t="shared" si="5"/>
        <v/>
      </c>
      <c r="X52" s="30"/>
      <c r="Y52" s="20"/>
      <c r="Z52" s="20"/>
      <c r="AA52" s="20"/>
      <c r="AB52" s="20"/>
      <c r="AC52" s="20"/>
      <c r="AD52" s="20"/>
      <c r="AE52" s="20"/>
      <c r="AF52" s="20"/>
      <c r="AG52" s="20"/>
      <c r="AH52" s="20"/>
    </row>
    <row r="53" spans="1:34">
      <c r="A53" s="31" t="str">
        <f t="shared" si="3"/>
        <v/>
      </c>
      <c r="B53" s="21"/>
      <c r="C53" s="20"/>
      <c r="D53" s="24"/>
      <c r="E53" s="26"/>
      <c r="F53" s="22"/>
      <c r="G53" s="32" t="str">
        <f t="shared" si="4"/>
        <v/>
      </c>
      <c r="H53" s="26"/>
      <c r="I53" s="27"/>
      <c r="J53" s="26"/>
      <c r="K53" s="27"/>
      <c r="L53" s="26"/>
      <c r="M53" s="27"/>
      <c r="N53" s="26"/>
      <c r="O53" s="27"/>
      <c r="P53" s="26"/>
      <c r="Q53" s="27"/>
      <c r="R53" s="28"/>
      <c r="S53" s="29"/>
      <c r="T53" s="28"/>
      <c r="U53" s="29"/>
      <c r="V53" s="30"/>
      <c r="W53" s="33" t="str">
        <f t="shared" si="5"/>
        <v/>
      </c>
      <c r="X53" s="30"/>
      <c r="Y53" s="20"/>
      <c r="Z53" s="20"/>
      <c r="AA53" s="20"/>
      <c r="AB53" s="20"/>
      <c r="AC53" s="20"/>
      <c r="AD53" s="20"/>
      <c r="AE53" s="20"/>
      <c r="AF53" s="20"/>
      <c r="AG53" s="20"/>
      <c r="AH53" s="20"/>
    </row>
    <row r="54" spans="1:34">
      <c r="A54" s="31" t="str">
        <f t="shared" si="3"/>
        <v/>
      </c>
      <c r="B54" s="21"/>
      <c r="C54" s="20"/>
      <c r="D54" s="24"/>
      <c r="E54" s="26"/>
      <c r="F54" s="22"/>
      <c r="G54" s="32" t="str">
        <f t="shared" si="4"/>
        <v/>
      </c>
      <c r="H54" s="26"/>
      <c r="I54" s="27"/>
      <c r="J54" s="26"/>
      <c r="K54" s="27"/>
      <c r="L54" s="26"/>
      <c r="M54" s="27"/>
      <c r="N54" s="26"/>
      <c r="O54" s="27"/>
      <c r="P54" s="26"/>
      <c r="Q54" s="27"/>
      <c r="R54" s="28"/>
      <c r="S54" s="29"/>
      <c r="T54" s="28"/>
      <c r="U54" s="29"/>
      <c r="V54" s="30"/>
      <c r="W54" s="33" t="str">
        <f t="shared" si="5"/>
        <v/>
      </c>
      <c r="X54" s="30"/>
      <c r="Y54" s="20"/>
      <c r="Z54" s="20"/>
      <c r="AA54" s="20"/>
      <c r="AB54" s="20"/>
      <c r="AC54" s="20"/>
      <c r="AD54" s="20"/>
      <c r="AE54" s="20"/>
      <c r="AF54" s="20"/>
      <c r="AG54" s="20"/>
      <c r="AH54" s="20"/>
    </row>
    <row r="55" spans="1:34">
      <c r="A55" s="31" t="str">
        <f t="shared" si="3"/>
        <v/>
      </c>
      <c r="B55" s="21"/>
      <c r="C55" s="20"/>
      <c r="D55" s="24"/>
      <c r="E55" s="26"/>
      <c r="F55" s="22"/>
      <c r="G55" s="32" t="str">
        <f t="shared" si="4"/>
        <v/>
      </c>
      <c r="H55" s="26"/>
      <c r="I55" s="27"/>
      <c r="J55" s="26"/>
      <c r="K55" s="27"/>
      <c r="L55" s="26"/>
      <c r="M55" s="27"/>
      <c r="N55" s="26"/>
      <c r="O55" s="27"/>
      <c r="P55" s="26"/>
      <c r="Q55" s="27"/>
      <c r="R55" s="28"/>
      <c r="S55" s="29"/>
      <c r="T55" s="28"/>
      <c r="U55" s="29"/>
      <c r="V55" s="30"/>
      <c r="W55" s="33" t="str">
        <f t="shared" si="5"/>
        <v/>
      </c>
      <c r="X55" s="30"/>
      <c r="Y55" s="20"/>
      <c r="Z55" s="20"/>
      <c r="AA55" s="20"/>
      <c r="AB55" s="20"/>
      <c r="AC55" s="20"/>
      <c r="AD55" s="20"/>
      <c r="AE55" s="20"/>
      <c r="AF55" s="20"/>
      <c r="AG55" s="20"/>
      <c r="AH55" s="20"/>
    </row>
    <row r="56" spans="1:34">
      <c r="A56" s="31" t="str">
        <f t="shared" si="3"/>
        <v/>
      </c>
      <c r="B56" s="21"/>
      <c r="C56" s="20"/>
      <c r="D56" s="24"/>
      <c r="E56" s="26"/>
      <c r="F56" s="22"/>
      <c r="G56" s="32" t="str">
        <f t="shared" si="4"/>
        <v/>
      </c>
      <c r="H56" s="26"/>
      <c r="I56" s="27"/>
      <c r="J56" s="26"/>
      <c r="K56" s="27"/>
      <c r="L56" s="26"/>
      <c r="M56" s="27"/>
      <c r="N56" s="26"/>
      <c r="O56" s="27"/>
      <c r="P56" s="26"/>
      <c r="Q56" s="27"/>
      <c r="R56" s="28"/>
      <c r="S56" s="29"/>
      <c r="T56" s="28"/>
      <c r="U56" s="29"/>
      <c r="V56" s="30"/>
      <c r="W56" s="33" t="str">
        <f t="shared" si="5"/>
        <v/>
      </c>
      <c r="X56" s="30"/>
      <c r="Y56" s="20"/>
      <c r="Z56" s="20"/>
      <c r="AA56" s="20"/>
      <c r="AB56" s="20"/>
      <c r="AC56" s="20"/>
      <c r="AD56" s="20"/>
      <c r="AE56" s="20"/>
      <c r="AF56" s="20"/>
      <c r="AG56" s="20"/>
      <c r="AH56" s="20"/>
    </row>
    <row r="57" spans="1:34">
      <c r="A57" s="31" t="str">
        <f t="shared" si="3"/>
        <v/>
      </c>
      <c r="B57" s="21"/>
      <c r="C57" s="20"/>
      <c r="D57" s="24"/>
      <c r="E57" s="26"/>
      <c r="F57" s="22"/>
      <c r="G57" s="32" t="str">
        <f t="shared" si="4"/>
        <v/>
      </c>
      <c r="H57" s="26"/>
      <c r="I57" s="27"/>
      <c r="J57" s="26"/>
      <c r="K57" s="27"/>
      <c r="L57" s="26"/>
      <c r="M57" s="27"/>
      <c r="N57" s="26"/>
      <c r="O57" s="27"/>
      <c r="P57" s="26"/>
      <c r="Q57" s="27"/>
      <c r="R57" s="28"/>
      <c r="S57" s="29"/>
      <c r="T57" s="28"/>
      <c r="U57" s="29"/>
      <c r="V57" s="30"/>
      <c r="W57" s="33" t="str">
        <f t="shared" si="5"/>
        <v/>
      </c>
      <c r="X57" s="30"/>
      <c r="Y57" s="20"/>
      <c r="Z57" s="20"/>
      <c r="AA57" s="20"/>
      <c r="AB57" s="20"/>
      <c r="AC57" s="20"/>
      <c r="AD57" s="20"/>
      <c r="AE57" s="20"/>
      <c r="AF57" s="20"/>
      <c r="AG57" s="20"/>
      <c r="AH57" s="20"/>
    </row>
    <row r="58" spans="1:34">
      <c r="A58" s="31" t="str">
        <f t="shared" si="3"/>
        <v/>
      </c>
      <c r="B58" s="21"/>
      <c r="C58" s="20"/>
      <c r="D58" s="24"/>
      <c r="E58" s="26"/>
      <c r="F58" s="22"/>
      <c r="G58" s="32" t="str">
        <f t="shared" si="4"/>
        <v/>
      </c>
      <c r="H58" s="26"/>
      <c r="I58" s="27"/>
      <c r="J58" s="26"/>
      <c r="K58" s="27"/>
      <c r="L58" s="26"/>
      <c r="M58" s="27"/>
      <c r="N58" s="26"/>
      <c r="O58" s="27"/>
      <c r="P58" s="26"/>
      <c r="Q58" s="27"/>
      <c r="R58" s="28"/>
      <c r="S58" s="29"/>
      <c r="T58" s="28"/>
      <c r="U58" s="29"/>
      <c r="V58" s="30"/>
      <c r="W58" s="33" t="str">
        <f t="shared" si="5"/>
        <v/>
      </c>
      <c r="X58" s="30"/>
      <c r="Y58" s="20"/>
      <c r="Z58" s="20"/>
      <c r="AA58" s="20"/>
      <c r="AB58" s="20"/>
      <c r="AC58" s="20"/>
      <c r="AD58" s="20"/>
      <c r="AE58" s="20"/>
      <c r="AF58" s="20"/>
      <c r="AG58" s="20"/>
      <c r="AH58" s="20"/>
    </row>
    <row r="59" spans="1:34">
      <c r="A59" s="31" t="str">
        <f t="shared" si="3"/>
        <v/>
      </c>
      <c r="B59" s="21"/>
      <c r="C59" s="20"/>
      <c r="D59" s="24"/>
      <c r="E59" s="26"/>
      <c r="F59" s="22"/>
      <c r="G59" s="32" t="str">
        <f t="shared" si="4"/>
        <v/>
      </c>
      <c r="H59" s="26"/>
      <c r="I59" s="27"/>
      <c r="J59" s="26"/>
      <c r="K59" s="27"/>
      <c r="L59" s="26"/>
      <c r="M59" s="27"/>
      <c r="N59" s="26"/>
      <c r="O59" s="27"/>
      <c r="P59" s="26"/>
      <c r="Q59" s="27"/>
      <c r="R59" s="28"/>
      <c r="S59" s="29"/>
      <c r="T59" s="28"/>
      <c r="U59" s="29"/>
      <c r="V59" s="30"/>
      <c r="W59" s="33" t="str">
        <f t="shared" si="5"/>
        <v/>
      </c>
      <c r="X59" s="30"/>
      <c r="Y59" s="20"/>
      <c r="Z59" s="20"/>
      <c r="AA59" s="20"/>
      <c r="AB59" s="20"/>
      <c r="AC59" s="20"/>
      <c r="AD59" s="20"/>
      <c r="AE59" s="20"/>
      <c r="AF59" s="20"/>
      <c r="AG59" s="20"/>
      <c r="AH59" s="20"/>
    </row>
    <row r="60" spans="1:34">
      <c r="A60" s="31" t="str">
        <f t="shared" si="3"/>
        <v/>
      </c>
      <c r="B60" s="21"/>
      <c r="C60" s="20"/>
      <c r="D60" s="24"/>
      <c r="E60" s="26"/>
      <c r="F60" s="22"/>
      <c r="G60" s="32" t="str">
        <f t="shared" si="4"/>
        <v/>
      </c>
      <c r="H60" s="26"/>
      <c r="I60" s="27"/>
      <c r="J60" s="26"/>
      <c r="K60" s="27"/>
      <c r="L60" s="26"/>
      <c r="M60" s="27"/>
      <c r="N60" s="26"/>
      <c r="O60" s="27"/>
      <c r="P60" s="26"/>
      <c r="Q60" s="27"/>
      <c r="R60" s="28"/>
      <c r="S60" s="29"/>
      <c r="T60" s="28"/>
      <c r="U60" s="29"/>
      <c r="V60" s="30"/>
      <c r="W60" s="33" t="str">
        <f t="shared" si="5"/>
        <v/>
      </c>
      <c r="X60" s="30"/>
      <c r="Y60" s="20"/>
      <c r="Z60" s="20"/>
      <c r="AA60" s="20"/>
      <c r="AB60" s="20"/>
      <c r="AC60" s="20"/>
      <c r="AD60" s="20"/>
      <c r="AE60" s="20"/>
      <c r="AF60" s="20"/>
      <c r="AG60" s="20"/>
      <c r="AH60" s="20"/>
    </row>
    <row r="61" spans="1:34">
      <c r="A61" s="31" t="str">
        <f t="shared" si="3"/>
        <v/>
      </c>
      <c r="B61" s="21"/>
      <c r="C61" s="20"/>
      <c r="D61" s="24"/>
      <c r="E61" s="26"/>
      <c r="F61" s="22"/>
      <c r="G61" s="32" t="str">
        <f t="shared" si="4"/>
        <v/>
      </c>
      <c r="H61" s="26"/>
      <c r="I61" s="27"/>
      <c r="J61" s="26"/>
      <c r="K61" s="27"/>
      <c r="L61" s="26"/>
      <c r="M61" s="27"/>
      <c r="N61" s="26"/>
      <c r="O61" s="27"/>
      <c r="P61" s="26"/>
      <c r="Q61" s="27"/>
      <c r="R61" s="28"/>
      <c r="S61" s="29"/>
      <c r="T61" s="28"/>
      <c r="U61" s="29"/>
      <c r="V61" s="30"/>
      <c r="W61" s="33" t="str">
        <f t="shared" si="5"/>
        <v/>
      </c>
      <c r="X61" s="30"/>
      <c r="Y61" s="20"/>
      <c r="Z61" s="20"/>
      <c r="AA61" s="20"/>
      <c r="AB61" s="20"/>
      <c r="AC61" s="20"/>
      <c r="AD61" s="20"/>
      <c r="AE61" s="20"/>
      <c r="AF61" s="20"/>
      <c r="AG61" s="20"/>
      <c r="AH61" s="20"/>
    </row>
    <row r="62" spans="1:34">
      <c r="A62" s="31" t="str">
        <f t="shared" si="3"/>
        <v/>
      </c>
      <c r="B62" s="21"/>
      <c r="C62" s="20"/>
      <c r="D62" s="24"/>
      <c r="E62" s="26"/>
      <c r="F62" s="22"/>
      <c r="G62" s="32" t="str">
        <f t="shared" si="4"/>
        <v/>
      </c>
      <c r="H62" s="26"/>
      <c r="I62" s="27"/>
      <c r="J62" s="26"/>
      <c r="K62" s="27"/>
      <c r="L62" s="26"/>
      <c r="M62" s="27"/>
      <c r="N62" s="26"/>
      <c r="O62" s="27"/>
      <c r="P62" s="26"/>
      <c r="Q62" s="27"/>
      <c r="R62" s="28"/>
      <c r="S62" s="29"/>
      <c r="T62" s="28"/>
      <c r="U62" s="29"/>
      <c r="V62" s="30"/>
      <c r="W62" s="33" t="str">
        <f t="shared" si="5"/>
        <v/>
      </c>
      <c r="X62" s="30"/>
      <c r="Y62" s="20"/>
      <c r="Z62" s="20"/>
      <c r="AA62" s="20"/>
      <c r="AB62" s="20"/>
      <c r="AC62" s="20"/>
      <c r="AD62" s="20"/>
      <c r="AE62" s="20"/>
      <c r="AF62" s="20"/>
      <c r="AG62" s="20"/>
      <c r="AH62" s="20"/>
    </row>
    <row r="63" spans="1:34">
      <c r="A63" s="31" t="str">
        <f t="shared" si="3"/>
        <v/>
      </c>
      <c r="B63" s="21"/>
      <c r="C63" s="20"/>
      <c r="D63" s="24"/>
      <c r="E63" s="26"/>
      <c r="F63" s="22"/>
      <c r="G63" s="32" t="str">
        <f t="shared" si="4"/>
        <v/>
      </c>
      <c r="H63" s="26"/>
      <c r="I63" s="27"/>
      <c r="J63" s="26"/>
      <c r="K63" s="27"/>
      <c r="L63" s="26"/>
      <c r="M63" s="27"/>
      <c r="N63" s="26"/>
      <c r="O63" s="27"/>
      <c r="P63" s="26"/>
      <c r="Q63" s="27"/>
      <c r="R63" s="28"/>
      <c r="S63" s="29"/>
      <c r="T63" s="28"/>
      <c r="U63" s="29"/>
      <c r="V63" s="30"/>
      <c r="W63" s="33" t="str">
        <f t="shared" si="5"/>
        <v/>
      </c>
      <c r="X63" s="30"/>
      <c r="Y63" s="20"/>
      <c r="Z63" s="20"/>
      <c r="AA63" s="20"/>
      <c r="AB63" s="20"/>
      <c r="AC63" s="20"/>
      <c r="AD63" s="20"/>
      <c r="AE63" s="20"/>
      <c r="AF63" s="20"/>
      <c r="AG63" s="20"/>
      <c r="AH63" s="20"/>
    </row>
    <row r="64" spans="1:34">
      <c r="A64" s="31" t="str">
        <f t="shared" si="3"/>
        <v/>
      </c>
      <c r="B64" s="21"/>
      <c r="C64" s="20"/>
      <c r="D64" s="24"/>
      <c r="E64" s="26"/>
      <c r="F64" s="22"/>
      <c r="G64" s="32" t="str">
        <f t="shared" si="4"/>
        <v/>
      </c>
      <c r="H64" s="26"/>
      <c r="I64" s="27"/>
      <c r="J64" s="26"/>
      <c r="K64" s="27"/>
      <c r="L64" s="26"/>
      <c r="M64" s="27"/>
      <c r="N64" s="26"/>
      <c r="O64" s="27"/>
      <c r="P64" s="26"/>
      <c r="Q64" s="27"/>
      <c r="R64" s="28"/>
      <c r="S64" s="29"/>
      <c r="T64" s="28"/>
      <c r="U64" s="29"/>
      <c r="V64" s="30"/>
      <c r="W64" s="33" t="str">
        <f t="shared" si="5"/>
        <v/>
      </c>
      <c r="X64" s="30"/>
      <c r="Y64" s="20"/>
      <c r="Z64" s="20"/>
      <c r="AA64" s="20"/>
      <c r="AB64" s="20"/>
      <c r="AC64" s="20"/>
      <c r="AD64" s="20"/>
      <c r="AE64" s="20"/>
      <c r="AF64" s="20"/>
      <c r="AG64" s="20"/>
      <c r="AH64" s="20"/>
    </row>
    <row r="65" spans="1:34">
      <c r="A65" s="31" t="str">
        <f t="shared" si="3"/>
        <v/>
      </c>
      <c r="B65" s="21"/>
      <c r="C65" s="20"/>
      <c r="D65" s="24"/>
      <c r="E65" s="26"/>
      <c r="F65" s="22"/>
      <c r="G65" s="32" t="str">
        <f t="shared" si="4"/>
        <v/>
      </c>
      <c r="H65" s="26"/>
      <c r="I65" s="27"/>
      <c r="J65" s="26"/>
      <c r="K65" s="27"/>
      <c r="L65" s="26"/>
      <c r="M65" s="27"/>
      <c r="N65" s="26"/>
      <c r="O65" s="27"/>
      <c r="P65" s="26"/>
      <c r="Q65" s="27"/>
      <c r="R65" s="28"/>
      <c r="S65" s="29"/>
      <c r="T65" s="28"/>
      <c r="U65" s="29"/>
      <c r="V65" s="30"/>
      <c r="W65" s="33" t="str">
        <f t="shared" si="5"/>
        <v/>
      </c>
      <c r="X65" s="30"/>
      <c r="Y65" s="20"/>
      <c r="Z65" s="20"/>
      <c r="AA65" s="20"/>
      <c r="AB65" s="20"/>
      <c r="AC65" s="20"/>
      <c r="AD65" s="20"/>
      <c r="AE65" s="20"/>
      <c r="AF65" s="20"/>
      <c r="AG65" s="20"/>
      <c r="AH65" s="20"/>
    </row>
    <row r="66" spans="1:34">
      <c r="A66" s="31" t="str">
        <f t="shared" si="3"/>
        <v/>
      </c>
      <c r="B66" s="21"/>
      <c r="C66" s="20"/>
      <c r="D66" s="24"/>
      <c r="E66" s="26"/>
      <c r="F66" s="22"/>
      <c r="G66" s="32" t="str">
        <f t="shared" si="4"/>
        <v/>
      </c>
      <c r="H66" s="26"/>
      <c r="I66" s="27"/>
      <c r="J66" s="26"/>
      <c r="K66" s="27"/>
      <c r="L66" s="26"/>
      <c r="M66" s="27"/>
      <c r="N66" s="26"/>
      <c r="O66" s="27"/>
      <c r="P66" s="26"/>
      <c r="Q66" s="27"/>
      <c r="R66" s="28"/>
      <c r="S66" s="29"/>
      <c r="T66" s="28"/>
      <c r="U66" s="29"/>
      <c r="V66" s="30"/>
      <c r="W66" s="33" t="str">
        <f t="shared" si="5"/>
        <v/>
      </c>
      <c r="X66" s="30"/>
      <c r="Y66" s="20"/>
      <c r="Z66" s="20"/>
      <c r="AA66" s="20"/>
      <c r="AB66" s="20"/>
      <c r="AC66" s="20"/>
      <c r="AD66" s="20"/>
      <c r="AE66" s="20"/>
      <c r="AF66" s="20"/>
      <c r="AG66" s="20"/>
      <c r="AH66" s="20"/>
    </row>
    <row r="67" spans="1:34">
      <c r="A67" s="31" t="str">
        <f t="shared" si="3"/>
        <v/>
      </c>
      <c r="B67" s="21"/>
      <c r="C67" s="20"/>
      <c r="D67" s="24"/>
      <c r="E67" s="26"/>
      <c r="F67" s="22"/>
      <c r="G67" s="32" t="str">
        <f t="shared" si="4"/>
        <v/>
      </c>
      <c r="H67" s="26"/>
      <c r="I67" s="27"/>
      <c r="J67" s="26"/>
      <c r="K67" s="27"/>
      <c r="L67" s="26"/>
      <c r="M67" s="27"/>
      <c r="N67" s="26"/>
      <c r="O67" s="27"/>
      <c r="P67" s="26"/>
      <c r="Q67" s="27"/>
      <c r="R67" s="28"/>
      <c r="S67" s="29"/>
      <c r="T67" s="28"/>
      <c r="U67" s="29"/>
      <c r="V67" s="30"/>
      <c r="W67" s="33" t="str">
        <f t="shared" si="5"/>
        <v/>
      </c>
      <c r="X67" s="30"/>
      <c r="Y67" s="20"/>
      <c r="Z67" s="20"/>
      <c r="AA67" s="20"/>
      <c r="AB67" s="20"/>
      <c r="AC67" s="20"/>
      <c r="AD67" s="20"/>
      <c r="AE67" s="20"/>
      <c r="AF67" s="20"/>
      <c r="AG67" s="20"/>
      <c r="AH67" s="20"/>
    </row>
    <row r="68" spans="1:34">
      <c r="A68" s="31" t="str">
        <f t="shared" si="3"/>
        <v/>
      </c>
      <c r="B68" s="21"/>
      <c r="C68" s="20"/>
      <c r="D68" s="24"/>
      <c r="E68" s="26"/>
      <c r="F68" s="22"/>
      <c r="G68" s="32" t="str">
        <f t="shared" si="4"/>
        <v/>
      </c>
      <c r="H68" s="26"/>
      <c r="I68" s="27"/>
      <c r="J68" s="26"/>
      <c r="K68" s="27"/>
      <c r="L68" s="26"/>
      <c r="M68" s="27"/>
      <c r="N68" s="26"/>
      <c r="O68" s="27"/>
      <c r="P68" s="26"/>
      <c r="Q68" s="27"/>
      <c r="R68" s="28"/>
      <c r="S68" s="29"/>
      <c r="T68" s="28"/>
      <c r="U68" s="29"/>
      <c r="V68" s="30"/>
      <c r="W68" s="33" t="str">
        <f t="shared" si="5"/>
        <v/>
      </c>
      <c r="X68" s="30"/>
      <c r="Y68" s="20"/>
      <c r="Z68" s="20"/>
      <c r="AA68" s="20"/>
      <c r="AB68" s="20"/>
      <c r="AC68" s="20"/>
      <c r="AD68" s="20"/>
      <c r="AE68" s="20"/>
      <c r="AF68" s="20"/>
      <c r="AG68" s="20"/>
      <c r="AH68" s="20"/>
    </row>
    <row r="69" spans="1:34">
      <c r="A69" s="31" t="str">
        <f t="shared" ref="A69:A100" si="6">IF(B69="","",ROW()-4)</f>
        <v/>
      </c>
      <c r="B69" s="21"/>
      <c r="C69" s="20"/>
      <c r="D69" s="24"/>
      <c r="E69" s="26"/>
      <c r="F69" s="22"/>
      <c r="G69" s="32" t="str">
        <f t="shared" ref="G69:G100" si="7">IF(B69="","",ROUND(IF(AND(ISNUMBER(E69),ISNUMBER(F69)),MOD(F69-E69,1),0)*1440,0))</f>
        <v/>
      </c>
      <c r="H69" s="26"/>
      <c r="I69" s="27"/>
      <c r="J69" s="26"/>
      <c r="K69" s="27"/>
      <c r="L69" s="26"/>
      <c r="M69" s="27"/>
      <c r="N69" s="26"/>
      <c r="O69" s="27"/>
      <c r="P69" s="26"/>
      <c r="Q69" s="27"/>
      <c r="R69" s="28"/>
      <c r="S69" s="29"/>
      <c r="T69" s="28"/>
      <c r="U69" s="29"/>
      <c r="V69" s="30"/>
      <c r="W69" s="33" t="str">
        <f t="shared" ref="W69:W104" si="8">IF(B69="","",IF(AND(ISNUMBER(H69),ISNUMBER(I69),H69&lt;&gt;I69),MAX(0,MOD(I69-H69,1)*24-G69/60),0)+IF(AND(ISNUMBER(J69),ISNUMBER(K69),J69&lt;&gt;K69),MAX(0,MOD(K69-J69,1)*24-G69/60),0)+IF(AND(ISNUMBER(L69),ISNUMBER(M69),L69&lt;&gt;M69),MAX(0,MOD(M69-L69,1)*24-G69/60),0)+IF(AND(ISNUMBER(N69),ISNUMBER(O69),N69&lt;&gt;O69),MAX(0,MOD(O69-N69,1)*24-G69/60),0)+IF(AND(ISNUMBER(P69),ISNUMBER(Q69),P69&lt;&gt;Q69),MAX(0,MOD(Q69-P69,1)*24-G69/60),0)+IF(AND(ISNUMBER(R69),ISNUMBER(S69),R69&lt;&gt;S69),MAX(0,MOD(S69-R69,1)*24-G69/60),0)+IF(AND(ISNUMBER(T69),ISNUMBER(U69),T69&lt;&gt;U69),MAX(0,MOD(U69-T69,1)*24-G69/60),0))</f>
        <v/>
      </c>
      <c r="X69" s="30"/>
      <c r="Y69" s="20"/>
      <c r="Z69" s="20"/>
      <c r="AA69" s="20"/>
      <c r="AB69" s="20"/>
      <c r="AC69" s="20"/>
      <c r="AD69" s="20"/>
      <c r="AE69" s="20"/>
      <c r="AF69" s="20"/>
      <c r="AG69" s="20"/>
      <c r="AH69" s="20"/>
    </row>
    <row r="70" spans="1:34">
      <c r="A70" s="31" t="str">
        <f t="shared" si="6"/>
        <v/>
      </c>
      <c r="B70" s="21"/>
      <c r="C70" s="20"/>
      <c r="D70" s="24"/>
      <c r="E70" s="26"/>
      <c r="F70" s="22"/>
      <c r="G70" s="32" t="str">
        <f t="shared" si="7"/>
        <v/>
      </c>
      <c r="H70" s="26"/>
      <c r="I70" s="27"/>
      <c r="J70" s="26"/>
      <c r="K70" s="27"/>
      <c r="L70" s="26"/>
      <c r="M70" s="27"/>
      <c r="N70" s="26"/>
      <c r="O70" s="27"/>
      <c r="P70" s="26"/>
      <c r="Q70" s="27"/>
      <c r="R70" s="28"/>
      <c r="S70" s="29"/>
      <c r="T70" s="28"/>
      <c r="U70" s="29"/>
      <c r="V70" s="30"/>
      <c r="W70" s="33" t="str">
        <f t="shared" si="8"/>
        <v/>
      </c>
      <c r="X70" s="30"/>
      <c r="Y70" s="20"/>
      <c r="Z70" s="20"/>
      <c r="AA70" s="20"/>
      <c r="AB70" s="20"/>
      <c r="AC70" s="20"/>
      <c r="AD70" s="20"/>
      <c r="AE70" s="20"/>
      <c r="AF70" s="20"/>
      <c r="AG70" s="20"/>
      <c r="AH70" s="20"/>
    </row>
    <row r="71" spans="1:34">
      <c r="A71" s="31" t="str">
        <f t="shared" si="6"/>
        <v/>
      </c>
      <c r="B71" s="21"/>
      <c r="C71" s="20"/>
      <c r="D71" s="24"/>
      <c r="E71" s="26"/>
      <c r="F71" s="22"/>
      <c r="G71" s="32" t="str">
        <f t="shared" si="7"/>
        <v/>
      </c>
      <c r="H71" s="26"/>
      <c r="I71" s="27"/>
      <c r="J71" s="26"/>
      <c r="K71" s="27"/>
      <c r="L71" s="26"/>
      <c r="M71" s="27"/>
      <c r="N71" s="26"/>
      <c r="O71" s="27"/>
      <c r="P71" s="26"/>
      <c r="Q71" s="27"/>
      <c r="R71" s="28"/>
      <c r="S71" s="29"/>
      <c r="T71" s="28"/>
      <c r="U71" s="29"/>
      <c r="V71" s="30"/>
      <c r="W71" s="33" t="str">
        <f t="shared" si="8"/>
        <v/>
      </c>
      <c r="X71" s="30"/>
      <c r="Y71" s="20"/>
      <c r="Z71" s="20"/>
      <c r="AA71" s="20"/>
      <c r="AB71" s="20"/>
      <c r="AC71" s="20"/>
      <c r="AD71" s="20"/>
      <c r="AE71" s="20"/>
      <c r="AF71" s="20"/>
      <c r="AG71" s="20"/>
      <c r="AH71" s="20"/>
    </row>
    <row r="72" spans="1:34">
      <c r="A72" s="31" t="str">
        <f t="shared" si="6"/>
        <v/>
      </c>
      <c r="B72" s="21"/>
      <c r="C72" s="20"/>
      <c r="D72" s="24"/>
      <c r="E72" s="26"/>
      <c r="F72" s="22"/>
      <c r="G72" s="32" t="str">
        <f t="shared" si="7"/>
        <v/>
      </c>
      <c r="H72" s="26"/>
      <c r="I72" s="27"/>
      <c r="J72" s="26"/>
      <c r="K72" s="27"/>
      <c r="L72" s="26"/>
      <c r="M72" s="27"/>
      <c r="N72" s="26"/>
      <c r="O72" s="27"/>
      <c r="P72" s="26"/>
      <c r="Q72" s="27"/>
      <c r="R72" s="28"/>
      <c r="S72" s="29"/>
      <c r="T72" s="28"/>
      <c r="U72" s="29"/>
      <c r="V72" s="30"/>
      <c r="W72" s="33" t="str">
        <f t="shared" si="8"/>
        <v/>
      </c>
      <c r="X72" s="30"/>
      <c r="Y72" s="20"/>
      <c r="Z72" s="20"/>
      <c r="AA72" s="20"/>
      <c r="AB72" s="20"/>
      <c r="AC72" s="20"/>
      <c r="AD72" s="20"/>
      <c r="AE72" s="20"/>
      <c r="AF72" s="20"/>
      <c r="AG72" s="20"/>
      <c r="AH72" s="20"/>
    </row>
    <row r="73" spans="1:34">
      <c r="A73" s="31" t="str">
        <f t="shared" si="6"/>
        <v/>
      </c>
      <c r="B73" s="21"/>
      <c r="C73" s="20"/>
      <c r="D73" s="24"/>
      <c r="E73" s="26"/>
      <c r="F73" s="22"/>
      <c r="G73" s="32" t="str">
        <f t="shared" si="7"/>
        <v/>
      </c>
      <c r="H73" s="26"/>
      <c r="I73" s="27"/>
      <c r="J73" s="26"/>
      <c r="K73" s="27"/>
      <c r="L73" s="26"/>
      <c r="M73" s="27"/>
      <c r="N73" s="26"/>
      <c r="O73" s="27"/>
      <c r="P73" s="26"/>
      <c r="Q73" s="27"/>
      <c r="R73" s="28"/>
      <c r="S73" s="29"/>
      <c r="T73" s="28"/>
      <c r="U73" s="29"/>
      <c r="V73" s="30"/>
      <c r="W73" s="33" t="str">
        <f t="shared" si="8"/>
        <v/>
      </c>
      <c r="X73" s="30"/>
      <c r="Y73" s="20"/>
      <c r="Z73" s="20"/>
      <c r="AA73" s="20"/>
      <c r="AB73" s="20"/>
      <c r="AC73" s="20"/>
      <c r="AD73" s="20"/>
      <c r="AE73" s="20"/>
      <c r="AF73" s="20"/>
      <c r="AG73" s="20"/>
      <c r="AH73" s="20"/>
    </row>
    <row r="74" spans="1:34">
      <c r="A74" s="31" t="str">
        <f t="shared" si="6"/>
        <v/>
      </c>
      <c r="B74" s="21"/>
      <c r="C74" s="20"/>
      <c r="D74" s="24"/>
      <c r="E74" s="26"/>
      <c r="F74" s="22"/>
      <c r="G74" s="32" t="str">
        <f t="shared" si="7"/>
        <v/>
      </c>
      <c r="H74" s="26"/>
      <c r="I74" s="27"/>
      <c r="J74" s="26"/>
      <c r="K74" s="27"/>
      <c r="L74" s="26"/>
      <c r="M74" s="27"/>
      <c r="N74" s="26"/>
      <c r="O74" s="27"/>
      <c r="P74" s="26"/>
      <c r="Q74" s="27"/>
      <c r="R74" s="28"/>
      <c r="S74" s="29"/>
      <c r="T74" s="28"/>
      <c r="U74" s="29"/>
      <c r="V74" s="30"/>
      <c r="W74" s="33" t="str">
        <f t="shared" si="8"/>
        <v/>
      </c>
      <c r="X74" s="30"/>
      <c r="Y74" s="20"/>
      <c r="Z74" s="20"/>
      <c r="AA74" s="20"/>
      <c r="AB74" s="20"/>
      <c r="AC74" s="20"/>
      <c r="AD74" s="20"/>
      <c r="AE74" s="20"/>
      <c r="AF74" s="20"/>
      <c r="AG74" s="20"/>
      <c r="AH74" s="20"/>
    </row>
    <row r="75" spans="1:34">
      <c r="A75" s="31" t="str">
        <f t="shared" si="6"/>
        <v/>
      </c>
      <c r="B75" s="21"/>
      <c r="C75" s="20"/>
      <c r="D75" s="24"/>
      <c r="E75" s="26"/>
      <c r="F75" s="22"/>
      <c r="G75" s="32" t="str">
        <f t="shared" si="7"/>
        <v/>
      </c>
      <c r="H75" s="26"/>
      <c r="I75" s="27"/>
      <c r="J75" s="26"/>
      <c r="K75" s="27"/>
      <c r="L75" s="26"/>
      <c r="M75" s="27"/>
      <c r="N75" s="26"/>
      <c r="O75" s="27"/>
      <c r="P75" s="26"/>
      <c r="Q75" s="27"/>
      <c r="R75" s="28"/>
      <c r="S75" s="29"/>
      <c r="T75" s="28"/>
      <c r="U75" s="29"/>
      <c r="V75" s="30"/>
      <c r="W75" s="33" t="str">
        <f t="shared" si="8"/>
        <v/>
      </c>
      <c r="X75" s="30"/>
      <c r="Y75" s="20"/>
      <c r="Z75" s="20"/>
      <c r="AA75" s="20"/>
      <c r="AB75" s="20"/>
      <c r="AC75" s="20"/>
      <c r="AD75" s="20"/>
      <c r="AE75" s="20"/>
      <c r="AF75" s="20"/>
      <c r="AG75" s="20"/>
      <c r="AH75" s="20"/>
    </row>
    <row r="76" spans="1:34">
      <c r="A76" s="31" t="str">
        <f t="shared" si="6"/>
        <v/>
      </c>
      <c r="B76" s="21"/>
      <c r="C76" s="20"/>
      <c r="D76" s="24"/>
      <c r="E76" s="26"/>
      <c r="F76" s="22"/>
      <c r="G76" s="32" t="str">
        <f t="shared" si="7"/>
        <v/>
      </c>
      <c r="H76" s="26"/>
      <c r="I76" s="27"/>
      <c r="J76" s="26"/>
      <c r="K76" s="27"/>
      <c r="L76" s="26"/>
      <c r="M76" s="27"/>
      <c r="N76" s="26"/>
      <c r="O76" s="27"/>
      <c r="P76" s="26"/>
      <c r="Q76" s="27"/>
      <c r="R76" s="28"/>
      <c r="S76" s="29"/>
      <c r="T76" s="28"/>
      <c r="U76" s="29"/>
      <c r="V76" s="30"/>
      <c r="W76" s="33" t="str">
        <f t="shared" si="8"/>
        <v/>
      </c>
      <c r="X76" s="30"/>
      <c r="Y76" s="20"/>
      <c r="Z76" s="20"/>
      <c r="AA76" s="20"/>
      <c r="AB76" s="20"/>
      <c r="AC76" s="20"/>
      <c r="AD76" s="20"/>
      <c r="AE76" s="20"/>
      <c r="AF76" s="20"/>
      <c r="AG76" s="20"/>
      <c r="AH76" s="20"/>
    </row>
    <row r="77" spans="1:34">
      <c r="A77" s="31" t="str">
        <f t="shared" si="6"/>
        <v/>
      </c>
      <c r="B77" s="21"/>
      <c r="C77" s="20"/>
      <c r="D77" s="24"/>
      <c r="E77" s="26"/>
      <c r="F77" s="22"/>
      <c r="G77" s="32" t="str">
        <f t="shared" si="7"/>
        <v/>
      </c>
      <c r="H77" s="26"/>
      <c r="I77" s="27"/>
      <c r="J77" s="26"/>
      <c r="K77" s="27"/>
      <c r="L77" s="26"/>
      <c r="M77" s="27"/>
      <c r="N77" s="26"/>
      <c r="O77" s="27"/>
      <c r="P77" s="26"/>
      <c r="Q77" s="27"/>
      <c r="R77" s="28"/>
      <c r="S77" s="29"/>
      <c r="T77" s="28"/>
      <c r="U77" s="29"/>
      <c r="V77" s="30"/>
      <c r="W77" s="33" t="str">
        <f t="shared" si="8"/>
        <v/>
      </c>
      <c r="X77" s="30"/>
      <c r="Y77" s="20"/>
      <c r="Z77" s="20"/>
      <c r="AA77" s="20"/>
      <c r="AB77" s="20"/>
      <c r="AC77" s="20"/>
      <c r="AD77" s="20"/>
      <c r="AE77" s="20"/>
      <c r="AF77" s="20"/>
      <c r="AG77" s="20"/>
      <c r="AH77" s="20"/>
    </row>
    <row r="78" spans="1:34">
      <c r="A78" s="31" t="str">
        <f t="shared" si="6"/>
        <v/>
      </c>
      <c r="B78" s="21"/>
      <c r="C78" s="20"/>
      <c r="D78" s="24"/>
      <c r="E78" s="26"/>
      <c r="F78" s="22"/>
      <c r="G78" s="32" t="str">
        <f t="shared" si="7"/>
        <v/>
      </c>
      <c r="H78" s="26"/>
      <c r="I78" s="27"/>
      <c r="J78" s="26"/>
      <c r="K78" s="27"/>
      <c r="L78" s="26"/>
      <c r="M78" s="27"/>
      <c r="N78" s="26"/>
      <c r="O78" s="27"/>
      <c r="P78" s="26"/>
      <c r="Q78" s="27"/>
      <c r="R78" s="28"/>
      <c r="S78" s="29"/>
      <c r="T78" s="28"/>
      <c r="U78" s="29"/>
      <c r="V78" s="30"/>
      <c r="W78" s="33" t="str">
        <f t="shared" si="8"/>
        <v/>
      </c>
      <c r="X78" s="30"/>
      <c r="Y78" s="20"/>
      <c r="Z78" s="20"/>
      <c r="AA78" s="20"/>
      <c r="AB78" s="20"/>
      <c r="AC78" s="20"/>
      <c r="AD78" s="20"/>
      <c r="AE78" s="20"/>
      <c r="AF78" s="20"/>
      <c r="AG78" s="20"/>
      <c r="AH78" s="20"/>
    </row>
    <row r="79" spans="1:34">
      <c r="A79" s="31" t="str">
        <f t="shared" si="6"/>
        <v/>
      </c>
      <c r="B79" s="21"/>
      <c r="C79" s="20"/>
      <c r="D79" s="24"/>
      <c r="E79" s="26"/>
      <c r="F79" s="22"/>
      <c r="G79" s="32" t="str">
        <f t="shared" si="7"/>
        <v/>
      </c>
      <c r="H79" s="26"/>
      <c r="I79" s="27"/>
      <c r="J79" s="26"/>
      <c r="K79" s="27"/>
      <c r="L79" s="26"/>
      <c r="M79" s="27"/>
      <c r="N79" s="26"/>
      <c r="O79" s="27"/>
      <c r="P79" s="26"/>
      <c r="Q79" s="27"/>
      <c r="R79" s="28"/>
      <c r="S79" s="29"/>
      <c r="T79" s="28"/>
      <c r="U79" s="29"/>
      <c r="V79" s="30"/>
      <c r="W79" s="33" t="str">
        <f t="shared" si="8"/>
        <v/>
      </c>
      <c r="X79" s="30"/>
      <c r="Y79" s="20"/>
      <c r="Z79" s="20"/>
      <c r="AA79" s="20"/>
      <c r="AB79" s="20"/>
      <c r="AC79" s="20"/>
      <c r="AD79" s="20"/>
      <c r="AE79" s="20"/>
      <c r="AF79" s="20"/>
      <c r="AG79" s="20"/>
      <c r="AH79" s="20"/>
    </row>
    <row r="80" spans="1:34">
      <c r="A80" s="31" t="str">
        <f t="shared" si="6"/>
        <v/>
      </c>
      <c r="B80" s="21"/>
      <c r="C80" s="20"/>
      <c r="D80" s="24"/>
      <c r="E80" s="26"/>
      <c r="F80" s="22"/>
      <c r="G80" s="32" t="str">
        <f t="shared" si="7"/>
        <v/>
      </c>
      <c r="H80" s="26"/>
      <c r="I80" s="27"/>
      <c r="J80" s="26"/>
      <c r="K80" s="27"/>
      <c r="L80" s="26"/>
      <c r="M80" s="27"/>
      <c r="N80" s="26"/>
      <c r="O80" s="27"/>
      <c r="P80" s="26"/>
      <c r="Q80" s="27"/>
      <c r="R80" s="28"/>
      <c r="S80" s="29"/>
      <c r="T80" s="28"/>
      <c r="U80" s="29"/>
      <c r="V80" s="30"/>
      <c r="W80" s="33" t="str">
        <f t="shared" si="8"/>
        <v/>
      </c>
      <c r="X80" s="30"/>
      <c r="Y80" s="20"/>
      <c r="Z80" s="20"/>
      <c r="AA80" s="20"/>
      <c r="AB80" s="20"/>
      <c r="AC80" s="20"/>
      <c r="AD80" s="20"/>
      <c r="AE80" s="20"/>
      <c r="AF80" s="20"/>
      <c r="AG80" s="20"/>
      <c r="AH80" s="20"/>
    </row>
    <row r="81" spans="1:34">
      <c r="A81" s="31" t="str">
        <f t="shared" si="6"/>
        <v/>
      </c>
      <c r="B81" s="21"/>
      <c r="C81" s="20"/>
      <c r="D81" s="24"/>
      <c r="E81" s="26"/>
      <c r="F81" s="22"/>
      <c r="G81" s="32" t="str">
        <f t="shared" si="7"/>
        <v/>
      </c>
      <c r="H81" s="26"/>
      <c r="I81" s="27"/>
      <c r="J81" s="26"/>
      <c r="K81" s="27"/>
      <c r="L81" s="26"/>
      <c r="M81" s="27"/>
      <c r="N81" s="26"/>
      <c r="O81" s="27"/>
      <c r="P81" s="26"/>
      <c r="Q81" s="27"/>
      <c r="R81" s="28"/>
      <c r="S81" s="29"/>
      <c r="T81" s="28"/>
      <c r="U81" s="29"/>
      <c r="V81" s="30"/>
      <c r="W81" s="33" t="str">
        <f t="shared" si="8"/>
        <v/>
      </c>
      <c r="X81" s="30"/>
      <c r="Y81" s="20"/>
      <c r="Z81" s="20"/>
      <c r="AA81" s="20"/>
      <c r="AB81" s="20"/>
      <c r="AC81" s="20"/>
      <c r="AD81" s="20"/>
      <c r="AE81" s="20"/>
      <c r="AF81" s="20"/>
      <c r="AG81" s="20"/>
      <c r="AH81" s="20"/>
    </row>
    <row r="82" spans="1:34">
      <c r="A82" s="31" t="str">
        <f t="shared" si="6"/>
        <v/>
      </c>
      <c r="B82" s="21"/>
      <c r="C82" s="20"/>
      <c r="D82" s="24"/>
      <c r="E82" s="26"/>
      <c r="F82" s="22"/>
      <c r="G82" s="32" t="str">
        <f t="shared" si="7"/>
        <v/>
      </c>
      <c r="H82" s="26"/>
      <c r="I82" s="27"/>
      <c r="J82" s="26"/>
      <c r="K82" s="27"/>
      <c r="L82" s="26"/>
      <c r="M82" s="27"/>
      <c r="N82" s="26"/>
      <c r="O82" s="27"/>
      <c r="P82" s="26"/>
      <c r="Q82" s="27"/>
      <c r="R82" s="28"/>
      <c r="S82" s="29"/>
      <c r="T82" s="28"/>
      <c r="U82" s="29"/>
      <c r="V82" s="30"/>
      <c r="W82" s="33" t="str">
        <f t="shared" si="8"/>
        <v/>
      </c>
      <c r="X82" s="30"/>
      <c r="Y82" s="20"/>
      <c r="Z82" s="20"/>
      <c r="AA82" s="20"/>
      <c r="AB82" s="20"/>
      <c r="AC82" s="20"/>
      <c r="AD82" s="20"/>
      <c r="AE82" s="20"/>
      <c r="AF82" s="20"/>
      <c r="AG82" s="20"/>
      <c r="AH82" s="20"/>
    </row>
    <row r="83" spans="1:34">
      <c r="A83" s="31" t="str">
        <f t="shared" si="6"/>
        <v/>
      </c>
      <c r="B83" s="21"/>
      <c r="C83" s="20"/>
      <c r="D83" s="24"/>
      <c r="E83" s="26"/>
      <c r="F83" s="22"/>
      <c r="G83" s="32" t="str">
        <f t="shared" si="7"/>
        <v/>
      </c>
      <c r="H83" s="26"/>
      <c r="I83" s="27"/>
      <c r="J83" s="26"/>
      <c r="K83" s="27"/>
      <c r="L83" s="26"/>
      <c r="M83" s="27"/>
      <c r="N83" s="26"/>
      <c r="O83" s="27"/>
      <c r="P83" s="26"/>
      <c r="Q83" s="27"/>
      <c r="R83" s="28"/>
      <c r="S83" s="29"/>
      <c r="T83" s="28"/>
      <c r="U83" s="29"/>
      <c r="V83" s="30"/>
      <c r="W83" s="33" t="str">
        <f t="shared" si="8"/>
        <v/>
      </c>
      <c r="X83" s="30"/>
      <c r="Y83" s="20"/>
      <c r="Z83" s="20"/>
      <c r="AA83" s="20"/>
      <c r="AB83" s="20"/>
      <c r="AC83" s="20"/>
      <c r="AD83" s="20"/>
      <c r="AE83" s="20"/>
      <c r="AF83" s="20"/>
      <c r="AG83" s="20"/>
      <c r="AH83" s="20"/>
    </row>
    <row r="84" spans="1:34">
      <c r="A84" s="31" t="str">
        <f t="shared" si="6"/>
        <v/>
      </c>
      <c r="B84" s="21"/>
      <c r="C84" s="20"/>
      <c r="D84" s="24"/>
      <c r="E84" s="26"/>
      <c r="F84" s="22"/>
      <c r="G84" s="32" t="str">
        <f t="shared" si="7"/>
        <v/>
      </c>
      <c r="H84" s="26"/>
      <c r="I84" s="27"/>
      <c r="J84" s="26"/>
      <c r="K84" s="27"/>
      <c r="L84" s="26"/>
      <c r="M84" s="27"/>
      <c r="N84" s="26"/>
      <c r="O84" s="27"/>
      <c r="P84" s="26"/>
      <c r="Q84" s="27"/>
      <c r="R84" s="28"/>
      <c r="S84" s="29"/>
      <c r="T84" s="28"/>
      <c r="U84" s="29"/>
      <c r="V84" s="30"/>
      <c r="W84" s="33" t="str">
        <f t="shared" si="8"/>
        <v/>
      </c>
      <c r="X84" s="30"/>
      <c r="Y84" s="20"/>
      <c r="Z84" s="20"/>
      <c r="AA84" s="20"/>
      <c r="AB84" s="20"/>
      <c r="AC84" s="20"/>
      <c r="AD84" s="20"/>
      <c r="AE84" s="20"/>
      <c r="AF84" s="20"/>
      <c r="AG84" s="20"/>
      <c r="AH84" s="20"/>
    </row>
    <row r="85" spans="1:34">
      <c r="A85" s="31" t="str">
        <f t="shared" si="6"/>
        <v/>
      </c>
      <c r="B85" s="21"/>
      <c r="C85" s="20"/>
      <c r="D85" s="24"/>
      <c r="E85" s="26"/>
      <c r="F85" s="22"/>
      <c r="G85" s="32" t="str">
        <f t="shared" si="7"/>
        <v/>
      </c>
      <c r="H85" s="26"/>
      <c r="I85" s="27"/>
      <c r="J85" s="26"/>
      <c r="K85" s="27"/>
      <c r="L85" s="26"/>
      <c r="M85" s="27"/>
      <c r="N85" s="26"/>
      <c r="O85" s="27"/>
      <c r="P85" s="26"/>
      <c r="Q85" s="27"/>
      <c r="R85" s="28"/>
      <c r="S85" s="29"/>
      <c r="T85" s="28"/>
      <c r="U85" s="29"/>
      <c r="V85" s="30"/>
      <c r="W85" s="33" t="str">
        <f t="shared" si="8"/>
        <v/>
      </c>
      <c r="X85" s="30"/>
      <c r="Y85" s="20"/>
      <c r="Z85" s="20"/>
      <c r="AA85" s="20"/>
      <c r="AB85" s="20"/>
      <c r="AC85" s="20"/>
      <c r="AD85" s="20"/>
      <c r="AE85" s="20"/>
      <c r="AF85" s="20"/>
      <c r="AG85" s="20"/>
      <c r="AH85" s="20"/>
    </row>
    <row r="86" spans="1:34">
      <c r="A86" s="31" t="str">
        <f t="shared" si="6"/>
        <v/>
      </c>
      <c r="B86" s="21"/>
      <c r="C86" s="20"/>
      <c r="D86" s="24"/>
      <c r="E86" s="26"/>
      <c r="F86" s="22"/>
      <c r="G86" s="32" t="str">
        <f t="shared" si="7"/>
        <v/>
      </c>
      <c r="H86" s="26"/>
      <c r="I86" s="27"/>
      <c r="J86" s="26"/>
      <c r="K86" s="27"/>
      <c r="L86" s="26"/>
      <c r="M86" s="27"/>
      <c r="N86" s="26"/>
      <c r="O86" s="27"/>
      <c r="P86" s="26"/>
      <c r="Q86" s="27"/>
      <c r="R86" s="28"/>
      <c r="S86" s="29"/>
      <c r="T86" s="28"/>
      <c r="U86" s="29"/>
      <c r="V86" s="30"/>
      <c r="W86" s="33" t="str">
        <f t="shared" si="8"/>
        <v/>
      </c>
      <c r="X86" s="30"/>
      <c r="Y86" s="20"/>
      <c r="Z86" s="20"/>
      <c r="AA86" s="20"/>
      <c r="AB86" s="20"/>
      <c r="AC86" s="20"/>
      <c r="AD86" s="20"/>
      <c r="AE86" s="20"/>
      <c r="AF86" s="20"/>
      <c r="AG86" s="20"/>
      <c r="AH86" s="20"/>
    </row>
    <row r="87" spans="1:34">
      <c r="A87" s="31" t="str">
        <f t="shared" si="6"/>
        <v/>
      </c>
      <c r="B87" s="21"/>
      <c r="C87" s="20"/>
      <c r="D87" s="24"/>
      <c r="E87" s="26"/>
      <c r="F87" s="22"/>
      <c r="G87" s="32" t="str">
        <f t="shared" si="7"/>
        <v/>
      </c>
      <c r="H87" s="26"/>
      <c r="I87" s="27"/>
      <c r="J87" s="26"/>
      <c r="K87" s="27"/>
      <c r="L87" s="26"/>
      <c r="M87" s="27"/>
      <c r="N87" s="26"/>
      <c r="O87" s="27"/>
      <c r="P87" s="26"/>
      <c r="Q87" s="27"/>
      <c r="R87" s="28"/>
      <c r="S87" s="29"/>
      <c r="T87" s="28"/>
      <c r="U87" s="29"/>
      <c r="V87" s="30"/>
      <c r="W87" s="33" t="str">
        <f t="shared" si="8"/>
        <v/>
      </c>
      <c r="X87" s="30"/>
      <c r="Y87" s="20"/>
      <c r="Z87" s="20"/>
      <c r="AA87" s="20"/>
      <c r="AB87" s="20"/>
      <c r="AC87" s="20"/>
      <c r="AD87" s="20"/>
      <c r="AE87" s="20"/>
      <c r="AF87" s="20"/>
      <c r="AG87" s="20"/>
      <c r="AH87" s="20"/>
    </row>
    <row r="88" spans="1:34">
      <c r="A88" s="31" t="str">
        <f t="shared" si="6"/>
        <v/>
      </c>
      <c r="B88" s="21"/>
      <c r="C88" s="20"/>
      <c r="D88" s="24"/>
      <c r="E88" s="26"/>
      <c r="F88" s="22"/>
      <c r="G88" s="32" t="str">
        <f t="shared" si="7"/>
        <v/>
      </c>
      <c r="H88" s="26"/>
      <c r="I88" s="27"/>
      <c r="J88" s="26"/>
      <c r="K88" s="27"/>
      <c r="L88" s="26"/>
      <c r="M88" s="27"/>
      <c r="N88" s="26"/>
      <c r="O88" s="27"/>
      <c r="P88" s="26"/>
      <c r="Q88" s="27"/>
      <c r="R88" s="28"/>
      <c r="S88" s="29"/>
      <c r="T88" s="28"/>
      <c r="U88" s="29"/>
      <c r="V88" s="30"/>
      <c r="W88" s="33" t="str">
        <f t="shared" si="8"/>
        <v/>
      </c>
      <c r="X88" s="30"/>
      <c r="Y88" s="20"/>
      <c r="Z88" s="20"/>
      <c r="AA88" s="20"/>
      <c r="AB88" s="20"/>
      <c r="AC88" s="20"/>
      <c r="AD88" s="20"/>
      <c r="AE88" s="20"/>
      <c r="AF88" s="20"/>
      <c r="AG88" s="20"/>
      <c r="AH88" s="20"/>
    </row>
    <row r="89" spans="1:34">
      <c r="A89" s="31" t="str">
        <f t="shared" si="6"/>
        <v/>
      </c>
      <c r="B89" s="21"/>
      <c r="C89" s="20"/>
      <c r="D89" s="24"/>
      <c r="E89" s="26"/>
      <c r="F89" s="22"/>
      <c r="G89" s="32" t="str">
        <f t="shared" si="7"/>
        <v/>
      </c>
      <c r="H89" s="26"/>
      <c r="I89" s="27"/>
      <c r="J89" s="26"/>
      <c r="K89" s="27"/>
      <c r="L89" s="26"/>
      <c r="M89" s="27"/>
      <c r="N89" s="26"/>
      <c r="O89" s="27"/>
      <c r="P89" s="26"/>
      <c r="Q89" s="27"/>
      <c r="R89" s="28"/>
      <c r="S89" s="29"/>
      <c r="T89" s="28"/>
      <c r="U89" s="29"/>
      <c r="V89" s="30"/>
      <c r="W89" s="33" t="str">
        <f t="shared" si="8"/>
        <v/>
      </c>
      <c r="X89" s="30"/>
      <c r="Y89" s="20"/>
      <c r="Z89" s="20"/>
      <c r="AA89" s="20"/>
      <c r="AB89" s="20"/>
      <c r="AC89" s="20"/>
      <c r="AD89" s="20"/>
      <c r="AE89" s="20"/>
      <c r="AF89" s="20"/>
      <c r="AG89" s="20"/>
      <c r="AH89" s="20"/>
    </row>
    <row r="90" spans="1:34">
      <c r="A90" s="31" t="str">
        <f t="shared" si="6"/>
        <v/>
      </c>
      <c r="B90" s="21"/>
      <c r="C90" s="20"/>
      <c r="D90" s="24"/>
      <c r="E90" s="26"/>
      <c r="F90" s="22"/>
      <c r="G90" s="32" t="str">
        <f t="shared" si="7"/>
        <v/>
      </c>
      <c r="H90" s="26"/>
      <c r="I90" s="27"/>
      <c r="J90" s="26"/>
      <c r="K90" s="27"/>
      <c r="L90" s="26"/>
      <c r="M90" s="27"/>
      <c r="N90" s="26"/>
      <c r="O90" s="27"/>
      <c r="P90" s="26"/>
      <c r="Q90" s="27"/>
      <c r="R90" s="28"/>
      <c r="S90" s="29"/>
      <c r="T90" s="28"/>
      <c r="U90" s="29"/>
      <c r="V90" s="30"/>
      <c r="W90" s="33" t="str">
        <f t="shared" si="8"/>
        <v/>
      </c>
      <c r="X90" s="30"/>
      <c r="Y90" s="20"/>
      <c r="Z90" s="20"/>
      <c r="AA90" s="20"/>
      <c r="AB90" s="20"/>
      <c r="AC90" s="20"/>
      <c r="AD90" s="20"/>
      <c r="AE90" s="20"/>
      <c r="AF90" s="20"/>
      <c r="AG90" s="20"/>
      <c r="AH90" s="20"/>
    </row>
    <row r="91" spans="1:34">
      <c r="A91" s="31" t="str">
        <f t="shared" si="6"/>
        <v/>
      </c>
      <c r="B91" s="21"/>
      <c r="C91" s="20"/>
      <c r="D91" s="24"/>
      <c r="E91" s="26"/>
      <c r="F91" s="22"/>
      <c r="G91" s="32" t="str">
        <f t="shared" si="7"/>
        <v/>
      </c>
      <c r="H91" s="26"/>
      <c r="I91" s="27"/>
      <c r="J91" s="26"/>
      <c r="K91" s="27"/>
      <c r="L91" s="26"/>
      <c r="M91" s="27"/>
      <c r="N91" s="26"/>
      <c r="O91" s="27"/>
      <c r="P91" s="26"/>
      <c r="Q91" s="27"/>
      <c r="R91" s="28"/>
      <c r="S91" s="29"/>
      <c r="T91" s="28"/>
      <c r="U91" s="29"/>
      <c r="V91" s="30"/>
      <c r="W91" s="33" t="str">
        <f t="shared" si="8"/>
        <v/>
      </c>
      <c r="X91" s="30"/>
      <c r="Y91" s="20"/>
      <c r="Z91" s="20"/>
      <c r="AA91" s="20"/>
      <c r="AB91" s="20"/>
      <c r="AC91" s="20"/>
      <c r="AD91" s="20"/>
      <c r="AE91" s="20"/>
      <c r="AF91" s="20"/>
      <c r="AG91" s="20"/>
      <c r="AH91" s="20"/>
    </row>
    <row r="92" spans="1:34">
      <c r="A92" s="31" t="str">
        <f t="shared" si="6"/>
        <v/>
      </c>
      <c r="B92" s="21"/>
      <c r="C92" s="20"/>
      <c r="D92" s="24"/>
      <c r="E92" s="26"/>
      <c r="F92" s="22"/>
      <c r="G92" s="32" t="str">
        <f t="shared" si="7"/>
        <v/>
      </c>
      <c r="H92" s="26"/>
      <c r="I92" s="27"/>
      <c r="J92" s="26"/>
      <c r="K92" s="27"/>
      <c r="L92" s="26"/>
      <c r="M92" s="27"/>
      <c r="N92" s="26"/>
      <c r="O92" s="27"/>
      <c r="P92" s="26"/>
      <c r="Q92" s="27"/>
      <c r="R92" s="28"/>
      <c r="S92" s="29"/>
      <c r="T92" s="28"/>
      <c r="U92" s="29"/>
      <c r="V92" s="30"/>
      <c r="W92" s="33" t="str">
        <f t="shared" si="8"/>
        <v/>
      </c>
      <c r="X92" s="30"/>
      <c r="Y92" s="20"/>
      <c r="Z92" s="20"/>
      <c r="AA92" s="20"/>
      <c r="AB92" s="20"/>
      <c r="AC92" s="20"/>
      <c r="AD92" s="20"/>
      <c r="AE92" s="20"/>
      <c r="AF92" s="20"/>
      <c r="AG92" s="20"/>
      <c r="AH92" s="20"/>
    </row>
    <row r="93" spans="1:34">
      <c r="A93" s="31" t="str">
        <f t="shared" si="6"/>
        <v/>
      </c>
      <c r="B93" s="21"/>
      <c r="C93" s="20"/>
      <c r="D93" s="24"/>
      <c r="E93" s="26"/>
      <c r="F93" s="22"/>
      <c r="G93" s="32" t="str">
        <f t="shared" si="7"/>
        <v/>
      </c>
      <c r="H93" s="26"/>
      <c r="I93" s="27"/>
      <c r="J93" s="26"/>
      <c r="K93" s="27"/>
      <c r="L93" s="26"/>
      <c r="M93" s="27"/>
      <c r="N93" s="26"/>
      <c r="O93" s="27"/>
      <c r="P93" s="26"/>
      <c r="Q93" s="27"/>
      <c r="R93" s="28"/>
      <c r="S93" s="29"/>
      <c r="T93" s="28"/>
      <c r="U93" s="29"/>
      <c r="V93" s="30"/>
      <c r="W93" s="33" t="str">
        <f t="shared" si="8"/>
        <v/>
      </c>
      <c r="X93" s="30"/>
      <c r="Y93" s="20"/>
      <c r="Z93" s="20"/>
      <c r="AA93" s="20"/>
      <c r="AB93" s="20"/>
      <c r="AC93" s="20"/>
      <c r="AD93" s="20"/>
      <c r="AE93" s="20"/>
      <c r="AF93" s="20"/>
      <c r="AG93" s="20"/>
      <c r="AH93" s="20"/>
    </row>
    <row r="94" spans="1:34">
      <c r="A94" s="31" t="str">
        <f t="shared" si="6"/>
        <v/>
      </c>
      <c r="B94" s="21"/>
      <c r="C94" s="20"/>
      <c r="D94" s="24"/>
      <c r="E94" s="26"/>
      <c r="F94" s="22"/>
      <c r="G94" s="32" t="str">
        <f t="shared" si="7"/>
        <v/>
      </c>
      <c r="H94" s="26"/>
      <c r="I94" s="27"/>
      <c r="J94" s="26"/>
      <c r="K94" s="27"/>
      <c r="L94" s="26"/>
      <c r="M94" s="27"/>
      <c r="N94" s="26"/>
      <c r="O94" s="27"/>
      <c r="P94" s="26"/>
      <c r="Q94" s="27"/>
      <c r="R94" s="28"/>
      <c r="S94" s="29"/>
      <c r="T94" s="28"/>
      <c r="U94" s="29"/>
      <c r="V94" s="30"/>
      <c r="W94" s="33" t="str">
        <f t="shared" si="8"/>
        <v/>
      </c>
      <c r="X94" s="30"/>
      <c r="Y94" s="20"/>
      <c r="Z94" s="20"/>
      <c r="AA94" s="20"/>
      <c r="AB94" s="20"/>
      <c r="AC94" s="20"/>
      <c r="AD94" s="20"/>
      <c r="AE94" s="20"/>
      <c r="AF94" s="20"/>
      <c r="AG94" s="20"/>
      <c r="AH94" s="20"/>
    </row>
    <row r="95" spans="1:34">
      <c r="A95" s="31" t="str">
        <f t="shared" si="6"/>
        <v/>
      </c>
      <c r="B95" s="21"/>
      <c r="C95" s="20"/>
      <c r="D95" s="24"/>
      <c r="E95" s="26"/>
      <c r="F95" s="22"/>
      <c r="G95" s="32" t="str">
        <f t="shared" si="7"/>
        <v/>
      </c>
      <c r="H95" s="26"/>
      <c r="I95" s="27"/>
      <c r="J95" s="26"/>
      <c r="K95" s="27"/>
      <c r="L95" s="26"/>
      <c r="M95" s="27"/>
      <c r="N95" s="26"/>
      <c r="O95" s="27"/>
      <c r="P95" s="26"/>
      <c r="Q95" s="27"/>
      <c r="R95" s="28"/>
      <c r="S95" s="29"/>
      <c r="T95" s="28"/>
      <c r="U95" s="29"/>
      <c r="V95" s="30"/>
      <c r="W95" s="33" t="str">
        <f t="shared" si="8"/>
        <v/>
      </c>
      <c r="X95" s="30"/>
      <c r="Y95" s="20"/>
      <c r="Z95" s="20"/>
      <c r="AA95" s="20"/>
      <c r="AB95" s="20"/>
      <c r="AC95" s="20"/>
      <c r="AD95" s="20"/>
      <c r="AE95" s="20"/>
      <c r="AF95" s="20"/>
      <c r="AG95" s="20"/>
      <c r="AH95" s="20"/>
    </row>
    <row r="96" spans="1:34">
      <c r="A96" s="31" t="str">
        <f t="shared" si="6"/>
        <v/>
      </c>
      <c r="B96" s="21"/>
      <c r="C96" s="20"/>
      <c r="D96" s="24"/>
      <c r="E96" s="26"/>
      <c r="F96" s="22"/>
      <c r="G96" s="32" t="str">
        <f t="shared" si="7"/>
        <v/>
      </c>
      <c r="H96" s="26"/>
      <c r="I96" s="27"/>
      <c r="J96" s="26"/>
      <c r="K96" s="27"/>
      <c r="L96" s="26"/>
      <c r="M96" s="27"/>
      <c r="N96" s="26"/>
      <c r="O96" s="27"/>
      <c r="P96" s="26"/>
      <c r="Q96" s="27"/>
      <c r="R96" s="28"/>
      <c r="S96" s="29"/>
      <c r="T96" s="28"/>
      <c r="U96" s="29"/>
      <c r="V96" s="30"/>
      <c r="W96" s="33" t="str">
        <f t="shared" si="8"/>
        <v/>
      </c>
      <c r="X96" s="30"/>
      <c r="Y96" s="20"/>
      <c r="Z96" s="20"/>
      <c r="AA96" s="20"/>
      <c r="AB96" s="20"/>
      <c r="AC96" s="20"/>
      <c r="AD96" s="20"/>
      <c r="AE96" s="20"/>
      <c r="AF96" s="20"/>
      <c r="AG96" s="20"/>
      <c r="AH96" s="20"/>
    </row>
    <row r="97" spans="1:34">
      <c r="A97" s="31" t="str">
        <f t="shared" si="6"/>
        <v/>
      </c>
      <c r="B97" s="21"/>
      <c r="C97" s="20"/>
      <c r="D97" s="24"/>
      <c r="E97" s="26"/>
      <c r="F97" s="22"/>
      <c r="G97" s="32" t="str">
        <f t="shared" si="7"/>
        <v/>
      </c>
      <c r="H97" s="26"/>
      <c r="I97" s="27"/>
      <c r="J97" s="26"/>
      <c r="K97" s="27"/>
      <c r="L97" s="26"/>
      <c r="M97" s="27"/>
      <c r="N97" s="26"/>
      <c r="O97" s="27"/>
      <c r="P97" s="26"/>
      <c r="Q97" s="27"/>
      <c r="R97" s="28"/>
      <c r="S97" s="29"/>
      <c r="T97" s="28"/>
      <c r="U97" s="29"/>
      <c r="V97" s="30"/>
      <c r="W97" s="33" t="str">
        <f t="shared" si="8"/>
        <v/>
      </c>
      <c r="X97" s="30"/>
      <c r="Y97" s="20"/>
      <c r="Z97" s="20"/>
      <c r="AA97" s="20"/>
      <c r="AB97" s="20"/>
      <c r="AC97" s="20"/>
      <c r="AD97" s="20"/>
      <c r="AE97" s="20"/>
      <c r="AF97" s="20"/>
      <c r="AG97" s="20"/>
      <c r="AH97" s="20"/>
    </row>
    <row r="98" spans="1:34">
      <c r="A98" s="31" t="str">
        <f t="shared" si="6"/>
        <v/>
      </c>
      <c r="B98" s="21"/>
      <c r="C98" s="20"/>
      <c r="D98" s="24"/>
      <c r="E98" s="26"/>
      <c r="F98" s="22"/>
      <c r="G98" s="32" t="str">
        <f t="shared" si="7"/>
        <v/>
      </c>
      <c r="H98" s="26"/>
      <c r="I98" s="27"/>
      <c r="J98" s="26"/>
      <c r="K98" s="27"/>
      <c r="L98" s="26"/>
      <c r="M98" s="27"/>
      <c r="N98" s="26"/>
      <c r="O98" s="27"/>
      <c r="P98" s="26"/>
      <c r="Q98" s="27"/>
      <c r="R98" s="28"/>
      <c r="S98" s="29"/>
      <c r="T98" s="28"/>
      <c r="U98" s="29"/>
      <c r="V98" s="30"/>
      <c r="W98" s="33" t="str">
        <f t="shared" si="8"/>
        <v/>
      </c>
      <c r="X98" s="30"/>
      <c r="Y98" s="20"/>
      <c r="Z98" s="20"/>
      <c r="AA98" s="20"/>
      <c r="AB98" s="20"/>
      <c r="AC98" s="20"/>
      <c r="AD98" s="20"/>
      <c r="AE98" s="20"/>
      <c r="AF98" s="20"/>
      <c r="AG98" s="20"/>
      <c r="AH98" s="20"/>
    </row>
    <row r="99" spans="1:34">
      <c r="A99" s="31" t="str">
        <f t="shared" si="6"/>
        <v/>
      </c>
      <c r="B99" s="21"/>
      <c r="C99" s="20"/>
      <c r="D99" s="24"/>
      <c r="E99" s="26"/>
      <c r="F99" s="22"/>
      <c r="G99" s="32" t="str">
        <f t="shared" si="7"/>
        <v/>
      </c>
      <c r="H99" s="26"/>
      <c r="I99" s="27"/>
      <c r="J99" s="26"/>
      <c r="K99" s="27"/>
      <c r="L99" s="26"/>
      <c r="M99" s="27"/>
      <c r="N99" s="26"/>
      <c r="O99" s="27"/>
      <c r="P99" s="26"/>
      <c r="Q99" s="27"/>
      <c r="R99" s="28"/>
      <c r="S99" s="29"/>
      <c r="T99" s="28"/>
      <c r="U99" s="29"/>
      <c r="V99" s="30"/>
      <c r="W99" s="33" t="str">
        <f t="shared" si="8"/>
        <v/>
      </c>
      <c r="X99" s="30"/>
      <c r="Y99" s="20"/>
      <c r="Z99" s="20"/>
      <c r="AA99" s="20"/>
      <c r="AB99" s="20"/>
      <c r="AC99" s="20"/>
      <c r="AD99" s="20"/>
      <c r="AE99" s="20"/>
      <c r="AF99" s="20"/>
      <c r="AG99" s="20"/>
      <c r="AH99" s="20"/>
    </row>
    <row r="100" spans="1:34">
      <c r="A100" s="31" t="str">
        <f t="shared" si="6"/>
        <v/>
      </c>
      <c r="B100" s="21"/>
      <c r="C100" s="20"/>
      <c r="D100" s="24"/>
      <c r="E100" s="26"/>
      <c r="F100" s="22"/>
      <c r="G100" s="32" t="str">
        <f t="shared" si="7"/>
        <v/>
      </c>
      <c r="H100" s="26"/>
      <c r="I100" s="27"/>
      <c r="J100" s="26"/>
      <c r="K100" s="27"/>
      <c r="L100" s="26"/>
      <c r="M100" s="27"/>
      <c r="N100" s="26"/>
      <c r="O100" s="27"/>
      <c r="P100" s="26"/>
      <c r="Q100" s="27"/>
      <c r="R100" s="28"/>
      <c r="S100" s="29"/>
      <c r="T100" s="28"/>
      <c r="U100" s="29"/>
      <c r="V100" s="30"/>
      <c r="W100" s="33" t="str">
        <f t="shared" si="8"/>
        <v/>
      </c>
      <c r="X100" s="30"/>
      <c r="Y100" s="20"/>
      <c r="Z100" s="20"/>
      <c r="AA100" s="20"/>
      <c r="AB100" s="20"/>
      <c r="AC100" s="20"/>
      <c r="AD100" s="20"/>
      <c r="AE100" s="20"/>
      <c r="AF100" s="20"/>
      <c r="AG100" s="20"/>
      <c r="AH100" s="20"/>
    </row>
    <row r="101" spans="1:34">
      <c r="A101" s="31" t="str">
        <f t="shared" ref="A101:A104" si="9">IF(B101="","",ROW()-4)</f>
        <v/>
      </c>
      <c r="B101" s="21"/>
      <c r="C101" s="20"/>
      <c r="D101" s="24"/>
      <c r="E101" s="26"/>
      <c r="F101" s="22"/>
      <c r="G101" s="32" t="str">
        <f t="shared" ref="G101:G104" si="10">IF(B101="","",ROUND(IF(AND(ISNUMBER(E101),ISNUMBER(F101)),MOD(F101-E101,1),0)*1440,0))</f>
        <v/>
      </c>
      <c r="H101" s="26"/>
      <c r="I101" s="27"/>
      <c r="J101" s="26"/>
      <c r="K101" s="27"/>
      <c r="L101" s="26"/>
      <c r="M101" s="27"/>
      <c r="N101" s="26"/>
      <c r="O101" s="27"/>
      <c r="P101" s="26"/>
      <c r="Q101" s="27"/>
      <c r="R101" s="28"/>
      <c r="S101" s="29"/>
      <c r="T101" s="28"/>
      <c r="U101" s="29"/>
      <c r="V101" s="30"/>
      <c r="W101" s="33" t="str">
        <f t="shared" si="8"/>
        <v/>
      </c>
      <c r="X101" s="30"/>
      <c r="Y101" s="20"/>
      <c r="Z101" s="20"/>
      <c r="AA101" s="20"/>
      <c r="AB101" s="20"/>
      <c r="AC101" s="20"/>
      <c r="AD101" s="20"/>
      <c r="AE101" s="20"/>
      <c r="AF101" s="20"/>
      <c r="AG101" s="20"/>
      <c r="AH101" s="20"/>
    </row>
    <row r="102" spans="1:34">
      <c r="A102" s="31" t="str">
        <f t="shared" si="9"/>
        <v/>
      </c>
      <c r="B102" s="21"/>
      <c r="C102" s="20"/>
      <c r="D102" s="24"/>
      <c r="E102" s="26"/>
      <c r="F102" s="22"/>
      <c r="G102" s="32" t="str">
        <f t="shared" si="10"/>
        <v/>
      </c>
      <c r="H102" s="26"/>
      <c r="I102" s="27"/>
      <c r="J102" s="26"/>
      <c r="K102" s="27"/>
      <c r="L102" s="26"/>
      <c r="M102" s="27"/>
      <c r="N102" s="26"/>
      <c r="O102" s="27"/>
      <c r="P102" s="26"/>
      <c r="Q102" s="27"/>
      <c r="R102" s="28"/>
      <c r="S102" s="29"/>
      <c r="T102" s="28"/>
      <c r="U102" s="29"/>
      <c r="V102" s="30"/>
      <c r="W102" s="33" t="str">
        <f t="shared" si="8"/>
        <v/>
      </c>
      <c r="X102" s="30"/>
      <c r="Y102" s="20"/>
      <c r="Z102" s="20"/>
      <c r="AA102" s="20"/>
      <c r="AB102" s="20"/>
      <c r="AC102" s="20"/>
      <c r="AD102" s="20"/>
      <c r="AE102" s="20"/>
      <c r="AF102" s="20"/>
      <c r="AG102" s="20"/>
      <c r="AH102" s="20"/>
    </row>
    <row r="103" spans="1:34">
      <c r="A103" s="31" t="str">
        <f t="shared" si="9"/>
        <v/>
      </c>
      <c r="B103" s="21"/>
      <c r="C103" s="20"/>
      <c r="D103" s="24"/>
      <c r="E103" s="26"/>
      <c r="F103" s="22"/>
      <c r="G103" s="32" t="str">
        <f t="shared" si="10"/>
        <v/>
      </c>
      <c r="H103" s="26"/>
      <c r="I103" s="27"/>
      <c r="J103" s="26"/>
      <c r="K103" s="27"/>
      <c r="L103" s="26"/>
      <c r="M103" s="27"/>
      <c r="N103" s="26"/>
      <c r="O103" s="27"/>
      <c r="P103" s="26"/>
      <c r="Q103" s="27"/>
      <c r="R103" s="28"/>
      <c r="S103" s="29"/>
      <c r="T103" s="28"/>
      <c r="U103" s="29"/>
      <c r="V103" s="30"/>
      <c r="W103" s="33" t="str">
        <f t="shared" si="8"/>
        <v/>
      </c>
      <c r="X103" s="30"/>
      <c r="Y103" s="20"/>
      <c r="Z103" s="20"/>
      <c r="AA103" s="20"/>
      <c r="AB103" s="20"/>
      <c r="AC103" s="20"/>
      <c r="AD103" s="20"/>
      <c r="AE103" s="20"/>
      <c r="AF103" s="20"/>
      <c r="AG103" s="20"/>
      <c r="AH103" s="20"/>
    </row>
    <row r="104" spans="1:34">
      <c r="A104" s="31" t="str">
        <f t="shared" si="9"/>
        <v/>
      </c>
      <c r="B104" s="21"/>
      <c r="C104" s="20"/>
      <c r="D104" s="24"/>
      <c r="E104" s="26"/>
      <c r="F104" s="22"/>
      <c r="G104" s="32" t="str">
        <f t="shared" si="10"/>
        <v/>
      </c>
      <c r="H104" s="26"/>
      <c r="I104" s="27"/>
      <c r="J104" s="26"/>
      <c r="K104" s="27"/>
      <c r="L104" s="26"/>
      <c r="M104" s="27"/>
      <c r="N104" s="26"/>
      <c r="O104" s="27"/>
      <c r="P104" s="26"/>
      <c r="Q104" s="27"/>
      <c r="R104" s="28"/>
      <c r="S104" s="29"/>
      <c r="T104" s="28"/>
      <c r="U104" s="29"/>
      <c r="V104" s="30"/>
      <c r="W104" s="33" t="str">
        <f t="shared" si="8"/>
        <v/>
      </c>
      <c r="X104" s="30"/>
      <c r="Y104" s="20"/>
      <c r="Z104" s="20"/>
      <c r="AA104" s="20"/>
      <c r="AB104" s="20"/>
      <c r="AC104" s="20"/>
      <c r="AD104" s="20"/>
      <c r="AE104" s="20"/>
      <c r="AF104" s="20"/>
      <c r="AG104" s="20"/>
      <c r="AH104" s="20"/>
    </row>
  </sheetData>
  <mergeCells count="11">
    <mergeCell ref="N3:O3"/>
    <mergeCell ref="A3:D3"/>
    <mergeCell ref="E3:G3"/>
    <mergeCell ref="H3:I3"/>
    <mergeCell ref="J3:K3"/>
    <mergeCell ref="L3:M3"/>
    <mergeCell ref="P3:Q3"/>
    <mergeCell ref="R3:S3"/>
    <mergeCell ref="T3:U3"/>
    <mergeCell ref="V3:W3"/>
    <mergeCell ref="X3:AH3"/>
  </mergeCells>
  <phoneticPr fontId="1"/>
  <dataValidations count="4">
    <dataValidation type="list" allowBlank="1" showInputMessage="1" showErrorMessage="1" sqref="C5:C104" xr:uid="{8A8DDCD6-9FBB-4D72-8095-160E2D6C4A2E}">
      <formula1>担当一覧</formula1>
    </dataValidation>
    <dataValidation type="list" allowBlank="1" showInputMessage="1" showErrorMessage="1" sqref="D5:D104" xr:uid="{014F440D-41EC-4B8F-AD82-24AE62AF7755}">
      <formula1>"○,×"</formula1>
    </dataValidation>
    <dataValidation type="list" allowBlank="1" showInputMessage="1" showErrorMessage="1" sqref="V5:V104" xr:uid="{7C415901-4BB6-42BB-9C1A-7BEFF6EF0890}">
      <formula1>"休,出"</formula1>
    </dataValidation>
    <dataValidation type="list" allowBlank="1" showInputMessage="1" showErrorMessage="1" sqref="X5:AH104" xr:uid="{A4EB1191-E354-4C2C-9E60-BBE85D6A5A51}">
      <formula1>"○"</formula1>
    </dataValidation>
  </dataValidations>
  <hyperlinks>
    <hyperlink ref="A1" location="'表紙'!A1" display="◀ 表紙へ" xr:uid="{AFC7C6CF-FB95-4791-8D54-9F7FF44032D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12D50-DA37-428C-A2A9-45E91DFB69B4}">
  <sheetPr codeName="Sheet5">
    <tabColor rgb="FFFFC000"/>
  </sheetPr>
  <dimension ref="A1:Q1005"/>
  <sheetViews>
    <sheetView showGridLines="0" workbookViewId="0">
      <pane xSplit="5" ySplit="5" topLeftCell="F6" activePane="bottomRight" state="frozen"/>
      <selection pane="topRight" activeCell="F1" sqref="F1"/>
      <selection pane="bottomLeft" activeCell="A6" sqref="A6"/>
      <selection pane="bottomRight" activeCell="A4" sqref="A4"/>
    </sheetView>
  </sheetViews>
  <sheetFormatPr defaultRowHeight="14.25"/>
  <cols>
    <col min="1" max="1" width="5.625" customWidth="1"/>
    <col min="2" max="2" width="15.625" customWidth="1"/>
    <col min="3" max="3" width="12.625" customWidth="1"/>
    <col min="4" max="4" width="7.625" customWidth="1"/>
    <col min="5" max="5" width="8.625" customWidth="1"/>
    <col min="6" max="15" width="6.625" customWidth="1"/>
    <col min="16" max="16" width="12.625" customWidth="1"/>
    <col min="17" max="17" width="30.625" customWidth="1"/>
  </cols>
  <sheetData>
    <row r="1" spans="1:17" ht="30" customHeight="1">
      <c r="A1" s="2" t="s">
        <v>188</v>
      </c>
      <c r="C1" s="3" t="s">
        <v>196</v>
      </c>
    </row>
    <row r="2" spans="1:17">
      <c r="C2" s="17" t="s">
        <v>214</v>
      </c>
    </row>
    <row r="3" spans="1:17">
      <c r="C3" s="17" t="s">
        <v>215</v>
      </c>
    </row>
    <row r="4" spans="1:17" ht="24" customHeight="1">
      <c r="B4" s="118" t="s">
        <v>200</v>
      </c>
      <c r="F4" s="216" t="s">
        <v>216</v>
      </c>
      <c r="G4" s="216"/>
      <c r="H4" s="216"/>
      <c r="I4" s="216"/>
      <c r="J4" s="216"/>
      <c r="K4" s="216"/>
      <c r="L4" s="216"/>
      <c r="M4" s="216"/>
      <c r="N4" s="216"/>
      <c r="O4" s="216"/>
    </row>
    <row r="5" spans="1:17" ht="24" customHeight="1">
      <c r="A5" s="77" t="s">
        <v>48</v>
      </c>
      <c r="B5" s="77" t="s">
        <v>1</v>
      </c>
      <c r="C5" s="77" t="s">
        <v>49</v>
      </c>
      <c r="D5" s="77" t="s">
        <v>4497</v>
      </c>
      <c r="E5" s="77" t="s">
        <v>197</v>
      </c>
      <c r="F5" s="157">
        <v>0.33333333333333331</v>
      </c>
      <c r="G5" s="120">
        <v>0.375</v>
      </c>
      <c r="H5" s="120">
        <v>0.41666666666666669</v>
      </c>
      <c r="I5" s="120">
        <v>0.45833333333333331</v>
      </c>
      <c r="J5" s="120">
        <v>0.5</v>
      </c>
      <c r="K5" s="120">
        <v>0.54166666666666663</v>
      </c>
      <c r="L5" s="120">
        <v>0.58333333333333337</v>
      </c>
      <c r="M5" s="120">
        <v>0.625</v>
      </c>
      <c r="N5" s="120">
        <v>0.66666666666666663</v>
      </c>
      <c r="O5" s="120">
        <v>0.70833333333333337</v>
      </c>
      <c r="P5" s="158" t="s">
        <v>198</v>
      </c>
      <c r="Q5" s="77" t="s">
        <v>199</v>
      </c>
    </row>
    <row r="6" spans="1:17">
      <c r="A6" s="31" t="str">
        <f>IF(B6="","",ROW()-5)</f>
        <v/>
      </c>
      <c r="B6" s="159"/>
      <c r="C6" s="21"/>
      <c r="D6" s="97"/>
      <c r="E6" s="24"/>
      <c r="F6" s="160"/>
      <c r="G6" s="20"/>
      <c r="H6" s="20"/>
      <c r="I6" s="20"/>
      <c r="J6" s="20"/>
      <c r="K6" s="20"/>
      <c r="L6" s="20"/>
      <c r="M6" s="20"/>
      <c r="N6" s="20"/>
      <c r="O6" s="24"/>
      <c r="P6" s="161" t="str">
        <f t="shared" ref="P6:P69" si="0">IF(C6="","",IF(COUNTA(F6:O6)=0,IF(E6="出勤","いつもの時間","終日"),TRIM(IF(COUNTIF(F6:O6,"休")&gt;0,"休 "&amp;COUNTIF(F6:O6,"休")&amp;"h ","")&amp;IF(COUNTIF(F6:O6,"出")&gt;0,"出 "&amp;COUNTIF(F6:O6,"出")&amp;"h",""))))</f>
        <v/>
      </c>
      <c r="Q6" s="7"/>
    </row>
    <row r="7" spans="1:17">
      <c r="A7" s="31" t="str">
        <f t="shared" ref="A7:A69" si="1">IF(B7="","",ROW()-5)</f>
        <v/>
      </c>
      <c r="B7" s="159"/>
      <c r="C7" s="21"/>
      <c r="D7" s="97" t="str">
        <f>IF(C7="","",IFERROR(INDEX(②メンバー!$C$5:$C$104,MATCH(C7,②メンバー!$B$5:$B$104,0)),""))</f>
        <v/>
      </c>
      <c r="E7" s="24"/>
      <c r="F7" s="160"/>
      <c r="G7" s="20"/>
      <c r="H7" s="20"/>
      <c r="I7" s="20"/>
      <c r="J7" s="20"/>
      <c r="K7" s="20"/>
      <c r="L7" s="20"/>
      <c r="M7" s="20"/>
      <c r="N7" s="20"/>
      <c r="O7" s="24"/>
      <c r="P7" s="161" t="str">
        <f t="shared" si="0"/>
        <v/>
      </c>
      <c r="Q7" s="7"/>
    </row>
    <row r="8" spans="1:17">
      <c r="A8" s="31" t="str">
        <f t="shared" si="1"/>
        <v/>
      </c>
      <c r="B8" s="159"/>
      <c r="C8" s="21"/>
      <c r="D8" s="97" t="str">
        <f>IF(C8="","",IFERROR(INDEX(②メンバー!$C$5:$C$104,MATCH(C8,②メンバー!$B$5:$B$104,0)),""))</f>
        <v/>
      </c>
      <c r="E8" s="24"/>
      <c r="F8" s="160"/>
      <c r="G8" s="20"/>
      <c r="H8" s="20"/>
      <c r="I8" s="20"/>
      <c r="J8" s="20"/>
      <c r="K8" s="20"/>
      <c r="L8" s="20"/>
      <c r="M8" s="20"/>
      <c r="N8" s="20"/>
      <c r="O8" s="24"/>
      <c r="P8" s="161" t="str">
        <f t="shared" si="0"/>
        <v/>
      </c>
      <c r="Q8" s="7"/>
    </row>
    <row r="9" spans="1:17">
      <c r="A9" s="31" t="str">
        <f t="shared" si="1"/>
        <v/>
      </c>
      <c r="B9" s="159"/>
      <c r="C9" s="21"/>
      <c r="D9" s="97" t="str">
        <f>IF(C9="","",IFERROR(INDEX(②メンバー!$C$5:$C$104,MATCH(C9,②メンバー!$B$5:$B$104,0)),""))</f>
        <v/>
      </c>
      <c r="E9" s="24"/>
      <c r="F9" s="160"/>
      <c r="G9" s="20"/>
      <c r="H9" s="20"/>
      <c r="I9" s="20"/>
      <c r="J9" s="20"/>
      <c r="K9" s="20"/>
      <c r="L9" s="20"/>
      <c r="M9" s="20"/>
      <c r="N9" s="20"/>
      <c r="O9" s="24"/>
      <c r="P9" s="161" t="str">
        <f t="shared" si="0"/>
        <v/>
      </c>
      <c r="Q9" s="7"/>
    </row>
    <row r="10" spans="1:17">
      <c r="A10" s="31" t="str">
        <f t="shared" si="1"/>
        <v/>
      </c>
      <c r="B10" s="159"/>
      <c r="C10" s="21"/>
      <c r="D10" s="97" t="str">
        <f>IF(C10="","",IFERROR(INDEX(②メンバー!$C$5:$C$104,MATCH(C10,②メンバー!$B$5:$B$104,0)),""))</f>
        <v/>
      </c>
      <c r="E10" s="24"/>
      <c r="F10" s="160"/>
      <c r="G10" s="20"/>
      <c r="H10" s="20"/>
      <c r="I10" s="20"/>
      <c r="J10" s="20"/>
      <c r="K10" s="20"/>
      <c r="L10" s="20"/>
      <c r="M10" s="20"/>
      <c r="N10" s="20"/>
      <c r="O10" s="24"/>
      <c r="P10" s="161" t="str">
        <f t="shared" si="0"/>
        <v/>
      </c>
      <c r="Q10" s="7"/>
    </row>
    <row r="11" spans="1:17">
      <c r="A11" s="31" t="str">
        <f t="shared" si="1"/>
        <v/>
      </c>
      <c r="B11" s="159"/>
      <c r="C11" s="21"/>
      <c r="D11" s="97" t="str">
        <f>IF(C11="","",IFERROR(INDEX(②メンバー!$C$5:$C$104,MATCH(C11,②メンバー!$B$5:$B$104,0)),""))</f>
        <v/>
      </c>
      <c r="E11" s="24"/>
      <c r="F11" s="160"/>
      <c r="G11" s="20"/>
      <c r="H11" s="20"/>
      <c r="I11" s="20"/>
      <c r="J11" s="20"/>
      <c r="K11" s="20"/>
      <c r="L11" s="20"/>
      <c r="M11" s="20"/>
      <c r="N11" s="20"/>
      <c r="O11" s="24"/>
      <c r="P11" s="161" t="str">
        <f t="shared" si="0"/>
        <v/>
      </c>
      <c r="Q11" s="7"/>
    </row>
    <row r="12" spans="1:17">
      <c r="A12" s="31" t="str">
        <f t="shared" si="1"/>
        <v/>
      </c>
      <c r="B12" s="159"/>
      <c r="C12" s="21"/>
      <c r="D12" s="97" t="str">
        <f>IF(C12="","",IFERROR(INDEX(②メンバー!$C$5:$C$104,MATCH(C12,②メンバー!$B$5:$B$104,0)),""))</f>
        <v/>
      </c>
      <c r="E12" s="24"/>
      <c r="F12" s="160"/>
      <c r="G12" s="20"/>
      <c r="H12" s="20"/>
      <c r="I12" s="20"/>
      <c r="J12" s="20"/>
      <c r="K12" s="20"/>
      <c r="L12" s="20"/>
      <c r="M12" s="20"/>
      <c r="N12" s="20"/>
      <c r="O12" s="24"/>
      <c r="P12" s="161" t="str">
        <f t="shared" si="0"/>
        <v/>
      </c>
      <c r="Q12" s="7"/>
    </row>
    <row r="13" spans="1:17">
      <c r="A13" s="31" t="str">
        <f t="shared" si="1"/>
        <v/>
      </c>
      <c r="B13" s="159"/>
      <c r="C13" s="21"/>
      <c r="D13" s="97" t="str">
        <f>IF(C13="","",IFERROR(INDEX(②メンバー!$C$5:$C$104,MATCH(C13,②メンバー!$B$5:$B$104,0)),""))</f>
        <v/>
      </c>
      <c r="E13" s="24"/>
      <c r="F13" s="160"/>
      <c r="G13" s="20"/>
      <c r="H13" s="20"/>
      <c r="I13" s="20"/>
      <c r="J13" s="20"/>
      <c r="K13" s="20"/>
      <c r="L13" s="20"/>
      <c r="M13" s="20"/>
      <c r="N13" s="20"/>
      <c r="O13" s="24"/>
      <c r="P13" s="161" t="str">
        <f t="shared" si="0"/>
        <v/>
      </c>
      <c r="Q13" s="7"/>
    </row>
    <row r="14" spans="1:17">
      <c r="A14" s="31" t="str">
        <f t="shared" si="1"/>
        <v/>
      </c>
      <c r="B14" s="159"/>
      <c r="C14" s="21"/>
      <c r="D14" s="97" t="str">
        <f>IF(C14="","",IFERROR(INDEX(②メンバー!$C$5:$C$104,MATCH(C14,②メンバー!$B$5:$B$104,0)),""))</f>
        <v/>
      </c>
      <c r="E14" s="24"/>
      <c r="F14" s="160"/>
      <c r="G14" s="20"/>
      <c r="H14" s="20"/>
      <c r="I14" s="20"/>
      <c r="J14" s="20"/>
      <c r="K14" s="20"/>
      <c r="L14" s="20"/>
      <c r="M14" s="20"/>
      <c r="N14" s="20"/>
      <c r="O14" s="24"/>
      <c r="P14" s="161" t="str">
        <f t="shared" si="0"/>
        <v/>
      </c>
      <c r="Q14" s="7"/>
    </row>
    <row r="15" spans="1:17">
      <c r="A15" s="31" t="str">
        <f t="shared" si="1"/>
        <v/>
      </c>
      <c r="B15" s="159"/>
      <c r="C15" s="21"/>
      <c r="D15" s="97" t="str">
        <f>IF(C15="","",IFERROR(INDEX(②メンバー!$C$5:$C$104,MATCH(C15,②メンバー!$B$5:$B$104,0)),""))</f>
        <v/>
      </c>
      <c r="E15" s="24"/>
      <c r="F15" s="160"/>
      <c r="G15" s="20"/>
      <c r="H15" s="20"/>
      <c r="I15" s="20"/>
      <c r="J15" s="20"/>
      <c r="K15" s="20"/>
      <c r="L15" s="20"/>
      <c r="M15" s="20"/>
      <c r="N15" s="20"/>
      <c r="O15" s="24"/>
      <c r="P15" s="161" t="str">
        <f t="shared" si="0"/>
        <v/>
      </c>
      <c r="Q15" s="7"/>
    </row>
    <row r="16" spans="1:17">
      <c r="A16" s="31" t="str">
        <f t="shared" si="1"/>
        <v/>
      </c>
      <c r="B16" s="159"/>
      <c r="C16" s="21"/>
      <c r="D16" s="97" t="str">
        <f>IF(C16="","",IFERROR(INDEX(②メンバー!$C$5:$C$104,MATCH(C16,②メンバー!$B$5:$B$104,0)),""))</f>
        <v/>
      </c>
      <c r="E16" s="24"/>
      <c r="F16" s="160"/>
      <c r="G16" s="20"/>
      <c r="H16" s="20"/>
      <c r="I16" s="20"/>
      <c r="J16" s="20"/>
      <c r="K16" s="20"/>
      <c r="L16" s="20"/>
      <c r="M16" s="20"/>
      <c r="N16" s="20"/>
      <c r="O16" s="24"/>
      <c r="P16" s="161" t="str">
        <f t="shared" si="0"/>
        <v/>
      </c>
      <c r="Q16" s="7"/>
    </row>
    <row r="17" spans="1:17">
      <c r="A17" s="31" t="str">
        <f t="shared" si="1"/>
        <v/>
      </c>
      <c r="B17" s="159"/>
      <c r="C17" s="21"/>
      <c r="D17" s="97" t="str">
        <f>IF(C17="","",IFERROR(INDEX(②メンバー!$C$5:$C$104,MATCH(C17,②メンバー!$B$5:$B$104,0)),""))</f>
        <v/>
      </c>
      <c r="E17" s="24"/>
      <c r="F17" s="160"/>
      <c r="G17" s="20"/>
      <c r="H17" s="20"/>
      <c r="I17" s="20"/>
      <c r="J17" s="20"/>
      <c r="K17" s="20"/>
      <c r="L17" s="20"/>
      <c r="M17" s="20"/>
      <c r="N17" s="20"/>
      <c r="O17" s="24"/>
      <c r="P17" s="161" t="str">
        <f t="shared" si="0"/>
        <v/>
      </c>
      <c r="Q17" s="7"/>
    </row>
    <row r="18" spans="1:17">
      <c r="A18" s="31" t="str">
        <f t="shared" si="1"/>
        <v/>
      </c>
      <c r="B18" s="159"/>
      <c r="C18" s="21"/>
      <c r="D18" s="97" t="str">
        <f>IF(C18="","",IFERROR(INDEX(②メンバー!$C$5:$C$104,MATCH(C18,②メンバー!$B$5:$B$104,0)),""))</f>
        <v/>
      </c>
      <c r="E18" s="24"/>
      <c r="F18" s="160"/>
      <c r="G18" s="20"/>
      <c r="H18" s="20"/>
      <c r="I18" s="20"/>
      <c r="J18" s="20"/>
      <c r="K18" s="20"/>
      <c r="L18" s="20"/>
      <c r="M18" s="20"/>
      <c r="N18" s="20"/>
      <c r="O18" s="24"/>
      <c r="P18" s="161" t="str">
        <f t="shared" si="0"/>
        <v/>
      </c>
      <c r="Q18" s="7"/>
    </row>
    <row r="19" spans="1:17">
      <c r="A19" s="31" t="str">
        <f t="shared" si="1"/>
        <v/>
      </c>
      <c r="B19" s="159"/>
      <c r="C19" s="21"/>
      <c r="D19" s="97" t="str">
        <f>IF(C19="","",IFERROR(INDEX(②メンバー!$C$5:$C$104,MATCH(C19,②メンバー!$B$5:$B$104,0)),""))</f>
        <v/>
      </c>
      <c r="E19" s="24"/>
      <c r="F19" s="160"/>
      <c r="G19" s="20"/>
      <c r="H19" s="20"/>
      <c r="I19" s="20"/>
      <c r="J19" s="20"/>
      <c r="K19" s="20"/>
      <c r="L19" s="20"/>
      <c r="M19" s="20"/>
      <c r="N19" s="20"/>
      <c r="O19" s="24"/>
      <c r="P19" s="161" t="str">
        <f t="shared" si="0"/>
        <v/>
      </c>
      <c r="Q19" s="7"/>
    </row>
    <row r="20" spans="1:17">
      <c r="A20" s="31" t="str">
        <f t="shared" si="1"/>
        <v/>
      </c>
      <c r="B20" s="159"/>
      <c r="C20" s="21"/>
      <c r="D20" s="97" t="str">
        <f>IF(C20="","",IFERROR(INDEX(②メンバー!$C$5:$C$104,MATCH(C20,②メンバー!$B$5:$B$104,0)),""))</f>
        <v/>
      </c>
      <c r="E20" s="24"/>
      <c r="F20" s="160"/>
      <c r="G20" s="20"/>
      <c r="H20" s="20"/>
      <c r="I20" s="20"/>
      <c r="J20" s="20"/>
      <c r="K20" s="20"/>
      <c r="L20" s="20"/>
      <c r="M20" s="20"/>
      <c r="N20" s="20"/>
      <c r="O20" s="24"/>
      <c r="P20" s="161" t="str">
        <f t="shared" si="0"/>
        <v/>
      </c>
      <c r="Q20" s="7"/>
    </row>
    <row r="21" spans="1:17">
      <c r="A21" s="31" t="str">
        <f t="shared" si="1"/>
        <v/>
      </c>
      <c r="B21" s="159"/>
      <c r="C21" s="21"/>
      <c r="D21" s="97" t="str">
        <f>IF(C21="","",IFERROR(INDEX(②メンバー!$C$5:$C$104,MATCH(C21,②メンバー!$B$5:$B$104,0)),""))</f>
        <v/>
      </c>
      <c r="E21" s="24"/>
      <c r="F21" s="160"/>
      <c r="G21" s="20"/>
      <c r="H21" s="20"/>
      <c r="I21" s="20"/>
      <c r="J21" s="20"/>
      <c r="K21" s="20"/>
      <c r="L21" s="20"/>
      <c r="M21" s="20"/>
      <c r="N21" s="20"/>
      <c r="O21" s="24"/>
      <c r="P21" s="161" t="str">
        <f t="shared" si="0"/>
        <v/>
      </c>
      <c r="Q21" s="7"/>
    </row>
    <row r="22" spans="1:17">
      <c r="A22" s="31" t="str">
        <f t="shared" si="1"/>
        <v/>
      </c>
      <c r="B22" s="159"/>
      <c r="C22" s="21"/>
      <c r="D22" s="97" t="str">
        <f>IF(C22="","",IFERROR(INDEX(②メンバー!$C$5:$C$104,MATCH(C22,②メンバー!$B$5:$B$104,0)),""))</f>
        <v/>
      </c>
      <c r="E22" s="24"/>
      <c r="F22" s="160"/>
      <c r="G22" s="20"/>
      <c r="H22" s="20"/>
      <c r="I22" s="20"/>
      <c r="J22" s="20"/>
      <c r="K22" s="20"/>
      <c r="L22" s="20"/>
      <c r="M22" s="20"/>
      <c r="N22" s="20"/>
      <c r="O22" s="24"/>
      <c r="P22" s="161" t="str">
        <f t="shared" si="0"/>
        <v/>
      </c>
      <c r="Q22" s="7"/>
    </row>
    <row r="23" spans="1:17">
      <c r="A23" s="31" t="str">
        <f t="shared" si="1"/>
        <v/>
      </c>
      <c r="B23" s="159"/>
      <c r="C23" s="21"/>
      <c r="D23" s="97" t="str">
        <f>IF(C23="","",IFERROR(INDEX(②メンバー!$C$5:$C$104,MATCH(C23,②メンバー!$B$5:$B$104,0)),""))</f>
        <v/>
      </c>
      <c r="E23" s="24"/>
      <c r="F23" s="160"/>
      <c r="G23" s="20"/>
      <c r="H23" s="20"/>
      <c r="I23" s="20"/>
      <c r="J23" s="20"/>
      <c r="K23" s="20"/>
      <c r="L23" s="20"/>
      <c r="M23" s="20"/>
      <c r="N23" s="20"/>
      <c r="O23" s="24"/>
      <c r="P23" s="161" t="str">
        <f t="shared" si="0"/>
        <v/>
      </c>
      <c r="Q23" s="7"/>
    </row>
    <row r="24" spans="1:17">
      <c r="A24" s="31" t="str">
        <f t="shared" si="1"/>
        <v/>
      </c>
      <c r="B24" s="159"/>
      <c r="C24" s="21"/>
      <c r="D24" s="97" t="str">
        <f>IF(C24="","",IFERROR(INDEX(②メンバー!$C$5:$C$104,MATCH(C24,②メンバー!$B$5:$B$104,0)),""))</f>
        <v/>
      </c>
      <c r="E24" s="24"/>
      <c r="F24" s="160"/>
      <c r="G24" s="20"/>
      <c r="H24" s="20"/>
      <c r="I24" s="20"/>
      <c r="J24" s="20"/>
      <c r="K24" s="20"/>
      <c r="L24" s="20"/>
      <c r="M24" s="20"/>
      <c r="N24" s="20"/>
      <c r="O24" s="24"/>
      <c r="P24" s="161" t="str">
        <f t="shared" si="0"/>
        <v/>
      </c>
      <c r="Q24" s="7"/>
    </row>
    <row r="25" spans="1:17">
      <c r="A25" s="31" t="str">
        <f t="shared" si="1"/>
        <v/>
      </c>
      <c r="B25" s="159"/>
      <c r="C25" s="21"/>
      <c r="D25" s="97" t="str">
        <f>IF(C25="","",IFERROR(INDEX(②メンバー!$C$5:$C$104,MATCH(C25,②メンバー!$B$5:$B$104,0)),""))</f>
        <v/>
      </c>
      <c r="E25" s="24"/>
      <c r="F25" s="160"/>
      <c r="G25" s="20"/>
      <c r="H25" s="20"/>
      <c r="I25" s="20"/>
      <c r="J25" s="20"/>
      <c r="K25" s="20"/>
      <c r="L25" s="20"/>
      <c r="M25" s="20"/>
      <c r="N25" s="20"/>
      <c r="O25" s="24"/>
      <c r="P25" s="161" t="str">
        <f t="shared" si="0"/>
        <v/>
      </c>
      <c r="Q25" s="7"/>
    </row>
    <row r="26" spans="1:17">
      <c r="A26" s="31" t="str">
        <f t="shared" si="1"/>
        <v/>
      </c>
      <c r="B26" s="159"/>
      <c r="C26" s="21"/>
      <c r="D26" s="97" t="str">
        <f>IF(C26="","",IFERROR(INDEX(②メンバー!$C$5:$C$104,MATCH(C26,②メンバー!$B$5:$B$104,0)),""))</f>
        <v/>
      </c>
      <c r="E26" s="24"/>
      <c r="F26" s="160"/>
      <c r="G26" s="20"/>
      <c r="H26" s="20"/>
      <c r="I26" s="20"/>
      <c r="J26" s="20"/>
      <c r="K26" s="20"/>
      <c r="L26" s="20"/>
      <c r="M26" s="20"/>
      <c r="N26" s="20"/>
      <c r="O26" s="24"/>
      <c r="P26" s="161" t="str">
        <f t="shared" si="0"/>
        <v/>
      </c>
      <c r="Q26" s="7"/>
    </row>
    <row r="27" spans="1:17">
      <c r="A27" s="31" t="str">
        <f t="shared" si="1"/>
        <v/>
      </c>
      <c r="B27" s="159"/>
      <c r="C27" s="21"/>
      <c r="D27" s="97" t="str">
        <f>IF(C27="","",IFERROR(INDEX(②メンバー!$C$5:$C$104,MATCH(C27,②メンバー!$B$5:$B$104,0)),""))</f>
        <v/>
      </c>
      <c r="E27" s="24"/>
      <c r="F27" s="160"/>
      <c r="G27" s="20"/>
      <c r="H27" s="20"/>
      <c r="I27" s="20"/>
      <c r="J27" s="20"/>
      <c r="K27" s="20"/>
      <c r="L27" s="20"/>
      <c r="M27" s="20"/>
      <c r="N27" s="20"/>
      <c r="O27" s="24"/>
      <c r="P27" s="161" t="str">
        <f t="shared" si="0"/>
        <v/>
      </c>
      <c r="Q27" s="7"/>
    </row>
    <row r="28" spans="1:17">
      <c r="A28" s="31" t="str">
        <f t="shared" si="1"/>
        <v/>
      </c>
      <c r="B28" s="159"/>
      <c r="C28" s="21"/>
      <c r="D28" s="97" t="str">
        <f>IF(C28="","",IFERROR(INDEX(②メンバー!$C$5:$C$104,MATCH(C28,②メンバー!$B$5:$B$104,0)),""))</f>
        <v/>
      </c>
      <c r="E28" s="24"/>
      <c r="F28" s="160"/>
      <c r="G28" s="20"/>
      <c r="H28" s="20"/>
      <c r="I28" s="20"/>
      <c r="J28" s="20"/>
      <c r="K28" s="20"/>
      <c r="L28" s="20"/>
      <c r="M28" s="20"/>
      <c r="N28" s="20"/>
      <c r="O28" s="24"/>
      <c r="P28" s="161" t="str">
        <f t="shared" si="0"/>
        <v/>
      </c>
      <c r="Q28" s="7"/>
    </row>
    <row r="29" spans="1:17">
      <c r="A29" s="31" t="str">
        <f t="shared" si="1"/>
        <v/>
      </c>
      <c r="B29" s="159"/>
      <c r="C29" s="21"/>
      <c r="D29" s="97" t="str">
        <f>IF(C29="","",IFERROR(INDEX(②メンバー!$C$5:$C$104,MATCH(C29,②メンバー!$B$5:$B$104,0)),""))</f>
        <v/>
      </c>
      <c r="E29" s="24"/>
      <c r="F29" s="160"/>
      <c r="G29" s="20"/>
      <c r="H29" s="20"/>
      <c r="I29" s="20"/>
      <c r="J29" s="20"/>
      <c r="K29" s="20"/>
      <c r="L29" s="20"/>
      <c r="M29" s="20"/>
      <c r="N29" s="20"/>
      <c r="O29" s="24"/>
      <c r="P29" s="161" t="str">
        <f t="shared" si="0"/>
        <v/>
      </c>
      <c r="Q29" s="7"/>
    </row>
    <row r="30" spans="1:17">
      <c r="A30" s="31" t="str">
        <f t="shared" si="1"/>
        <v/>
      </c>
      <c r="B30" s="159"/>
      <c r="C30" s="21"/>
      <c r="D30" s="97" t="str">
        <f>IF(C30="","",IFERROR(INDEX(②メンバー!$C$5:$C$104,MATCH(C30,②メンバー!$B$5:$B$104,0)),""))</f>
        <v/>
      </c>
      <c r="E30" s="24"/>
      <c r="F30" s="160"/>
      <c r="G30" s="20"/>
      <c r="H30" s="20"/>
      <c r="I30" s="20"/>
      <c r="J30" s="20"/>
      <c r="K30" s="20"/>
      <c r="L30" s="20"/>
      <c r="M30" s="20"/>
      <c r="N30" s="20"/>
      <c r="O30" s="24"/>
      <c r="P30" s="161" t="str">
        <f t="shared" si="0"/>
        <v/>
      </c>
      <c r="Q30" s="7"/>
    </row>
    <row r="31" spans="1:17">
      <c r="A31" s="31" t="str">
        <f t="shared" si="1"/>
        <v/>
      </c>
      <c r="B31" s="159"/>
      <c r="C31" s="21"/>
      <c r="D31" s="97" t="str">
        <f>IF(C31="","",IFERROR(INDEX(②メンバー!$C$5:$C$104,MATCH(C31,②メンバー!$B$5:$B$104,0)),""))</f>
        <v/>
      </c>
      <c r="E31" s="24"/>
      <c r="F31" s="160"/>
      <c r="G31" s="20"/>
      <c r="H31" s="20"/>
      <c r="I31" s="20"/>
      <c r="J31" s="20"/>
      <c r="K31" s="20"/>
      <c r="L31" s="20"/>
      <c r="M31" s="20"/>
      <c r="N31" s="20"/>
      <c r="O31" s="24"/>
      <c r="P31" s="161" t="str">
        <f t="shared" si="0"/>
        <v/>
      </c>
      <c r="Q31" s="7"/>
    </row>
    <row r="32" spans="1:17">
      <c r="A32" s="31" t="str">
        <f t="shared" si="1"/>
        <v/>
      </c>
      <c r="B32" s="159"/>
      <c r="C32" s="21"/>
      <c r="D32" s="97" t="str">
        <f>IF(C32="","",IFERROR(INDEX(②メンバー!$C$5:$C$104,MATCH(C32,②メンバー!$B$5:$B$104,0)),""))</f>
        <v/>
      </c>
      <c r="E32" s="24"/>
      <c r="F32" s="160"/>
      <c r="G32" s="20"/>
      <c r="H32" s="20"/>
      <c r="I32" s="20"/>
      <c r="J32" s="20"/>
      <c r="K32" s="20"/>
      <c r="L32" s="20"/>
      <c r="M32" s="20"/>
      <c r="N32" s="20"/>
      <c r="O32" s="24"/>
      <c r="P32" s="161" t="str">
        <f t="shared" si="0"/>
        <v/>
      </c>
      <c r="Q32" s="7"/>
    </row>
    <row r="33" spans="1:17">
      <c r="A33" s="31" t="str">
        <f t="shared" si="1"/>
        <v/>
      </c>
      <c r="B33" s="159"/>
      <c r="C33" s="21"/>
      <c r="D33" s="97" t="str">
        <f>IF(C33="","",IFERROR(INDEX(②メンバー!$C$5:$C$104,MATCH(C33,②メンバー!$B$5:$B$104,0)),""))</f>
        <v/>
      </c>
      <c r="E33" s="24"/>
      <c r="F33" s="160"/>
      <c r="G33" s="20"/>
      <c r="H33" s="20"/>
      <c r="I33" s="20"/>
      <c r="J33" s="20"/>
      <c r="K33" s="20"/>
      <c r="L33" s="20"/>
      <c r="M33" s="20"/>
      <c r="N33" s="20"/>
      <c r="O33" s="24"/>
      <c r="P33" s="161" t="str">
        <f t="shared" si="0"/>
        <v/>
      </c>
      <c r="Q33" s="7"/>
    </row>
    <row r="34" spans="1:17">
      <c r="A34" s="31" t="str">
        <f t="shared" si="1"/>
        <v/>
      </c>
      <c r="B34" s="159"/>
      <c r="C34" s="21"/>
      <c r="D34" s="97" t="str">
        <f>IF(C34="","",IFERROR(INDEX(②メンバー!$C$5:$C$104,MATCH(C34,②メンバー!$B$5:$B$104,0)),""))</f>
        <v/>
      </c>
      <c r="E34" s="24"/>
      <c r="F34" s="160"/>
      <c r="G34" s="20"/>
      <c r="H34" s="20"/>
      <c r="I34" s="20"/>
      <c r="J34" s="20"/>
      <c r="K34" s="20"/>
      <c r="L34" s="20"/>
      <c r="M34" s="20"/>
      <c r="N34" s="20"/>
      <c r="O34" s="24"/>
      <c r="P34" s="161" t="str">
        <f t="shared" si="0"/>
        <v/>
      </c>
      <c r="Q34" s="7"/>
    </row>
    <row r="35" spans="1:17">
      <c r="A35" s="31" t="str">
        <f t="shared" si="1"/>
        <v/>
      </c>
      <c r="B35" s="159"/>
      <c r="C35" s="21"/>
      <c r="D35" s="97" t="str">
        <f>IF(C35="","",IFERROR(INDEX(②メンバー!$C$5:$C$104,MATCH(C35,②メンバー!$B$5:$B$104,0)),""))</f>
        <v/>
      </c>
      <c r="E35" s="24"/>
      <c r="F35" s="160"/>
      <c r="G35" s="20"/>
      <c r="H35" s="20"/>
      <c r="I35" s="20"/>
      <c r="J35" s="20"/>
      <c r="K35" s="20"/>
      <c r="L35" s="20"/>
      <c r="M35" s="20"/>
      <c r="N35" s="20"/>
      <c r="O35" s="24"/>
      <c r="P35" s="161" t="str">
        <f t="shared" si="0"/>
        <v/>
      </c>
      <c r="Q35" s="7"/>
    </row>
    <row r="36" spans="1:17">
      <c r="A36" s="31" t="str">
        <f t="shared" si="1"/>
        <v/>
      </c>
      <c r="B36" s="159"/>
      <c r="C36" s="21"/>
      <c r="D36" s="97" t="str">
        <f>IF(C36="","",IFERROR(INDEX(②メンバー!$C$5:$C$104,MATCH(C36,②メンバー!$B$5:$B$104,0)),""))</f>
        <v/>
      </c>
      <c r="E36" s="24"/>
      <c r="F36" s="160"/>
      <c r="G36" s="20"/>
      <c r="H36" s="20"/>
      <c r="I36" s="20"/>
      <c r="J36" s="20"/>
      <c r="K36" s="20"/>
      <c r="L36" s="20"/>
      <c r="M36" s="20"/>
      <c r="N36" s="20"/>
      <c r="O36" s="24"/>
      <c r="P36" s="161" t="str">
        <f t="shared" si="0"/>
        <v/>
      </c>
      <c r="Q36" s="7"/>
    </row>
    <row r="37" spans="1:17">
      <c r="A37" s="31" t="str">
        <f t="shared" si="1"/>
        <v/>
      </c>
      <c r="B37" s="159"/>
      <c r="C37" s="21"/>
      <c r="D37" s="97" t="str">
        <f>IF(C37="","",IFERROR(INDEX(②メンバー!$C$5:$C$104,MATCH(C37,②メンバー!$B$5:$B$104,0)),""))</f>
        <v/>
      </c>
      <c r="E37" s="24"/>
      <c r="F37" s="160"/>
      <c r="G37" s="20"/>
      <c r="H37" s="20"/>
      <c r="I37" s="20"/>
      <c r="J37" s="20"/>
      <c r="K37" s="20"/>
      <c r="L37" s="20"/>
      <c r="M37" s="20"/>
      <c r="N37" s="20"/>
      <c r="O37" s="24"/>
      <c r="P37" s="161" t="str">
        <f t="shared" si="0"/>
        <v/>
      </c>
      <c r="Q37" s="7"/>
    </row>
    <row r="38" spans="1:17">
      <c r="A38" s="31" t="str">
        <f t="shared" si="1"/>
        <v/>
      </c>
      <c r="B38" s="159"/>
      <c r="C38" s="21"/>
      <c r="D38" s="97" t="str">
        <f>IF(C38="","",IFERROR(INDEX(②メンバー!$C$5:$C$104,MATCH(C38,②メンバー!$B$5:$B$104,0)),""))</f>
        <v/>
      </c>
      <c r="E38" s="24"/>
      <c r="F38" s="160"/>
      <c r="G38" s="20"/>
      <c r="H38" s="20"/>
      <c r="I38" s="20"/>
      <c r="J38" s="20"/>
      <c r="K38" s="20"/>
      <c r="L38" s="20"/>
      <c r="M38" s="20"/>
      <c r="N38" s="20"/>
      <c r="O38" s="24"/>
      <c r="P38" s="161" t="str">
        <f t="shared" si="0"/>
        <v/>
      </c>
      <c r="Q38" s="7"/>
    </row>
    <row r="39" spans="1:17">
      <c r="A39" s="31" t="str">
        <f t="shared" si="1"/>
        <v/>
      </c>
      <c r="B39" s="159"/>
      <c r="C39" s="21"/>
      <c r="D39" s="97" t="str">
        <f>IF(C39="","",IFERROR(INDEX(②メンバー!$C$5:$C$104,MATCH(C39,②メンバー!$B$5:$B$104,0)),""))</f>
        <v/>
      </c>
      <c r="E39" s="24"/>
      <c r="F39" s="160"/>
      <c r="G39" s="20"/>
      <c r="H39" s="20"/>
      <c r="I39" s="20"/>
      <c r="J39" s="20"/>
      <c r="K39" s="20"/>
      <c r="L39" s="20"/>
      <c r="M39" s="20"/>
      <c r="N39" s="20"/>
      <c r="O39" s="24"/>
      <c r="P39" s="161" t="str">
        <f t="shared" si="0"/>
        <v/>
      </c>
      <c r="Q39" s="7"/>
    </row>
    <row r="40" spans="1:17">
      <c r="A40" s="31" t="str">
        <f t="shared" si="1"/>
        <v/>
      </c>
      <c r="B40" s="159"/>
      <c r="C40" s="21"/>
      <c r="D40" s="97" t="str">
        <f>IF(C40="","",IFERROR(INDEX(②メンバー!$C$5:$C$104,MATCH(C40,②メンバー!$B$5:$B$104,0)),""))</f>
        <v/>
      </c>
      <c r="E40" s="24"/>
      <c r="F40" s="160"/>
      <c r="G40" s="20"/>
      <c r="H40" s="20"/>
      <c r="I40" s="20"/>
      <c r="J40" s="20"/>
      <c r="K40" s="20"/>
      <c r="L40" s="20"/>
      <c r="M40" s="20"/>
      <c r="N40" s="20"/>
      <c r="O40" s="24"/>
      <c r="P40" s="161" t="str">
        <f t="shared" si="0"/>
        <v/>
      </c>
      <c r="Q40" s="7"/>
    </row>
    <row r="41" spans="1:17">
      <c r="A41" s="31" t="str">
        <f t="shared" si="1"/>
        <v/>
      </c>
      <c r="B41" s="159"/>
      <c r="C41" s="21"/>
      <c r="D41" s="97" t="str">
        <f>IF(C41="","",IFERROR(INDEX(②メンバー!$C$5:$C$104,MATCH(C41,②メンバー!$B$5:$B$104,0)),""))</f>
        <v/>
      </c>
      <c r="E41" s="24"/>
      <c r="F41" s="160"/>
      <c r="G41" s="20"/>
      <c r="H41" s="20"/>
      <c r="I41" s="20"/>
      <c r="J41" s="20"/>
      <c r="K41" s="20"/>
      <c r="L41" s="20"/>
      <c r="M41" s="20"/>
      <c r="N41" s="20"/>
      <c r="O41" s="24"/>
      <c r="P41" s="161" t="str">
        <f t="shared" si="0"/>
        <v/>
      </c>
      <c r="Q41" s="7"/>
    </row>
    <row r="42" spans="1:17">
      <c r="A42" s="31" t="str">
        <f t="shared" si="1"/>
        <v/>
      </c>
      <c r="B42" s="159"/>
      <c r="C42" s="21"/>
      <c r="D42" s="97" t="str">
        <f>IF(C42="","",IFERROR(INDEX(②メンバー!$C$5:$C$104,MATCH(C42,②メンバー!$B$5:$B$104,0)),""))</f>
        <v/>
      </c>
      <c r="E42" s="24"/>
      <c r="F42" s="160"/>
      <c r="G42" s="20"/>
      <c r="H42" s="20"/>
      <c r="I42" s="20"/>
      <c r="J42" s="20"/>
      <c r="K42" s="20"/>
      <c r="L42" s="20"/>
      <c r="M42" s="20"/>
      <c r="N42" s="20"/>
      <c r="O42" s="24"/>
      <c r="P42" s="161" t="str">
        <f t="shared" si="0"/>
        <v/>
      </c>
      <c r="Q42" s="7"/>
    </row>
    <row r="43" spans="1:17">
      <c r="A43" s="31" t="str">
        <f t="shared" si="1"/>
        <v/>
      </c>
      <c r="B43" s="159"/>
      <c r="C43" s="21"/>
      <c r="D43" s="97" t="str">
        <f>IF(C43="","",IFERROR(INDEX(②メンバー!$C$5:$C$104,MATCH(C43,②メンバー!$B$5:$B$104,0)),""))</f>
        <v/>
      </c>
      <c r="E43" s="24"/>
      <c r="F43" s="160"/>
      <c r="G43" s="20"/>
      <c r="H43" s="20"/>
      <c r="I43" s="20"/>
      <c r="J43" s="20"/>
      <c r="K43" s="20"/>
      <c r="L43" s="20"/>
      <c r="M43" s="20"/>
      <c r="N43" s="20"/>
      <c r="O43" s="24"/>
      <c r="P43" s="161" t="str">
        <f t="shared" si="0"/>
        <v/>
      </c>
      <c r="Q43" s="7"/>
    </row>
    <row r="44" spans="1:17">
      <c r="A44" s="31" t="str">
        <f t="shared" si="1"/>
        <v/>
      </c>
      <c r="B44" s="159"/>
      <c r="C44" s="21"/>
      <c r="D44" s="97" t="str">
        <f>IF(C44="","",IFERROR(INDEX(②メンバー!$C$5:$C$104,MATCH(C44,②メンバー!$B$5:$B$104,0)),""))</f>
        <v/>
      </c>
      <c r="E44" s="24"/>
      <c r="F44" s="160"/>
      <c r="G44" s="20"/>
      <c r="H44" s="20"/>
      <c r="I44" s="20"/>
      <c r="J44" s="20"/>
      <c r="K44" s="20"/>
      <c r="L44" s="20"/>
      <c r="M44" s="20"/>
      <c r="N44" s="20"/>
      <c r="O44" s="24"/>
      <c r="P44" s="161" t="str">
        <f t="shared" si="0"/>
        <v/>
      </c>
      <c r="Q44" s="7"/>
    </row>
    <row r="45" spans="1:17">
      <c r="A45" s="31" t="str">
        <f t="shared" si="1"/>
        <v/>
      </c>
      <c r="B45" s="159"/>
      <c r="C45" s="21"/>
      <c r="D45" s="97" t="str">
        <f>IF(C45="","",IFERROR(INDEX(②メンバー!$C$5:$C$104,MATCH(C45,②メンバー!$B$5:$B$104,0)),""))</f>
        <v/>
      </c>
      <c r="E45" s="24"/>
      <c r="F45" s="160"/>
      <c r="G45" s="20"/>
      <c r="H45" s="20"/>
      <c r="I45" s="20"/>
      <c r="J45" s="20"/>
      <c r="K45" s="20"/>
      <c r="L45" s="20"/>
      <c r="M45" s="20"/>
      <c r="N45" s="20"/>
      <c r="O45" s="24"/>
      <c r="P45" s="161" t="str">
        <f t="shared" si="0"/>
        <v/>
      </c>
      <c r="Q45" s="7"/>
    </row>
    <row r="46" spans="1:17">
      <c r="A46" s="31" t="str">
        <f t="shared" si="1"/>
        <v/>
      </c>
      <c r="B46" s="159"/>
      <c r="C46" s="21"/>
      <c r="D46" s="97" t="str">
        <f>IF(C46="","",IFERROR(INDEX(②メンバー!$C$5:$C$104,MATCH(C46,②メンバー!$B$5:$B$104,0)),""))</f>
        <v/>
      </c>
      <c r="E46" s="24"/>
      <c r="F46" s="160"/>
      <c r="G46" s="20"/>
      <c r="H46" s="20"/>
      <c r="I46" s="20"/>
      <c r="J46" s="20"/>
      <c r="K46" s="20"/>
      <c r="L46" s="20"/>
      <c r="M46" s="20"/>
      <c r="N46" s="20"/>
      <c r="O46" s="24"/>
      <c r="P46" s="161" t="str">
        <f t="shared" si="0"/>
        <v/>
      </c>
      <c r="Q46" s="7"/>
    </row>
    <row r="47" spans="1:17">
      <c r="A47" s="31" t="str">
        <f t="shared" si="1"/>
        <v/>
      </c>
      <c r="B47" s="159"/>
      <c r="C47" s="21"/>
      <c r="D47" s="97" t="str">
        <f>IF(C47="","",IFERROR(INDEX(②メンバー!$C$5:$C$104,MATCH(C47,②メンバー!$B$5:$B$104,0)),""))</f>
        <v/>
      </c>
      <c r="E47" s="24"/>
      <c r="F47" s="160"/>
      <c r="G47" s="20"/>
      <c r="H47" s="20"/>
      <c r="I47" s="20"/>
      <c r="J47" s="20"/>
      <c r="K47" s="20"/>
      <c r="L47" s="20"/>
      <c r="M47" s="20"/>
      <c r="N47" s="20"/>
      <c r="O47" s="24"/>
      <c r="P47" s="161" t="str">
        <f t="shared" si="0"/>
        <v/>
      </c>
      <c r="Q47" s="7"/>
    </row>
    <row r="48" spans="1:17">
      <c r="A48" s="31" t="str">
        <f t="shared" si="1"/>
        <v/>
      </c>
      <c r="B48" s="159"/>
      <c r="C48" s="21"/>
      <c r="D48" s="97" t="str">
        <f>IF(C48="","",IFERROR(INDEX(②メンバー!$C$5:$C$104,MATCH(C48,②メンバー!$B$5:$B$104,0)),""))</f>
        <v/>
      </c>
      <c r="E48" s="24"/>
      <c r="F48" s="160"/>
      <c r="G48" s="20"/>
      <c r="H48" s="20"/>
      <c r="I48" s="20"/>
      <c r="J48" s="20"/>
      <c r="K48" s="20"/>
      <c r="L48" s="20"/>
      <c r="M48" s="20"/>
      <c r="N48" s="20"/>
      <c r="O48" s="24"/>
      <c r="P48" s="161" t="str">
        <f t="shared" si="0"/>
        <v/>
      </c>
      <c r="Q48" s="7"/>
    </row>
    <row r="49" spans="1:17">
      <c r="A49" s="31" t="str">
        <f t="shared" si="1"/>
        <v/>
      </c>
      <c r="B49" s="159"/>
      <c r="C49" s="21"/>
      <c r="D49" s="97" t="str">
        <f>IF(C49="","",IFERROR(INDEX(②メンバー!$C$5:$C$104,MATCH(C49,②メンバー!$B$5:$B$104,0)),""))</f>
        <v/>
      </c>
      <c r="E49" s="24"/>
      <c r="F49" s="160"/>
      <c r="G49" s="20"/>
      <c r="H49" s="20"/>
      <c r="I49" s="20"/>
      <c r="J49" s="20"/>
      <c r="K49" s="20"/>
      <c r="L49" s="20"/>
      <c r="M49" s="20"/>
      <c r="N49" s="20"/>
      <c r="O49" s="24"/>
      <c r="P49" s="161" t="str">
        <f t="shared" si="0"/>
        <v/>
      </c>
      <c r="Q49" s="7"/>
    </row>
    <row r="50" spans="1:17">
      <c r="A50" s="31" t="str">
        <f t="shared" si="1"/>
        <v/>
      </c>
      <c r="B50" s="159"/>
      <c r="C50" s="21"/>
      <c r="D50" s="97" t="str">
        <f>IF(C50="","",IFERROR(INDEX(②メンバー!$C$5:$C$104,MATCH(C50,②メンバー!$B$5:$B$104,0)),""))</f>
        <v/>
      </c>
      <c r="E50" s="24"/>
      <c r="F50" s="160"/>
      <c r="G50" s="20"/>
      <c r="H50" s="20"/>
      <c r="I50" s="20"/>
      <c r="J50" s="20"/>
      <c r="K50" s="20"/>
      <c r="L50" s="20"/>
      <c r="M50" s="20"/>
      <c r="N50" s="20"/>
      <c r="O50" s="24"/>
      <c r="P50" s="161" t="str">
        <f t="shared" si="0"/>
        <v/>
      </c>
      <c r="Q50" s="7"/>
    </row>
    <row r="51" spans="1:17">
      <c r="A51" s="31" t="str">
        <f t="shared" si="1"/>
        <v/>
      </c>
      <c r="B51" s="159"/>
      <c r="C51" s="21"/>
      <c r="D51" s="97" t="str">
        <f>IF(C51="","",IFERROR(INDEX(②メンバー!$C$5:$C$104,MATCH(C51,②メンバー!$B$5:$B$104,0)),""))</f>
        <v/>
      </c>
      <c r="E51" s="24"/>
      <c r="F51" s="160"/>
      <c r="G51" s="20"/>
      <c r="H51" s="20"/>
      <c r="I51" s="20"/>
      <c r="J51" s="20"/>
      <c r="K51" s="20"/>
      <c r="L51" s="20"/>
      <c r="M51" s="20"/>
      <c r="N51" s="20"/>
      <c r="O51" s="24"/>
      <c r="P51" s="161" t="str">
        <f t="shared" si="0"/>
        <v/>
      </c>
      <c r="Q51" s="7"/>
    </row>
    <row r="52" spans="1:17">
      <c r="A52" s="31" t="str">
        <f t="shared" si="1"/>
        <v/>
      </c>
      <c r="B52" s="159"/>
      <c r="C52" s="21"/>
      <c r="D52" s="97" t="str">
        <f>IF(C52="","",IFERROR(INDEX(②メンバー!$C$5:$C$104,MATCH(C52,②メンバー!$B$5:$B$104,0)),""))</f>
        <v/>
      </c>
      <c r="E52" s="24"/>
      <c r="F52" s="160"/>
      <c r="G52" s="20"/>
      <c r="H52" s="20"/>
      <c r="I52" s="20"/>
      <c r="J52" s="20"/>
      <c r="K52" s="20"/>
      <c r="L52" s="20"/>
      <c r="M52" s="20"/>
      <c r="N52" s="20"/>
      <c r="O52" s="24"/>
      <c r="P52" s="161" t="str">
        <f t="shared" si="0"/>
        <v/>
      </c>
      <c r="Q52" s="7"/>
    </row>
    <row r="53" spans="1:17">
      <c r="A53" s="31" t="str">
        <f t="shared" si="1"/>
        <v/>
      </c>
      <c r="B53" s="159"/>
      <c r="C53" s="21"/>
      <c r="D53" s="97" t="str">
        <f>IF(C53="","",IFERROR(INDEX(②メンバー!$C$5:$C$104,MATCH(C53,②メンバー!$B$5:$B$104,0)),""))</f>
        <v/>
      </c>
      <c r="E53" s="24"/>
      <c r="F53" s="160"/>
      <c r="G53" s="20"/>
      <c r="H53" s="20"/>
      <c r="I53" s="20"/>
      <c r="J53" s="20"/>
      <c r="K53" s="20"/>
      <c r="L53" s="20"/>
      <c r="M53" s="20"/>
      <c r="N53" s="20"/>
      <c r="O53" s="24"/>
      <c r="P53" s="161" t="str">
        <f t="shared" si="0"/>
        <v/>
      </c>
      <c r="Q53" s="7"/>
    </row>
    <row r="54" spans="1:17">
      <c r="A54" s="31" t="str">
        <f t="shared" si="1"/>
        <v/>
      </c>
      <c r="B54" s="159"/>
      <c r="C54" s="21"/>
      <c r="D54" s="97" t="str">
        <f>IF(C54="","",IFERROR(INDEX(②メンバー!$C$5:$C$104,MATCH(C54,②メンバー!$B$5:$B$104,0)),""))</f>
        <v/>
      </c>
      <c r="E54" s="24"/>
      <c r="F54" s="160"/>
      <c r="G54" s="20"/>
      <c r="H54" s="20"/>
      <c r="I54" s="20"/>
      <c r="J54" s="20"/>
      <c r="K54" s="20"/>
      <c r="L54" s="20"/>
      <c r="M54" s="20"/>
      <c r="N54" s="20"/>
      <c r="O54" s="24"/>
      <c r="P54" s="161" t="str">
        <f t="shared" si="0"/>
        <v/>
      </c>
      <c r="Q54" s="7"/>
    </row>
    <row r="55" spans="1:17">
      <c r="A55" s="31" t="str">
        <f t="shared" si="1"/>
        <v/>
      </c>
      <c r="B55" s="159"/>
      <c r="C55" s="21"/>
      <c r="D55" s="97" t="str">
        <f>IF(C55="","",IFERROR(INDEX(②メンバー!$C$5:$C$104,MATCH(C55,②メンバー!$B$5:$B$104,0)),""))</f>
        <v/>
      </c>
      <c r="E55" s="24"/>
      <c r="F55" s="160"/>
      <c r="G55" s="20"/>
      <c r="H55" s="20"/>
      <c r="I55" s="20"/>
      <c r="J55" s="20"/>
      <c r="K55" s="20"/>
      <c r="L55" s="20"/>
      <c r="M55" s="20"/>
      <c r="N55" s="20"/>
      <c r="O55" s="24"/>
      <c r="P55" s="161" t="str">
        <f t="shared" si="0"/>
        <v/>
      </c>
      <c r="Q55" s="7"/>
    </row>
    <row r="56" spans="1:17">
      <c r="A56" s="31" t="str">
        <f t="shared" si="1"/>
        <v/>
      </c>
      <c r="B56" s="159"/>
      <c r="C56" s="21"/>
      <c r="D56" s="97" t="str">
        <f>IF(C56="","",IFERROR(INDEX(②メンバー!$C$5:$C$104,MATCH(C56,②メンバー!$B$5:$B$104,0)),""))</f>
        <v/>
      </c>
      <c r="E56" s="24"/>
      <c r="F56" s="160"/>
      <c r="G56" s="20"/>
      <c r="H56" s="20"/>
      <c r="I56" s="20"/>
      <c r="J56" s="20"/>
      <c r="K56" s="20"/>
      <c r="L56" s="20"/>
      <c r="M56" s="20"/>
      <c r="N56" s="20"/>
      <c r="O56" s="24"/>
      <c r="P56" s="161" t="str">
        <f t="shared" si="0"/>
        <v/>
      </c>
      <c r="Q56" s="7"/>
    </row>
    <row r="57" spans="1:17">
      <c r="A57" s="31" t="str">
        <f t="shared" si="1"/>
        <v/>
      </c>
      <c r="B57" s="159"/>
      <c r="C57" s="21"/>
      <c r="D57" s="97" t="str">
        <f>IF(C57="","",IFERROR(INDEX(②メンバー!$C$5:$C$104,MATCH(C57,②メンバー!$B$5:$B$104,0)),""))</f>
        <v/>
      </c>
      <c r="E57" s="24"/>
      <c r="F57" s="160"/>
      <c r="G57" s="20"/>
      <c r="H57" s="20"/>
      <c r="I57" s="20"/>
      <c r="J57" s="20"/>
      <c r="K57" s="20"/>
      <c r="L57" s="20"/>
      <c r="M57" s="20"/>
      <c r="N57" s="20"/>
      <c r="O57" s="24"/>
      <c r="P57" s="161" t="str">
        <f t="shared" si="0"/>
        <v/>
      </c>
      <c r="Q57" s="7"/>
    </row>
    <row r="58" spans="1:17">
      <c r="A58" s="31" t="str">
        <f t="shared" si="1"/>
        <v/>
      </c>
      <c r="B58" s="159"/>
      <c r="C58" s="21"/>
      <c r="D58" s="97" t="str">
        <f>IF(C58="","",IFERROR(INDEX(②メンバー!$C$5:$C$104,MATCH(C58,②メンバー!$B$5:$B$104,0)),""))</f>
        <v/>
      </c>
      <c r="E58" s="24"/>
      <c r="F58" s="160"/>
      <c r="G58" s="20"/>
      <c r="H58" s="20"/>
      <c r="I58" s="20"/>
      <c r="J58" s="20"/>
      <c r="K58" s="20"/>
      <c r="L58" s="20"/>
      <c r="M58" s="20"/>
      <c r="N58" s="20"/>
      <c r="O58" s="24"/>
      <c r="P58" s="161" t="str">
        <f t="shared" si="0"/>
        <v/>
      </c>
      <c r="Q58" s="7"/>
    </row>
    <row r="59" spans="1:17">
      <c r="A59" s="31" t="str">
        <f t="shared" si="1"/>
        <v/>
      </c>
      <c r="B59" s="159"/>
      <c r="C59" s="21"/>
      <c r="D59" s="97" t="str">
        <f>IF(C59="","",IFERROR(INDEX(②メンバー!$C$5:$C$104,MATCH(C59,②メンバー!$B$5:$B$104,0)),""))</f>
        <v/>
      </c>
      <c r="E59" s="24"/>
      <c r="F59" s="160"/>
      <c r="G59" s="20"/>
      <c r="H59" s="20"/>
      <c r="I59" s="20"/>
      <c r="J59" s="20"/>
      <c r="K59" s="20"/>
      <c r="L59" s="20"/>
      <c r="M59" s="20"/>
      <c r="N59" s="20"/>
      <c r="O59" s="24"/>
      <c r="P59" s="161" t="str">
        <f t="shared" si="0"/>
        <v/>
      </c>
      <c r="Q59" s="7"/>
    </row>
    <row r="60" spans="1:17">
      <c r="A60" s="31" t="str">
        <f t="shared" si="1"/>
        <v/>
      </c>
      <c r="B60" s="159"/>
      <c r="C60" s="21"/>
      <c r="D60" s="97" t="str">
        <f>IF(C60="","",IFERROR(INDEX(②メンバー!$C$5:$C$104,MATCH(C60,②メンバー!$B$5:$B$104,0)),""))</f>
        <v/>
      </c>
      <c r="E60" s="24"/>
      <c r="F60" s="160"/>
      <c r="G60" s="20"/>
      <c r="H60" s="20"/>
      <c r="I60" s="20"/>
      <c r="J60" s="20"/>
      <c r="K60" s="20"/>
      <c r="L60" s="20"/>
      <c r="M60" s="20"/>
      <c r="N60" s="20"/>
      <c r="O60" s="24"/>
      <c r="P60" s="161" t="str">
        <f t="shared" si="0"/>
        <v/>
      </c>
      <c r="Q60" s="7"/>
    </row>
    <row r="61" spans="1:17">
      <c r="A61" s="31" t="str">
        <f t="shared" si="1"/>
        <v/>
      </c>
      <c r="B61" s="159"/>
      <c r="C61" s="21"/>
      <c r="D61" s="97" t="str">
        <f>IF(C61="","",IFERROR(INDEX(②メンバー!$C$5:$C$104,MATCH(C61,②メンバー!$B$5:$B$104,0)),""))</f>
        <v/>
      </c>
      <c r="E61" s="24"/>
      <c r="F61" s="160"/>
      <c r="G61" s="20"/>
      <c r="H61" s="20"/>
      <c r="I61" s="20"/>
      <c r="J61" s="20"/>
      <c r="K61" s="20"/>
      <c r="L61" s="20"/>
      <c r="M61" s="20"/>
      <c r="N61" s="20"/>
      <c r="O61" s="24"/>
      <c r="P61" s="161" t="str">
        <f t="shared" si="0"/>
        <v/>
      </c>
      <c r="Q61" s="7"/>
    </row>
    <row r="62" spans="1:17">
      <c r="A62" s="31" t="str">
        <f t="shared" si="1"/>
        <v/>
      </c>
      <c r="B62" s="159"/>
      <c r="C62" s="21"/>
      <c r="D62" s="97" t="str">
        <f>IF(C62="","",IFERROR(INDEX(②メンバー!$C$5:$C$104,MATCH(C62,②メンバー!$B$5:$B$104,0)),""))</f>
        <v/>
      </c>
      <c r="E62" s="24"/>
      <c r="F62" s="160"/>
      <c r="G62" s="20"/>
      <c r="H62" s="20"/>
      <c r="I62" s="20"/>
      <c r="J62" s="20"/>
      <c r="K62" s="20"/>
      <c r="L62" s="20"/>
      <c r="M62" s="20"/>
      <c r="N62" s="20"/>
      <c r="O62" s="24"/>
      <c r="P62" s="161" t="str">
        <f t="shared" si="0"/>
        <v/>
      </c>
      <c r="Q62" s="7"/>
    </row>
    <row r="63" spans="1:17">
      <c r="A63" s="31" t="str">
        <f t="shared" si="1"/>
        <v/>
      </c>
      <c r="B63" s="159"/>
      <c r="C63" s="21"/>
      <c r="D63" s="97" t="str">
        <f>IF(C63="","",IFERROR(INDEX(②メンバー!$C$5:$C$104,MATCH(C63,②メンバー!$B$5:$B$104,0)),""))</f>
        <v/>
      </c>
      <c r="E63" s="24"/>
      <c r="F63" s="160"/>
      <c r="G63" s="20"/>
      <c r="H63" s="20"/>
      <c r="I63" s="20"/>
      <c r="J63" s="20"/>
      <c r="K63" s="20"/>
      <c r="L63" s="20"/>
      <c r="M63" s="20"/>
      <c r="N63" s="20"/>
      <c r="O63" s="24"/>
      <c r="P63" s="161" t="str">
        <f t="shared" si="0"/>
        <v/>
      </c>
      <c r="Q63" s="7"/>
    </row>
    <row r="64" spans="1:17">
      <c r="A64" s="31" t="str">
        <f t="shared" si="1"/>
        <v/>
      </c>
      <c r="B64" s="159"/>
      <c r="C64" s="21"/>
      <c r="D64" s="97" t="str">
        <f>IF(C64="","",IFERROR(INDEX(②メンバー!$C$5:$C$104,MATCH(C64,②メンバー!$B$5:$B$104,0)),""))</f>
        <v/>
      </c>
      <c r="E64" s="24"/>
      <c r="F64" s="160"/>
      <c r="G64" s="20"/>
      <c r="H64" s="20"/>
      <c r="I64" s="20"/>
      <c r="J64" s="20"/>
      <c r="K64" s="20"/>
      <c r="L64" s="20"/>
      <c r="M64" s="20"/>
      <c r="N64" s="20"/>
      <c r="O64" s="24"/>
      <c r="P64" s="161" t="str">
        <f t="shared" si="0"/>
        <v/>
      </c>
      <c r="Q64" s="7"/>
    </row>
    <row r="65" spans="1:17">
      <c r="A65" s="31" t="str">
        <f t="shared" si="1"/>
        <v/>
      </c>
      <c r="B65" s="159"/>
      <c r="C65" s="21"/>
      <c r="D65" s="97" t="str">
        <f>IF(C65="","",IFERROR(INDEX(②メンバー!$C$5:$C$104,MATCH(C65,②メンバー!$B$5:$B$104,0)),""))</f>
        <v/>
      </c>
      <c r="E65" s="24"/>
      <c r="F65" s="160"/>
      <c r="G65" s="20"/>
      <c r="H65" s="20"/>
      <c r="I65" s="20"/>
      <c r="J65" s="20"/>
      <c r="K65" s="20"/>
      <c r="L65" s="20"/>
      <c r="M65" s="20"/>
      <c r="N65" s="20"/>
      <c r="O65" s="24"/>
      <c r="P65" s="161" t="str">
        <f t="shared" si="0"/>
        <v/>
      </c>
      <c r="Q65" s="7"/>
    </row>
    <row r="66" spans="1:17">
      <c r="A66" s="31" t="str">
        <f t="shared" si="1"/>
        <v/>
      </c>
      <c r="B66" s="159"/>
      <c r="C66" s="21"/>
      <c r="D66" s="97" t="str">
        <f>IF(C66="","",IFERROR(INDEX(②メンバー!$C$5:$C$104,MATCH(C66,②メンバー!$B$5:$B$104,0)),""))</f>
        <v/>
      </c>
      <c r="E66" s="24"/>
      <c r="F66" s="160"/>
      <c r="G66" s="20"/>
      <c r="H66" s="20"/>
      <c r="I66" s="20"/>
      <c r="J66" s="20"/>
      <c r="K66" s="20"/>
      <c r="L66" s="20"/>
      <c r="M66" s="20"/>
      <c r="N66" s="20"/>
      <c r="O66" s="24"/>
      <c r="P66" s="161" t="str">
        <f t="shared" si="0"/>
        <v/>
      </c>
      <c r="Q66" s="7"/>
    </row>
    <row r="67" spans="1:17">
      <c r="A67" s="31" t="str">
        <f t="shared" si="1"/>
        <v/>
      </c>
      <c r="B67" s="159"/>
      <c r="C67" s="21"/>
      <c r="D67" s="97" t="str">
        <f>IF(C67="","",IFERROR(INDEX(②メンバー!$C$5:$C$104,MATCH(C67,②メンバー!$B$5:$B$104,0)),""))</f>
        <v/>
      </c>
      <c r="E67" s="24"/>
      <c r="F67" s="160"/>
      <c r="G67" s="20"/>
      <c r="H67" s="20"/>
      <c r="I67" s="20"/>
      <c r="J67" s="20"/>
      <c r="K67" s="20"/>
      <c r="L67" s="20"/>
      <c r="M67" s="20"/>
      <c r="N67" s="20"/>
      <c r="O67" s="24"/>
      <c r="P67" s="161" t="str">
        <f t="shared" si="0"/>
        <v/>
      </c>
      <c r="Q67" s="7"/>
    </row>
    <row r="68" spans="1:17">
      <c r="A68" s="31" t="str">
        <f t="shared" si="1"/>
        <v/>
      </c>
      <c r="B68" s="159"/>
      <c r="C68" s="21"/>
      <c r="D68" s="97" t="str">
        <f>IF(C68="","",IFERROR(INDEX(②メンバー!$C$5:$C$104,MATCH(C68,②メンバー!$B$5:$B$104,0)),""))</f>
        <v/>
      </c>
      <c r="E68" s="24"/>
      <c r="F68" s="160"/>
      <c r="G68" s="20"/>
      <c r="H68" s="20"/>
      <c r="I68" s="20"/>
      <c r="J68" s="20"/>
      <c r="K68" s="20"/>
      <c r="L68" s="20"/>
      <c r="M68" s="20"/>
      <c r="N68" s="20"/>
      <c r="O68" s="24"/>
      <c r="P68" s="161" t="str">
        <f t="shared" si="0"/>
        <v/>
      </c>
      <c r="Q68" s="7"/>
    </row>
    <row r="69" spans="1:17">
      <c r="A69" s="31" t="str">
        <f t="shared" si="1"/>
        <v/>
      </c>
      <c r="B69" s="159"/>
      <c r="C69" s="21"/>
      <c r="D69" s="97" t="str">
        <f>IF(C69="","",IFERROR(INDEX(②メンバー!$C$5:$C$104,MATCH(C69,②メンバー!$B$5:$B$104,0)),""))</f>
        <v/>
      </c>
      <c r="E69" s="24"/>
      <c r="F69" s="160"/>
      <c r="G69" s="20"/>
      <c r="H69" s="20"/>
      <c r="I69" s="20"/>
      <c r="J69" s="20"/>
      <c r="K69" s="20"/>
      <c r="L69" s="20"/>
      <c r="M69" s="20"/>
      <c r="N69" s="20"/>
      <c r="O69" s="24"/>
      <c r="P69" s="161" t="str">
        <f t="shared" si="0"/>
        <v/>
      </c>
      <c r="Q69" s="7"/>
    </row>
    <row r="70" spans="1:17">
      <c r="A70" s="31" t="str">
        <f t="shared" ref="A70:A133" si="2">IF(B70="","",ROW()-5)</f>
        <v/>
      </c>
      <c r="B70" s="159"/>
      <c r="C70" s="21"/>
      <c r="D70" s="97" t="str">
        <f>IF(C70="","",IFERROR(INDEX(②メンバー!$C$5:$C$104,MATCH(C70,②メンバー!$B$5:$B$104,0)),""))</f>
        <v/>
      </c>
      <c r="E70" s="24"/>
      <c r="F70" s="160"/>
      <c r="G70" s="20"/>
      <c r="H70" s="20"/>
      <c r="I70" s="20"/>
      <c r="J70" s="20"/>
      <c r="K70" s="20"/>
      <c r="L70" s="20"/>
      <c r="M70" s="20"/>
      <c r="N70" s="20"/>
      <c r="O70" s="24"/>
      <c r="P70" s="161" t="str">
        <f t="shared" ref="P70:P133" si="3">IF(C70="","",IF(COUNTA(F70:O70)=0,IF(E70="出勤","いつもの時間","終日"),TRIM(IF(COUNTIF(F70:O70,"休")&gt;0,"休 "&amp;COUNTIF(F70:O70,"休")&amp;"h ","")&amp;IF(COUNTIF(F70:O70,"出")&gt;0,"出 "&amp;COUNTIF(F70:O70,"出")&amp;"h",""))))</f>
        <v/>
      </c>
      <c r="Q70" s="7"/>
    </row>
    <row r="71" spans="1:17">
      <c r="A71" s="31" t="str">
        <f t="shared" si="2"/>
        <v/>
      </c>
      <c r="B71" s="159"/>
      <c r="C71" s="21"/>
      <c r="D71" s="97" t="str">
        <f>IF(C71="","",IFERROR(INDEX(②メンバー!$C$5:$C$104,MATCH(C71,②メンバー!$B$5:$B$104,0)),""))</f>
        <v/>
      </c>
      <c r="E71" s="24"/>
      <c r="F71" s="160"/>
      <c r="G71" s="20"/>
      <c r="H71" s="20"/>
      <c r="I71" s="20"/>
      <c r="J71" s="20"/>
      <c r="K71" s="20"/>
      <c r="L71" s="20"/>
      <c r="M71" s="20"/>
      <c r="N71" s="20"/>
      <c r="O71" s="24"/>
      <c r="P71" s="161" t="str">
        <f t="shared" si="3"/>
        <v/>
      </c>
      <c r="Q71" s="7"/>
    </row>
    <row r="72" spans="1:17">
      <c r="A72" s="31" t="str">
        <f t="shared" si="2"/>
        <v/>
      </c>
      <c r="B72" s="159"/>
      <c r="C72" s="21"/>
      <c r="D72" s="97" t="str">
        <f>IF(C72="","",IFERROR(INDEX(②メンバー!$C$5:$C$104,MATCH(C72,②メンバー!$B$5:$B$104,0)),""))</f>
        <v/>
      </c>
      <c r="E72" s="24"/>
      <c r="F72" s="160"/>
      <c r="G72" s="20"/>
      <c r="H72" s="20"/>
      <c r="I72" s="20"/>
      <c r="J72" s="20"/>
      <c r="K72" s="20"/>
      <c r="L72" s="20"/>
      <c r="M72" s="20"/>
      <c r="N72" s="20"/>
      <c r="O72" s="24"/>
      <c r="P72" s="161" t="str">
        <f t="shared" si="3"/>
        <v/>
      </c>
      <c r="Q72" s="7"/>
    </row>
    <row r="73" spans="1:17">
      <c r="A73" s="31" t="str">
        <f t="shared" si="2"/>
        <v/>
      </c>
      <c r="B73" s="159"/>
      <c r="C73" s="21"/>
      <c r="D73" s="97" t="str">
        <f>IF(C73="","",IFERROR(INDEX(②メンバー!$C$5:$C$104,MATCH(C73,②メンバー!$B$5:$B$104,0)),""))</f>
        <v/>
      </c>
      <c r="E73" s="24"/>
      <c r="F73" s="160"/>
      <c r="G73" s="20"/>
      <c r="H73" s="20"/>
      <c r="I73" s="20"/>
      <c r="J73" s="20"/>
      <c r="K73" s="20"/>
      <c r="L73" s="20"/>
      <c r="M73" s="20"/>
      <c r="N73" s="20"/>
      <c r="O73" s="24"/>
      <c r="P73" s="161" t="str">
        <f t="shared" si="3"/>
        <v/>
      </c>
      <c r="Q73" s="7"/>
    </row>
    <row r="74" spans="1:17">
      <c r="A74" s="31" t="str">
        <f t="shared" si="2"/>
        <v/>
      </c>
      <c r="B74" s="159"/>
      <c r="C74" s="21"/>
      <c r="D74" s="97" t="str">
        <f>IF(C74="","",IFERROR(INDEX(②メンバー!$C$5:$C$104,MATCH(C74,②メンバー!$B$5:$B$104,0)),""))</f>
        <v/>
      </c>
      <c r="E74" s="24"/>
      <c r="F74" s="160"/>
      <c r="G74" s="20"/>
      <c r="H74" s="20"/>
      <c r="I74" s="20"/>
      <c r="J74" s="20"/>
      <c r="K74" s="20"/>
      <c r="L74" s="20"/>
      <c r="M74" s="20"/>
      <c r="N74" s="20"/>
      <c r="O74" s="24"/>
      <c r="P74" s="161" t="str">
        <f t="shared" si="3"/>
        <v/>
      </c>
      <c r="Q74" s="7"/>
    </row>
    <row r="75" spans="1:17">
      <c r="A75" s="31" t="str">
        <f t="shared" si="2"/>
        <v/>
      </c>
      <c r="B75" s="159"/>
      <c r="C75" s="21"/>
      <c r="D75" s="97" t="str">
        <f>IF(C75="","",IFERROR(INDEX(②メンバー!$C$5:$C$104,MATCH(C75,②メンバー!$B$5:$B$104,0)),""))</f>
        <v/>
      </c>
      <c r="E75" s="24"/>
      <c r="F75" s="160"/>
      <c r="G75" s="20"/>
      <c r="H75" s="20"/>
      <c r="I75" s="20"/>
      <c r="J75" s="20"/>
      <c r="K75" s="20"/>
      <c r="L75" s="20"/>
      <c r="M75" s="20"/>
      <c r="N75" s="20"/>
      <c r="O75" s="24"/>
      <c r="P75" s="161" t="str">
        <f t="shared" si="3"/>
        <v/>
      </c>
      <c r="Q75" s="7"/>
    </row>
    <row r="76" spans="1:17">
      <c r="A76" s="31" t="str">
        <f t="shared" si="2"/>
        <v/>
      </c>
      <c r="B76" s="159"/>
      <c r="C76" s="21"/>
      <c r="D76" s="97" t="str">
        <f>IF(C76="","",IFERROR(INDEX(②メンバー!$C$5:$C$104,MATCH(C76,②メンバー!$B$5:$B$104,0)),""))</f>
        <v/>
      </c>
      <c r="E76" s="24"/>
      <c r="F76" s="160"/>
      <c r="G76" s="20"/>
      <c r="H76" s="20"/>
      <c r="I76" s="20"/>
      <c r="J76" s="20"/>
      <c r="K76" s="20"/>
      <c r="L76" s="20"/>
      <c r="M76" s="20"/>
      <c r="N76" s="20"/>
      <c r="O76" s="24"/>
      <c r="P76" s="161" t="str">
        <f t="shared" si="3"/>
        <v/>
      </c>
      <c r="Q76" s="7"/>
    </row>
    <row r="77" spans="1:17">
      <c r="A77" s="31" t="str">
        <f t="shared" si="2"/>
        <v/>
      </c>
      <c r="B77" s="159"/>
      <c r="C77" s="21"/>
      <c r="D77" s="97" t="str">
        <f>IF(C77="","",IFERROR(INDEX(②メンバー!$C$5:$C$104,MATCH(C77,②メンバー!$B$5:$B$104,0)),""))</f>
        <v/>
      </c>
      <c r="E77" s="24"/>
      <c r="F77" s="160"/>
      <c r="G77" s="20"/>
      <c r="H77" s="20"/>
      <c r="I77" s="20"/>
      <c r="J77" s="20"/>
      <c r="K77" s="20"/>
      <c r="L77" s="20"/>
      <c r="M77" s="20"/>
      <c r="N77" s="20"/>
      <c r="O77" s="24"/>
      <c r="P77" s="161" t="str">
        <f t="shared" si="3"/>
        <v/>
      </c>
      <c r="Q77" s="7"/>
    </row>
    <row r="78" spans="1:17">
      <c r="A78" s="31" t="str">
        <f t="shared" si="2"/>
        <v/>
      </c>
      <c r="B78" s="159"/>
      <c r="C78" s="21"/>
      <c r="D78" s="97" t="str">
        <f>IF(C78="","",IFERROR(INDEX(②メンバー!$C$5:$C$104,MATCH(C78,②メンバー!$B$5:$B$104,0)),""))</f>
        <v/>
      </c>
      <c r="E78" s="24"/>
      <c r="F78" s="160"/>
      <c r="G78" s="20"/>
      <c r="H78" s="20"/>
      <c r="I78" s="20"/>
      <c r="J78" s="20"/>
      <c r="K78" s="20"/>
      <c r="L78" s="20"/>
      <c r="M78" s="20"/>
      <c r="N78" s="20"/>
      <c r="O78" s="24"/>
      <c r="P78" s="161" t="str">
        <f t="shared" si="3"/>
        <v/>
      </c>
      <c r="Q78" s="7"/>
    </row>
    <row r="79" spans="1:17">
      <c r="A79" s="31" t="str">
        <f t="shared" si="2"/>
        <v/>
      </c>
      <c r="B79" s="159"/>
      <c r="C79" s="21"/>
      <c r="D79" s="97" t="str">
        <f>IF(C79="","",IFERROR(INDEX(②メンバー!$C$5:$C$104,MATCH(C79,②メンバー!$B$5:$B$104,0)),""))</f>
        <v/>
      </c>
      <c r="E79" s="24"/>
      <c r="F79" s="160"/>
      <c r="G79" s="20"/>
      <c r="H79" s="20"/>
      <c r="I79" s="20"/>
      <c r="J79" s="20"/>
      <c r="K79" s="20"/>
      <c r="L79" s="20"/>
      <c r="M79" s="20"/>
      <c r="N79" s="20"/>
      <c r="O79" s="24"/>
      <c r="P79" s="161" t="str">
        <f t="shared" si="3"/>
        <v/>
      </c>
      <c r="Q79" s="7"/>
    </row>
    <row r="80" spans="1:17">
      <c r="A80" s="31" t="str">
        <f t="shared" si="2"/>
        <v/>
      </c>
      <c r="B80" s="159"/>
      <c r="C80" s="21"/>
      <c r="D80" s="97" t="str">
        <f>IF(C80="","",IFERROR(INDEX(②メンバー!$C$5:$C$104,MATCH(C80,②メンバー!$B$5:$B$104,0)),""))</f>
        <v/>
      </c>
      <c r="E80" s="24"/>
      <c r="F80" s="160"/>
      <c r="G80" s="20"/>
      <c r="H80" s="20"/>
      <c r="I80" s="20"/>
      <c r="J80" s="20"/>
      <c r="K80" s="20"/>
      <c r="L80" s="20"/>
      <c r="M80" s="20"/>
      <c r="N80" s="20"/>
      <c r="O80" s="24"/>
      <c r="P80" s="161" t="str">
        <f t="shared" si="3"/>
        <v/>
      </c>
      <c r="Q80" s="7"/>
    </row>
    <row r="81" spans="1:17">
      <c r="A81" s="31" t="str">
        <f t="shared" si="2"/>
        <v/>
      </c>
      <c r="B81" s="159"/>
      <c r="C81" s="21"/>
      <c r="D81" s="97" t="str">
        <f>IF(C81="","",IFERROR(INDEX(②メンバー!$C$5:$C$104,MATCH(C81,②メンバー!$B$5:$B$104,0)),""))</f>
        <v/>
      </c>
      <c r="E81" s="24"/>
      <c r="F81" s="160"/>
      <c r="G81" s="20"/>
      <c r="H81" s="20"/>
      <c r="I81" s="20"/>
      <c r="J81" s="20"/>
      <c r="K81" s="20"/>
      <c r="L81" s="20"/>
      <c r="M81" s="20"/>
      <c r="N81" s="20"/>
      <c r="O81" s="24"/>
      <c r="P81" s="161" t="str">
        <f t="shared" si="3"/>
        <v/>
      </c>
      <c r="Q81" s="7"/>
    </row>
    <row r="82" spans="1:17">
      <c r="A82" s="31" t="str">
        <f t="shared" si="2"/>
        <v/>
      </c>
      <c r="B82" s="159"/>
      <c r="C82" s="21"/>
      <c r="D82" s="97" t="str">
        <f>IF(C82="","",IFERROR(INDEX(②メンバー!$C$5:$C$104,MATCH(C82,②メンバー!$B$5:$B$104,0)),""))</f>
        <v/>
      </c>
      <c r="E82" s="24"/>
      <c r="F82" s="160"/>
      <c r="G82" s="20"/>
      <c r="H82" s="20"/>
      <c r="I82" s="20"/>
      <c r="J82" s="20"/>
      <c r="K82" s="20"/>
      <c r="L82" s="20"/>
      <c r="M82" s="20"/>
      <c r="N82" s="20"/>
      <c r="O82" s="24"/>
      <c r="P82" s="161" t="str">
        <f t="shared" si="3"/>
        <v/>
      </c>
      <c r="Q82" s="7"/>
    </row>
    <row r="83" spans="1:17">
      <c r="A83" s="31" t="str">
        <f t="shared" si="2"/>
        <v/>
      </c>
      <c r="B83" s="159"/>
      <c r="C83" s="21"/>
      <c r="D83" s="97" t="str">
        <f>IF(C83="","",IFERROR(INDEX(②メンバー!$C$5:$C$104,MATCH(C83,②メンバー!$B$5:$B$104,0)),""))</f>
        <v/>
      </c>
      <c r="E83" s="24"/>
      <c r="F83" s="160"/>
      <c r="G83" s="20"/>
      <c r="H83" s="20"/>
      <c r="I83" s="20"/>
      <c r="J83" s="20"/>
      <c r="K83" s="20"/>
      <c r="L83" s="20"/>
      <c r="M83" s="20"/>
      <c r="N83" s="20"/>
      <c r="O83" s="24"/>
      <c r="P83" s="161" t="str">
        <f t="shared" si="3"/>
        <v/>
      </c>
      <c r="Q83" s="7"/>
    </row>
    <row r="84" spans="1:17">
      <c r="A84" s="31" t="str">
        <f t="shared" si="2"/>
        <v/>
      </c>
      <c r="B84" s="159"/>
      <c r="C84" s="21"/>
      <c r="D84" s="97" t="str">
        <f>IF(C84="","",IFERROR(INDEX(②メンバー!$C$5:$C$104,MATCH(C84,②メンバー!$B$5:$B$104,0)),""))</f>
        <v/>
      </c>
      <c r="E84" s="24"/>
      <c r="F84" s="160"/>
      <c r="G84" s="20"/>
      <c r="H84" s="20"/>
      <c r="I84" s="20"/>
      <c r="J84" s="20"/>
      <c r="K84" s="20"/>
      <c r="L84" s="20"/>
      <c r="M84" s="20"/>
      <c r="N84" s="20"/>
      <c r="O84" s="24"/>
      <c r="P84" s="161" t="str">
        <f t="shared" si="3"/>
        <v/>
      </c>
      <c r="Q84" s="7"/>
    </row>
    <row r="85" spans="1:17">
      <c r="A85" s="31" t="str">
        <f t="shared" si="2"/>
        <v/>
      </c>
      <c r="B85" s="159"/>
      <c r="C85" s="21"/>
      <c r="D85" s="97" t="str">
        <f>IF(C85="","",IFERROR(INDEX(②メンバー!$C$5:$C$104,MATCH(C85,②メンバー!$B$5:$B$104,0)),""))</f>
        <v/>
      </c>
      <c r="E85" s="24"/>
      <c r="F85" s="160"/>
      <c r="G85" s="20"/>
      <c r="H85" s="20"/>
      <c r="I85" s="20"/>
      <c r="J85" s="20"/>
      <c r="K85" s="20"/>
      <c r="L85" s="20"/>
      <c r="M85" s="20"/>
      <c r="N85" s="20"/>
      <c r="O85" s="24"/>
      <c r="P85" s="161" t="str">
        <f t="shared" si="3"/>
        <v/>
      </c>
      <c r="Q85" s="7"/>
    </row>
    <row r="86" spans="1:17">
      <c r="A86" s="31" t="str">
        <f t="shared" si="2"/>
        <v/>
      </c>
      <c r="B86" s="159"/>
      <c r="C86" s="21"/>
      <c r="D86" s="97" t="str">
        <f>IF(C86="","",IFERROR(INDEX(②メンバー!$C$5:$C$104,MATCH(C86,②メンバー!$B$5:$B$104,0)),""))</f>
        <v/>
      </c>
      <c r="E86" s="24"/>
      <c r="F86" s="160"/>
      <c r="G86" s="20"/>
      <c r="H86" s="20"/>
      <c r="I86" s="20"/>
      <c r="J86" s="20"/>
      <c r="K86" s="20"/>
      <c r="L86" s="20"/>
      <c r="M86" s="20"/>
      <c r="N86" s="20"/>
      <c r="O86" s="24"/>
      <c r="P86" s="161" t="str">
        <f t="shared" si="3"/>
        <v/>
      </c>
      <c r="Q86" s="7"/>
    </row>
    <row r="87" spans="1:17">
      <c r="A87" s="31" t="str">
        <f t="shared" si="2"/>
        <v/>
      </c>
      <c r="B87" s="159"/>
      <c r="C87" s="21"/>
      <c r="D87" s="97" t="str">
        <f>IF(C87="","",IFERROR(INDEX(②メンバー!$C$5:$C$104,MATCH(C87,②メンバー!$B$5:$B$104,0)),""))</f>
        <v/>
      </c>
      <c r="E87" s="24"/>
      <c r="F87" s="160"/>
      <c r="G87" s="20"/>
      <c r="H87" s="20"/>
      <c r="I87" s="20"/>
      <c r="J87" s="20"/>
      <c r="K87" s="20"/>
      <c r="L87" s="20"/>
      <c r="M87" s="20"/>
      <c r="N87" s="20"/>
      <c r="O87" s="24"/>
      <c r="P87" s="161" t="str">
        <f t="shared" si="3"/>
        <v/>
      </c>
      <c r="Q87" s="7"/>
    </row>
    <row r="88" spans="1:17">
      <c r="A88" s="31" t="str">
        <f t="shared" si="2"/>
        <v/>
      </c>
      <c r="B88" s="159"/>
      <c r="C88" s="21"/>
      <c r="D88" s="97" t="str">
        <f>IF(C88="","",IFERROR(INDEX(②メンバー!$C$5:$C$104,MATCH(C88,②メンバー!$B$5:$B$104,0)),""))</f>
        <v/>
      </c>
      <c r="E88" s="24"/>
      <c r="F88" s="160"/>
      <c r="G88" s="20"/>
      <c r="H88" s="20"/>
      <c r="I88" s="20"/>
      <c r="J88" s="20"/>
      <c r="K88" s="20"/>
      <c r="L88" s="20"/>
      <c r="M88" s="20"/>
      <c r="N88" s="20"/>
      <c r="O88" s="24"/>
      <c r="P88" s="161" t="str">
        <f t="shared" si="3"/>
        <v/>
      </c>
      <c r="Q88" s="7"/>
    </row>
    <row r="89" spans="1:17">
      <c r="A89" s="31" t="str">
        <f t="shared" si="2"/>
        <v/>
      </c>
      <c r="B89" s="159"/>
      <c r="C89" s="21"/>
      <c r="D89" s="97" t="str">
        <f>IF(C89="","",IFERROR(INDEX(②メンバー!$C$5:$C$104,MATCH(C89,②メンバー!$B$5:$B$104,0)),""))</f>
        <v/>
      </c>
      <c r="E89" s="24"/>
      <c r="F89" s="160"/>
      <c r="G89" s="20"/>
      <c r="H89" s="20"/>
      <c r="I89" s="20"/>
      <c r="J89" s="20"/>
      <c r="K89" s="20"/>
      <c r="L89" s="20"/>
      <c r="M89" s="20"/>
      <c r="N89" s="20"/>
      <c r="O89" s="24"/>
      <c r="P89" s="161" t="str">
        <f t="shared" si="3"/>
        <v/>
      </c>
      <c r="Q89" s="7"/>
    </row>
    <row r="90" spans="1:17">
      <c r="A90" s="31" t="str">
        <f t="shared" si="2"/>
        <v/>
      </c>
      <c r="B90" s="159"/>
      <c r="C90" s="21"/>
      <c r="D90" s="97" t="str">
        <f>IF(C90="","",IFERROR(INDEX(②メンバー!$C$5:$C$104,MATCH(C90,②メンバー!$B$5:$B$104,0)),""))</f>
        <v/>
      </c>
      <c r="E90" s="24"/>
      <c r="F90" s="160"/>
      <c r="G90" s="20"/>
      <c r="H90" s="20"/>
      <c r="I90" s="20"/>
      <c r="J90" s="20"/>
      <c r="K90" s="20"/>
      <c r="L90" s="20"/>
      <c r="M90" s="20"/>
      <c r="N90" s="20"/>
      <c r="O90" s="24"/>
      <c r="P90" s="161" t="str">
        <f t="shared" si="3"/>
        <v/>
      </c>
      <c r="Q90" s="7"/>
    </row>
    <row r="91" spans="1:17">
      <c r="A91" s="31" t="str">
        <f t="shared" si="2"/>
        <v/>
      </c>
      <c r="B91" s="159"/>
      <c r="C91" s="21"/>
      <c r="D91" s="97" t="str">
        <f>IF(C91="","",IFERROR(INDEX(②メンバー!$C$5:$C$104,MATCH(C91,②メンバー!$B$5:$B$104,0)),""))</f>
        <v/>
      </c>
      <c r="E91" s="24"/>
      <c r="F91" s="160"/>
      <c r="G91" s="20"/>
      <c r="H91" s="20"/>
      <c r="I91" s="20"/>
      <c r="J91" s="20"/>
      <c r="K91" s="20"/>
      <c r="L91" s="20"/>
      <c r="M91" s="20"/>
      <c r="N91" s="20"/>
      <c r="O91" s="24"/>
      <c r="P91" s="161" t="str">
        <f t="shared" si="3"/>
        <v/>
      </c>
      <c r="Q91" s="7"/>
    </row>
    <row r="92" spans="1:17">
      <c r="A92" s="31" t="str">
        <f t="shared" si="2"/>
        <v/>
      </c>
      <c r="B92" s="159"/>
      <c r="C92" s="21"/>
      <c r="D92" s="97" t="str">
        <f>IF(C92="","",IFERROR(INDEX(②メンバー!$C$5:$C$104,MATCH(C92,②メンバー!$B$5:$B$104,0)),""))</f>
        <v/>
      </c>
      <c r="E92" s="24"/>
      <c r="F92" s="160"/>
      <c r="G92" s="20"/>
      <c r="H92" s="20"/>
      <c r="I92" s="20"/>
      <c r="J92" s="20"/>
      <c r="K92" s="20"/>
      <c r="L92" s="20"/>
      <c r="M92" s="20"/>
      <c r="N92" s="20"/>
      <c r="O92" s="24"/>
      <c r="P92" s="161" t="str">
        <f t="shared" si="3"/>
        <v/>
      </c>
      <c r="Q92" s="7"/>
    </row>
    <row r="93" spans="1:17">
      <c r="A93" s="31" t="str">
        <f t="shared" si="2"/>
        <v/>
      </c>
      <c r="B93" s="159"/>
      <c r="C93" s="21"/>
      <c r="D93" s="97" t="str">
        <f>IF(C93="","",IFERROR(INDEX(②メンバー!$C$5:$C$104,MATCH(C93,②メンバー!$B$5:$B$104,0)),""))</f>
        <v/>
      </c>
      <c r="E93" s="24"/>
      <c r="F93" s="160"/>
      <c r="G93" s="20"/>
      <c r="H93" s="20"/>
      <c r="I93" s="20"/>
      <c r="J93" s="20"/>
      <c r="K93" s="20"/>
      <c r="L93" s="20"/>
      <c r="M93" s="20"/>
      <c r="N93" s="20"/>
      <c r="O93" s="24"/>
      <c r="P93" s="161" t="str">
        <f t="shared" si="3"/>
        <v/>
      </c>
      <c r="Q93" s="7"/>
    </row>
    <row r="94" spans="1:17">
      <c r="A94" s="31" t="str">
        <f t="shared" si="2"/>
        <v/>
      </c>
      <c r="B94" s="159"/>
      <c r="C94" s="21"/>
      <c r="D94" s="97" t="str">
        <f>IF(C94="","",IFERROR(INDEX(②メンバー!$C$5:$C$104,MATCH(C94,②メンバー!$B$5:$B$104,0)),""))</f>
        <v/>
      </c>
      <c r="E94" s="24"/>
      <c r="F94" s="160"/>
      <c r="G94" s="20"/>
      <c r="H94" s="20"/>
      <c r="I94" s="20"/>
      <c r="J94" s="20"/>
      <c r="K94" s="20"/>
      <c r="L94" s="20"/>
      <c r="M94" s="20"/>
      <c r="N94" s="20"/>
      <c r="O94" s="24"/>
      <c r="P94" s="161" t="str">
        <f t="shared" si="3"/>
        <v/>
      </c>
      <c r="Q94" s="7"/>
    </row>
    <row r="95" spans="1:17">
      <c r="A95" s="31" t="str">
        <f t="shared" si="2"/>
        <v/>
      </c>
      <c r="B95" s="159"/>
      <c r="C95" s="21"/>
      <c r="D95" s="97" t="str">
        <f>IF(C95="","",IFERROR(INDEX(②メンバー!$C$5:$C$104,MATCH(C95,②メンバー!$B$5:$B$104,0)),""))</f>
        <v/>
      </c>
      <c r="E95" s="24"/>
      <c r="F95" s="160"/>
      <c r="G95" s="20"/>
      <c r="H95" s="20"/>
      <c r="I95" s="20"/>
      <c r="J95" s="20"/>
      <c r="K95" s="20"/>
      <c r="L95" s="20"/>
      <c r="M95" s="20"/>
      <c r="N95" s="20"/>
      <c r="O95" s="24"/>
      <c r="P95" s="161" t="str">
        <f t="shared" si="3"/>
        <v/>
      </c>
      <c r="Q95" s="7"/>
    </row>
    <row r="96" spans="1:17">
      <c r="A96" s="31" t="str">
        <f t="shared" si="2"/>
        <v/>
      </c>
      <c r="B96" s="159"/>
      <c r="C96" s="21"/>
      <c r="D96" s="97" t="str">
        <f>IF(C96="","",IFERROR(INDEX(②メンバー!$C$5:$C$104,MATCH(C96,②メンバー!$B$5:$B$104,0)),""))</f>
        <v/>
      </c>
      <c r="E96" s="24"/>
      <c r="F96" s="160"/>
      <c r="G96" s="20"/>
      <c r="H96" s="20"/>
      <c r="I96" s="20"/>
      <c r="J96" s="20"/>
      <c r="K96" s="20"/>
      <c r="L96" s="20"/>
      <c r="M96" s="20"/>
      <c r="N96" s="20"/>
      <c r="O96" s="24"/>
      <c r="P96" s="161" t="str">
        <f t="shared" si="3"/>
        <v/>
      </c>
      <c r="Q96" s="7"/>
    </row>
    <row r="97" spans="1:17">
      <c r="A97" s="31" t="str">
        <f t="shared" si="2"/>
        <v/>
      </c>
      <c r="B97" s="159"/>
      <c r="C97" s="21"/>
      <c r="D97" s="97" t="str">
        <f>IF(C97="","",IFERROR(INDEX(②メンバー!$C$5:$C$104,MATCH(C97,②メンバー!$B$5:$B$104,0)),""))</f>
        <v/>
      </c>
      <c r="E97" s="24"/>
      <c r="F97" s="160"/>
      <c r="G97" s="20"/>
      <c r="H97" s="20"/>
      <c r="I97" s="20"/>
      <c r="J97" s="20"/>
      <c r="K97" s="20"/>
      <c r="L97" s="20"/>
      <c r="M97" s="20"/>
      <c r="N97" s="20"/>
      <c r="O97" s="24"/>
      <c r="P97" s="161" t="str">
        <f t="shared" si="3"/>
        <v/>
      </c>
      <c r="Q97" s="7"/>
    </row>
    <row r="98" spans="1:17">
      <c r="A98" s="31" t="str">
        <f t="shared" si="2"/>
        <v/>
      </c>
      <c r="B98" s="159"/>
      <c r="C98" s="21"/>
      <c r="D98" s="97" t="str">
        <f>IF(C98="","",IFERROR(INDEX(②メンバー!$C$5:$C$104,MATCH(C98,②メンバー!$B$5:$B$104,0)),""))</f>
        <v/>
      </c>
      <c r="E98" s="24"/>
      <c r="F98" s="160"/>
      <c r="G98" s="20"/>
      <c r="H98" s="20"/>
      <c r="I98" s="20"/>
      <c r="J98" s="20"/>
      <c r="K98" s="20"/>
      <c r="L98" s="20"/>
      <c r="M98" s="20"/>
      <c r="N98" s="20"/>
      <c r="O98" s="24"/>
      <c r="P98" s="161" t="str">
        <f t="shared" si="3"/>
        <v/>
      </c>
      <c r="Q98" s="7"/>
    </row>
    <row r="99" spans="1:17">
      <c r="A99" s="31" t="str">
        <f t="shared" si="2"/>
        <v/>
      </c>
      <c r="B99" s="159"/>
      <c r="C99" s="21"/>
      <c r="D99" s="97" t="str">
        <f>IF(C99="","",IFERROR(INDEX(②メンバー!$C$5:$C$104,MATCH(C99,②メンバー!$B$5:$B$104,0)),""))</f>
        <v/>
      </c>
      <c r="E99" s="24"/>
      <c r="F99" s="160"/>
      <c r="G99" s="20"/>
      <c r="H99" s="20"/>
      <c r="I99" s="20"/>
      <c r="J99" s="20"/>
      <c r="K99" s="20"/>
      <c r="L99" s="20"/>
      <c r="M99" s="20"/>
      <c r="N99" s="20"/>
      <c r="O99" s="24"/>
      <c r="P99" s="161" t="str">
        <f t="shared" si="3"/>
        <v/>
      </c>
      <c r="Q99" s="7"/>
    </row>
    <row r="100" spans="1:17">
      <c r="A100" s="31" t="str">
        <f t="shared" si="2"/>
        <v/>
      </c>
      <c r="B100" s="159"/>
      <c r="C100" s="21"/>
      <c r="D100" s="97" t="str">
        <f>IF(C100="","",IFERROR(INDEX(②メンバー!$C$5:$C$104,MATCH(C100,②メンバー!$B$5:$B$104,0)),""))</f>
        <v/>
      </c>
      <c r="E100" s="24"/>
      <c r="F100" s="160"/>
      <c r="G100" s="20"/>
      <c r="H100" s="20"/>
      <c r="I100" s="20"/>
      <c r="J100" s="20"/>
      <c r="K100" s="20"/>
      <c r="L100" s="20"/>
      <c r="M100" s="20"/>
      <c r="N100" s="20"/>
      <c r="O100" s="24"/>
      <c r="P100" s="161" t="str">
        <f t="shared" si="3"/>
        <v/>
      </c>
      <c r="Q100" s="7"/>
    </row>
    <row r="101" spans="1:17">
      <c r="A101" s="31" t="str">
        <f t="shared" si="2"/>
        <v/>
      </c>
      <c r="B101" s="159"/>
      <c r="C101" s="21"/>
      <c r="D101" s="97" t="str">
        <f>IF(C101="","",IFERROR(INDEX(②メンバー!$C$5:$C$104,MATCH(C101,②メンバー!$B$5:$B$104,0)),""))</f>
        <v/>
      </c>
      <c r="E101" s="24"/>
      <c r="F101" s="160"/>
      <c r="G101" s="20"/>
      <c r="H101" s="20"/>
      <c r="I101" s="20"/>
      <c r="J101" s="20"/>
      <c r="K101" s="20"/>
      <c r="L101" s="20"/>
      <c r="M101" s="20"/>
      <c r="N101" s="20"/>
      <c r="O101" s="24"/>
      <c r="P101" s="161" t="str">
        <f t="shared" si="3"/>
        <v/>
      </c>
      <c r="Q101" s="7"/>
    </row>
    <row r="102" spans="1:17">
      <c r="A102" s="31" t="str">
        <f t="shared" si="2"/>
        <v/>
      </c>
      <c r="B102" s="159"/>
      <c r="C102" s="21"/>
      <c r="D102" s="97" t="str">
        <f>IF(C102="","",IFERROR(INDEX(②メンバー!$C$5:$C$104,MATCH(C102,②メンバー!$B$5:$B$104,0)),""))</f>
        <v/>
      </c>
      <c r="E102" s="24"/>
      <c r="F102" s="160"/>
      <c r="G102" s="20"/>
      <c r="H102" s="20"/>
      <c r="I102" s="20"/>
      <c r="J102" s="20"/>
      <c r="K102" s="20"/>
      <c r="L102" s="20"/>
      <c r="M102" s="20"/>
      <c r="N102" s="20"/>
      <c r="O102" s="24"/>
      <c r="P102" s="161" t="str">
        <f t="shared" si="3"/>
        <v/>
      </c>
      <c r="Q102" s="7"/>
    </row>
    <row r="103" spans="1:17">
      <c r="A103" s="31" t="str">
        <f t="shared" si="2"/>
        <v/>
      </c>
      <c r="B103" s="159"/>
      <c r="C103" s="21"/>
      <c r="D103" s="97" t="str">
        <f>IF(C103="","",IFERROR(INDEX(②メンバー!$C$5:$C$104,MATCH(C103,②メンバー!$B$5:$B$104,0)),""))</f>
        <v/>
      </c>
      <c r="E103" s="24"/>
      <c r="F103" s="160"/>
      <c r="G103" s="20"/>
      <c r="H103" s="20"/>
      <c r="I103" s="20"/>
      <c r="J103" s="20"/>
      <c r="K103" s="20"/>
      <c r="L103" s="20"/>
      <c r="M103" s="20"/>
      <c r="N103" s="20"/>
      <c r="O103" s="24"/>
      <c r="P103" s="161" t="str">
        <f t="shared" si="3"/>
        <v/>
      </c>
      <c r="Q103" s="7"/>
    </row>
    <row r="104" spans="1:17">
      <c r="A104" s="31" t="str">
        <f t="shared" si="2"/>
        <v/>
      </c>
      <c r="B104" s="159"/>
      <c r="C104" s="21"/>
      <c r="D104" s="97" t="str">
        <f>IF(C104="","",IFERROR(INDEX(②メンバー!$C$5:$C$104,MATCH(C104,②メンバー!$B$5:$B$104,0)),""))</f>
        <v/>
      </c>
      <c r="E104" s="24"/>
      <c r="F104" s="160"/>
      <c r="G104" s="20"/>
      <c r="H104" s="20"/>
      <c r="I104" s="20"/>
      <c r="J104" s="20"/>
      <c r="K104" s="20"/>
      <c r="L104" s="20"/>
      <c r="M104" s="20"/>
      <c r="N104" s="20"/>
      <c r="O104" s="24"/>
      <c r="P104" s="161" t="str">
        <f t="shared" si="3"/>
        <v/>
      </c>
      <c r="Q104" s="7"/>
    </row>
    <row r="105" spans="1:17">
      <c r="A105" s="31" t="str">
        <f t="shared" si="2"/>
        <v/>
      </c>
      <c r="B105" s="159"/>
      <c r="C105" s="21"/>
      <c r="D105" s="97" t="str">
        <f>IF(C105="","",IFERROR(INDEX(②メンバー!$C$5:$C$104,MATCH(C105,②メンバー!$B$5:$B$104,0)),""))</f>
        <v/>
      </c>
      <c r="E105" s="24"/>
      <c r="F105" s="160"/>
      <c r="G105" s="20"/>
      <c r="H105" s="20"/>
      <c r="I105" s="20"/>
      <c r="J105" s="20"/>
      <c r="K105" s="20"/>
      <c r="L105" s="20"/>
      <c r="M105" s="20"/>
      <c r="N105" s="20"/>
      <c r="O105" s="24"/>
      <c r="P105" s="161" t="str">
        <f t="shared" si="3"/>
        <v/>
      </c>
      <c r="Q105" s="7"/>
    </row>
    <row r="106" spans="1:17">
      <c r="A106" s="31" t="str">
        <f t="shared" si="2"/>
        <v/>
      </c>
      <c r="B106" s="159"/>
      <c r="C106" s="21"/>
      <c r="D106" s="97" t="str">
        <f>IF(C106="","",IFERROR(INDEX(②メンバー!$C$5:$C$104,MATCH(C106,②メンバー!$B$5:$B$104,0)),""))</f>
        <v/>
      </c>
      <c r="E106" s="24"/>
      <c r="F106" s="160"/>
      <c r="G106" s="20"/>
      <c r="H106" s="20"/>
      <c r="I106" s="20"/>
      <c r="J106" s="20"/>
      <c r="K106" s="20"/>
      <c r="L106" s="20"/>
      <c r="M106" s="20"/>
      <c r="N106" s="20"/>
      <c r="O106" s="24"/>
      <c r="P106" s="161" t="str">
        <f t="shared" si="3"/>
        <v/>
      </c>
      <c r="Q106" s="7"/>
    </row>
    <row r="107" spans="1:17">
      <c r="A107" s="31" t="str">
        <f t="shared" si="2"/>
        <v/>
      </c>
      <c r="B107" s="159"/>
      <c r="C107" s="21"/>
      <c r="D107" s="97" t="str">
        <f>IF(C107="","",IFERROR(INDEX(②メンバー!$C$5:$C$104,MATCH(C107,②メンバー!$B$5:$B$104,0)),""))</f>
        <v/>
      </c>
      <c r="E107" s="24"/>
      <c r="F107" s="160"/>
      <c r="G107" s="20"/>
      <c r="H107" s="20"/>
      <c r="I107" s="20"/>
      <c r="J107" s="20"/>
      <c r="K107" s="20"/>
      <c r="L107" s="20"/>
      <c r="M107" s="20"/>
      <c r="N107" s="20"/>
      <c r="O107" s="24"/>
      <c r="P107" s="161" t="str">
        <f t="shared" si="3"/>
        <v/>
      </c>
      <c r="Q107" s="7"/>
    </row>
    <row r="108" spans="1:17">
      <c r="A108" s="31" t="str">
        <f t="shared" si="2"/>
        <v/>
      </c>
      <c r="B108" s="159"/>
      <c r="C108" s="21"/>
      <c r="D108" s="97" t="str">
        <f>IF(C108="","",IFERROR(INDEX(②メンバー!$C$5:$C$104,MATCH(C108,②メンバー!$B$5:$B$104,0)),""))</f>
        <v/>
      </c>
      <c r="E108" s="24"/>
      <c r="F108" s="160"/>
      <c r="G108" s="20"/>
      <c r="H108" s="20"/>
      <c r="I108" s="20"/>
      <c r="J108" s="20"/>
      <c r="K108" s="20"/>
      <c r="L108" s="20"/>
      <c r="M108" s="20"/>
      <c r="N108" s="20"/>
      <c r="O108" s="24"/>
      <c r="P108" s="161" t="str">
        <f t="shared" si="3"/>
        <v/>
      </c>
      <c r="Q108" s="7"/>
    </row>
    <row r="109" spans="1:17">
      <c r="A109" s="31" t="str">
        <f t="shared" si="2"/>
        <v/>
      </c>
      <c r="B109" s="159"/>
      <c r="C109" s="21"/>
      <c r="D109" s="97" t="str">
        <f>IF(C109="","",IFERROR(INDEX(②メンバー!$C$5:$C$104,MATCH(C109,②メンバー!$B$5:$B$104,0)),""))</f>
        <v/>
      </c>
      <c r="E109" s="24"/>
      <c r="F109" s="160"/>
      <c r="G109" s="20"/>
      <c r="H109" s="20"/>
      <c r="I109" s="20"/>
      <c r="J109" s="20"/>
      <c r="K109" s="20"/>
      <c r="L109" s="20"/>
      <c r="M109" s="20"/>
      <c r="N109" s="20"/>
      <c r="O109" s="24"/>
      <c r="P109" s="161" t="str">
        <f t="shared" si="3"/>
        <v/>
      </c>
      <c r="Q109" s="7"/>
    </row>
    <row r="110" spans="1:17">
      <c r="A110" s="31" t="str">
        <f t="shared" si="2"/>
        <v/>
      </c>
      <c r="B110" s="159"/>
      <c r="C110" s="21"/>
      <c r="D110" s="97" t="str">
        <f>IF(C110="","",IFERROR(INDEX(②メンバー!$C$5:$C$104,MATCH(C110,②メンバー!$B$5:$B$104,0)),""))</f>
        <v/>
      </c>
      <c r="E110" s="24"/>
      <c r="F110" s="160"/>
      <c r="G110" s="20"/>
      <c r="H110" s="20"/>
      <c r="I110" s="20"/>
      <c r="J110" s="20"/>
      <c r="K110" s="20"/>
      <c r="L110" s="20"/>
      <c r="M110" s="20"/>
      <c r="N110" s="20"/>
      <c r="O110" s="24"/>
      <c r="P110" s="161" t="str">
        <f t="shared" si="3"/>
        <v/>
      </c>
      <c r="Q110" s="7"/>
    </row>
    <row r="111" spans="1:17">
      <c r="A111" s="31" t="str">
        <f t="shared" si="2"/>
        <v/>
      </c>
      <c r="B111" s="159"/>
      <c r="C111" s="21"/>
      <c r="D111" s="97" t="str">
        <f>IF(C111="","",IFERROR(INDEX(②メンバー!$C$5:$C$104,MATCH(C111,②メンバー!$B$5:$B$104,0)),""))</f>
        <v/>
      </c>
      <c r="E111" s="24"/>
      <c r="F111" s="160"/>
      <c r="G111" s="20"/>
      <c r="H111" s="20"/>
      <c r="I111" s="20"/>
      <c r="J111" s="20"/>
      <c r="K111" s="20"/>
      <c r="L111" s="20"/>
      <c r="M111" s="20"/>
      <c r="N111" s="20"/>
      <c r="O111" s="24"/>
      <c r="P111" s="161" t="str">
        <f t="shared" si="3"/>
        <v/>
      </c>
      <c r="Q111" s="7"/>
    </row>
    <row r="112" spans="1:17">
      <c r="A112" s="31" t="str">
        <f t="shared" si="2"/>
        <v/>
      </c>
      <c r="B112" s="159"/>
      <c r="C112" s="21"/>
      <c r="D112" s="97" t="str">
        <f>IF(C112="","",IFERROR(INDEX(②メンバー!$C$5:$C$104,MATCH(C112,②メンバー!$B$5:$B$104,0)),""))</f>
        <v/>
      </c>
      <c r="E112" s="24"/>
      <c r="F112" s="160"/>
      <c r="G112" s="20"/>
      <c r="H112" s="20"/>
      <c r="I112" s="20"/>
      <c r="J112" s="20"/>
      <c r="K112" s="20"/>
      <c r="L112" s="20"/>
      <c r="M112" s="20"/>
      <c r="N112" s="20"/>
      <c r="O112" s="24"/>
      <c r="P112" s="161" t="str">
        <f t="shared" si="3"/>
        <v/>
      </c>
      <c r="Q112" s="7"/>
    </row>
    <row r="113" spans="1:17">
      <c r="A113" s="31" t="str">
        <f t="shared" si="2"/>
        <v/>
      </c>
      <c r="B113" s="159"/>
      <c r="C113" s="21"/>
      <c r="D113" s="97" t="str">
        <f>IF(C113="","",IFERROR(INDEX(②メンバー!$C$5:$C$104,MATCH(C113,②メンバー!$B$5:$B$104,0)),""))</f>
        <v/>
      </c>
      <c r="E113" s="24"/>
      <c r="F113" s="160"/>
      <c r="G113" s="20"/>
      <c r="H113" s="20"/>
      <c r="I113" s="20"/>
      <c r="J113" s="20"/>
      <c r="K113" s="20"/>
      <c r="L113" s="20"/>
      <c r="M113" s="20"/>
      <c r="N113" s="20"/>
      <c r="O113" s="24"/>
      <c r="P113" s="161" t="str">
        <f t="shared" si="3"/>
        <v/>
      </c>
      <c r="Q113" s="7"/>
    </row>
    <row r="114" spans="1:17">
      <c r="A114" s="31" t="str">
        <f t="shared" si="2"/>
        <v/>
      </c>
      <c r="B114" s="159"/>
      <c r="C114" s="21"/>
      <c r="D114" s="97" t="str">
        <f>IF(C114="","",IFERROR(INDEX(②メンバー!$C$5:$C$104,MATCH(C114,②メンバー!$B$5:$B$104,0)),""))</f>
        <v/>
      </c>
      <c r="E114" s="24"/>
      <c r="F114" s="160"/>
      <c r="G114" s="20"/>
      <c r="H114" s="20"/>
      <c r="I114" s="20"/>
      <c r="J114" s="20"/>
      <c r="K114" s="20"/>
      <c r="L114" s="20"/>
      <c r="M114" s="20"/>
      <c r="N114" s="20"/>
      <c r="O114" s="24"/>
      <c r="P114" s="161" t="str">
        <f t="shared" si="3"/>
        <v/>
      </c>
      <c r="Q114" s="7"/>
    </row>
    <row r="115" spans="1:17">
      <c r="A115" s="31" t="str">
        <f t="shared" si="2"/>
        <v/>
      </c>
      <c r="B115" s="159"/>
      <c r="C115" s="21"/>
      <c r="D115" s="97" t="str">
        <f>IF(C115="","",IFERROR(INDEX(②メンバー!$C$5:$C$104,MATCH(C115,②メンバー!$B$5:$B$104,0)),""))</f>
        <v/>
      </c>
      <c r="E115" s="24"/>
      <c r="F115" s="160"/>
      <c r="G115" s="20"/>
      <c r="H115" s="20"/>
      <c r="I115" s="20"/>
      <c r="J115" s="20"/>
      <c r="K115" s="20"/>
      <c r="L115" s="20"/>
      <c r="M115" s="20"/>
      <c r="N115" s="20"/>
      <c r="O115" s="24"/>
      <c r="P115" s="161" t="str">
        <f t="shared" si="3"/>
        <v/>
      </c>
      <c r="Q115" s="7"/>
    </row>
    <row r="116" spans="1:17">
      <c r="A116" s="31" t="str">
        <f t="shared" si="2"/>
        <v/>
      </c>
      <c r="B116" s="159"/>
      <c r="C116" s="21"/>
      <c r="D116" s="97" t="str">
        <f>IF(C116="","",IFERROR(INDEX(②メンバー!$C$5:$C$104,MATCH(C116,②メンバー!$B$5:$B$104,0)),""))</f>
        <v/>
      </c>
      <c r="E116" s="24"/>
      <c r="F116" s="160"/>
      <c r="G116" s="20"/>
      <c r="H116" s="20"/>
      <c r="I116" s="20"/>
      <c r="J116" s="20"/>
      <c r="K116" s="20"/>
      <c r="L116" s="20"/>
      <c r="M116" s="20"/>
      <c r="N116" s="20"/>
      <c r="O116" s="24"/>
      <c r="P116" s="161" t="str">
        <f t="shared" si="3"/>
        <v/>
      </c>
      <c r="Q116" s="7"/>
    </row>
    <row r="117" spans="1:17">
      <c r="A117" s="31" t="str">
        <f t="shared" si="2"/>
        <v/>
      </c>
      <c r="B117" s="159"/>
      <c r="C117" s="21"/>
      <c r="D117" s="97" t="str">
        <f>IF(C117="","",IFERROR(INDEX(②メンバー!$C$5:$C$104,MATCH(C117,②メンバー!$B$5:$B$104,0)),""))</f>
        <v/>
      </c>
      <c r="E117" s="24"/>
      <c r="F117" s="160"/>
      <c r="G117" s="20"/>
      <c r="H117" s="20"/>
      <c r="I117" s="20"/>
      <c r="J117" s="20"/>
      <c r="K117" s="20"/>
      <c r="L117" s="20"/>
      <c r="M117" s="20"/>
      <c r="N117" s="20"/>
      <c r="O117" s="24"/>
      <c r="P117" s="161" t="str">
        <f t="shared" si="3"/>
        <v/>
      </c>
      <c r="Q117" s="7"/>
    </row>
    <row r="118" spans="1:17">
      <c r="A118" s="31" t="str">
        <f t="shared" si="2"/>
        <v/>
      </c>
      <c r="B118" s="159"/>
      <c r="C118" s="21"/>
      <c r="D118" s="97" t="str">
        <f>IF(C118="","",IFERROR(INDEX(②メンバー!$C$5:$C$104,MATCH(C118,②メンバー!$B$5:$B$104,0)),""))</f>
        <v/>
      </c>
      <c r="E118" s="24"/>
      <c r="F118" s="160"/>
      <c r="G118" s="20"/>
      <c r="H118" s="20"/>
      <c r="I118" s="20"/>
      <c r="J118" s="20"/>
      <c r="K118" s="20"/>
      <c r="L118" s="20"/>
      <c r="M118" s="20"/>
      <c r="N118" s="20"/>
      <c r="O118" s="24"/>
      <c r="P118" s="161" t="str">
        <f t="shared" si="3"/>
        <v/>
      </c>
      <c r="Q118" s="7"/>
    </row>
    <row r="119" spans="1:17">
      <c r="A119" s="31" t="str">
        <f t="shared" si="2"/>
        <v/>
      </c>
      <c r="B119" s="159"/>
      <c r="C119" s="21"/>
      <c r="D119" s="97" t="str">
        <f>IF(C119="","",IFERROR(INDEX(②メンバー!$C$5:$C$104,MATCH(C119,②メンバー!$B$5:$B$104,0)),""))</f>
        <v/>
      </c>
      <c r="E119" s="24"/>
      <c r="F119" s="160"/>
      <c r="G119" s="20"/>
      <c r="H119" s="20"/>
      <c r="I119" s="20"/>
      <c r="J119" s="20"/>
      <c r="K119" s="20"/>
      <c r="L119" s="20"/>
      <c r="M119" s="20"/>
      <c r="N119" s="20"/>
      <c r="O119" s="24"/>
      <c r="P119" s="161" t="str">
        <f t="shared" si="3"/>
        <v/>
      </c>
      <c r="Q119" s="7"/>
    </row>
    <row r="120" spans="1:17">
      <c r="A120" s="31" t="str">
        <f t="shared" si="2"/>
        <v/>
      </c>
      <c r="B120" s="159"/>
      <c r="C120" s="21"/>
      <c r="D120" s="97" t="str">
        <f>IF(C120="","",IFERROR(INDEX(②メンバー!$C$5:$C$104,MATCH(C120,②メンバー!$B$5:$B$104,0)),""))</f>
        <v/>
      </c>
      <c r="E120" s="24"/>
      <c r="F120" s="160"/>
      <c r="G120" s="20"/>
      <c r="H120" s="20"/>
      <c r="I120" s="20"/>
      <c r="J120" s="20"/>
      <c r="K120" s="20"/>
      <c r="L120" s="20"/>
      <c r="M120" s="20"/>
      <c r="N120" s="20"/>
      <c r="O120" s="24"/>
      <c r="P120" s="161" t="str">
        <f t="shared" si="3"/>
        <v/>
      </c>
      <c r="Q120" s="7"/>
    </row>
    <row r="121" spans="1:17">
      <c r="A121" s="31" t="str">
        <f t="shared" si="2"/>
        <v/>
      </c>
      <c r="B121" s="159"/>
      <c r="C121" s="21"/>
      <c r="D121" s="97" t="str">
        <f>IF(C121="","",IFERROR(INDEX(②メンバー!$C$5:$C$104,MATCH(C121,②メンバー!$B$5:$B$104,0)),""))</f>
        <v/>
      </c>
      <c r="E121" s="24"/>
      <c r="F121" s="160"/>
      <c r="G121" s="20"/>
      <c r="H121" s="20"/>
      <c r="I121" s="20"/>
      <c r="J121" s="20"/>
      <c r="K121" s="20"/>
      <c r="L121" s="20"/>
      <c r="M121" s="20"/>
      <c r="N121" s="20"/>
      <c r="O121" s="24"/>
      <c r="P121" s="161" t="str">
        <f t="shared" si="3"/>
        <v/>
      </c>
      <c r="Q121" s="7"/>
    </row>
    <row r="122" spans="1:17">
      <c r="A122" s="31" t="str">
        <f t="shared" si="2"/>
        <v/>
      </c>
      <c r="B122" s="159"/>
      <c r="C122" s="21"/>
      <c r="D122" s="97" t="str">
        <f>IF(C122="","",IFERROR(INDEX(②メンバー!$C$5:$C$104,MATCH(C122,②メンバー!$B$5:$B$104,0)),""))</f>
        <v/>
      </c>
      <c r="E122" s="24"/>
      <c r="F122" s="160"/>
      <c r="G122" s="20"/>
      <c r="H122" s="20"/>
      <c r="I122" s="20"/>
      <c r="J122" s="20"/>
      <c r="K122" s="20"/>
      <c r="L122" s="20"/>
      <c r="M122" s="20"/>
      <c r="N122" s="20"/>
      <c r="O122" s="24"/>
      <c r="P122" s="161" t="str">
        <f t="shared" si="3"/>
        <v/>
      </c>
      <c r="Q122" s="7"/>
    </row>
    <row r="123" spans="1:17">
      <c r="A123" s="31" t="str">
        <f t="shared" si="2"/>
        <v/>
      </c>
      <c r="B123" s="159"/>
      <c r="C123" s="21"/>
      <c r="D123" s="97" t="str">
        <f>IF(C123="","",IFERROR(INDEX(②メンバー!$C$5:$C$104,MATCH(C123,②メンバー!$B$5:$B$104,0)),""))</f>
        <v/>
      </c>
      <c r="E123" s="24"/>
      <c r="F123" s="160"/>
      <c r="G123" s="20"/>
      <c r="H123" s="20"/>
      <c r="I123" s="20"/>
      <c r="J123" s="20"/>
      <c r="K123" s="20"/>
      <c r="L123" s="20"/>
      <c r="M123" s="20"/>
      <c r="N123" s="20"/>
      <c r="O123" s="24"/>
      <c r="P123" s="161" t="str">
        <f t="shared" si="3"/>
        <v/>
      </c>
      <c r="Q123" s="7"/>
    </row>
    <row r="124" spans="1:17">
      <c r="A124" s="31" t="str">
        <f t="shared" si="2"/>
        <v/>
      </c>
      <c r="B124" s="159"/>
      <c r="C124" s="21"/>
      <c r="D124" s="97" t="str">
        <f>IF(C124="","",IFERROR(INDEX(②メンバー!$C$5:$C$104,MATCH(C124,②メンバー!$B$5:$B$104,0)),""))</f>
        <v/>
      </c>
      <c r="E124" s="24"/>
      <c r="F124" s="160"/>
      <c r="G124" s="20"/>
      <c r="H124" s="20"/>
      <c r="I124" s="20"/>
      <c r="J124" s="20"/>
      <c r="K124" s="20"/>
      <c r="L124" s="20"/>
      <c r="M124" s="20"/>
      <c r="N124" s="20"/>
      <c r="O124" s="24"/>
      <c r="P124" s="161" t="str">
        <f t="shared" si="3"/>
        <v/>
      </c>
      <c r="Q124" s="7"/>
    </row>
    <row r="125" spans="1:17">
      <c r="A125" s="31" t="str">
        <f t="shared" si="2"/>
        <v/>
      </c>
      <c r="B125" s="159"/>
      <c r="C125" s="21"/>
      <c r="D125" s="97" t="str">
        <f>IF(C125="","",IFERROR(INDEX(②メンバー!$C$5:$C$104,MATCH(C125,②メンバー!$B$5:$B$104,0)),""))</f>
        <v/>
      </c>
      <c r="E125" s="24"/>
      <c r="F125" s="160"/>
      <c r="G125" s="20"/>
      <c r="H125" s="20"/>
      <c r="I125" s="20"/>
      <c r="J125" s="20"/>
      <c r="K125" s="20"/>
      <c r="L125" s="20"/>
      <c r="M125" s="20"/>
      <c r="N125" s="20"/>
      <c r="O125" s="24"/>
      <c r="P125" s="161" t="str">
        <f t="shared" si="3"/>
        <v/>
      </c>
      <c r="Q125" s="7"/>
    </row>
    <row r="126" spans="1:17">
      <c r="A126" s="31" t="str">
        <f t="shared" si="2"/>
        <v/>
      </c>
      <c r="B126" s="159"/>
      <c r="C126" s="21"/>
      <c r="D126" s="97" t="str">
        <f>IF(C126="","",IFERROR(INDEX(②メンバー!$C$5:$C$104,MATCH(C126,②メンバー!$B$5:$B$104,0)),""))</f>
        <v/>
      </c>
      <c r="E126" s="24"/>
      <c r="F126" s="160"/>
      <c r="G126" s="20"/>
      <c r="H126" s="20"/>
      <c r="I126" s="20"/>
      <c r="J126" s="20"/>
      <c r="K126" s="20"/>
      <c r="L126" s="20"/>
      <c r="M126" s="20"/>
      <c r="N126" s="20"/>
      <c r="O126" s="24"/>
      <c r="P126" s="161" t="str">
        <f t="shared" si="3"/>
        <v/>
      </c>
      <c r="Q126" s="7"/>
    </row>
    <row r="127" spans="1:17">
      <c r="A127" s="31" t="str">
        <f t="shared" si="2"/>
        <v/>
      </c>
      <c r="B127" s="159"/>
      <c r="C127" s="21"/>
      <c r="D127" s="97" t="str">
        <f>IF(C127="","",IFERROR(INDEX(②メンバー!$C$5:$C$104,MATCH(C127,②メンバー!$B$5:$B$104,0)),""))</f>
        <v/>
      </c>
      <c r="E127" s="24"/>
      <c r="F127" s="160"/>
      <c r="G127" s="20"/>
      <c r="H127" s="20"/>
      <c r="I127" s="20"/>
      <c r="J127" s="20"/>
      <c r="K127" s="20"/>
      <c r="L127" s="20"/>
      <c r="M127" s="20"/>
      <c r="N127" s="20"/>
      <c r="O127" s="24"/>
      <c r="P127" s="161" t="str">
        <f t="shared" si="3"/>
        <v/>
      </c>
      <c r="Q127" s="7"/>
    </row>
    <row r="128" spans="1:17">
      <c r="A128" s="31" t="str">
        <f t="shared" si="2"/>
        <v/>
      </c>
      <c r="B128" s="159"/>
      <c r="C128" s="21"/>
      <c r="D128" s="97" t="str">
        <f>IF(C128="","",IFERROR(INDEX(②メンバー!$C$5:$C$104,MATCH(C128,②メンバー!$B$5:$B$104,0)),""))</f>
        <v/>
      </c>
      <c r="E128" s="24"/>
      <c r="F128" s="160"/>
      <c r="G128" s="20"/>
      <c r="H128" s="20"/>
      <c r="I128" s="20"/>
      <c r="J128" s="20"/>
      <c r="K128" s="20"/>
      <c r="L128" s="20"/>
      <c r="M128" s="20"/>
      <c r="N128" s="20"/>
      <c r="O128" s="24"/>
      <c r="P128" s="161" t="str">
        <f t="shared" si="3"/>
        <v/>
      </c>
      <c r="Q128" s="7"/>
    </row>
    <row r="129" spans="1:17">
      <c r="A129" s="31" t="str">
        <f t="shared" si="2"/>
        <v/>
      </c>
      <c r="B129" s="159"/>
      <c r="C129" s="21"/>
      <c r="D129" s="97" t="str">
        <f>IF(C129="","",IFERROR(INDEX(②メンバー!$C$5:$C$104,MATCH(C129,②メンバー!$B$5:$B$104,0)),""))</f>
        <v/>
      </c>
      <c r="E129" s="24"/>
      <c r="F129" s="160"/>
      <c r="G129" s="20"/>
      <c r="H129" s="20"/>
      <c r="I129" s="20"/>
      <c r="J129" s="20"/>
      <c r="K129" s="20"/>
      <c r="L129" s="20"/>
      <c r="M129" s="20"/>
      <c r="N129" s="20"/>
      <c r="O129" s="24"/>
      <c r="P129" s="161" t="str">
        <f t="shared" si="3"/>
        <v/>
      </c>
      <c r="Q129" s="7"/>
    </row>
    <row r="130" spans="1:17">
      <c r="A130" s="31" t="str">
        <f t="shared" si="2"/>
        <v/>
      </c>
      <c r="B130" s="159"/>
      <c r="C130" s="21"/>
      <c r="D130" s="97" t="str">
        <f>IF(C130="","",IFERROR(INDEX(②メンバー!$C$5:$C$104,MATCH(C130,②メンバー!$B$5:$B$104,0)),""))</f>
        <v/>
      </c>
      <c r="E130" s="24"/>
      <c r="F130" s="160"/>
      <c r="G130" s="20"/>
      <c r="H130" s="20"/>
      <c r="I130" s="20"/>
      <c r="J130" s="20"/>
      <c r="K130" s="20"/>
      <c r="L130" s="20"/>
      <c r="M130" s="20"/>
      <c r="N130" s="20"/>
      <c r="O130" s="24"/>
      <c r="P130" s="161" t="str">
        <f t="shared" si="3"/>
        <v/>
      </c>
      <c r="Q130" s="7"/>
    </row>
    <row r="131" spans="1:17">
      <c r="A131" s="31" t="str">
        <f t="shared" si="2"/>
        <v/>
      </c>
      <c r="B131" s="159"/>
      <c r="C131" s="21"/>
      <c r="D131" s="97" t="str">
        <f>IF(C131="","",IFERROR(INDEX(②メンバー!$C$5:$C$104,MATCH(C131,②メンバー!$B$5:$B$104,0)),""))</f>
        <v/>
      </c>
      <c r="E131" s="24"/>
      <c r="F131" s="160"/>
      <c r="G131" s="20"/>
      <c r="H131" s="20"/>
      <c r="I131" s="20"/>
      <c r="J131" s="20"/>
      <c r="K131" s="20"/>
      <c r="L131" s="20"/>
      <c r="M131" s="20"/>
      <c r="N131" s="20"/>
      <c r="O131" s="24"/>
      <c r="P131" s="161" t="str">
        <f t="shared" si="3"/>
        <v/>
      </c>
      <c r="Q131" s="7"/>
    </row>
    <row r="132" spans="1:17">
      <c r="A132" s="31" t="str">
        <f t="shared" si="2"/>
        <v/>
      </c>
      <c r="B132" s="159"/>
      <c r="C132" s="21"/>
      <c r="D132" s="97" t="str">
        <f>IF(C132="","",IFERROR(INDEX(②メンバー!$C$5:$C$104,MATCH(C132,②メンバー!$B$5:$B$104,0)),""))</f>
        <v/>
      </c>
      <c r="E132" s="24"/>
      <c r="F132" s="160"/>
      <c r="G132" s="20"/>
      <c r="H132" s="20"/>
      <c r="I132" s="20"/>
      <c r="J132" s="20"/>
      <c r="K132" s="20"/>
      <c r="L132" s="20"/>
      <c r="M132" s="20"/>
      <c r="N132" s="20"/>
      <c r="O132" s="24"/>
      <c r="P132" s="161" t="str">
        <f t="shared" si="3"/>
        <v/>
      </c>
      <c r="Q132" s="7"/>
    </row>
    <row r="133" spans="1:17">
      <c r="A133" s="31" t="str">
        <f t="shared" si="2"/>
        <v/>
      </c>
      <c r="B133" s="159"/>
      <c r="C133" s="21"/>
      <c r="D133" s="97" t="str">
        <f>IF(C133="","",IFERROR(INDEX(②メンバー!$C$5:$C$104,MATCH(C133,②メンバー!$B$5:$B$104,0)),""))</f>
        <v/>
      </c>
      <c r="E133" s="24"/>
      <c r="F133" s="160"/>
      <c r="G133" s="20"/>
      <c r="H133" s="20"/>
      <c r="I133" s="20"/>
      <c r="J133" s="20"/>
      <c r="K133" s="20"/>
      <c r="L133" s="20"/>
      <c r="M133" s="20"/>
      <c r="N133" s="20"/>
      <c r="O133" s="24"/>
      <c r="P133" s="161" t="str">
        <f t="shared" si="3"/>
        <v/>
      </c>
      <c r="Q133" s="7"/>
    </row>
    <row r="134" spans="1:17">
      <c r="A134" s="31" t="str">
        <f t="shared" ref="A134:A197" si="4">IF(B134="","",ROW()-5)</f>
        <v/>
      </c>
      <c r="B134" s="159"/>
      <c r="C134" s="21"/>
      <c r="D134" s="97" t="str">
        <f>IF(C134="","",IFERROR(INDEX(②メンバー!$C$5:$C$104,MATCH(C134,②メンバー!$B$5:$B$104,0)),""))</f>
        <v/>
      </c>
      <c r="E134" s="24"/>
      <c r="F134" s="160"/>
      <c r="G134" s="20"/>
      <c r="H134" s="20"/>
      <c r="I134" s="20"/>
      <c r="J134" s="20"/>
      <c r="K134" s="20"/>
      <c r="L134" s="20"/>
      <c r="M134" s="20"/>
      <c r="N134" s="20"/>
      <c r="O134" s="24"/>
      <c r="P134" s="161" t="str">
        <f t="shared" ref="P134:P197" si="5">IF(C134="","",IF(COUNTA(F134:O134)=0,IF(E134="出勤","いつもの時間","終日"),TRIM(IF(COUNTIF(F134:O134,"休")&gt;0,"休 "&amp;COUNTIF(F134:O134,"休")&amp;"h ","")&amp;IF(COUNTIF(F134:O134,"出")&gt;0,"出 "&amp;COUNTIF(F134:O134,"出")&amp;"h",""))))</f>
        <v/>
      </c>
      <c r="Q134" s="7"/>
    </row>
    <row r="135" spans="1:17">
      <c r="A135" s="31" t="str">
        <f t="shared" si="4"/>
        <v/>
      </c>
      <c r="B135" s="159"/>
      <c r="C135" s="21"/>
      <c r="D135" s="97" t="str">
        <f>IF(C135="","",IFERROR(INDEX(②メンバー!$C$5:$C$104,MATCH(C135,②メンバー!$B$5:$B$104,0)),""))</f>
        <v/>
      </c>
      <c r="E135" s="24"/>
      <c r="F135" s="160"/>
      <c r="G135" s="20"/>
      <c r="H135" s="20"/>
      <c r="I135" s="20"/>
      <c r="J135" s="20"/>
      <c r="K135" s="20"/>
      <c r="L135" s="20"/>
      <c r="M135" s="20"/>
      <c r="N135" s="20"/>
      <c r="O135" s="24"/>
      <c r="P135" s="161" t="str">
        <f t="shared" si="5"/>
        <v/>
      </c>
      <c r="Q135" s="7"/>
    </row>
    <row r="136" spans="1:17">
      <c r="A136" s="31" t="str">
        <f t="shared" si="4"/>
        <v/>
      </c>
      <c r="B136" s="159"/>
      <c r="C136" s="21"/>
      <c r="D136" s="97" t="str">
        <f>IF(C136="","",IFERROR(INDEX(②メンバー!$C$5:$C$104,MATCH(C136,②メンバー!$B$5:$B$104,0)),""))</f>
        <v/>
      </c>
      <c r="E136" s="24"/>
      <c r="F136" s="160"/>
      <c r="G136" s="20"/>
      <c r="H136" s="20"/>
      <c r="I136" s="20"/>
      <c r="J136" s="20"/>
      <c r="K136" s="20"/>
      <c r="L136" s="20"/>
      <c r="M136" s="20"/>
      <c r="N136" s="20"/>
      <c r="O136" s="24"/>
      <c r="P136" s="161" t="str">
        <f t="shared" si="5"/>
        <v/>
      </c>
      <c r="Q136" s="7"/>
    </row>
    <row r="137" spans="1:17">
      <c r="A137" s="31" t="str">
        <f t="shared" si="4"/>
        <v/>
      </c>
      <c r="B137" s="159"/>
      <c r="C137" s="21"/>
      <c r="D137" s="97" t="str">
        <f>IF(C137="","",IFERROR(INDEX(②メンバー!$C$5:$C$104,MATCH(C137,②メンバー!$B$5:$B$104,0)),""))</f>
        <v/>
      </c>
      <c r="E137" s="24"/>
      <c r="F137" s="160"/>
      <c r="G137" s="20"/>
      <c r="H137" s="20"/>
      <c r="I137" s="20"/>
      <c r="J137" s="20"/>
      <c r="K137" s="20"/>
      <c r="L137" s="20"/>
      <c r="M137" s="20"/>
      <c r="N137" s="20"/>
      <c r="O137" s="24"/>
      <c r="P137" s="161" t="str">
        <f t="shared" si="5"/>
        <v/>
      </c>
      <c r="Q137" s="7"/>
    </row>
    <row r="138" spans="1:17">
      <c r="A138" s="31" t="str">
        <f t="shared" si="4"/>
        <v/>
      </c>
      <c r="B138" s="159"/>
      <c r="C138" s="21"/>
      <c r="D138" s="97" t="str">
        <f>IF(C138="","",IFERROR(INDEX(②メンバー!$C$5:$C$104,MATCH(C138,②メンバー!$B$5:$B$104,0)),""))</f>
        <v/>
      </c>
      <c r="E138" s="24"/>
      <c r="F138" s="160"/>
      <c r="G138" s="20"/>
      <c r="H138" s="20"/>
      <c r="I138" s="20"/>
      <c r="J138" s="20"/>
      <c r="K138" s="20"/>
      <c r="L138" s="20"/>
      <c r="M138" s="20"/>
      <c r="N138" s="20"/>
      <c r="O138" s="24"/>
      <c r="P138" s="161" t="str">
        <f t="shared" si="5"/>
        <v/>
      </c>
      <c r="Q138" s="7"/>
    </row>
    <row r="139" spans="1:17">
      <c r="A139" s="31" t="str">
        <f t="shared" si="4"/>
        <v/>
      </c>
      <c r="B139" s="159"/>
      <c r="C139" s="21"/>
      <c r="D139" s="97" t="str">
        <f>IF(C139="","",IFERROR(INDEX(②メンバー!$C$5:$C$104,MATCH(C139,②メンバー!$B$5:$B$104,0)),""))</f>
        <v/>
      </c>
      <c r="E139" s="24"/>
      <c r="F139" s="160"/>
      <c r="G139" s="20"/>
      <c r="H139" s="20"/>
      <c r="I139" s="20"/>
      <c r="J139" s="20"/>
      <c r="K139" s="20"/>
      <c r="L139" s="20"/>
      <c r="M139" s="20"/>
      <c r="N139" s="20"/>
      <c r="O139" s="24"/>
      <c r="P139" s="161" t="str">
        <f t="shared" si="5"/>
        <v/>
      </c>
      <c r="Q139" s="7"/>
    </row>
    <row r="140" spans="1:17">
      <c r="A140" s="31" t="str">
        <f t="shared" si="4"/>
        <v/>
      </c>
      <c r="B140" s="159"/>
      <c r="C140" s="21"/>
      <c r="D140" s="97" t="str">
        <f>IF(C140="","",IFERROR(INDEX(②メンバー!$C$5:$C$104,MATCH(C140,②メンバー!$B$5:$B$104,0)),""))</f>
        <v/>
      </c>
      <c r="E140" s="24"/>
      <c r="F140" s="160"/>
      <c r="G140" s="20"/>
      <c r="H140" s="20"/>
      <c r="I140" s="20"/>
      <c r="J140" s="20"/>
      <c r="K140" s="20"/>
      <c r="L140" s="20"/>
      <c r="M140" s="20"/>
      <c r="N140" s="20"/>
      <c r="O140" s="24"/>
      <c r="P140" s="161" t="str">
        <f t="shared" si="5"/>
        <v/>
      </c>
      <c r="Q140" s="7"/>
    </row>
    <row r="141" spans="1:17">
      <c r="A141" s="31" t="str">
        <f t="shared" si="4"/>
        <v/>
      </c>
      <c r="B141" s="159"/>
      <c r="C141" s="21"/>
      <c r="D141" s="97" t="str">
        <f>IF(C141="","",IFERROR(INDEX(②メンバー!$C$5:$C$104,MATCH(C141,②メンバー!$B$5:$B$104,0)),""))</f>
        <v/>
      </c>
      <c r="E141" s="24"/>
      <c r="F141" s="160"/>
      <c r="G141" s="20"/>
      <c r="H141" s="20"/>
      <c r="I141" s="20"/>
      <c r="J141" s="20"/>
      <c r="K141" s="20"/>
      <c r="L141" s="20"/>
      <c r="M141" s="20"/>
      <c r="N141" s="20"/>
      <c r="O141" s="24"/>
      <c r="P141" s="161" t="str">
        <f t="shared" si="5"/>
        <v/>
      </c>
      <c r="Q141" s="7"/>
    </row>
    <row r="142" spans="1:17">
      <c r="A142" s="31" t="str">
        <f t="shared" si="4"/>
        <v/>
      </c>
      <c r="B142" s="159"/>
      <c r="C142" s="21"/>
      <c r="D142" s="97" t="str">
        <f>IF(C142="","",IFERROR(INDEX(②メンバー!$C$5:$C$104,MATCH(C142,②メンバー!$B$5:$B$104,0)),""))</f>
        <v/>
      </c>
      <c r="E142" s="24"/>
      <c r="F142" s="160"/>
      <c r="G142" s="20"/>
      <c r="H142" s="20"/>
      <c r="I142" s="20"/>
      <c r="J142" s="20"/>
      <c r="K142" s="20"/>
      <c r="L142" s="20"/>
      <c r="M142" s="20"/>
      <c r="N142" s="20"/>
      <c r="O142" s="24"/>
      <c r="P142" s="161" t="str">
        <f t="shared" si="5"/>
        <v/>
      </c>
      <c r="Q142" s="7"/>
    </row>
    <row r="143" spans="1:17">
      <c r="A143" s="31" t="str">
        <f t="shared" si="4"/>
        <v/>
      </c>
      <c r="B143" s="159"/>
      <c r="C143" s="21"/>
      <c r="D143" s="97" t="str">
        <f>IF(C143="","",IFERROR(INDEX(②メンバー!$C$5:$C$104,MATCH(C143,②メンバー!$B$5:$B$104,0)),""))</f>
        <v/>
      </c>
      <c r="E143" s="24"/>
      <c r="F143" s="160"/>
      <c r="G143" s="20"/>
      <c r="H143" s="20"/>
      <c r="I143" s="20"/>
      <c r="J143" s="20"/>
      <c r="K143" s="20"/>
      <c r="L143" s="20"/>
      <c r="M143" s="20"/>
      <c r="N143" s="20"/>
      <c r="O143" s="24"/>
      <c r="P143" s="161" t="str">
        <f t="shared" si="5"/>
        <v/>
      </c>
      <c r="Q143" s="7"/>
    </row>
    <row r="144" spans="1:17">
      <c r="A144" s="31" t="str">
        <f t="shared" si="4"/>
        <v/>
      </c>
      <c r="B144" s="159"/>
      <c r="C144" s="21"/>
      <c r="D144" s="97" t="str">
        <f>IF(C144="","",IFERROR(INDEX(②メンバー!$C$5:$C$104,MATCH(C144,②メンバー!$B$5:$B$104,0)),""))</f>
        <v/>
      </c>
      <c r="E144" s="24"/>
      <c r="F144" s="160"/>
      <c r="G144" s="20"/>
      <c r="H144" s="20"/>
      <c r="I144" s="20"/>
      <c r="J144" s="20"/>
      <c r="K144" s="20"/>
      <c r="L144" s="20"/>
      <c r="M144" s="20"/>
      <c r="N144" s="20"/>
      <c r="O144" s="24"/>
      <c r="P144" s="161" t="str">
        <f t="shared" si="5"/>
        <v/>
      </c>
      <c r="Q144" s="7"/>
    </row>
    <row r="145" spans="1:17">
      <c r="A145" s="31" t="str">
        <f t="shared" si="4"/>
        <v/>
      </c>
      <c r="B145" s="159"/>
      <c r="C145" s="21"/>
      <c r="D145" s="97" t="str">
        <f>IF(C145="","",IFERROR(INDEX(②メンバー!$C$5:$C$104,MATCH(C145,②メンバー!$B$5:$B$104,0)),""))</f>
        <v/>
      </c>
      <c r="E145" s="24"/>
      <c r="F145" s="160"/>
      <c r="G145" s="20"/>
      <c r="H145" s="20"/>
      <c r="I145" s="20"/>
      <c r="J145" s="20"/>
      <c r="K145" s="20"/>
      <c r="L145" s="20"/>
      <c r="M145" s="20"/>
      <c r="N145" s="20"/>
      <c r="O145" s="24"/>
      <c r="P145" s="161" t="str">
        <f t="shared" si="5"/>
        <v/>
      </c>
      <c r="Q145" s="7"/>
    </row>
    <row r="146" spans="1:17">
      <c r="A146" s="31" t="str">
        <f t="shared" si="4"/>
        <v/>
      </c>
      <c r="B146" s="159"/>
      <c r="C146" s="21"/>
      <c r="D146" s="97" t="str">
        <f>IF(C146="","",IFERROR(INDEX(②メンバー!$C$5:$C$104,MATCH(C146,②メンバー!$B$5:$B$104,0)),""))</f>
        <v/>
      </c>
      <c r="E146" s="24"/>
      <c r="F146" s="160"/>
      <c r="G146" s="20"/>
      <c r="H146" s="20"/>
      <c r="I146" s="20"/>
      <c r="J146" s="20"/>
      <c r="K146" s="20"/>
      <c r="L146" s="20"/>
      <c r="M146" s="20"/>
      <c r="N146" s="20"/>
      <c r="O146" s="24"/>
      <c r="P146" s="161" t="str">
        <f t="shared" si="5"/>
        <v/>
      </c>
      <c r="Q146" s="7"/>
    </row>
    <row r="147" spans="1:17">
      <c r="A147" s="31" t="str">
        <f t="shared" si="4"/>
        <v/>
      </c>
      <c r="B147" s="159"/>
      <c r="C147" s="21"/>
      <c r="D147" s="97" t="str">
        <f>IF(C147="","",IFERROR(INDEX(②メンバー!$C$5:$C$104,MATCH(C147,②メンバー!$B$5:$B$104,0)),""))</f>
        <v/>
      </c>
      <c r="E147" s="24"/>
      <c r="F147" s="160"/>
      <c r="G147" s="20"/>
      <c r="H147" s="20"/>
      <c r="I147" s="20"/>
      <c r="J147" s="20"/>
      <c r="K147" s="20"/>
      <c r="L147" s="20"/>
      <c r="M147" s="20"/>
      <c r="N147" s="20"/>
      <c r="O147" s="24"/>
      <c r="P147" s="161" t="str">
        <f t="shared" si="5"/>
        <v/>
      </c>
      <c r="Q147" s="7"/>
    </row>
    <row r="148" spans="1:17">
      <c r="A148" s="31" t="str">
        <f t="shared" si="4"/>
        <v/>
      </c>
      <c r="B148" s="159"/>
      <c r="C148" s="21"/>
      <c r="D148" s="97" t="str">
        <f>IF(C148="","",IFERROR(INDEX(②メンバー!$C$5:$C$104,MATCH(C148,②メンバー!$B$5:$B$104,0)),""))</f>
        <v/>
      </c>
      <c r="E148" s="24"/>
      <c r="F148" s="160"/>
      <c r="G148" s="20"/>
      <c r="H148" s="20"/>
      <c r="I148" s="20"/>
      <c r="J148" s="20"/>
      <c r="K148" s="20"/>
      <c r="L148" s="20"/>
      <c r="M148" s="20"/>
      <c r="N148" s="20"/>
      <c r="O148" s="24"/>
      <c r="P148" s="161" t="str">
        <f t="shared" si="5"/>
        <v/>
      </c>
      <c r="Q148" s="7"/>
    </row>
    <row r="149" spans="1:17">
      <c r="A149" s="31" t="str">
        <f t="shared" si="4"/>
        <v/>
      </c>
      <c r="B149" s="159"/>
      <c r="C149" s="21"/>
      <c r="D149" s="97" t="str">
        <f>IF(C149="","",IFERROR(INDEX(②メンバー!$C$5:$C$104,MATCH(C149,②メンバー!$B$5:$B$104,0)),""))</f>
        <v/>
      </c>
      <c r="E149" s="24"/>
      <c r="F149" s="160"/>
      <c r="G149" s="20"/>
      <c r="H149" s="20"/>
      <c r="I149" s="20"/>
      <c r="J149" s="20"/>
      <c r="K149" s="20"/>
      <c r="L149" s="20"/>
      <c r="M149" s="20"/>
      <c r="N149" s="20"/>
      <c r="O149" s="24"/>
      <c r="P149" s="161" t="str">
        <f t="shared" si="5"/>
        <v/>
      </c>
      <c r="Q149" s="7"/>
    </row>
    <row r="150" spans="1:17">
      <c r="A150" s="31" t="str">
        <f t="shared" si="4"/>
        <v/>
      </c>
      <c r="B150" s="159"/>
      <c r="C150" s="21"/>
      <c r="D150" s="97" t="str">
        <f>IF(C150="","",IFERROR(INDEX(②メンバー!$C$5:$C$104,MATCH(C150,②メンバー!$B$5:$B$104,0)),""))</f>
        <v/>
      </c>
      <c r="E150" s="24"/>
      <c r="F150" s="160"/>
      <c r="G150" s="20"/>
      <c r="H150" s="20"/>
      <c r="I150" s="20"/>
      <c r="J150" s="20"/>
      <c r="K150" s="20"/>
      <c r="L150" s="20"/>
      <c r="M150" s="20"/>
      <c r="N150" s="20"/>
      <c r="O150" s="24"/>
      <c r="P150" s="161" t="str">
        <f t="shared" si="5"/>
        <v/>
      </c>
      <c r="Q150" s="7"/>
    </row>
    <row r="151" spans="1:17">
      <c r="A151" s="31" t="str">
        <f t="shared" si="4"/>
        <v/>
      </c>
      <c r="B151" s="159"/>
      <c r="C151" s="21"/>
      <c r="D151" s="97" t="str">
        <f>IF(C151="","",IFERROR(INDEX(②メンバー!$C$5:$C$104,MATCH(C151,②メンバー!$B$5:$B$104,0)),""))</f>
        <v/>
      </c>
      <c r="E151" s="24"/>
      <c r="F151" s="160"/>
      <c r="G151" s="20"/>
      <c r="H151" s="20"/>
      <c r="I151" s="20"/>
      <c r="J151" s="20"/>
      <c r="K151" s="20"/>
      <c r="L151" s="20"/>
      <c r="M151" s="20"/>
      <c r="N151" s="20"/>
      <c r="O151" s="24"/>
      <c r="P151" s="161" t="str">
        <f t="shared" si="5"/>
        <v/>
      </c>
      <c r="Q151" s="7"/>
    </row>
    <row r="152" spans="1:17">
      <c r="A152" s="31" t="str">
        <f t="shared" si="4"/>
        <v/>
      </c>
      <c r="B152" s="159"/>
      <c r="C152" s="21"/>
      <c r="D152" s="97" t="str">
        <f>IF(C152="","",IFERROR(INDEX(②メンバー!$C$5:$C$104,MATCH(C152,②メンバー!$B$5:$B$104,0)),""))</f>
        <v/>
      </c>
      <c r="E152" s="24"/>
      <c r="F152" s="160"/>
      <c r="G152" s="20"/>
      <c r="H152" s="20"/>
      <c r="I152" s="20"/>
      <c r="J152" s="20"/>
      <c r="K152" s="20"/>
      <c r="L152" s="20"/>
      <c r="M152" s="20"/>
      <c r="N152" s="20"/>
      <c r="O152" s="24"/>
      <c r="P152" s="161" t="str">
        <f t="shared" si="5"/>
        <v/>
      </c>
      <c r="Q152" s="7"/>
    </row>
    <row r="153" spans="1:17">
      <c r="A153" s="31" t="str">
        <f t="shared" si="4"/>
        <v/>
      </c>
      <c r="B153" s="159"/>
      <c r="C153" s="21"/>
      <c r="D153" s="97" t="str">
        <f>IF(C153="","",IFERROR(INDEX(②メンバー!$C$5:$C$104,MATCH(C153,②メンバー!$B$5:$B$104,0)),""))</f>
        <v/>
      </c>
      <c r="E153" s="24"/>
      <c r="F153" s="160"/>
      <c r="G153" s="20"/>
      <c r="H153" s="20"/>
      <c r="I153" s="20"/>
      <c r="J153" s="20"/>
      <c r="K153" s="20"/>
      <c r="L153" s="20"/>
      <c r="M153" s="20"/>
      <c r="N153" s="20"/>
      <c r="O153" s="24"/>
      <c r="P153" s="161" t="str">
        <f t="shared" si="5"/>
        <v/>
      </c>
      <c r="Q153" s="7"/>
    </row>
    <row r="154" spans="1:17">
      <c r="A154" s="31" t="str">
        <f t="shared" si="4"/>
        <v/>
      </c>
      <c r="B154" s="159"/>
      <c r="C154" s="21"/>
      <c r="D154" s="97" t="str">
        <f>IF(C154="","",IFERROR(INDEX(②メンバー!$C$5:$C$104,MATCH(C154,②メンバー!$B$5:$B$104,0)),""))</f>
        <v/>
      </c>
      <c r="E154" s="24"/>
      <c r="F154" s="160"/>
      <c r="G154" s="20"/>
      <c r="H154" s="20"/>
      <c r="I154" s="20"/>
      <c r="J154" s="20"/>
      <c r="K154" s="20"/>
      <c r="L154" s="20"/>
      <c r="M154" s="20"/>
      <c r="N154" s="20"/>
      <c r="O154" s="24"/>
      <c r="P154" s="161" t="str">
        <f t="shared" si="5"/>
        <v/>
      </c>
      <c r="Q154" s="7"/>
    </row>
    <row r="155" spans="1:17">
      <c r="A155" s="31" t="str">
        <f t="shared" si="4"/>
        <v/>
      </c>
      <c r="B155" s="159"/>
      <c r="C155" s="21"/>
      <c r="D155" s="97" t="str">
        <f>IF(C155="","",IFERROR(INDEX(②メンバー!$C$5:$C$104,MATCH(C155,②メンバー!$B$5:$B$104,0)),""))</f>
        <v/>
      </c>
      <c r="E155" s="24"/>
      <c r="F155" s="160"/>
      <c r="G155" s="20"/>
      <c r="H155" s="20"/>
      <c r="I155" s="20"/>
      <c r="J155" s="20"/>
      <c r="K155" s="20"/>
      <c r="L155" s="20"/>
      <c r="M155" s="20"/>
      <c r="N155" s="20"/>
      <c r="O155" s="24"/>
      <c r="P155" s="161" t="str">
        <f t="shared" si="5"/>
        <v/>
      </c>
      <c r="Q155" s="7"/>
    </row>
    <row r="156" spans="1:17">
      <c r="A156" s="31" t="str">
        <f t="shared" si="4"/>
        <v/>
      </c>
      <c r="B156" s="159"/>
      <c r="C156" s="21"/>
      <c r="D156" s="97" t="str">
        <f>IF(C156="","",IFERROR(INDEX(②メンバー!$C$5:$C$104,MATCH(C156,②メンバー!$B$5:$B$104,0)),""))</f>
        <v/>
      </c>
      <c r="E156" s="24"/>
      <c r="F156" s="160"/>
      <c r="G156" s="20"/>
      <c r="H156" s="20"/>
      <c r="I156" s="20"/>
      <c r="J156" s="20"/>
      <c r="K156" s="20"/>
      <c r="L156" s="20"/>
      <c r="M156" s="20"/>
      <c r="N156" s="20"/>
      <c r="O156" s="24"/>
      <c r="P156" s="161" t="str">
        <f t="shared" si="5"/>
        <v/>
      </c>
      <c r="Q156" s="7"/>
    </row>
    <row r="157" spans="1:17">
      <c r="A157" s="31" t="str">
        <f t="shared" si="4"/>
        <v/>
      </c>
      <c r="B157" s="159"/>
      <c r="C157" s="21"/>
      <c r="D157" s="97" t="str">
        <f>IF(C157="","",IFERROR(INDEX(②メンバー!$C$5:$C$104,MATCH(C157,②メンバー!$B$5:$B$104,0)),""))</f>
        <v/>
      </c>
      <c r="E157" s="24"/>
      <c r="F157" s="160"/>
      <c r="G157" s="20"/>
      <c r="H157" s="20"/>
      <c r="I157" s="20"/>
      <c r="J157" s="20"/>
      <c r="K157" s="20"/>
      <c r="L157" s="20"/>
      <c r="M157" s="20"/>
      <c r="N157" s="20"/>
      <c r="O157" s="24"/>
      <c r="P157" s="161" t="str">
        <f t="shared" si="5"/>
        <v/>
      </c>
      <c r="Q157" s="7"/>
    </row>
    <row r="158" spans="1:17">
      <c r="A158" s="31" t="str">
        <f t="shared" si="4"/>
        <v/>
      </c>
      <c r="B158" s="159"/>
      <c r="C158" s="21"/>
      <c r="D158" s="97" t="str">
        <f>IF(C158="","",IFERROR(INDEX(②メンバー!$C$5:$C$104,MATCH(C158,②メンバー!$B$5:$B$104,0)),""))</f>
        <v/>
      </c>
      <c r="E158" s="24"/>
      <c r="F158" s="160"/>
      <c r="G158" s="20"/>
      <c r="H158" s="20"/>
      <c r="I158" s="20"/>
      <c r="J158" s="20"/>
      <c r="K158" s="20"/>
      <c r="L158" s="20"/>
      <c r="M158" s="20"/>
      <c r="N158" s="20"/>
      <c r="O158" s="24"/>
      <c r="P158" s="161" t="str">
        <f t="shared" si="5"/>
        <v/>
      </c>
      <c r="Q158" s="7"/>
    </row>
    <row r="159" spans="1:17">
      <c r="A159" s="31" t="str">
        <f t="shared" si="4"/>
        <v/>
      </c>
      <c r="B159" s="159"/>
      <c r="C159" s="21"/>
      <c r="D159" s="97" t="str">
        <f>IF(C159="","",IFERROR(INDEX(②メンバー!$C$5:$C$104,MATCH(C159,②メンバー!$B$5:$B$104,0)),""))</f>
        <v/>
      </c>
      <c r="E159" s="24"/>
      <c r="F159" s="160"/>
      <c r="G159" s="20"/>
      <c r="H159" s="20"/>
      <c r="I159" s="20"/>
      <c r="J159" s="20"/>
      <c r="K159" s="20"/>
      <c r="L159" s="20"/>
      <c r="M159" s="20"/>
      <c r="N159" s="20"/>
      <c r="O159" s="24"/>
      <c r="P159" s="161" t="str">
        <f t="shared" si="5"/>
        <v/>
      </c>
      <c r="Q159" s="7"/>
    </row>
    <row r="160" spans="1:17">
      <c r="A160" s="31" t="str">
        <f t="shared" si="4"/>
        <v/>
      </c>
      <c r="B160" s="159"/>
      <c r="C160" s="21"/>
      <c r="D160" s="97" t="str">
        <f>IF(C160="","",IFERROR(INDEX(②メンバー!$C$5:$C$104,MATCH(C160,②メンバー!$B$5:$B$104,0)),""))</f>
        <v/>
      </c>
      <c r="E160" s="24"/>
      <c r="F160" s="160"/>
      <c r="G160" s="20"/>
      <c r="H160" s="20"/>
      <c r="I160" s="20"/>
      <c r="J160" s="20"/>
      <c r="K160" s="20"/>
      <c r="L160" s="20"/>
      <c r="M160" s="20"/>
      <c r="N160" s="20"/>
      <c r="O160" s="24"/>
      <c r="P160" s="161" t="str">
        <f t="shared" si="5"/>
        <v/>
      </c>
      <c r="Q160" s="7"/>
    </row>
    <row r="161" spans="1:17">
      <c r="A161" s="31" t="str">
        <f t="shared" si="4"/>
        <v/>
      </c>
      <c r="B161" s="159"/>
      <c r="C161" s="21"/>
      <c r="D161" s="97" t="str">
        <f>IF(C161="","",IFERROR(INDEX(②メンバー!$C$5:$C$104,MATCH(C161,②メンバー!$B$5:$B$104,0)),""))</f>
        <v/>
      </c>
      <c r="E161" s="24"/>
      <c r="F161" s="160"/>
      <c r="G161" s="20"/>
      <c r="H161" s="20"/>
      <c r="I161" s="20"/>
      <c r="J161" s="20"/>
      <c r="K161" s="20"/>
      <c r="L161" s="20"/>
      <c r="M161" s="20"/>
      <c r="N161" s="20"/>
      <c r="O161" s="24"/>
      <c r="P161" s="161" t="str">
        <f t="shared" si="5"/>
        <v/>
      </c>
      <c r="Q161" s="7"/>
    </row>
    <row r="162" spans="1:17">
      <c r="A162" s="31" t="str">
        <f t="shared" si="4"/>
        <v/>
      </c>
      <c r="B162" s="159"/>
      <c r="C162" s="21"/>
      <c r="D162" s="97" t="str">
        <f>IF(C162="","",IFERROR(INDEX(②メンバー!$C$5:$C$104,MATCH(C162,②メンバー!$B$5:$B$104,0)),""))</f>
        <v/>
      </c>
      <c r="E162" s="24"/>
      <c r="F162" s="160"/>
      <c r="G162" s="20"/>
      <c r="H162" s="20"/>
      <c r="I162" s="20"/>
      <c r="J162" s="20"/>
      <c r="K162" s="20"/>
      <c r="L162" s="20"/>
      <c r="M162" s="20"/>
      <c r="N162" s="20"/>
      <c r="O162" s="24"/>
      <c r="P162" s="161" t="str">
        <f t="shared" si="5"/>
        <v/>
      </c>
      <c r="Q162" s="7"/>
    </row>
    <row r="163" spans="1:17">
      <c r="A163" s="31" t="str">
        <f t="shared" si="4"/>
        <v/>
      </c>
      <c r="B163" s="159"/>
      <c r="C163" s="21"/>
      <c r="D163" s="97" t="str">
        <f>IF(C163="","",IFERROR(INDEX(②メンバー!$C$5:$C$104,MATCH(C163,②メンバー!$B$5:$B$104,0)),""))</f>
        <v/>
      </c>
      <c r="E163" s="24"/>
      <c r="F163" s="160"/>
      <c r="G163" s="20"/>
      <c r="H163" s="20"/>
      <c r="I163" s="20"/>
      <c r="J163" s="20"/>
      <c r="K163" s="20"/>
      <c r="L163" s="20"/>
      <c r="M163" s="20"/>
      <c r="N163" s="20"/>
      <c r="O163" s="24"/>
      <c r="P163" s="161" t="str">
        <f t="shared" si="5"/>
        <v/>
      </c>
      <c r="Q163" s="7"/>
    </row>
    <row r="164" spans="1:17">
      <c r="A164" s="31" t="str">
        <f t="shared" si="4"/>
        <v/>
      </c>
      <c r="B164" s="159"/>
      <c r="C164" s="21"/>
      <c r="D164" s="97" t="str">
        <f>IF(C164="","",IFERROR(INDEX(②メンバー!$C$5:$C$104,MATCH(C164,②メンバー!$B$5:$B$104,0)),""))</f>
        <v/>
      </c>
      <c r="E164" s="24"/>
      <c r="F164" s="160"/>
      <c r="G164" s="20"/>
      <c r="H164" s="20"/>
      <c r="I164" s="20"/>
      <c r="J164" s="20"/>
      <c r="K164" s="20"/>
      <c r="L164" s="20"/>
      <c r="M164" s="20"/>
      <c r="N164" s="20"/>
      <c r="O164" s="24"/>
      <c r="P164" s="161" t="str">
        <f t="shared" si="5"/>
        <v/>
      </c>
      <c r="Q164" s="7"/>
    </row>
    <row r="165" spans="1:17">
      <c r="A165" s="31" t="str">
        <f t="shared" si="4"/>
        <v/>
      </c>
      <c r="B165" s="159"/>
      <c r="C165" s="21"/>
      <c r="D165" s="97" t="str">
        <f>IF(C165="","",IFERROR(INDEX(②メンバー!$C$5:$C$104,MATCH(C165,②メンバー!$B$5:$B$104,0)),""))</f>
        <v/>
      </c>
      <c r="E165" s="24"/>
      <c r="F165" s="160"/>
      <c r="G165" s="20"/>
      <c r="H165" s="20"/>
      <c r="I165" s="20"/>
      <c r="J165" s="20"/>
      <c r="K165" s="20"/>
      <c r="L165" s="20"/>
      <c r="M165" s="20"/>
      <c r="N165" s="20"/>
      <c r="O165" s="24"/>
      <c r="P165" s="161" t="str">
        <f t="shared" si="5"/>
        <v/>
      </c>
      <c r="Q165" s="7"/>
    </row>
    <row r="166" spans="1:17">
      <c r="A166" s="31" t="str">
        <f t="shared" si="4"/>
        <v/>
      </c>
      <c r="B166" s="159"/>
      <c r="C166" s="21"/>
      <c r="D166" s="97" t="str">
        <f>IF(C166="","",IFERROR(INDEX(②メンバー!$C$5:$C$104,MATCH(C166,②メンバー!$B$5:$B$104,0)),""))</f>
        <v/>
      </c>
      <c r="E166" s="24"/>
      <c r="F166" s="160"/>
      <c r="G166" s="20"/>
      <c r="H166" s="20"/>
      <c r="I166" s="20"/>
      <c r="J166" s="20"/>
      <c r="K166" s="20"/>
      <c r="L166" s="20"/>
      <c r="M166" s="20"/>
      <c r="N166" s="20"/>
      <c r="O166" s="24"/>
      <c r="P166" s="161" t="str">
        <f t="shared" si="5"/>
        <v/>
      </c>
      <c r="Q166" s="7"/>
    </row>
    <row r="167" spans="1:17">
      <c r="A167" s="31" t="str">
        <f t="shared" si="4"/>
        <v/>
      </c>
      <c r="B167" s="159"/>
      <c r="C167" s="21"/>
      <c r="D167" s="97" t="str">
        <f>IF(C167="","",IFERROR(INDEX(②メンバー!$C$5:$C$104,MATCH(C167,②メンバー!$B$5:$B$104,0)),""))</f>
        <v/>
      </c>
      <c r="E167" s="24"/>
      <c r="F167" s="160"/>
      <c r="G167" s="20"/>
      <c r="H167" s="20"/>
      <c r="I167" s="20"/>
      <c r="J167" s="20"/>
      <c r="K167" s="20"/>
      <c r="L167" s="20"/>
      <c r="M167" s="20"/>
      <c r="N167" s="20"/>
      <c r="O167" s="24"/>
      <c r="P167" s="161" t="str">
        <f t="shared" si="5"/>
        <v/>
      </c>
      <c r="Q167" s="7"/>
    </row>
    <row r="168" spans="1:17">
      <c r="A168" s="31" t="str">
        <f t="shared" si="4"/>
        <v/>
      </c>
      <c r="B168" s="159"/>
      <c r="C168" s="21"/>
      <c r="D168" s="97" t="str">
        <f>IF(C168="","",IFERROR(INDEX(②メンバー!$C$5:$C$104,MATCH(C168,②メンバー!$B$5:$B$104,0)),""))</f>
        <v/>
      </c>
      <c r="E168" s="24"/>
      <c r="F168" s="160"/>
      <c r="G168" s="20"/>
      <c r="H168" s="20"/>
      <c r="I168" s="20"/>
      <c r="J168" s="20"/>
      <c r="K168" s="20"/>
      <c r="L168" s="20"/>
      <c r="M168" s="20"/>
      <c r="N168" s="20"/>
      <c r="O168" s="24"/>
      <c r="P168" s="161" t="str">
        <f t="shared" si="5"/>
        <v/>
      </c>
      <c r="Q168" s="7"/>
    </row>
    <row r="169" spans="1:17">
      <c r="A169" s="31" t="str">
        <f t="shared" si="4"/>
        <v/>
      </c>
      <c r="B169" s="159"/>
      <c r="C169" s="21"/>
      <c r="D169" s="97" t="str">
        <f>IF(C169="","",IFERROR(INDEX(②メンバー!$C$5:$C$104,MATCH(C169,②メンバー!$B$5:$B$104,0)),""))</f>
        <v/>
      </c>
      <c r="E169" s="24"/>
      <c r="F169" s="160"/>
      <c r="G169" s="20"/>
      <c r="H169" s="20"/>
      <c r="I169" s="20"/>
      <c r="J169" s="20"/>
      <c r="K169" s="20"/>
      <c r="L169" s="20"/>
      <c r="M169" s="20"/>
      <c r="N169" s="20"/>
      <c r="O169" s="24"/>
      <c r="P169" s="161" t="str">
        <f t="shared" si="5"/>
        <v/>
      </c>
      <c r="Q169" s="7"/>
    </row>
    <row r="170" spans="1:17">
      <c r="A170" s="31" t="str">
        <f t="shared" si="4"/>
        <v/>
      </c>
      <c r="B170" s="159"/>
      <c r="C170" s="21"/>
      <c r="D170" s="97" t="str">
        <f>IF(C170="","",IFERROR(INDEX(②メンバー!$C$5:$C$104,MATCH(C170,②メンバー!$B$5:$B$104,0)),""))</f>
        <v/>
      </c>
      <c r="E170" s="24"/>
      <c r="F170" s="160"/>
      <c r="G170" s="20"/>
      <c r="H170" s="20"/>
      <c r="I170" s="20"/>
      <c r="J170" s="20"/>
      <c r="K170" s="20"/>
      <c r="L170" s="20"/>
      <c r="M170" s="20"/>
      <c r="N170" s="20"/>
      <c r="O170" s="24"/>
      <c r="P170" s="161" t="str">
        <f t="shared" si="5"/>
        <v/>
      </c>
      <c r="Q170" s="7"/>
    </row>
    <row r="171" spans="1:17">
      <c r="A171" s="31" t="str">
        <f t="shared" si="4"/>
        <v/>
      </c>
      <c r="B171" s="159"/>
      <c r="C171" s="21"/>
      <c r="D171" s="97" t="str">
        <f>IF(C171="","",IFERROR(INDEX(②メンバー!$C$5:$C$104,MATCH(C171,②メンバー!$B$5:$B$104,0)),""))</f>
        <v/>
      </c>
      <c r="E171" s="24"/>
      <c r="F171" s="160"/>
      <c r="G171" s="20"/>
      <c r="H171" s="20"/>
      <c r="I171" s="20"/>
      <c r="J171" s="20"/>
      <c r="K171" s="20"/>
      <c r="L171" s="20"/>
      <c r="M171" s="20"/>
      <c r="N171" s="20"/>
      <c r="O171" s="24"/>
      <c r="P171" s="161" t="str">
        <f t="shared" si="5"/>
        <v/>
      </c>
      <c r="Q171" s="7"/>
    </row>
    <row r="172" spans="1:17">
      <c r="A172" s="31" t="str">
        <f t="shared" si="4"/>
        <v/>
      </c>
      <c r="B172" s="159"/>
      <c r="C172" s="21"/>
      <c r="D172" s="97" t="str">
        <f>IF(C172="","",IFERROR(INDEX(②メンバー!$C$5:$C$104,MATCH(C172,②メンバー!$B$5:$B$104,0)),""))</f>
        <v/>
      </c>
      <c r="E172" s="24"/>
      <c r="F172" s="160"/>
      <c r="G172" s="20"/>
      <c r="H172" s="20"/>
      <c r="I172" s="20"/>
      <c r="J172" s="20"/>
      <c r="K172" s="20"/>
      <c r="L172" s="20"/>
      <c r="M172" s="20"/>
      <c r="N172" s="20"/>
      <c r="O172" s="24"/>
      <c r="P172" s="161" t="str">
        <f t="shared" si="5"/>
        <v/>
      </c>
      <c r="Q172" s="7"/>
    </row>
    <row r="173" spans="1:17">
      <c r="A173" s="31" t="str">
        <f t="shared" si="4"/>
        <v/>
      </c>
      <c r="B173" s="159"/>
      <c r="C173" s="21"/>
      <c r="D173" s="97" t="str">
        <f>IF(C173="","",IFERROR(INDEX(②メンバー!$C$5:$C$104,MATCH(C173,②メンバー!$B$5:$B$104,0)),""))</f>
        <v/>
      </c>
      <c r="E173" s="24"/>
      <c r="F173" s="160"/>
      <c r="G173" s="20"/>
      <c r="H173" s="20"/>
      <c r="I173" s="20"/>
      <c r="J173" s="20"/>
      <c r="K173" s="20"/>
      <c r="L173" s="20"/>
      <c r="M173" s="20"/>
      <c r="N173" s="20"/>
      <c r="O173" s="24"/>
      <c r="P173" s="161" t="str">
        <f t="shared" si="5"/>
        <v/>
      </c>
      <c r="Q173" s="7"/>
    </row>
    <row r="174" spans="1:17">
      <c r="A174" s="31" t="str">
        <f t="shared" si="4"/>
        <v/>
      </c>
      <c r="B174" s="159"/>
      <c r="C174" s="21"/>
      <c r="D174" s="97" t="str">
        <f>IF(C174="","",IFERROR(INDEX(②メンバー!$C$5:$C$104,MATCH(C174,②メンバー!$B$5:$B$104,0)),""))</f>
        <v/>
      </c>
      <c r="E174" s="24"/>
      <c r="F174" s="160"/>
      <c r="G174" s="20"/>
      <c r="H174" s="20"/>
      <c r="I174" s="20"/>
      <c r="J174" s="20"/>
      <c r="K174" s="20"/>
      <c r="L174" s="20"/>
      <c r="M174" s="20"/>
      <c r="N174" s="20"/>
      <c r="O174" s="24"/>
      <c r="P174" s="161" t="str">
        <f t="shared" si="5"/>
        <v/>
      </c>
      <c r="Q174" s="7"/>
    </row>
    <row r="175" spans="1:17">
      <c r="A175" s="31" t="str">
        <f t="shared" si="4"/>
        <v/>
      </c>
      <c r="B175" s="159"/>
      <c r="C175" s="21"/>
      <c r="D175" s="97" t="str">
        <f>IF(C175="","",IFERROR(INDEX(②メンバー!$C$5:$C$104,MATCH(C175,②メンバー!$B$5:$B$104,0)),""))</f>
        <v/>
      </c>
      <c r="E175" s="24"/>
      <c r="F175" s="160"/>
      <c r="G175" s="20"/>
      <c r="H175" s="20"/>
      <c r="I175" s="20"/>
      <c r="J175" s="20"/>
      <c r="K175" s="20"/>
      <c r="L175" s="20"/>
      <c r="M175" s="20"/>
      <c r="N175" s="20"/>
      <c r="O175" s="24"/>
      <c r="P175" s="161" t="str">
        <f t="shared" si="5"/>
        <v/>
      </c>
      <c r="Q175" s="7"/>
    </row>
    <row r="176" spans="1:17">
      <c r="A176" s="31" t="str">
        <f t="shared" si="4"/>
        <v/>
      </c>
      <c r="B176" s="159"/>
      <c r="C176" s="21"/>
      <c r="D176" s="97" t="str">
        <f>IF(C176="","",IFERROR(INDEX(②メンバー!$C$5:$C$104,MATCH(C176,②メンバー!$B$5:$B$104,0)),""))</f>
        <v/>
      </c>
      <c r="E176" s="24"/>
      <c r="F176" s="160"/>
      <c r="G176" s="20"/>
      <c r="H176" s="20"/>
      <c r="I176" s="20"/>
      <c r="J176" s="20"/>
      <c r="K176" s="20"/>
      <c r="L176" s="20"/>
      <c r="M176" s="20"/>
      <c r="N176" s="20"/>
      <c r="O176" s="24"/>
      <c r="P176" s="161" t="str">
        <f t="shared" si="5"/>
        <v/>
      </c>
      <c r="Q176" s="7"/>
    </row>
    <row r="177" spans="1:17">
      <c r="A177" s="31" t="str">
        <f t="shared" si="4"/>
        <v/>
      </c>
      <c r="B177" s="159"/>
      <c r="C177" s="21"/>
      <c r="D177" s="97" t="str">
        <f>IF(C177="","",IFERROR(INDEX(②メンバー!$C$5:$C$104,MATCH(C177,②メンバー!$B$5:$B$104,0)),""))</f>
        <v/>
      </c>
      <c r="E177" s="24"/>
      <c r="F177" s="160"/>
      <c r="G177" s="20"/>
      <c r="H177" s="20"/>
      <c r="I177" s="20"/>
      <c r="J177" s="20"/>
      <c r="K177" s="20"/>
      <c r="L177" s="20"/>
      <c r="M177" s="20"/>
      <c r="N177" s="20"/>
      <c r="O177" s="24"/>
      <c r="P177" s="161" t="str">
        <f t="shared" si="5"/>
        <v/>
      </c>
      <c r="Q177" s="7"/>
    </row>
    <row r="178" spans="1:17">
      <c r="A178" s="31" t="str">
        <f t="shared" si="4"/>
        <v/>
      </c>
      <c r="B178" s="159"/>
      <c r="C178" s="21"/>
      <c r="D178" s="97" t="str">
        <f>IF(C178="","",IFERROR(INDEX(②メンバー!$C$5:$C$104,MATCH(C178,②メンバー!$B$5:$B$104,0)),""))</f>
        <v/>
      </c>
      <c r="E178" s="24"/>
      <c r="F178" s="160"/>
      <c r="G178" s="20"/>
      <c r="H178" s="20"/>
      <c r="I178" s="20"/>
      <c r="J178" s="20"/>
      <c r="K178" s="20"/>
      <c r="L178" s="20"/>
      <c r="M178" s="20"/>
      <c r="N178" s="20"/>
      <c r="O178" s="24"/>
      <c r="P178" s="161" t="str">
        <f t="shared" si="5"/>
        <v/>
      </c>
      <c r="Q178" s="7"/>
    </row>
    <row r="179" spans="1:17">
      <c r="A179" s="31" t="str">
        <f t="shared" si="4"/>
        <v/>
      </c>
      <c r="B179" s="159"/>
      <c r="C179" s="21"/>
      <c r="D179" s="97" t="str">
        <f>IF(C179="","",IFERROR(INDEX(②メンバー!$C$5:$C$104,MATCH(C179,②メンバー!$B$5:$B$104,0)),""))</f>
        <v/>
      </c>
      <c r="E179" s="24"/>
      <c r="F179" s="160"/>
      <c r="G179" s="20"/>
      <c r="H179" s="20"/>
      <c r="I179" s="20"/>
      <c r="J179" s="20"/>
      <c r="K179" s="20"/>
      <c r="L179" s="20"/>
      <c r="M179" s="20"/>
      <c r="N179" s="20"/>
      <c r="O179" s="24"/>
      <c r="P179" s="161" t="str">
        <f t="shared" si="5"/>
        <v/>
      </c>
      <c r="Q179" s="7"/>
    </row>
    <row r="180" spans="1:17">
      <c r="A180" s="31" t="str">
        <f t="shared" si="4"/>
        <v/>
      </c>
      <c r="B180" s="159"/>
      <c r="C180" s="21"/>
      <c r="D180" s="97" t="str">
        <f>IF(C180="","",IFERROR(INDEX(②メンバー!$C$5:$C$104,MATCH(C180,②メンバー!$B$5:$B$104,0)),""))</f>
        <v/>
      </c>
      <c r="E180" s="24"/>
      <c r="F180" s="160"/>
      <c r="G180" s="20"/>
      <c r="H180" s="20"/>
      <c r="I180" s="20"/>
      <c r="J180" s="20"/>
      <c r="K180" s="20"/>
      <c r="L180" s="20"/>
      <c r="M180" s="20"/>
      <c r="N180" s="20"/>
      <c r="O180" s="24"/>
      <c r="P180" s="161" t="str">
        <f t="shared" si="5"/>
        <v/>
      </c>
      <c r="Q180" s="7"/>
    </row>
    <row r="181" spans="1:17">
      <c r="A181" s="31" t="str">
        <f t="shared" si="4"/>
        <v/>
      </c>
      <c r="B181" s="159"/>
      <c r="C181" s="21"/>
      <c r="D181" s="97" t="str">
        <f>IF(C181="","",IFERROR(INDEX(②メンバー!$C$5:$C$104,MATCH(C181,②メンバー!$B$5:$B$104,0)),""))</f>
        <v/>
      </c>
      <c r="E181" s="24"/>
      <c r="F181" s="160"/>
      <c r="G181" s="20"/>
      <c r="H181" s="20"/>
      <c r="I181" s="20"/>
      <c r="J181" s="20"/>
      <c r="K181" s="20"/>
      <c r="L181" s="20"/>
      <c r="M181" s="20"/>
      <c r="N181" s="20"/>
      <c r="O181" s="24"/>
      <c r="P181" s="161" t="str">
        <f t="shared" si="5"/>
        <v/>
      </c>
      <c r="Q181" s="7"/>
    </row>
    <row r="182" spans="1:17">
      <c r="A182" s="31" t="str">
        <f t="shared" si="4"/>
        <v/>
      </c>
      <c r="B182" s="159"/>
      <c r="C182" s="21"/>
      <c r="D182" s="97" t="str">
        <f>IF(C182="","",IFERROR(INDEX(②メンバー!$C$5:$C$104,MATCH(C182,②メンバー!$B$5:$B$104,0)),""))</f>
        <v/>
      </c>
      <c r="E182" s="24"/>
      <c r="F182" s="160"/>
      <c r="G182" s="20"/>
      <c r="H182" s="20"/>
      <c r="I182" s="20"/>
      <c r="J182" s="20"/>
      <c r="K182" s="20"/>
      <c r="L182" s="20"/>
      <c r="M182" s="20"/>
      <c r="N182" s="20"/>
      <c r="O182" s="24"/>
      <c r="P182" s="161" t="str">
        <f t="shared" si="5"/>
        <v/>
      </c>
      <c r="Q182" s="7"/>
    </row>
    <row r="183" spans="1:17">
      <c r="A183" s="31" t="str">
        <f t="shared" si="4"/>
        <v/>
      </c>
      <c r="B183" s="159"/>
      <c r="C183" s="21"/>
      <c r="D183" s="97" t="str">
        <f>IF(C183="","",IFERROR(INDEX(②メンバー!$C$5:$C$104,MATCH(C183,②メンバー!$B$5:$B$104,0)),""))</f>
        <v/>
      </c>
      <c r="E183" s="24"/>
      <c r="F183" s="160"/>
      <c r="G183" s="20"/>
      <c r="H183" s="20"/>
      <c r="I183" s="20"/>
      <c r="J183" s="20"/>
      <c r="K183" s="20"/>
      <c r="L183" s="20"/>
      <c r="M183" s="20"/>
      <c r="N183" s="20"/>
      <c r="O183" s="24"/>
      <c r="P183" s="161" t="str">
        <f t="shared" si="5"/>
        <v/>
      </c>
      <c r="Q183" s="7"/>
    </row>
    <row r="184" spans="1:17">
      <c r="A184" s="31" t="str">
        <f t="shared" si="4"/>
        <v/>
      </c>
      <c r="B184" s="159"/>
      <c r="C184" s="21"/>
      <c r="D184" s="97" t="str">
        <f>IF(C184="","",IFERROR(INDEX(②メンバー!$C$5:$C$104,MATCH(C184,②メンバー!$B$5:$B$104,0)),""))</f>
        <v/>
      </c>
      <c r="E184" s="24"/>
      <c r="F184" s="160"/>
      <c r="G184" s="20"/>
      <c r="H184" s="20"/>
      <c r="I184" s="20"/>
      <c r="J184" s="20"/>
      <c r="K184" s="20"/>
      <c r="L184" s="20"/>
      <c r="M184" s="20"/>
      <c r="N184" s="20"/>
      <c r="O184" s="24"/>
      <c r="P184" s="161" t="str">
        <f t="shared" si="5"/>
        <v/>
      </c>
      <c r="Q184" s="7"/>
    </row>
    <row r="185" spans="1:17">
      <c r="A185" s="31" t="str">
        <f t="shared" si="4"/>
        <v/>
      </c>
      <c r="B185" s="159"/>
      <c r="C185" s="21"/>
      <c r="D185" s="97" t="str">
        <f>IF(C185="","",IFERROR(INDEX(②メンバー!$C$5:$C$104,MATCH(C185,②メンバー!$B$5:$B$104,0)),""))</f>
        <v/>
      </c>
      <c r="E185" s="24"/>
      <c r="F185" s="160"/>
      <c r="G185" s="20"/>
      <c r="H185" s="20"/>
      <c r="I185" s="20"/>
      <c r="J185" s="20"/>
      <c r="K185" s="20"/>
      <c r="L185" s="20"/>
      <c r="M185" s="20"/>
      <c r="N185" s="20"/>
      <c r="O185" s="24"/>
      <c r="P185" s="161" t="str">
        <f t="shared" si="5"/>
        <v/>
      </c>
      <c r="Q185" s="7"/>
    </row>
    <row r="186" spans="1:17">
      <c r="A186" s="31" t="str">
        <f t="shared" si="4"/>
        <v/>
      </c>
      <c r="B186" s="159"/>
      <c r="C186" s="21"/>
      <c r="D186" s="97" t="str">
        <f>IF(C186="","",IFERROR(INDEX(②メンバー!$C$5:$C$104,MATCH(C186,②メンバー!$B$5:$B$104,0)),""))</f>
        <v/>
      </c>
      <c r="E186" s="24"/>
      <c r="F186" s="160"/>
      <c r="G186" s="20"/>
      <c r="H186" s="20"/>
      <c r="I186" s="20"/>
      <c r="J186" s="20"/>
      <c r="K186" s="20"/>
      <c r="L186" s="20"/>
      <c r="M186" s="20"/>
      <c r="N186" s="20"/>
      <c r="O186" s="24"/>
      <c r="P186" s="161" t="str">
        <f t="shared" si="5"/>
        <v/>
      </c>
      <c r="Q186" s="7"/>
    </row>
    <row r="187" spans="1:17">
      <c r="A187" s="31" t="str">
        <f t="shared" si="4"/>
        <v/>
      </c>
      <c r="B187" s="159"/>
      <c r="C187" s="21"/>
      <c r="D187" s="97" t="str">
        <f>IF(C187="","",IFERROR(INDEX(②メンバー!$C$5:$C$104,MATCH(C187,②メンバー!$B$5:$B$104,0)),""))</f>
        <v/>
      </c>
      <c r="E187" s="24"/>
      <c r="F187" s="160"/>
      <c r="G187" s="20"/>
      <c r="H187" s="20"/>
      <c r="I187" s="20"/>
      <c r="J187" s="20"/>
      <c r="K187" s="20"/>
      <c r="L187" s="20"/>
      <c r="M187" s="20"/>
      <c r="N187" s="20"/>
      <c r="O187" s="24"/>
      <c r="P187" s="161" t="str">
        <f t="shared" si="5"/>
        <v/>
      </c>
      <c r="Q187" s="7"/>
    </row>
    <row r="188" spans="1:17">
      <c r="A188" s="31" t="str">
        <f t="shared" si="4"/>
        <v/>
      </c>
      <c r="B188" s="159"/>
      <c r="C188" s="21"/>
      <c r="D188" s="97" t="str">
        <f>IF(C188="","",IFERROR(INDEX(②メンバー!$C$5:$C$104,MATCH(C188,②メンバー!$B$5:$B$104,0)),""))</f>
        <v/>
      </c>
      <c r="E188" s="24"/>
      <c r="F188" s="160"/>
      <c r="G188" s="20"/>
      <c r="H188" s="20"/>
      <c r="I188" s="20"/>
      <c r="J188" s="20"/>
      <c r="K188" s="20"/>
      <c r="L188" s="20"/>
      <c r="M188" s="20"/>
      <c r="N188" s="20"/>
      <c r="O188" s="24"/>
      <c r="P188" s="161" t="str">
        <f t="shared" si="5"/>
        <v/>
      </c>
      <c r="Q188" s="7"/>
    </row>
    <row r="189" spans="1:17">
      <c r="A189" s="31" t="str">
        <f t="shared" si="4"/>
        <v/>
      </c>
      <c r="B189" s="159"/>
      <c r="C189" s="21"/>
      <c r="D189" s="97" t="str">
        <f>IF(C189="","",IFERROR(INDEX(②メンバー!$C$5:$C$104,MATCH(C189,②メンバー!$B$5:$B$104,0)),""))</f>
        <v/>
      </c>
      <c r="E189" s="24"/>
      <c r="F189" s="160"/>
      <c r="G189" s="20"/>
      <c r="H189" s="20"/>
      <c r="I189" s="20"/>
      <c r="J189" s="20"/>
      <c r="K189" s="20"/>
      <c r="L189" s="20"/>
      <c r="M189" s="20"/>
      <c r="N189" s="20"/>
      <c r="O189" s="24"/>
      <c r="P189" s="161" t="str">
        <f t="shared" si="5"/>
        <v/>
      </c>
      <c r="Q189" s="7"/>
    </row>
    <row r="190" spans="1:17">
      <c r="A190" s="31" t="str">
        <f t="shared" si="4"/>
        <v/>
      </c>
      <c r="B190" s="159"/>
      <c r="C190" s="21"/>
      <c r="D190" s="97" t="str">
        <f>IF(C190="","",IFERROR(INDEX(②メンバー!$C$5:$C$104,MATCH(C190,②メンバー!$B$5:$B$104,0)),""))</f>
        <v/>
      </c>
      <c r="E190" s="24"/>
      <c r="F190" s="160"/>
      <c r="G190" s="20"/>
      <c r="H190" s="20"/>
      <c r="I190" s="20"/>
      <c r="J190" s="20"/>
      <c r="K190" s="20"/>
      <c r="L190" s="20"/>
      <c r="M190" s="20"/>
      <c r="N190" s="20"/>
      <c r="O190" s="24"/>
      <c r="P190" s="161" t="str">
        <f t="shared" si="5"/>
        <v/>
      </c>
      <c r="Q190" s="7"/>
    </row>
    <row r="191" spans="1:17">
      <c r="A191" s="31" t="str">
        <f t="shared" si="4"/>
        <v/>
      </c>
      <c r="B191" s="159"/>
      <c r="C191" s="21"/>
      <c r="D191" s="97" t="str">
        <f>IF(C191="","",IFERROR(INDEX(②メンバー!$C$5:$C$104,MATCH(C191,②メンバー!$B$5:$B$104,0)),""))</f>
        <v/>
      </c>
      <c r="E191" s="24"/>
      <c r="F191" s="160"/>
      <c r="G191" s="20"/>
      <c r="H191" s="20"/>
      <c r="I191" s="20"/>
      <c r="J191" s="20"/>
      <c r="K191" s="20"/>
      <c r="L191" s="20"/>
      <c r="M191" s="20"/>
      <c r="N191" s="20"/>
      <c r="O191" s="24"/>
      <c r="P191" s="161" t="str">
        <f t="shared" si="5"/>
        <v/>
      </c>
      <c r="Q191" s="7"/>
    </row>
    <row r="192" spans="1:17">
      <c r="A192" s="31" t="str">
        <f t="shared" si="4"/>
        <v/>
      </c>
      <c r="B192" s="159"/>
      <c r="C192" s="21"/>
      <c r="D192" s="97" t="str">
        <f>IF(C192="","",IFERROR(INDEX(②メンバー!$C$5:$C$104,MATCH(C192,②メンバー!$B$5:$B$104,0)),""))</f>
        <v/>
      </c>
      <c r="E192" s="24"/>
      <c r="F192" s="160"/>
      <c r="G192" s="20"/>
      <c r="H192" s="20"/>
      <c r="I192" s="20"/>
      <c r="J192" s="20"/>
      <c r="K192" s="20"/>
      <c r="L192" s="20"/>
      <c r="M192" s="20"/>
      <c r="N192" s="20"/>
      <c r="O192" s="24"/>
      <c r="P192" s="161" t="str">
        <f t="shared" si="5"/>
        <v/>
      </c>
      <c r="Q192" s="7"/>
    </row>
    <row r="193" spans="1:17">
      <c r="A193" s="31" t="str">
        <f t="shared" si="4"/>
        <v/>
      </c>
      <c r="B193" s="159"/>
      <c r="C193" s="21"/>
      <c r="D193" s="97" t="str">
        <f>IF(C193="","",IFERROR(INDEX(②メンバー!$C$5:$C$104,MATCH(C193,②メンバー!$B$5:$B$104,0)),""))</f>
        <v/>
      </c>
      <c r="E193" s="24"/>
      <c r="F193" s="160"/>
      <c r="G193" s="20"/>
      <c r="H193" s="20"/>
      <c r="I193" s="20"/>
      <c r="J193" s="20"/>
      <c r="K193" s="20"/>
      <c r="L193" s="20"/>
      <c r="M193" s="20"/>
      <c r="N193" s="20"/>
      <c r="O193" s="24"/>
      <c r="P193" s="161" t="str">
        <f t="shared" si="5"/>
        <v/>
      </c>
      <c r="Q193" s="7"/>
    </row>
    <row r="194" spans="1:17">
      <c r="A194" s="31" t="str">
        <f t="shared" si="4"/>
        <v/>
      </c>
      <c r="B194" s="159"/>
      <c r="C194" s="21"/>
      <c r="D194" s="97" t="str">
        <f>IF(C194="","",IFERROR(INDEX(②メンバー!$C$5:$C$104,MATCH(C194,②メンバー!$B$5:$B$104,0)),""))</f>
        <v/>
      </c>
      <c r="E194" s="24"/>
      <c r="F194" s="160"/>
      <c r="G194" s="20"/>
      <c r="H194" s="20"/>
      <c r="I194" s="20"/>
      <c r="J194" s="20"/>
      <c r="K194" s="20"/>
      <c r="L194" s="20"/>
      <c r="M194" s="20"/>
      <c r="N194" s="20"/>
      <c r="O194" s="24"/>
      <c r="P194" s="161" t="str">
        <f t="shared" si="5"/>
        <v/>
      </c>
      <c r="Q194" s="7"/>
    </row>
    <row r="195" spans="1:17">
      <c r="A195" s="31" t="str">
        <f t="shared" si="4"/>
        <v/>
      </c>
      <c r="B195" s="159"/>
      <c r="C195" s="21"/>
      <c r="D195" s="97" t="str">
        <f>IF(C195="","",IFERROR(INDEX(②メンバー!$C$5:$C$104,MATCH(C195,②メンバー!$B$5:$B$104,0)),""))</f>
        <v/>
      </c>
      <c r="E195" s="24"/>
      <c r="F195" s="160"/>
      <c r="G195" s="20"/>
      <c r="H195" s="20"/>
      <c r="I195" s="20"/>
      <c r="J195" s="20"/>
      <c r="K195" s="20"/>
      <c r="L195" s="20"/>
      <c r="M195" s="20"/>
      <c r="N195" s="20"/>
      <c r="O195" s="24"/>
      <c r="P195" s="161" t="str">
        <f t="shared" si="5"/>
        <v/>
      </c>
      <c r="Q195" s="7"/>
    </row>
    <row r="196" spans="1:17">
      <c r="A196" s="31" t="str">
        <f t="shared" si="4"/>
        <v/>
      </c>
      <c r="B196" s="159"/>
      <c r="C196" s="21"/>
      <c r="D196" s="97" t="str">
        <f>IF(C196="","",IFERROR(INDEX(②メンバー!$C$5:$C$104,MATCH(C196,②メンバー!$B$5:$B$104,0)),""))</f>
        <v/>
      </c>
      <c r="E196" s="24"/>
      <c r="F196" s="160"/>
      <c r="G196" s="20"/>
      <c r="H196" s="20"/>
      <c r="I196" s="20"/>
      <c r="J196" s="20"/>
      <c r="K196" s="20"/>
      <c r="L196" s="20"/>
      <c r="M196" s="20"/>
      <c r="N196" s="20"/>
      <c r="O196" s="24"/>
      <c r="P196" s="161" t="str">
        <f t="shared" si="5"/>
        <v/>
      </c>
      <c r="Q196" s="7"/>
    </row>
    <row r="197" spans="1:17">
      <c r="A197" s="31" t="str">
        <f t="shared" si="4"/>
        <v/>
      </c>
      <c r="B197" s="159"/>
      <c r="C197" s="21"/>
      <c r="D197" s="97" t="str">
        <f>IF(C197="","",IFERROR(INDEX(②メンバー!$C$5:$C$104,MATCH(C197,②メンバー!$B$5:$B$104,0)),""))</f>
        <v/>
      </c>
      <c r="E197" s="24"/>
      <c r="F197" s="160"/>
      <c r="G197" s="20"/>
      <c r="H197" s="20"/>
      <c r="I197" s="20"/>
      <c r="J197" s="20"/>
      <c r="K197" s="20"/>
      <c r="L197" s="20"/>
      <c r="M197" s="20"/>
      <c r="N197" s="20"/>
      <c r="O197" s="24"/>
      <c r="P197" s="161" t="str">
        <f t="shared" si="5"/>
        <v/>
      </c>
      <c r="Q197" s="7"/>
    </row>
    <row r="198" spans="1:17">
      <c r="A198" s="31" t="str">
        <f t="shared" ref="A198:A261" si="6">IF(B198="","",ROW()-5)</f>
        <v/>
      </c>
      <c r="B198" s="159"/>
      <c r="C198" s="21"/>
      <c r="D198" s="97" t="str">
        <f>IF(C198="","",IFERROR(INDEX(②メンバー!$C$5:$C$104,MATCH(C198,②メンバー!$B$5:$B$104,0)),""))</f>
        <v/>
      </c>
      <c r="E198" s="24"/>
      <c r="F198" s="160"/>
      <c r="G198" s="20"/>
      <c r="H198" s="20"/>
      <c r="I198" s="20"/>
      <c r="J198" s="20"/>
      <c r="K198" s="20"/>
      <c r="L198" s="20"/>
      <c r="M198" s="20"/>
      <c r="N198" s="20"/>
      <c r="O198" s="24"/>
      <c r="P198" s="161" t="str">
        <f t="shared" ref="P198:P261" si="7">IF(C198="","",IF(COUNTA(F198:O198)=0,IF(E198="出勤","いつもの時間","終日"),TRIM(IF(COUNTIF(F198:O198,"休")&gt;0,"休 "&amp;COUNTIF(F198:O198,"休")&amp;"h ","")&amp;IF(COUNTIF(F198:O198,"出")&gt;0,"出 "&amp;COUNTIF(F198:O198,"出")&amp;"h",""))))</f>
        <v/>
      </c>
      <c r="Q198" s="7"/>
    </row>
    <row r="199" spans="1:17">
      <c r="A199" s="31" t="str">
        <f t="shared" si="6"/>
        <v/>
      </c>
      <c r="B199" s="159"/>
      <c r="C199" s="21"/>
      <c r="D199" s="97" t="str">
        <f>IF(C199="","",IFERROR(INDEX(②メンバー!$C$5:$C$104,MATCH(C199,②メンバー!$B$5:$B$104,0)),""))</f>
        <v/>
      </c>
      <c r="E199" s="24"/>
      <c r="F199" s="160"/>
      <c r="G199" s="20"/>
      <c r="H199" s="20"/>
      <c r="I199" s="20"/>
      <c r="J199" s="20"/>
      <c r="K199" s="20"/>
      <c r="L199" s="20"/>
      <c r="M199" s="20"/>
      <c r="N199" s="20"/>
      <c r="O199" s="24"/>
      <c r="P199" s="161" t="str">
        <f t="shared" si="7"/>
        <v/>
      </c>
      <c r="Q199" s="7"/>
    </row>
    <row r="200" spans="1:17">
      <c r="A200" s="31" t="str">
        <f t="shared" si="6"/>
        <v/>
      </c>
      <c r="B200" s="159"/>
      <c r="C200" s="21"/>
      <c r="D200" s="97" t="str">
        <f>IF(C200="","",IFERROR(INDEX(②メンバー!$C$5:$C$104,MATCH(C200,②メンバー!$B$5:$B$104,0)),""))</f>
        <v/>
      </c>
      <c r="E200" s="24"/>
      <c r="F200" s="160"/>
      <c r="G200" s="20"/>
      <c r="H200" s="20"/>
      <c r="I200" s="20"/>
      <c r="J200" s="20"/>
      <c r="K200" s="20"/>
      <c r="L200" s="20"/>
      <c r="M200" s="20"/>
      <c r="N200" s="20"/>
      <c r="O200" s="24"/>
      <c r="P200" s="161" t="str">
        <f t="shared" si="7"/>
        <v/>
      </c>
      <c r="Q200" s="7"/>
    </row>
    <row r="201" spans="1:17">
      <c r="A201" s="31" t="str">
        <f t="shared" si="6"/>
        <v/>
      </c>
      <c r="B201" s="159"/>
      <c r="C201" s="21"/>
      <c r="D201" s="97" t="str">
        <f>IF(C201="","",IFERROR(INDEX(②メンバー!$C$5:$C$104,MATCH(C201,②メンバー!$B$5:$B$104,0)),""))</f>
        <v/>
      </c>
      <c r="E201" s="24"/>
      <c r="F201" s="160"/>
      <c r="G201" s="20"/>
      <c r="H201" s="20"/>
      <c r="I201" s="20"/>
      <c r="J201" s="20"/>
      <c r="K201" s="20"/>
      <c r="L201" s="20"/>
      <c r="M201" s="20"/>
      <c r="N201" s="20"/>
      <c r="O201" s="24"/>
      <c r="P201" s="161" t="str">
        <f t="shared" si="7"/>
        <v/>
      </c>
      <c r="Q201" s="7"/>
    </row>
    <row r="202" spans="1:17">
      <c r="A202" s="31" t="str">
        <f t="shared" si="6"/>
        <v/>
      </c>
      <c r="B202" s="159"/>
      <c r="C202" s="21"/>
      <c r="D202" s="97" t="str">
        <f>IF(C202="","",IFERROR(INDEX(②メンバー!$C$5:$C$104,MATCH(C202,②メンバー!$B$5:$B$104,0)),""))</f>
        <v/>
      </c>
      <c r="E202" s="24"/>
      <c r="F202" s="160"/>
      <c r="G202" s="20"/>
      <c r="H202" s="20"/>
      <c r="I202" s="20"/>
      <c r="J202" s="20"/>
      <c r="K202" s="20"/>
      <c r="L202" s="20"/>
      <c r="M202" s="20"/>
      <c r="N202" s="20"/>
      <c r="O202" s="24"/>
      <c r="P202" s="161" t="str">
        <f t="shared" si="7"/>
        <v/>
      </c>
      <c r="Q202" s="7"/>
    </row>
    <row r="203" spans="1:17">
      <c r="A203" s="31" t="str">
        <f t="shared" si="6"/>
        <v/>
      </c>
      <c r="B203" s="159"/>
      <c r="C203" s="21"/>
      <c r="D203" s="97" t="str">
        <f>IF(C203="","",IFERROR(INDEX(②メンバー!$C$5:$C$104,MATCH(C203,②メンバー!$B$5:$B$104,0)),""))</f>
        <v/>
      </c>
      <c r="E203" s="24"/>
      <c r="F203" s="160"/>
      <c r="G203" s="20"/>
      <c r="H203" s="20"/>
      <c r="I203" s="20"/>
      <c r="J203" s="20"/>
      <c r="K203" s="20"/>
      <c r="L203" s="20"/>
      <c r="M203" s="20"/>
      <c r="N203" s="20"/>
      <c r="O203" s="24"/>
      <c r="P203" s="161" t="str">
        <f t="shared" si="7"/>
        <v/>
      </c>
      <c r="Q203" s="7"/>
    </row>
    <row r="204" spans="1:17">
      <c r="A204" s="31" t="str">
        <f t="shared" si="6"/>
        <v/>
      </c>
      <c r="B204" s="159"/>
      <c r="C204" s="21"/>
      <c r="D204" s="97" t="str">
        <f>IF(C204="","",IFERROR(INDEX(②メンバー!$C$5:$C$104,MATCH(C204,②メンバー!$B$5:$B$104,0)),""))</f>
        <v/>
      </c>
      <c r="E204" s="24"/>
      <c r="F204" s="160"/>
      <c r="G204" s="20"/>
      <c r="H204" s="20"/>
      <c r="I204" s="20"/>
      <c r="J204" s="20"/>
      <c r="K204" s="20"/>
      <c r="L204" s="20"/>
      <c r="M204" s="20"/>
      <c r="N204" s="20"/>
      <c r="O204" s="24"/>
      <c r="P204" s="161" t="str">
        <f t="shared" si="7"/>
        <v/>
      </c>
      <c r="Q204" s="7"/>
    </row>
    <row r="205" spans="1:17">
      <c r="A205" s="31" t="str">
        <f t="shared" si="6"/>
        <v/>
      </c>
      <c r="B205" s="159"/>
      <c r="C205" s="21"/>
      <c r="D205" s="97" t="str">
        <f>IF(C205="","",IFERROR(INDEX(②メンバー!$C$5:$C$104,MATCH(C205,②メンバー!$B$5:$B$104,0)),""))</f>
        <v/>
      </c>
      <c r="E205" s="24"/>
      <c r="F205" s="160"/>
      <c r="G205" s="20"/>
      <c r="H205" s="20"/>
      <c r="I205" s="20"/>
      <c r="J205" s="20"/>
      <c r="K205" s="20"/>
      <c r="L205" s="20"/>
      <c r="M205" s="20"/>
      <c r="N205" s="20"/>
      <c r="O205" s="24"/>
      <c r="P205" s="161" t="str">
        <f t="shared" si="7"/>
        <v/>
      </c>
      <c r="Q205" s="7"/>
    </row>
    <row r="206" spans="1:17">
      <c r="A206" s="31" t="str">
        <f t="shared" si="6"/>
        <v/>
      </c>
      <c r="B206" s="159"/>
      <c r="C206" s="21"/>
      <c r="D206" s="97" t="str">
        <f>IF(C206="","",IFERROR(INDEX(②メンバー!$C$5:$C$104,MATCH(C206,②メンバー!$B$5:$B$104,0)),""))</f>
        <v/>
      </c>
      <c r="E206" s="24"/>
      <c r="F206" s="160"/>
      <c r="G206" s="20"/>
      <c r="H206" s="20"/>
      <c r="I206" s="20"/>
      <c r="J206" s="20"/>
      <c r="K206" s="20"/>
      <c r="L206" s="20"/>
      <c r="M206" s="20"/>
      <c r="N206" s="20"/>
      <c r="O206" s="24"/>
      <c r="P206" s="161" t="str">
        <f t="shared" si="7"/>
        <v/>
      </c>
      <c r="Q206" s="7"/>
    </row>
    <row r="207" spans="1:17">
      <c r="A207" s="31" t="str">
        <f t="shared" si="6"/>
        <v/>
      </c>
      <c r="B207" s="159"/>
      <c r="C207" s="21"/>
      <c r="D207" s="97" t="str">
        <f>IF(C207="","",IFERROR(INDEX(②メンバー!$C$5:$C$104,MATCH(C207,②メンバー!$B$5:$B$104,0)),""))</f>
        <v/>
      </c>
      <c r="E207" s="24"/>
      <c r="F207" s="160"/>
      <c r="G207" s="20"/>
      <c r="H207" s="20"/>
      <c r="I207" s="20"/>
      <c r="J207" s="20"/>
      <c r="K207" s="20"/>
      <c r="L207" s="20"/>
      <c r="M207" s="20"/>
      <c r="N207" s="20"/>
      <c r="O207" s="24"/>
      <c r="P207" s="161" t="str">
        <f t="shared" si="7"/>
        <v/>
      </c>
      <c r="Q207" s="7"/>
    </row>
    <row r="208" spans="1:17">
      <c r="A208" s="31" t="str">
        <f t="shared" si="6"/>
        <v/>
      </c>
      <c r="B208" s="159"/>
      <c r="C208" s="21"/>
      <c r="D208" s="97" t="str">
        <f>IF(C208="","",IFERROR(INDEX(②メンバー!$C$5:$C$104,MATCH(C208,②メンバー!$B$5:$B$104,0)),""))</f>
        <v/>
      </c>
      <c r="E208" s="24"/>
      <c r="F208" s="160"/>
      <c r="G208" s="20"/>
      <c r="H208" s="20"/>
      <c r="I208" s="20"/>
      <c r="J208" s="20"/>
      <c r="K208" s="20"/>
      <c r="L208" s="20"/>
      <c r="M208" s="20"/>
      <c r="N208" s="20"/>
      <c r="O208" s="24"/>
      <c r="P208" s="161" t="str">
        <f t="shared" si="7"/>
        <v/>
      </c>
      <c r="Q208" s="7"/>
    </row>
    <row r="209" spans="1:17">
      <c r="A209" s="31" t="str">
        <f t="shared" si="6"/>
        <v/>
      </c>
      <c r="B209" s="159"/>
      <c r="C209" s="21"/>
      <c r="D209" s="97" t="str">
        <f>IF(C209="","",IFERROR(INDEX(②メンバー!$C$5:$C$104,MATCH(C209,②メンバー!$B$5:$B$104,0)),""))</f>
        <v/>
      </c>
      <c r="E209" s="24"/>
      <c r="F209" s="160"/>
      <c r="G209" s="20"/>
      <c r="H209" s="20"/>
      <c r="I209" s="20"/>
      <c r="J209" s="20"/>
      <c r="K209" s="20"/>
      <c r="L209" s="20"/>
      <c r="M209" s="20"/>
      <c r="N209" s="20"/>
      <c r="O209" s="24"/>
      <c r="P209" s="161" t="str">
        <f t="shared" si="7"/>
        <v/>
      </c>
      <c r="Q209" s="7"/>
    </row>
    <row r="210" spans="1:17">
      <c r="A210" s="31" t="str">
        <f t="shared" si="6"/>
        <v/>
      </c>
      <c r="B210" s="159"/>
      <c r="C210" s="21"/>
      <c r="D210" s="97" t="str">
        <f>IF(C210="","",IFERROR(INDEX(②メンバー!$C$5:$C$104,MATCH(C210,②メンバー!$B$5:$B$104,0)),""))</f>
        <v/>
      </c>
      <c r="E210" s="24"/>
      <c r="F210" s="160"/>
      <c r="G210" s="20"/>
      <c r="H210" s="20"/>
      <c r="I210" s="20"/>
      <c r="J210" s="20"/>
      <c r="K210" s="20"/>
      <c r="L210" s="20"/>
      <c r="M210" s="20"/>
      <c r="N210" s="20"/>
      <c r="O210" s="24"/>
      <c r="P210" s="161" t="str">
        <f t="shared" si="7"/>
        <v/>
      </c>
      <c r="Q210" s="7"/>
    </row>
    <row r="211" spans="1:17">
      <c r="A211" s="31" t="str">
        <f t="shared" si="6"/>
        <v/>
      </c>
      <c r="B211" s="159"/>
      <c r="C211" s="21"/>
      <c r="D211" s="97" t="str">
        <f>IF(C211="","",IFERROR(INDEX(②メンバー!$C$5:$C$104,MATCH(C211,②メンバー!$B$5:$B$104,0)),""))</f>
        <v/>
      </c>
      <c r="E211" s="24"/>
      <c r="F211" s="160"/>
      <c r="G211" s="20"/>
      <c r="H211" s="20"/>
      <c r="I211" s="20"/>
      <c r="J211" s="20"/>
      <c r="K211" s="20"/>
      <c r="L211" s="20"/>
      <c r="M211" s="20"/>
      <c r="N211" s="20"/>
      <c r="O211" s="24"/>
      <c r="P211" s="161" t="str">
        <f t="shared" si="7"/>
        <v/>
      </c>
      <c r="Q211" s="7"/>
    </row>
    <row r="212" spans="1:17">
      <c r="A212" s="31" t="str">
        <f t="shared" si="6"/>
        <v/>
      </c>
      <c r="B212" s="159"/>
      <c r="C212" s="21"/>
      <c r="D212" s="97" t="str">
        <f>IF(C212="","",IFERROR(INDEX(②メンバー!$C$5:$C$104,MATCH(C212,②メンバー!$B$5:$B$104,0)),""))</f>
        <v/>
      </c>
      <c r="E212" s="24"/>
      <c r="F212" s="160"/>
      <c r="G212" s="20"/>
      <c r="H212" s="20"/>
      <c r="I212" s="20"/>
      <c r="J212" s="20"/>
      <c r="K212" s="20"/>
      <c r="L212" s="20"/>
      <c r="M212" s="20"/>
      <c r="N212" s="20"/>
      <c r="O212" s="24"/>
      <c r="P212" s="161" t="str">
        <f t="shared" si="7"/>
        <v/>
      </c>
      <c r="Q212" s="7"/>
    </row>
    <row r="213" spans="1:17">
      <c r="A213" s="31" t="str">
        <f t="shared" si="6"/>
        <v/>
      </c>
      <c r="B213" s="159"/>
      <c r="C213" s="21"/>
      <c r="D213" s="97" t="str">
        <f>IF(C213="","",IFERROR(INDEX(②メンバー!$C$5:$C$104,MATCH(C213,②メンバー!$B$5:$B$104,0)),""))</f>
        <v/>
      </c>
      <c r="E213" s="24"/>
      <c r="F213" s="160"/>
      <c r="G213" s="20"/>
      <c r="H213" s="20"/>
      <c r="I213" s="20"/>
      <c r="J213" s="20"/>
      <c r="K213" s="20"/>
      <c r="L213" s="20"/>
      <c r="M213" s="20"/>
      <c r="N213" s="20"/>
      <c r="O213" s="24"/>
      <c r="P213" s="161" t="str">
        <f t="shared" si="7"/>
        <v/>
      </c>
      <c r="Q213" s="7"/>
    </row>
    <row r="214" spans="1:17">
      <c r="A214" s="31" t="str">
        <f t="shared" si="6"/>
        <v/>
      </c>
      <c r="B214" s="159"/>
      <c r="C214" s="21"/>
      <c r="D214" s="97" t="str">
        <f>IF(C214="","",IFERROR(INDEX(②メンバー!$C$5:$C$104,MATCH(C214,②メンバー!$B$5:$B$104,0)),""))</f>
        <v/>
      </c>
      <c r="E214" s="24"/>
      <c r="F214" s="160"/>
      <c r="G214" s="20"/>
      <c r="H214" s="20"/>
      <c r="I214" s="20"/>
      <c r="J214" s="20"/>
      <c r="K214" s="20"/>
      <c r="L214" s="20"/>
      <c r="M214" s="20"/>
      <c r="N214" s="20"/>
      <c r="O214" s="24"/>
      <c r="P214" s="161" t="str">
        <f t="shared" si="7"/>
        <v/>
      </c>
      <c r="Q214" s="7"/>
    </row>
    <row r="215" spans="1:17">
      <c r="A215" s="31" t="str">
        <f t="shared" si="6"/>
        <v/>
      </c>
      <c r="B215" s="159"/>
      <c r="C215" s="21"/>
      <c r="D215" s="97" t="str">
        <f>IF(C215="","",IFERROR(INDEX(②メンバー!$C$5:$C$104,MATCH(C215,②メンバー!$B$5:$B$104,0)),""))</f>
        <v/>
      </c>
      <c r="E215" s="24"/>
      <c r="F215" s="160"/>
      <c r="G215" s="20"/>
      <c r="H215" s="20"/>
      <c r="I215" s="20"/>
      <c r="J215" s="20"/>
      <c r="K215" s="20"/>
      <c r="L215" s="20"/>
      <c r="M215" s="20"/>
      <c r="N215" s="20"/>
      <c r="O215" s="24"/>
      <c r="P215" s="161" t="str">
        <f t="shared" si="7"/>
        <v/>
      </c>
      <c r="Q215" s="7"/>
    </row>
    <row r="216" spans="1:17">
      <c r="A216" s="31" t="str">
        <f t="shared" si="6"/>
        <v/>
      </c>
      <c r="B216" s="159"/>
      <c r="C216" s="21"/>
      <c r="D216" s="97" t="str">
        <f>IF(C216="","",IFERROR(INDEX(②メンバー!$C$5:$C$104,MATCH(C216,②メンバー!$B$5:$B$104,0)),""))</f>
        <v/>
      </c>
      <c r="E216" s="24"/>
      <c r="F216" s="160"/>
      <c r="G216" s="20"/>
      <c r="H216" s="20"/>
      <c r="I216" s="20"/>
      <c r="J216" s="20"/>
      <c r="K216" s="20"/>
      <c r="L216" s="20"/>
      <c r="M216" s="20"/>
      <c r="N216" s="20"/>
      <c r="O216" s="24"/>
      <c r="P216" s="161" t="str">
        <f t="shared" si="7"/>
        <v/>
      </c>
      <c r="Q216" s="7"/>
    </row>
    <row r="217" spans="1:17">
      <c r="A217" s="31" t="str">
        <f t="shared" si="6"/>
        <v/>
      </c>
      <c r="B217" s="159"/>
      <c r="C217" s="21"/>
      <c r="D217" s="97" t="str">
        <f>IF(C217="","",IFERROR(INDEX(②メンバー!$C$5:$C$104,MATCH(C217,②メンバー!$B$5:$B$104,0)),""))</f>
        <v/>
      </c>
      <c r="E217" s="24"/>
      <c r="F217" s="160"/>
      <c r="G217" s="20"/>
      <c r="H217" s="20"/>
      <c r="I217" s="20"/>
      <c r="J217" s="20"/>
      <c r="K217" s="20"/>
      <c r="L217" s="20"/>
      <c r="M217" s="20"/>
      <c r="N217" s="20"/>
      <c r="O217" s="24"/>
      <c r="P217" s="161" t="str">
        <f t="shared" si="7"/>
        <v/>
      </c>
      <c r="Q217" s="7"/>
    </row>
    <row r="218" spans="1:17">
      <c r="A218" s="31" t="str">
        <f t="shared" si="6"/>
        <v/>
      </c>
      <c r="B218" s="159"/>
      <c r="C218" s="21"/>
      <c r="D218" s="97" t="str">
        <f>IF(C218="","",IFERROR(INDEX(②メンバー!$C$5:$C$104,MATCH(C218,②メンバー!$B$5:$B$104,0)),""))</f>
        <v/>
      </c>
      <c r="E218" s="24"/>
      <c r="F218" s="160"/>
      <c r="G218" s="20"/>
      <c r="H218" s="20"/>
      <c r="I218" s="20"/>
      <c r="J218" s="20"/>
      <c r="K218" s="20"/>
      <c r="L218" s="20"/>
      <c r="M218" s="20"/>
      <c r="N218" s="20"/>
      <c r="O218" s="24"/>
      <c r="P218" s="161" t="str">
        <f t="shared" si="7"/>
        <v/>
      </c>
      <c r="Q218" s="7"/>
    </row>
    <row r="219" spans="1:17">
      <c r="A219" s="31" t="str">
        <f t="shared" si="6"/>
        <v/>
      </c>
      <c r="B219" s="159"/>
      <c r="C219" s="21"/>
      <c r="D219" s="97" t="str">
        <f>IF(C219="","",IFERROR(INDEX(②メンバー!$C$5:$C$104,MATCH(C219,②メンバー!$B$5:$B$104,0)),""))</f>
        <v/>
      </c>
      <c r="E219" s="24"/>
      <c r="F219" s="160"/>
      <c r="G219" s="20"/>
      <c r="H219" s="20"/>
      <c r="I219" s="20"/>
      <c r="J219" s="20"/>
      <c r="K219" s="20"/>
      <c r="L219" s="20"/>
      <c r="M219" s="20"/>
      <c r="N219" s="20"/>
      <c r="O219" s="24"/>
      <c r="P219" s="161" t="str">
        <f t="shared" si="7"/>
        <v/>
      </c>
      <c r="Q219" s="7"/>
    </row>
    <row r="220" spans="1:17">
      <c r="A220" s="31" t="str">
        <f t="shared" si="6"/>
        <v/>
      </c>
      <c r="B220" s="159"/>
      <c r="C220" s="21"/>
      <c r="D220" s="97" t="str">
        <f>IF(C220="","",IFERROR(INDEX(②メンバー!$C$5:$C$104,MATCH(C220,②メンバー!$B$5:$B$104,0)),""))</f>
        <v/>
      </c>
      <c r="E220" s="24"/>
      <c r="F220" s="160"/>
      <c r="G220" s="20"/>
      <c r="H220" s="20"/>
      <c r="I220" s="20"/>
      <c r="J220" s="20"/>
      <c r="K220" s="20"/>
      <c r="L220" s="20"/>
      <c r="M220" s="20"/>
      <c r="N220" s="20"/>
      <c r="O220" s="24"/>
      <c r="P220" s="161" t="str">
        <f t="shared" si="7"/>
        <v/>
      </c>
      <c r="Q220" s="7"/>
    </row>
    <row r="221" spans="1:17">
      <c r="A221" s="31" t="str">
        <f t="shared" si="6"/>
        <v/>
      </c>
      <c r="B221" s="159"/>
      <c r="C221" s="21"/>
      <c r="D221" s="97" t="str">
        <f>IF(C221="","",IFERROR(INDEX(②メンバー!$C$5:$C$104,MATCH(C221,②メンバー!$B$5:$B$104,0)),""))</f>
        <v/>
      </c>
      <c r="E221" s="24"/>
      <c r="F221" s="160"/>
      <c r="G221" s="20"/>
      <c r="H221" s="20"/>
      <c r="I221" s="20"/>
      <c r="J221" s="20"/>
      <c r="K221" s="20"/>
      <c r="L221" s="20"/>
      <c r="M221" s="20"/>
      <c r="N221" s="20"/>
      <c r="O221" s="24"/>
      <c r="P221" s="161" t="str">
        <f t="shared" si="7"/>
        <v/>
      </c>
      <c r="Q221" s="7"/>
    </row>
    <row r="222" spans="1:17">
      <c r="A222" s="31" t="str">
        <f t="shared" si="6"/>
        <v/>
      </c>
      <c r="B222" s="159"/>
      <c r="C222" s="21"/>
      <c r="D222" s="97" t="str">
        <f>IF(C222="","",IFERROR(INDEX(②メンバー!$C$5:$C$104,MATCH(C222,②メンバー!$B$5:$B$104,0)),""))</f>
        <v/>
      </c>
      <c r="E222" s="24"/>
      <c r="F222" s="160"/>
      <c r="G222" s="20"/>
      <c r="H222" s="20"/>
      <c r="I222" s="20"/>
      <c r="J222" s="20"/>
      <c r="K222" s="20"/>
      <c r="L222" s="20"/>
      <c r="M222" s="20"/>
      <c r="N222" s="20"/>
      <c r="O222" s="24"/>
      <c r="P222" s="161" t="str">
        <f t="shared" si="7"/>
        <v/>
      </c>
      <c r="Q222" s="7"/>
    </row>
    <row r="223" spans="1:17">
      <c r="A223" s="31" t="str">
        <f t="shared" si="6"/>
        <v/>
      </c>
      <c r="B223" s="159"/>
      <c r="C223" s="21"/>
      <c r="D223" s="97" t="str">
        <f>IF(C223="","",IFERROR(INDEX(②メンバー!$C$5:$C$104,MATCH(C223,②メンバー!$B$5:$B$104,0)),""))</f>
        <v/>
      </c>
      <c r="E223" s="24"/>
      <c r="F223" s="160"/>
      <c r="G223" s="20"/>
      <c r="H223" s="20"/>
      <c r="I223" s="20"/>
      <c r="J223" s="20"/>
      <c r="K223" s="20"/>
      <c r="L223" s="20"/>
      <c r="M223" s="20"/>
      <c r="N223" s="20"/>
      <c r="O223" s="24"/>
      <c r="P223" s="161" t="str">
        <f t="shared" si="7"/>
        <v/>
      </c>
      <c r="Q223" s="7"/>
    </row>
    <row r="224" spans="1:17">
      <c r="A224" s="31" t="str">
        <f t="shared" si="6"/>
        <v/>
      </c>
      <c r="B224" s="159"/>
      <c r="C224" s="21"/>
      <c r="D224" s="97" t="str">
        <f>IF(C224="","",IFERROR(INDEX(②メンバー!$C$5:$C$104,MATCH(C224,②メンバー!$B$5:$B$104,0)),""))</f>
        <v/>
      </c>
      <c r="E224" s="24"/>
      <c r="F224" s="160"/>
      <c r="G224" s="20"/>
      <c r="H224" s="20"/>
      <c r="I224" s="20"/>
      <c r="J224" s="20"/>
      <c r="K224" s="20"/>
      <c r="L224" s="20"/>
      <c r="M224" s="20"/>
      <c r="N224" s="20"/>
      <c r="O224" s="24"/>
      <c r="P224" s="161" t="str">
        <f t="shared" si="7"/>
        <v/>
      </c>
      <c r="Q224" s="7"/>
    </row>
    <row r="225" spans="1:17">
      <c r="A225" s="31" t="str">
        <f t="shared" si="6"/>
        <v/>
      </c>
      <c r="B225" s="159"/>
      <c r="C225" s="21"/>
      <c r="D225" s="97" t="str">
        <f>IF(C225="","",IFERROR(INDEX(②メンバー!$C$5:$C$104,MATCH(C225,②メンバー!$B$5:$B$104,0)),""))</f>
        <v/>
      </c>
      <c r="E225" s="24"/>
      <c r="F225" s="160"/>
      <c r="G225" s="20"/>
      <c r="H225" s="20"/>
      <c r="I225" s="20"/>
      <c r="J225" s="20"/>
      <c r="K225" s="20"/>
      <c r="L225" s="20"/>
      <c r="M225" s="20"/>
      <c r="N225" s="20"/>
      <c r="O225" s="24"/>
      <c r="P225" s="161" t="str">
        <f t="shared" si="7"/>
        <v/>
      </c>
      <c r="Q225" s="7"/>
    </row>
    <row r="226" spans="1:17">
      <c r="A226" s="31" t="str">
        <f t="shared" si="6"/>
        <v/>
      </c>
      <c r="B226" s="159"/>
      <c r="C226" s="21"/>
      <c r="D226" s="97" t="str">
        <f>IF(C226="","",IFERROR(INDEX(②メンバー!$C$5:$C$104,MATCH(C226,②メンバー!$B$5:$B$104,0)),""))</f>
        <v/>
      </c>
      <c r="E226" s="24"/>
      <c r="F226" s="160"/>
      <c r="G226" s="20"/>
      <c r="H226" s="20"/>
      <c r="I226" s="20"/>
      <c r="J226" s="20"/>
      <c r="K226" s="20"/>
      <c r="L226" s="20"/>
      <c r="M226" s="20"/>
      <c r="N226" s="20"/>
      <c r="O226" s="24"/>
      <c r="P226" s="161" t="str">
        <f t="shared" si="7"/>
        <v/>
      </c>
      <c r="Q226" s="7"/>
    </row>
    <row r="227" spans="1:17">
      <c r="A227" s="31" t="str">
        <f t="shared" si="6"/>
        <v/>
      </c>
      <c r="B227" s="159"/>
      <c r="C227" s="21"/>
      <c r="D227" s="97" t="str">
        <f>IF(C227="","",IFERROR(INDEX(②メンバー!$C$5:$C$104,MATCH(C227,②メンバー!$B$5:$B$104,0)),""))</f>
        <v/>
      </c>
      <c r="E227" s="24"/>
      <c r="F227" s="160"/>
      <c r="G227" s="20"/>
      <c r="H227" s="20"/>
      <c r="I227" s="20"/>
      <c r="J227" s="20"/>
      <c r="K227" s="20"/>
      <c r="L227" s="20"/>
      <c r="M227" s="20"/>
      <c r="N227" s="20"/>
      <c r="O227" s="24"/>
      <c r="P227" s="161" t="str">
        <f t="shared" si="7"/>
        <v/>
      </c>
      <c r="Q227" s="7"/>
    </row>
    <row r="228" spans="1:17">
      <c r="A228" s="31" t="str">
        <f t="shared" si="6"/>
        <v/>
      </c>
      <c r="B228" s="159"/>
      <c r="C228" s="21"/>
      <c r="D228" s="97" t="str">
        <f>IF(C228="","",IFERROR(INDEX(②メンバー!$C$5:$C$104,MATCH(C228,②メンバー!$B$5:$B$104,0)),""))</f>
        <v/>
      </c>
      <c r="E228" s="24"/>
      <c r="F228" s="160"/>
      <c r="G228" s="20"/>
      <c r="H228" s="20"/>
      <c r="I228" s="20"/>
      <c r="J228" s="20"/>
      <c r="K228" s="20"/>
      <c r="L228" s="20"/>
      <c r="M228" s="20"/>
      <c r="N228" s="20"/>
      <c r="O228" s="24"/>
      <c r="P228" s="161" t="str">
        <f t="shared" si="7"/>
        <v/>
      </c>
      <c r="Q228" s="7"/>
    </row>
    <row r="229" spans="1:17">
      <c r="A229" s="31" t="str">
        <f t="shared" si="6"/>
        <v/>
      </c>
      <c r="B229" s="159"/>
      <c r="C229" s="21"/>
      <c r="D229" s="97" t="str">
        <f>IF(C229="","",IFERROR(INDEX(②メンバー!$C$5:$C$104,MATCH(C229,②メンバー!$B$5:$B$104,0)),""))</f>
        <v/>
      </c>
      <c r="E229" s="24"/>
      <c r="F229" s="160"/>
      <c r="G229" s="20"/>
      <c r="H229" s="20"/>
      <c r="I229" s="20"/>
      <c r="J229" s="20"/>
      <c r="K229" s="20"/>
      <c r="L229" s="20"/>
      <c r="M229" s="20"/>
      <c r="N229" s="20"/>
      <c r="O229" s="24"/>
      <c r="P229" s="161" t="str">
        <f t="shared" si="7"/>
        <v/>
      </c>
      <c r="Q229" s="7"/>
    </row>
    <row r="230" spans="1:17">
      <c r="A230" s="31" t="str">
        <f t="shared" si="6"/>
        <v/>
      </c>
      <c r="B230" s="159"/>
      <c r="C230" s="21"/>
      <c r="D230" s="97" t="str">
        <f>IF(C230="","",IFERROR(INDEX(②メンバー!$C$5:$C$104,MATCH(C230,②メンバー!$B$5:$B$104,0)),""))</f>
        <v/>
      </c>
      <c r="E230" s="24"/>
      <c r="F230" s="160"/>
      <c r="G230" s="20"/>
      <c r="H230" s="20"/>
      <c r="I230" s="20"/>
      <c r="J230" s="20"/>
      <c r="K230" s="20"/>
      <c r="L230" s="20"/>
      <c r="M230" s="20"/>
      <c r="N230" s="20"/>
      <c r="O230" s="24"/>
      <c r="P230" s="161" t="str">
        <f t="shared" si="7"/>
        <v/>
      </c>
      <c r="Q230" s="7"/>
    </row>
    <row r="231" spans="1:17">
      <c r="A231" s="31" t="str">
        <f t="shared" si="6"/>
        <v/>
      </c>
      <c r="B231" s="159"/>
      <c r="C231" s="21"/>
      <c r="D231" s="97" t="str">
        <f>IF(C231="","",IFERROR(INDEX(②メンバー!$C$5:$C$104,MATCH(C231,②メンバー!$B$5:$B$104,0)),""))</f>
        <v/>
      </c>
      <c r="E231" s="24"/>
      <c r="F231" s="160"/>
      <c r="G231" s="20"/>
      <c r="H231" s="20"/>
      <c r="I231" s="20"/>
      <c r="J231" s="20"/>
      <c r="K231" s="20"/>
      <c r="L231" s="20"/>
      <c r="M231" s="20"/>
      <c r="N231" s="20"/>
      <c r="O231" s="24"/>
      <c r="P231" s="161" t="str">
        <f t="shared" si="7"/>
        <v/>
      </c>
      <c r="Q231" s="7"/>
    </row>
    <row r="232" spans="1:17">
      <c r="A232" s="31" t="str">
        <f t="shared" si="6"/>
        <v/>
      </c>
      <c r="B232" s="159"/>
      <c r="C232" s="21"/>
      <c r="D232" s="97" t="str">
        <f>IF(C232="","",IFERROR(INDEX(②メンバー!$C$5:$C$104,MATCH(C232,②メンバー!$B$5:$B$104,0)),""))</f>
        <v/>
      </c>
      <c r="E232" s="24"/>
      <c r="F232" s="160"/>
      <c r="G232" s="20"/>
      <c r="H232" s="20"/>
      <c r="I232" s="20"/>
      <c r="J232" s="20"/>
      <c r="K232" s="20"/>
      <c r="L232" s="20"/>
      <c r="M232" s="20"/>
      <c r="N232" s="20"/>
      <c r="O232" s="24"/>
      <c r="P232" s="161" t="str">
        <f t="shared" si="7"/>
        <v/>
      </c>
      <c r="Q232" s="7"/>
    </row>
    <row r="233" spans="1:17">
      <c r="A233" s="31" t="str">
        <f t="shared" si="6"/>
        <v/>
      </c>
      <c r="B233" s="159"/>
      <c r="C233" s="21"/>
      <c r="D233" s="97" t="str">
        <f>IF(C233="","",IFERROR(INDEX(②メンバー!$C$5:$C$104,MATCH(C233,②メンバー!$B$5:$B$104,0)),""))</f>
        <v/>
      </c>
      <c r="E233" s="24"/>
      <c r="F233" s="160"/>
      <c r="G233" s="20"/>
      <c r="H233" s="20"/>
      <c r="I233" s="20"/>
      <c r="J233" s="20"/>
      <c r="K233" s="20"/>
      <c r="L233" s="20"/>
      <c r="M233" s="20"/>
      <c r="N233" s="20"/>
      <c r="O233" s="24"/>
      <c r="P233" s="161" t="str">
        <f t="shared" si="7"/>
        <v/>
      </c>
      <c r="Q233" s="7"/>
    </row>
    <row r="234" spans="1:17">
      <c r="A234" s="31" t="str">
        <f t="shared" si="6"/>
        <v/>
      </c>
      <c r="B234" s="159"/>
      <c r="C234" s="21"/>
      <c r="D234" s="97" t="str">
        <f>IF(C234="","",IFERROR(INDEX(②メンバー!$C$5:$C$104,MATCH(C234,②メンバー!$B$5:$B$104,0)),""))</f>
        <v/>
      </c>
      <c r="E234" s="24"/>
      <c r="F234" s="160"/>
      <c r="G234" s="20"/>
      <c r="H234" s="20"/>
      <c r="I234" s="20"/>
      <c r="J234" s="20"/>
      <c r="K234" s="20"/>
      <c r="L234" s="20"/>
      <c r="M234" s="20"/>
      <c r="N234" s="20"/>
      <c r="O234" s="24"/>
      <c r="P234" s="161" t="str">
        <f t="shared" si="7"/>
        <v/>
      </c>
      <c r="Q234" s="7"/>
    </row>
    <row r="235" spans="1:17">
      <c r="A235" s="31" t="str">
        <f t="shared" si="6"/>
        <v/>
      </c>
      <c r="B235" s="159"/>
      <c r="C235" s="21"/>
      <c r="D235" s="97" t="str">
        <f>IF(C235="","",IFERROR(INDEX(②メンバー!$C$5:$C$104,MATCH(C235,②メンバー!$B$5:$B$104,0)),""))</f>
        <v/>
      </c>
      <c r="E235" s="24"/>
      <c r="F235" s="160"/>
      <c r="G235" s="20"/>
      <c r="H235" s="20"/>
      <c r="I235" s="20"/>
      <c r="J235" s="20"/>
      <c r="K235" s="20"/>
      <c r="L235" s="20"/>
      <c r="M235" s="20"/>
      <c r="N235" s="20"/>
      <c r="O235" s="24"/>
      <c r="P235" s="161" t="str">
        <f t="shared" si="7"/>
        <v/>
      </c>
      <c r="Q235" s="7"/>
    </row>
    <row r="236" spans="1:17">
      <c r="A236" s="31" t="str">
        <f t="shared" si="6"/>
        <v/>
      </c>
      <c r="B236" s="159"/>
      <c r="C236" s="21"/>
      <c r="D236" s="97" t="str">
        <f>IF(C236="","",IFERROR(INDEX(②メンバー!$C$5:$C$104,MATCH(C236,②メンバー!$B$5:$B$104,0)),""))</f>
        <v/>
      </c>
      <c r="E236" s="24"/>
      <c r="F236" s="160"/>
      <c r="G236" s="20"/>
      <c r="H236" s="20"/>
      <c r="I236" s="20"/>
      <c r="J236" s="20"/>
      <c r="K236" s="20"/>
      <c r="L236" s="20"/>
      <c r="M236" s="20"/>
      <c r="N236" s="20"/>
      <c r="O236" s="24"/>
      <c r="P236" s="161" t="str">
        <f t="shared" si="7"/>
        <v/>
      </c>
      <c r="Q236" s="7"/>
    </row>
    <row r="237" spans="1:17">
      <c r="A237" s="31" t="str">
        <f t="shared" si="6"/>
        <v/>
      </c>
      <c r="B237" s="159"/>
      <c r="C237" s="21"/>
      <c r="D237" s="97" t="str">
        <f>IF(C237="","",IFERROR(INDEX(②メンバー!$C$5:$C$104,MATCH(C237,②メンバー!$B$5:$B$104,0)),""))</f>
        <v/>
      </c>
      <c r="E237" s="24"/>
      <c r="F237" s="160"/>
      <c r="G237" s="20"/>
      <c r="H237" s="20"/>
      <c r="I237" s="20"/>
      <c r="J237" s="20"/>
      <c r="K237" s="20"/>
      <c r="L237" s="20"/>
      <c r="M237" s="20"/>
      <c r="N237" s="20"/>
      <c r="O237" s="24"/>
      <c r="P237" s="161" t="str">
        <f t="shared" si="7"/>
        <v/>
      </c>
      <c r="Q237" s="7"/>
    </row>
    <row r="238" spans="1:17">
      <c r="A238" s="31" t="str">
        <f t="shared" si="6"/>
        <v/>
      </c>
      <c r="B238" s="159"/>
      <c r="C238" s="21"/>
      <c r="D238" s="97" t="str">
        <f>IF(C238="","",IFERROR(INDEX(②メンバー!$C$5:$C$104,MATCH(C238,②メンバー!$B$5:$B$104,0)),""))</f>
        <v/>
      </c>
      <c r="E238" s="24"/>
      <c r="F238" s="160"/>
      <c r="G238" s="20"/>
      <c r="H238" s="20"/>
      <c r="I238" s="20"/>
      <c r="J238" s="20"/>
      <c r="K238" s="20"/>
      <c r="L238" s="20"/>
      <c r="M238" s="20"/>
      <c r="N238" s="20"/>
      <c r="O238" s="24"/>
      <c r="P238" s="161" t="str">
        <f t="shared" si="7"/>
        <v/>
      </c>
      <c r="Q238" s="7"/>
    </row>
    <row r="239" spans="1:17">
      <c r="A239" s="31" t="str">
        <f t="shared" si="6"/>
        <v/>
      </c>
      <c r="B239" s="159"/>
      <c r="C239" s="21"/>
      <c r="D239" s="97" t="str">
        <f>IF(C239="","",IFERROR(INDEX(②メンバー!$C$5:$C$104,MATCH(C239,②メンバー!$B$5:$B$104,0)),""))</f>
        <v/>
      </c>
      <c r="E239" s="24"/>
      <c r="F239" s="160"/>
      <c r="G239" s="20"/>
      <c r="H239" s="20"/>
      <c r="I239" s="20"/>
      <c r="J239" s="20"/>
      <c r="K239" s="20"/>
      <c r="L239" s="20"/>
      <c r="M239" s="20"/>
      <c r="N239" s="20"/>
      <c r="O239" s="24"/>
      <c r="P239" s="161" t="str">
        <f t="shared" si="7"/>
        <v/>
      </c>
      <c r="Q239" s="7"/>
    </row>
    <row r="240" spans="1:17">
      <c r="A240" s="31" t="str">
        <f t="shared" si="6"/>
        <v/>
      </c>
      <c r="B240" s="159"/>
      <c r="C240" s="21"/>
      <c r="D240" s="97" t="str">
        <f>IF(C240="","",IFERROR(INDEX(②メンバー!$C$5:$C$104,MATCH(C240,②メンバー!$B$5:$B$104,0)),""))</f>
        <v/>
      </c>
      <c r="E240" s="24"/>
      <c r="F240" s="160"/>
      <c r="G240" s="20"/>
      <c r="H240" s="20"/>
      <c r="I240" s="20"/>
      <c r="J240" s="20"/>
      <c r="K240" s="20"/>
      <c r="L240" s="20"/>
      <c r="M240" s="20"/>
      <c r="N240" s="20"/>
      <c r="O240" s="24"/>
      <c r="P240" s="161" t="str">
        <f t="shared" si="7"/>
        <v/>
      </c>
      <c r="Q240" s="7"/>
    </row>
    <row r="241" spans="1:17">
      <c r="A241" s="31" t="str">
        <f t="shared" si="6"/>
        <v/>
      </c>
      <c r="B241" s="159"/>
      <c r="C241" s="21"/>
      <c r="D241" s="97" t="str">
        <f>IF(C241="","",IFERROR(INDEX(②メンバー!$C$5:$C$104,MATCH(C241,②メンバー!$B$5:$B$104,0)),""))</f>
        <v/>
      </c>
      <c r="E241" s="24"/>
      <c r="F241" s="160"/>
      <c r="G241" s="20"/>
      <c r="H241" s="20"/>
      <c r="I241" s="20"/>
      <c r="J241" s="20"/>
      <c r="K241" s="20"/>
      <c r="L241" s="20"/>
      <c r="M241" s="20"/>
      <c r="N241" s="20"/>
      <c r="O241" s="24"/>
      <c r="P241" s="161" t="str">
        <f t="shared" si="7"/>
        <v/>
      </c>
      <c r="Q241" s="7"/>
    </row>
    <row r="242" spans="1:17">
      <c r="A242" s="31" t="str">
        <f t="shared" si="6"/>
        <v/>
      </c>
      <c r="B242" s="159"/>
      <c r="C242" s="21"/>
      <c r="D242" s="97" t="str">
        <f>IF(C242="","",IFERROR(INDEX(②メンバー!$C$5:$C$104,MATCH(C242,②メンバー!$B$5:$B$104,0)),""))</f>
        <v/>
      </c>
      <c r="E242" s="24"/>
      <c r="F242" s="160"/>
      <c r="G242" s="20"/>
      <c r="H242" s="20"/>
      <c r="I242" s="20"/>
      <c r="J242" s="20"/>
      <c r="K242" s="20"/>
      <c r="L242" s="20"/>
      <c r="M242" s="20"/>
      <c r="N242" s="20"/>
      <c r="O242" s="24"/>
      <c r="P242" s="161" t="str">
        <f t="shared" si="7"/>
        <v/>
      </c>
      <c r="Q242" s="7"/>
    </row>
    <row r="243" spans="1:17">
      <c r="A243" s="31" t="str">
        <f t="shared" si="6"/>
        <v/>
      </c>
      <c r="B243" s="159"/>
      <c r="C243" s="21"/>
      <c r="D243" s="97" t="str">
        <f>IF(C243="","",IFERROR(INDEX(②メンバー!$C$5:$C$104,MATCH(C243,②メンバー!$B$5:$B$104,0)),""))</f>
        <v/>
      </c>
      <c r="E243" s="24"/>
      <c r="F243" s="160"/>
      <c r="G243" s="20"/>
      <c r="H243" s="20"/>
      <c r="I243" s="20"/>
      <c r="J243" s="20"/>
      <c r="K243" s="20"/>
      <c r="L243" s="20"/>
      <c r="M243" s="20"/>
      <c r="N243" s="20"/>
      <c r="O243" s="24"/>
      <c r="P243" s="161" t="str">
        <f t="shared" si="7"/>
        <v/>
      </c>
      <c r="Q243" s="7"/>
    </row>
    <row r="244" spans="1:17">
      <c r="A244" s="31" t="str">
        <f t="shared" si="6"/>
        <v/>
      </c>
      <c r="B244" s="159"/>
      <c r="C244" s="21"/>
      <c r="D244" s="97" t="str">
        <f>IF(C244="","",IFERROR(INDEX(②メンバー!$C$5:$C$104,MATCH(C244,②メンバー!$B$5:$B$104,0)),""))</f>
        <v/>
      </c>
      <c r="E244" s="24"/>
      <c r="F244" s="160"/>
      <c r="G244" s="20"/>
      <c r="H244" s="20"/>
      <c r="I244" s="20"/>
      <c r="J244" s="20"/>
      <c r="K244" s="20"/>
      <c r="L244" s="20"/>
      <c r="M244" s="20"/>
      <c r="N244" s="20"/>
      <c r="O244" s="24"/>
      <c r="P244" s="161" t="str">
        <f t="shared" si="7"/>
        <v/>
      </c>
      <c r="Q244" s="7"/>
    </row>
    <row r="245" spans="1:17">
      <c r="A245" s="31" t="str">
        <f t="shared" si="6"/>
        <v/>
      </c>
      <c r="B245" s="159"/>
      <c r="C245" s="21"/>
      <c r="D245" s="97" t="str">
        <f>IF(C245="","",IFERROR(INDEX(②メンバー!$C$5:$C$104,MATCH(C245,②メンバー!$B$5:$B$104,0)),""))</f>
        <v/>
      </c>
      <c r="E245" s="24"/>
      <c r="F245" s="160"/>
      <c r="G245" s="20"/>
      <c r="H245" s="20"/>
      <c r="I245" s="20"/>
      <c r="J245" s="20"/>
      <c r="K245" s="20"/>
      <c r="L245" s="20"/>
      <c r="M245" s="20"/>
      <c r="N245" s="20"/>
      <c r="O245" s="24"/>
      <c r="P245" s="161" t="str">
        <f t="shared" si="7"/>
        <v/>
      </c>
      <c r="Q245" s="7"/>
    </row>
    <row r="246" spans="1:17">
      <c r="A246" s="31" t="str">
        <f t="shared" si="6"/>
        <v/>
      </c>
      <c r="B246" s="159"/>
      <c r="C246" s="21"/>
      <c r="D246" s="97" t="str">
        <f>IF(C246="","",IFERROR(INDEX(②メンバー!$C$5:$C$104,MATCH(C246,②メンバー!$B$5:$B$104,0)),""))</f>
        <v/>
      </c>
      <c r="E246" s="24"/>
      <c r="F246" s="160"/>
      <c r="G246" s="20"/>
      <c r="H246" s="20"/>
      <c r="I246" s="20"/>
      <c r="J246" s="20"/>
      <c r="K246" s="20"/>
      <c r="L246" s="20"/>
      <c r="M246" s="20"/>
      <c r="N246" s="20"/>
      <c r="O246" s="24"/>
      <c r="P246" s="161" t="str">
        <f t="shared" si="7"/>
        <v/>
      </c>
      <c r="Q246" s="7"/>
    </row>
    <row r="247" spans="1:17">
      <c r="A247" s="31" t="str">
        <f t="shared" si="6"/>
        <v/>
      </c>
      <c r="B247" s="159"/>
      <c r="C247" s="21"/>
      <c r="D247" s="97" t="str">
        <f>IF(C247="","",IFERROR(INDEX(②メンバー!$C$5:$C$104,MATCH(C247,②メンバー!$B$5:$B$104,0)),""))</f>
        <v/>
      </c>
      <c r="E247" s="24"/>
      <c r="F247" s="160"/>
      <c r="G247" s="20"/>
      <c r="H247" s="20"/>
      <c r="I247" s="20"/>
      <c r="J247" s="20"/>
      <c r="K247" s="20"/>
      <c r="L247" s="20"/>
      <c r="M247" s="20"/>
      <c r="N247" s="20"/>
      <c r="O247" s="24"/>
      <c r="P247" s="161" t="str">
        <f t="shared" si="7"/>
        <v/>
      </c>
      <c r="Q247" s="7"/>
    </row>
    <row r="248" spans="1:17">
      <c r="A248" s="31" t="str">
        <f t="shared" si="6"/>
        <v/>
      </c>
      <c r="B248" s="159"/>
      <c r="C248" s="21"/>
      <c r="D248" s="97" t="str">
        <f>IF(C248="","",IFERROR(INDEX(②メンバー!$C$5:$C$104,MATCH(C248,②メンバー!$B$5:$B$104,0)),""))</f>
        <v/>
      </c>
      <c r="E248" s="24"/>
      <c r="F248" s="160"/>
      <c r="G248" s="20"/>
      <c r="H248" s="20"/>
      <c r="I248" s="20"/>
      <c r="J248" s="20"/>
      <c r="K248" s="20"/>
      <c r="L248" s="20"/>
      <c r="M248" s="20"/>
      <c r="N248" s="20"/>
      <c r="O248" s="24"/>
      <c r="P248" s="161" t="str">
        <f t="shared" si="7"/>
        <v/>
      </c>
      <c r="Q248" s="7"/>
    </row>
    <row r="249" spans="1:17">
      <c r="A249" s="31" t="str">
        <f t="shared" si="6"/>
        <v/>
      </c>
      <c r="B249" s="159"/>
      <c r="C249" s="21"/>
      <c r="D249" s="97" t="str">
        <f>IF(C249="","",IFERROR(INDEX(②メンバー!$C$5:$C$104,MATCH(C249,②メンバー!$B$5:$B$104,0)),""))</f>
        <v/>
      </c>
      <c r="E249" s="24"/>
      <c r="F249" s="160"/>
      <c r="G249" s="20"/>
      <c r="H249" s="20"/>
      <c r="I249" s="20"/>
      <c r="J249" s="20"/>
      <c r="K249" s="20"/>
      <c r="L249" s="20"/>
      <c r="M249" s="20"/>
      <c r="N249" s="20"/>
      <c r="O249" s="24"/>
      <c r="P249" s="161" t="str">
        <f t="shared" si="7"/>
        <v/>
      </c>
      <c r="Q249" s="7"/>
    </row>
    <row r="250" spans="1:17">
      <c r="A250" s="31" t="str">
        <f t="shared" si="6"/>
        <v/>
      </c>
      <c r="B250" s="159"/>
      <c r="C250" s="21"/>
      <c r="D250" s="97" t="str">
        <f>IF(C250="","",IFERROR(INDEX(②メンバー!$C$5:$C$104,MATCH(C250,②メンバー!$B$5:$B$104,0)),""))</f>
        <v/>
      </c>
      <c r="E250" s="24"/>
      <c r="F250" s="160"/>
      <c r="G250" s="20"/>
      <c r="H250" s="20"/>
      <c r="I250" s="20"/>
      <c r="J250" s="20"/>
      <c r="K250" s="20"/>
      <c r="L250" s="20"/>
      <c r="M250" s="20"/>
      <c r="N250" s="20"/>
      <c r="O250" s="24"/>
      <c r="P250" s="161" t="str">
        <f t="shared" si="7"/>
        <v/>
      </c>
      <c r="Q250" s="7"/>
    </row>
    <row r="251" spans="1:17">
      <c r="A251" s="31" t="str">
        <f t="shared" si="6"/>
        <v/>
      </c>
      <c r="B251" s="159"/>
      <c r="C251" s="21"/>
      <c r="D251" s="97" t="str">
        <f>IF(C251="","",IFERROR(INDEX(②メンバー!$C$5:$C$104,MATCH(C251,②メンバー!$B$5:$B$104,0)),""))</f>
        <v/>
      </c>
      <c r="E251" s="24"/>
      <c r="F251" s="160"/>
      <c r="G251" s="20"/>
      <c r="H251" s="20"/>
      <c r="I251" s="20"/>
      <c r="J251" s="20"/>
      <c r="K251" s="20"/>
      <c r="L251" s="20"/>
      <c r="M251" s="20"/>
      <c r="N251" s="20"/>
      <c r="O251" s="24"/>
      <c r="P251" s="161" t="str">
        <f t="shared" si="7"/>
        <v/>
      </c>
      <c r="Q251" s="7"/>
    </row>
    <row r="252" spans="1:17">
      <c r="A252" s="31" t="str">
        <f t="shared" si="6"/>
        <v/>
      </c>
      <c r="B252" s="159"/>
      <c r="C252" s="21"/>
      <c r="D252" s="97" t="str">
        <f>IF(C252="","",IFERROR(INDEX(②メンバー!$C$5:$C$104,MATCH(C252,②メンバー!$B$5:$B$104,0)),""))</f>
        <v/>
      </c>
      <c r="E252" s="24"/>
      <c r="F252" s="160"/>
      <c r="G252" s="20"/>
      <c r="H252" s="20"/>
      <c r="I252" s="20"/>
      <c r="J252" s="20"/>
      <c r="K252" s="20"/>
      <c r="L252" s="20"/>
      <c r="M252" s="20"/>
      <c r="N252" s="20"/>
      <c r="O252" s="24"/>
      <c r="P252" s="161" t="str">
        <f t="shared" si="7"/>
        <v/>
      </c>
      <c r="Q252" s="7"/>
    </row>
    <row r="253" spans="1:17">
      <c r="A253" s="31" t="str">
        <f t="shared" si="6"/>
        <v/>
      </c>
      <c r="B253" s="159"/>
      <c r="C253" s="21"/>
      <c r="D253" s="97" t="str">
        <f>IF(C253="","",IFERROR(INDEX(②メンバー!$C$5:$C$104,MATCH(C253,②メンバー!$B$5:$B$104,0)),""))</f>
        <v/>
      </c>
      <c r="E253" s="24"/>
      <c r="F253" s="160"/>
      <c r="G253" s="20"/>
      <c r="H253" s="20"/>
      <c r="I253" s="20"/>
      <c r="J253" s="20"/>
      <c r="K253" s="20"/>
      <c r="L253" s="20"/>
      <c r="M253" s="20"/>
      <c r="N253" s="20"/>
      <c r="O253" s="24"/>
      <c r="P253" s="161" t="str">
        <f t="shared" si="7"/>
        <v/>
      </c>
      <c r="Q253" s="7"/>
    </row>
    <row r="254" spans="1:17">
      <c r="A254" s="31" t="str">
        <f t="shared" si="6"/>
        <v/>
      </c>
      <c r="B254" s="159"/>
      <c r="C254" s="21"/>
      <c r="D254" s="97" t="str">
        <f>IF(C254="","",IFERROR(INDEX(②メンバー!$C$5:$C$104,MATCH(C254,②メンバー!$B$5:$B$104,0)),""))</f>
        <v/>
      </c>
      <c r="E254" s="24"/>
      <c r="F254" s="160"/>
      <c r="G254" s="20"/>
      <c r="H254" s="20"/>
      <c r="I254" s="20"/>
      <c r="J254" s="20"/>
      <c r="K254" s="20"/>
      <c r="L254" s="20"/>
      <c r="M254" s="20"/>
      <c r="N254" s="20"/>
      <c r="O254" s="24"/>
      <c r="P254" s="161" t="str">
        <f t="shared" si="7"/>
        <v/>
      </c>
      <c r="Q254" s="7"/>
    </row>
    <row r="255" spans="1:17">
      <c r="A255" s="31" t="str">
        <f t="shared" si="6"/>
        <v/>
      </c>
      <c r="B255" s="159"/>
      <c r="C255" s="21"/>
      <c r="D255" s="97" t="str">
        <f>IF(C255="","",IFERROR(INDEX(②メンバー!$C$5:$C$104,MATCH(C255,②メンバー!$B$5:$B$104,0)),""))</f>
        <v/>
      </c>
      <c r="E255" s="24"/>
      <c r="F255" s="160"/>
      <c r="G255" s="20"/>
      <c r="H255" s="20"/>
      <c r="I255" s="20"/>
      <c r="J255" s="20"/>
      <c r="K255" s="20"/>
      <c r="L255" s="20"/>
      <c r="M255" s="20"/>
      <c r="N255" s="20"/>
      <c r="O255" s="24"/>
      <c r="P255" s="161" t="str">
        <f t="shared" si="7"/>
        <v/>
      </c>
      <c r="Q255" s="7"/>
    </row>
    <row r="256" spans="1:17">
      <c r="A256" s="31" t="str">
        <f t="shared" si="6"/>
        <v/>
      </c>
      <c r="B256" s="159"/>
      <c r="C256" s="21"/>
      <c r="D256" s="97" t="str">
        <f>IF(C256="","",IFERROR(INDEX(②メンバー!$C$5:$C$104,MATCH(C256,②メンバー!$B$5:$B$104,0)),""))</f>
        <v/>
      </c>
      <c r="E256" s="24"/>
      <c r="F256" s="160"/>
      <c r="G256" s="20"/>
      <c r="H256" s="20"/>
      <c r="I256" s="20"/>
      <c r="J256" s="20"/>
      <c r="K256" s="20"/>
      <c r="L256" s="20"/>
      <c r="M256" s="20"/>
      <c r="N256" s="20"/>
      <c r="O256" s="24"/>
      <c r="P256" s="161" t="str">
        <f t="shared" si="7"/>
        <v/>
      </c>
      <c r="Q256" s="7"/>
    </row>
    <row r="257" spans="1:17">
      <c r="A257" s="31" t="str">
        <f t="shared" si="6"/>
        <v/>
      </c>
      <c r="B257" s="159"/>
      <c r="C257" s="21"/>
      <c r="D257" s="97" t="str">
        <f>IF(C257="","",IFERROR(INDEX(②メンバー!$C$5:$C$104,MATCH(C257,②メンバー!$B$5:$B$104,0)),""))</f>
        <v/>
      </c>
      <c r="E257" s="24"/>
      <c r="F257" s="160"/>
      <c r="G257" s="20"/>
      <c r="H257" s="20"/>
      <c r="I257" s="20"/>
      <c r="J257" s="20"/>
      <c r="K257" s="20"/>
      <c r="L257" s="20"/>
      <c r="M257" s="20"/>
      <c r="N257" s="20"/>
      <c r="O257" s="24"/>
      <c r="P257" s="161" t="str">
        <f t="shared" si="7"/>
        <v/>
      </c>
      <c r="Q257" s="7"/>
    </row>
    <row r="258" spans="1:17">
      <c r="A258" s="31" t="str">
        <f t="shared" si="6"/>
        <v/>
      </c>
      <c r="B258" s="159"/>
      <c r="C258" s="21"/>
      <c r="D258" s="97" t="str">
        <f>IF(C258="","",IFERROR(INDEX(②メンバー!$C$5:$C$104,MATCH(C258,②メンバー!$B$5:$B$104,0)),""))</f>
        <v/>
      </c>
      <c r="E258" s="24"/>
      <c r="F258" s="160"/>
      <c r="G258" s="20"/>
      <c r="H258" s="20"/>
      <c r="I258" s="20"/>
      <c r="J258" s="20"/>
      <c r="K258" s="20"/>
      <c r="L258" s="20"/>
      <c r="M258" s="20"/>
      <c r="N258" s="20"/>
      <c r="O258" s="24"/>
      <c r="P258" s="161" t="str">
        <f t="shared" si="7"/>
        <v/>
      </c>
      <c r="Q258" s="7"/>
    </row>
    <row r="259" spans="1:17">
      <c r="A259" s="31" t="str">
        <f t="shared" si="6"/>
        <v/>
      </c>
      <c r="B259" s="159"/>
      <c r="C259" s="21"/>
      <c r="D259" s="97" t="str">
        <f>IF(C259="","",IFERROR(INDEX(②メンバー!$C$5:$C$104,MATCH(C259,②メンバー!$B$5:$B$104,0)),""))</f>
        <v/>
      </c>
      <c r="E259" s="24"/>
      <c r="F259" s="160"/>
      <c r="G259" s="20"/>
      <c r="H259" s="20"/>
      <c r="I259" s="20"/>
      <c r="J259" s="20"/>
      <c r="K259" s="20"/>
      <c r="L259" s="20"/>
      <c r="M259" s="20"/>
      <c r="N259" s="20"/>
      <c r="O259" s="24"/>
      <c r="P259" s="161" t="str">
        <f t="shared" si="7"/>
        <v/>
      </c>
      <c r="Q259" s="7"/>
    </row>
    <row r="260" spans="1:17">
      <c r="A260" s="31" t="str">
        <f t="shared" si="6"/>
        <v/>
      </c>
      <c r="B260" s="159"/>
      <c r="C260" s="21"/>
      <c r="D260" s="97" t="str">
        <f>IF(C260="","",IFERROR(INDEX(②メンバー!$C$5:$C$104,MATCH(C260,②メンバー!$B$5:$B$104,0)),""))</f>
        <v/>
      </c>
      <c r="E260" s="24"/>
      <c r="F260" s="160"/>
      <c r="G260" s="20"/>
      <c r="H260" s="20"/>
      <c r="I260" s="20"/>
      <c r="J260" s="20"/>
      <c r="K260" s="20"/>
      <c r="L260" s="20"/>
      <c r="M260" s="20"/>
      <c r="N260" s="20"/>
      <c r="O260" s="24"/>
      <c r="P260" s="161" t="str">
        <f t="shared" si="7"/>
        <v/>
      </c>
      <c r="Q260" s="7"/>
    </row>
    <row r="261" spans="1:17">
      <c r="A261" s="31" t="str">
        <f t="shared" si="6"/>
        <v/>
      </c>
      <c r="B261" s="159"/>
      <c r="C261" s="21"/>
      <c r="D261" s="97" t="str">
        <f>IF(C261="","",IFERROR(INDEX(②メンバー!$C$5:$C$104,MATCH(C261,②メンバー!$B$5:$B$104,0)),""))</f>
        <v/>
      </c>
      <c r="E261" s="24"/>
      <c r="F261" s="160"/>
      <c r="G261" s="20"/>
      <c r="H261" s="20"/>
      <c r="I261" s="20"/>
      <c r="J261" s="20"/>
      <c r="K261" s="20"/>
      <c r="L261" s="20"/>
      <c r="M261" s="20"/>
      <c r="N261" s="20"/>
      <c r="O261" s="24"/>
      <c r="P261" s="161" t="str">
        <f t="shared" si="7"/>
        <v/>
      </c>
      <c r="Q261" s="7"/>
    </row>
    <row r="262" spans="1:17">
      <c r="A262" s="31" t="str">
        <f t="shared" ref="A262:A325" si="8">IF(B262="","",ROW()-5)</f>
        <v/>
      </c>
      <c r="B262" s="159"/>
      <c r="C262" s="21"/>
      <c r="D262" s="97" t="str">
        <f>IF(C262="","",IFERROR(INDEX(②メンバー!$C$5:$C$104,MATCH(C262,②メンバー!$B$5:$B$104,0)),""))</f>
        <v/>
      </c>
      <c r="E262" s="24"/>
      <c r="F262" s="160"/>
      <c r="G262" s="20"/>
      <c r="H262" s="20"/>
      <c r="I262" s="20"/>
      <c r="J262" s="20"/>
      <c r="K262" s="20"/>
      <c r="L262" s="20"/>
      <c r="M262" s="20"/>
      <c r="N262" s="20"/>
      <c r="O262" s="24"/>
      <c r="P262" s="161" t="str">
        <f t="shared" ref="P262:P325" si="9">IF(C262="","",IF(COUNTA(F262:O262)=0,IF(E262="出勤","いつもの時間","終日"),TRIM(IF(COUNTIF(F262:O262,"休")&gt;0,"休 "&amp;COUNTIF(F262:O262,"休")&amp;"h ","")&amp;IF(COUNTIF(F262:O262,"出")&gt;0,"出 "&amp;COUNTIF(F262:O262,"出")&amp;"h",""))))</f>
        <v/>
      </c>
      <c r="Q262" s="7"/>
    </row>
    <row r="263" spans="1:17">
      <c r="A263" s="31" t="str">
        <f t="shared" si="8"/>
        <v/>
      </c>
      <c r="B263" s="159"/>
      <c r="C263" s="21"/>
      <c r="D263" s="97" t="str">
        <f>IF(C263="","",IFERROR(INDEX(②メンバー!$C$5:$C$104,MATCH(C263,②メンバー!$B$5:$B$104,0)),""))</f>
        <v/>
      </c>
      <c r="E263" s="24"/>
      <c r="F263" s="160"/>
      <c r="G263" s="20"/>
      <c r="H263" s="20"/>
      <c r="I263" s="20"/>
      <c r="J263" s="20"/>
      <c r="K263" s="20"/>
      <c r="L263" s="20"/>
      <c r="M263" s="20"/>
      <c r="N263" s="20"/>
      <c r="O263" s="24"/>
      <c r="P263" s="161" t="str">
        <f t="shared" si="9"/>
        <v/>
      </c>
      <c r="Q263" s="7"/>
    </row>
    <row r="264" spans="1:17">
      <c r="A264" s="31" t="str">
        <f t="shared" si="8"/>
        <v/>
      </c>
      <c r="B264" s="159"/>
      <c r="C264" s="21"/>
      <c r="D264" s="97" t="str">
        <f>IF(C264="","",IFERROR(INDEX(②メンバー!$C$5:$C$104,MATCH(C264,②メンバー!$B$5:$B$104,0)),""))</f>
        <v/>
      </c>
      <c r="E264" s="24"/>
      <c r="F264" s="160"/>
      <c r="G264" s="20"/>
      <c r="H264" s="20"/>
      <c r="I264" s="20"/>
      <c r="J264" s="20"/>
      <c r="K264" s="20"/>
      <c r="L264" s="20"/>
      <c r="M264" s="20"/>
      <c r="N264" s="20"/>
      <c r="O264" s="24"/>
      <c r="P264" s="161" t="str">
        <f t="shared" si="9"/>
        <v/>
      </c>
      <c r="Q264" s="7"/>
    </row>
    <row r="265" spans="1:17">
      <c r="A265" s="31" t="str">
        <f t="shared" si="8"/>
        <v/>
      </c>
      <c r="B265" s="159"/>
      <c r="C265" s="21"/>
      <c r="D265" s="97" t="str">
        <f>IF(C265="","",IFERROR(INDEX(②メンバー!$C$5:$C$104,MATCH(C265,②メンバー!$B$5:$B$104,0)),""))</f>
        <v/>
      </c>
      <c r="E265" s="24"/>
      <c r="F265" s="160"/>
      <c r="G265" s="20"/>
      <c r="H265" s="20"/>
      <c r="I265" s="20"/>
      <c r="J265" s="20"/>
      <c r="K265" s="20"/>
      <c r="L265" s="20"/>
      <c r="M265" s="20"/>
      <c r="N265" s="20"/>
      <c r="O265" s="24"/>
      <c r="P265" s="161" t="str">
        <f t="shared" si="9"/>
        <v/>
      </c>
      <c r="Q265" s="7"/>
    </row>
    <row r="266" spans="1:17">
      <c r="A266" s="31" t="str">
        <f t="shared" si="8"/>
        <v/>
      </c>
      <c r="B266" s="159"/>
      <c r="C266" s="21"/>
      <c r="D266" s="97" t="str">
        <f>IF(C266="","",IFERROR(INDEX(②メンバー!$C$5:$C$104,MATCH(C266,②メンバー!$B$5:$B$104,0)),""))</f>
        <v/>
      </c>
      <c r="E266" s="24"/>
      <c r="F266" s="160"/>
      <c r="G266" s="20"/>
      <c r="H266" s="20"/>
      <c r="I266" s="20"/>
      <c r="J266" s="20"/>
      <c r="K266" s="20"/>
      <c r="L266" s="20"/>
      <c r="M266" s="20"/>
      <c r="N266" s="20"/>
      <c r="O266" s="24"/>
      <c r="P266" s="161" t="str">
        <f t="shared" si="9"/>
        <v/>
      </c>
      <c r="Q266" s="7"/>
    </row>
    <row r="267" spans="1:17">
      <c r="A267" s="31" t="str">
        <f t="shared" si="8"/>
        <v/>
      </c>
      <c r="B267" s="159"/>
      <c r="C267" s="21"/>
      <c r="D267" s="97" t="str">
        <f>IF(C267="","",IFERROR(INDEX(②メンバー!$C$5:$C$104,MATCH(C267,②メンバー!$B$5:$B$104,0)),""))</f>
        <v/>
      </c>
      <c r="E267" s="24"/>
      <c r="F267" s="160"/>
      <c r="G267" s="20"/>
      <c r="H267" s="20"/>
      <c r="I267" s="20"/>
      <c r="J267" s="20"/>
      <c r="K267" s="20"/>
      <c r="L267" s="20"/>
      <c r="M267" s="20"/>
      <c r="N267" s="20"/>
      <c r="O267" s="24"/>
      <c r="P267" s="161" t="str">
        <f t="shared" si="9"/>
        <v/>
      </c>
      <c r="Q267" s="7"/>
    </row>
    <row r="268" spans="1:17">
      <c r="A268" s="31" t="str">
        <f t="shared" si="8"/>
        <v/>
      </c>
      <c r="B268" s="159"/>
      <c r="C268" s="21"/>
      <c r="D268" s="97" t="str">
        <f>IF(C268="","",IFERROR(INDEX(②メンバー!$C$5:$C$104,MATCH(C268,②メンバー!$B$5:$B$104,0)),""))</f>
        <v/>
      </c>
      <c r="E268" s="24"/>
      <c r="F268" s="160"/>
      <c r="G268" s="20"/>
      <c r="H268" s="20"/>
      <c r="I268" s="20"/>
      <c r="J268" s="20"/>
      <c r="K268" s="20"/>
      <c r="L268" s="20"/>
      <c r="M268" s="20"/>
      <c r="N268" s="20"/>
      <c r="O268" s="24"/>
      <c r="P268" s="161" t="str">
        <f t="shared" si="9"/>
        <v/>
      </c>
      <c r="Q268" s="7"/>
    </row>
    <row r="269" spans="1:17">
      <c r="A269" s="31" t="str">
        <f t="shared" si="8"/>
        <v/>
      </c>
      <c r="B269" s="159"/>
      <c r="C269" s="21"/>
      <c r="D269" s="97" t="str">
        <f>IF(C269="","",IFERROR(INDEX(②メンバー!$C$5:$C$104,MATCH(C269,②メンバー!$B$5:$B$104,0)),""))</f>
        <v/>
      </c>
      <c r="E269" s="24"/>
      <c r="F269" s="160"/>
      <c r="G269" s="20"/>
      <c r="H269" s="20"/>
      <c r="I269" s="20"/>
      <c r="J269" s="20"/>
      <c r="K269" s="20"/>
      <c r="L269" s="20"/>
      <c r="M269" s="20"/>
      <c r="N269" s="20"/>
      <c r="O269" s="24"/>
      <c r="P269" s="161" t="str">
        <f t="shared" si="9"/>
        <v/>
      </c>
      <c r="Q269" s="7"/>
    </row>
    <row r="270" spans="1:17">
      <c r="A270" s="31" t="str">
        <f t="shared" si="8"/>
        <v/>
      </c>
      <c r="B270" s="159"/>
      <c r="C270" s="21"/>
      <c r="D270" s="97" t="str">
        <f>IF(C270="","",IFERROR(INDEX(②メンバー!$C$5:$C$104,MATCH(C270,②メンバー!$B$5:$B$104,0)),""))</f>
        <v/>
      </c>
      <c r="E270" s="24"/>
      <c r="F270" s="160"/>
      <c r="G270" s="20"/>
      <c r="H270" s="20"/>
      <c r="I270" s="20"/>
      <c r="J270" s="20"/>
      <c r="K270" s="20"/>
      <c r="L270" s="20"/>
      <c r="M270" s="20"/>
      <c r="N270" s="20"/>
      <c r="O270" s="24"/>
      <c r="P270" s="161" t="str">
        <f t="shared" si="9"/>
        <v/>
      </c>
      <c r="Q270" s="7"/>
    </row>
    <row r="271" spans="1:17">
      <c r="A271" s="31" t="str">
        <f t="shared" si="8"/>
        <v/>
      </c>
      <c r="B271" s="159"/>
      <c r="C271" s="21"/>
      <c r="D271" s="97" t="str">
        <f>IF(C271="","",IFERROR(INDEX(②メンバー!$C$5:$C$104,MATCH(C271,②メンバー!$B$5:$B$104,0)),""))</f>
        <v/>
      </c>
      <c r="E271" s="24"/>
      <c r="F271" s="160"/>
      <c r="G271" s="20"/>
      <c r="H271" s="20"/>
      <c r="I271" s="20"/>
      <c r="J271" s="20"/>
      <c r="K271" s="20"/>
      <c r="L271" s="20"/>
      <c r="M271" s="20"/>
      <c r="N271" s="20"/>
      <c r="O271" s="24"/>
      <c r="P271" s="161" t="str">
        <f t="shared" si="9"/>
        <v/>
      </c>
      <c r="Q271" s="7"/>
    </row>
    <row r="272" spans="1:17">
      <c r="A272" s="31" t="str">
        <f t="shared" si="8"/>
        <v/>
      </c>
      <c r="B272" s="159"/>
      <c r="C272" s="21"/>
      <c r="D272" s="97" t="str">
        <f>IF(C272="","",IFERROR(INDEX(②メンバー!$C$5:$C$104,MATCH(C272,②メンバー!$B$5:$B$104,0)),""))</f>
        <v/>
      </c>
      <c r="E272" s="24"/>
      <c r="F272" s="160"/>
      <c r="G272" s="20"/>
      <c r="H272" s="20"/>
      <c r="I272" s="20"/>
      <c r="J272" s="20"/>
      <c r="K272" s="20"/>
      <c r="L272" s="20"/>
      <c r="M272" s="20"/>
      <c r="N272" s="20"/>
      <c r="O272" s="24"/>
      <c r="P272" s="161" t="str">
        <f t="shared" si="9"/>
        <v/>
      </c>
      <c r="Q272" s="7"/>
    </row>
    <row r="273" spans="1:17">
      <c r="A273" s="31" t="str">
        <f t="shared" si="8"/>
        <v/>
      </c>
      <c r="B273" s="159"/>
      <c r="C273" s="21"/>
      <c r="D273" s="97" t="str">
        <f>IF(C273="","",IFERROR(INDEX(②メンバー!$C$5:$C$104,MATCH(C273,②メンバー!$B$5:$B$104,0)),""))</f>
        <v/>
      </c>
      <c r="E273" s="24"/>
      <c r="F273" s="160"/>
      <c r="G273" s="20"/>
      <c r="H273" s="20"/>
      <c r="I273" s="20"/>
      <c r="J273" s="20"/>
      <c r="K273" s="20"/>
      <c r="L273" s="20"/>
      <c r="M273" s="20"/>
      <c r="N273" s="20"/>
      <c r="O273" s="24"/>
      <c r="P273" s="161" t="str">
        <f t="shared" si="9"/>
        <v/>
      </c>
      <c r="Q273" s="7"/>
    </row>
    <row r="274" spans="1:17">
      <c r="A274" s="31" t="str">
        <f t="shared" si="8"/>
        <v/>
      </c>
      <c r="B274" s="159"/>
      <c r="C274" s="21"/>
      <c r="D274" s="97" t="str">
        <f>IF(C274="","",IFERROR(INDEX(②メンバー!$C$5:$C$104,MATCH(C274,②メンバー!$B$5:$B$104,0)),""))</f>
        <v/>
      </c>
      <c r="E274" s="24"/>
      <c r="F274" s="160"/>
      <c r="G274" s="20"/>
      <c r="H274" s="20"/>
      <c r="I274" s="20"/>
      <c r="J274" s="20"/>
      <c r="K274" s="20"/>
      <c r="L274" s="20"/>
      <c r="M274" s="20"/>
      <c r="N274" s="20"/>
      <c r="O274" s="24"/>
      <c r="P274" s="161" t="str">
        <f t="shared" si="9"/>
        <v/>
      </c>
      <c r="Q274" s="7"/>
    </row>
    <row r="275" spans="1:17">
      <c r="A275" s="31" t="str">
        <f t="shared" si="8"/>
        <v/>
      </c>
      <c r="B275" s="159"/>
      <c r="C275" s="21"/>
      <c r="D275" s="97" t="str">
        <f>IF(C275="","",IFERROR(INDEX(②メンバー!$C$5:$C$104,MATCH(C275,②メンバー!$B$5:$B$104,0)),""))</f>
        <v/>
      </c>
      <c r="E275" s="24"/>
      <c r="F275" s="160"/>
      <c r="G275" s="20"/>
      <c r="H275" s="20"/>
      <c r="I275" s="20"/>
      <c r="J275" s="20"/>
      <c r="K275" s="20"/>
      <c r="L275" s="20"/>
      <c r="M275" s="20"/>
      <c r="N275" s="20"/>
      <c r="O275" s="24"/>
      <c r="P275" s="161" t="str">
        <f t="shared" si="9"/>
        <v/>
      </c>
      <c r="Q275" s="7"/>
    </row>
    <row r="276" spans="1:17">
      <c r="A276" s="31" t="str">
        <f t="shared" si="8"/>
        <v/>
      </c>
      <c r="B276" s="159"/>
      <c r="C276" s="21"/>
      <c r="D276" s="97" t="str">
        <f>IF(C276="","",IFERROR(INDEX(②メンバー!$C$5:$C$104,MATCH(C276,②メンバー!$B$5:$B$104,0)),""))</f>
        <v/>
      </c>
      <c r="E276" s="24"/>
      <c r="F276" s="160"/>
      <c r="G276" s="20"/>
      <c r="H276" s="20"/>
      <c r="I276" s="20"/>
      <c r="J276" s="20"/>
      <c r="K276" s="20"/>
      <c r="L276" s="20"/>
      <c r="M276" s="20"/>
      <c r="N276" s="20"/>
      <c r="O276" s="24"/>
      <c r="P276" s="161" t="str">
        <f t="shared" si="9"/>
        <v/>
      </c>
      <c r="Q276" s="7"/>
    </row>
    <row r="277" spans="1:17">
      <c r="A277" s="31" t="str">
        <f t="shared" si="8"/>
        <v/>
      </c>
      <c r="B277" s="159"/>
      <c r="C277" s="21"/>
      <c r="D277" s="97" t="str">
        <f>IF(C277="","",IFERROR(INDEX(②メンバー!$C$5:$C$104,MATCH(C277,②メンバー!$B$5:$B$104,0)),""))</f>
        <v/>
      </c>
      <c r="E277" s="24"/>
      <c r="F277" s="160"/>
      <c r="G277" s="20"/>
      <c r="H277" s="20"/>
      <c r="I277" s="20"/>
      <c r="J277" s="20"/>
      <c r="K277" s="20"/>
      <c r="L277" s="20"/>
      <c r="M277" s="20"/>
      <c r="N277" s="20"/>
      <c r="O277" s="24"/>
      <c r="P277" s="161" t="str">
        <f t="shared" si="9"/>
        <v/>
      </c>
      <c r="Q277" s="7"/>
    </row>
    <row r="278" spans="1:17">
      <c r="A278" s="31" t="str">
        <f t="shared" si="8"/>
        <v/>
      </c>
      <c r="B278" s="159"/>
      <c r="C278" s="21"/>
      <c r="D278" s="97" t="str">
        <f>IF(C278="","",IFERROR(INDEX(②メンバー!$C$5:$C$104,MATCH(C278,②メンバー!$B$5:$B$104,0)),""))</f>
        <v/>
      </c>
      <c r="E278" s="24"/>
      <c r="F278" s="160"/>
      <c r="G278" s="20"/>
      <c r="H278" s="20"/>
      <c r="I278" s="20"/>
      <c r="J278" s="20"/>
      <c r="K278" s="20"/>
      <c r="L278" s="20"/>
      <c r="M278" s="20"/>
      <c r="N278" s="20"/>
      <c r="O278" s="24"/>
      <c r="P278" s="161" t="str">
        <f t="shared" si="9"/>
        <v/>
      </c>
      <c r="Q278" s="7"/>
    </row>
    <row r="279" spans="1:17">
      <c r="A279" s="31" t="str">
        <f t="shared" si="8"/>
        <v/>
      </c>
      <c r="B279" s="159"/>
      <c r="C279" s="21"/>
      <c r="D279" s="97" t="str">
        <f>IF(C279="","",IFERROR(INDEX(②メンバー!$C$5:$C$104,MATCH(C279,②メンバー!$B$5:$B$104,0)),""))</f>
        <v/>
      </c>
      <c r="E279" s="24"/>
      <c r="F279" s="160"/>
      <c r="G279" s="20"/>
      <c r="H279" s="20"/>
      <c r="I279" s="20"/>
      <c r="J279" s="20"/>
      <c r="K279" s="20"/>
      <c r="L279" s="20"/>
      <c r="M279" s="20"/>
      <c r="N279" s="20"/>
      <c r="O279" s="24"/>
      <c r="P279" s="161" t="str">
        <f t="shared" si="9"/>
        <v/>
      </c>
      <c r="Q279" s="7"/>
    </row>
    <row r="280" spans="1:17">
      <c r="A280" s="31" t="str">
        <f t="shared" si="8"/>
        <v/>
      </c>
      <c r="B280" s="159"/>
      <c r="C280" s="21"/>
      <c r="D280" s="97" t="str">
        <f>IF(C280="","",IFERROR(INDEX(②メンバー!$C$5:$C$104,MATCH(C280,②メンバー!$B$5:$B$104,0)),""))</f>
        <v/>
      </c>
      <c r="E280" s="24"/>
      <c r="F280" s="160"/>
      <c r="G280" s="20"/>
      <c r="H280" s="20"/>
      <c r="I280" s="20"/>
      <c r="J280" s="20"/>
      <c r="K280" s="20"/>
      <c r="L280" s="20"/>
      <c r="M280" s="20"/>
      <c r="N280" s="20"/>
      <c r="O280" s="24"/>
      <c r="P280" s="161" t="str">
        <f t="shared" si="9"/>
        <v/>
      </c>
      <c r="Q280" s="7"/>
    </row>
    <row r="281" spans="1:17">
      <c r="A281" s="31" t="str">
        <f t="shared" si="8"/>
        <v/>
      </c>
      <c r="B281" s="159"/>
      <c r="C281" s="21"/>
      <c r="D281" s="97" t="str">
        <f>IF(C281="","",IFERROR(INDEX(②メンバー!$C$5:$C$104,MATCH(C281,②メンバー!$B$5:$B$104,0)),""))</f>
        <v/>
      </c>
      <c r="E281" s="24"/>
      <c r="F281" s="160"/>
      <c r="G281" s="20"/>
      <c r="H281" s="20"/>
      <c r="I281" s="20"/>
      <c r="J281" s="20"/>
      <c r="K281" s="20"/>
      <c r="L281" s="20"/>
      <c r="M281" s="20"/>
      <c r="N281" s="20"/>
      <c r="O281" s="24"/>
      <c r="P281" s="161" t="str">
        <f t="shared" si="9"/>
        <v/>
      </c>
      <c r="Q281" s="7"/>
    </row>
    <row r="282" spans="1:17">
      <c r="A282" s="31" t="str">
        <f t="shared" si="8"/>
        <v/>
      </c>
      <c r="B282" s="159"/>
      <c r="C282" s="21"/>
      <c r="D282" s="97" t="str">
        <f>IF(C282="","",IFERROR(INDEX(②メンバー!$C$5:$C$104,MATCH(C282,②メンバー!$B$5:$B$104,0)),""))</f>
        <v/>
      </c>
      <c r="E282" s="24"/>
      <c r="F282" s="160"/>
      <c r="G282" s="20"/>
      <c r="H282" s="20"/>
      <c r="I282" s="20"/>
      <c r="J282" s="20"/>
      <c r="K282" s="20"/>
      <c r="L282" s="20"/>
      <c r="M282" s="20"/>
      <c r="N282" s="20"/>
      <c r="O282" s="24"/>
      <c r="P282" s="161" t="str">
        <f t="shared" si="9"/>
        <v/>
      </c>
      <c r="Q282" s="7"/>
    </row>
    <row r="283" spans="1:17">
      <c r="A283" s="31" t="str">
        <f t="shared" si="8"/>
        <v/>
      </c>
      <c r="B283" s="159"/>
      <c r="C283" s="21"/>
      <c r="D283" s="97" t="str">
        <f>IF(C283="","",IFERROR(INDEX(②メンバー!$C$5:$C$104,MATCH(C283,②メンバー!$B$5:$B$104,0)),""))</f>
        <v/>
      </c>
      <c r="E283" s="24"/>
      <c r="F283" s="160"/>
      <c r="G283" s="20"/>
      <c r="H283" s="20"/>
      <c r="I283" s="20"/>
      <c r="J283" s="20"/>
      <c r="K283" s="20"/>
      <c r="L283" s="20"/>
      <c r="M283" s="20"/>
      <c r="N283" s="20"/>
      <c r="O283" s="24"/>
      <c r="P283" s="161" t="str">
        <f t="shared" si="9"/>
        <v/>
      </c>
      <c r="Q283" s="7"/>
    </row>
    <row r="284" spans="1:17">
      <c r="A284" s="31" t="str">
        <f t="shared" si="8"/>
        <v/>
      </c>
      <c r="B284" s="159"/>
      <c r="C284" s="21"/>
      <c r="D284" s="97" t="str">
        <f>IF(C284="","",IFERROR(INDEX(②メンバー!$C$5:$C$104,MATCH(C284,②メンバー!$B$5:$B$104,0)),""))</f>
        <v/>
      </c>
      <c r="E284" s="24"/>
      <c r="F284" s="160"/>
      <c r="G284" s="20"/>
      <c r="H284" s="20"/>
      <c r="I284" s="20"/>
      <c r="J284" s="20"/>
      <c r="K284" s="20"/>
      <c r="L284" s="20"/>
      <c r="M284" s="20"/>
      <c r="N284" s="20"/>
      <c r="O284" s="24"/>
      <c r="P284" s="161" t="str">
        <f t="shared" si="9"/>
        <v/>
      </c>
      <c r="Q284" s="7"/>
    </row>
    <row r="285" spans="1:17">
      <c r="A285" s="31" t="str">
        <f t="shared" si="8"/>
        <v/>
      </c>
      <c r="B285" s="159"/>
      <c r="C285" s="21"/>
      <c r="D285" s="97" t="str">
        <f>IF(C285="","",IFERROR(INDEX(②メンバー!$C$5:$C$104,MATCH(C285,②メンバー!$B$5:$B$104,0)),""))</f>
        <v/>
      </c>
      <c r="E285" s="24"/>
      <c r="F285" s="160"/>
      <c r="G285" s="20"/>
      <c r="H285" s="20"/>
      <c r="I285" s="20"/>
      <c r="J285" s="20"/>
      <c r="K285" s="20"/>
      <c r="L285" s="20"/>
      <c r="M285" s="20"/>
      <c r="N285" s="20"/>
      <c r="O285" s="24"/>
      <c r="P285" s="161" t="str">
        <f t="shared" si="9"/>
        <v/>
      </c>
      <c r="Q285" s="7"/>
    </row>
    <row r="286" spans="1:17">
      <c r="A286" s="31" t="str">
        <f t="shared" si="8"/>
        <v/>
      </c>
      <c r="B286" s="159"/>
      <c r="C286" s="21"/>
      <c r="D286" s="97" t="str">
        <f>IF(C286="","",IFERROR(INDEX(②メンバー!$C$5:$C$104,MATCH(C286,②メンバー!$B$5:$B$104,0)),""))</f>
        <v/>
      </c>
      <c r="E286" s="24"/>
      <c r="F286" s="160"/>
      <c r="G286" s="20"/>
      <c r="H286" s="20"/>
      <c r="I286" s="20"/>
      <c r="J286" s="20"/>
      <c r="K286" s="20"/>
      <c r="L286" s="20"/>
      <c r="M286" s="20"/>
      <c r="N286" s="20"/>
      <c r="O286" s="24"/>
      <c r="P286" s="161" t="str">
        <f t="shared" si="9"/>
        <v/>
      </c>
      <c r="Q286" s="7"/>
    </row>
    <row r="287" spans="1:17">
      <c r="A287" s="31" t="str">
        <f t="shared" si="8"/>
        <v/>
      </c>
      <c r="B287" s="159"/>
      <c r="C287" s="21"/>
      <c r="D287" s="97" t="str">
        <f>IF(C287="","",IFERROR(INDEX(②メンバー!$C$5:$C$104,MATCH(C287,②メンバー!$B$5:$B$104,0)),""))</f>
        <v/>
      </c>
      <c r="E287" s="24"/>
      <c r="F287" s="160"/>
      <c r="G287" s="20"/>
      <c r="H287" s="20"/>
      <c r="I287" s="20"/>
      <c r="J287" s="20"/>
      <c r="K287" s="20"/>
      <c r="L287" s="20"/>
      <c r="M287" s="20"/>
      <c r="N287" s="20"/>
      <c r="O287" s="24"/>
      <c r="P287" s="161" t="str">
        <f t="shared" si="9"/>
        <v/>
      </c>
      <c r="Q287" s="7"/>
    </row>
    <row r="288" spans="1:17">
      <c r="A288" s="31" t="str">
        <f t="shared" si="8"/>
        <v/>
      </c>
      <c r="B288" s="159"/>
      <c r="C288" s="21"/>
      <c r="D288" s="97" t="str">
        <f>IF(C288="","",IFERROR(INDEX(②メンバー!$C$5:$C$104,MATCH(C288,②メンバー!$B$5:$B$104,0)),""))</f>
        <v/>
      </c>
      <c r="E288" s="24"/>
      <c r="F288" s="160"/>
      <c r="G288" s="20"/>
      <c r="H288" s="20"/>
      <c r="I288" s="20"/>
      <c r="J288" s="20"/>
      <c r="K288" s="20"/>
      <c r="L288" s="20"/>
      <c r="M288" s="20"/>
      <c r="N288" s="20"/>
      <c r="O288" s="24"/>
      <c r="P288" s="161" t="str">
        <f t="shared" si="9"/>
        <v/>
      </c>
      <c r="Q288" s="7"/>
    </row>
    <row r="289" spans="1:17">
      <c r="A289" s="31" t="str">
        <f t="shared" si="8"/>
        <v/>
      </c>
      <c r="B289" s="159"/>
      <c r="C289" s="21"/>
      <c r="D289" s="97" t="str">
        <f>IF(C289="","",IFERROR(INDEX(②メンバー!$C$5:$C$104,MATCH(C289,②メンバー!$B$5:$B$104,0)),""))</f>
        <v/>
      </c>
      <c r="E289" s="24"/>
      <c r="F289" s="160"/>
      <c r="G289" s="20"/>
      <c r="H289" s="20"/>
      <c r="I289" s="20"/>
      <c r="J289" s="20"/>
      <c r="K289" s="20"/>
      <c r="L289" s="20"/>
      <c r="M289" s="20"/>
      <c r="N289" s="20"/>
      <c r="O289" s="24"/>
      <c r="P289" s="161" t="str">
        <f t="shared" si="9"/>
        <v/>
      </c>
      <c r="Q289" s="7"/>
    </row>
    <row r="290" spans="1:17">
      <c r="A290" s="31" t="str">
        <f t="shared" si="8"/>
        <v/>
      </c>
      <c r="B290" s="159"/>
      <c r="C290" s="21"/>
      <c r="D290" s="97" t="str">
        <f>IF(C290="","",IFERROR(INDEX(②メンバー!$C$5:$C$104,MATCH(C290,②メンバー!$B$5:$B$104,0)),""))</f>
        <v/>
      </c>
      <c r="E290" s="24"/>
      <c r="F290" s="160"/>
      <c r="G290" s="20"/>
      <c r="H290" s="20"/>
      <c r="I290" s="20"/>
      <c r="J290" s="20"/>
      <c r="K290" s="20"/>
      <c r="L290" s="20"/>
      <c r="M290" s="20"/>
      <c r="N290" s="20"/>
      <c r="O290" s="24"/>
      <c r="P290" s="161" t="str">
        <f t="shared" si="9"/>
        <v/>
      </c>
      <c r="Q290" s="7"/>
    </row>
    <row r="291" spans="1:17">
      <c r="A291" s="31" t="str">
        <f t="shared" si="8"/>
        <v/>
      </c>
      <c r="B291" s="159"/>
      <c r="C291" s="21"/>
      <c r="D291" s="97" t="str">
        <f>IF(C291="","",IFERROR(INDEX(②メンバー!$C$5:$C$104,MATCH(C291,②メンバー!$B$5:$B$104,0)),""))</f>
        <v/>
      </c>
      <c r="E291" s="24"/>
      <c r="F291" s="160"/>
      <c r="G291" s="20"/>
      <c r="H291" s="20"/>
      <c r="I291" s="20"/>
      <c r="J291" s="20"/>
      <c r="K291" s="20"/>
      <c r="L291" s="20"/>
      <c r="M291" s="20"/>
      <c r="N291" s="20"/>
      <c r="O291" s="24"/>
      <c r="P291" s="161" t="str">
        <f t="shared" si="9"/>
        <v/>
      </c>
      <c r="Q291" s="7"/>
    </row>
    <row r="292" spans="1:17">
      <c r="A292" s="31" t="str">
        <f t="shared" si="8"/>
        <v/>
      </c>
      <c r="B292" s="159"/>
      <c r="C292" s="21"/>
      <c r="D292" s="97" t="str">
        <f>IF(C292="","",IFERROR(INDEX(②メンバー!$C$5:$C$104,MATCH(C292,②メンバー!$B$5:$B$104,0)),""))</f>
        <v/>
      </c>
      <c r="E292" s="24"/>
      <c r="F292" s="160"/>
      <c r="G292" s="20"/>
      <c r="H292" s="20"/>
      <c r="I292" s="20"/>
      <c r="J292" s="20"/>
      <c r="K292" s="20"/>
      <c r="L292" s="20"/>
      <c r="M292" s="20"/>
      <c r="N292" s="20"/>
      <c r="O292" s="24"/>
      <c r="P292" s="161" t="str">
        <f t="shared" si="9"/>
        <v/>
      </c>
      <c r="Q292" s="7"/>
    </row>
    <row r="293" spans="1:17">
      <c r="A293" s="31" t="str">
        <f t="shared" si="8"/>
        <v/>
      </c>
      <c r="B293" s="159"/>
      <c r="C293" s="21"/>
      <c r="D293" s="97" t="str">
        <f>IF(C293="","",IFERROR(INDEX(②メンバー!$C$5:$C$104,MATCH(C293,②メンバー!$B$5:$B$104,0)),""))</f>
        <v/>
      </c>
      <c r="E293" s="24"/>
      <c r="F293" s="160"/>
      <c r="G293" s="20"/>
      <c r="H293" s="20"/>
      <c r="I293" s="20"/>
      <c r="J293" s="20"/>
      <c r="K293" s="20"/>
      <c r="L293" s="20"/>
      <c r="M293" s="20"/>
      <c r="N293" s="20"/>
      <c r="O293" s="24"/>
      <c r="P293" s="161" t="str">
        <f t="shared" si="9"/>
        <v/>
      </c>
      <c r="Q293" s="7"/>
    </row>
    <row r="294" spans="1:17">
      <c r="A294" s="31" t="str">
        <f t="shared" si="8"/>
        <v/>
      </c>
      <c r="B294" s="159"/>
      <c r="C294" s="21"/>
      <c r="D294" s="97" t="str">
        <f>IF(C294="","",IFERROR(INDEX(②メンバー!$C$5:$C$104,MATCH(C294,②メンバー!$B$5:$B$104,0)),""))</f>
        <v/>
      </c>
      <c r="E294" s="24"/>
      <c r="F294" s="160"/>
      <c r="G294" s="20"/>
      <c r="H294" s="20"/>
      <c r="I294" s="20"/>
      <c r="J294" s="20"/>
      <c r="K294" s="20"/>
      <c r="L294" s="20"/>
      <c r="M294" s="20"/>
      <c r="N294" s="20"/>
      <c r="O294" s="24"/>
      <c r="P294" s="161" t="str">
        <f t="shared" si="9"/>
        <v/>
      </c>
      <c r="Q294" s="7"/>
    </row>
    <row r="295" spans="1:17">
      <c r="A295" s="31" t="str">
        <f t="shared" si="8"/>
        <v/>
      </c>
      <c r="B295" s="159"/>
      <c r="C295" s="21"/>
      <c r="D295" s="97" t="str">
        <f>IF(C295="","",IFERROR(INDEX(②メンバー!$C$5:$C$104,MATCH(C295,②メンバー!$B$5:$B$104,0)),""))</f>
        <v/>
      </c>
      <c r="E295" s="24"/>
      <c r="F295" s="160"/>
      <c r="G295" s="20"/>
      <c r="H295" s="20"/>
      <c r="I295" s="20"/>
      <c r="J295" s="20"/>
      <c r="K295" s="20"/>
      <c r="L295" s="20"/>
      <c r="M295" s="20"/>
      <c r="N295" s="20"/>
      <c r="O295" s="24"/>
      <c r="P295" s="161" t="str">
        <f t="shared" si="9"/>
        <v/>
      </c>
      <c r="Q295" s="7"/>
    </row>
    <row r="296" spans="1:17">
      <c r="A296" s="31" t="str">
        <f t="shared" si="8"/>
        <v/>
      </c>
      <c r="B296" s="159"/>
      <c r="C296" s="21"/>
      <c r="D296" s="97" t="str">
        <f>IF(C296="","",IFERROR(INDEX(②メンバー!$C$5:$C$104,MATCH(C296,②メンバー!$B$5:$B$104,0)),""))</f>
        <v/>
      </c>
      <c r="E296" s="24"/>
      <c r="F296" s="160"/>
      <c r="G296" s="20"/>
      <c r="H296" s="20"/>
      <c r="I296" s="20"/>
      <c r="J296" s="20"/>
      <c r="K296" s="20"/>
      <c r="L296" s="20"/>
      <c r="M296" s="20"/>
      <c r="N296" s="20"/>
      <c r="O296" s="24"/>
      <c r="P296" s="161" t="str">
        <f t="shared" si="9"/>
        <v/>
      </c>
      <c r="Q296" s="7"/>
    </row>
    <row r="297" spans="1:17">
      <c r="A297" s="31" t="str">
        <f t="shared" si="8"/>
        <v/>
      </c>
      <c r="B297" s="159"/>
      <c r="C297" s="21"/>
      <c r="D297" s="97" t="str">
        <f>IF(C297="","",IFERROR(INDEX(②メンバー!$C$5:$C$104,MATCH(C297,②メンバー!$B$5:$B$104,0)),""))</f>
        <v/>
      </c>
      <c r="E297" s="24"/>
      <c r="F297" s="160"/>
      <c r="G297" s="20"/>
      <c r="H297" s="20"/>
      <c r="I297" s="20"/>
      <c r="J297" s="20"/>
      <c r="K297" s="20"/>
      <c r="L297" s="20"/>
      <c r="M297" s="20"/>
      <c r="N297" s="20"/>
      <c r="O297" s="24"/>
      <c r="P297" s="161" t="str">
        <f t="shared" si="9"/>
        <v/>
      </c>
      <c r="Q297" s="7"/>
    </row>
    <row r="298" spans="1:17">
      <c r="A298" s="31" t="str">
        <f t="shared" si="8"/>
        <v/>
      </c>
      <c r="B298" s="159"/>
      <c r="C298" s="21"/>
      <c r="D298" s="97" t="str">
        <f>IF(C298="","",IFERROR(INDEX(②メンバー!$C$5:$C$104,MATCH(C298,②メンバー!$B$5:$B$104,0)),""))</f>
        <v/>
      </c>
      <c r="E298" s="24"/>
      <c r="F298" s="160"/>
      <c r="G298" s="20"/>
      <c r="H298" s="20"/>
      <c r="I298" s="20"/>
      <c r="J298" s="20"/>
      <c r="K298" s="20"/>
      <c r="L298" s="20"/>
      <c r="M298" s="20"/>
      <c r="N298" s="20"/>
      <c r="O298" s="24"/>
      <c r="P298" s="161" t="str">
        <f t="shared" si="9"/>
        <v/>
      </c>
      <c r="Q298" s="7"/>
    </row>
    <row r="299" spans="1:17">
      <c r="A299" s="31" t="str">
        <f t="shared" si="8"/>
        <v/>
      </c>
      <c r="B299" s="159"/>
      <c r="C299" s="21"/>
      <c r="D299" s="97" t="str">
        <f>IF(C299="","",IFERROR(INDEX(②メンバー!$C$5:$C$104,MATCH(C299,②メンバー!$B$5:$B$104,0)),""))</f>
        <v/>
      </c>
      <c r="E299" s="24"/>
      <c r="F299" s="160"/>
      <c r="G299" s="20"/>
      <c r="H299" s="20"/>
      <c r="I299" s="20"/>
      <c r="J299" s="20"/>
      <c r="K299" s="20"/>
      <c r="L299" s="20"/>
      <c r="M299" s="20"/>
      <c r="N299" s="20"/>
      <c r="O299" s="24"/>
      <c r="P299" s="161" t="str">
        <f t="shared" si="9"/>
        <v/>
      </c>
      <c r="Q299" s="7"/>
    </row>
    <row r="300" spans="1:17">
      <c r="A300" s="31" t="str">
        <f t="shared" si="8"/>
        <v/>
      </c>
      <c r="B300" s="159"/>
      <c r="C300" s="21"/>
      <c r="D300" s="97" t="str">
        <f>IF(C300="","",IFERROR(INDEX(②メンバー!$C$5:$C$104,MATCH(C300,②メンバー!$B$5:$B$104,0)),""))</f>
        <v/>
      </c>
      <c r="E300" s="24"/>
      <c r="F300" s="160"/>
      <c r="G300" s="20"/>
      <c r="H300" s="20"/>
      <c r="I300" s="20"/>
      <c r="J300" s="20"/>
      <c r="K300" s="20"/>
      <c r="L300" s="20"/>
      <c r="M300" s="20"/>
      <c r="N300" s="20"/>
      <c r="O300" s="24"/>
      <c r="P300" s="161" t="str">
        <f t="shared" si="9"/>
        <v/>
      </c>
      <c r="Q300" s="7"/>
    </row>
    <row r="301" spans="1:17">
      <c r="A301" s="31" t="str">
        <f t="shared" si="8"/>
        <v/>
      </c>
      <c r="B301" s="159"/>
      <c r="C301" s="21"/>
      <c r="D301" s="97" t="str">
        <f>IF(C301="","",IFERROR(INDEX(②メンバー!$C$5:$C$104,MATCH(C301,②メンバー!$B$5:$B$104,0)),""))</f>
        <v/>
      </c>
      <c r="E301" s="24"/>
      <c r="F301" s="160"/>
      <c r="G301" s="20"/>
      <c r="H301" s="20"/>
      <c r="I301" s="20"/>
      <c r="J301" s="20"/>
      <c r="K301" s="20"/>
      <c r="L301" s="20"/>
      <c r="M301" s="20"/>
      <c r="N301" s="20"/>
      <c r="O301" s="24"/>
      <c r="P301" s="161" t="str">
        <f t="shared" si="9"/>
        <v/>
      </c>
      <c r="Q301" s="7"/>
    </row>
    <row r="302" spans="1:17">
      <c r="A302" s="31" t="str">
        <f t="shared" si="8"/>
        <v/>
      </c>
      <c r="B302" s="159"/>
      <c r="C302" s="21"/>
      <c r="D302" s="97" t="str">
        <f>IF(C302="","",IFERROR(INDEX(②メンバー!$C$5:$C$104,MATCH(C302,②メンバー!$B$5:$B$104,0)),""))</f>
        <v/>
      </c>
      <c r="E302" s="24"/>
      <c r="F302" s="160"/>
      <c r="G302" s="20"/>
      <c r="H302" s="20"/>
      <c r="I302" s="20"/>
      <c r="J302" s="20"/>
      <c r="K302" s="20"/>
      <c r="L302" s="20"/>
      <c r="M302" s="20"/>
      <c r="N302" s="20"/>
      <c r="O302" s="24"/>
      <c r="P302" s="161" t="str">
        <f t="shared" si="9"/>
        <v/>
      </c>
      <c r="Q302" s="7"/>
    </row>
    <row r="303" spans="1:17">
      <c r="A303" s="31" t="str">
        <f t="shared" si="8"/>
        <v/>
      </c>
      <c r="B303" s="159"/>
      <c r="C303" s="21"/>
      <c r="D303" s="97" t="str">
        <f>IF(C303="","",IFERROR(INDEX(②メンバー!$C$5:$C$104,MATCH(C303,②メンバー!$B$5:$B$104,0)),""))</f>
        <v/>
      </c>
      <c r="E303" s="24"/>
      <c r="F303" s="160"/>
      <c r="G303" s="20"/>
      <c r="H303" s="20"/>
      <c r="I303" s="20"/>
      <c r="J303" s="20"/>
      <c r="K303" s="20"/>
      <c r="L303" s="20"/>
      <c r="M303" s="20"/>
      <c r="N303" s="20"/>
      <c r="O303" s="24"/>
      <c r="P303" s="161" t="str">
        <f t="shared" si="9"/>
        <v/>
      </c>
      <c r="Q303" s="7"/>
    </row>
    <row r="304" spans="1:17">
      <c r="A304" s="31" t="str">
        <f t="shared" si="8"/>
        <v/>
      </c>
      <c r="B304" s="159"/>
      <c r="C304" s="21"/>
      <c r="D304" s="97" t="str">
        <f>IF(C304="","",IFERROR(INDEX(②メンバー!$C$5:$C$104,MATCH(C304,②メンバー!$B$5:$B$104,0)),""))</f>
        <v/>
      </c>
      <c r="E304" s="24"/>
      <c r="F304" s="160"/>
      <c r="G304" s="20"/>
      <c r="H304" s="20"/>
      <c r="I304" s="20"/>
      <c r="J304" s="20"/>
      <c r="K304" s="20"/>
      <c r="L304" s="20"/>
      <c r="M304" s="20"/>
      <c r="N304" s="20"/>
      <c r="O304" s="24"/>
      <c r="P304" s="161" t="str">
        <f t="shared" si="9"/>
        <v/>
      </c>
      <c r="Q304" s="7"/>
    </row>
    <row r="305" spans="1:17">
      <c r="A305" s="31" t="str">
        <f t="shared" si="8"/>
        <v/>
      </c>
      <c r="B305" s="159"/>
      <c r="C305" s="21"/>
      <c r="D305" s="97" t="str">
        <f>IF(C305="","",IFERROR(INDEX(②メンバー!$C$5:$C$104,MATCH(C305,②メンバー!$B$5:$B$104,0)),""))</f>
        <v/>
      </c>
      <c r="E305" s="24"/>
      <c r="F305" s="160"/>
      <c r="G305" s="20"/>
      <c r="H305" s="20"/>
      <c r="I305" s="20"/>
      <c r="J305" s="20"/>
      <c r="K305" s="20"/>
      <c r="L305" s="20"/>
      <c r="M305" s="20"/>
      <c r="N305" s="20"/>
      <c r="O305" s="24"/>
      <c r="P305" s="161" t="str">
        <f t="shared" si="9"/>
        <v/>
      </c>
      <c r="Q305" s="7"/>
    </row>
    <row r="306" spans="1:17">
      <c r="A306" s="31" t="str">
        <f t="shared" si="8"/>
        <v/>
      </c>
      <c r="B306" s="159"/>
      <c r="C306" s="21"/>
      <c r="D306" s="97" t="str">
        <f>IF(C306="","",IFERROR(INDEX(②メンバー!$C$5:$C$104,MATCH(C306,②メンバー!$B$5:$B$104,0)),""))</f>
        <v/>
      </c>
      <c r="E306" s="24"/>
      <c r="F306" s="160"/>
      <c r="G306" s="20"/>
      <c r="H306" s="20"/>
      <c r="I306" s="20"/>
      <c r="J306" s="20"/>
      <c r="K306" s="20"/>
      <c r="L306" s="20"/>
      <c r="M306" s="20"/>
      <c r="N306" s="20"/>
      <c r="O306" s="24"/>
      <c r="P306" s="161" t="str">
        <f t="shared" si="9"/>
        <v/>
      </c>
      <c r="Q306" s="7"/>
    </row>
    <row r="307" spans="1:17">
      <c r="A307" s="31" t="str">
        <f t="shared" si="8"/>
        <v/>
      </c>
      <c r="B307" s="159"/>
      <c r="C307" s="21"/>
      <c r="D307" s="97" t="str">
        <f>IF(C307="","",IFERROR(INDEX(②メンバー!$C$5:$C$104,MATCH(C307,②メンバー!$B$5:$B$104,0)),""))</f>
        <v/>
      </c>
      <c r="E307" s="24"/>
      <c r="F307" s="160"/>
      <c r="G307" s="20"/>
      <c r="H307" s="20"/>
      <c r="I307" s="20"/>
      <c r="J307" s="20"/>
      <c r="K307" s="20"/>
      <c r="L307" s="20"/>
      <c r="M307" s="20"/>
      <c r="N307" s="20"/>
      <c r="O307" s="24"/>
      <c r="P307" s="161" t="str">
        <f t="shared" si="9"/>
        <v/>
      </c>
      <c r="Q307" s="7"/>
    </row>
    <row r="308" spans="1:17">
      <c r="A308" s="31" t="str">
        <f t="shared" si="8"/>
        <v/>
      </c>
      <c r="B308" s="159"/>
      <c r="C308" s="21"/>
      <c r="D308" s="97" t="str">
        <f>IF(C308="","",IFERROR(INDEX(②メンバー!$C$5:$C$104,MATCH(C308,②メンバー!$B$5:$B$104,0)),""))</f>
        <v/>
      </c>
      <c r="E308" s="24"/>
      <c r="F308" s="160"/>
      <c r="G308" s="20"/>
      <c r="H308" s="20"/>
      <c r="I308" s="20"/>
      <c r="J308" s="20"/>
      <c r="K308" s="20"/>
      <c r="L308" s="20"/>
      <c r="M308" s="20"/>
      <c r="N308" s="20"/>
      <c r="O308" s="24"/>
      <c r="P308" s="161" t="str">
        <f t="shared" si="9"/>
        <v/>
      </c>
      <c r="Q308" s="7"/>
    </row>
    <row r="309" spans="1:17">
      <c r="A309" s="31" t="str">
        <f t="shared" si="8"/>
        <v/>
      </c>
      <c r="B309" s="159"/>
      <c r="C309" s="21"/>
      <c r="D309" s="97" t="str">
        <f>IF(C309="","",IFERROR(INDEX(②メンバー!$C$5:$C$104,MATCH(C309,②メンバー!$B$5:$B$104,0)),""))</f>
        <v/>
      </c>
      <c r="E309" s="24"/>
      <c r="F309" s="160"/>
      <c r="G309" s="20"/>
      <c r="H309" s="20"/>
      <c r="I309" s="20"/>
      <c r="J309" s="20"/>
      <c r="K309" s="20"/>
      <c r="L309" s="20"/>
      <c r="M309" s="20"/>
      <c r="N309" s="20"/>
      <c r="O309" s="24"/>
      <c r="P309" s="161" t="str">
        <f t="shared" si="9"/>
        <v/>
      </c>
      <c r="Q309" s="7"/>
    </row>
    <row r="310" spans="1:17">
      <c r="A310" s="31" t="str">
        <f t="shared" si="8"/>
        <v/>
      </c>
      <c r="B310" s="159"/>
      <c r="C310" s="21"/>
      <c r="D310" s="97" t="str">
        <f>IF(C310="","",IFERROR(INDEX(②メンバー!$C$5:$C$104,MATCH(C310,②メンバー!$B$5:$B$104,0)),""))</f>
        <v/>
      </c>
      <c r="E310" s="24"/>
      <c r="F310" s="160"/>
      <c r="G310" s="20"/>
      <c r="H310" s="20"/>
      <c r="I310" s="20"/>
      <c r="J310" s="20"/>
      <c r="K310" s="20"/>
      <c r="L310" s="20"/>
      <c r="M310" s="20"/>
      <c r="N310" s="20"/>
      <c r="O310" s="24"/>
      <c r="P310" s="161" t="str">
        <f t="shared" si="9"/>
        <v/>
      </c>
      <c r="Q310" s="7"/>
    </row>
    <row r="311" spans="1:17">
      <c r="A311" s="31" t="str">
        <f t="shared" si="8"/>
        <v/>
      </c>
      <c r="B311" s="159"/>
      <c r="C311" s="21"/>
      <c r="D311" s="97" t="str">
        <f>IF(C311="","",IFERROR(INDEX(②メンバー!$C$5:$C$104,MATCH(C311,②メンバー!$B$5:$B$104,0)),""))</f>
        <v/>
      </c>
      <c r="E311" s="24"/>
      <c r="F311" s="160"/>
      <c r="G311" s="20"/>
      <c r="H311" s="20"/>
      <c r="I311" s="20"/>
      <c r="J311" s="20"/>
      <c r="K311" s="20"/>
      <c r="L311" s="20"/>
      <c r="M311" s="20"/>
      <c r="N311" s="20"/>
      <c r="O311" s="24"/>
      <c r="P311" s="161" t="str">
        <f t="shared" si="9"/>
        <v/>
      </c>
      <c r="Q311" s="7"/>
    </row>
    <row r="312" spans="1:17">
      <c r="A312" s="31" t="str">
        <f t="shared" si="8"/>
        <v/>
      </c>
      <c r="B312" s="159"/>
      <c r="C312" s="21"/>
      <c r="D312" s="97" t="str">
        <f>IF(C312="","",IFERROR(INDEX(②メンバー!$C$5:$C$104,MATCH(C312,②メンバー!$B$5:$B$104,0)),""))</f>
        <v/>
      </c>
      <c r="E312" s="24"/>
      <c r="F312" s="160"/>
      <c r="G312" s="20"/>
      <c r="H312" s="20"/>
      <c r="I312" s="20"/>
      <c r="J312" s="20"/>
      <c r="K312" s="20"/>
      <c r="L312" s="20"/>
      <c r="M312" s="20"/>
      <c r="N312" s="20"/>
      <c r="O312" s="24"/>
      <c r="P312" s="161" t="str">
        <f t="shared" si="9"/>
        <v/>
      </c>
      <c r="Q312" s="7"/>
    </row>
    <row r="313" spans="1:17">
      <c r="A313" s="31" t="str">
        <f t="shared" si="8"/>
        <v/>
      </c>
      <c r="B313" s="159"/>
      <c r="C313" s="21"/>
      <c r="D313" s="97" t="str">
        <f>IF(C313="","",IFERROR(INDEX(②メンバー!$C$5:$C$104,MATCH(C313,②メンバー!$B$5:$B$104,0)),""))</f>
        <v/>
      </c>
      <c r="E313" s="24"/>
      <c r="F313" s="160"/>
      <c r="G313" s="20"/>
      <c r="H313" s="20"/>
      <c r="I313" s="20"/>
      <c r="J313" s="20"/>
      <c r="K313" s="20"/>
      <c r="L313" s="20"/>
      <c r="M313" s="20"/>
      <c r="N313" s="20"/>
      <c r="O313" s="24"/>
      <c r="P313" s="161" t="str">
        <f t="shared" si="9"/>
        <v/>
      </c>
      <c r="Q313" s="7"/>
    </row>
    <row r="314" spans="1:17">
      <c r="A314" s="31" t="str">
        <f t="shared" si="8"/>
        <v/>
      </c>
      <c r="B314" s="159"/>
      <c r="C314" s="21"/>
      <c r="D314" s="97" t="str">
        <f>IF(C314="","",IFERROR(INDEX(②メンバー!$C$5:$C$104,MATCH(C314,②メンバー!$B$5:$B$104,0)),""))</f>
        <v/>
      </c>
      <c r="E314" s="24"/>
      <c r="F314" s="160"/>
      <c r="G314" s="20"/>
      <c r="H314" s="20"/>
      <c r="I314" s="20"/>
      <c r="J314" s="20"/>
      <c r="K314" s="20"/>
      <c r="L314" s="20"/>
      <c r="M314" s="20"/>
      <c r="N314" s="20"/>
      <c r="O314" s="24"/>
      <c r="P314" s="161" t="str">
        <f t="shared" si="9"/>
        <v/>
      </c>
      <c r="Q314" s="7"/>
    </row>
    <row r="315" spans="1:17">
      <c r="A315" s="31" t="str">
        <f t="shared" si="8"/>
        <v/>
      </c>
      <c r="B315" s="159"/>
      <c r="C315" s="21"/>
      <c r="D315" s="97" t="str">
        <f>IF(C315="","",IFERROR(INDEX(②メンバー!$C$5:$C$104,MATCH(C315,②メンバー!$B$5:$B$104,0)),""))</f>
        <v/>
      </c>
      <c r="E315" s="24"/>
      <c r="F315" s="160"/>
      <c r="G315" s="20"/>
      <c r="H315" s="20"/>
      <c r="I315" s="20"/>
      <c r="J315" s="20"/>
      <c r="K315" s="20"/>
      <c r="L315" s="20"/>
      <c r="M315" s="20"/>
      <c r="N315" s="20"/>
      <c r="O315" s="24"/>
      <c r="P315" s="161" t="str">
        <f t="shared" si="9"/>
        <v/>
      </c>
      <c r="Q315" s="7"/>
    </row>
    <row r="316" spans="1:17">
      <c r="A316" s="31" t="str">
        <f t="shared" si="8"/>
        <v/>
      </c>
      <c r="B316" s="159"/>
      <c r="C316" s="21"/>
      <c r="D316" s="97" t="str">
        <f>IF(C316="","",IFERROR(INDEX(②メンバー!$C$5:$C$104,MATCH(C316,②メンバー!$B$5:$B$104,0)),""))</f>
        <v/>
      </c>
      <c r="E316" s="24"/>
      <c r="F316" s="160"/>
      <c r="G316" s="20"/>
      <c r="H316" s="20"/>
      <c r="I316" s="20"/>
      <c r="J316" s="20"/>
      <c r="K316" s="20"/>
      <c r="L316" s="20"/>
      <c r="M316" s="20"/>
      <c r="N316" s="20"/>
      <c r="O316" s="24"/>
      <c r="P316" s="161" t="str">
        <f t="shared" si="9"/>
        <v/>
      </c>
      <c r="Q316" s="7"/>
    </row>
    <row r="317" spans="1:17">
      <c r="A317" s="31" t="str">
        <f t="shared" si="8"/>
        <v/>
      </c>
      <c r="B317" s="159"/>
      <c r="C317" s="21"/>
      <c r="D317" s="97" t="str">
        <f>IF(C317="","",IFERROR(INDEX(②メンバー!$C$5:$C$104,MATCH(C317,②メンバー!$B$5:$B$104,0)),""))</f>
        <v/>
      </c>
      <c r="E317" s="24"/>
      <c r="F317" s="160"/>
      <c r="G317" s="20"/>
      <c r="H317" s="20"/>
      <c r="I317" s="20"/>
      <c r="J317" s="20"/>
      <c r="K317" s="20"/>
      <c r="L317" s="20"/>
      <c r="M317" s="20"/>
      <c r="N317" s="20"/>
      <c r="O317" s="24"/>
      <c r="P317" s="161" t="str">
        <f t="shared" si="9"/>
        <v/>
      </c>
      <c r="Q317" s="7"/>
    </row>
    <row r="318" spans="1:17">
      <c r="A318" s="31" t="str">
        <f t="shared" si="8"/>
        <v/>
      </c>
      <c r="B318" s="159"/>
      <c r="C318" s="21"/>
      <c r="D318" s="97" t="str">
        <f>IF(C318="","",IFERROR(INDEX(②メンバー!$C$5:$C$104,MATCH(C318,②メンバー!$B$5:$B$104,0)),""))</f>
        <v/>
      </c>
      <c r="E318" s="24"/>
      <c r="F318" s="160"/>
      <c r="G318" s="20"/>
      <c r="H318" s="20"/>
      <c r="I318" s="20"/>
      <c r="J318" s="20"/>
      <c r="K318" s="20"/>
      <c r="L318" s="20"/>
      <c r="M318" s="20"/>
      <c r="N318" s="20"/>
      <c r="O318" s="24"/>
      <c r="P318" s="161" t="str">
        <f t="shared" si="9"/>
        <v/>
      </c>
      <c r="Q318" s="7"/>
    </row>
    <row r="319" spans="1:17">
      <c r="A319" s="31" t="str">
        <f t="shared" si="8"/>
        <v/>
      </c>
      <c r="B319" s="159"/>
      <c r="C319" s="21"/>
      <c r="D319" s="97" t="str">
        <f>IF(C319="","",IFERROR(INDEX(②メンバー!$C$5:$C$104,MATCH(C319,②メンバー!$B$5:$B$104,0)),""))</f>
        <v/>
      </c>
      <c r="E319" s="24"/>
      <c r="F319" s="160"/>
      <c r="G319" s="20"/>
      <c r="H319" s="20"/>
      <c r="I319" s="20"/>
      <c r="J319" s="20"/>
      <c r="K319" s="20"/>
      <c r="L319" s="20"/>
      <c r="M319" s="20"/>
      <c r="N319" s="20"/>
      <c r="O319" s="24"/>
      <c r="P319" s="161" t="str">
        <f t="shared" si="9"/>
        <v/>
      </c>
      <c r="Q319" s="7"/>
    </row>
    <row r="320" spans="1:17">
      <c r="A320" s="31" t="str">
        <f t="shared" si="8"/>
        <v/>
      </c>
      <c r="B320" s="159"/>
      <c r="C320" s="21"/>
      <c r="D320" s="97" t="str">
        <f>IF(C320="","",IFERROR(INDEX(②メンバー!$C$5:$C$104,MATCH(C320,②メンバー!$B$5:$B$104,0)),""))</f>
        <v/>
      </c>
      <c r="E320" s="24"/>
      <c r="F320" s="160"/>
      <c r="G320" s="20"/>
      <c r="H320" s="20"/>
      <c r="I320" s="20"/>
      <c r="J320" s="20"/>
      <c r="K320" s="20"/>
      <c r="L320" s="20"/>
      <c r="M320" s="20"/>
      <c r="N320" s="20"/>
      <c r="O320" s="24"/>
      <c r="P320" s="161" t="str">
        <f t="shared" si="9"/>
        <v/>
      </c>
      <c r="Q320" s="7"/>
    </row>
    <row r="321" spans="1:17">
      <c r="A321" s="31" t="str">
        <f t="shared" si="8"/>
        <v/>
      </c>
      <c r="B321" s="159"/>
      <c r="C321" s="21"/>
      <c r="D321" s="97" t="str">
        <f>IF(C321="","",IFERROR(INDEX(②メンバー!$C$5:$C$104,MATCH(C321,②メンバー!$B$5:$B$104,0)),""))</f>
        <v/>
      </c>
      <c r="E321" s="24"/>
      <c r="F321" s="160"/>
      <c r="G321" s="20"/>
      <c r="H321" s="20"/>
      <c r="I321" s="20"/>
      <c r="J321" s="20"/>
      <c r="K321" s="20"/>
      <c r="L321" s="20"/>
      <c r="M321" s="20"/>
      <c r="N321" s="20"/>
      <c r="O321" s="24"/>
      <c r="P321" s="161" t="str">
        <f t="shared" si="9"/>
        <v/>
      </c>
      <c r="Q321" s="7"/>
    </row>
    <row r="322" spans="1:17">
      <c r="A322" s="31" t="str">
        <f t="shared" si="8"/>
        <v/>
      </c>
      <c r="B322" s="159"/>
      <c r="C322" s="21"/>
      <c r="D322" s="97" t="str">
        <f>IF(C322="","",IFERROR(INDEX(②メンバー!$C$5:$C$104,MATCH(C322,②メンバー!$B$5:$B$104,0)),""))</f>
        <v/>
      </c>
      <c r="E322" s="24"/>
      <c r="F322" s="160"/>
      <c r="G322" s="20"/>
      <c r="H322" s="20"/>
      <c r="I322" s="20"/>
      <c r="J322" s="20"/>
      <c r="K322" s="20"/>
      <c r="L322" s="20"/>
      <c r="M322" s="20"/>
      <c r="N322" s="20"/>
      <c r="O322" s="24"/>
      <c r="P322" s="161" t="str">
        <f t="shared" si="9"/>
        <v/>
      </c>
      <c r="Q322" s="7"/>
    </row>
    <row r="323" spans="1:17">
      <c r="A323" s="31" t="str">
        <f t="shared" si="8"/>
        <v/>
      </c>
      <c r="B323" s="159"/>
      <c r="C323" s="21"/>
      <c r="D323" s="97" t="str">
        <f>IF(C323="","",IFERROR(INDEX(②メンバー!$C$5:$C$104,MATCH(C323,②メンバー!$B$5:$B$104,0)),""))</f>
        <v/>
      </c>
      <c r="E323" s="24"/>
      <c r="F323" s="160"/>
      <c r="G323" s="20"/>
      <c r="H323" s="20"/>
      <c r="I323" s="20"/>
      <c r="J323" s="20"/>
      <c r="K323" s="20"/>
      <c r="L323" s="20"/>
      <c r="M323" s="20"/>
      <c r="N323" s="20"/>
      <c r="O323" s="24"/>
      <c r="P323" s="161" t="str">
        <f t="shared" si="9"/>
        <v/>
      </c>
      <c r="Q323" s="7"/>
    </row>
    <row r="324" spans="1:17">
      <c r="A324" s="31" t="str">
        <f t="shared" si="8"/>
        <v/>
      </c>
      <c r="B324" s="159"/>
      <c r="C324" s="21"/>
      <c r="D324" s="97" t="str">
        <f>IF(C324="","",IFERROR(INDEX(②メンバー!$C$5:$C$104,MATCH(C324,②メンバー!$B$5:$B$104,0)),""))</f>
        <v/>
      </c>
      <c r="E324" s="24"/>
      <c r="F324" s="160"/>
      <c r="G324" s="20"/>
      <c r="H324" s="20"/>
      <c r="I324" s="20"/>
      <c r="J324" s="20"/>
      <c r="K324" s="20"/>
      <c r="L324" s="20"/>
      <c r="M324" s="20"/>
      <c r="N324" s="20"/>
      <c r="O324" s="24"/>
      <c r="P324" s="161" t="str">
        <f t="shared" si="9"/>
        <v/>
      </c>
      <c r="Q324" s="7"/>
    </row>
    <row r="325" spans="1:17">
      <c r="A325" s="31" t="str">
        <f t="shared" si="8"/>
        <v/>
      </c>
      <c r="B325" s="159"/>
      <c r="C325" s="21"/>
      <c r="D325" s="97" t="str">
        <f>IF(C325="","",IFERROR(INDEX(②メンバー!$C$5:$C$104,MATCH(C325,②メンバー!$B$5:$B$104,0)),""))</f>
        <v/>
      </c>
      <c r="E325" s="24"/>
      <c r="F325" s="160"/>
      <c r="G325" s="20"/>
      <c r="H325" s="20"/>
      <c r="I325" s="20"/>
      <c r="J325" s="20"/>
      <c r="K325" s="20"/>
      <c r="L325" s="20"/>
      <c r="M325" s="20"/>
      <c r="N325" s="20"/>
      <c r="O325" s="24"/>
      <c r="P325" s="161" t="str">
        <f t="shared" si="9"/>
        <v/>
      </c>
      <c r="Q325" s="7"/>
    </row>
    <row r="326" spans="1:17">
      <c r="A326" s="31" t="str">
        <f t="shared" ref="A326:A389" si="10">IF(B326="","",ROW()-5)</f>
        <v/>
      </c>
      <c r="B326" s="159"/>
      <c r="C326" s="21"/>
      <c r="D326" s="97" t="str">
        <f>IF(C326="","",IFERROR(INDEX(②メンバー!$C$5:$C$104,MATCH(C326,②メンバー!$B$5:$B$104,0)),""))</f>
        <v/>
      </c>
      <c r="E326" s="24"/>
      <c r="F326" s="160"/>
      <c r="G326" s="20"/>
      <c r="H326" s="20"/>
      <c r="I326" s="20"/>
      <c r="J326" s="20"/>
      <c r="K326" s="20"/>
      <c r="L326" s="20"/>
      <c r="M326" s="20"/>
      <c r="N326" s="20"/>
      <c r="O326" s="24"/>
      <c r="P326" s="161" t="str">
        <f t="shared" ref="P326:P389" si="11">IF(C326="","",IF(COUNTA(F326:O326)=0,IF(E326="出勤","いつもの時間","終日"),TRIM(IF(COUNTIF(F326:O326,"休")&gt;0,"休 "&amp;COUNTIF(F326:O326,"休")&amp;"h ","")&amp;IF(COUNTIF(F326:O326,"出")&gt;0,"出 "&amp;COUNTIF(F326:O326,"出")&amp;"h",""))))</f>
        <v/>
      </c>
      <c r="Q326" s="7"/>
    </row>
    <row r="327" spans="1:17">
      <c r="A327" s="31" t="str">
        <f t="shared" si="10"/>
        <v/>
      </c>
      <c r="B327" s="159"/>
      <c r="C327" s="21"/>
      <c r="D327" s="97" t="str">
        <f>IF(C327="","",IFERROR(INDEX(②メンバー!$C$5:$C$104,MATCH(C327,②メンバー!$B$5:$B$104,0)),""))</f>
        <v/>
      </c>
      <c r="E327" s="24"/>
      <c r="F327" s="160"/>
      <c r="G327" s="20"/>
      <c r="H327" s="20"/>
      <c r="I327" s="20"/>
      <c r="J327" s="20"/>
      <c r="K327" s="20"/>
      <c r="L327" s="20"/>
      <c r="M327" s="20"/>
      <c r="N327" s="20"/>
      <c r="O327" s="24"/>
      <c r="P327" s="161" t="str">
        <f t="shared" si="11"/>
        <v/>
      </c>
      <c r="Q327" s="7"/>
    </row>
    <row r="328" spans="1:17">
      <c r="A328" s="31" t="str">
        <f t="shared" si="10"/>
        <v/>
      </c>
      <c r="B328" s="159"/>
      <c r="C328" s="21"/>
      <c r="D328" s="97" t="str">
        <f>IF(C328="","",IFERROR(INDEX(②メンバー!$C$5:$C$104,MATCH(C328,②メンバー!$B$5:$B$104,0)),""))</f>
        <v/>
      </c>
      <c r="E328" s="24"/>
      <c r="F328" s="160"/>
      <c r="G328" s="20"/>
      <c r="H328" s="20"/>
      <c r="I328" s="20"/>
      <c r="J328" s="20"/>
      <c r="K328" s="20"/>
      <c r="L328" s="20"/>
      <c r="M328" s="20"/>
      <c r="N328" s="20"/>
      <c r="O328" s="24"/>
      <c r="P328" s="161" t="str">
        <f t="shared" si="11"/>
        <v/>
      </c>
      <c r="Q328" s="7"/>
    </row>
    <row r="329" spans="1:17">
      <c r="A329" s="31" t="str">
        <f t="shared" si="10"/>
        <v/>
      </c>
      <c r="B329" s="159"/>
      <c r="C329" s="21"/>
      <c r="D329" s="97" t="str">
        <f>IF(C329="","",IFERROR(INDEX(②メンバー!$C$5:$C$104,MATCH(C329,②メンバー!$B$5:$B$104,0)),""))</f>
        <v/>
      </c>
      <c r="E329" s="24"/>
      <c r="F329" s="160"/>
      <c r="G329" s="20"/>
      <c r="H329" s="20"/>
      <c r="I329" s="20"/>
      <c r="J329" s="20"/>
      <c r="K329" s="20"/>
      <c r="L329" s="20"/>
      <c r="M329" s="20"/>
      <c r="N329" s="20"/>
      <c r="O329" s="24"/>
      <c r="P329" s="161" t="str">
        <f t="shared" si="11"/>
        <v/>
      </c>
      <c r="Q329" s="7"/>
    </row>
    <row r="330" spans="1:17">
      <c r="A330" s="31" t="str">
        <f t="shared" si="10"/>
        <v/>
      </c>
      <c r="B330" s="159"/>
      <c r="C330" s="21"/>
      <c r="D330" s="97" t="str">
        <f>IF(C330="","",IFERROR(INDEX(②メンバー!$C$5:$C$104,MATCH(C330,②メンバー!$B$5:$B$104,0)),""))</f>
        <v/>
      </c>
      <c r="E330" s="24"/>
      <c r="F330" s="160"/>
      <c r="G330" s="20"/>
      <c r="H330" s="20"/>
      <c r="I330" s="20"/>
      <c r="J330" s="20"/>
      <c r="K330" s="20"/>
      <c r="L330" s="20"/>
      <c r="M330" s="20"/>
      <c r="N330" s="20"/>
      <c r="O330" s="24"/>
      <c r="P330" s="161" t="str">
        <f t="shared" si="11"/>
        <v/>
      </c>
      <c r="Q330" s="7"/>
    </row>
    <row r="331" spans="1:17">
      <c r="A331" s="31" t="str">
        <f t="shared" si="10"/>
        <v/>
      </c>
      <c r="B331" s="159"/>
      <c r="C331" s="21"/>
      <c r="D331" s="97" t="str">
        <f>IF(C331="","",IFERROR(INDEX(②メンバー!$C$5:$C$104,MATCH(C331,②メンバー!$B$5:$B$104,0)),""))</f>
        <v/>
      </c>
      <c r="E331" s="24"/>
      <c r="F331" s="160"/>
      <c r="G331" s="20"/>
      <c r="H331" s="20"/>
      <c r="I331" s="20"/>
      <c r="J331" s="20"/>
      <c r="K331" s="20"/>
      <c r="L331" s="20"/>
      <c r="M331" s="20"/>
      <c r="N331" s="20"/>
      <c r="O331" s="24"/>
      <c r="P331" s="161" t="str">
        <f t="shared" si="11"/>
        <v/>
      </c>
      <c r="Q331" s="7"/>
    </row>
    <row r="332" spans="1:17">
      <c r="A332" s="31" t="str">
        <f t="shared" si="10"/>
        <v/>
      </c>
      <c r="B332" s="159"/>
      <c r="C332" s="21"/>
      <c r="D332" s="97" t="str">
        <f>IF(C332="","",IFERROR(INDEX(②メンバー!$C$5:$C$104,MATCH(C332,②メンバー!$B$5:$B$104,0)),""))</f>
        <v/>
      </c>
      <c r="E332" s="24"/>
      <c r="F332" s="160"/>
      <c r="G332" s="20"/>
      <c r="H332" s="20"/>
      <c r="I332" s="20"/>
      <c r="J332" s="20"/>
      <c r="K332" s="20"/>
      <c r="L332" s="20"/>
      <c r="M332" s="20"/>
      <c r="N332" s="20"/>
      <c r="O332" s="24"/>
      <c r="P332" s="161" t="str">
        <f t="shared" si="11"/>
        <v/>
      </c>
      <c r="Q332" s="7"/>
    </row>
    <row r="333" spans="1:17">
      <c r="A333" s="31" t="str">
        <f t="shared" si="10"/>
        <v/>
      </c>
      <c r="B333" s="159"/>
      <c r="C333" s="21"/>
      <c r="D333" s="97" t="str">
        <f>IF(C333="","",IFERROR(INDEX(②メンバー!$C$5:$C$104,MATCH(C333,②メンバー!$B$5:$B$104,0)),""))</f>
        <v/>
      </c>
      <c r="E333" s="24"/>
      <c r="F333" s="160"/>
      <c r="G333" s="20"/>
      <c r="H333" s="20"/>
      <c r="I333" s="20"/>
      <c r="J333" s="20"/>
      <c r="K333" s="20"/>
      <c r="L333" s="20"/>
      <c r="M333" s="20"/>
      <c r="N333" s="20"/>
      <c r="O333" s="24"/>
      <c r="P333" s="161" t="str">
        <f t="shared" si="11"/>
        <v/>
      </c>
      <c r="Q333" s="7"/>
    </row>
    <row r="334" spans="1:17">
      <c r="A334" s="31" t="str">
        <f t="shared" si="10"/>
        <v/>
      </c>
      <c r="B334" s="159"/>
      <c r="C334" s="21"/>
      <c r="D334" s="97" t="str">
        <f>IF(C334="","",IFERROR(INDEX(②メンバー!$C$5:$C$104,MATCH(C334,②メンバー!$B$5:$B$104,0)),""))</f>
        <v/>
      </c>
      <c r="E334" s="24"/>
      <c r="F334" s="160"/>
      <c r="G334" s="20"/>
      <c r="H334" s="20"/>
      <c r="I334" s="20"/>
      <c r="J334" s="20"/>
      <c r="K334" s="20"/>
      <c r="L334" s="20"/>
      <c r="M334" s="20"/>
      <c r="N334" s="20"/>
      <c r="O334" s="24"/>
      <c r="P334" s="161" t="str">
        <f t="shared" si="11"/>
        <v/>
      </c>
      <c r="Q334" s="7"/>
    </row>
    <row r="335" spans="1:17">
      <c r="A335" s="31" t="str">
        <f t="shared" si="10"/>
        <v/>
      </c>
      <c r="B335" s="159"/>
      <c r="C335" s="21"/>
      <c r="D335" s="97" t="str">
        <f>IF(C335="","",IFERROR(INDEX(②メンバー!$C$5:$C$104,MATCH(C335,②メンバー!$B$5:$B$104,0)),""))</f>
        <v/>
      </c>
      <c r="E335" s="24"/>
      <c r="F335" s="160"/>
      <c r="G335" s="20"/>
      <c r="H335" s="20"/>
      <c r="I335" s="20"/>
      <c r="J335" s="20"/>
      <c r="K335" s="20"/>
      <c r="L335" s="20"/>
      <c r="M335" s="20"/>
      <c r="N335" s="20"/>
      <c r="O335" s="24"/>
      <c r="P335" s="161" t="str">
        <f t="shared" si="11"/>
        <v/>
      </c>
      <c r="Q335" s="7"/>
    </row>
    <row r="336" spans="1:17">
      <c r="A336" s="31" t="str">
        <f t="shared" si="10"/>
        <v/>
      </c>
      <c r="B336" s="159"/>
      <c r="C336" s="21"/>
      <c r="D336" s="97" t="str">
        <f>IF(C336="","",IFERROR(INDEX(②メンバー!$C$5:$C$104,MATCH(C336,②メンバー!$B$5:$B$104,0)),""))</f>
        <v/>
      </c>
      <c r="E336" s="24"/>
      <c r="F336" s="160"/>
      <c r="G336" s="20"/>
      <c r="H336" s="20"/>
      <c r="I336" s="20"/>
      <c r="J336" s="20"/>
      <c r="K336" s="20"/>
      <c r="L336" s="20"/>
      <c r="M336" s="20"/>
      <c r="N336" s="20"/>
      <c r="O336" s="24"/>
      <c r="P336" s="161" t="str">
        <f t="shared" si="11"/>
        <v/>
      </c>
      <c r="Q336" s="7"/>
    </row>
    <row r="337" spans="1:17">
      <c r="A337" s="31" t="str">
        <f t="shared" si="10"/>
        <v/>
      </c>
      <c r="B337" s="159"/>
      <c r="C337" s="21"/>
      <c r="D337" s="97" t="str">
        <f>IF(C337="","",IFERROR(INDEX(②メンバー!$C$5:$C$104,MATCH(C337,②メンバー!$B$5:$B$104,0)),""))</f>
        <v/>
      </c>
      <c r="E337" s="24"/>
      <c r="F337" s="160"/>
      <c r="G337" s="20"/>
      <c r="H337" s="20"/>
      <c r="I337" s="20"/>
      <c r="J337" s="20"/>
      <c r="K337" s="20"/>
      <c r="L337" s="20"/>
      <c r="M337" s="20"/>
      <c r="N337" s="20"/>
      <c r="O337" s="24"/>
      <c r="P337" s="161" t="str">
        <f t="shared" si="11"/>
        <v/>
      </c>
      <c r="Q337" s="7"/>
    </row>
    <row r="338" spans="1:17">
      <c r="A338" s="31" t="str">
        <f t="shared" si="10"/>
        <v/>
      </c>
      <c r="B338" s="159"/>
      <c r="C338" s="21"/>
      <c r="D338" s="97" t="str">
        <f>IF(C338="","",IFERROR(INDEX(②メンバー!$C$5:$C$104,MATCH(C338,②メンバー!$B$5:$B$104,0)),""))</f>
        <v/>
      </c>
      <c r="E338" s="24"/>
      <c r="F338" s="160"/>
      <c r="G338" s="20"/>
      <c r="H338" s="20"/>
      <c r="I338" s="20"/>
      <c r="J338" s="20"/>
      <c r="K338" s="20"/>
      <c r="L338" s="20"/>
      <c r="M338" s="20"/>
      <c r="N338" s="20"/>
      <c r="O338" s="24"/>
      <c r="P338" s="161" t="str">
        <f t="shared" si="11"/>
        <v/>
      </c>
      <c r="Q338" s="7"/>
    </row>
    <row r="339" spans="1:17">
      <c r="A339" s="31" t="str">
        <f t="shared" si="10"/>
        <v/>
      </c>
      <c r="B339" s="159"/>
      <c r="C339" s="21"/>
      <c r="D339" s="97" t="str">
        <f>IF(C339="","",IFERROR(INDEX(②メンバー!$C$5:$C$104,MATCH(C339,②メンバー!$B$5:$B$104,0)),""))</f>
        <v/>
      </c>
      <c r="E339" s="24"/>
      <c r="F339" s="160"/>
      <c r="G339" s="20"/>
      <c r="H339" s="20"/>
      <c r="I339" s="20"/>
      <c r="J339" s="20"/>
      <c r="K339" s="20"/>
      <c r="L339" s="20"/>
      <c r="M339" s="20"/>
      <c r="N339" s="20"/>
      <c r="O339" s="24"/>
      <c r="P339" s="161" t="str">
        <f t="shared" si="11"/>
        <v/>
      </c>
      <c r="Q339" s="7"/>
    </row>
    <row r="340" spans="1:17">
      <c r="A340" s="31" t="str">
        <f t="shared" si="10"/>
        <v/>
      </c>
      <c r="B340" s="159"/>
      <c r="C340" s="21"/>
      <c r="D340" s="97" t="str">
        <f>IF(C340="","",IFERROR(INDEX(②メンバー!$C$5:$C$104,MATCH(C340,②メンバー!$B$5:$B$104,0)),""))</f>
        <v/>
      </c>
      <c r="E340" s="24"/>
      <c r="F340" s="160"/>
      <c r="G340" s="20"/>
      <c r="H340" s="20"/>
      <c r="I340" s="20"/>
      <c r="J340" s="20"/>
      <c r="K340" s="20"/>
      <c r="L340" s="20"/>
      <c r="M340" s="20"/>
      <c r="N340" s="20"/>
      <c r="O340" s="24"/>
      <c r="P340" s="161" t="str">
        <f t="shared" si="11"/>
        <v/>
      </c>
      <c r="Q340" s="7"/>
    </row>
    <row r="341" spans="1:17">
      <c r="A341" s="31" t="str">
        <f t="shared" si="10"/>
        <v/>
      </c>
      <c r="B341" s="159"/>
      <c r="C341" s="21"/>
      <c r="D341" s="97" t="str">
        <f>IF(C341="","",IFERROR(INDEX(②メンバー!$C$5:$C$104,MATCH(C341,②メンバー!$B$5:$B$104,0)),""))</f>
        <v/>
      </c>
      <c r="E341" s="24"/>
      <c r="F341" s="160"/>
      <c r="G341" s="20"/>
      <c r="H341" s="20"/>
      <c r="I341" s="20"/>
      <c r="J341" s="20"/>
      <c r="K341" s="20"/>
      <c r="L341" s="20"/>
      <c r="M341" s="20"/>
      <c r="N341" s="20"/>
      <c r="O341" s="24"/>
      <c r="P341" s="161" t="str">
        <f t="shared" si="11"/>
        <v/>
      </c>
      <c r="Q341" s="7"/>
    </row>
    <row r="342" spans="1:17">
      <c r="A342" s="31" t="str">
        <f t="shared" si="10"/>
        <v/>
      </c>
      <c r="B342" s="159"/>
      <c r="C342" s="21"/>
      <c r="D342" s="97" t="str">
        <f>IF(C342="","",IFERROR(INDEX(②メンバー!$C$5:$C$104,MATCH(C342,②メンバー!$B$5:$B$104,0)),""))</f>
        <v/>
      </c>
      <c r="E342" s="24"/>
      <c r="F342" s="160"/>
      <c r="G342" s="20"/>
      <c r="H342" s="20"/>
      <c r="I342" s="20"/>
      <c r="J342" s="20"/>
      <c r="K342" s="20"/>
      <c r="L342" s="20"/>
      <c r="M342" s="20"/>
      <c r="N342" s="20"/>
      <c r="O342" s="24"/>
      <c r="P342" s="161" t="str">
        <f t="shared" si="11"/>
        <v/>
      </c>
      <c r="Q342" s="7"/>
    </row>
    <row r="343" spans="1:17">
      <c r="A343" s="31" t="str">
        <f t="shared" si="10"/>
        <v/>
      </c>
      <c r="B343" s="159"/>
      <c r="C343" s="21"/>
      <c r="D343" s="97" t="str">
        <f>IF(C343="","",IFERROR(INDEX(②メンバー!$C$5:$C$104,MATCH(C343,②メンバー!$B$5:$B$104,0)),""))</f>
        <v/>
      </c>
      <c r="E343" s="24"/>
      <c r="F343" s="160"/>
      <c r="G343" s="20"/>
      <c r="H343" s="20"/>
      <c r="I343" s="20"/>
      <c r="J343" s="20"/>
      <c r="K343" s="20"/>
      <c r="L343" s="20"/>
      <c r="M343" s="20"/>
      <c r="N343" s="20"/>
      <c r="O343" s="24"/>
      <c r="P343" s="161" t="str">
        <f t="shared" si="11"/>
        <v/>
      </c>
      <c r="Q343" s="7"/>
    </row>
    <row r="344" spans="1:17">
      <c r="A344" s="31" t="str">
        <f t="shared" si="10"/>
        <v/>
      </c>
      <c r="B344" s="159"/>
      <c r="C344" s="21"/>
      <c r="D344" s="97" t="str">
        <f>IF(C344="","",IFERROR(INDEX(②メンバー!$C$5:$C$104,MATCH(C344,②メンバー!$B$5:$B$104,0)),""))</f>
        <v/>
      </c>
      <c r="E344" s="24"/>
      <c r="F344" s="160"/>
      <c r="G344" s="20"/>
      <c r="H344" s="20"/>
      <c r="I344" s="20"/>
      <c r="J344" s="20"/>
      <c r="K344" s="20"/>
      <c r="L344" s="20"/>
      <c r="M344" s="20"/>
      <c r="N344" s="20"/>
      <c r="O344" s="24"/>
      <c r="P344" s="161" t="str">
        <f t="shared" si="11"/>
        <v/>
      </c>
      <c r="Q344" s="7"/>
    </row>
    <row r="345" spans="1:17">
      <c r="A345" s="31" t="str">
        <f t="shared" si="10"/>
        <v/>
      </c>
      <c r="B345" s="159"/>
      <c r="C345" s="21"/>
      <c r="D345" s="97" t="str">
        <f>IF(C345="","",IFERROR(INDEX(②メンバー!$C$5:$C$104,MATCH(C345,②メンバー!$B$5:$B$104,0)),""))</f>
        <v/>
      </c>
      <c r="E345" s="24"/>
      <c r="F345" s="160"/>
      <c r="G345" s="20"/>
      <c r="H345" s="20"/>
      <c r="I345" s="20"/>
      <c r="J345" s="20"/>
      <c r="K345" s="20"/>
      <c r="L345" s="20"/>
      <c r="M345" s="20"/>
      <c r="N345" s="20"/>
      <c r="O345" s="24"/>
      <c r="P345" s="161" t="str">
        <f t="shared" si="11"/>
        <v/>
      </c>
      <c r="Q345" s="7"/>
    </row>
    <row r="346" spans="1:17">
      <c r="A346" s="31" t="str">
        <f t="shared" si="10"/>
        <v/>
      </c>
      <c r="B346" s="159"/>
      <c r="C346" s="21"/>
      <c r="D346" s="97" t="str">
        <f>IF(C346="","",IFERROR(INDEX(②メンバー!$C$5:$C$104,MATCH(C346,②メンバー!$B$5:$B$104,0)),""))</f>
        <v/>
      </c>
      <c r="E346" s="24"/>
      <c r="F346" s="160"/>
      <c r="G346" s="20"/>
      <c r="H346" s="20"/>
      <c r="I346" s="20"/>
      <c r="J346" s="20"/>
      <c r="K346" s="20"/>
      <c r="L346" s="20"/>
      <c r="M346" s="20"/>
      <c r="N346" s="20"/>
      <c r="O346" s="24"/>
      <c r="P346" s="161" t="str">
        <f t="shared" si="11"/>
        <v/>
      </c>
      <c r="Q346" s="7"/>
    </row>
    <row r="347" spans="1:17">
      <c r="A347" s="31" t="str">
        <f t="shared" si="10"/>
        <v/>
      </c>
      <c r="B347" s="159"/>
      <c r="C347" s="21"/>
      <c r="D347" s="97" t="str">
        <f>IF(C347="","",IFERROR(INDEX(②メンバー!$C$5:$C$104,MATCH(C347,②メンバー!$B$5:$B$104,0)),""))</f>
        <v/>
      </c>
      <c r="E347" s="24"/>
      <c r="F347" s="160"/>
      <c r="G347" s="20"/>
      <c r="H347" s="20"/>
      <c r="I347" s="20"/>
      <c r="J347" s="20"/>
      <c r="K347" s="20"/>
      <c r="L347" s="20"/>
      <c r="M347" s="20"/>
      <c r="N347" s="20"/>
      <c r="O347" s="24"/>
      <c r="P347" s="161" t="str">
        <f t="shared" si="11"/>
        <v/>
      </c>
      <c r="Q347" s="7"/>
    </row>
    <row r="348" spans="1:17">
      <c r="A348" s="31" t="str">
        <f t="shared" si="10"/>
        <v/>
      </c>
      <c r="B348" s="159"/>
      <c r="C348" s="21"/>
      <c r="D348" s="97" t="str">
        <f>IF(C348="","",IFERROR(INDEX(②メンバー!$C$5:$C$104,MATCH(C348,②メンバー!$B$5:$B$104,0)),""))</f>
        <v/>
      </c>
      <c r="E348" s="24"/>
      <c r="F348" s="160"/>
      <c r="G348" s="20"/>
      <c r="H348" s="20"/>
      <c r="I348" s="20"/>
      <c r="J348" s="20"/>
      <c r="K348" s="20"/>
      <c r="L348" s="20"/>
      <c r="M348" s="20"/>
      <c r="N348" s="20"/>
      <c r="O348" s="24"/>
      <c r="P348" s="161" t="str">
        <f t="shared" si="11"/>
        <v/>
      </c>
      <c r="Q348" s="7"/>
    </row>
    <row r="349" spans="1:17">
      <c r="A349" s="31" t="str">
        <f t="shared" si="10"/>
        <v/>
      </c>
      <c r="B349" s="159"/>
      <c r="C349" s="21"/>
      <c r="D349" s="97" t="str">
        <f>IF(C349="","",IFERROR(INDEX(②メンバー!$C$5:$C$104,MATCH(C349,②メンバー!$B$5:$B$104,0)),""))</f>
        <v/>
      </c>
      <c r="E349" s="24"/>
      <c r="F349" s="160"/>
      <c r="G349" s="20"/>
      <c r="H349" s="20"/>
      <c r="I349" s="20"/>
      <c r="J349" s="20"/>
      <c r="K349" s="20"/>
      <c r="L349" s="20"/>
      <c r="M349" s="20"/>
      <c r="N349" s="20"/>
      <c r="O349" s="24"/>
      <c r="P349" s="161" t="str">
        <f t="shared" si="11"/>
        <v/>
      </c>
      <c r="Q349" s="7"/>
    </row>
    <row r="350" spans="1:17">
      <c r="A350" s="31" t="str">
        <f t="shared" si="10"/>
        <v/>
      </c>
      <c r="B350" s="159"/>
      <c r="C350" s="21"/>
      <c r="D350" s="97" t="str">
        <f>IF(C350="","",IFERROR(INDEX(②メンバー!$C$5:$C$104,MATCH(C350,②メンバー!$B$5:$B$104,0)),""))</f>
        <v/>
      </c>
      <c r="E350" s="24"/>
      <c r="F350" s="160"/>
      <c r="G350" s="20"/>
      <c r="H350" s="20"/>
      <c r="I350" s="20"/>
      <c r="J350" s="20"/>
      <c r="K350" s="20"/>
      <c r="L350" s="20"/>
      <c r="M350" s="20"/>
      <c r="N350" s="20"/>
      <c r="O350" s="24"/>
      <c r="P350" s="161" t="str">
        <f t="shared" si="11"/>
        <v/>
      </c>
      <c r="Q350" s="7"/>
    </row>
    <row r="351" spans="1:17">
      <c r="A351" s="31" t="str">
        <f t="shared" si="10"/>
        <v/>
      </c>
      <c r="B351" s="159"/>
      <c r="C351" s="21"/>
      <c r="D351" s="97" t="str">
        <f>IF(C351="","",IFERROR(INDEX(②メンバー!$C$5:$C$104,MATCH(C351,②メンバー!$B$5:$B$104,0)),""))</f>
        <v/>
      </c>
      <c r="E351" s="24"/>
      <c r="F351" s="160"/>
      <c r="G351" s="20"/>
      <c r="H351" s="20"/>
      <c r="I351" s="20"/>
      <c r="J351" s="20"/>
      <c r="K351" s="20"/>
      <c r="L351" s="20"/>
      <c r="M351" s="20"/>
      <c r="N351" s="20"/>
      <c r="O351" s="24"/>
      <c r="P351" s="161" t="str">
        <f t="shared" si="11"/>
        <v/>
      </c>
      <c r="Q351" s="7"/>
    </row>
    <row r="352" spans="1:17">
      <c r="A352" s="31" t="str">
        <f t="shared" si="10"/>
        <v/>
      </c>
      <c r="B352" s="159"/>
      <c r="C352" s="21"/>
      <c r="D352" s="97" t="str">
        <f>IF(C352="","",IFERROR(INDEX(②メンバー!$C$5:$C$104,MATCH(C352,②メンバー!$B$5:$B$104,0)),""))</f>
        <v/>
      </c>
      <c r="E352" s="24"/>
      <c r="F352" s="160"/>
      <c r="G352" s="20"/>
      <c r="H352" s="20"/>
      <c r="I352" s="20"/>
      <c r="J352" s="20"/>
      <c r="K352" s="20"/>
      <c r="L352" s="20"/>
      <c r="M352" s="20"/>
      <c r="N352" s="20"/>
      <c r="O352" s="24"/>
      <c r="P352" s="161" t="str">
        <f t="shared" si="11"/>
        <v/>
      </c>
      <c r="Q352" s="7"/>
    </row>
    <row r="353" spans="1:17">
      <c r="A353" s="31" t="str">
        <f t="shared" si="10"/>
        <v/>
      </c>
      <c r="B353" s="159"/>
      <c r="C353" s="21"/>
      <c r="D353" s="97" t="str">
        <f>IF(C353="","",IFERROR(INDEX(②メンバー!$C$5:$C$104,MATCH(C353,②メンバー!$B$5:$B$104,0)),""))</f>
        <v/>
      </c>
      <c r="E353" s="24"/>
      <c r="F353" s="160"/>
      <c r="G353" s="20"/>
      <c r="H353" s="20"/>
      <c r="I353" s="20"/>
      <c r="J353" s="20"/>
      <c r="K353" s="20"/>
      <c r="L353" s="20"/>
      <c r="M353" s="20"/>
      <c r="N353" s="20"/>
      <c r="O353" s="24"/>
      <c r="P353" s="161" t="str">
        <f t="shared" si="11"/>
        <v/>
      </c>
      <c r="Q353" s="7"/>
    </row>
    <row r="354" spans="1:17">
      <c r="A354" s="31" t="str">
        <f t="shared" si="10"/>
        <v/>
      </c>
      <c r="B354" s="159"/>
      <c r="C354" s="21"/>
      <c r="D354" s="97" t="str">
        <f>IF(C354="","",IFERROR(INDEX(②メンバー!$C$5:$C$104,MATCH(C354,②メンバー!$B$5:$B$104,0)),""))</f>
        <v/>
      </c>
      <c r="E354" s="24"/>
      <c r="F354" s="160"/>
      <c r="G354" s="20"/>
      <c r="H354" s="20"/>
      <c r="I354" s="20"/>
      <c r="J354" s="20"/>
      <c r="K354" s="20"/>
      <c r="L354" s="20"/>
      <c r="M354" s="20"/>
      <c r="N354" s="20"/>
      <c r="O354" s="24"/>
      <c r="P354" s="161" t="str">
        <f t="shared" si="11"/>
        <v/>
      </c>
      <c r="Q354" s="7"/>
    </row>
    <row r="355" spans="1:17">
      <c r="A355" s="31" t="str">
        <f t="shared" si="10"/>
        <v/>
      </c>
      <c r="B355" s="159"/>
      <c r="C355" s="21"/>
      <c r="D355" s="97" t="str">
        <f>IF(C355="","",IFERROR(INDEX(②メンバー!$C$5:$C$104,MATCH(C355,②メンバー!$B$5:$B$104,0)),""))</f>
        <v/>
      </c>
      <c r="E355" s="24"/>
      <c r="F355" s="160"/>
      <c r="G355" s="20"/>
      <c r="H355" s="20"/>
      <c r="I355" s="20"/>
      <c r="J355" s="20"/>
      <c r="K355" s="20"/>
      <c r="L355" s="20"/>
      <c r="M355" s="20"/>
      <c r="N355" s="20"/>
      <c r="O355" s="24"/>
      <c r="P355" s="161" t="str">
        <f t="shared" si="11"/>
        <v/>
      </c>
      <c r="Q355" s="7"/>
    </row>
    <row r="356" spans="1:17">
      <c r="A356" s="31" t="str">
        <f t="shared" si="10"/>
        <v/>
      </c>
      <c r="B356" s="159"/>
      <c r="C356" s="21"/>
      <c r="D356" s="97" t="str">
        <f>IF(C356="","",IFERROR(INDEX(②メンバー!$C$5:$C$104,MATCH(C356,②メンバー!$B$5:$B$104,0)),""))</f>
        <v/>
      </c>
      <c r="E356" s="24"/>
      <c r="F356" s="160"/>
      <c r="G356" s="20"/>
      <c r="H356" s="20"/>
      <c r="I356" s="20"/>
      <c r="J356" s="20"/>
      <c r="K356" s="20"/>
      <c r="L356" s="20"/>
      <c r="M356" s="20"/>
      <c r="N356" s="20"/>
      <c r="O356" s="24"/>
      <c r="P356" s="161" t="str">
        <f t="shared" si="11"/>
        <v/>
      </c>
      <c r="Q356" s="7"/>
    </row>
    <row r="357" spans="1:17">
      <c r="A357" s="31" t="str">
        <f t="shared" si="10"/>
        <v/>
      </c>
      <c r="B357" s="159"/>
      <c r="C357" s="21"/>
      <c r="D357" s="97" t="str">
        <f>IF(C357="","",IFERROR(INDEX(②メンバー!$C$5:$C$104,MATCH(C357,②メンバー!$B$5:$B$104,0)),""))</f>
        <v/>
      </c>
      <c r="E357" s="24"/>
      <c r="F357" s="160"/>
      <c r="G357" s="20"/>
      <c r="H357" s="20"/>
      <c r="I357" s="20"/>
      <c r="J357" s="20"/>
      <c r="K357" s="20"/>
      <c r="L357" s="20"/>
      <c r="M357" s="20"/>
      <c r="N357" s="20"/>
      <c r="O357" s="24"/>
      <c r="P357" s="161" t="str">
        <f t="shared" si="11"/>
        <v/>
      </c>
      <c r="Q357" s="7"/>
    </row>
    <row r="358" spans="1:17">
      <c r="A358" s="31" t="str">
        <f t="shared" si="10"/>
        <v/>
      </c>
      <c r="B358" s="159"/>
      <c r="C358" s="21"/>
      <c r="D358" s="97" t="str">
        <f>IF(C358="","",IFERROR(INDEX(②メンバー!$C$5:$C$104,MATCH(C358,②メンバー!$B$5:$B$104,0)),""))</f>
        <v/>
      </c>
      <c r="E358" s="24"/>
      <c r="F358" s="160"/>
      <c r="G358" s="20"/>
      <c r="H358" s="20"/>
      <c r="I358" s="20"/>
      <c r="J358" s="20"/>
      <c r="K358" s="20"/>
      <c r="L358" s="20"/>
      <c r="M358" s="20"/>
      <c r="N358" s="20"/>
      <c r="O358" s="24"/>
      <c r="P358" s="161" t="str">
        <f t="shared" si="11"/>
        <v/>
      </c>
      <c r="Q358" s="7"/>
    </row>
    <row r="359" spans="1:17">
      <c r="A359" s="31" t="str">
        <f t="shared" si="10"/>
        <v/>
      </c>
      <c r="B359" s="159"/>
      <c r="C359" s="21"/>
      <c r="D359" s="97" t="str">
        <f>IF(C359="","",IFERROR(INDEX(②メンバー!$C$5:$C$104,MATCH(C359,②メンバー!$B$5:$B$104,0)),""))</f>
        <v/>
      </c>
      <c r="E359" s="24"/>
      <c r="F359" s="160"/>
      <c r="G359" s="20"/>
      <c r="H359" s="20"/>
      <c r="I359" s="20"/>
      <c r="J359" s="20"/>
      <c r="K359" s="20"/>
      <c r="L359" s="20"/>
      <c r="M359" s="20"/>
      <c r="N359" s="20"/>
      <c r="O359" s="24"/>
      <c r="P359" s="161" t="str">
        <f t="shared" si="11"/>
        <v/>
      </c>
      <c r="Q359" s="7"/>
    </row>
    <row r="360" spans="1:17">
      <c r="A360" s="31" t="str">
        <f t="shared" si="10"/>
        <v/>
      </c>
      <c r="B360" s="159"/>
      <c r="C360" s="21"/>
      <c r="D360" s="97" t="str">
        <f>IF(C360="","",IFERROR(INDEX(②メンバー!$C$5:$C$104,MATCH(C360,②メンバー!$B$5:$B$104,0)),""))</f>
        <v/>
      </c>
      <c r="E360" s="24"/>
      <c r="F360" s="160"/>
      <c r="G360" s="20"/>
      <c r="H360" s="20"/>
      <c r="I360" s="20"/>
      <c r="J360" s="20"/>
      <c r="K360" s="20"/>
      <c r="L360" s="20"/>
      <c r="M360" s="20"/>
      <c r="N360" s="20"/>
      <c r="O360" s="24"/>
      <c r="P360" s="161" t="str">
        <f t="shared" si="11"/>
        <v/>
      </c>
      <c r="Q360" s="7"/>
    </row>
    <row r="361" spans="1:17">
      <c r="A361" s="31" t="str">
        <f t="shared" si="10"/>
        <v/>
      </c>
      <c r="B361" s="159"/>
      <c r="C361" s="21"/>
      <c r="D361" s="97" t="str">
        <f>IF(C361="","",IFERROR(INDEX(②メンバー!$C$5:$C$104,MATCH(C361,②メンバー!$B$5:$B$104,0)),""))</f>
        <v/>
      </c>
      <c r="E361" s="24"/>
      <c r="F361" s="160"/>
      <c r="G361" s="20"/>
      <c r="H361" s="20"/>
      <c r="I361" s="20"/>
      <c r="J361" s="20"/>
      <c r="K361" s="20"/>
      <c r="L361" s="20"/>
      <c r="M361" s="20"/>
      <c r="N361" s="20"/>
      <c r="O361" s="24"/>
      <c r="P361" s="161" t="str">
        <f t="shared" si="11"/>
        <v/>
      </c>
      <c r="Q361" s="7"/>
    </row>
    <row r="362" spans="1:17">
      <c r="A362" s="31" t="str">
        <f t="shared" si="10"/>
        <v/>
      </c>
      <c r="B362" s="159"/>
      <c r="C362" s="21"/>
      <c r="D362" s="97" t="str">
        <f>IF(C362="","",IFERROR(INDEX(②メンバー!$C$5:$C$104,MATCH(C362,②メンバー!$B$5:$B$104,0)),""))</f>
        <v/>
      </c>
      <c r="E362" s="24"/>
      <c r="F362" s="160"/>
      <c r="G362" s="20"/>
      <c r="H362" s="20"/>
      <c r="I362" s="20"/>
      <c r="J362" s="20"/>
      <c r="K362" s="20"/>
      <c r="L362" s="20"/>
      <c r="M362" s="20"/>
      <c r="N362" s="20"/>
      <c r="O362" s="24"/>
      <c r="P362" s="161" t="str">
        <f t="shared" si="11"/>
        <v/>
      </c>
      <c r="Q362" s="7"/>
    </row>
    <row r="363" spans="1:17">
      <c r="A363" s="31" t="str">
        <f t="shared" si="10"/>
        <v/>
      </c>
      <c r="B363" s="159"/>
      <c r="C363" s="21"/>
      <c r="D363" s="97" t="str">
        <f>IF(C363="","",IFERROR(INDEX(②メンバー!$C$5:$C$104,MATCH(C363,②メンバー!$B$5:$B$104,0)),""))</f>
        <v/>
      </c>
      <c r="E363" s="24"/>
      <c r="F363" s="160"/>
      <c r="G363" s="20"/>
      <c r="H363" s="20"/>
      <c r="I363" s="20"/>
      <c r="J363" s="20"/>
      <c r="K363" s="20"/>
      <c r="L363" s="20"/>
      <c r="M363" s="20"/>
      <c r="N363" s="20"/>
      <c r="O363" s="24"/>
      <c r="P363" s="161" t="str">
        <f t="shared" si="11"/>
        <v/>
      </c>
      <c r="Q363" s="7"/>
    </row>
    <row r="364" spans="1:17">
      <c r="A364" s="31" t="str">
        <f t="shared" si="10"/>
        <v/>
      </c>
      <c r="B364" s="159"/>
      <c r="C364" s="21"/>
      <c r="D364" s="97" t="str">
        <f>IF(C364="","",IFERROR(INDEX(②メンバー!$C$5:$C$104,MATCH(C364,②メンバー!$B$5:$B$104,0)),""))</f>
        <v/>
      </c>
      <c r="E364" s="24"/>
      <c r="F364" s="160"/>
      <c r="G364" s="20"/>
      <c r="H364" s="20"/>
      <c r="I364" s="20"/>
      <c r="J364" s="20"/>
      <c r="K364" s="20"/>
      <c r="L364" s="20"/>
      <c r="M364" s="20"/>
      <c r="N364" s="20"/>
      <c r="O364" s="24"/>
      <c r="P364" s="161" t="str">
        <f t="shared" si="11"/>
        <v/>
      </c>
      <c r="Q364" s="7"/>
    </row>
    <row r="365" spans="1:17">
      <c r="A365" s="31" t="str">
        <f t="shared" si="10"/>
        <v/>
      </c>
      <c r="B365" s="159"/>
      <c r="C365" s="21"/>
      <c r="D365" s="97" t="str">
        <f>IF(C365="","",IFERROR(INDEX(②メンバー!$C$5:$C$104,MATCH(C365,②メンバー!$B$5:$B$104,0)),""))</f>
        <v/>
      </c>
      <c r="E365" s="24"/>
      <c r="F365" s="160"/>
      <c r="G365" s="20"/>
      <c r="H365" s="20"/>
      <c r="I365" s="20"/>
      <c r="J365" s="20"/>
      <c r="K365" s="20"/>
      <c r="L365" s="20"/>
      <c r="M365" s="20"/>
      <c r="N365" s="20"/>
      <c r="O365" s="24"/>
      <c r="P365" s="161" t="str">
        <f t="shared" si="11"/>
        <v/>
      </c>
      <c r="Q365" s="7"/>
    </row>
    <row r="366" spans="1:17">
      <c r="A366" s="31" t="str">
        <f t="shared" si="10"/>
        <v/>
      </c>
      <c r="B366" s="159"/>
      <c r="C366" s="21"/>
      <c r="D366" s="97" t="str">
        <f>IF(C366="","",IFERROR(INDEX(②メンバー!$C$5:$C$104,MATCH(C366,②メンバー!$B$5:$B$104,0)),""))</f>
        <v/>
      </c>
      <c r="E366" s="24"/>
      <c r="F366" s="160"/>
      <c r="G366" s="20"/>
      <c r="H366" s="20"/>
      <c r="I366" s="20"/>
      <c r="J366" s="20"/>
      <c r="K366" s="20"/>
      <c r="L366" s="20"/>
      <c r="M366" s="20"/>
      <c r="N366" s="20"/>
      <c r="O366" s="24"/>
      <c r="P366" s="161" t="str">
        <f t="shared" si="11"/>
        <v/>
      </c>
      <c r="Q366" s="7"/>
    </row>
    <row r="367" spans="1:17">
      <c r="A367" s="31" t="str">
        <f t="shared" si="10"/>
        <v/>
      </c>
      <c r="B367" s="159"/>
      <c r="C367" s="21"/>
      <c r="D367" s="97" t="str">
        <f>IF(C367="","",IFERROR(INDEX(②メンバー!$C$5:$C$104,MATCH(C367,②メンバー!$B$5:$B$104,0)),""))</f>
        <v/>
      </c>
      <c r="E367" s="24"/>
      <c r="F367" s="160"/>
      <c r="G367" s="20"/>
      <c r="H367" s="20"/>
      <c r="I367" s="20"/>
      <c r="J367" s="20"/>
      <c r="K367" s="20"/>
      <c r="L367" s="20"/>
      <c r="M367" s="20"/>
      <c r="N367" s="20"/>
      <c r="O367" s="24"/>
      <c r="P367" s="161" t="str">
        <f t="shared" si="11"/>
        <v/>
      </c>
      <c r="Q367" s="7"/>
    </row>
    <row r="368" spans="1:17">
      <c r="A368" s="31" t="str">
        <f t="shared" si="10"/>
        <v/>
      </c>
      <c r="B368" s="159"/>
      <c r="C368" s="21"/>
      <c r="D368" s="97" t="str">
        <f>IF(C368="","",IFERROR(INDEX(②メンバー!$C$5:$C$104,MATCH(C368,②メンバー!$B$5:$B$104,0)),""))</f>
        <v/>
      </c>
      <c r="E368" s="24"/>
      <c r="F368" s="160"/>
      <c r="G368" s="20"/>
      <c r="H368" s="20"/>
      <c r="I368" s="20"/>
      <c r="J368" s="20"/>
      <c r="K368" s="20"/>
      <c r="L368" s="20"/>
      <c r="M368" s="20"/>
      <c r="N368" s="20"/>
      <c r="O368" s="24"/>
      <c r="P368" s="161" t="str">
        <f t="shared" si="11"/>
        <v/>
      </c>
      <c r="Q368" s="7"/>
    </row>
    <row r="369" spans="1:17">
      <c r="A369" s="31" t="str">
        <f t="shared" si="10"/>
        <v/>
      </c>
      <c r="B369" s="159"/>
      <c r="C369" s="21"/>
      <c r="D369" s="97" t="str">
        <f>IF(C369="","",IFERROR(INDEX(②メンバー!$C$5:$C$104,MATCH(C369,②メンバー!$B$5:$B$104,0)),""))</f>
        <v/>
      </c>
      <c r="E369" s="24"/>
      <c r="F369" s="160"/>
      <c r="G369" s="20"/>
      <c r="H369" s="20"/>
      <c r="I369" s="20"/>
      <c r="J369" s="20"/>
      <c r="K369" s="20"/>
      <c r="L369" s="20"/>
      <c r="M369" s="20"/>
      <c r="N369" s="20"/>
      <c r="O369" s="24"/>
      <c r="P369" s="161" t="str">
        <f t="shared" si="11"/>
        <v/>
      </c>
      <c r="Q369" s="7"/>
    </row>
    <row r="370" spans="1:17">
      <c r="A370" s="31" t="str">
        <f t="shared" si="10"/>
        <v/>
      </c>
      <c r="B370" s="159"/>
      <c r="C370" s="21"/>
      <c r="D370" s="97" t="str">
        <f>IF(C370="","",IFERROR(INDEX(②メンバー!$C$5:$C$104,MATCH(C370,②メンバー!$B$5:$B$104,0)),""))</f>
        <v/>
      </c>
      <c r="E370" s="24"/>
      <c r="F370" s="160"/>
      <c r="G370" s="20"/>
      <c r="H370" s="20"/>
      <c r="I370" s="20"/>
      <c r="J370" s="20"/>
      <c r="K370" s="20"/>
      <c r="L370" s="20"/>
      <c r="M370" s="20"/>
      <c r="N370" s="20"/>
      <c r="O370" s="24"/>
      <c r="P370" s="161" t="str">
        <f t="shared" si="11"/>
        <v/>
      </c>
      <c r="Q370" s="7"/>
    </row>
    <row r="371" spans="1:17">
      <c r="A371" s="31" t="str">
        <f t="shared" si="10"/>
        <v/>
      </c>
      <c r="B371" s="159"/>
      <c r="C371" s="21"/>
      <c r="D371" s="97" t="str">
        <f>IF(C371="","",IFERROR(INDEX(②メンバー!$C$5:$C$104,MATCH(C371,②メンバー!$B$5:$B$104,0)),""))</f>
        <v/>
      </c>
      <c r="E371" s="24"/>
      <c r="F371" s="160"/>
      <c r="G371" s="20"/>
      <c r="H371" s="20"/>
      <c r="I371" s="20"/>
      <c r="J371" s="20"/>
      <c r="K371" s="20"/>
      <c r="L371" s="20"/>
      <c r="M371" s="20"/>
      <c r="N371" s="20"/>
      <c r="O371" s="24"/>
      <c r="P371" s="161" t="str">
        <f t="shared" si="11"/>
        <v/>
      </c>
      <c r="Q371" s="7"/>
    </row>
    <row r="372" spans="1:17">
      <c r="A372" s="31" t="str">
        <f t="shared" si="10"/>
        <v/>
      </c>
      <c r="B372" s="159"/>
      <c r="C372" s="21"/>
      <c r="D372" s="97" t="str">
        <f>IF(C372="","",IFERROR(INDEX(②メンバー!$C$5:$C$104,MATCH(C372,②メンバー!$B$5:$B$104,0)),""))</f>
        <v/>
      </c>
      <c r="E372" s="24"/>
      <c r="F372" s="160"/>
      <c r="G372" s="20"/>
      <c r="H372" s="20"/>
      <c r="I372" s="20"/>
      <c r="J372" s="20"/>
      <c r="K372" s="20"/>
      <c r="L372" s="20"/>
      <c r="M372" s="20"/>
      <c r="N372" s="20"/>
      <c r="O372" s="24"/>
      <c r="P372" s="161" t="str">
        <f t="shared" si="11"/>
        <v/>
      </c>
      <c r="Q372" s="7"/>
    </row>
    <row r="373" spans="1:17">
      <c r="A373" s="31" t="str">
        <f t="shared" si="10"/>
        <v/>
      </c>
      <c r="B373" s="159"/>
      <c r="C373" s="21"/>
      <c r="D373" s="97" t="str">
        <f>IF(C373="","",IFERROR(INDEX(②メンバー!$C$5:$C$104,MATCH(C373,②メンバー!$B$5:$B$104,0)),""))</f>
        <v/>
      </c>
      <c r="E373" s="24"/>
      <c r="F373" s="160"/>
      <c r="G373" s="20"/>
      <c r="H373" s="20"/>
      <c r="I373" s="20"/>
      <c r="J373" s="20"/>
      <c r="K373" s="20"/>
      <c r="L373" s="20"/>
      <c r="M373" s="20"/>
      <c r="N373" s="20"/>
      <c r="O373" s="24"/>
      <c r="P373" s="161" t="str">
        <f t="shared" si="11"/>
        <v/>
      </c>
      <c r="Q373" s="7"/>
    </row>
    <row r="374" spans="1:17">
      <c r="A374" s="31" t="str">
        <f t="shared" si="10"/>
        <v/>
      </c>
      <c r="B374" s="159"/>
      <c r="C374" s="21"/>
      <c r="D374" s="97" t="str">
        <f>IF(C374="","",IFERROR(INDEX(②メンバー!$C$5:$C$104,MATCH(C374,②メンバー!$B$5:$B$104,0)),""))</f>
        <v/>
      </c>
      <c r="E374" s="24"/>
      <c r="F374" s="160"/>
      <c r="G374" s="20"/>
      <c r="H374" s="20"/>
      <c r="I374" s="20"/>
      <c r="J374" s="20"/>
      <c r="K374" s="20"/>
      <c r="L374" s="20"/>
      <c r="M374" s="20"/>
      <c r="N374" s="20"/>
      <c r="O374" s="24"/>
      <c r="P374" s="161" t="str">
        <f t="shared" si="11"/>
        <v/>
      </c>
      <c r="Q374" s="7"/>
    </row>
    <row r="375" spans="1:17">
      <c r="A375" s="31" t="str">
        <f t="shared" si="10"/>
        <v/>
      </c>
      <c r="B375" s="159"/>
      <c r="C375" s="21"/>
      <c r="D375" s="97" t="str">
        <f>IF(C375="","",IFERROR(INDEX(②メンバー!$C$5:$C$104,MATCH(C375,②メンバー!$B$5:$B$104,0)),""))</f>
        <v/>
      </c>
      <c r="E375" s="24"/>
      <c r="F375" s="160"/>
      <c r="G375" s="20"/>
      <c r="H375" s="20"/>
      <c r="I375" s="20"/>
      <c r="J375" s="20"/>
      <c r="K375" s="20"/>
      <c r="L375" s="20"/>
      <c r="M375" s="20"/>
      <c r="N375" s="20"/>
      <c r="O375" s="24"/>
      <c r="P375" s="161" t="str">
        <f t="shared" si="11"/>
        <v/>
      </c>
      <c r="Q375" s="7"/>
    </row>
    <row r="376" spans="1:17">
      <c r="A376" s="31" t="str">
        <f t="shared" si="10"/>
        <v/>
      </c>
      <c r="B376" s="159"/>
      <c r="C376" s="21"/>
      <c r="D376" s="97" t="str">
        <f>IF(C376="","",IFERROR(INDEX(②メンバー!$C$5:$C$104,MATCH(C376,②メンバー!$B$5:$B$104,0)),""))</f>
        <v/>
      </c>
      <c r="E376" s="24"/>
      <c r="F376" s="160"/>
      <c r="G376" s="20"/>
      <c r="H376" s="20"/>
      <c r="I376" s="20"/>
      <c r="J376" s="20"/>
      <c r="K376" s="20"/>
      <c r="L376" s="20"/>
      <c r="M376" s="20"/>
      <c r="N376" s="20"/>
      <c r="O376" s="24"/>
      <c r="P376" s="161" t="str">
        <f t="shared" si="11"/>
        <v/>
      </c>
      <c r="Q376" s="7"/>
    </row>
    <row r="377" spans="1:17">
      <c r="A377" s="31" t="str">
        <f t="shared" si="10"/>
        <v/>
      </c>
      <c r="B377" s="159"/>
      <c r="C377" s="21"/>
      <c r="D377" s="97" t="str">
        <f>IF(C377="","",IFERROR(INDEX(②メンバー!$C$5:$C$104,MATCH(C377,②メンバー!$B$5:$B$104,0)),""))</f>
        <v/>
      </c>
      <c r="E377" s="24"/>
      <c r="F377" s="160"/>
      <c r="G377" s="20"/>
      <c r="H377" s="20"/>
      <c r="I377" s="20"/>
      <c r="J377" s="20"/>
      <c r="K377" s="20"/>
      <c r="L377" s="20"/>
      <c r="M377" s="20"/>
      <c r="N377" s="20"/>
      <c r="O377" s="24"/>
      <c r="P377" s="161" t="str">
        <f t="shared" si="11"/>
        <v/>
      </c>
      <c r="Q377" s="7"/>
    </row>
    <row r="378" spans="1:17">
      <c r="A378" s="31" t="str">
        <f t="shared" si="10"/>
        <v/>
      </c>
      <c r="B378" s="159"/>
      <c r="C378" s="21"/>
      <c r="D378" s="97" t="str">
        <f>IF(C378="","",IFERROR(INDEX(②メンバー!$C$5:$C$104,MATCH(C378,②メンバー!$B$5:$B$104,0)),""))</f>
        <v/>
      </c>
      <c r="E378" s="24"/>
      <c r="F378" s="160"/>
      <c r="G378" s="20"/>
      <c r="H378" s="20"/>
      <c r="I378" s="20"/>
      <c r="J378" s="20"/>
      <c r="K378" s="20"/>
      <c r="L378" s="20"/>
      <c r="M378" s="20"/>
      <c r="N378" s="20"/>
      <c r="O378" s="24"/>
      <c r="P378" s="161" t="str">
        <f t="shared" si="11"/>
        <v/>
      </c>
      <c r="Q378" s="7"/>
    </row>
    <row r="379" spans="1:17">
      <c r="A379" s="31" t="str">
        <f t="shared" si="10"/>
        <v/>
      </c>
      <c r="B379" s="159"/>
      <c r="C379" s="21"/>
      <c r="D379" s="97" t="str">
        <f>IF(C379="","",IFERROR(INDEX(②メンバー!$C$5:$C$104,MATCH(C379,②メンバー!$B$5:$B$104,0)),""))</f>
        <v/>
      </c>
      <c r="E379" s="24"/>
      <c r="F379" s="160"/>
      <c r="G379" s="20"/>
      <c r="H379" s="20"/>
      <c r="I379" s="20"/>
      <c r="J379" s="20"/>
      <c r="K379" s="20"/>
      <c r="L379" s="20"/>
      <c r="M379" s="20"/>
      <c r="N379" s="20"/>
      <c r="O379" s="24"/>
      <c r="P379" s="161" t="str">
        <f t="shared" si="11"/>
        <v/>
      </c>
      <c r="Q379" s="7"/>
    </row>
    <row r="380" spans="1:17">
      <c r="A380" s="31" t="str">
        <f t="shared" si="10"/>
        <v/>
      </c>
      <c r="B380" s="159"/>
      <c r="C380" s="21"/>
      <c r="D380" s="97" t="str">
        <f>IF(C380="","",IFERROR(INDEX(②メンバー!$C$5:$C$104,MATCH(C380,②メンバー!$B$5:$B$104,0)),""))</f>
        <v/>
      </c>
      <c r="E380" s="24"/>
      <c r="F380" s="160"/>
      <c r="G380" s="20"/>
      <c r="H380" s="20"/>
      <c r="I380" s="20"/>
      <c r="J380" s="20"/>
      <c r="K380" s="20"/>
      <c r="L380" s="20"/>
      <c r="M380" s="20"/>
      <c r="N380" s="20"/>
      <c r="O380" s="24"/>
      <c r="P380" s="161" t="str">
        <f t="shared" si="11"/>
        <v/>
      </c>
      <c r="Q380" s="7"/>
    </row>
    <row r="381" spans="1:17">
      <c r="A381" s="31" t="str">
        <f t="shared" si="10"/>
        <v/>
      </c>
      <c r="B381" s="159"/>
      <c r="C381" s="21"/>
      <c r="D381" s="97" t="str">
        <f>IF(C381="","",IFERROR(INDEX(②メンバー!$C$5:$C$104,MATCH(C381,②メンバー!$B$5:$B$104,0)),""))</f>
        <v/>
      </c>
      <c r="E381" s="24"/>
      <c r="F381" s="160"/>
      <c r="G381" s="20"/>
      <c r="H381" s="20"/>
      <c r="I381" s="20"/>
      <c r="J381" s="20"/>
      <c r="K381" s="20"/>
      <c r="L381" s="20"/>
      <c r="M381" s="20"/>
      <c r="N381" s="20"/>
      <c r="O381" s="24"/>
      <c r="P381" s="161" t="str">
        <f t="shared" si="11"/>
        <v/>
      </c>
      <c r="Q381" s="7"/>
    </row>
    <row r="382" spans="1:17">
      <c r="A382" s="31" t="str">
        <f t="shared" si="10"/>
        <v/>
      </c>
      <c r="B382" s="159"/>
      <c r="C382" s="21"/>
      <c r="D382" s="97" t="str">
        <f>IF(C382="","",IFERROR(INDEX(②メンバー!$C$5:$C$104,MATCH(C382,②メンバー!$B$5:$B$104,0)),""))</f>
        <v/>
      </c>
      <c r="E382" s="24"/>
      <c r="F382" s="160"/>
      <c r="G382" s="20"/>
      <c r="H382" s="20"/>
      <c r="I382" s="20"/>
      <c r="J382" s="20"/>
      <c r="K382" s="20"/>
      <c r="L382" s="20"/>
      <c r="M382" s="20"/>
      <c r="N382" s="20"/>
      <c r="O382" s="24"/>
      <c r="P382" s="161" t="str">
        <f t="shared" si="11"/>
        <v/>
      </c>
      <c r="Q382" s="7"/>
    </row>
    <row r="383" spans="1:17">
      <c r="A383" s="31" t="str">
        <f t="shared" si="10"/>
        <v/>
      </c>
      <c r="B383" s="159"/>
      <c r="C383" s="21"/>
      <c r="D383" s="97" t="str">
        <f>IF(C383="","",IFERROR(INDEX(②メンバー!$C$5:$C$104,MATCH(C383,②メンバー!$B$5:$B$104,0)),""))</f>
        <v/>
      </c>
      <c r="E383" s="24"/>
      <c r="F383" s="160"/>
      <c r="G383" s="20"/>
      <c r="H383" s="20"/>
      <c r="I383" s="20"/>
      <c r="J383" s="20"/>
      <c r="K383" s="20"/>
      <c r="L383" s="20"/>
      <c r="M383" s="20"/>
      <c r="N383" s="20"/>
      <c r="O383" s="24"/>
      <c r="P383" s="161" t="str">
        <f t="shared" si="11"/>
        <v/>
      </c>
      <c r="Q383" s="7"/>
    </row>
    <row r="384" spans="1:17">
      <c r="A384" s="31" t="str">
        <f t="shared" si="10"/>
        <v/>
      </c>
      <c r="B384" s="159"/>
      <c r="C384" s="21"/>
      <c r="D384" s="97" t="str">
        <f>IF(C384="","",IFERROR(INDEX(②メンバー!$C$5:$C$104,MATCH(C384,②メンバー!$B$5:$B$104,0)),""))</f>
        <v/>
      </c>
      <c r="E384" s="24"/>
      <c r="F384" s="160"/>
      <c r="G384" s="20"/>
      <c r="H384" s="20"/>
      <c r="I384" s="20"/>
      <c r="J384" s="20"/>
      <c r="K384" s="20"/>
      <c r="L384" s="20"/>
      <c r="M384" s="20"/>
      <c r="N384" s="20"/>
      <c r="O384" s="24"/>
      <c r="P384" s="161" t="str">
        <f t="shared" si="11"/>
        <v/>
      </c>
      <c r="Q384" s="7"/>
    </row>
    <row r="385" spans="1:17">
      <c r="A385" s="31" t="str">
        <f t="shared" si="10"/>
        <v/>
      </c>
      <c r="B385" s="159"/>
      <c r="C385" s="21"/>
      <c r="D385" s="97" t="str">
        <f>IF(C385="","",IFERROR(INDEX(②メンバー!$C$5:$C$104,MATCH(C385,②メンバー!$B$5:$B$104,0)),""))</f>
        <v/>
      </c>
      <c r="E385" s="24"/>
      <c r="F385" s="160"/>
      <c r="G385" s="20"/>
      <c r="H385" s="20"/>
      <c r="I385" s="20"/>
      <c r="J385" s="20"/>
      <c r="K385" s="20"/>
      <c r="L385" s="20"/>
      <c r="M385" s="20"/>
      <c r="N385" s="20"/>
      <c r="O385" s="24"/>
      <c r="P385" s="161" t="str">
        <f t="shared" si="11"/>
        <v/>
      </c>
      <c r="Q385" s="7"/>
    </row>
    <row r="386" spans="1:17">
      <c r="A386" s="31" t="str">
        <f t="shared" si="10"/>
        <v/>
      </c>
      <c r="B386" s="159"/>
      <c r="C386" s="21"/>
      <c r="D386" s="97" t="str">
        <f>IF(C386="","",IFERROR(INDEX(②メンバー!$C$5:$C$104,MATCH(C386,②メンバー!$B$5:$B$104,0)),""))</f>
        <v/>
      </c>
      <c r="E386" s="24"/>
      <c r="F386" s="160"/>
      <c r="G386" s="20"/>
      <c r="H386" s="20"/>
      <c r="I386" s="20"/>
      <c r="J386" s="20"/>
      <c r="K386" s="20"/>
      <c r="L386" s="20"/>
      <c r="M386" s="20"/>
      <c r="N386" s="20"/>
      <c r="O386" s="24"/>
      <c r="P386" s="161" t="str">
        <f t="shared" si="11"/>
        <v/>
      </c>
      <c r="Q386" s="7"/>
    </row>
    <row r="387" spans="1:17">
      <c r="A387" s="31" t="str">
        <f t="shared" si="10"/>
        <v/>
      </c>
      <c r="B387" s="159"/>
      <c r="C387" s="21"/>
      <c r="D387" s="97" t="str">
        <f>IF(C387="","",IFERROR(INDEX(②メンバー!$C$5:$C$104,MATCH(C387,②メンバー!$B$5:$B$104,0)),""))</f>
        <v/>
      </c>
      <c r="E387" s="24"/>
      <c r="F387" s="160"/>
      <c r="G387" s="20"/>
      <c r="H387" s="20"/>
      <c r="I387" s="20"/>
      <c r="J387" s="20"/>
      <c r="K387" s="20"/>
      <c r="L387" s="20"/>
      <c r="M387" s="20"/>
      <c r="N387" s="20"/>
      <c r="O387" s="24"/>
      <c r="P387" s="161" t="str">
        <f t="shared" si="11"/>
        <v/>
      </c>
      <c r="Q387" s="7"/>
    </row>
    <row r="388" spans="1:17">
      <c r="A388" s="31" t="str">
        <f t="shared" si="10"/>
        <v/>
      </c>
      <c r="B388" s="159"/>
      <c r="C388" s="21"/>
      <c r="D388" s="97" t="str">
        <f>IF(C388="","",IFERROR(INDEX(②メンバー!$C$5:$C$104,MATCH(C388,②メンバー!$B$5:$B$104,0)),""))</f>
        <v/>
      </c>
      <c r="E388" s="24"/>
      <c r="F388" s="160"/>
      <c r="G388" s="20"/>
      <c r="H388" s="20"/>
      <c r="I388" s="20"/>
      <c r="J388" s="20"/>
      <c r="K388" s="20"/>
      <c r="L388" s="20"/>
      <c r="M388" s="20"/>
      <c r="N388" s="20"/>
      <c r="O388" s="24"/>
      <c r="P388" s="161" t="str">
        <f t="shared" si="11"/>
        <v/>
      </c>
      <c r="Q388" s="7"/>
    </row>
    <row r="389" spans="1:17">
      <c r="A389" s="31" t="str">
        <f t="shared" si="10"/>
        <v/>
      </c>
      <c r="B389" s="159"/>
      <c r="C389" s="21"/>
      <c r="D389" s="97" t="str">
        <f>IF(C389="","",IFERROR(INDEX(②メンバー!$C$5:$C$104,MATCH(C389,②メンバー!$B$5:$B$104,0)),""))</f>
        <v/>
      </c>
      <c r="E389" s="24"/>
      <c r="F389" s="160"/>
      <c r="G389" s="20"/>
      <c r="H389" s="20"/>
      <c r="I389" s="20"/>
      <c r="J389" s="20"/>
      <c r="K389" s="20"/>
      <c r="L389" s="20"/>
      <c r="M389" s="20"/>
      <c r="N389" s="20"/>
      <c r="O389" s="24"/>
      <c r="P389" s="161" t="str">
        <f t="shared" si="11"/>
        <v/>
      </c>
      <c r="Q389" s="7"/>
    </row>
    <row r="390" spans="1:17">
      <c r="A390" s="31" t="str">
        <f t="shared" ref="A390:A453" si="12">IF(B390="","",ROW()-5)</f>
        <v/>
      </c>
      <c r="B390" s="159"/>
      <c r="C390" s="21"/>
      <c r="D390" s="97" t="str">
        <f>IF(C390="","",IFERROR(INDEX(②メンバー!$C$5:$C$104,MATCH(C390,②メンバー!$B$5:$B$104,0)),""))</f>
        <v/>
      </c>
      <c r="E390" s="24"/>
      <c r="F390" s="160"/>
      <c r="G390" s="20"/>
      <c r="H390" s="20"/>
      <c r="I390" s="20"/>
      <c r="J390" s="20"/>
      <c r="K390" s="20"/>
      <c r="L390" s="20"/>
      <c r="M390" s="20"/>
      <c r="N390" s="20"/>
      <c r="O390" s="24"/>
      <c r="P390" s="161" t="str">
        <f t="shared" ref="P390:P453" si="13">IF(C390="","",IF(COUNTA(F390:O390)=0,IF(E390="出勤","いつもの時間","終日"),TRIM(IF(COUNTIF(F390:O390,"休")&gt;0,"休 "&amp;COUNTIF(F390:O390,"休")&amp;"h ","")&amp;IF(COUNTIF(F390:O390,"出")&gt;0,"出 "&amp;COUNTIF(F390:O390,"出")&amp;"h",""))))</f>
        <v/>
      </c>
      <c r="Q390" s="7"/>
    </row>
    <row r="391" spans="1:17">
      <c r="A391" s="31" t="str">
        <f t="shared" si="12"/>
        <v/>
      </c>
      <c r="B391" s="159"/>
      <c r="C391" s="21"/>
      <c r="D391" s="97" t="str">
        <f>IF(C391="","",IFERROR(INDEX(②メンバー!$C$5:$C$104,MATCH(C391,②メンバー!$B$5:$B$104,0)),""))</f>
        <v/>
      </c>
      <c r="E391" s="24"/>
      <c r="F391" s="160"/>
      <c r="G391" s="20"/>
      <c r="H391" s="20"/>
      <c r="I391" s="20"/>
      <c r="J391" s="20"/>
      <c r="K391" s="20"/>
      <c r="L391" s="20"/>
      <c r="M391" s="20"/>
      <c r="N391" s="20"/>
      <c r="O391" s="24"/>
      <c r="P391" s="161" t="str">
        <f t="shared" si="13"/>
        <v/>
      </c>
      <c r="Q391" s="7"/>
    </row>
    <row r="392" spans="1:17">
      <c r="A392" s="31" t="str">
        <f t="shared" si="12"/>
        <v/>
      </c>
      <c r="B392" s="159"/>
      <c r="C392" s="21"/>
      <c r="D392" s="97" t="str">
        <f>IF(C392="","",IFERROR(INDEX(②メンバー!$C$5:$C$104,MATCH(C392,②メンバー!$B$5:$B$104,0)),""))</f>
        <v/>
      </c>
      <c r="E392" s="24"/>
      <c r="F392" s="160"/>
      <c r="G392" s="20"/>
      <c r="H392" s="20"/>
      <c r="I392" s="20"/>
      <c r="J392" s="20"/>
      <c r="K392" s="20"/>
      <c r="L392" s="20"/>
      <c r="M392" s="20"/>
      <c r="N392" s="20"/>
      <c r="O392" s="24"/>
      <c r="P392" s="161" t="str">
        <f t="shared" si="13"/>
        <v/>
      </c>
      <c r="Q392" s="7"/>
    </row>
    <row r="393" spans="1:17">
      <c r="A393" s="31" t="str">
        <f t="shared" si="12"/>
        <v/>
      </c>
      <c r="B393" s="159"/>
      <c r="C393" s="21"/>
      <c r="D393" s="97" t="str">
        <f>IF(C393="","",IFERROR(INDEX(②メンバー!$C$5:$C$104,MATCH(C393,②メンバー!$B$5:$B$104,0)),""))</f>
        <v/>
      </c>
      <c r="E393" s="24"/>
      <c r="F393" s="160"/>
      <c r="G393" s="20"/>
      <c r="H393" s="20"/>
      <c r="I393" s="20"/>
      <c r="J393" s="20"/>
      <c r="K393" s="20"/>
      <c r="L393" s="20"/>
      <c r="M393" s="20"/>
      <c r="N393" s="20"/>
      <c r="O393" s="24"/>
      <c r="P393" s="161" t="str">
        <f t="shared" si="13"/>
        <v/>
      </c>
      <c r="Q393" s="7"/>
    </row>
    <row r="394" spans="1:17">
      <c r="A394" s="31" t="str">
        <f t="shared" si="12"/>
        <v/>
      </c>
      <c r="B394" s="159"/>
      <c r="C394" s="21"/>
      <c r="D394" s="97" t="str">
        <f>IF(C394="","",IFERROR(INDEX(②メンバー!$C$5:$C$104,MATCH(C394,②メンバー!$B$5:$B$104,0)),""))</f>
        <v/>
      </c>
      <c r="E394" s="24"/>
      <c r="F394" s="160"/>
      <c r="G394" s="20"/>
      <c r="H394" s="20"/>
      <c r="I394" s="20"/>
      <c r="J394" s="20"/>
      <c r="K394" s="20"/>
      <c r="L394" s="20"/>
      <c r="M394" s="20"/>
      <c r="N394" s="20"/>
      <c r="O394" s="24"/>
      <c r="P394" s="161" t="str">
        <f t="shared" si="13"/>
        <v/>
      </c>
      <c r="Q394" s="7"/>
    </row>
    <row r="395" spans="1:17">
      <c r="A395" s="31" t="str">
        <f t="shared" si="12"/>
        <v/>
      </c>
      <c r="B395" s="159"/>
      <c r="C395" s="21"/>
      <c r="D395" s="97" t="str">
        <f>IF(C395="","",IFERROR(INDEX(②メンバー!$C$5:$C$104,MATCH(C395,②メンバー!$B$5:$B$104,0)),""))</f>
        <v/>
      </c>
      <c r="E395" s="24"/>
      <c r="F395" s="160"/>
      <c r="G395" s="20"/>
      <c r="H395" s="20"/>
      <c r="I395" s="20"/>
      <c r="J395" s="20"/>
      <c r="K395" s="20"/>
      <c r="L395" s="20"/>
      <c r="M395" s="20"/>
      <c r="N395" s="20"/>
      <c r="O395" s="24"/>
      <c r="P395" s="161" t="str">
        <f t="shared" si="13"/>
        <v/>
      </c>
      <c r="Q395" s="7"/>
    </row>
    <row r="396" spans="1:17">
      <c r="A396" s="31" t="str">
        <f t="shared" si="12"/>
        <v/>
      </c>
      <c r="B396" s="159"/>
      <c r="C396" s="21"/>
      <c r="D396" s="97" t="str">
        <f>IF(C396="","",IFERROR(INDEX(②メンバー!$C$5:$C$104,MATCH(C396,②メンバー!$B$5:$B$104,0)),""))</f>
        <v/>
      </c>
      <c r="E396" s="24"/>
      <c r="F396" s="160"/>
      <c r="G396" s="20"/>
      <c r="H396" s="20"/>
      <c r="I396" s="20"/>
      <c r="J396" s="20"/>
      <c r="K396" s="20"/>
      <c r="L396" s="20"/>
      <c r="M396" s="20"/>
      <c r="N396" s="20"/>
      <c r="O396" s="24"/>
      <c r="P396" s="161" t="str">
        <f t="shared" si="13"/>
        <v/>
      </c>
      <c r="Q396" s="7"/>
    </row>
    <row r="397" spans="1:17">
      <c r="A397" s="31" t="str">
        <f t="shared" si="12"/>
        <v/>
      </c>
      <c r="B397" s="159"/>
      <c r="C397" s="21"/>
      <c r="D397" s="97" t="str">
        <f>IF(C397="","",IFERROR(INDEX(②メンバー!$C$5:$C$104,MATCH(C397,②メンバー!$B$5:$B$104,0)),""))</f>
        <v/>
      </c>
      <c r="E397" s="24"/>
      <c r="F397" s="160"/>
      <c r="G397" s="20"/>
      <c r="H397" s="20"/>
      <c r="I397" s="20"/>
      <c r="J397" s="20"/>
      <c r="K397" s="20"/>
      <c r="L397" s="20"/>
      <c r="M397" s="20"/>
      <c r="N397" s="20"/>
      <c r="O397" s="24"/>
      <c r="P397" s="161" t="str">
        <f t="shared" si="13"/>
        <v/>
      </c>
      <c r="Q397" s="7"/>
    </row>
    <row r="398" spans="1:17">
      <c r="A398" s="31" t="str">
        <f t="shared" si="12"/>
        <v/>
      </c>
      <c r="B398" s="159"/>
      <c r="C398" s="21"/>
      <c r="D398" s="97" t="str">
        <f>IF(C398="","",IFERROR(INDEX(②メンバー!$C$5:$C$104,MATCH(C398,②メンバー!$B$5:$B$104,0)),""))</f>
        <v/>
      </c>
      <c r="E398" s="24"/>
      <c r="F398" s="160"/>
      <c r="G398" s="20"/>
      <c r="H398" s="20"/>
      <c r="I398" s="20"/>
      <c r="J398" s="20"/>
      <c r="K398" s="20"/>
      <c r="L398" s="20"/>
      <c r="M398" s="20"/>
      <c r="N398" s="20"/>
      <c r="O398" s="24"/>
      <c r="P398" s="161" t="str">
        <f t="shared" si="13"/>
        <v/>
      </c>
      <c r="Q398" s="7"/>
    </row>
    <row r="399" spans="1:17">
      <c r="A399" s="31" t="str">
        <f t="shared" si="12"/>
        <v/>
      </c>
      <c r="B399" s="159"/>
      <c r="C399" s="21"/>
      <c r="D399" s="97" t="str">
        <f>IF(C399="","",IFERROR(INDEX(②メンバー!$C$5:$C$104,MATCH(C399,②メンバー!$B$5:$B$104,0)),""))</f>
        <v/>
      </c>
      <c r="E399" s="24"/>
      <c r="F399" s="160"/>
      <c r="G399" s="20"/>
      <c r="H399" s="20"/>
      <c r="I399" s="20"/>
      <c r="J399" s="20"/>
      <c r="K399" s="20"/>
      <c r="L399" s="20"/>
      <c r="M399" s="20"/>
      <c r="N399" s="20"/>
      <c r="O399" s="24"/>
      <c r="P399" s="161" t="str">
        <f t="shared" si="13"/>
        <v/>
      </c>
      <c r="Q399" s="7"/>
    </row>
    <row r="400" spans="1:17">
      <c r="A400" s="31" t="str">
        <f t="shared" si="12"/>
        <v/>
      </c>
      <c r="B400" s="159"/>
      <c r="C400" s="21"/>
      <c r="D400" s="97" t="str">
        <f>IF(C400="","",IFERROR(INDEX(②メンバー!$C$5:$C$104,MATCH(C400,②メンバー!$B$5:$B$104,0)),""))</f>
        <v/>
      </c>
      <c r="E400" s="24"/>
      <c r="F400" s="160"/>
      <c r="G400" s="20"/>
      <c r="H400" s="20"/>
      <c r="I400" s="20"/>
      <c r="J400" s="20"/>
      <c r="K400" s="20"/>
      <c r="L400" s="20"/>
      <c r="M400" s="20"/>
      <c r="N400" s="20"/>
      <c r="O400" s="24"/>
      <c r="P400" s="161" t="str">
        <f t="shared" si="13"/>
        <v/>
      </c>
      <c r="Q400" s="7"/>
    </row>
    <row r="401" spans="1:17">
      <c r="A401" s="31" t="str">
        <f t="shared" si="12"/>
        <v/>
      </c>
      <c r="B401" s="159"/>
      <c r="C401" s="21"/>
      <c r="D401" s="97" t="str">
        <f>IF(C401="","",IFERROR(INDEX(②メンバー!$C$5:$C$104,MATCH(C401,②メンバー!$B$5:$B$104,0)),""))</f>
        <v/>
      </c>
      <c r="E401" s="24"/>
      <c r="F401" s="160"/>
      <c r="G401" s="20"/>
      <c r="H401" s="20"/>
      <c r="I401" s="20"/>
      <c r="J401" s="20"/>
      <c r="K401" s="20"/>
      <c r="L401" s="20"/>
      <c r="M401" s="20"/>
      <c r="N401" s="20"/>
      <c r="O401" s="24"/>
      <c r="P401" s="161" t="str">
        <f t="shared" si="13"/>
        <v/>
      </c>
      <c r="Q401" s="7"/>
    </row>
    <row r="402" spans="1:17">
      <c r="A402" s="31" t="str">
        <f t="shared" si="12"/>
        <v/>
      </c>
      <c r="B402" s="159"/>
      <c r="C402" s="21"/>
      <c r="D402" s="97" t="str">
        <f>IF(C402="","",IFERROR(INDEX(②メンバー!$C$5:$C$104,MATCH(C402,②メンバー!$B$5:$B$104,0)),""))</f>
        <v/>
      </c>
      <c r="E402" s="24"/>
      <c r="F402" s="160"/>
      <c r="G402" s="20"/>
      <c r="H402" s="20"/>
      <c r="I402" s="20"/>
      <c r="J402" s="20"/>
      <c r="K402" s="20"/>
      <c r="L402" s="20"/>
      <c r="M402" s="20"/>
      <c r="N402" s="20"/>
      <c r="O402" s="24"/>
      <c r="P402" s="161" t="str">
        <f t="shared" si="13"/>
        <v/>
      </c>
      <c r="Q402" s="7"/>
    </row>
    <row r="403" spans="1:17">
      <c r="A403" s="31" t="str">
        <f t="shared" si="12"/>
        <v/>
      </c>
      <c r="B403" s="159"/>
      <c r="C403" s="21"/>
      <c r="D403" s="97" t="str">
        <f>IF(C403="","",IFERROR(INDEX(②メンバー!$C$5:$C$104,MATCH(C403,②メンバー!$B$5:$B$104,0)),""))</f>
        <v/>
      </c>
      <c r="E403" s="24"/>
      <c r="F403" s="160"/>
      <c r="G403" s="20"/>
      <c r="H403" s="20"/>
      <c r="I403" s="20"/>
      <c r="J403" s="20"/>
      <c r="K403" s="20"/>
      <c r="L403" s="20"/>
      <c r="M403" s="20"/>
      <c r="N403" s="20"/>
      <c r="O403" s="24"/>
      <c r="P403" s="161" t="str">
        <f t="shared" si="13"/>
        <v/>
      </c>
      <c r="Q403" s="7"/>
    </row>
    <row r="404" spans="1:17">
      <c r="A404" s="31" t="str">
        <f t="shared" si="12"/>
        <v/>
      </c>
      <c r="B404" s="159"/>
      <c r="C404" s="21"/>
      <c r="D404" s="97" t="str">
        <f>IF(C404="","",IFERROR(INDEX(②メンバー!$C$5:$C$104,MATCH(C404,②メンバー!$B$5:$B$104,0)),""))</f>
        <v/>
      </c>
      <c r="E404" s="24"/>
      <c r="F404" s="160"/>
      <c r="G404" s="20"/>
      <c r="H404" s="20"/>
      <c r="I404" s="20"/>
      <c r="J404" s="20"/>
      <c r="K404" s="20"/>
      <c r="L404" s="20"/>
      <c r="M404" s="20"/>
      <c r="N404" s="20"/>
      <c r="O404" s="24"/>
      <c r="P404" s="161" t="str">
        <f t="shared" si="13"/>
        <v/>
      </c>
      <c r="Q404" s="7"/>
    </row>
    <row r="405" spans="1:17">
      <c r="A405" s="31" t="str">
        <f t="shared" si="12"/>
        <v/>
      </c>
      <c r="B405" s="159"/>
      <c r="C405" s="21"/>
      <c r="D405" s="97" t="str">
        <f>IF(C405="","",IFERROR(INDEX(②メンバー!$C$5:$C$104,MATCH(C405,②メンバー!$B$5:$B$104,0)),""))</f>
        <v/>
      </c>
      <c r="E405" s="24"/>
      <c r="F405" s="160"/>
      <c r="G405" s="20"/>
      <c r="H405" s="20"/>
      <c r="I405" s="20"/>
      <c r="J405" s="20"/>
      <c r="K405" s="20"/>
      <c r="L405" s="20"/>
      <c r="M405" s="20"/>
      <c r="N405" s="20"/>
      <c r="O405" s="24"/>
      <c r="P405" s="161" t="str">
        <f t="shared" si="13"/>
        <v/>
      </c>
      <c r="Q405" s="7"/>
    </row>
    <row r="406" spans="1:17">
      <c r="A406" s="31" t="str">
        <f t="shared" si="12"/>
        <v/>
      </c>
      <c r="B406" s="159"/>
      <c r="C406" s="21"/>
      <c r="D406" s="97" t="str">
        <f>IF(C406="","",IFERROR(INDEX(②メンバー!$C$5:$C$104,MATCH(C406,②メンバー!$B$5:$B$104,0)),""))</f>
        <v/>
      </c>
      <c r="E406" s="24"/>
      <c r="F406" s="160"/>
      <c r="G406" s="20"/>
      <c r="H406" s="20"/>
      <c r="I406" s="20"/>
      <c r="J406" s="20"/>
      <c r="K406" s="20"/>
      <c r="L406" s="20"/>
      <c r="M406" s="20"/>
      <c r="N406" s="20"/>
      <c r="O406" s="24"/>
      <c r="P406" s="161" t="str">
        <f t="shared" si="13"/>
        <v/>
      </c>
      <c r="Q406" s="7"/>
    </row>
    <row r="407" spans="1:17">
      <c r="A407" s="31" t="str">
        <f t="shared" si="12"/>
        <v/>
      </c>
      <c r="B407" s="159"/>
      <c r="C407" s="21"/>
      <c r="D407" s="97" t="str">
        <f>IF(C407="","",IFERROR(INDEX(②メンバー!$C$5:$C$104,MATCH(C407,②メンバー!$B$5:$B$104,0)),""))</f>
        <v/>
      </c>
      <c r="E407" s="24"/>
      <c r="F407" s="160"/>
      <c r="G407" s="20"/>
      <c r="H407" s="20"/>
      <c r="I407" s="20"/>
      <c r="J407" s="20"/>
      <c r="K407" s="20"/>
      <c r="L407" s="20"/>
      <c r="M407" s="20"/>
      <c r="N407" s="20"/>
      <c r="O407" s="24"/>
      <c r="P407" s="161" t="str">
        <f t="shared" si="13"/>
        <v/>
      </c>
      <c r="Q407" s="7"/>
    </row>
    <row r="408" spans="1:17">
      <c r="A408" s="31" t="str">
        <f t="shared" si="12"/>
        <v/>
      </c>
      <c r="B408" s="159"/>
      <c r="C408" s="21"/>
      <c r="D408" s="97" t="str">
        <f>IF(C408="","",IFERROR(INDEX(②メンバー!$C$5:$C$104,MATCH(C408,②メンバー!$B$5:$B$104,0)),""))</f>
        <v/>
      </c>
      <c r="E408" s="24"/>
      <c r="F408" s="160"/>
      <c r="G408" s="20"/>
      <c r="H408" s="20"/>
      <c r="I408" s="20"/>
      <c r="J408" s="20"/>
      <c r="K408" s="20"/>
      <c r="L408" s="20"/>
      <c r="M408" s="20"/>
      <c r="N408" s="20"/>
      <c r="O408" s="24"/>
      <c r="P408" s="161" t="str">
        <f t="shared" si="13"/>
        <v/>
      </c>
      <c r="Q408" s="7"/>
    </row>
    <row r="409" spans="1:17">
      <c r="A409" s="31" t="str">
        <f t="shared" si="12"/>
        <v/>
      </c>
      <c r="B409" s="159"/>
      <c r="C409" s="21"/>
      <c r="D409" s="97" t="str">
        <f>IF(C409="","",IFERROR(INDEX(②メンバー!$C$5:$C$104,MATCH(C409,②メンバー!$B$5:$B$104,0)),""))</f>
        <v/>
      </c>
      <c r="E409" s="24"/>
      <c r="F409" s="160"/>
      <c r="G409" s="20"/>
      <c r="H409" s="20"/>
      <c r="I409" s="20"/>
      <c r="J409" s="20"/>
      <c r="K409" s="20"/>
      <c r="L409" s="20"/>
      <c r="M409" s="20"/>
      <c r="N409" s="20"/>
      <c r="O409" s="24"/>
      <c r="P409" s="161" t="str">
        <f t="shared" si="13"/>
        <v/>
      </c>
      <c r="Q409" s="7"/>
    </row>
    <row r="410" spans="1:17">
      <c r="A410" s="31" t="str">
        <f t="shared" si="12"/>
        <v/>
      </c>
      <c r="B410" s="159"/>
      <c r="C410" s="21"/>
      <c r="D410" s="97" t="str">
        <f>IF(C410="","",IFERROR(INDEX(②メンバー!$C$5:$C$104,MATCH(C410,②メンバー!$B$5:$B$104,0)),""))</f>
        <v/>
      </c>
      <c r="E410" s="24"/>
      <c r="F410" s="160"/>
      <c r="G410" s="20"/>
      <c r="H410" s="20"/>
      <c r="I410" s="20"/>
      <c r="J410" s="20"/>
      <c r="K410" s="20"/>
      <c r="L410" s="20"/>
      <c r="M410" s="20"/>
      <c r="N410" s="20"/>
      <c r="O410" s="24"/>
      <c r="P410" s="161" t="str">
        <f t="shared" si="13"/>
        <v/>
      </c>
      <c r="Q410" s="7"/>
    </row>
    <row r="411" spans="1:17">
      <c r="A411" s="31" t="str">
        <f t="shared" si="12"/>
        <v/>
      </c>
      <c r="B411" s="159"/>
      <c r="C411" s="21"/>
      <c r="D411" s="97" t="str">
        <f>IF(C411="","",IFERROR(INDEX(②メンバー!$C$5:$C$104,MATCH(C411,②メンバー!$B$5:$B$104,0)),""))</f>
        <v/>
      </c>
      <c r="E411" s="24"/>
      <c r="F411" s="160"/>
      <c r="G411" s="20"/>
      <c r="H411" s="20"/>
      <c r="I411" s="20"/>
      <c r="J411" s="20"/>
      <c r="K411" s="20"/>
      <c r="L411" s="20"/>
      <c r="M411" s="20"/>
      <c r="N411" s="20"/>
      <c r="O411" s="24"/>
      <c r="P411" s="161" t="str">
        <f t="shared" si="13"/>
        <v/>
      </c>
      <c r="Q411" s="7"/>
    </row>
    <row r="412" spans="1:17">
      <c r="A412" s="31" t="str">
        <f t="shared" si="12"/>
        <v/>
      </c>
      <c r="B412" s="159"/>
      <c r="C412" s="21"/>
      <c r="D412" s="97" t="str">
        <f>IF(C412="","",IFERROR(INDEX(②メンバー!$C$5:$C$104,MATCH(C412,②メンバー!$B$5:$B$104,0)),""))</f>
        <v/>
      </c>
      <c r="E412" s="24"/>
      <c r="F412" s="160"/>
      <c r="G412" s="20"/>
      <c r="H412" s="20"/>
      <c r="I412" s="20"/>
      <c r="J412" s="20"/>
      <c r="K412" s="20"/>
      <c r="L412" s="20"/>
      <c r="M412" s="20"/>
      <c r="N412" s="20"/>
      <c r="O412" s="24"/>
      <c r="P412" s="161" t="str">
        <f t="shared" si="13"/>
        <v/>
      </c>
      <c r="Q412" s="7"/>
    </row>
    <row r="413" spans="1:17">
      <c r="A413" s="31" t="str">
        <f t="shared" si="12"/>
        <v/>
      </c>
      <c r="B413" s="159"/>
      <c r="C413" s="21"/>
      <c r="D413" s="97" t="str">
        <f>IF(C413="","",IFERROR(INDEX(②メンバー!$C$5:$C$104,MATCH(C413,②メンバー!$B$5:$B$104,0)),""))</f>
        <v/>
      </c>
      <c r="E413" s="24"/>
      <c r="F413" s="160"/>
      <c r="G413" s="20"/>
      <c r="H413" s="20"/>
      <c r="I413" s="20"/>
      <c r="J413" s="20"/>
      <c r="K413" s="20"/>
      <c r="L413" s="20"/>
      <c r="M413" s="20"/>
      <c r="N413" s="20"/>
      <c r="O413" s="24"/>
      <c r="P413" s="161" t="str">
        <f t="shared" si="13"/>
        <v/>
      </c>
      <c r="Q413" s="7"/>
    </row>
    <row r="414" spans="1:17">
      <c r="A414" s="31" t="str">
        <f t="shared" si="12"/>
        <v/>
      </c>
      <c r="B414" s="159"/>
      <c r="C414" s="21"/>
      <c r="D414" s="97" t="str">
        <f>IF(C414="","",IFERROR(INDEX(②メンバー!$C$5:$C$104,MATCH(C414,②メンバー!$B$5:$B$104,0)),""))</f>
        <v/>
      </c>
      <c r="E414" s="24"/>
      <c r="F414" s="160"/>
      <c r="G414" s="20"/>
      <c r="H414" s="20"/>
      <c r="I414" s="20"/>
      <c r="J414" s="20"/>
      <c r="K414" s="20"/>
      <c r="L414" s="20"/>
      <c r="M414" s="20"/>
      <c r="N414" s="20"/>
      <c r="O414" s="24"/>
      <c r="P414" s="161" t="str">
        <f t="shared" si="13"/>
        <v/>
      </c>
      <c r="Q414" s="7"/>
    </row>
    <row r="415" spans="1:17">
      <c r="A415" s="31" t="str">
        <f t="shared" si="12"/>
        <v/>
      </c>
      <c r="B415" s="159"/>
      <c r="C415" s="21"/>
      <c r="D415" s="97" t="str">
        <f>IF(C415="","",IFERROR(INDEX(②メンバー!$C$5:$C$104,MATCH(C415,②メンバー!$B$5:$B$104,0)),""))</f>
        <v/>
      </c>
      <c r="E415" s="24"/>
      <c r="F415" s="160"/>
      <c r="G415" s="20"/>
      <c r="H415" s="20"/>
      <c r="I415" s="20"/>
      <c r="J415" s="20"/>
      <c r="K415" s="20"/>
      <c r="L415" s="20"/>
      <c r="M415" s="20"/>
      <c r="N415" s="20"/>
      <c r="O415" s="24"/>
      <c r="P415" s="161" t="str">
        <f t="shared" si="13"/>
        <v/>
      </c>
      <c r="Q415" s="7"/>
    </row>
    <row r="416" spans="1:17">
      <c r="A416" s="31" t="str">
        <f t="shared" si="12"/>
        <v/>
      </c>
      <c r="B416" s="159"/>
      <c r="C416" s="21"/>
      <c r="D416" s="97" t="str">
        <f>IF(C416="","",IFERROR(INDEX(②メンバー!$C$5:$C$104,MATCH(C416,②メンバー!$B$5:$B$104,0)),""))</f>
        <v/>
      </c>
      <c r="E416" s="24"/>
      <c r="F416" s="160"/>
      <c r="G416" s="20"/>
      <c r="H416" s="20"/>
      <c r="I416" s="20"/>
      <c r="J416" s="20"/>
      <c r="K416" s="20"/>
      <c r="L416" s="20"/>
      <c r="M416" s="20"/>
      <c r="N416" s="20"/>
      <c r="O416" s="24"/>
      <c r="P416" s="161" t="str">
        <f t="shared" si="13"/>
        <v/>
      </c>
      <c r="Q416" s="7"/>
    </row>
    <row r="417" spans="1:17">
      <c r="A417" s="31" t="str">
        <f t="shared" si="12"/>
        <v/>
      </c>
      <c r="B417" s="159"/>
      <c r="C417" s="21"/>
      <c r="D417" s="97" t="str">
        <f>IF(C417="","",IFERROR(INDEX(②メンバー!$C$5:$C$104,MATCH(C417,②メンバー!$B$5:$B$104,0)),""))</f>
        <v/>
      </c>
      <c r="E417" s="24"/>
      <c r="F417" s="160"/>
      <c r="G417" s="20"/>
      <c r="H417" s="20"/>
      <c r="I417" s="20"/>
      <c r="J417" s="20"/>
      <c r="K417" s="20"/>
      <c r="L417" s="20"/>
      <c r="M417" s="20"/>
      <c r="N417" s="20"/>
      <c r="O417" s="24"/>
      <c r="P417" s="161" t="str">
        <f t="shared" si="13"/>
        <v/>
      </c>
      <c r="Q417" s="7"/>
    </row>
    <row r="418" spans="1:17">
      <c r="A418" s="31" t="str">
        <f t="shared" si="12"/>
        <v/>
      </c>
      <c r="B418" s="159"/>
      <c r="C418" s="21"/>
      <c r="D418" s="97" t="str">
        <f>IF(C418="","",IFERROR(INDEX(②メンバー!$C$5:$C$104,MATCH(C418,②メンバー!$B$5:$B$104,0)),""))</f>
        <v/>
      </c>
      <c r="E418" s="24"/>
      <c r="F418" s="160"/>
      <c r="G418" s="20"/>
      <c r="H418" s="20"/>
      <c r="I418" s="20"/>
      <c r="J418" s="20"/>
      <c r="K418" s="20"/>
      <c r="L418" s="20"/>
      <c r="M418" s="20"/>
      <c r="N418" s="20"/>
      <c r="O418" s="24"/>
      <c r="P418" s="161" t="str">
        <f t="shared" si="13"/>
        <v/>
      </c>
      <c r="Q418" s="7"/>
    </row>
    <row r="419" spans="1:17">
      <c r="A419" s="31" t="str">
        <f t="shared" si="12"/>
        <v/>
      </c>
      <c r="B419" s="159"/>
      <c r="C419" s="21"/>
      <c r="D419" s="97" t="str">
        <f>IF(C419="","",IFERROR(INDEX(②メンバー!$C$5:$C$104,MATCH(C419,②メンバー!$B$5:$B$104,0)),""))</f>
        <v/>
      </c>
      <c r="E419" s="24"/>
      <c r="F419" s="160"/>
      <c r="G419" s="20"/>
      <c r="H419" s="20"/>
      <c r="I419" s="20"/>
      <c r="J419" s="20"/>
      <c r="K419" s="20"/>
      <c r="L419" s="20"/>
      <c r="M419" s="20"/>
      <c r="N419" s="20"/>
      <c r="O419" s="24"/>
      <c r="P419" s="161" t="str">
        <f t="shared" si="13"/>
        <v/>
      </c>
      <c r="Q419" s="7"/>
    </row>
    <row r="420" spans="1:17">
      <c r="A420" s="31" t="str">
        <f t="shared" si="12"/>
        <v/>
      </c>
      <c r="B420" s="159"/>
      <c r="C420" s="21"/>
      <c r="D420" s="97" t="str">
        <f>IF(C420="","",IFERROR(INDEX(②メンバー!$C$5:$C$104,MATCH(C420,②メンバー!$B$5:$B$104,0)),""))</f>
        <v/>
      </c>
      <c r="E420" s="24"/>
      <c r="F420" s="160"/>
      <c r="G420" s="20"/>
      <c r="H420" s="20"/>
      <c r="I420" s="20"/>
      <c r="J420" s="20"/>
      <c r="K420" s="20"/>
      <c r="L420" s="20"/>
      <c r="M420" s="20"/>
      <c r="N420" s="20"/>
      <c r="O420" s="24"/>
      <c r="P420" s="161" t="str">
        <f t="shared" si="13"/>
        <v/>
      </c>
      <c r="Q420" s="7"/>
    </row>
    <row r="421" spans="1:17">
      <c r="A421" s="31" t="str">
        <f t="shared" si="12"/>
        <v/>
      </c>
      <c r="B421" s="159"/>
      <c r="C421" s="21"/>
      <c r="D421" s="97" t="str">
        <f>IF(C421="","",IFERROR(INDEX(②メンバー!$C$5:$C$104,MATCH(C421,②メンバー!$B$5:$B$104,0)),""))</f>
        <v/>
      </c>
      <c r="E421" s="24"/>
      <c r="F421" s="160"/>
      <c r="G421" s="20"/>
      <c r="H421" s="20"/>
      <c r="I421" s="20"/>
      <c r="J421" s="20"/>
      <c r="K421" s="20"/>
      <c r="L421" s="20"/>
      <c r="M421" s="20"/>
      <c r="N421" s="20"/>
      <c r="O421" s="24"/>
      <c r="P421" s="161" t="str">
        <f t="shared" si="13"/>
        <v/>
      </c>
      <c r="Q421" s="7"/>
    </row>
    <row r="422" spans="1:17">
      <c r="A422" s="31" t="str">
        <f t="shared" si="12"/>
        <v/>
      </c>
      <c r="B422" s="159"/>
      <c r="C422" s="21"/>
      <c r="D422" s="97" t="str">
        <f>IF(C422="","",IFERROR(INDEX(②メンバー!$C$5:$C$104,MATCH(C422,②メンバー!$B$5:$B$104,0)),""))</f>
        <v/>
      </c>
      <c r="E422" s="24"/>
      <c r="F422" s="160"/>
      <c r="G422" s="20"/>
      <c r="H422" s="20"/>
      <c r="I422" s="20"/>
      <c r="J422" s="20"/>
      <c r="K422" s="20"/>
      <c r="L422" s="20"/>
      <c r="M422" s="20"/>
      <c r="N422" s="20"/>
      <c r="O422" s="24"/>
      <c r="P422" s="161" t="str">
        <f t="shared" si="13"/>
        <v/>
      </c>
      <c r="Q422" s="7"/>
    </row>
    <row r="423" spans="1:17">
      <c r="A423" s="31" t="str">
        <f t="shared" si="12"/>
        <v/>
      </c>
      <c r="B423" s="159"/>
      <c r="C423" s="21"/>
      <c r="D423" s="97" t="str">
        <f>IF(C423="","",IFERROR(INDEX(②メンバー!$C$5:$C$104,MATCH(C423,②メンバー!$B$5:$B$104,0)),""))</f>
        <v/>
      </c>
      <c r="E423" s="24"/>
      <c r="F423" s="160"/>
      <c r="G423" s="20"/>
      <c r="H423" s="20"/>
      <c r="I423" s="20"/>
      <c r="J423" s="20"/>
      <c r="K423" s="20"/>
      <c r="L423" s="20"/>
      <c r="M423" s="20"/>
      <c r="N423" s="20"/>
      <c r="O423" s="24"/>
      <c r="P423" s="161" t="str">
        <f t="shared" si="13"/>
        <v/>
      </c>
      <c r="Q423" s="7"/>
    </row>
    <row r="424" spans="1:17">
      <c r="A424" s="31" t="str">
        <f t="shared" si="12"/>
        <v/>
      </c>
      <c r="B424" s="159"/>
      <c r="C424" s="21"/>
      <c r="D424" s="97" t="str">
        <f>IF(C424="","",IFERROR(INDEX(②メンバー!$C$5:$C$104,MATCH(C424,②メンバー!$B$5:$B$104,0)),""))</f>
        <v/>
      </c>
      <c r="E424" s="24"/>
      <c r="F424" s="160"/>
      <c r="G424" s="20"/>
      <c r="H424" s="20"/>
      <c r="I424" s="20"/>
      <c r="J424" s="20"/>
      <c r="K424" s="20"/>
      <c r="L424" s="20"/>
      <c r="M424" s="20"/>
      <c r="N424" s="20"/>
      <c r="O424" s="24"/>
      <c r="P424" s="161" t="str">
        <f t="shared" si="13"/>
        <v/>
      </c>
      <c r="Q424" s="7"/>
    </row>
    <row r="425" spans="1:17">
      <c r="A425" s="31" t="str">
        <f t="shared" si="12"/>
        <v/>
      </c>
      <c r="B425" s="159"/>
      <c r="C425" s="21"/>
      <c r="D425" s="97" t="str">
        <f>IF(C425="","",IFERROR(INDEX(②メンバー!$C$5:$C$104,MATCH(C425,②メンバー!$B$5:$B$104,0)),""))</f>
        <v/>
      </c>
      <c r="E425" s="24"/>
      <c r="F425" s="160"/>
      <c r="G425" s="20"/>
      <c r="H425" s="20"/>
      <c r="I425" s="20"/>
      <c r="J425" s="20"/>
      <c r="K425" s="20"/>
      <c r="L425" s="20"/>
      <c r="M425" s="20"/>
      <c r="N425" s="20"/>
      <c r="O425" s="24"/>
      <c r="P425" s="161" t="str">
        <f t="shared" si="13"/>
        <v/>
      </c>
      <c r="Q425" s="7"/>
    </row>
    <row r="426" spans="1:17">
      <c r="A426" s="31" t="str">
        <f t="shared" si="12"/>
        <v/>
      </c>
      <c r="B426" s="159"/>
      <c r="C426" s="21"/>
      <c r="D426" s="97" t="str">
        <f>IF(C426="","",IFERROR(INDEX(②メンバー!$C$5:$C$104,MATCH(C426,②メンバー!$B$5:$B$104,0)),""))</f>
        <v/>
      </c>
      <c r="E426" s="24"/>
      <c r="F426" s="160"/>
      <c r="G426" s="20"/>
      <c r="H426" s="20"/>
      <c r="I426" s="20"/>
      <c r="J426" s="20"/>
      <c r="K426" s="20"/>
      <c r="L426" s="20"/>
      <c r="M426" s="20"/>
      <c r="N426" s="20"/>
      <c r="O426" s="24"/>
      <c r="P426" s="161" t="str">
        <f t="shared" si="13"/>
        <v/>
      </c>
      <c r="Q426" s="7"/>
    </row>
    <row r="427" spans="1:17">
      <c r="A427" s="31" t="str">
        <f t="shared" si="12"/>
        <v/>
      </c>
      <c r="B427" s="159"/>
      <c r="C427" s="21"/>
      <c r="D427" s="97" t="str">
        <f>IF(C427="","",IFERROR(INDEX(②メンバー!$C$5:$C$104,MATCH(C427,②メンバー!$B$5:$B$104,0)),""))</f>
        <v/>
      </c>
      <c r="E427" s="24"/>
      <c r="F427" s="160"/>
      <c r="G427" s="20"/>
      <c r="H427" s="20"/>
      <c r="I427" s="20"/>
      <c r="J427" s="20"/>
      <c r="K427" s="20"/>
      <c r="L427" s="20"/>
      <c r="M427" s="20"/>
      <c r="N427" s="20"/>
      <c r="O427" s="24"/>
      <c r="P427" s="161" t="str">
        <f t="shared" si="13"/>
        <v/>
      </c>
      <c r="Q427" s="7"/>
    </row>
    <row r="428" spans="1:17">
      <c r="A428" s="31" t="str">
        <f t="shared" si="12"/>
        <v/>
      </c>
      <c r="B428" s="159"/>
      <c r="C428" s="21"/>
      <c r="D428" s="97" t="str">
        <f>IF(C428="","",IFERROR(INDEX(②メンバー!$C$5:$C$104,MATCH(C428,②メンバー!$B$5:$B$104,0)),""))</f>
        <v/>
      </c>
      <c r="E428" s="24"/>
      <c r="F428" s="160"/>
      <c r="G428" s="20"/>
      <c r="H428" s="20"/>
      <c r="I428" s="20"/>
      <c r="J428" s="20"/>
      <c r="K428" s="20"/>
      <c r="L428" s="20"/>
      <c r="M428" s="20"/>
      <c r="N428" s="20"/>
      <c r="O428" s="24"/>
      <c r="P428" s="161" t="str">
        <f t="shared" si="13"/>
        <v/>
      </c>
      <c r="Q428" s="7"/>
    </row>
    <row r="429" spans="1:17">
      <c r="A429" s="31" t="str">
        <f t="shared" si="12"/>
        <v/>
      </c>
      <c r="B429" s="159"/>
      <c r="C429" s="21"/>
      <c r="D429" s="97" t="str">
        <f>IF(C429="","",IFERROR(INDEX(②メンバー!$C$5:$C$104,MATCH(C429,②メンバー!$B$5:$B$104,0)),""))</f>
        <v/>
      </c>
      <c r="E429" s="24"/>
      <c r="F429" s="160"/>
      <c r="G429" s="20"/>
      <c r="H429" s="20"/>
      <c r="I429" s="20"/>
      <c r="J429" s="20"/>
      <c r="K429" s="20"/>
      <c r="L429" s="20"/>
      <c r="M429" s="20"/>
      <c r="N429" s="20"/>
      <c r="O429" s="24"/>
      <c r="P429" s="161" t="str">
        <f t="shared" si="13"/>
        <v/>
      </c>
      <c r="Q429" s="7"/>
    </row>
    <row r="430" spans="1:17">
      <c r="A430" s="31" t="str">
        <f t="shared" si="12"/>
        <v/>
      </c>
      <c r="B430" s="159"/>
      <c r="C430" s="21"/>
      <c r="D430" s="97" t="str">
        <f>IF(C430="","",IFERROR(INDEX(②メンバー!$C$5:$C$104,MATCH(C430,②メンバー!$B$5:$B$104,0)),""))</f>
        <v/>
      </c>
      <c r="E430" s="24"/>
      <c r="F430" s="160"/>
      <c r="G430" s="20"/>
      <c r="H430" s="20"/>
      <c r="I430" s="20"/>
      <c r="J430" s="20"/>
      <c r="K430" s="20"/>
      <c r="L430" s="20"/>
      <c r="M430" s="20"/>
      <c r="N430" s="20"/>
      <c r="O430" s="24"/>
      <c r="P430" s="161" t="str">
        <f t="shared" si="13"/>
        <v/>
      </c>
      <c r="Q430" s="7"/>
    </row>
    <row r="431" spans="1:17">
      <c r="A431" s="31" t="str">
        <f t="shared" si="12"/>
        <v/>
      </c>
      <c r="B431" s="159"/>
      <c r="C431" s="21"/>
      <c r="D431" s="97" t="str">
        <f>IF(C431="","",IFERROR(INDEX(②メンバー!$C$5:$C$104,MATCH(C431,②メンバー!$B$5:$B$104,0)),""))</f>
        <v/>
      </c>
      <c r="E431" s="24"/>
      <c r="F431" s="160"/>
      <c r="G431" s="20"/>
      <c r="H431" s="20"/>
      <c r="I431" s="20"/>
      <c r="J431" s="20"/>
      <c r="K431" s="20"/>
      <c r="L431" s="20"/>
      <c r="M431" s="20"/>
      <c r="N431" s="20"/>
      <c r="O431" s="24"/>
      <c r="P431" s="161" t="str">
        <f t="shared" si="13"/>
        <v/>
      </c>
      <c r="Q431" s="7"/>
    </row>
    <row r="432" spans="1:17">
      <c r="A432" s="31" t="str">
        <f t="shared" si="12"/>
        <v/>
      </c>
      <c r="B432" s="159"/>
      <c r="C432" s="21"/>
      <c r="D432" s="97" t="str">
        <f>IF(C432="","",IFERROR(INDEX(②メンバー!$C$5:$C$104,MATCH(C432,②メンバー!$B$5:$B$104,0)),""))</f>
        <v/>
      </c>
      <c r="E432" s="24"/>
      <c r="F432" s="160"/>
      <c r="G432" s="20"/>
      <c r="H432" s="20"/>
      <c r="I432" s="20"/>
      <c r="J432" s="20"/>
      <c r="K432" s="20"/>
      <c r="L432" s="20"/>
      <c r="M432" s="20"/>
      <c r="N432" s="20"/>
      <c r="O432" s="24"/>
      <c r="P432" s="161" t="str">
        <f t="shared" si="13"/>
        <v/>
      </c>
      <c r="Q432" s="7"/>
    </row>
    <row r="433" spans="1:17">
      <c r="A433" s="31" t="str">
        <f t="shared" si="12"/>
        <v/>
      </c>
      <c r="B433" s="159"/>
      <c r="C433" s="21"/>
      <c r="D433" s="97" t="str">
        <f>IF(C433="","",IFERROR(INDEX(②メンバー!$C$5:$C$104,MATCH(C433,②メンバー!$B$5:$B$104,0)),""))</f>
        <v/>
      </c>
      <c r="E433" s="24"/>
      <c r="F433" s="160"/>
      <c r="G433" s="20"/>
      <c r="H433" s="20"/>
      <c r="I433" s="20"/>
      <c r="J433" s="20"/>
      <c r="K433" s="20"/>
      <c r="L433" s="20"/>
      <c r="M433" s="20"/>
      <c r="N433" s="20"/>
      <c r="O433" s="24"/>
      <c r="P433" s="161" t="str">
        <f t="shared" si="13"/>
        <v/>
      </c>
      <c r="Q433" s="7"/>
    </row>
    <row r="434" spans="1:17">
      <c r="A434" s="31" t="str">
        <f t="shared" si="12"/>
        <v/>
      </c>
      <c r="B434" s="159"/>
      <c r="C434" s="21"/>
      <c r="D434" s="97" t="str">
        <f>IF(C434="","",IFERROR(INDEX(②メンバー!$C$5:$C$104,MATCH(C434,②メンバー!$B$5:$B$104,0)),""))</f>
        <v/>
      </c>
      <c r="E434" s="24"/>
      <c r="F434" s="160"/>
      <c r="G434" s="20"/>
      <c r="H434" s="20"/>
      <c r="I434" s="20"/>
      <c r="J434" s="20"/>
      <c r="K434" s="20"/>
      <c r="L434" s="20"/>
      <c r="M434" s="20"/>
      <c r="N434" s="20"/>
      <c r="O434" s="24"/>
      <c r="P434" s="161" t="str">
        <f t="shared" si="13"/>
        <v/>
      </c>
      <c r="Q434" s="7"/>
    </row>
    <row r="435" spans="1:17">
      <c r="A435" s="31" t="str">
        <f t="shared" si="12"/>
        <v/>
      </c>
      <c r="B435" s="159"/>
      <c r="C435" s="21"/>
      <c r="D435" s="97" t="str">
        <f>IF(C435="","",IFERROR(INDEX(②メンバー!$C$5:$C$104,MATCH(C435,②メンバー!$B$5:$B$104,0)),""))</f>
        <v/>
      </c>
      <c r="E435" s="24"/>
      <c r="F435" s="160"/>
      <c r="G435" s="20"/>
      <c r="H435" s="20"/>
      <c r="I435" s="20"/>
      <c r="J435" s="20"/>
      <c r="K435" s="20"/>
      <c r="L435" s="20"/>
      <c r="M435" s="20"/>
      <c r="N435" s="20"/>
      <c r="O435" s="24"/>
      <c r="P435" s="161" t="str">
        <f t="shared" si="13"/>
        <v/>
      </c>
      <c r="Q435" s="7"/>
    </row>
    <row r="436" spans="1:17">
      <c r="A436" s="31" t="str">
        <f t="shared" si="12"/>
        <v/>
      </c>
      <c r="B436" s="159"/>
      <c r="C436" s="21"/>
      <c r="D436" s="97" t="str">
        <f>IF(C436="","",IFERROR(INDEX(②メンバー!$C$5:$C$104,MATCH(C436,②メンバー!$B$5:$B$104,0)),""))</f>
        <v/>
      </c>
      <c r="E436" s="24"/>
      <c r="F436" s="160"/>
      <c r="G436" s="20"/>
      <c r="H436" s="20"/>
      <c r="I436" s="20"/>
      <c r="J436" s="20"/>
      <c r="K436" s="20"/>
      <c r="L436" s="20"/>
      <c r="M436" s="20"/>
      <c r="N436" s="20"/>
      <c r="O436" s="24"/>
      <c r="P436" s="161" t="str">
        <f t="shared" si="13"/>
        <v/>
      </c>
      <c r="Q436" s="7"/>
    </row>
    <row r="437" spans="1:17">
      <c r="A437" s="31" t="str">
        <f t="shared" si="12"/>
        <v/>
      </c>
      <c r="B437" s="159"/>
      <c r="C437" s="21"/>
      <c r="D437" s="97" t="str">
        <f>IF(C437="","",IFERROR(INDEX(②メンバー!$C$5:$C$104,MATCH(C437,②メンバー!$B$5:$B$104,0)),""))</f>
        <v/>
      </c>
      <c r="E437" s="24"/>
      <c r="F437" s="160"/>
      <c r="G437" s="20"/>
      <c r="H437" s="20"/>
      <c r="I437" s="20"/>
      <c r="J437" s="20"/>
      <c r="K437" s="20"/>
      <c r="L437" s="20"/>
      <c r="M437" s="20"/>
      <c r="N437" s="20"/>
      <c r="O437" s="24"/>
      <c r="P437" s="161" t="str">
        <f t="shared" si="13"/>
        <v/>
      </c>
      <c r="Q437" s="7"/>
    </row>
    <row r="438" spans="1:17">
      <c r="A438" s="31" t="str">
        <f t="shared" si="12"/>
        <v/>
      </c>
      <c r="B438" s="159"/>
      <c r="C438" s="21"/>
      <c r="D438" s="97" t="str">
        <f>IF(C438="","",IFERROR(INDEX(②メンバー!$C$5:$C$104,MATCH(C438,②メンバー!$B$5:$B$104,0)),""))</f>
        <v/>
      </c>
      <c r="E438" s="24"/>
      <c r="F438" s="160"/>
      <c r="G438" s="20"/>
      <c r="H438" s="20"/>
      <c r="I438" s="20"/>
      <c r="J438" s="20"/>
      <c r="K438" s="20"/>
      <c r="L438" s="20"/>
      <c r="M438" s="20"/>
      <c r="N438" s="20"/>
      <c r="O438" s="24"/>
      <c r="P438" s="161" t="str">
        <f t="shared" si="13"/>
        <v/>
      </c>
      <c r="Q438" s="7"/>
    </row>
    <row r="439" spans="1:17">
      <c r="A439" s="31" t="str">
        <f t="shared" si="12"/>
        <v/>
      </c>
      <c r="B439" s="159"/>
      <c r="C439" s="21"/>
      <c r="D439" s="97" t="str">
        <f>IF(C439="","",IFERROR(INDEX(②メンバー!$C$5:$C$104,MATCH(C439,②メンバー!$B$5:$B$104,0)),""))</f>
        <v/>
      </c>
      <c r="E439" s="24"/>
      <c r="F439" s="160"/>
      <c r="G439" s="20"/>
      <c r="H439" s="20"/>
      <c r="I439" s="20"/>
      <c r="J439" s="20"/>
      <c r="K439" s="20"/>
      <c r="L439" s="20"/>
      <c r="M439" s="20"/>
      <c r="N439" s="20"/>
      <c r="O439" s="24"/>
      <c r="P439" s="161" t="str">
        <f t="shared" si="13"/>
        <v/>
      </c>
      <c r="Q439" s="7"/>
    </row>
    <row r="440" spans="1:17">
      <c r="A440" s="31" t="str">
        <f t="shared" si="12"/>
        <v/>
      </c>
      <c r="B440" s="159"/>
      <c r="C440" s="21"/>
      <c r="D440" s="97" t="str">
        <f>IF(C440="","",IFERROR(INDEX(②メンバー!$C$5:$C$104,MATCH(C440,②メンバー!$B$5:$B$104,0)),""))</f>
        <v/>
      </c>
      <c r="E440" s="24"/>
      <c r="F440" s="160"/>
      <c r="G440" s="20"/>
      <c r="H440" s="20"/>
      <c r="I440" s="20"/>
      <c r="J440" s="20"/>
      <c r="K440" s="20"/>
      <c r="L440" s="20"/>
      <c r="M440" s="20"/>
      <c r="N440" s="20"/>
      <c r="O440" s="24"/>
      <c r="P440" s="161" t="str">
        <f t="shared" si="13"/>
        <v/>
      </c>
      <c r="Q440" s="7"/>
    </row>
    <row r="441" spans="1:17">
      <c r="A441" s="31" t="str">
        <f t="shared" si="12"/>
        <v/>
      </c>
      <c r="B441" s="159"/>
      <c r="C441" s="21"/>
      <c r="D441" s="97" t="str">
        <f>IF(C441="","",IFERROR(INDEX(②メンバー!$C$5:$C$104,MATCH(C441,②メンバー!$B$5:$B$104,0)),""))</f>
        <v/>
      </c>
      <c r="E441" s="24"/>
      <c r="F441" s="160"/>
      <c r="G441" s="20"/>
      <c r="H441" s="20"/>
      <c r="I441" s="20"/>
      <c r="J441" s="20"/>
      <c r="K441" s="20"/>
      <c r="L441" s="20"/>
      <c r="M441" s="20"/>
      <c r="N441" s="20"/>
      <c r="O441" s="24"/>
      <c r="P441" s="161" t="str">
        <f t="shared" si="13"/>
        <v/>
      </c>
      <c r="Q441" s="7"/>
    </row>
    <row r="442" spans="1:17">
      <c r="A442" s="31" t="str">
        <f t="shared" si="12"/>
        <v/>
      </c>
      <c r="B442" s="159"/>
      <c r="C442" s="21"/>
      <c r="D442" s="97" t="str">
        <f>IF(C442="","",IFERROR(INDEX(②メンバー!$C$5:$C$104,MATCH(C442,②メンバー!$B$5:$B$104,0)),""))</f>
        <v/>
      </c>
      <c r="E442" s="24"/>
      <c r="F442" s="160"/>
      <c r="G442" s="20"/>
      <c r="H442" s="20"/>
      <c r="I442" s="20"/>
      <c r="J442" s="20"/>
      <c r="K442" s="20"/>
      <c r="L442" s="20"/>
      <c r="M442" s="20"/>
      <c r="N442" s="20"/>
      <c r="O442" s="24"/>
      <c r="P442" s="161" t="str">
        <f t="shared" si="13"/>
        <v/>
      </c>
      <c r="Q442" s="7"/>
    </row>
    <row r="443" spans="1:17">
      <c r="A443" s="31" t="str">
        <f t="shared" si="12"/>
        <v/>
      </c>
      <c r="B443" s="159"/>
      <c r="C443" s="21"/>
      <c r="D443" s="97" t="str">
        <f>IF(C443="","",IFERROR(INDEX(②メンバー!$C$5:$C$104,MATCH(C443,②メンバー!$B$5:$B$104,0)),""))</f>
        <v/>
      </c>
      <c r="E443" s="24"/>
      <c r="F443" s="160"/>
      <c r="G443" s="20"/>
      <c r="H443" s="20"/>
      <c r="I443" s="20"/>
      <c r="J443" s="20"/>
      <c r="K443" s="20"/>
      <c r="L443" s="20"/>
      <c r="M443" s="20"/>
      <c r="N443" s="20"/>
      <c r="O443" s="24"/>
      <c r="P443" s="161" t="str">
        <f t="shared" si="13"/>
        <v/>
      </c>
      <c r="Q443" s="7"/>
    </row>
    <row r="444" spans="1:17">
      <c r="A444" s="31" t="str">
        <f t="shared" si="12"/>
        <v/>
      </c>
      <c r="B444" s="159"/>
      <c r="C444" s="21"/>
      <c r="D444" s="97" t="str">
        <f>IF(C444="","",IFERROR(INDEX(②メンバー!$C$5:$C$104,MATCH(C444,②メンバー!$B$5:$B$104,0)),""))</f>
        <v/>
      </c>
      <c r="E444" s="24"/>
      <c r="F444" s="160"/>
      <c r="G444" s="20"/>
      <c r="H444" s="20"/>
      <c r="I444" s="20"/>
      <c r="J444" s="20"/>
      <c r="K444" s="20"/>
      <c r="L444" s="20"/>
      <c r="M444" s="20"/>
      <c r="N444" s="20"/>
      <c r="O444" s="24"/>
      <c r="P444" s="161" t="str">
        <f t="shared" si="13"/>
        <v/>
      </c>
      <c r="Q444" s="7"/>
    </row>
    <row r="445" spans="1:17">
      <c r="A445" s="31" t="str">
        <f t="shared" si="12"/>
        <v/>
      </c>
      <c r="B445" s="159"/>
      <c r="C445" s="21"/>
      <c r="D445" s="97" t="str">
        <f>IF(C445="","",IFERROR(INDEX(②メンバー!$C$5:$C$104,MATCH(C445,②メンバー!$B$5:$B$104,0)),""))</f>
        <v/>
      </c>
      <c r="E445" s="24"/>
      <c r="F445" s="160"/>
      <c r="G445" s="20"/>
      <c r="H445" s="20"/>
      <c r="I445" s="20"/>
      <c r="J445" s="20"/>
      <c r="K445" s="20"/>
      <c r="L445" s="20"/>
      <c r="M445" s="20"/>
      <c r="N445" s="20"/>
      <c r="O445" s="24"/>
      <c r="P445" s="161" t="str">
        <f t="shared" si="13"/>
        <v/>
      </c>
      <c r="Q445" s="7"/>
    </row>
    <row r="446" spans="1:17">
      <c r="A446" s="31" t="str">
        <f t="shared" si="12"/>
        <v/>
      </c>
      <c r="B446" s="159"/>
      <c r="C446" s="21"/>
      <c r="D446" s="97" t="str">
        <f>IF(C446="","",IFERROR(INDEX(②メンバー!$C$5:$C$104,MATCH(C446,②メンバー!$B$5:$B$104,0)),""))</f>
        <v/>
      </c>
      <c r="E446" s="24"/>
      <c r="F446" s="160"/>
      <c r="G446" s="20"/>
      <c r="H446" s="20"/>
      <c r="I446" s="20"/>
      <c r="J446" s="20"/>
      <c r="K446" s="20"/>
      <c r="L446" s="20"/>
      <c r="M446" s="20"/>
      <c r="N446" s="20"/>
      <c r="O446" s="24"/>
      <c r="P446" s="161" t="str">
        <f t="shared" si="13"/>
        <v/>
      </c>
      <c r="Q446" s="7"/>
    </row>
    <row r="447" spans="1:17">
      <c r="A447" s="31" t="str">
        <f t="shared" si="12"/>
        <v/>
      </c>
      <c r="B447" s="159"/>
      <c r="C447" s="21"/>
      <c r="D447" s="97" t="str">
        <f>IF(C447="","",IFERROR(INDEX(②メンバー!$C$5:$C$104,MATCH(C447,②メンバー!$B$5:$B$104,0)),""))</f>
        <v/>
      </c>
      <c r="E447" s="24"/>
      <c r="F447" s="160"/>
      <c r="G447" s="20"/>
      <c r="H447" s="20"/>
      <c r="I447" s="20"/>
      <c r="J447" s="20"/>
      <c r="K447" s="20"/>
      <c r="L447" s="20"/>
      <c r="M447" s="20"/>
      <c r="N447" s="20"/>
      <c r="O447" s="24"/>
      <c r="P447" s="161" t="str">
        <f t="shared" si="13"/>
        <v/>
      </c>
      <c r="Q447" s="7"/>
    </row>
    <row r="448" spans="1:17">
      <c r="A448" s="31" t="str">
        <f t="shared" si="12"/>
        <v/>
      </c>
      <c r="B448" s="159"/>
      <c r="C448" s="21"/>
      <c r="D448" s="97" t="str">
        <f>IF(C448="","",IFERROR(INDEX(②メンバー!$C$5:$C$104,MATCH(C448,②メンバー!$B$5:$B$104,0)),""))</f>
        <v/>
      </c>
      <c r="E448" s="24"/>
      <c r="F448" s="160"/>
      <c r="G448" s="20"/>
      <c r="H448" s="20"/>
      <c r="I448" s="20"/>
      <c r="J448" s="20"/>
      <c r="K448" s="20"/>
      <c r="L448" s="20"/>
      <c r="M448" s="20"/>
      <c r="N448" s="20"/>
      <c r="O448" s="24"/>
      <c r="P448" s="161" t="str">
        <f t="shared" si="13"/>
        <v/>
      </c>
      <c r="Q448" s="7"/>
    </row>
    <row r="449" spans="1:17">
      <c r="A449" s="31" t="str">
        <f t="shared" si="12"/>
        <v/>
      </c>
      <c r="B449" s="159"/>
      <c r="C449" s="21"/>
      <c r="D449" s="97" t="str">
        <f>IF(C449="","",IFERROR(INDEX(②メンバー!$C$5:$C$104,MATCH(C449,②メンバー!$B$5:$B$104,0)),""))</f>
        <v/>
      </c>
      <c r="E449" s="24"/>
      <c r="F449" s="160"/>
      <c r="G449" s="20"/>
      <c r="H449" s="20"/>
      <c r="I449" s="20"/>
      <c r="J449" s="20"/>
      <c r="K449" s="20"/>
      <c r="L449" s="20"/>
      <c r="M449" s="20"/>
      <c r="N449" s="20"/>
      <c r="O449" s="24"/>
      <c r="P449" s="161" t="str">
        <f t="shared" si="13"/>
        <v/>
      </c>
      <c r="Q449" s="7"/>
    </row>
    <row r="450" spans="1:17">
      <c r="A450" s="31" t="str">
        <f t="shared" si="12"/>
        <v/>
      </c>
      <c r="B450" s="159"/>
      <c r="C450" s="21"/>
      <c r="D450" s="97" t="str">
        <f>IF(C450="","",IFERROR(INDEX(②メンバー!$C$5:$C$104,MATCH(C450,②メンバー!$B$5:$B$104,0)),""))</f>
        <v/>
      </c>
      <c r="E450" s="24"/>
      <c r="F450" s="160"/>
      <c r="G450" s="20"/>
      <c r="H450" s="20"/>
      <c r="I450" s="20"/>
      <c r="J450" s="20"/>
      <c r="K450" s="20"/>
      <c r="L450" s="20"/>
      <c r="M450" s="20"/>
      <c r="N450" s="20"/>
      <c r="O450" s="24"/>
      <c r="P450" s="161" t="str">
        <f t="shared" si="13"/>
        <v/>
      </c>
      <c r="Q450" s="7"/>
    </row>
    <row r="451" spans="1:17">
      <c r="A451" s="31" t="str">
        <f t="shared" si="12"/>
        <v/>
      </c>
      <c r="B451" s="159"/>
      <c r="C451" s="21"/>
      <c r="D451" s="97" t="str">
        <f>IF(C451="","",IFERROR(INDEX(②メンバー!$C$5:$C$104,MATCH(C451,②メンバー!$B$5:$B$104,0)),""))</f>
        <v/>
      </c>
      <c r="E451" s="24"/>
      <c r="F451" s="160"/>
      <c r="G451" s="20"/>
      <c r="H451" s="20"/>
      <c r="I451" s="20"/>
      <c r="J451" s="20"/>
      <c r="K451" s="20"/>
      <c r="L451" s="20"/>
      <c r="M451" s="20"/>
      <c r="N451" s="20"/>
      <c r="O451" s="24"/>
      <c r="P451" s="161" t="str">
        <f t="shared" si="13"/>
        <v/>
      </c>
      <c r="Q451" s="7"/>
    </row>
    <row r="452" spans="1:17">
      <c r="A452" s="31" t="str">
        <f t="shared" si="12"/>
        <v/>
      </c>
      <c r="B452" s="159"/>
      <c r="C452" s="21"/>
      <c r="D452" s="97" t="str">
        <f>IF(C452="","",IFERROR(INDEX(②メンバー!$C$5:$C$104,MATCH(C452,②メンバー!$B$5:$B$104,0)),""))</f>
        <v/>
      </c>
      <c r="E452" s="24"/>
      <c r="F452" s="160"/>
      <c r="G452" s="20"/>
      <c r="H452" s="20"/>
      <c r="I452" s="20"/>
      <c r="J452" s="20"/>
      <c r="K452" s="20"/>
      <c r="L452" s="20"/>
      <c r="M452" s="20"/>
      <c r="N452" s="20"/>
      <c r="O452" s="24"/>
      <c r="P452" s="161" t="str">
        <f t="shared" si="13"/>
        <v/>
      </c>
      <c r="Q452" s="7"/>
    </row>
    <row r="453" spans="1:17">
      <c r="A453" s="31" t="str">
        <f t="shared" si="12"/>
        <v/>
      </c>
      <c r="B453" s="159"/>
      <c r="C453" s="21"/>
      <c r="D453" s="97" t="str">
        <f>IF(C453="","",IFERROR(INDEX(②メンバー!$C$5:$C$104,MATCH(C453,②メンバー!$B$5:$B$104,0)),""))</f>
        <v/>
      </c>
      <c r="E453" s="24"/>
      <c r="F453" s="160"/>
      <c r="G453" s="20"/>
      <c r="H453" s="20"/>
      <c r="I453" s="20"/>
      <c r="J453" s="20"/>
      <c r="K453" s="20"/>
      <c r="L453" s="20"/>
      <c r="M453" s="20"/>
      <c r="N453" s="20"/>
      <c r="O453" s="24"/>
      <c r="P453" s="161" t="str">
        <f t="shared" si="13"/>
        <v/>
      </c>
      <c r="Q453" s="7"/>
    </row>
    <row r="454" spans="1:17">
      <c r="A454" s="31" t="str">
        <f t="shared" ref="A454:A517" si="14">IF(B454="","",ROW()-5)</f>
        <v/>
      </c>
      <c r="B454" s="159"/>
      <c r="C454" s="21"/>
      <c r="D454" s="97" t="str">
        <f>IF(C454="","",IFERROR(INDEX(②メンバー!$C$5:$C$104,MATCH(C454,②メンバー!$B$5:$B$104,0)),""))</f>
        <v/>
      </c>
      <c r="E454" s="24"/>
      <c r="F454" s="160"/>
      <c r="G454" s="20"/>
      <c r="H454" s="20"/>
      <c r="I454" s="20"/>
      <c r="J454" s="20"/>
      <c r="K454" s="20"/>
      <c r="L454" s="20"/>
      <c r="M454" s="20"/>
      <c r="N454" s="20"/>
      <c r="O454" s="24"/>
      <c r="P454" s="161" t="str">
        <f t="shared" ref="P454:P517" si="15">IF(C454="","",IF(COUNTA(F454:O454)=0,IF(E454="出勤","いつもの時間","終日"),TRIM(IF(COUNTIF(F454:O454,"休")&gt;0,"休 "&amp;COUNTIF(F454:O454,"休")&amp;"h ","")&amp;IF(COUNTIF(F454:O454,"出")&gt;0,"出 "&amp;COUNTIF(F454:O454,"出")&amp;"h",""))))</f>
        <v/>
      </c>
      <c r="Q454" s="7"/>
    </row>
    <row r="455" spans="1:17">
      <c r="A455" s="31" t="str">
        <f t="shared" si="14"/>
        <v/>
      </c>
      <c r="B455" s="159"/>
      <c r="C455" s="21"/>
      <c r="D455" s="97" t="str">
        <f>IF(C455="","",IFERROR(INDEX(②メンバー!$C$5:$C$104,MATCH(C455,②メンバー!$B$5:$B$104,0)),""))</f>
        <v/>
      </c>
      <c r="E455" s="24"/>
      <c r="F455" s="160"/>
      <c r="G455" s="20"/>
      <c r="H455" s="20"/>
      <c r="I455" s="20"/>
      <c r="J455" s="20"/>
      <c r="K455" s="20"/>
      <c r="L455" s="20"/>
      <c r="M455" s="20"/>
      <c r="N455" s="20"/>
      <c r="O455" s="24"/>
      <c r="P455" s="161" t="str">
        <f t="shared" si="15"/>
        <v/>
      </c>
      <c r="Q455" s="7"/>
    </row>
    <row r="456" spans="1:17">
      <c r="A456" s="31" t="str">
        <f t="shared" si="14"/>
        <v/>
      </c>
      <c r="B456" s="159"/>
      <c r="C456" s="21"/>
      <c r="D456" s="97" t="str">
        <f>IF(C456="","",IFERROR(INDEX(②メンバー!$C$5:$C$104,MATCH(C456,②メンバー!$B$5:$B$104,0)),""))</f>
        <v/>
      </c>
      <c r="E456" s="24"/>
      <c r="F456" s="160"/>
      <c r="G456" s="20"/>
      <c r="H456" s="20"/>
      <c r="I456" s="20"/>
      <c r="J456" s="20"/>
      <c r="K456" s="20"/>
      <c r="L456" s="20"/>
      <c r="M456" s="20"/>
      <c r="N456" s="20"/>
      <c r="O456" s="24"/>
      <c r="P456" s="161" t="str">
        <f t="shared" si="15"/>
        <v/>
      </c>
      <c r="Q456" s="7"/>
    </row>
    <row r="457" spans="1:17">
      <c r="A457" s="31" t="str">
        <f t="shared" si="14"/>
        <v/>
      </c>
      <c r="B457" s="159"/>
      <c r="C457" s="21"/>
      <c r="D457" s="97" t="str">
        <f>IF(C457="","",IFERROR(INDEX(②メンバー!$C$5:$C$104,MATCH(C457,②メンバー!$B$5:$B$104,0)),""))</f>
        <v/>
      </c>
      <c r="E457" s="24"/>
      <c r="F457" s="160"/>
      <c r="G457" s="20"/>
      <c r="H457" s="20"/>
      <c r="I457" s="20"/>
      <c r="J457" s="20"/>
      <c r="K457" s="20"/>
      <c r="L457" s="20"/>
      <c r="M457" s="20"/>
      <c r="N457" s="20"/>
      <c r="O457" s="24"/>
      <c r="P457" s="161" t="str">
        <f t="shared" si="15"/>
        <v/>
      </c>
      <c r="Q457" s="7"/>
    </row>
    <row r="458" spans="1:17">
      <c r="A458" s="31" t="str">
        <f t="shared" si="14"/>
        <v/>
      </c>
      <c r="B458" s="159"/>
      <c r="C458" s="21"/>
      <c r="D458" s="97" t="str">
        <f>IF(C458="","",IFERROR(INDEX(②メンバー!$C$5:$C$104,MATCH(C458,②メンバー!$B$5:$B$104,0)),""))</f>
        <v/>
      </c>
      <c r="E458" s="24"/>
      <c r="F458" s="160"/>
      <c r="G458" s="20"/>
      <c r="H458" s="20"/>
      <c r="I458" s="20"/>
      <c r="J458" s="20"/>
      <c r="K458" s="20"/>
      <c r="L458" s="20"/>
      <c r="M458" s="20"/>
      <c r="N458" s="20"/>
      <c r="O458" s="24"/>
      <c r="P458" s="161" t="str">
        <f t="shared" si="15"/>
        <v/>
      </c>
      <c r="Q458" s="7"/>
    </row>
    <row r="459" spans="1:17">
      <c r="A459" s="31" t="str">
        <f t="shared" si="14"/>
        <v/>
      </c>
      <c r="B459" s="159"/>
      <c r="C459" s="21"/>
      <c r="D459" s="97" t="str">
        <f>IF(C459="","",IFERROR(INDEX(②メンバー!$C$5:$C$104,MATCH(C459,②メンバー!$B$5:$B$104,0)),""))</f>
        <v/>
      </c>
      <c r="E459" s="24"/>
      <c r="F459" s="160"/>
      <c r="G459" s="20"/>
      <c r="H459" s="20"/>
      <c r="I459" s="20"/>
      <c r="J459" s="20"/>
      <c r="K459" s="20"/>
      <c r="L459" s="20"/>
      <c r="M459" s="20"/>
      <c r="N459" s="20"/>
      <c r="O459" s="24"/>
      <c r="P459" s="161" t="str">
        <f t="shared" si="15"/>
        <v/>
      </c>
      <c r="Q459" s="7"/>
    </row>
    <row r="460" spans="1:17">
      <c r="A460" s="31" t="str">
        <f t="shared" si="14"/>
        <v/>
      </c>
      <c r="B460" s="159"/>
      <c r="C460" s="21"/>
      <c r="D460" s="97" t="str">
        <f>IF(C460="","",IFERROR(INDEX(②メンバー!$C$5:$C$104,MATCH(C460,②メンバー!$B$5:$B$104,0)),""))</f>
        <v/>
      </c>
      <c r="E460" s="24"/>
      <c r="F460" s="160"/>
      <c r="G460" s="20"/>
      <c r="H460" s="20"/>
      <c r="I460" s="20"/>
      <c r="J460" s="20"/>
      <c r="K460" s="20"/>
      <c r="L460" s="20"/>
      <c r="M460" s="20"/>
      <c r="N460" s="20"/>
      <c r="O460" s="24"/>
      <c r="P460" s="161" t="str">
        <f t="shared" si="15"/>
        <v/>
      </c>
      <c r="Q460" s="7"/>
    </row>
    <row r="461" spans="1:17">
      <c r="A461" s="31" t="str">
        <f t="shared" si="14"/>
        <v/>
      </c>
      <c r="B461" s="159"/>
      <c r="C461" s="21"/>
      <c r="D461" s="97" t="str">
        <f>IF(C461="","",IFERROR(INDEX(②メンバー!$C$5:$C$104,MATCH(C461,②メンバー!$B$5:$B$104,0)),""))</f>
        <v/>
      </c>
      <c r="E461" s="24"/>
      <c r="F461" s="160"/>
      <c r="G461" s="20"/>
      <c r="H461" s="20"/>
      <c r="I461" s="20"/>
      <c r="J461" s="20"/>
      <c r="K461" s="20"/>
      <c r="L461" s="20"/>
      <c r="M461" s="20"/>
      <c r="N461" s="20"/>
      <c r="O461" s="24"/>
      <c r="P461" s="161" t="str">
        <f t="shared" si="15"/>
        <v/>
      </c>
      <c r="Q461" s="7"/>
    </row>
    <row r="462" spans="1:17">
      <c r="A462" s="31" t="str">
        <f t="shared" si="14"/>
        <v/>
      </c>
      <c r="B462" s="159"/>
      <c r="C462" s="21"/>
      <c r="D462" s="97" t="str">
        <f>IF(C462="","",IFERROR(INDEX(②メンバー!$C$5:$C$104,MATCH(C462,②メンバー!$B$5:$B$104,0)),""))</f>
        <v/>
      </c>
      <c r="E462" s="24"/>
      <c r="F462" s="160"/>
      <c r="G462" s="20"/>
      <c r="H462" s="20"/>
      <c r="I462" s="20"/>
      <c r="J462" s="20"/>
      <c r="K462" s="20"/>
      <c r="L462" s="20"/>
      <c r="M462" s="20"/>
      <c r="N462" s="20"/>
      <c r="O462" s="24"/>
      <c r="P462" s="161" t="str">
        <f t="shared" si="15"/>
        <v/>
      </c>
      <c r="Q462" s="7"/>
    </row>
    <row r="463" spans="1:17">
      <c r="A463" s="31" t="str">
        <f t="shared" si="14"/>
        <v/>
      </c>
      <c r="B463" s="159"/>
      <c r="C463" s="21"/>
      <c r="D463" s="97" t="str">
        <f>IF(C463="","",IFERROR(INDEX(②メンバー!$C$5:$C$104,MATCH(C463,②メンバー!$B$5:$B$104,0)),""))</f>
        <v/>
      </c>
      <c r="E463" s="24"/>
      <c r="F463" s="160"/>
      <c r="G463" s="20"/>
      <c r="H463" s="20"/>
      <c r="I463" s="20"/>
      <c r="J463" s="20"/>
      <c r="K463" s="20"/>
      <c r="L463" s="20"/>
      <c r="M463" s="20"/>
      <c r="N463" s="20"/>
      <c r="O463" s="24"/>
      <c r="P463" s="161" t="str">
        <f t="shared" si="15"/>
        <v/>
      </c>
      <c r="Q463" s="7"/>
    </row>
    <row r="464" spans="1:17">
      <c r="A464" s="31" t="str">
        <f t="shared" si="14"/>
        <v/>
      </c>
      <c r="B464" s="159"/>
      <c r="C464" s="21"/>
      <c r="D464" s="97" t="str">
        <f>IF(C464="","",IFERROR(INDEX(②メンバー!$C$5:$C$104,MATCH(C464,②メンバー!$B$5:$B$104,0)),""))</f>
        <v/>
      </c>
      <c r="E464" s="24"/>
      <c r="F464" s="160"/>
      <c r="G464" s="20"/>
      <c r="H464" s="20"/>
      <c r="I464" s="20"/>
      <c r="J464" s="20"/>
      <c r="K464" s="20"/>
      <c r="L464" s="20"/>
      <c r="M464" s="20"/>
      <c r="N464" s="20"/>
      <c r="O464" s="24"/>
      <c r="P464" s="161" t="str">
        <f t="shared" si="15"/>
        <v/>
      </c>
      <c r="Q464" s="7"/>
    </row>
    <row r="465" spans="1:17">
      <c r="A465" s="31" t="str">
        <f t="shared" si="14"/>
        <v/>
      </c>
      <c r="B465" s="159"/>
      <c r="C465" s="21"/>
      <c r="D465" s="97" t="str">
        <f>IF(C465="","",IFERROR(INDEX(②メンバー!$C$5:$C$104,MATCH(C465,②メンバー!$B$5:$B$104,0)),""))</f>
        <v/>
      </c>
      <c r="E465" s="24"/>
      <c r="F465" s="160"/>
      <c r="G465" s="20"/>
      <c r="H465" s="20"/>
      <c r="I465" s="20"/>
      <c r="J465" s="20"/>
      <c r="K465" s="20"/>
      <c r="L465" s="20"/>
      <c r="M465" s="20"/>
      <c r="N465" s="20"/>
      <c r="O465" s="24"/>
      <c r="P465" s="161" t="str">
        <f t="shared" si="15"/>
        <v/>
      </c>
      <c r="Q465" s="7"/>
    </row>
    <row r="466" spans="1:17">
      <c r="A466" s="31" t="str">
        <f t="shared" si="14"/>
        <v/>
      </c>
      <c r="B466" s="159"/>
      <c r="C466" s="21"/>
      <c r="D466" s="97" t="str">
        <f>IF(C466="","",IFERROR(INDEX(②メンバー!$C$5:$C$104,MATCH(C466,②メンバー!$B$5:$B$104,0)),""))</f>
        <v/>
      </c>
      <c r="E466" s="24"/>
      <c r="F466" s="160"/>
      <c r="G466" s="20"/>
      <c r="H466" s="20"/>
      <c r="I466" s="20"/>
      <c r="J466" s="20"/>
      <c r="K466" s="20"/>
      <c r="L466" s="20"/>
      <c r="M466" s="20"/>
      <c r="N466" s="20"/>
      <c r="O466" s="24"/>
      <c r="P466" s="161" t="str">
        <f t="shared" si="15"/>
        <v/>
      </c>
      <c r="Q466" s="7"/>
    </row>
    <row r="467" spans="1:17">
      <c r="A467" s="31" t="str">
        <f t="shared" si="14"/>
        <v/>
      </c>
      <c r="B467" s="159"/>
      <c r="C467" s="21"/>
      <c r="D467" s="97" t="str">
        <f>IF(C467="","",IFERROR(INDEX(②メンバー!$C$5:$C$104,MATCH(C467,②メンバー!$B$5:$B$104,0)),""))</f>
        <v/>
      </c>
      <c r="E467" s="24"/>
      <c r="F467" s="160"/>
      <c r="G467" s="20"/>
      <c r="H467" s="20"/>
      <c r="I467" s="20"/>
      <c r="J467" s="20"/>
      <c r="K467" s="20"/>
      <c r="L467" s="20"/>
      <c r="M467" s="20"/>
      <c r="N467" s="20"/>
      <c r="O467" s="24"/>
      <c r="P467" s="161" t="str">
        <f t="shared" si="15"/>
        <v/>
      </c>
      <c r="Q467" s="7"/>
    </row>
    <row r="468" spans="1:17">
      <c r="A468" s="31" t="str">
        <f t="shared" si="14"/>
        <v/>
      </c>
      <c r="B468" s="159"/>
      <c r="C468" s="21"/>
      <c r="D468" s="97" t="str">
        <f>IF(C468="","",IFERROR(INDEX(②メンバー!$C$5:$C$104,MATCH(C468,②メンバー!$B$5:$B$104,0)),""))</f>
        <v/>
      </c>
      <c r="E468" s="24"/>
      <c r="F468" s="160"/>
      <c r="G468" s="20"/>
      <c r="H468" s="20"/>
      <c r="I468" s="20"/>
      <c r="J468" s="20"/>
      <c r="K468" s="20"/>
      <c r="L468" s="20"/>
      <c r="M468" s="20"/>
      <c r="N468" s="20"/>
      <c r="O468" s="24"/>
      <c r="P468" s="161" t="str">
        <f t="shared" si="15"/>
        <v/>
      </c>
      <c r="Q468" s="7"/>
    </row>
    <row r="469" spans="1:17">
      <c r="A469" s="31" t="str">
        <f t="shared" si="14"/>
        <v/>
      </c>
      <c r="B469" s="159"/>
      <c r="C469" s="21"/>
      <c r="D469" s="97" t="str">
        <f>IF(C469="","",IFERROR(INDEX(②メンバー!$C$5:$C$104,MATCH(C469,②メンバー!$B$5:$B$104,0)),""))</f>
        <v/>
      </c>
      <c r="E469" s="24"/>
      <c r="F469" s="160"/>
      <c r="G469" s="20"/>
      <c r="H469" s="20"/>
      <c r="I469" s="20"/>
      <c r="J469" s="20"/>
      <c r="K469" s="20"/>
      <c r="L469" s="20"/>
      <c r="M469" s="20"/>
      <c r="N469" s="20"/>
      <c r="O469" s="24"/>
      <c r="P469" s="161" t="str">
        <f t="shared" si="15"/>
        <v/>
      </c>
      <c r="Q469" s="7"/>
    </row>
    <row r="470" spans="1:17">
      <c r="A470" s="31" t="str">
        <f t="shared" si="14"/>
        <v/>
      </c>
      <c r="B470" s="159"/>
      <c r="C470" s="21"/>
      <c r="D470" s="97" t="str">
        <f>IF(C470="","",IFERROR(INDEX(②メンバー!$C$5:$C$104,MATCH(C470,②メンバー!$B$5:$B$104,0)),""))</f>
        <v/>
      </c>
      <c r="E470" s="24"/>
      <c r="F470" s="160"/>
      <c r="G470" s="20"/>
      <c r="H470" s="20"/>
      <c r="I470" s="20"/>
      <c r="J470" s="20"/>
      <c r="K470" s="20"/>
      <c r="L470" s="20"/>
      <c r="M470" s="20"/>
      <c r="N470" s="20"/>
      <c r="O470" s="24"/>
      <c r="P470" s="161" t="str">
        <f t="shared" si="15"/>
        <v/>
      </c>
      <c r="Q470" s="7"/>
    </row>
    <row r="471" spans="1:17">
      <c r="A471" s="31" t="str">
        <f t="shared" si="14"/>
        <v/>
      </c>
      <c r="B471" s="159"/>
      <c r="C471" s="21"/>
      <c r="D471" s="97" t="str">
        <f>IF(C471="","",IFERROR(INDEX(②メンバー!$C$5:$C$104,MATCH(C471,②メンバー!$B$5:$B$104,0)),""))</f>
        <v/>
      </c>
      <c r="E471" s="24"/>
      <c r="F471" s="160"/>
      <c r="G471" s="20"/>
      <c r="H471" s="20"/>
      <c r="I471" s="20"/>
      <c r="J471" s="20"/>
      <c r="K471" s="20"/>
      <c r="L471" s="20"/>
      <c r="M471" s="20"/>
      <c r="N471" s="20"/>
      <c r="O471" s="24"/>
      <c r="P471" s="161" t="str">
        <f t="shared" si="15"/>
        <v/>
      </c>
      <c r="Q471" s="7"/>
    </row>
    <row r="472" spans="1:17">
      <c r="A472" s="31" t="str">
        <f t="shared" si="14"/>
        <v/>
      </c>
      <c r="B472" s="159"/>
      <c r="C472" s="21"/>
      <c r="D472" s="97" t="str">
        <f>IF(C472="","",IFERROR(INDEX(②メンバー!$C$5:$C$104,MATCH(C472,②メンバー!$B$5:$B$104,0)),""))</f>
        <v/>
      </c>
      <c r="E472" s="24"/>
      <c r="F472" s="160"/>
      <c r="G472" s="20"/>
      <c r="H472" s="20"/>
      <c r="I472" s="20"/>
      <c r="J472" s="20"/>
      <c r="K472" s="20"/>
      <c r="L472" s="20"/>
      <c r="M472" s="20"/>
      <c r="N472" s="20"/>
      <c r="O472" s="24"/>
      <c r="P472" s="161" t="str">
        <f t="shared" si="15"/>
        <v/>
      </c>
      <c r="Q472" s="7"/>
    </row>
    <row r="473" spans="1:17">
      <c r="A473" s="31" t="str">
        <f t="shared" si="14"/>
        <v/>
      </c>
      <c r="B473" s="159"/>
      <c r="C473" s="21"/>
      <c r="D473" s="97" t="str">
        <f>IF(C473="","",IFERROR(INDEX(②メンバー!$C$5:$C$104,MATCH(C473,②メンバー!$B$5:$B$104,0)),""))</f>
        <v/>
      </c>
      <c r="E473" s="24"/>
      <c r="F473" s="160"/>
      <c r="G473" s="20"/>
      <c r="H473" s="20"/>
      <c r="I473" s="20"/>
      <c r="J473" s="20"/>
      <c r="K473" s="20"/>
      <c r="L473" s="20"/>
      <c r="M473" s="20"/>
      <c r="N473" s="20"/>
      <c r="O473" s="24"/>
      <c r="P473" s="161" t="str">
        <f t="shared" si="15"/>
        <v/>
      </c>
      <c r="Q473" s="7"/>
    </row>
    <row r="474" spans="1:17">
      <c r="A474" s="31" t="str">
        <f t="shared" si="14"/>
        <v/>
      </c>
      <c r="B474" s="159"/>
      <c r="C474" s="21"/>
      <c r="D474" s="97" t="str">
        <f>IF(C474="","",IFERROR(INDEX(②メンバー!$C$5:$C$104,MATCH(C474,②メンバー!$B$5:$B$104,0)),""))</f>
        <v/>
      </c>
      <c r="E474" s="24"/>
      <c r="F474" s="160"/>
      <c r="G474" s="20"/>
      <c r="H474" s="20"/>
      <c r="I474" s="20"/>
      <c r="J474" s="20"/>
      <c r="K474" s="20"/>
      <c r="L474" s="20"/>
      <c r="M474" s="20"/>
      <c r="N474" s="20"/>
      <c r="O474" s="24"/>
      <c r="P474" s="161" t="str">
        <f t="shared" si="15"/>
        <v/>
      </c>
      <c r="Q474" s="7"/>
    </row>
    <row r="475" spans="1:17">
      <c r="A475" s="31" t="str">
        <f t="shared" si="14"/>
        <v/>
      </c>
      <c r="B475" s="159"/>
      <c r="C475" s="21"/>
      <c r="D475" s="97" t="str">
        <f>IF(C475="","",IFERROR(INDEX(②メンバー!$C$5:$C$104,MATCH(C475,②メンバー!$B$5:$B$104,0)),""))</f>
        <v/>
      </c>
      <c r="E475" s="24"/>
      <c r="F475" s="160"/>
      <c r="G475" s="20"/>
      <c r="H475" s="20"/>
      <c r="I475" s="20"/>
      <c r="J475" s="20"/>
      <c r="K475" s="20"/>
      <c r="L475" s="20"/>
      <c r="M475" s="20"/>
      <c r="N475" s="20"/>
      <c r="O475" s="24"/>
      <c r="P475" s="161" t="str">
        <f t="shared" si="15"/>
        <v/>
      </c>
      <c r="Q475" s="7"/>
    </row>
    <row r="476" spans="1:17">
      <c r="A476" s="31" t="str">
        <f t="shared" si="14"/>
        <v/>
      </c>
      <c r="B476" s="159"/>
      <c r="C476" s="21"/>
      <c r="D476" s="97" t="str">
        <f>IF(C476="","",IFERROR(INDEX(②メンバー!$C$5:$C$104,MATCH(C476,②メンバー!$B$5:$B$104,0)),""))</f>
        <v/>
      </c>
      <c r="E476" s="24"/>
      <c r="F476" s="160"/>
      <c r="G476" s="20"/>
      <c r="H476" s="20"/>
      <c r="I476" s="20"/>
      <c r="J476" s="20"/>
      <c r="K476" s="20"/>
      <c r="L476" s="20"/>
      <c r="M476" s="20"/>
      <c r="N476" s="20"/>
      <c r="O476" s="24"/>
      <c r="P476" s="161" t="str">
        <f t="shared" si="15"/>
        <v/>
      </c>
      <c r="Q476" s="7"/>
    </row>
    <row r="477" spans="1:17">
      <c r="A477" s="31" t="str">
        <f t="shared" si="14"/>
        <v/>
      </c>
      <c r="B477" s="159"/>
      <c r="C477" s="21"/>
      <c r="D477" s="97" t="str">
        <f>IF(C477="","",IFERROR(INDEX(②メンバー!$C$5:$C$104,MATCH(C477,②メンバー!$B$5:$B$104,0)),""))</f>
        <v/>
      </c>
      <c r="E477" s="24"/>
      <c r="F477" s="160"/>
      <c r="G477" s="20"/>
      <c r="H477" s="20"/>
      <c r="I477" s="20"/>
      <c r="J477" s="20"/>
      <c r="K477" s="20"/>
      <c r="L477" s="20"/>
      <c r="M477" s="20"/>
      <c r="N477" s="20"/>
      <c r="O477" s="24"/>
      <c r="P477" s="161" t="str">
        <f t="shared" si="15"/>
        <v/>
      </c>
      <c r="Q477" s="7"/>
    </row>
    <row r="478" spans="1:17">
      <c r="A478" s="31" t="str">
        <f t="shared" si="14"/>
        <v/>
      </c>
      <c r="B478" s="159"/>
      <c r="C478" s="21"/>
      <c r="D478" s="97" t="str">
        <f>IF(C478="","",IFERROR(INDEX(②メンバー!$C$5:$C$104,MATCH(C478,②メンバー!$B$5:$B$104,0)),""))</f>
        <v/>
      </c>
      <c r="E478" s="24"/>
      <c r="F478" s="160"/>
      <c r="G478" s="20"/>
      <c r="H478" s="20"/>
      <c r="I478" s="20"/>
      <c r="J478" s="20"/>
      <c r="K478" s="20"/>
      <c r="L478" s="20"/>
      <c r="M478" s="20"/>
      <c r="N478" s="20"/>
      <c r="O478" s="24"/>
      <c r="P478" s="161" t="str">
        <f t="shared" si="15"/>
        <v/>
      </c>
      <c r="Q478" s="7"/>
    </row>
    <row r="479" spans="1:17">
      <c r="A479" s="31" t="str">
        <f t="shared" si="14"/>
        <v/>
      </c>
      <c r="B479" s="159"/>
      <c r="C479" s="21"/>
      <c r="D479" s="97" t="str">
        <f>IF(C479="","",IFERROR(INDEX(②メンバー!$C$5:$C$104,MATCH(C479,②メンバー!$B$5:$B$104,0)),""))</f>
        <v/>
      </c>
      <c r="E479" s="24"/>
      <c r="F479" s="160"/>
      <c r="G479" s="20"/>
      <c r="H479" s="20"/>
      <c r="I479" s="20"/>
      <c r="J479" s="20"/>
      <c r="K479" s="20"/>
      <c r="L479" s="20"/>
      <c r="M479" s="20"/>
      <c r="N479" s="20"/>
      <c r="O479" s="24"/>
      <c r="P479" s="161" t="str">
        <f t="shared" si="15"/>
        <v/>
      </c>
      <c r="Q479" s="7"/>
    </row>
    <row r="480" spans="1:17">
      <c r="A480" s="31" t="str">
        <f t="shared" si="14"/>
        <v/>
      </c>
      <c r="B480" s="159"/>
      <c r="C480" s="21"/>
      <c r="D480" s="97" t="str">
        <f>IF(C480="","",IFERROR(INDEX(②メンバー!$C$5:$C$104,MATCH(C480,②メンバー!$B$5:$B$104,0)),""))</f>
        <v/>
      </c>
      <c r="E480" s="24"/>
      <c r="F480" s="160"/>
      <c r="G480" s="20"/>
      <c r="H480" s="20"/>
      <c r="I480" s="20"/>
      <c r="J480" s="20"/>
      <c r="K480" s="20"/>
      <c r="L480" s="20"/>
      <c r="M480" s="20"/>
      <c r="N480" s="20"/>
      <c r="O480" s="24"/>
      <c r="P480" s="161" t="str">
        <f t="shared" si="15"/>
        <v/>
      </c>
      <c r="Q480" s="7"/>
    </row>
    <row r="481" spans="1:17">
      <c r="A481" s="31" t="str">
        <f t="shared" si="14"/>
        <v/>
      </c>
      <c r="B481" s="159"/>
      <c r="C481" s="21"/>
      <c r="D481" s="97" t="str">
        <f>IF(C481="","",IFERROR(INDEX(②メンバー!$C$5:$C$104,MATCH(C481,②メンバー!$B$5:$B$104,0)),""))</f>
        <v/>
      </c>
      <c r="E481" s="24"/>
      <c r="F481" s="160"/>
      <c r="G481" s="20"/>
      <c r="H481" s="20"/>
      <c r="I481" s="20"/>
      <c r="J481" s="20"/>
      <c r="K481" s="20"/>
      <c r="L481" s="20"/>
      <c r="M481" s="20"/>
      <c r="N481" s="20"/>
      <c r="O481" s="24"/>
      <c r="P481" s="161" t="str">
        <f t="shared" si="15"/>
        <v/>
      </c>
      <c r="Q481" s="7"/>
    </row>
    <row r="482" spans="1:17">
      <c r="A482" s="31" t="str">
        <f t="shared" si="14"/>
        <v/>
      </c>
      <c r="B482" s="159"/>
      <c r="C482" s="21"/>
      <c r="D482" s="97" t="str">
        <f>IF(C482="","",IFERROR(INDEX(②メンバー!$C$5:$C$104,MATCH(C482,②メンバー!$B$5:$B$104,0)),""))</f>
        <v/>
      </c>
      <c r="E482" s="24"/>
      <c r="F482" s="160"/>
      <c r="G482" s="20"/>
      <c r="H482" s="20"/>
      <c r="I482" s="20"/>
      <c r="J482" s="20"/>
      <c r="K482" s="20"/>
      <c r="L482" s="20"/>
      <c r="M482" s="20"/>
      <c r="N482" s="20"/>
      <c r="O482" s="24"/>
      <c r="P482" s="161" t="str">
        <f t="shared" si="15"/>
        <v/>
      </c>
      <c r="Q482" s="7"/>
    </row>
    <row r="483" spans="1:17">
      <c r="A483" s="31" t="str">
        <f t="shared" si="14"/>
        <v/>
      </c>
      <c r="B483" s="159"/>
      <c r="C483" s="21"/>
      <c r="D483" s="97" t="str">
        <f>IF(C483="","",IFERROR(INDEX(②メンバー!$C$5:$C$104,MATCH(C483,②メンバー!$B$5:$B$104,0)),""))</f>
        <v/>
      </c>
      <c r="E483" s="24"/>
      <c r="F483" s="160"/>
      <c r="G483" s="20"/>
      <c r="H483" s="20"/>
      <c r="I483" s="20"/>
      <c r="J483" s="20"/>
      <c r="K483" s="20"/>
      <c r="L483" s="20"/>
      <c r="M483" s="20"/>
      <c r="N483" s="20"/>
      <c r="O483" s="24"/>
      <c r="P483" s="161" t="str">
        <f t="shared" si="15"/>
        <v/>
      </c>
      <c r="Q483" s="7"/>
    </row>
    <row r="484" spans="1:17">
      <c r="A484" s="31" t="str">
        <f t="shared" si="14"/>
        <v/>
      </c>
      <c r="B484" s="159"/>
      <c r="C484" s="21"/>
      <c r="D484" s="97" t="str">
        <f>IF(C484="","",IFERROR(INDEX(②メンバー!$C$5:$C$104,MATCH(C484,②メンバー!$B$5:$B$104,0)),""))</f>
        <v/>
      </c>
      <c r="E484" s="24"/>
      <c r="F484" s="160"/>
      <c r="G484" s="20"/>
      <c r="H484" s="20"/>
      <c r="I484" s="20"/>
      <c r="J484" s="20"/>
      <c r="K484" s="20"/>
      <c r="L484" s="20"/>
      <c r="M484" s="20"/>
      <c r="N484" s="20"/>
      <c r="O484" s="24"/>
      <c r="P484" s="161" t="str">
        <f t="shared" si="15"/>
        <v/>
      </c>
      <c r="Q484" s="7"/>
    </row>
    <row r="485" spans="1:17">
      <c r="A485" s="31" t="str">
        <f t="shared" si="14"/>
        <v/>
      </c>
      <c r="B485" s="159"/>
      <c r="C485" s="21"/>
      <c r="D485" s="97" t="str">
        <f>IF(C485="","",IFERROR(INDEX(②メンバー!$C$5:$C$104,MATCH(C485,②メンバー!$B$5:$B$104,0)),""))</f>
        <v/>
      </c>
      <c r="E485" s="24"/>
      <c r="F485" s="160"/>
      <c r="G485" s="20"/>
      <c r="H485" s="20"/>
      <c r="I485" s="20"/>
      <c r="J485" s="20"/>
      <c r="K485" s="20"/>
      <c r="L485" s="20"/>
      <c r="M485" s="20"/>
      <c r="N485" s="20"/>
      <c r="O485" s="24"/>
      <c r="P485" s="161" t="str">
        <f t="shared" si="15"/>
        <v/>
      </c>
      <c r="Q485" s="7"/>
    </row>
    <row r="486" spans="1:17">
      <c r="A486" s="31" t="str">
        <f t="shared" si="14"/>
        <v/>
      </c>
      <c r="B486" s="159"/>
      <c r="C486" s="21"/>
      <c r="D486" s="97" t="str">
        <f>IF(C486="","",IFERROR(INDEX(②メンバー!$C$5:$C$104,MATCH(C486,②メンバー!$B$5:$B$104,0)),""))</f>
        <v/>
      </c>
      <c r="E486" s="24"/>
      <c r="F486" s="160"/>
      <c r="G486" s="20"/>
      <c r="H486" s="20"/>
      <c r="I486" s="20"/>
      <c r="J486" s="20"/>
      <c r="K486" s="20"/>
      <c r="L486" s="20"/>
      <c r="M486" s="20"/>
      <c r="N486" s="20"/>
      <c r="O486" s="24"/>
      <c r="P486" s="161" t="str">
        <f t="shared" si="15"/>
        <v/>
      </c>
      <c r="Q486" s="7"/>
    </row>
    <row r="487" spans="1:17">
      <c r="A487" s="31" t="str">
        <f t="shared" si="14"/>
        <v/>
      </c>
      <c r="B487" s="159"/>
      <c r="C487" s="21"/>
      <c r="D487" s="97" t="str">
        <f>IF(C487="","",IFERROR(INDEX(②メンバー!$C$5:$C$104,MATCH(C487,②メンバー!$B$5:$B$104,0)),""))</f>
        <v/>
      </c>
      <c r="E487" s="24"/>
      <c r="F487" s="160"/>
      <c r="G487" s="20"/>
      <c r="H487" s="20"/>
      <c r="I487" s="20"/>
      <c r="J487" s="20"/>
      <c r="K487" s="20"/>
      <c r="L487" s="20"/>
      <c r="M487" s="20"/>
      <c r="N487" s="20"/>
      <c r="O487" s="24"/>
      <c r="P487" s="161" t="str">
        <f t="shared" si="15"/>
        <v/>
      </c>
      <c r="Q487" s="7"/>
    </row>
    <row r="488" spans="1:17">
      <c r="A488" s="31" t="str">
        <f t="shared" si="14"/>
        <v/>
      </c>
      <c r="B488" s="159"/>
      <c r="C488" s="21"/>
      <c r="D488" s="97" t="str">
        <f>IF(C488="","",IFERROR(INDEX(②メンバー!$C$5:$C$104,MATCH(C488,②メンバー!$B$5:$B$104,0)),""))</f>
        <v/>
      </c>
      <c r="E488" s="24"/>
      <c r="F488" s="160"/>
      <c r="G488" s="20"/>
      <c r="H488" s="20"/>
      <c r="I488" s="20"/>
      <c r="J488" s="20"/>
      <c r="K488" s="20"/>
      <c r="L488" s="20"/>
      <c r="M488" s="20"/>
      <c r="N488" s="20"/>
      <c r="O488" s="24"/>
      <c r="P488" s="161" t="str">
        <f t="shared" si="15"/>
        <v/>
      </c>
      <c r="Q488" s="7"/>
    </row>
    <row r="489" spans="1:17">
      <c r="A489" s="31" t="str">
        <f t="shared" si="14"/>
        <v/>
      </c>
      <c r="B489" s="159"/>
      <c r="C489" s="21"/>
      <c r="D489" s="97" t="str">
        <f>IF(C489="","",IFERROR(INDEX(②メンバー!$C$5:$C$104,MATCH(C489,②メンバー!$B$5:$B$104,0)),""))</f>
        <v/>
      </c>
      <c r="E489" s="24"/>
      <c r="F489" s="160"/>
      <c r="G489" s="20"/>
      <c r="H489" s="20"/>
      <c r="I489" s="20"/>
      <c r="J489" s="20"/>
      <c r="K489" s="20"/>
      <c r="L489" s="20"/>
      <c r="M489" s="20"/>
      <c r="N489" s="20"/>
      <c r="O489" s="24"/>
      <c r="P489" s="161" t="str">
        <f t="shared" si="15"/>
        <v/>
      </c>
      <c r="Q489" s="7"/>
    </row>
    <row r="490" spans="1:17">
      <c r="A490" s="31" t="str">
        <f t="shared" si="14"/>
        <v/>
      </c>
      <c r="B490" s="159"/>
      <c r="C490" s="21"/>
      <c r="D490" s="97" t="str">
        <f>IF(C490="","",IFERROR(INDEX(②メンバー!$C$5:$C$104,MATCH(C490,②メンバー!$B$5:$B$104,0)),""))</f>
        <v/>
      </c>
      <c r="E490" s="24"/>
      <c r="F490" s="160"/>
      <c r="G490" s="20"/>
      <c r="H490" s="20"/>
      <c r="I490" s="20"/>
      <c r="J490" s="20"/>
      <c r="K490" s="20"/>
      <c r="L490" s="20"/>
      <c r="M490" s="20"/>
      <c r="N490" s="20"/>
      <c r="O490" s="24"/>
      <c r="P490" s="161" t="str">
        <f t="shared" si="15"/>
        <v/>
      </c>
      <c r="Q490" s="7"/>
    </row>
    <row r="491" spans="1:17">
      <c r="A491" s="31" t="str">
        <f t="shared" si="14"/>
        <v/>
      </c>
      <c r="B491" s="159"/>
      <c r="C491" s="21"/>
      <c r="D491" s="97" t="str">
        <f>IF(C491="","",IFERROR(INDEX(②メンバー!$C$5:$C$104,MATCH(C491,②メンバー!$B$5:$B$104,0)),""))</f>
        <v/>
      </c>
      <c r="E491" s="24"/>
      <c r="F491" s="160"/>
      <c r="G491" s="20"/>
      <c r="H491" s="20"/>
      <c r="I491" s="20"/>
      <c r="J491" s="20"/>
      <c r="K491" s="20"/>
      <c r="L491" s="20"/>
      <c r="M491" s="20"/>
      <c r="N491" s="20"/>
      <c r="O491" s="24"/>
      <c r="P491" s="161" t="str">
        <f t="shared" si="15"/>
        <v/>
      </c>
      <c r="Q491" s="7"/>
    </row>
    <row r="492" spans="1:17">
      <c r="A492" s="31" t="str">
        <f t="shared" si="14"/>
        <v/>
      </c>
      <c r="B492" s="159"/>
      <c r="C492" s="21"/>
      <c r="D492" s="97" t="str">
        <f>IF(C492="","",IFERROR(INDEX(②メンバー!$C$5:$C$104,MATCH(C492,②メンバー!$B$5:$B$104,0)),""))</f>
        <v/>
      </c>
      <c r="E492" s="24"/>
      <c r="F492" s="160"/>
      <c r="G492" s="20"/>
      <c r="H492" s="20"/>
      <c r="I492" s="20"/>
      <c r="J492" s="20"/>
      <c r="K492" s="20"/>
      <c r="L492" s="20"/>
      <c r="M492" s="20"/>
      <c r="N492" s="20"/>
      <c r="O492" s="24"/>
      <c r="P492" s="161" t="str">
        <f t="shared" si="15"/>
        <v/>
      </c>
      <c r="Q492" s="7"/>
    </row>
    <row r="493" spans="1:17">
      <c r="A493" s="31" t="str">
        <f t="shared" si="14"/>
        <v/>
      </c>
      <c r="B493" s="159"/>
      <c r="C493" s="21"/>
      <c r="D493" s="97" t="str">
        <f>IF(C493="","",IFERROR(INDEX(②メンバー!$C$5:$C$104,MATCH(C493,②メンバー!$B$5:$B$104,0)),""))</f>
        <v/>
      </c>
      <c r="E493" s="24"/>
      <c r="F493" s="160"/>
      <c r="G493" s="20"/>
      <c r="H493" s="20"/>
      <c r="I493" s="20"/>
      <c r="J493" s="20"/>
      <c r="K493" s="20"/>
      <c r="L493" s="20"/>
      <c r="M493" s="20"/>
      <c r="N493" s="20"/>
      <c r="O493" s="24"/>
      <c r="P493" s="161" t="str">
        <f t="shared" si="15"/>
        <v/>
      </c>
      <c r="Q493" s="7"/>
    </row>
    <row r="494" spans="1:17">
      <c r="A494" s="31" t="str">
        <f t="shared" si="14"/>
        <v/>
      </c>
      <c r="B494" s="159"/>
      <c r="C494" s="21"/>
      <c r="D494" s="97" t="str">
        <f>IF(C494="","",IFERROR(INDEX(②メンバー!$C$5:$C$104,MATCH(C494,②メンバー!$B$5:$B$104,0)),""))</f>
        <v/>
      </c>
      <c r="E494" s="24"/>
      <c r="F494" s="160"/>
      <c r="G494" s="20"/>
      <c r="H494" s="20"/>
      <c r="I494" s="20"/>
      <c r="J494" s="20"/>
      <c r="K494" s="20"/>
      <c r="L494" s="20"/>
      <c r="M494" s="20"/>
      <c r="N494" s="20"/>
      <c r="O494" s="24"/>
      <c r="P494" s="161" t="str">
        <f t="shared" si="15"/>
        <v/>
      </c>
      <c r="Q494" s="7"/>
    </row>
    <row r="495" spans="1:17">
      <c r="A495" s="31" t="str">
        <f t="shared" si="14"/>
        <v/>
      </c>
      <c r="B495" s="159"/>
      <c r="C495" s="21"/>
      <c r="D495" s="97" t="str">
        <f>IF(C495="","",IFERROR(INDEX(②メンバー!$C$5:$C$104,MATCH(C495,②メンバー!$B$5:$B$104,0)),""))</f>
        <v/>
      </c>
      <c r="E495" s="24"/>
      <c r="F495" s="160"/>
      <c r="G495" s="20"/>
      <c r="H495" s="20"/>
      <c r="I495" s="20"/>
      <c r="J495" s="20"/>
      <c r="K495" s="20"/>
      <c r="L495" s="20"/>
      <c r="M495" s="20"/>
      <c r="N495" s="20"/>
      <c r="O495" s="24"/>
      <c r="P495" s="161" t="str">
        <f t="shared" si="15"/>
        <v/>
      </c>
      <c r="Q495" s="7"/>
    </row>
    <row r="496" spans="1:17">
      <c r="A496" s="31" t="str">
        <f t="shared" si="14"/>
        <v/>
      </c>
      <c r="B496" s="159"/>
      <c r="C496" s="21"/>
      <c r="D496" s="97" t="str">
        <f>IF(C496="","",IFERROR(INDEX(②メンバー!$C$5:$C$104,MATCH(C496,②メンバー!$B$5:$B$104,0)),""))</f>
        <v/>
      </c>
      <c r="E496" s="24"/>
      <c r="F496" s="160"/>
      <c r="G496" s="20"/>
      <c r="H496" s="20"/>
      <c r="I496" s="20"/>
      <c r="J496" s="20"/>
      <c r="K496" s="20"/>
      <c r="L496" s="20"/>
      <c r="M496" s="20"/>
      <c r="N496" s="20"/>
      <c r="O496" s="24"/>
      <c r="P496" s="161" t="str">
        <f t="shared" si="15"/>
        <v/>
      </c>
      <c r="Q496" s="7"/>
    </row>
    <row r="497" spans="1:17">
      <c r="A497" s="31" t="str">
        <f t="shared" si="14"/>
        <v/>
      </c>
      <c r="B497" s="159"/>
      <c r="C497" s="21"/>
      <c r="D497" s="97" t="str">
        <f>IF(C497="","",IFERROR(INDEX(②メンバー!$C$5:$C$104,MATCH(C497,②メンバー!$B$5:$B$104,0)),""))</f>
        <v/>
      </c>
      <c r="E497" s="24"/>
      <c r="F497" s="160"/>
      <c r="G497" s="20"/>
      <c r="H497" s="20"/>
      <c r="I497" s="20"/>
      <c r="J497" s="20"/>
      <c r="K497" s="20"/>
      <c r="L497" s="20"/>
      <c r="M497" s="20"/>
      <c r="N497" s="20"/>
      <c r="O497" s="24"/>
      <c r="P497" s="161" t="str">
        <f t="shared" si="15"/>
        <v/>
      </c>
      <c r="Q497" s="7"/>
    </row>
    <row r="498" spans="1:17">
      <c r="A498" s="31" t="str">
        <f t="shared" si="14"/>
        <v/>
      </c>
      <c r="B498" s="159"/>
      <c r="C498" s="21"/>
      <c r="D498" s="97" t="str">
        <f>IF(C498="","",IFERROR(INDEX(②メンバー!$C$5:$C$104,MATCH(C498,②メンバー!$B$5:$B$104,0)),""))</f>
        <v/>
      </c>
      <c r="E498" s="24"/>
      <c r="F498" s="160"/>
      <c r="G498" s="20"/>
      <c r="H498" s="20"/>
      <c r="I498" s="20"/>
      <c r="J498" s="20"/>
      <c r="K498" s="20"/>
      <c r="L498" s="20"/>
      <c r="M498" s="20"/>
      <c r="N498" s="20"/>
      <c r="O498" s="24"/>
      <c r="P498" s="161" t="str">
        <f t="shared" si="15"/>
        <v/>
      </c>
      <c r="Q498" s="7"/>
    </row>
    <row r="499" spans="1:17">
      <c r="A499" s="31" t="str">
        <f t="shared" si="14"/>
        <v/>
      </c>
      <c r="B499" s="159"/>
      <c r="C499" s="21"/>
      <c r="D499" s="97" t="str">
        <f>IF(C499="","",IFERROR(INDEX(②メンバー!$C$5:$C$104,MATCH(C499,②メンバー!$B$5:$B$104,0)),""))</f>
        <v/>
      </c>
      <c r="E499" s="24"/>
      <c r="F499" s="160"/>
      <c r="G499" s="20"/>
      <c r="H499" s="20"/>
      <c r="I499" s="20"/>
      <c r="J499" s="20"/>
      <c r="K499" s="20"/>
      <c r="L499" s="20"/>
      <c r="M499" s="20"/>
      <c r="N499" s="20"/>
      <c r="O499" s="24"/>
      <c r="P499" s="161" t="str">
        <f t="shared" si="15"/>
        <v/>
      </c>
      <c r="Q499" s="7"/>
    </row>
    <row r="500" spans="1:17">
      <c r="A500" s="31" t="str">
        <f t="shared" si="14"/>
        <v/>
      </c>
      <c r="B500" s="159"/>
      <c r="C500" s="21"/>
      <c r="D500" s="97" t="str">
        <f>IF(C500="","",IFERROR(INDEX(②メンバー!$C$5:$C$104,MATCH(C500,②メンバー!$B$5:$B$104,0)),""))</f>
        <v/>
      </c>
      <c r="E500" s="24"/>
      <c r="F500" s="160"/>
      <c r="G500" s="20"/>
      <c r="H500" s="20"/>
      <c r="I500" s="20"/>
      <c r="J500" s="20"/>
      <c r="K500" s="20"/>
      <c r="L500" s="20"/>
      <c r="M500" s="20"/>
      <c r="N500" s="20"/>
      <c r="O500" s="24"/>
      <c r="P500" s="161" t="str">
        <f t="shared" si="15"/>
        <v/>
      </c>
      <c r="Q500" s="7"/>
    </row>
    <row r="501" spans="1:17">
      <c r="A501" s="31" t="str">
        <f t="shared" si="14"/>
        <v/>
      </c>
      <c r="B501" s="159"/>
      <c r="C501" s="21"/>
      <c r="D501" s="97" t="str">
        <f>IF(C501="","",IFERROR(INDEX(②メンバー!$C$5:$C$104,MATCH(C501,②メンバー!$B$5:$B$104,0)),""))</f>
        <v/>
      </c>
      <c r="E501" s="24"/>
      <c r="F501" s="160"/>
      <c r="G501" s="20"/>
      <c r="H501" s="20"/>
      <c r="I501" s="20"/>
      <c r="J501" s="20"/>
      <c r="K501" s="20"/>
      <c r="L501" s="20"/>
      <c r="M501" s="20"/>
      <c r="N501" s="20"/>
      <c r="O501" s="24"/>
      <c r="P501" s="161" t="str">
        <f t="shared" si="15"/>
        <v/>
      </c>
      <c r="Q501" s="7"/>
    </row>
    <row r="502" spans="1:17">
      <c r="A502" s="31" t="str">
        <f t="shared" si="14"/>
        <v/>
      </c>
      <c r="B502" s="159"/>
      <c r="C502" s="21"/>
      <c r="D502" s="97" t="str">
        <f>IF(C502="","",IFERROR(INDEX(②メンバー!$C$5:$C$104,MATCH(C502,②メンバー!$B$5:$B$104,0)),""))</f>
        <v/>
      </c>
      <c r="E502" s="24"/>
      <c r="F502" s="160"/>
      <c r="G502" s="20"/>
      <c r="H502" s="20"/>
      <c r="I502" s="20"/>
      <c r="J502" s="20"/>
      <c r="K502" s="20"/>
      <c r="L502" s="20"/>
      <c r="M502" s="20"/>
      <c r="N502" s="20"/>
      <c r="O502" s="24"/>
      <c r="P502" s="161" t="str">
        <f t="shared" si="15"/>
        <v/>
      </c>
      <c r="Q502" s="7"/>
    </row>
    <row r="503" spans="1:17">
      <c r="A503" s="31" t="str">
        <f t="shared" si="14"/>
        <v/>
      </c>
      <c r="B503" s="159"/>
      <c r="C503" s="21"/>
      <c r="D503" s="97" t="str">
        <f>IF(C503="","",IFERROR(INDEX(②メンバー!$C$5:$C$104,MATCH(C503,②メンバー!$B$5:$B$104,0)),""))</f>
        <v/>
      </c>
      <c r="E503" s="24"/>
      <c r="F503" s="160"/>
      <c r="G503" s="20"/>
      <c r="H503" s="20"/>
      <c r="I503" s="20"/>
      <c r="J503" s="20"/>
      <c r="K503" s="20"/>
      <c r="L503" s="20"/>
      <c r="M503" s="20"/>
      <c r="N503" s="20"/>
      <c r="O503" s="24"/>
      <c r="P503" s="161" t="str">
        <f t="shared" si="15"/>
        <v/>
      </c>
      <c r="Q503" s="7"/>
    </row>
    <row r="504" spans="1:17">
      <c r="A504" s="31" t="str">
        <f t="shared" si="14"/>
        <v/>
      </c>
      <c r="B504" s="159"/>
      <c r="C504" s="21"/>
      <c r="D504" s="97" t="str">
        <f>IF(C504="","",IFERROR(INDEX(②メンバー!$C$5:$C$104,MATCH(C504,②メンバー!$B$5:$B$104,0)),""))</f>
        <v/>
      </c>
      <c r="E504" s="24"/>
      <c r="F504" s="160"/>
      <c r="G504" s="20"/>
      <c r="H504" s="20"/>
      <c r="I504" s="20"/>
      <c r="J504" s="20"/>
      <c r="K504" s="20"/>
      <c r="L504" s="20"/>
      <c r="M504" s="20"/>
      <c r="N504" s="20"/>
      <c r="O504" s="24"/>
      <c r="P504" s="161" t="str">
        <f t="shared" si="15"/>
        <v/>
      </c>
      <c r="Q504" s="7"/>
    </row>
    <row r="505" spans="1:17">
      <c r="A505" s="31" t="str">
        <f t="shared" si="14"/>
        <v/>
      </c>
      <c r="B505" s="159"/>
      <c r="C505" s="21"/>
      <c r="D505" s="97" t="str">
        <f>IF(C505="","",IFERROR(INDEX(②メンバー!$C$5:$C$104,MATCH(C505,②メンバー!$B$5:$B$104,0)),""))</f>
        <v/>
      </c>
      <c r="E505" s="24"/>
      <c r="F505" s="160"/>
      <c r="G505" s="20"/>
      <c r="H505" s="20"/>
      <c r="I505" s="20"/>
      <c r="J505" s="20"/>
      <c r="K505" s="20"/>
      <c r="L505" s="20"/>
      <c r="M505" s="20"/>
      <c r="N505" s="20"/>
      <c r="O505" s="24"/>
      <c r="P505" s="161" t="str">
        <f t="shared" si="15"/>
        <v/>
      </c>
      <c r="Q505" s="7"/>
    </row>
    <row r="506" spans="1:17">
      <c r="A506" s="31" t="str">
        <f t="shared" si="14"/>
        <v/>
      </c>
      <c r="B506" s="159"/>
      <c r="C506" s="21"/>
      <c r="D506" s="97" t="str">
        <f>IF(C506="","",IFERROR(INDEX(②メンバー!$C$5:$C$104,MATCH(C506,②メンバー!$B$5:$B$104,0)),""))</f>
        <v/>
      </c>
      <c r="E506" s="24"/>
      <c r="F506" s="160"/>
      <c r="G506" s="20"/>
      <c r="H506" s="20"/>
      <c r="I506" s="20"/>
      <c r="J506" s="20"/>
      <c r="K506" s="20"/>
      <c r="L506" s="20"/>
      <c r="M506" s="20"/>
      <c r="N506" s="20"/>
      <c r="O506" s="24"/>
      <c r="P506" s="161" t="str">
        <f t="shared" si="15"/>
        <v/>
      </c>
      <c r="Q506" s="7"/>
    </row>
    <row r="507" spans="1:17">
      <c r="A507" s="31" t="str">
        <f t="shared" si="14"/>
        <v/>
      </c>
      <c r="B507" s="159"/>
      <c r="C507" s="21"/>
      <c r="D507" s="97" t="str">
        <f>IF(C507="","",IFERROR(INDEX(②メンバー!$C$5:$C$104,MATCH(C507,②メンバー!$B$5:$B$104,0)),""))</f>
        <v/>
      </c>
      <c r="E507" s="24"/>
      <c r="F507" s="160"/>
      <c r="G507" s="20"/>
      <c r="H507" s="20"/>
      <c r="I507" s="20"/>
      <c r="J507" s="20"/>
      <c r="K507" s="20"/>
      <c r="L507" s="20"/>
      <c r="M507" s="20"/>
      <c r="N507" s="20"/>
      <c r="O507" s="24"/>
      <c r="P507" s="161" t="str">
        <f t="shared" si="15"/>
        <v/>
      </c>
      <c r="Q507" s="7"/>
    </row>
    <row r="508" spans="1:17">
      <c r="A508" s="31" t="str">
        <f t="shared" si="14"/>
        <v/>
      </c>
      <c r="B508" s="159"/>
      <c r="C508" s="21"/>
      <c r="D508" s="97" t="str">
        <f>IF(C508="","",IFERROR(INDEX(②メンバー!$C$5:$C$104,MATCH(C508,②メンバー!$B$5:$B$104,0)),""))</f>
        <v/>
      </c>
      <c r="E508" s="24"/>
      <c r="F508" s="160"/>
      <c r="G508" s="20"/>
      <c r="H508" s="20"/>
      <c r="I508" s="20"/>
      <c r="J508" s="20"/>
      <c r="K508" s="20"/>
      <c r="L508" s="20"/>
      <c r="M508" s="20"/>
      <c r="N508" s="20"/>
      <c r="O508" s="24"/>
      <c r="P508" s="161" t="str">
        <f t="shared" si="15"/>
        <v/>
      </c>
      <c r="Q508" s="7"/>
    </row>
    <row r="509" spans="1:17">
      <c r="A509" s="31" t="str">
        <f t="shared" si="14"/>
        <v/>
      </c>
      <c r="B509" s="159"/>
      <c r="C509" s="21"/>
      <c r="D509" s="97" t="str">
        <f>IF(C509="","",IFERROR(INDEX(②メンバー!$C$5:$C$104,MATCH(C509,②メンバー!$B$5:$B$104,0)),""))</f>
        <v/>
      </c>
      <c r="E509" s="24"/>
      <c r="F509" s="160"/>
      <c r="G509" s="20"/>
      <c r="H509" s="20"/>
      <c r="I509" s="20"/>
      <c r="J509" s="20"/>
      <c r="K509" s="20"/>
      <c r="L509" s="20"/>
      <c r="M509" s="20"/>
      <c r="N509" s="20"/>
      <c r="O509" s="24"/>
      <c r="P509" s="161" t="str">
        <f t="shared" si="15"/>
        <v/>
      </c>
      <c r="Q509" s="7"/>
    </row>
    <row r="510" spans="1:17">
      <c r="A510" s="31" t="str">
        <f t="shared" si="14"/>
        <v/>
      </c>
      <c r="B510" s="159"/>
      <c r="C510" s="21"/>
      <c r="D510" s="97" t="str">
        <f>IF(C510="","",IFERROR(INDEX(②メンバー!$C$5:$C$104,MATCH(C510,②メンバー!$B$5:$B$104,0)),""))</f>
        <v/>
      </c>
      <c r="E510" s="24"/>
      <c r="F510" s="160"/>
      <c r="G510" s="20"/>
      <c r="H510" s="20"/>
      <c r="I510" s="20"/>
      <c r="J510" s="20"/>
      <c r="K510" s="20"/>
      <c r="L510" s="20"/>
      <c r="M510" s="20"/>
      <c r="N510" s="20"/>
      <c r="O510" s="24"/>
      <c r="P510" s="161" t="str">
        <f t="shared" si="15"/>
        <v/>
      </c>
      <c r="Q510" s="7"/>
    </row>
    <row r="511" spans="1:17">
      <c r="A511" s="31" t="str">
        <f t="shared" si="14"/>
        <v/>
      </c>
      <c r="B511" s="159"/>
      <c r="C511" s="21"/>
      <c r="D511" s="97" t="str">
        <f>IF(C511="","",IFERROR(INDEX(②メンバー!$C$5:$C$104,MATCH(C511,②メンバー!$B$5:$B$104,0)),""))</f>
        <v/>
      </c>
      <c r="E511" s="24"/>
      <c r="F511" s="160"/>
      <c r="G511" s="20"/>
      <c r="H511" s="20"/>
      <c r="I511" s="20"/>
      <c r="J511" s="20"/>
      <c r="K511" s="20"/>
      <c r="L511" s="20"/>
      <c r="M511" s="20"/>
      <c r="N511" s="20"/>
      <c r="O511" s="24"/>
      <c r="P511" s="161" t="str">
        <f t="shared" si="15"/>
        <v/>
      </c>
      <c r="Q511" s="7"/>
    </row>
    <row r="512" spans="1:17">
      <c r="A512" s="31" t="str">
        <f t="shared" si="14"/>
        <v/>
      </c>
      <c r="B512" s="159"/>
      <c r="C512" s="21"/>
      <c r="D512" s="97" t="str">
        <f>IF(C512="","",IFERROR(INDEX(②メンバー!$C$5:$C$104,MATCH(C512,②メンバー!$B$5:$B$104,0)),""))</f>
        <v/>
      </c>
      <c r="E512" s="24"/>
      <c r="F512" s="160"/>
      <c r="G512" s="20"/>
      <c r="H512" s="20"/>
      <c r="I512" s="20"/>
      <c r="J512" s="20"/>
      <c r="K512" s="20"/>
      <c r="L512" s="20"/>
      <c r="M512" s="20"/>
      <c r="N512" s="20"/>
      <c r="O512" s="24"/>
      <c r="P512" s="161" t="str">
        <f t="shared" si="15"/>
        <v/>
      </c>
      <c r="Q512" s="7"/>
    </row>
    <row r="513" spans="1:17">
      <c r="A513" s="31" t="str">
        <f t="shared" si="14"/>
        <v/>
      </c>
      <c r="B513" s="159"/>
      <c r="C513" s="21"/>
      <c r="D513" s="97" t="str">
        <f>IF(C513="","",IFERROR(INDEX(②メンバー!$C$5:$C$104,MATCH(C513,②メンバー!$B$5:$B$104,0)),""))</f>
        <v/>
      </c>
      <c r="E513" s="24"/>
      <c r="F513" s="160"/>
      <c r="G513" s="20"/>
      <c r="H513" s="20"/>
      <c r="I513" s="20"/>
      <c r="J513" s="20"/>
      <c r="K513" s="20"/>
      <c r="L513" s="20"/>
      <c r="M513" s="20"/>
      <c r="N513" s="20"/>
      <c r="O513" s="24"/>
      <c r="P513" s="161" t="str">
        <f t="shared" si="15"/>
        <v/>
      </c>
      <c r="Q513" s="7"/>
    </row>
    <row r="514" spans="1:17">
      <c r="A514" s="31" t="str">
        <f t="shared" si="14"/>
        <v/>
      </c>
      <c r="B514" s="159"/>
      <c r="C514" s="21"/>
      <c r="D514" s="97" t="str">
        <f>IF(C514="","",IFERROR(INDEX(②メンバー!$C$5:$C$104,MATCH(C514,②メンバー!$B$5:$B$104,0)),""))</f>
        <v/>
      </c>
      <c r="E514" s="24"/>
      <c r="F514" s="160"/>
      <c r="G514" s="20"/>
      <c r="H514" s="20"/>
      <c r="I514" s="20"/>
      <c r="J514" s="20"/>
      <c r="K514" s="20"/>
      <c r="L514" s="20"/>
      <c r="M514" s="20"/>
      <c r="N514" s="20"/>
      <c r="O514" s="24"/>
      <c r="P514" s="161" t="str">
        <f t="shared" si="15"/>
        <v/>
      </c>
      <c r="Q514" s="7"/>
    </row>
    <row r="515" spans="1:17">
      <c r="A515" s="31" t="str">
        <f t="shared" si="14"/>
        <v/>
      </c>
      <c r="B515" s="159"/>
      <c r="C515" s="21"/>
      <c r="D515" s="97" t="str">
        <f>IF(C515="","",IFERROR(INDEX(②メンバー!$C$5:$C$104,MATCH(C515,②メンバー!$B$5:$B$104,0)),""))</f>
        <v/>
      </c>
      <c r="E515" s="24"/>
      <c r="F515" s="160"/>
      <c r="G515" s="20"/>
      <c r="H515" s="20"/>
      <c r="I515" s="20"/>
      <c r="J515" s="20"/>
      <c r="K515" s="20"/>
      <c r="L515" s="20"/>
      <c r="M515" s="20"/>
      <c r="N515" s="20"/>
      <c r="O515" s="24"/>
      <c r="P515" s="161" t="str">
        <f t="shared" si="15"/>
        <v/>
      </c>
      <c r="Q515" s="7"/>
    </row>
    <row r="516" spans="1:17">
      <c r="A516" s="31" t="str">
        <f t="shared" si="14"/>
        <v/>
      </c>
      <c r="B516" s="159"/>
      <c r="C516" s="21"/>
      <c r="D516" s="97" t="str">
        <f>IF(C516="","",IFERROR(INDEX(②メンバー!$C$5:$C$104,MATCH(C516,②メンバー!$B$5:$B$104,0)),""))</f>
        <v/>
      </c>
      <c r="E516" s="24"/>
      <c r="F516" s="160"/>
      <c r="G516" s="20"/>
      <c r="H516" s="20"/>
      <c r="I516" s="20"/>
      <c r="J516" s="20"/>
      <c r="K516" s="20"/>
      <c r="L516" s="20"/>
      <c r="M516" s="20"/>
      <c r="N516" s="20"/>
      <c r="O516" s="24"/>
      <c r="P516" s="161" t="str">
        <f t="shared" si="15"/>
        <v/>
      </c>
      <c r="Q516" s="7"/>
    </row>
    <row r="517" spans="1:17">
      <c r="A517" s="31" t="str">
        <f t="shared" si="14"/>
        <v/>
      </c>
      <c r="B517" s="159"/>
      <c r="C517" s="21"/>
      <c r="D517" s="97" t="str">
        <f>IF(C517="","",IFERROR(INDEX(②メンバー!$C$5:$C$104,MATCH(C517,②メンバー!$B$5:$B$104,0)),""))</f>
        <v/>
      </c>
      <c r="E517" s="24"/>
      <c r="F517" s="160"/>
      <c r="G517" s="20"/>
      <c r="H517" s="20"/>
      <c r="I517" s="20"/>
      <c r="J517" s="20"/>
      <c r="K517" s="20"/>
      <c r="L517" s="20"/>
      <c r="M517" s="20"/>
      <c r="N517" s="20"/>
      <c r="O517" s="24"/>
      <c r="P517" s="161" t="str">
        <f t="shared" si="15"/>
        <v/>
      </c>
      <c r="Q517" s="7"/>
    </row>
    <row r="518" spans="1:17">
      <c r="A518" s="31" t="str">
        <f t="shared" ref="A518:A581" si="16">IF(B518="","",ROW()-5)</f>
        <v/>
      </c>
      <c r="B518" s="159"/>
      <c r="C518" s="21"/>
      <c r="D518" s="97" t="str">
        <f>IF(C518="","",IFERROR(INDEX(②メンバー!$C$5:$C$104,MATCH(C518,②メンバー!$B$5:$B$104,0)),""))</f>
        <v/>
      </c>
      <c r="E518" s="24"/>
      <c r="F518" s="160"/>
      <c r="G518" s="20"/>
      <c r="H518" s="20"/>
      <c r="I518" s="20"/>
      <c r="J518" s="20"/>
      <c r="K518" s="20"/>
      <c r="L518" s="20"/>
      <c r="M518" s="20"/>
      <c r="N518" s="20"/>
      <c r="O518" s="24"/>
      <c r="P518" s="161" t="str">
        <f t="shared" ref="P518:P581" si="17">IF(C518="","",IF(COUNTA(F518:O518)=0,IF(E518="出勤","いつもの時間","終日"),TRIM(IF(COUNTIF(F518:O518,"休")&gt;0,"休 "&amp;COUNTIF(F518:O518,"休")&amp;"h ","")&amp;IF(COUNTIF(F518:O518,"出")&gt;0,"出 "&amp;COUNTIF(F518:O518,"出")&amp;"h",""))))</f>
        <v/>
      </c>
      <c r="Q518" s="7"/>
    </row>
    <row r="519" spans="1:17">
      <c r="A519" s="31" t="str">
        <f t="shared" si="16"/>
        <v/>
      </c>
      <c r="B519" s="159"/>
      <c r="C519" s="21"/>
      <c r="D519" s="97" t="str">
        <f>IF(C519="","",IFERROR(INDEX(②メンバー!$C$5:$C$104,MATCH(C519,②メンバー!$B$5:$B$104,0)),""))</f>
        <v/>
      </c>
      <c r="E519" s="24"/>
      <c r="F519" s="160"/>
      <c r="G519" s="20"/>
      <c r="H519" s="20"/>
      <c r="I519" s="20"/>
      <c r="J519" s="20"/>
      <c r="K519" s="20"/>
      <c r="L519" s="20"/>
      <c r="M519" s="20"/>
      <c r="N519" s="20"/>
      <c r="O519" s="24"/>
      <c r="P519" s="161" t="str">
        <f t="shared" si="17"/>
        <v/>
      </c>
      <c r="Q519" s="7"/>
    </row>
    <row r="520" spans="1:17">
      <c r="A520" s="31" t="str">
        <f t="shared" si="16"/>
        <v/>
      </c>
      <c r="B520" s="159"/>
      <c r="C520" s="21"/>
      <c r="D520" s="97" t="str">
        <f>IF(C520="","",IFERROR(INDEX(②メンバー!$C$5:$C$104,MATCH(C520,②メンバー!$B$5:$B$104,0)),""))</f>
        <v/>
      </c>
      <c r="E520" s="24"/>
      <c r="F520" s="160"/>
      <c r="G520" s="20"/>
      <c r="H520" s="20"/>
      <c r="I520" s="20"/>
      <c r="J520" s="20"/>
      <c r="K520" s="20"/>
      <c r="L520" s="20"/>
      <c r="M520" s="20"/>
      <c r="N520" s="20"/>
      <c r="O520" s="24"/>
      <c r="P520" s="161" t="str">
        <f t="shared" si="17"/>
        <v/>
      </c>
      <c r="Q520" s="7"/>
    </row>
    <row r="521" spans="1:17">
      <c r="A521" s="31" t="str">
        <f t="shared" si="16"/>
        <v/>
      </c>
      <c r="B521" s="159"/>
      <c r="C521" s="21"/>
      <c r="D521" s="97" t="str">
        <f>IF(C521="","",IFERROR(INDEX(②メンバー!$C$5:$C$104,MATCH(C521,②メンバー!$B$5:$B$104,0)),""))</f>
        <v/>
      </c>
      <c r="E521" s="24"/>
      <c r="F521" s="160"/>
      <c r="G521" s="20"/>
      <c r="H521" s="20"/>
      <c r="I521" s="20"/>
      <c r="J521" s="20"/>
      <c r="K521" s="20"/>
      <c r="L521" s="20"/>
      <c r="M521" s="20"/>
      <c r="N521" s="20"/>
      <c r="O521" s="24"/>
      <c r="P521" s="161" t="str">
        <f t="shared" si="17"/>
        <v/>
      </c>
      <c r="Q521" s="7"/>
    </row>
    <row r="522" spans="1:17">
      <c r="A522" s="31" t="str">
        <f t="shared" si="16"/>
        <v/>
      </c>
      <c r="B522" s="159"/>
      <c r="C522" s="21"/>
      <c r="D522" s="97" t="str">
        <f>IF(C522="","",IFERROR(INDEX(②メンバー!$C$5:$C$104,MATCH(C522,②メンバー!$B$5:$B$104,0)),""))</f>
        <v/>
      </c>
      <c r="E522" s="24"/>
      <c r="F522" s="160"/>
      <c r="G522" s="20"/>
      <c r="H522" s="20"/>
      <c r="I522" s="20"/>
      <c r="J522" s="20"/>
      <c r="K522" s="20"/>
      <c r="L522" s="20"/>
      <c r="M522" s="20"/>
      <c r="N522" s="20"/>
      <c r="O522" s="24"/>
      <c r="P522" s="161" t="str">
        <f t="shared" si="17"/>
        <v/>
      </c>
      <c r="Q522" s="7"/>
    </row>
    <row r="523" spans="1:17">
      <c r="A523" s="31" t="str">
        <f t="shared" si="16"/>
        <v/>
      </c>
      <c r="B523" s="159"/>
      <c r="C523" s="21"/>
      <c r="D523" s="97" t="str">
        <f>IF(C523="","",IFERROR(INDEX(②メンバー!$C$5:$C$104,MATCH(C523,②メンバー!$B$5:$B$104,0)),""))</f>
        <v/>
      </c>
      <c r="E523" s="24"/>
      <c r="F523" s="160"/>
      <c r="G523" s="20"/>
      <c r="H523" s="20"/>
      <c r="I523" s="20"/>
      <c r="J523" s="20"/>
      <c r="K523" s="20"/>
      <c r="L523" s="20"/>
      <c r="M523" s="20"/>
      <c r="N523" s="20"/>
      <c r="O523" s="24"/>
      <c r="P523" s="161" t="str">
        <f t="shared" si="17"/>
        <v/>
      </c>
      <c r="Q523" s="7"/>
    </row>
    <row r="524" spans="1:17">
      <c r="A524" s="31" t="str">
        <f t="shared" si="16"/>
        <v/>
      </c>
      <c r="B524" s="159"/>
      <c r="C524" s="21"/>
      <c r="D524" s="97" t="str">
        <f>IF(C524="","",IFERROR(INDEX(②メンバー!$C$5:$C$104,MATCH(C524,②メンバー!$B$5:$B$104,0)),""))</f>
        <v/>
      </c>
      <c r="E524" s="24"/>
      <c r="F524" s="160"/>
      <c r="G524" s="20"/>
      <c r="H524" s="20"/>
      <c r="I524" s="20"/>
      <c r="J524" s="20"/>
      <c r="K524" s="20"/>
      <c r="L524" s="20"/>
      <c r="M524" s="20"/>
      <c r="N524" s="20"/>
      <c r="O524" s="24"/>
      <c r="P524" s="161" t="str">
        <f t="shared" si="17"/>
        <v/>
      </c>
      <c r="Q524" s="7"/>
    </row>
    <row r="525" spans="1:17">
      <c r="A525" s="31" t="str">
        <f t="shared" si="16"/>
        <v/>
      </c>
      <c r="B525" s="159"/>
      <c r="C525" s="21"/>
      <c r="D525" s="97" t="str">
        <f>IF(C525="","",IFERROR(INDEX(②メンバー!$C$5:$C$104,MATCH(C525,②メンバー!$B$5:$B$104,0)),""))</f>
        <v/>
      </c>
      <c r="E525" s="24"/>
      <c r="F525" s="160"/>
      <c r="G525" s="20"/>
      <c r="H525" s="20"/>
      <c r="I525" s="20"/>
      <c r="J525" s="20"/>
      <c r="K525" s="20"/>
      <c r="L525" s="20"/>
      <c r="M525" s="20"/>
      <c r="N525" s="20"/>
      <c r="O525" s="24"/>
      <c r="P525" s="161" t="str">
        <f t="shared" si="17"/>
        <v/>
      </c>
      <c r="Q525" s="7"/>
    </row>
    <row r="526" spans="1:17">
      <c r="A526" s="31" t="str">
        <f t="shared" si="16"/>
        <v/>
      </c>
      <c r="B526" s="159"/>
      <c r="C526" s="21"/>
      <c r="D526" s="97" t="str">
        <f>IF(C526="","",IFERROR(INDEX(②メンバー!$C$5:$C$104,MATCH(C526,②メンバー!$B$5:$B$104,0)),""))</f>
        <v/>
      </c>
      <c r="E526" s="24"/>
      <c r="F526" s="160"/>
      <c r="G526" s="20"/>
      <c r="H526" s="20"/>
      <c r="I526" s="20"/>
      <c r="J526" s="20"/>
      <c r="K526" s="20"/>
      <c r="L526" s="20"/>
      <c r="M526" s="20"/>
      <c r="N526" s="20"/>
      <c r="O526" s="24"/>
      <c r="P526" s="161" t="str">
        <f t="shared" si="17"/>
        <v/>
      </c>
      <c r="Q526" s="7"/>
    </row>
    <row r="527" spans="1:17">
      <c r="A527" s="31" t="str">
        <f t="shared" si="16"/>
        <v/>
      </c>
      <c r="B527" s="159"/>
      <c r="C527" s="21"/>
      <c r="D527" s="97" t="str">
        <f>IF(C527="","",IFERROR(INDEX(②メンバー!$C$5:$C$104,MATCH(C527,②メンバー!$B$5:$B$104,0)),""))</f>
        <v/>
      </c>
      <c r="E527" s="24"/>
      <c r="F527" s="160"/>
      <c r="G527" s="20"/>
      <c r="H527" s="20"/>
      <c r="I527" s="20"/>
      <c r="J527" s="20"/>
      <c r="K527" s="20"/>
      <c r="L527" s="20"/>
      <c r="M527" s="20"/>
      <c r="N527" s="20"/>
      <c r="O527" s="24"/>
      <c r="P527" s="161" t="str">
        <f t="shared" si="17"/>
        <v/>
      </c>
      <c r="Q527" s="7"/>
    </row>
    <row r="528" spans="1:17">
      <c r="A528" s="31" t="str">
        <f t="shared" si="16"/>
        <v/>
      </c>
      <c r="B528" s="159"/>
      <c r="C528" s="21"/>
      <c r="D528" s="97" t="str">
        <f>IF(C528="","",IFERROR(INDEX(②メンバー!$C$5:$C$104,MATCH(C528,②メンバー!$B$5:$B$104,0)),""))</f>
        <v/>
      </c>
      <c r="E528" s="24"/>
      <c r="F528" s="160"/>
      <c r="G528" s="20"/>
      <c r="H528" s="20"/>
      <c r="I528" s="20"/>
      <c r="J528" s="20"/>
      <c r="K528" s="20"/>
      <c r="L528" s="20"/>
      <c r="M528" s="20"/>
      <c r="N528" s="20"/>
      <c r="O528" s="24"/>
      <c r="P528" s="161" t="str">
        <f t="shared" si="17"/>
        <v/>
      </c>
      <c r="Q528" s="7"/>
    </row>
    <row r="529" spans="1:17">
      <c r="A529" s="31" t="str">
        <f t="shared" si="16"/>
        <v/>
      </c>
      <c r="B529" s="159"/>
      <c r="C529" s="21"/>
      <c r="D529" s="97" t="str">
        <f>IF(C529="","",IFERROR(INDEX(②メンバー!$C$5:$C$104,MATCH(C529,②メンバー!$B$5:$B$104,0)),""))</f>
        <v/>
      </c>
      <c r="E529" s="24"/>
      <c r="F529" s="160"/>
      <c r="G529" s="20"/>
      <c r="H529" s="20"/>
      <c r="I529" s="20"/>
      <c r="J529" s="20"/>
      <c r="K529" s="20"/>
      <c r="L529" s="20"/>
      <c r="M529" s="20"/>
      <c r="N529" s="20"/>
      <c r="O529" s="24"/>
      <c r="P529" s="161" t="str">
        <f t="shared" si="17"/>
        <v/>
      </c>
      <c r="Q529" s="7"/>
    </row>
    <row r="530" spans="1:17">
      <c r="A530" s="31" t="str">
        <f t="shared" si="16"/>
        <v/>
      </c>
      <c r="B530" s="159"/>
      <c r="C530" s="21"/>
      <c r="D530" s="97" t="str">
        <f>IF(C530="","",IFERROR(INDEX(②メンバー!$C$5:$C$104,MATCH(C530,②メンバー!$B$5:$B$104,0)),""))</f>
        <v/>
      </c>
      <c r="E530" s="24"/>
      <c r="F530" s="160"/>
      <c r="G530" s="20"/>
      <c r="H530" s="20"/>
      <c r="I530" s="20"/>
      <c r="J530" s="20"/>
      <c r="K530" s="20"/>
      <c r="L530" s="20"/>
      <c r="M530" s="20"/>
      <c r="N530" s="20"/>
      <c r="O530" s="24"/>
      <c r="P530" s="161" t="str">
        <f t="shared" si="17"/>
        <v/>
      </c>
      <c r="Q530" s="7"/>
    </row>
    <row r="531" spans="1:17">
      <c r="A531" s="31" t="str">
        <f t="shared" si="16"/>
        <v/>
      </c>
      <c r="B531" s="159"/>
      <c r="C531" s="21"/>
      <c r="D531" s="97" t="str">
        <f>IF(C531="","",IFERROR(INDEX(②メンバー!$C$5:$C$104,MATCH(C531,②メンバー!$B$5:$B$104,0)),""))</f>
        <v/>
      </c>
      <c r="E531" s="24"/>
      <c r="F531" s="160"/>
      <c r="G531" s="20"/>
      <c r="H531" s="20"/>
      <c r="I531" s="20"/>
      <c r="J531" s="20"/>
      <c r="K531" s="20"/>
      <c r="L531" s="20"/>
      <c r="M531" s="20"/>
      <c r="N531" s="20"/>
      <c r="O531" s="24"/>
      <c r="P531" s="161" t="str">
        <f t="shared" si="17"/>
        <v/>
      </c>
      <c r="Q531" s="7"/>
    </row>
    <row r="532" spans="1:17">
      <c r="A532" s="31" t="str">
        <f t="shared" si="16"/>
        <v/>
      </c>
      <c r="B532" s="159"/>
      <c r="C532" s="21"/>
      <c r="D532" s="97" t="str">
        <f>IF(C532="","",IFERROR(INDEX(②メンバー!$C$5:$C$104,MATCH(C532,②メンバー!$B$5:$B$104,0)),""))</f>
        <v/>
      </c>
      <c r="E532" s="24"/>
      <c r="F532" s="160"/>
      <c r="G532" s="20"/>
      <c r="H532" s="20"/>
      <c r="I532" s="20"/>
      <c r="J532" s="20"/>
      <c r="K532" s="20"/>
      <c r="L532" s="20"/>
      <c r="M532" s="20"/>
      <c r="N532" s="20"/>
      <c r="O532" s="24"/>
      <c r="P532" s="161" t="str">
        <f t="shared" si="17"/>
        <v/>
      </c>
      <c r="Q532" s="7"/>
    </row>
    <row r="533" spans="1:17">
      <c r="A533" s="31" t="str">
        <f t="shared" si="16"/>
        <v/>
      </c>
      <c r="B533" s="159"/>
      <c r="C533" s="21"/>
      <c r="D533" s="97" t="str">
        <f>IF(C533="","",IFERROR(INDEX(②メンバー!$C$5:$C$104,MATCH(C533,②メンバー!$B$5:$B$104,0)),""))</f>
        <v/>
      </c>
      <c r="E533" s="24"/>
      <c r="F533" s="160"/>
      <c r="G533" s="20"/>
      <c r="H533" s="20"/>
      <c r="I533" s="20"/>
      <c r="J533" s="20"/>
      <c r="K533" s="20"/>
      <c r="L533" s="20"/>
      <c r="M533" s="20"/>
      <c r="N533" s="20"/>
      <c r="O533" s="24"/>
      <c r="P533" s="161" t="str">
        <f t="shared" si="17"/>
        <v/>
      </c>
      <c r="Q533" s="7"/>
    </row>
    <row r="534" spans="1:17">
      <c r="A534" s="31" t="str">
        <f t="shared" si="16"/>
        <v/>
      </c>
      <c r="B534" s="159"/>
      <c r="C534" s="21"/>
      <c r="D534" s="97" t="str">
        <f>IF(C534="","",IFERROR(INDEX(②メンバー!$C$5:$C$104,MATCH(C534,②メンバー!$B$5:$B$104,0)),""))</f>
        <v/>
      </c>
      <c r="E534" s="24"/>
      <c r="F534" s="160"/>
      <c r="G534" s="20"/>
      <c r="H534" s="20"/>
      <c r="I534" s="20"/>
      <c r="J534" s="20"/>
      <c r="K534" s="20"/>
      <c r="L534" s="20"/>
      <c r="M534" s="20"/>
      <c r="N534" s="20"/>
      <c r="O534" s="24"/>
      <c r="P534" s="161" t="str">
        <f t="shared" si="17"/>
        <v/>
      </c>
      <c r="Q534" s="7"/>
    </row>
    <row r="535" spans="1:17">
      <c r="A535" s="31" t="str">
        <f t="shared" si="16"/>
        <v/>
      </c>
      <c r="B535" s="159"/>
      <c r="C535" s="21"/>
      <c r="D535" s="97" t="str">
        <f>IF(C535="","",IFERROR(INDEX(②メンバー!$C$5:$C$104,MATCH(C535,②メンバー!$B$5:$B$104,0)),""))</f>
        <v/>
      </c>
      <c r="E535" s="24"/>
      <c r="F535" s="160"/>
      <c r="G535" s="20"/>
      <c r="H535" s="20"/>
      <c r="I535" s="20"/>
      <c r="J535" s="20"/>
      <c r="K535" s="20"/>
      <c r="L535" s="20"/>
      <c r="M535" s="20"/>
      <c r="N535" s="20"/>
      <c r="O535" s="24"/>
      <c r="P535" s="161" t="str">
        <f t="shared" si="17"/>
        <v/>
      </c>
      <c r="Q535" s="7"/>
    </row>
    <row r="536" spans="1:17">
      <c r="A536" s="31" t="str">
        <f t="shared" si="16"/>
        <v/>
      </c>
      <c r="B536" s="159"/>
      <c r="C536" s="21"/>
      <c r="D536" s="97" t="str">
        <f>IF(C536="","",IFERROR(INDEX(②メンバー!$C$5:$C$104,MATCH(C536,②メンバー!$B$5:$B$104,0)),""))</f>
        <v/>
      </c>
      <c r="E536" s="24"/>
      <c r="F536" s="160"/>
      <c r="G536" s="20"/>
      <c r="H536" s="20"/>
      <c r="I536" s="20"/>
      <c r="J536" s="20"/>
      <c r="K536" s="20"/>
      <c r="L536" s="20"/>
      <c r="M536" s="20"/>
      <c r="N536" s="20"/>
      <c r="O536" s="24"/>
      <c r="P536" s="161" t="str">
        <f t="shared" si="17"/>
        <v/>
      </c>
      <c r="Q536" s="7"/>
    </row>
    <row r="537" spans="1:17">
      <c r="A537" s="31" t="str">
        <f t="shared" si="16"/>
        <v/>
      </c>
      <c r="B537" s="159"/>
      <c r="C537" s="21"/>
      <c r="D537" s="97" t="str">
        <f>IF(C537="","",IFERROR(INDEX(②メンバー!$C$5:$C$104,MATCH(C537,②メンバー!$B$5:$B$104,0)),""))</f>
        <v/>
      </c>
      <c r="E537" s="24"/>
      <c r="F537" s="160"/>
      <c r="G537" s="20"/>
      <c r="H537" s="20"/>
      <c r="I537" s="20"/>
      <c r="J537" s="20"/>
      <c r="K537" s="20"/>
      <c r="L537" s="20"/>
      <c r="M537" s="20"/>
      <c r="N537" s="20"/>
      <c r="O537" s="24"/>
      <c r="P537" s="161" t="str">
        <f t="shared" si="17"/>
        <v/>
      </c>
      <c r="Q537" s="7"/>
    </row>
    <row r="538" spans="1:17">
      <c r="A538" s="31" t="str">
        <f t="shared" si="16"/>
        <v/>
      </c>
      <c r="B538" s="159"/>
      <c r="C538" s="21"/>
      <c r="D538" s="97" t="str">
        <f>IF(C538="","",IFERROR(INDEX(②メンバー!$C$5:$C$104,MATCH(C538,②メンバー!$B$5:$B$104,0)),""))</f>
        <v/>
      </c>
      <c r="E538" s="24"/>
      <c r="F538" s="160"/>
      <c r="G538" s="20"/>
      <c r="H538" s="20"/>
      <c r="I538" s="20"/>
      <c r="J538" s="20"/>
      <c r="K538" s="20"/>
      <c r="L538" s="20"/>
      <c r="M538" s="20"/>
      <c r="N538" s="20"/>
      <c r="O538" s="24"/>
      <c r="P538" s="161" t="str">
        <f t="shared" si="17"/>
        <v/>
      </c>
      <c r="Q538" s="7"/>
    </row>
    <row r="539" spans="1:17">
      <c r="A539" s="31" t="str">
        <f t="shared" si="16"/>
        <v/>
      </c>
      <c r="B539" s="159"/>
      <c r="C539" s="21"/>
      <c r="D539" s="97" t="str">
        <f>IF(C539="","",IFERROR(INDEX(②メンバー!$C$5:$C$104,MATCH(C539,②メンバー!$B$5:$B$104,0)),""))</f>
        <v/>
      </c>
      <c r="E539" s="24"/>
      <c r="F539" s="160"/>
      <c r="G539" s="20"/>
      <c r="H539" s="20"/>
      <c r="I539" s="20"/>
      <c r="J539" s="20"/>
      <c r="K539" s="20"/>
      <c r="L539" s="20"/>
      <c r="M539" s="20"/>
      <c r="N539" s="20"/>
      <c r="O539" s="24"/>
      <c r="P539" s="161" t="str">
        <f t="shared" si="17"/>
        <v/>
      </c>
      <c r="Q539" s="7"/>
    </row>
    <row r="540" spans="1:17">
      <c r="A540" s="31" t="str">
        <f t="shared" si="16"/>
        <v/>
      </c>
      <c r="B540" s="159"/>
      <c r="C540" s="21"/>
      <c r="D540" s="97" t="str">
        <f>IF(C540="","",IFERROR(INDEX(②メンバー!$C$5:$C$104,MATCH(C540,②メンバー!$B$5:$B$104,0)),""))</f>
        <v/>
      </c>
      <c r="E540" s="24"/>
      <c r="F540" s="160"/>
      <c r="G540" s="20"/>
      <c r="H540" s="20"/>
      <c r="I540" s="20"/>
      <c r="J540" s="20"/>
      <c r="K540" s="20"/>
      <c r="L540" s="20"/>
      <c r="M540" s="20"/>
      <c r="N540" s="20"/>
      <c r="O540" s="24"/>
      <c r="P540" s="161" t="str">
        <f t="shared" si="17"/>
        <v/>
      </c>
      <c r="Q540" s="7"/>
    </row>
    <row r="541" spans="1:17">
      <c r="A541" s="31" t="str">
        <f t="shared" si="16"/>
        <v/>
      </c>
      <c r="B541" s="159"/>
      <c r="C541" s="21"/>
      <c r="D541" s="97" t="str">
        <f>IF(C541="","",IFERROR(INDEX(②メンバー!$C$5:$C$104,MATCH(C541,②メンバー!$B$5:$B$104,0)),""))</f>
        <v/>
      </c>
      <c r="E541" s="24"/>
      <c r="F541" s="160"/>
      <c r="G541" s="20"/>
      <c r="H541" s="20"/>
      <c r="I541" s="20"/>
      <c r="J541" s="20"/>
      <c r="K541" s="20"/>
      <c r="L541" s="20"/>
      <c r="M541" s="20"/>
      <c r="N541" s="20"/>
      <c r="O541" s="24"/>
      <c r="P541" s="161" t="str">
        <f t="shared" si="17"/>
        <v/>
      </c>
      <c r="Q541" s="7"/>
    </row>
    <row r="542" spans="1:17">
      <c r="A542" s="31" t="str">
        <f t="shared" si="16"/>
        <v/>
      </c>
      <c r="B542" s="159"/>
      <c r="C542" s="21"/>
      <c r="D542" s="97" t="str">
        <f>IF(C542="","",IFERROR(INDEX(②メンバー!$C$5:$C$104,MATCH(C542,②メンバー!$B$5:$B$104,0)),""))</f>
        <v/>
      </c>
      <c r="E542" s="24"/>
      <c r="F542" s="160"/>
      <c r="G542" s="20"/>
      <c r="H542" s="20"/>
      <c r="I542" s="20"/>
      <c r="J542" s="20"/>
      <c r="K542" s="20"/>
      <c r="L542" s="20"/>
      <c r="M542" s="20"/>
      <c r="N542" s="20"/>
      <c r="O542" s="24"/>
      <c r="P542" s="161" t="str">
        <f t="shared" si="17"/>
        <v/>
      </c>
      <c r="Q542" s="7"/>
    </row>
    <row r="543" spans="1:17">
      <c r="A543" s="31" t="str">
        <f t="shared" si="16"/>
        <v/>
      </c>
      <c r="B543" s="159"/>
      <c r="C543" s="21"/>
      <c r="D543" s="97" t="str">
        <f>IF(C543="","",IFERROR(INDEX(②メンバー!$C$5:$C$104,MATCH(C543,②メンバー!$B$5:$B$104,0)),""))</f>
        <v/>
      </c>
      <c r="E543" s="24"/>
      <c r="F543" s="160"/>
      <c r="G543" s="20"/>
      <c r="H543" s="20"/>
      <c r="I543" s="20"/>
      <c r="J543" s="20"/>
      <c r="K543" s="20"/>
      <c r="L543" s="20"/>
      <c r="M543" s="20"/>
      <c r="N543" s="20"/>
      <c r="O543" s="24"/>
      <c r="P543" s="161" t="str">
        <f t="shared" si="17"/>
        <v/>
      </c>
      <c r="Q543" s="7"/>
    </row>
    <row r="544" spans="1:17">
      <c r="A544" s="31" t="str">
        <f t="shared" si="16"/>
        <v/>
      </c>
      <c r="B544" s="159"/>
      <c r="C544" s="21"/>
      <c r="D544" s="97" t="str">
        <f>IF(C544="","",IFERROR(INDEX(②メンバー!$C$5:$C$104,MATCH(C544,②メンバー!$B$5:$B$104,0)),""))</f>
        <v/>
      </c>
      <c r="E544" s="24"/>
      <c r="F544" s="160"/>
      <c r="G544" s="20"/>
      <c r="H544" s="20"/>
      <c r="I544" s="20"/>
      <c r="J544" s="20"/>
      <c r="K544" s="20"/>
      <c r="L544" s="20"/>
      <c r="M544" s="20"/>
      <c r="N544" s="20"/>
      <c r="O544" s="24"/>
      <c r="P544" s="161" t="str">
        <f t="shared" si="17"/>
        <v/>
      </c>
      <c r="Q544" s="7"/>
    </row>
    <row r="545" spans="1:17">
      <c r="A545" s="31" t="str">
        <f t="shared" si="16"/>
        <v/>
      </c>
      <c r="B545" s="159"/>
      <c r="C545" s="21"/>
      <c r="D545" s="97" t="str">
        <f>IF(C545="","",IFERROR(INDEX(②メンバー!$C$5:$C$104,MATCH(C545,②メンバー!$B$5:$B$104,0)),""))</f>
        <v/>
      </c>
      <c r="E545" s="24"/>
      <c r="F545" s="160"/>
      <c r="G545" s="20"/>
      <c r="H545" s="20"/>
      <c r="I545" s="20"/>
      <c r="J545" s="20"/>
      <c r="K545" s="20"/>
      <c r="L545" s="20"/>
      <c r="M545" s="20"/>
      <c r="N545" s="20"/>
      <c r="O545" s="24"/>
      <c r="P545" s="161" t="str">
        <f t="shared" si="17"/>
        <v/>
      </c>
      <c r="Q545" s="7"/>
    </row>
    <row r="546" spans="1:17">
      <c r="A546" s="31" t="str">
        <f t="shared" si="16"/>
        <v/>
      </c>
      <c r="B546" s="159"/>
      <c r="C546" s="21"/>
      <c r="D546" s="97" t="str">
        <f>IF(C546="","",IFERROR(INDEX(②メンバー!$C$5:$C$104,MATCH(C546,②メンバー!$B$5:$B$104,0)),""))</f>
        <v/>
      </c>
      <c r="E546" s="24"/>
      <c r="F546" s="160"/>
      <c r="G546" s="20"/>
      <c r="H546" s="20"/>
      <c r="I546" s="20"/>
      <c r="J546" s="20"/>
      <c r="K546" s="20"/>
      <c r="L546" s="20"/>
      <c r="M546" s="20"/>
      <c r="N546" s="20"/>
      <c r="O546" s="24"/>
      <c r="P546" s="161" t="str">
        <f t="shared" si="17"/>
        <v/>
      </c>
      <c r="Q546" s="7"/>
    </row>
    <row r="547" spans="1:17">
      <c r="A547" s="31" t="str">
        <f t="shared" si="16"/>
        <v/>
      </c>
      <c r="B547" s="159"/>
      <c r="C547" s="21"/>
      <c r="D547" s="97" t="str">
        <f>IF(C547="","",IFERROR(INDEX(②メンバー!$C$5:$C$104,MATCH(C547,②メンバー!$B$5:$B$104,0)),""))</f>
        <v/>
      </c>
      <c r="E547" s="24"/>
      <c r="F547" s="160"/>
      <c r="G547" s="20"/>
      <c r="H547" s="20"/>
      <c r="I547" s="20"/>
      <c r="J547" s="20"/>
      <c r="K547" s="20"/>
      <c r="L547" s="20"/>
      <c r="M547" s="20"/>
      <c r="N547" s="20"/>
      <c r="O547" s="24"/>
      <c r="P547" s="161" t="str">
        <f t="shared" si="17"/>
        <v/>
      </c>
      <c r="Q547" s="7"/>
    </row>
    <row r="548" spans="1:17">
      <c r="A548" s="31" t="str">
        <f t="shared" si="16"/>
        <v/>
      </c>
      <c r="B548" s="159"/>
      <c r="C548" s="21"/>
      <c r="D548" s="97" t="str">
        <f>IF(C548="","",IFERROR(INDEX(②メンバー!$C$5:$C$104,MATCH(C548,②メンバー!$B$5:$B$104,0)),""))</f>
        <v/>
      </c>
      <c r="E548" s="24"/>
      <c r="F548" s="160"/>
      <c r="G548" s="20"/>
      <c r="H548" s="20"/>
      <c r="I548" s="20"/>
      <c r="J548" s="20"/>
      <c r="K548" s="20"/>
      <c r="L548" s="20"/>
      <c r="M548" s="20"/>
      <c r="N548" s="20"/>
      <c r="O548" s="24"/>
      <c r="P548" s="161" t="str">
        <f t="shared" si="17"/>
        <v/>
      </c>
      <c r="Q548" s="7"/>
    </row>
    <row r="549" spans="1:17">
      <c r="A549" s="31" t="str">
        <f t="shared" si="16"/>
        <v/>
      </c>
      <c r="B549" s="159"/>
      <c r="C549" s="21"/>
      <c r="D549" s="97" t="str">
        <f>IF(C549="","",IFERROR(INDEX(②メンバー!$C$5:$C$104,MATCH(C549,②メンバー!$B$5:$B$104,0)),""))</f>
        <v/>
      </c>
      <c r="E549" s="24"/>
      <c r="F549" s="160"/>
      <c r="G549" s="20"/>
      <c r="H549" s="20"/>
      <c r="I549" s="20"/>
      <c r="J549" s="20"/>
      <c r="K549" s="20"/>
      <c r="L549" s="20"/>
      <c r="M549" s="20"/>
      <c r="N549" s="20"/>
      <c r="O549" s="24"/>
      <c r="P549" s="161" t="str">
        <f t="shared" si="17"/>
        <v/>
      </c>
      <c r="Q549" s="7"/>
    </row>
    <row r="550" spans="1:17">
      <c r="A550" s="31" t="str">
        <f t="shared" si="16"/>
        <v/>
      </c>
      <c r="B550" s="159"/>
      <c r="C550" s="21"/>
      <c r="D550" s="97" t="str">
        <f>IF(C550="","",IFERROR(INDEX(②メンバー!$C$5:$C$104,MATCH(C550,②メンバー!$B$5:$B$104,0)),""))</f>
        <v/>
      </c>
      <c r="E550" s="24"/>
      <c r="F550" s="160"/>
      <c r="G550" s="20"/>
      <c r="H550" s="20"/>
      <c r="I550" s="20"/>
      <c r="J550" s="20"/>
      <c r="K550" s="20"/>
      <c r="L550" s="20"/>
      <c r="M550" s="20"/>
      <c r="N550" s="20"/>
      <c r="O550" s="24"/>
      <c r="P550" s="161" t="str">
        <f t="shared" si="17"/>
        <v/>
      </c>
      <c r="Q550" s="7"/>
    </row>
    <row r="551" spans="1:17">
      <c r="A551" s="31" t="str">
        <f t="shared" si="16"/>
        <v/>
      </c>
      <c r="B551" s="159"/>
      <c r="C551" s="21"/>
      <c r="D551" s="97" t="str">
        <f>IF(C551="","",IFERROR(INDEX(②メンバー!$C$5:$C$104,MATCH(C551,②メンバー!$B$5:$B$104,0)),""))</f>
        <v/>
      </c>
      <c r="E551" s="24"/>
      <c r="F551" s="160"/>
      <c r="G551" s="20"/>
      <c r="H551" s="20"/>
      <c r="I551" s="20"/>
      <c r="J551" s="20"/>
      <c r="K551" s="20"/>
      <c r="L551" s="20"/>
      <c r="M551" s="20"/>
      <c r="N551" s="20"/>
      <c r="O551" s="24"/>
      <c r="P551" s="161" t="str">
        <f t="shared" si="17"/>
        <v/>
      </c>
      <c r="Q551" s="7"/>
    </row>
    <row r="552" spans="1:17">
      <c r="A552" s="31" t="str">
        <f t="shared" si="16"/>
        <v/>
      </c>
      <c r="B552" s="159"/>
      <c r="C552" s="21"/>
      <c r="D552" s="97" t="str">
        <f>IF(C552="","",IFERROR(INDEX(②メンバー!$C$5:$C$104,MATCH(C552,②メンバー!$B$5:$B$104,0)),""))</f>
        <v/>
      </c>
      <c r="E552" s="24"/>
      <c r="F552" s="160"/>
      <c r="G552" s="20"/>
      <c r="H552" s="20"/>
      <c r="I552" s="20"/>
      <c r="J552" s="20"/>
      <c r="K552" s="20"/>
      <c r="L552" s="20"/>
      <c r="M552" s="20"/>
      <c r="N552" s="20"/>
      <c r="O552" s="24"/>
      <c r="P552" s="161" t="str">
        <f t="shared" si="17"/>
        <v/>
      </c>
      <c r="Q552" s="7"/>
    </row>
    <row r="553" spans="1:17">
      <c r="A553" s="31" t="str">
        <f t="shared" si="16"/>
        <v/>
      </c>
      <c r="B553" s="159"/>
      <c r="C553" s="21"/>
      <c r="D553" s="97" t="str">
        <f>IF(C553="","",IFERROR(INDEX(②メンバー!$C$5:$C$104,MATCH(C553,②メンバー!$B$5:$B$104,0)),""))</f>
        <v/>
      </c>
      <c r="E553" s="24"/>
      <c r="F553" s="160"/>
      <c r="G553" s="20"/>
      <c r="H553" s="20"/>
      <c r="I553" s="20"/>
      <c r="J553" s="20"/>
      <c r="K553" s="20"/>
      <c r="L553" s="20"/>
      <c r="M553" s="20"/>
      <c r="N553" s="20"/>
      <c r="O553" s="24"/>
      <c r="P553" s="161" t="str">
        <f t="shared" si="17"/>
        <v/>
      </c>
      <c r="Q553" s="7"/>
    </row>
    <row r="554" spans="1:17">
      <c r="A554" s="31" t="str">
        <f t="shared" si="16"/>
        <v/>
      </c>
      <c r="B554" s="159"/>
      <c r="C554" s="21"/>
      <c r="D554" s="97" t="str">
        <f>IF(C554="","",IFERROR(INDEX(②メンバー!$C$5:$C$104,MATCH(C554,②メンバー!$B$5:$B$104,0)),""))</f>
        <v/>
      </c>
      <c r="E554" s="24"/>
      <c r="F554" s="160"/>
      <c r="G554" s="20"/>
      <c r="H554" s="20"/>
      <c r="I554" s="20"/>
      <c r="J554" s="20"/>
      <c r="K554" s="20"/>
      <c r="L554" s="20"/>
      <c r="M554" s="20"/>
      <c r="N554" s="20"/>
      <c r="O554" s="24"/>
      <c r="P554" s="161" t="str">
        <f t="shared" si="17"/>
        <v/>
      </c>
      <c r="Q554" s="7"/>
    </row>
    <row r="555" spans="1:17">
      <c r="A555" s="31" t="str">
        <f t="shared" si="16"/>
        <v/>
      </c>
      <c r="B555" s="159"/>
      <c r="C555" s="21"/>
      <c r="D555" s="97" t="str">
        <f>IF(C555="","",IFERROR(INDEX(②メンバー!$C$5:$C$104,MATCH(C555,②メンバー!$B$5:$B$104,0)),""))</f>
        <v/>
      </c>
      <c r="E555" s="24"/>
      <c r="F555" s="160"/>
      <c r="G555" s="20"/>
      <c r="H555" s="20"/>
      <c r="I555" s="20"/>
      <c r="J555" s="20"/>
      <c r="K555" s="20"/>
      <c r="L555" s="20"/>
      <c r="M555" s="20"/>
      <c r="N555" s="20"/>
      <c r="O555" s="24"/>
      <c r="P555" s="161" t="str">
        <f t="shared" si="17"/>
        <v/>
      </c>
      <c r="Q555" s="7"/>
    </row>
    <row r="556" spans="1:17">
      <c r="A556" s="31" t="str">
        <f t="shared" si="16"/>
        <v/>
      </c>
      <c r="B556" s="159"/>
      <c r="C556" s="21"/>
      <c r="D556" s="97" t="str">
        <f>IF(C556="","",IFERROR(INDEX(②メンバー!$C$5:$C$104,MATCH(C556,②メンバー!$B$5:$B$104,0)),""))</f>
        <v/>
      </c>
      <c r="E556" s="24"/>
      <c r="F556" s="160"/>
      <c r="G556" s="20"/>
      <c r="H556" s="20"/>
      <c r="I556" s="20"/>
      <c r="J556" s="20"/>
      <c r="K556" s="20"/>
      <c r="L556" s="20"/>
      <c r="M556" s="20"/>
      <c r="N556" s="20"/>
      <c r="O556" s="24"/>
      <c r="P556" s="161" t="str">
        <f t="shared" si="17"/>
        <v/>
      </c>
      <c r="Q556" s="7"/>
    </row>
    <row r="557" spans="1:17">
      <c r="A557" s="31" t="str">
        <f t="shared" si="16"/>
        <v/>
      </c>
      <c r="B557" s="159"/>
      <c r="C557" s="21"/>
      <c r="D557" s="97" t="str">
        <f>IF(C557="","",IFERROR(INDEX(②メンバー!$C$5:$C$104,MATCH(C557,②メンバー!$B$5:$B$104,0)),""))</f>
        <v/>
      </c>
      <c r="E557" s="24"/>
      <c r="F557" s="160"/>
      <c r="G557" s="20"/>
      <c r="H557" s="20"/>
      <c r="I557" s="20"/>
      <c r="J557" s="20"/>
      <c r="K557" s="20"/>
      <c r="L557" s="20"/>
      <c r="M557" s="20"/>
      <c r="N557" s="20"/>
      <c r="O557" s="24"/>
      <c r="P557" s="161" t="str">
        <f t="shared" si="17"/>
        <v/>
      </c>
      <c r="Q557" s="7"/>
    </row>
    <row r="558" spans="1:17">
      <c r="A558" s="31" t="str">
        <f t="shared" si="16"/>
        <v/>
      </c>
      <c r="B558" s="159"/>
      <c r="C558" s="21"/>
      <c r="D558" s="97" t="str">
        <f>IF(C558="","",IFERROR(INDEX(②メンバー!$C$5:$C$104,MATCH(C558,②メンバー!$B$5:$B$104,0)),""))</f>
        <v/>
      </c>
      <c r="E558" s="24"/>
      <c r="F558" s="160"/>
      <c r="G558" s="20"/>
      <c r="H558" s="20"/>
      <c r="I558" s="20"/>
      <c r="J558" s="20"/>
      <c r="K558" s="20"/>
      <c r="L558" s="20"/>
      <c r="M558" s="20"/>
      <c r="N558" s="20"/>
      <c r="O558" s="24"/>
      <c r="P558" s="161" t="str">
        <f t="shared" si="17"/>
        <v/>
      </c>
      <c r="Q558" s="7"/>
    </row>
    <row r="559" spans="1:17">
      <c r="A559" s="31" t="str">
        <f t="shared" si="16"/>
        <v/>
      </c>
      <c r="B559" s="159"/>
      <c r="C559" s="21"/>
      <c r="D559" s="97" t="str">
        <f>IF(C559="","",IFERROR(INDEX(②メンバー!$C$5:$C$104,MATCH(C559,②メンバー!$B$5:$B$104,0)),""))</f>
        <v/>
      </c>
      <c r="E559" s="24"/>
      <c r="F559" s="160"/>
      <c r="G559" s="20"/>
      <c r="H559" s="20"/>
      <c r="I559" s="20"/>
      <c r="J559" s="20"/>
      <c r="K559" s="20"/>
      <c r="L559" s="20"/>
      <c r="M559" s="20"/>
      <c r="N559" s="20"/>
      <c r="O559" s="24"/>
      <c r="P559" s="161" t="str">
        <f t="shared" si="17"/>
        <v/>
      </c>
      <c r="Q559" s="7"/>
    </row>
    <row r="560" spans="1:17">
      <c r="A560" s="31" t="str">
        <f t="shared" si="16"/>
        <v/>
      </c>
      <c r="B560" s="159"/>
      <c r="C560" s="21"/>
      <c r="D560" s="97" t="str">
        <f>IF(C560="","",IFERROR(INDEX(②メンバー!$C$5:$C$104,MATCH(C560,②メンバー!$B$5:$B$104,0)),""))</f>
        <v/>
      </c>
      <c r="E560" s="24"/>
      <c r="F560" s="160"/>
      <c r="G560" s="20"/>
      <c r="H560" s="20"/>
      <c r="I560" s="20"/>
      <c r="J560" s="20"/>
      <c r="K560" s="20"/>
      <c r="L560" s="20"/>
      <c r="M560" s="20"/>
      <c r="N560" s="20"/>
      <c r="O560" s="24"/>
      <c r="P560" s="161" t="str">
        <f t="shared" si="17"/>
        <v/>
      </c>
      <c r="Q560" s="7"/>
    </row>
    <row r="561" spans="1:17">
      <c r="A561" s="31" t="str">
        <f t="shared" si="16"/>
        <v/>
      </c>
      <c r="B561" s="159"/>
      <c r="C561" s="21"/>
      <c r="D561" s="97" t="str">
        <f>IF(C561="","",IFERROR(INDEX(②メンバー!$C$5:$C$104,MATCH(C561,②メンバー!$B$5:$B$104,0)),""))</f>
        <v/>
      </c>
      <c r="E561" s="24"/>
      <c r="F561" s="160"/>
      <c r="G561" s="20"/>
      <c r="H561" s="20"/>
      <c r="I561" s="20"/>
      <c r="J561" s="20"/>
      <c r="K561" s="20"/>
      <c r="L561" s="20"/>
      <c r="M561" s="20"/>
      <c r="N561" s="20"/>
      <c r="O561" s="24"/>
      <c r="P561" s="161" t="str">
        <f t="shared" si="17"/>
        <v/>
      </c>
      <c r="Q561" s="7"/>
    </row>
    <row r="562" spans="1:17">
      <c r="A562" s="31" t="str">
        <f t="shared" si="16"/>
        <v/>
      </c>
      <c r="B562" s="159"/>
      <c r="C562" s="21"/>
      <c r="D562" s="97" t="str">
        <f>IF(C562="","",IFERROR(INDEX(②メンバー!$C$5:$C$104,MATCH(C562,②メンバー!$B$5:$B$104,0)),""))</f>
        <v/>
      </c>
      <c r="E562" s="24"/>
      <c r="F562" s="160"/>
      <c r="G562" s="20"/>
      <c r="H562" s="20"/>
      <c r="I562" s="20"/>
      <c r="J562" s="20"/>
      <c r="K562" s="20"/>
      <c r="L562" s="20"/>
      <c r="M562" s="20"/>
      <c r="N562" s="20"/>
      <c r="O562" s="24"/>
      <c r="P562" s="161" t="str">
        <f t="shared" si="17"/>
        <v/>
      </c>
      <c r="Q562" s="7"/>
    </row>
    <row r="563" spans="1:17">
      <c r="A563" s="31" t="str">
        <f t="shared" si="16"/>
        <v/>
      </c>
      <c r="B563" s="159"/>
      <c r="C563" s="21"/>
      <c r="D563" s="97" t="str">
        <f>IF(C563="","",IFERROR(INDEX(②メンバー!$C$5:$C$104,MATCH(C563,②メンバー!$B$5:$B$104,0)),""))</f>
        <v/>
      </c>
      <c r="E563" s="24"/>
      <c r="F563" s="160"/>
      <c r="G563" s="20"/>
      <c r="H563" s="20"/>
      <c r="I563" s="20"/>
      <c r="J563" s="20"/>
      <c r="K563" s="20"/>
      <c r="L563" s="20"/>
      <c r="M563" s="20"/>
      <c r="N563" s="20"/>
      <c r="O563" s="24"/>
      <c r="P563" s="161" t="str">
        <f t="shared" si="17"/>
        <v/>
      </c>
      <c r="Q563" s="7"/>
    </row>
    <row r="564" spans="1:17">
      <c r="A564" s="31" t="str">
        <f t="shared" si="16"/>
        <v/>
      </c>
      <c r="B564" s="159"/>
      <c r="C564" s="21"/>
      <c r="D564" s="97" t="str">
        <f>IF(C564="","",IFERROR(INDEX(②メンバー!$C$5:$C$104,MATCH(C564,②メンバー!$B$5:$B$104,0)),""))</f>
        <v/>
      </c>
      <c r="E564" s="24"/>
      <c r="F564" s="160"/>
      <c r="G564" s="20"/>
      <c r="H564" s="20"/>
      <c r="I564" s="20"/>
      <c r="J564" s="20"/>
      <c r="K564" s="20"/>
      <c r="L564" s="20"/>
      <c r="M564" s="20"/>
      <c r="N564" s="20"/>
      <c r="O564" s="24"/>
      <c r="P564" s="161" t="str">
        <f t="shared" si="17"/>
        <v/>
      </c>
      <c r="Q564" s="7"/>
    </row>
    <row r="565" spans="1:17">
      <c r="A565" s="31" t="str">
        <f t="shared" si="16"/>
        <v/>
      </c>
      <c r="B565" s="159"/>
      <c r="C565" s="21"/>
      <c r="D565" s="97" t="str">
        <f>IF(C565="","",IFERROR(INDEX(②メンバー!$C$5:$C$104,MATCH(C565,②メンバー!$B$5:$B$104,0)),""))</f>
        <v/>
      </c>
      <c r="E565" s="24"/>
      <c r="F565" s="160"/>
      <c r="G565" s="20"/>
      <c r="H565" s="20"/>
      <c r="I565" s="20"/>
      <c r="J565" s="20"/>
      <c r="K565" s="20"/>
      <c r="L565" s="20"/>
      <c r="M565" s="20"/>
      <c r="N565" s="20"/>
      <c r="O565" s="24"/>
      <c r="P565" s="161" t="str">
        <f t="shared" si="17"/>
        <v/>
      </c>
      <c r="Q565" s="7"/>
    </row>
    <row r="566" spans="1:17">
      <c r="A566" s="31" t="str">
        <f t="shared" si="16"/>
        <v/>
      </c>
      <c r="B566" s="159"/>
      <c r="C566" s="21"/>
      <c r="D566" s="97" t="str">
        <f>IF(C566="","",IFERROR(INDEX(②メンバー!$C$5:$C$104,MATCH(C566,②メンバー!$B$5:$B$104,0)),""))</f>
        <v/>
      </c>
      <c r="E566" s="24"/>
      <c r="F566" s="160"/>
      <c r="G566" s="20"/>
      <c r="H566" s="20"/>
      <c r="I566" s="20"/>
      <c r="J566" s="20"/>
      <c r="K566" s="20"/>
      <c r="L566" s="20"/>
      <c r="M566" s="20"/>
      <c r="N566" s="20"/>
      <c r="O566" s="24"/>
      <c r="P566" s="161" t="str">
        <f t="shared" si="17"/>
        <v/>
      </c>
      <c r="Q566" s="7"/>
    </row>
    <row r="567" spans="1:17">
      <c r="A567" s="31" t="str">
        <f t="shared" si="16"/>
        <v/>
      </c>
      <c r="B567" s="159"/>
      <c r="C567" s="21"/>
      <c r="D567" s="97" t="str">
        <f>IF(C567="","",IFERROR(INDEX(②メンバー!$C$5:$C$104,MATCH(C567,②メンバー!$B$5:$B$104,0)),""))</f>
        <v/>
      </c>
      <c r="E567" s="24"/>
      <c r="F567" s="160"/>
      <c r="G567" s="20"/>
      <c r="H567" s="20"/>
      <c r="I567" s="20"/>
      <c r="J567" s="20"/>
      <c r="K567" s="20"/>
      <c r="L567" s="20"/>
      <c r="M567" s="20"/>
      <c r="N567" s="20"/>
      <c r="O567" s="24"/>
      <c r="P567" s="161" t="str">
        <f t="shared" si="17"/>
        <v/>
      </c>
      <c r="Q567" s="7"/>
    </row>
    <row r="568" spans="1:17">
      <c r="A568" s="31" t="str">
        <f t="shared" si="16"/>
        <v/>
      </c>
      <c r="B568" s="159"/>
      <c r="C568" s="21"/>
      <c r="D568" s="97" t="str">
        <f>IF(C568="","",IFERROR(INDEX(②メンバー!$C$5:$C$104,MATCH(C568,②メンバー!$B$5:$B$104,0)),""))</f>
        <v/>
      </c>
      <c r="E568" s="24"/>
      <c r="F568" s="160"/>
      <c r="G568" s="20"/>
      <c r="H568" s="20"/>
      <c r="I568" s="20"/>
      <c r="J568" s="20"/>
      <c r="K568" s="20"/>
      <c r="L568" s="20"/>
      <c r="M568" s="20"/>
      <c r="N568" s="20"/>
      <c r="O568" s="24"/>
      <c r="P568" s="161" t="str">
        <f t="shared" si="17"/>
        <v/>
      </c>
      <c r="Q568" s="7"/>
    </row>
    <row r="569" spans="1:17">
      <c r="A569" s="31" t="str">
        <f t="shared" si="16"/>
        <v/>
      </c>
      <c r="B569" s="159"/>
      <c r="C569" s="21"/>
      <c r="D569" s="97" t="str">
        <f>IF(C569="","",IFERROR(INDEX(②メンバー!$C$5:$C$104,MATCH(C569,②メンバー!$B$5:$B$104,0)),""))</f>
        <v/>
      </c>
      <c r="E569" s="24"/>
      <c r="F569" s="160"/>
      <c r="G569" s="20"/>
      <c r="H569" s="20"/>
      <c r="I569" s="20"/>
      <c r="J569" s="20"/>
      <c r="K569" s="20"/>
      <c r="L569" s="20"/>
      <c r="M569" s="20"/>
      <c r="N569" s="20"/>
      <c r="O569" s="24"/>
      <c r="P569" s="161" t="str">
        <f t="shared" si="17"/>
        <v/>
      </c>
      <c r="Q569" s="7"/>
    </row>
    <row r="570" spans="1:17">
      <c r="A570" s="31" t="str">
        <f t="shared" si="16"/>
        <v/>
      </c>
      <c r="B570" s="159"/>
      <c r="C570" s="21"/>
      <c r="D570" s="97" t="str">
        <f>IF(C570="","",IFERROR(INDEX(②メンバー!$C$5:$C$104,MATCH(C570,②メンバー!$B$5:$B$104,0)),""))</f>
        <v/>
      </c>
      <c r="E570" s="24"/>
      <c r="F570" s="160"/>
      <c r="G570" s="20"/>
      <c r="H570" s="20"/>
      <c r="I570" s="20"/>
      <c r="J570" s="20"/>
      <c r="K570" s="20"/>
      <c r="L570" s="20"/>
      <c r="M570" s="20"/>
      <c r="N570" s="20"/>
      <c r="O570" s="24"/>
      <c r="P570" s="161" t="str">
        <f t="shared" si="17"/>
        <v/>
      </c>
      <c r="Q570" s="7"/>
    </row>
    <row r="571" spans="1:17">
      <c r="A571" s="31" t="str">
        <f t="shared" si="16"/>
        <v/>
      </c>
      <c r="B571" s="159"/>
      <c r="C571" s="21"/>
      <c r="D571" s="97" t="str">
        <f>IF(C571="","",IFERROR(INDEX(②メンバー!$C$5:$C$104,MATCH(C571,②メンバー!$B$5:$B$104,0)),""))</f>
        <v/>
      </c>
      <c r="E571" s="24"/>
      <c r="F571" s="160"/>
      <c r="G571" s="20"/>
      <c r="H571" s="20"/>
      <c r="I571" s="20"/>
      <c r="J571" s="20"/>
      <c r="K571" s="20"/>
      <c r="L571" s="20"/>
      <c r="M571" s="20"/>
      <c r="N571" s="20"/>
      <c r="O571" s="24"/>
      <c r="P571" s="161" t="str">
        <f t="shared" si="17"/>
        <v/>
      </c>
      <c r="Q571" s="7"/>
    </row>
    <row r="572" spans="1:17">
      <c r="A572" s="31" t="str">
        <f t="shared" si="16"/>
        <v/>
      </c>
      <c r="B572" s="159"/>
      <c r="C572" s="21"/>
      <c r="D572" s="97" t="str">
        <f>IF(C572="","",IFERROR(INDEX(②メンバー!$C$5:$C$104,MATCH(C572,②メンバー!$B$5:$B$104,0)),""))</f>
        <v/>
      </c>
      <c r="E572" s="24"/>
      <c r="F572" s="160"/>
      <c r="G572" s="20"/>
      <c r="H572" s="20"/>
      <c r="I572" s="20"/>
      <c r="J572" s="20"/>
      <c r="K572" s="20"/>
      <c r="L572" s="20"/>
      <c r="M572" s="20"/>
      <c r="N572" s="20"/>
      <c r="O572" s="24"/>
      <c r="P572" s="161" t="str">
        <f t="shared" si="17"/>
        <v/>
      </c>
      <c r="Q572" s="7"/>
    </row>
    <row r="573" spans="1:17">
      <c r="A573" s="31" t="str">
        <f t="shared" si="16"/>
        <v/>
      </c>
      <c r="B573" s="159"/>
      <c r="C573" s="21"/>
      <c r="D573" s="97" t="str">
        <f>IF(C573="","",IFERROR(INDEX(②メンバー!$C$5:$C$104,MATCH(C573,②メンバー!$B$5:$B$104,0)),""))</f>
        <v/>
      </c>
      <c r="E573" s="24"/>
      <c r="F573" s="160"/>
      <c r="G573" s="20"/>
      <c r="H573" s="20"/>
      <c r="I573" s="20"/>
      <c r="J573" s="20"/>
      <c r="K573" s="20"/>
      <c r="L573" s="20"/>
      <c r="M573" s="20"/>
      <c r="N573" s="20"/>
      <c r="O573" s="24"/>
      <c r="P573" s="161" t="str">
        <f t="shared" si="17"/>
        <v/>
      </c>
      <c r="Q573" s="7"/>
    </row>
    <row r="574" spans="1:17">
      <c r="A574" s="31" t="str">
        <f t="shared" si="16"/>
        <v/>
      </c>
      <c r="B574" s="159"/>
      <c r="C574" s="21"/>
      <c r="D574" s="97" t="str">
        <f>IF(C574="","",IFERROR(INDEX(②メンバー!$C$5:$C$104,MATCH(C574,②メンバー!$B$5:$B$104,0)),""))</f>
        <v/>
      </c>
      <c r="E574" s="24"/>
      <c r="F574" s="160"/>
      <c r="G574" s="20"/>
      <c r="H574" s="20"/>
      <c r="I574" s="20"/>
      <c r="J574" s="20"/>
      <c r="K574" s="20"/>
      <c r="L574" s="20"/>
      <c r="M574" s="20"/>
      <c r="N574" s="20"/>
      <c r="O574" s="24"/>
      <c r="P574" s="161" t="str">
        <f t="shared" si="17"/>
        <v/>
      </c>
      <c r="Q574" s="7"/>
    </row>
    <row r="575" spans="1:17">
      <c r="A575" s="31" t="str">
        <f t="shared" si="16"/>
        <v/>
      </c>
      <c r="B575" s="159"/>
      <c r="C575" s="21"/>
      <c r="D575" s="97" t="str">
        <f>IF(C575="","",IFERROR(INDEX(②メンバー!$C$5:$C$104,MATCH(C575,②メンバー!$B$5:$B$104,0)),""))</f>
        <v/>
      </c>
      <c r="E575" s="24"/>
      <c r="F575" s="160"/>
      <c r="G575" s="20"/>
      <c r="H575" s="20"/>
      <c r="I575" s="20"/>
      <c r="J575" s="20"/>
      <c r="K575" s="20"/>
      <c r="L575" s="20"/>
      <c r="M575" s="20"/>
      <c r="N575" s="20"/>
      <c r="O575" s="24"/>
      <c r="P575" s="161" t="str">
        <f t="shared" si="17"/>
        <v/>
      </c>
      <c r="Q575" s="7"/>
    </row>
    <row r="576" spans="1:17">
      <c r="A576" s="31" t="str">
        <f t="shared" si="16"/>
        <v/>
      </c>
      <c r="B576" s="159"/>
      <c r="C576" s="21"/>
      <c r="D576" s="97" t="str">
        <f>IF(C576="","",IFERROR(INDEX(②メンバー!$C$5:$C$104,MATCH(C576,②メンバー!$B$5:$B$104,0)),""))</f>
        <v/>
      </c>
      <c r="E576" s="24"/>
      <c r="F576" s="160"/>
      <c r="G576" s="20"/>
      <c r="H576" s="20"/>
      <c r="I576" s="20"/>
      <c r="J576" s="20"/>
      <c r="K576" s="20"/>
      <c r="L576" s="20"/>
      <c r="M576" s="20"/>
      <c r="N576" s="20"/>
      <c r="O576" s="24"/>
      <c r="P576" s="161" t="str">
        <f t="shared" si="17"/>
        <v/>
      </c>
      <c r="Q576" s="7"/>
    </row>
    <row r="577" spans="1:17">
      <c r="A577" s="31" t="str">
        <f t="shared" si="16"/>
        <v/>
      </c>
      <c r="B577" s="159"/>
      <c r="C577" s="21"/>
      <c r="D577" s="97" t="str">
        <f>IF(C577="","",IFERROR(INDEX(②メンバー!$C$5:$C$104,MATCH(C577,②メンバー!$B$5:$B$104,0)),""))</f>
        <v/>
      </c>
      <c r="E577" s="24"/>
      <c r="F577" s="160"/>
      <c r="G577" s="20"/>
      <c r="H577" s="20"/>
      <c r="I577" s="20"/>
      <c r="J577" s="20"/>
      <c r="K577" s="20"/>
      <c r="L577" s="20"/>
      <c r="M577" s="20"/>
      <c r="N577" s="20"/>
      <c r="O577" s="24"/>
      <c r="P577" s="161" t="str">
        <f t="shared" si="17"/>
        <v/>
      </c>
      <c r="Q577" s="7"/>
    </row>
    <row r="578" spans="1:17">
      <c r="A578" s="31" t="str">
        <f t="shared" si="16"/>
        <v/>
      </c>
      <c r="B578" s="159"/>
      <c r="C578" s="21"/>
      <c r="D578" s="97" t="str">
        <f>IF(C578="","",IFERROR(INDEX(②メンバー!$C$5:$C$104,MATCH(C578,②メンバー!$B$5:$B$104,0)),""))</f>
        <v/>
      </c>
      <c r="E578" s="24"/>
      <c r="F578" s="160"/>
      <c r="G578" s="20"/>
      <c r="H578" s="20"/>
      <c r="I578" s="20"/>
      <c r="J578" s="20"/>
      <c r="K578" s="20"/>
      <c r="L578" s="20"/>
      <c r="M578" s="20"/>
      <c r="N578" s="20"/>
      <c r="O578" s="24"/>
      <c r="P578" s="161" t="str">
        <f t="shared" si="17"/>
        <v/>
      </c>
      <c r="Q578" s="7"/>
    </row>
    <row r="579" spans="1:17">
      <c r="A579" s="31" t="str">
        <f t="shared" si="16"/>
        <v/>
      </c>
      <c r="B579" s="159"/>
      <c r="C579" s="21"/>
      <c r="D579" s="97" t="str">
        <f>IF(C579="","",IFERROR(INDEX(②メンバー!$C$5:$C$104,MATCH(C579,②メンバー!$B$5:$B$104,0)),""))</f>
        <v/>
      </c>
      <c r="E579" s="24"/>
      <c r="F579" s="160"/>
      <c r="G579" s="20"/>
      <c r="H579" s="20"/>
      <c r="I579" s="20"/>
      <c r="J579" s="20"/>
      <c r="K579" s="20"/>
      <c r="L579" s="20"/>
      <c r="M579" s="20"/>
      <c r="N579" s="20"/>
      <c r="O579" s="24"/>
      <c r="P579" s="161" t="str">
        <f t="shared" si="17"/>
        <v/>
      </c>
      <c r="Q579" s="7"/>
    </row>
    <row r="580" spans="1:17">
      <c r="A580" s="31" t="str">
        <f t="shared" si="16"/>
        <v/>
      </c>
      <c r="B580" s="159"/>
      <c r="C580" s="21"/>
      <c r="D580" s="97" t="str">
        <f>IF(C580="","",IFERROR(INDEX(②メンバー!$C$5:$C$104,MATCH(C580,②メンバー!$B$5:$B$104,0)),""))</f>
        <v/>
      </c>
      <c r="E580" s="24"/>
      <c r="F580" s="160"/>
      <c r="G580" s="20"/>
      <c r="H580" s="20"/>
      <c r="I580" s="20"/>
      <c r="J580" s="20"/>
      <c r="K580" s="20"/>
      <c r="L580" s="20"/>
      <c r="M580" s="20"/>
      <c r="N580" s="20"/>
      <c r="O580" s="24"/>
      <c r="P580" s="161" t="str">
        <f t="shared" si="17"/>
        <v/>
      </c>
      <c r="Q580" s="7"/>
    </row>
    <row r="581" spans="1:17">
      <c r="A581" s="31" t="str">
        <f t="shared" si="16"/>
        <v/>
      </c>
      <c r="B581" s="159"/>
      <c r="C581" s="21"/>
      <c r="D581" s="97" t="str">
        <f>IF(C581="","",IFERROR(INDEX(②メンバー!$C$5:$C$104,MATCH(C581,②メンバー!$B$5:$B$104,0)),""))</f>
        <v/>
      </c>
      <c r="E581" s="24"/>
      <c r="F581" s="160"/>
      <c r="G581" s="20"/>
      <c r="H581" s="20"/>
      <c r="I581" s="20"/>
      <c r="J581" s="20"/>
      <c r="K581" s="20"/>
      <c r="L581" s="20"/>
      <c r="M581" s="20"/>
      <c r="N581" s="20"/>
      <c r="O581" s="24"/>
      <c r="P581" s="161" t="str">
        <f t="shared" si="17"/>
        <v/>
      </c>
      <c r="Q581" s="7"/>
    </row>
    <row r="582" spans="1:17">
      <c r="A582" s="31" t="str">
        <f t="shared" ref="A582:A645" si="18">IF(B582="","",ROW()-5)</f>
        <v/>
      </c>
      <c r="B582" s="159"/>
      <c r="C582" s="21"/>
      <c r="D582" s="97" t="str">
        <f>IF(C582="","",IFERROR(INDEX(②メンバー!$C$5:$C$104,MATCH(C582,②メンバー!$B$5:$B$104,0)),""))</f>
        <v/>
      </c>
      <c r="E582" s="24"/>
      <c r="F582" s="160"/>
      <c r="G582" s="20"/>
      <c r="H582" s="20"/>
      <c r="I582" s="20"/>
      <c r="J582" s="20"/>
      <c r="K582" s="20"/>
      <c r="L582" s="20"/>
      <c r="M582" s="20"/>
      <c r="N582" s="20"/>
      <c r="O582" s="24"/>
      <c r="P582" s="161" t="str">
        <f t="shared" ref="P582:P645" si="19">IF(C582="","",IF(COUNTA(F582:O582)=0,IF(E582="出勤","いつもの時間","終日"),TRIM(IF(COUNTIF(F582:O582,"休")&gt;0,"休 "&amp;COUNTIF(F582:O582,"休")&amp;"h ","")&amp;IF(COUNTIF(F582:O582,"出")&gt;0,"出 "&amp;COUNTIF(F582:O582,"出")&amp;"h",""))))</f>
        <v/>
      </c>
      <c r="Q582" s="7"/>
    </row>
    <row r="583" spans="1:17">
      <c r="A583" s="31" t="str">
        <f t="shared" si="18"/>
        <v/>
      </c>
      <c r="B583" s="159"/>
      <c r="C583" s="21"/>
      <c r="D583" s="97" t="str">
        <f>IF(C583="","",IFERROR(INDEX(②メンバー!$C$5:$C$104,MATCH(C583,②メンバー!$B$5:$B$104,0)),""))</f>
        <v/>
      </c>
      <c r="E583" s="24"/>
      <c r="F583" s="160"/>
      <c r="G583" s="20"/>
      <c r="H583" s="20"/>
      <c r="I583" s="20"/>
      <c r="J583" s="20"/>
      <c r="K583" s="20"/>
      <c r="L583" s="20"/>
      <c r="M583" s="20"/>
      <c r="N583" s="20"/>
      <c r="O583" s="24"/>
      <c r="P583" s="161" t="str">
        <f t="shared" si="19"/>
        <v/>
      </c>
      <c r="Q583" s="7"/>
    </row>
    <row r="584" spans="1:17">
      <c r="A584" s="31" t="str">
        <f t="shared" si="18"/>
        <v/>
      </c>
      <c r="B584" s="159"/>
      <c r="C584" s="21"/>
      <c r="D584" s="97" t="str">
        <f>IF(C584="","",IFERROR(INDEX(②メンバー!$C$5:$C$104,MATCH(C584,②メンバー!$B$5:$B$104,0)),""))</f>
        <v/>
      </c>
      <c r="E584" s="24"/>
      <c r="F584" s="160"/>
      <c r="G584" s="20"/>
      <c r="H584" s="20"/>
      <c r="I584" s="20"/>
      <c r="J584" s="20"/>
      <c r="K584" s="20"/>
      <c r="L584" s="20"/>
      <c r="M584" s="20"/>
      <c r="N584" s="20"/>
      <c r="O584" s="24"/>
      <c r="P584" s="161" t="str">
        <f t="shared" si="19"/>
        <v/>
      </c>
      <c r="Q584" s="7"/>
    </row>
    <row r="585" spans="1:17">
      <c r="A585" s="31" t="str">
        <f t="shared" si="18"/>
        <v/>
      </c>
      <c r="B585" s="159"/>
      <c r="C585" s="21"/>
      <c r="D585" s="97" t="str">
        <f>IF(C585="","",IFERROR(INDEX(②メンバー!$C$5:$C$104,MATCH(C585,②メンバー!$B$5:$B$104,0)),""))</f>
        <v/>
      </c>
      <c r="E585" s="24"/>
      <c r="F585" s="160"/>
      <c r="G585" s="20"/>
      <c r="H585" s="20"/>
      <c r="I585" s="20"/>
      <c r="J585" s="20"/>
      <c r="K585" s="20"/>
      <c r="L585" s="20"/>
      <c r="M585" s="20"/>
      <c r="N585" s="20"/>
      <c r="O585" s="24"/>
      <c r="P585" s="161" t="str">
        <f t="shared" si="19"/>
        <v/>
      </c>
      <c r="Q585" s="7"/>
    </row>
    <row r="586" spans="1:17">
      <c r="A586" s="31" t="str">
        <f t="shared" si="18"/>
        <v/>
      </c>
      <c r="B586" s="159"/>
      <c r="C586" s="21"/>
      <c r="D586" s="97" t="str">
        <f>IF(C586="","",IFERROR(INDEX(②メンバー!$C$5:$C$104,MATCH(C586,②メンバー!$B$5:$B$104,0)),""))</f>
        <v/>
      </c>
      <c r="E586" s="24"/>
      <c r="F586" s="160"/>
      <c r="G586" s="20"/>
      <c r="H586" s="20"/>
      <c r="I586" s="20"/>
      <c r="J586" s="20"/>
      <c r="K586" s="20"/>
      <c r="L586" s="20"/>
      <c r="M586" s="20"/>
      <c r="N586" s="20"/>
      <c r="O586" s="24"/>
      <c r="P586" s="161" t="str">
        <f t="shared" si="19"/>
        <v/>
      </c>
      <c r="Q586" s="7"/>
    </row>
    <row r="587" spans="1:17">
      <c r="A587" s="31" t="str">
        <f t="shared" si="18"/>
        <v/>
      </c>
      <c r="B587" s="159"/>
      <c r="C587" s="21"/>
      <c r="D587" s="97" t="str">
        <f>IF(C587="","",IFERROR(INDEX(②メンバー!$C$5:$C$104,MATCH(C587,②メンバー!$B$5:$B$104,0)),""))</f>
        <v/>
      </c>
      <c r="E587" s="24"/>
      <c r="F587" s="160"/>
      <c r="G587" s="20"/>
      <c r="H587" s="20"/>
      <c r="I587" s="20"/>
      <c r="J587" s="20"/>
      <c r="K587" s="20"/>
      <c r="L587" s="20"/>
      <c r="M587" s="20"/>
      <c r="N587" s="20"/>
      <c r="O587" s="24"/>
      <c r="P587" s="161" t="str">
        <f t="shared" si="19"/>
        <v/>
      </c>
      <c r="Q587" s="7"/>
    </row>
    <row r="588" spans="1:17">
      <c r="A588" s="31" t="str">
        <f t="shared" si="18"/>
        <v/>
      </c>
      <c r="B588" s="159"/>
      <c r="C588" s="21"/>
      <c r="D588" s="97" t="str">
        <f>IF(C588="","",IFERROR(INDEX(②メンバー!$C$5:$C$104,MATCH(C588,②メンバー!$B$5:$B$104,0)),""))</f>
        <v/>
      </c>
      <c r="E588" s="24"/>
      <c r="F588" s="160"/>
      <c r="G588" s="20"/>
      <c r="H588" s="20"/>
      <c r="I588" s="20"/>
      <c r="J588" s="20"/>
      <c r="K588" s="20"/>
      <c r="L588" s="20"/>
      <c r="M588" s="20"/>
      <c r="N588" s="20"/>
      <c r="O588" s="24"/>
      <c r="P588" s="161" t="str">
        <f t="shared" si="19"/>
        <v/>
      </c>
      <c r="Q588" s="7"/>
    </row>
    <row r="589" spans="1:17">
      <c r="A589" s="31" t="str">
        <f t="shared" si="18"/>
        <v/>
      </c>
      <c r="B589" s="159"/>
      <c r="C589" s="21"/>
      <c r="D589" s="97" t="str">
        <f>IF(C589="","",IFERROR(INDEX(②メンバー!$C$5:$C$104,MATCH(C589,②メンバー!$B$5:$B$104,0)),""))</f>
        <v/>
      </c>
      <c r="E589" s="24"/>
      <c r="F589" s="160"/>
      <c r="G589" s="20"/>
      <c r="H589" s="20"/>
      <c r="I589" s="20"/>
      <c r="J589" s="20"/>
      <c r="K589" s="20"/>
      <c r="L589" s="20"/>
      <c r="M589" s="20"/>
      <c r="N589" s="20"/>
      <c r="O589" s="24"/>
      <c r="P589" s="161" t="str">
        <f t="shared" si="19"/>
        <v/>
      </c>
      <c r="Q589" s="7"/>
    </row>
    <row r="590" spans="1:17">
      <c r="A590" s="31" t="str">
        <f t="shared" si="18"/>
        <v/>
      </c>
      <c r="B590" s="159"/>
      <c r="C590" s="21"/>
      <c r="D590" s="97" t="str">
        <f>IF(C590="","",IFERROR(INDEX(②メンバー!$C$5:$C$104,MATCH(C590,②メンバー!$B$5:$B$104,0)),""))</f>
        <v/>
      </c>
      <c r="E590" s="24"/>
      <c r="F590" s="160"/>
      <c r="G590" s="20"/>
      <c r="H590" s="20"/>
      <c r="I590" s="20"/>
      <c r="J590" s="20"/>
      <c r="K590" s="20"/>
      <c r="L590" s="20"/>
      <c r="M590" s="20"/>
      <c r="N590" s="20"/>
      <c r="O590" s="24"/>
      <c r="P590" s="161" t="str">
        <f t="shared" si="19"/>
        <v/>
      </c>
      <c r="Q590" s="7"/>
    </row>
    <row r="591" spans="1:17">
      <c r="A591" s="31" t="str">
        <f t="shared" si="18"/>
        <v/>
      </c>
      <c r="B591" s="159"/>
      <c r="C591" s="21"/>
      <c r="D591" s="97" t="str">
        <f>IF(C591="","",IFERROR(INDEX(②メンバー!$C$5:$C$104,MATCH(C591,②メンバー!$B$5:$B$104,0)),""))</f>
        <v/>
      </c>
      <c r="E591" s="24"/>
      <c r="F591" s="160"/>
      <c r="G591" s="20"/>
      <c r="H591" s="20"/>
      <c r="I591" s="20"/>
      <c r="J591" s="20"/>
      <c r="K591" s="20"/>
      <c r="L591" s="20"/>
      <c r="M591" s="20"/>
      <c r="N591" s="20"/>
      <c r="O591" s="24"/>
      <c r="P591" s="161" t="str">
        <f t="shared" si="19"/>
        <v/>
      </c>
      <c r="Q591" s="7"/>
    </row>
    <row r="592" spans="1:17">
      <c r="A592" s="31" t="str">
        <f t="shared" si="18"/>
        <v/>
      </c>
      <c r="B592" s="159"/>
      <c r="C592" s="21"/>
      <c r="D592" s="97" t="str">
        <f>IF(C592="","",IFERROR(INDEX(②メンバー!$C$5:$C$104,MATCH(C592,②メンバー!$B$5:$B$104,0)),""))</f>
        <v/>
      </c>
      <c r="E592" s="24"/>
      <c r="F592" s="160"/>
      <c r="G592" s="20"/>
      <c r="H592" s="20"/>
      <c r="I592" s="20"/>
      <c r="J592" s="20"/>
      <c r="K592" s="20"/>
      <c r="L592" s="20"/>
      <c r="M592" s="20"/>
      <c r="N592" s="20"/>
      <c r="O592" s="24"/>
      <c r="P592" s="161" t="str">
        <f t="shared" si="19"/>
        <v/>
      </c>
      <c r="Q592" s="7"/>
    </row>
    <row r="593" spans="1:17">
      <c r="A593" s="31" t="str">
        <f t="shared" si="18"/>
        <v/>
      </c>
      <c r="B593" s="159"/>
      <c r="C593" s="21"/>
      <c r="D593" s="97" t="str">
        <f>IF(C593="","",IFERROR(INDEX(②メンバー!$C$5:$C$104,MATCH(C593,②メンバー!$B$5:$B$104,0)),""))</f>
        <v/>
      </c>
      <c r="E593" s="24"/>
      <c r="F593" s="160"/>
      <c r="G593" s="20"/>
      <c r="H593" s="20"/>
      <c r="I593" s="20"/>
      <c r="J593" s="20"/>
      <c r="K593" s="20"/>
      <c r="L593" s="20"/>
      <c r="M593" s="20"/>
      <c r="N593" s="20"/>
      <c r="O593" s="24"/>
      <c r="P593" s="161" t="str">
        <f t="shared" si="19"/>
        <v/>
      </c>
      <c r="Q593" s="7"/>
    </row>
    <row r="594" spans="1:17">
      <c r="A594" s="31" t="str">
        <f t="shared" si="18"/>
        <v/>
      </c>
      <c r="B594" s="159"/>
      <c r="C594" s="21"/>
      <c r="D594" s="97" t="str">
        <f>IF(C594="","",IFERROR(INDEX(②メンバー!$C$5:$C$104,MATCH(C594,②メンバー!$B$5:$B$104,0)),""))</f>
        <v/>
      </c>
      <c r="E594" s="24"/>
      <c r="F594" s="160"/>
      <c r="G594" s="20"/>
      <c r="H594" s="20"/>
      <c r="I594" s="20"/>
      <c r="J594" s="20"/>
      <c r="K594" s="20"/>
      <c r="L594" s="20"/>
      <c r="M594" s="20"/>
      <c r="N594" s="20"/>
      <c r="O594" s="24"/>
      <c r="P594" s="161" t="str">
        <f t="shared" si="19"/>
        <v/>
      </c>
      <c r="Q594" s="7"/>
    </row>
    <row r="595" spans="1:17">
      <c r="A595" s="31" t="str">
        <f t="shared" si="18"/>
        <v/>
      </c>
      <c r="B595" s="159"/>
      <c r="C595" s="21"/>
      <c r="D595" s="97" t="str">
        <f>IF(C595="","",IFERROR(INDEX(②メンバー!$C$5:$C$104,MATCH(C595,②メンバー!$B$5:$B$104,0)),""))</f>
        <v/>
      </c>
      <c r="E595" s="24"/>
      <c r="F595" s="160"/>
      <c r="G595" s="20"/>
      <c r="H595" s="20"/>
      <c r="I595" s="20"/>
      <c r="J595" s="20"/>
      <c r="K595" s="20"/>
      <c r="L595" s="20"/>
      <c r="M595" s="20"/>
      <c r="N595" s="20"/>
      <c r="O595" s="24"/>
      <c r="P595" s="161" t="str">
        <f t="shared" si="19"/>
        <v/>
      </c>
      <c r="Q595" s="7"/>
    </row>
    <row r="596" spans="1:17">
      <c r="A596" s="31" t="str">
        <f t="shared" si="18"/>
        <v/>
      </c>
      <c r="B596" s="159"/>
      <c r="C596" s="21"/>
      <c r="D596" s="97" t="str">
        <f>IF(C596="","",IFERROR(INDEX(②メンバー!$C$5:$C$104,MATCH(C596,②メンバー!$B$5:$B$104,0)),""))</f>
        <v/>
      </c>
      <c r="E596" s="24"/>
      <c r="F596" s="160"/>
      <c r="G596" s="20"/>
      <c r="H596" s="20"/>
      <c r="I596" s="20"/>
      <c r="J596" s="20"/>
      <c r="K596" s="20"/>
      <c r="L596" s="20"/>
      <c r="M596" s="20"/>
      <c r="N596" s="20"/>
      <c r="O596" s="24"/>
      <c r="P596" s="161" t="str">
        <f t="shared" si="19"/>
        <v/>
      </c>
      <c r="Q596" s="7"/>
    </row>
    <row r="597" spans="1:17">
      <c r="A597" s="31" t="str">
        <f t="shared" si="18"/>
        <v/>
      </c>
      <c r="B597" s="159"/>
      <c r="C597" s="21"/>
      <c r="D597" s="97" t="str">
        <f>IF(C597="","",IFERROR(INDEX(②メンバー!$C$5:$C$104,MATCH(C597,②メンバー!$B$5:$B$104,0)),""))</f>
        <v/>
      </c>
      <c r="E597" s="24"/>
      <c r="F597" s="160"/>
      <c r="G597" s="20"/>
      <c r="H597" s="20"/>
      <c r="I597" s="20"/>
      <c r="J597" s="20"/>
      <c r="K597" s="20"/>
      <c r="L597" s="20"/>
      <c r="M597" s="20"/>
      <c r="N597" s="20"/>
      <c r="O597" s="24"/>
      <c r="P597" s="161" t="str">
        <f t="shared" si="19"/>
        <v/>
      </c>
      <c r="Q597" s="7"/>
    </row>
    <row r="598" spans="1:17">
      <c r="A598" s="31" t="str">
        <f t="shared" si="18"/>
        <v/>
      </c>
      <c r="B598" s="159"/>
      <c r="C598" s="21"/>
      <c r="D598" s="97" t="str">
        <f>IF(C598="","",IFERROR(INDEX(②メンバー!$C$5:$C$104,MATCH(C598,②メンバー!$B$5:$B$104,0)),""))</f>
        <v/>
      </c>
      <c r="E598" s="24"/>
      <c r="F598" s="160"/>
      <c r="G598" s="20"/>
      <c r="H598" s="20"/>
      <c r="I598" s="20"/>
      <c r="J598" s="20"/>
      <c r="K598" s="20"/>
      <c r="L598" s="20"/>
      <c r="M598" s="20"/>
      <c r="N598" s="20"/>
      <c r="O598" s="24"/>
      <c r="P598" s="161" t="str">
        <f t="shared" si="19"/>
        <v/>
      </c>
      <c r="Q598" s="7"/>
    </row>
    <row r="599" spans="1:17">
      <c r="A599" s="31" t="str">
        <f t="shared" si="18"/>
        <v/>
      </c>
      <c r="B599" s="159"/>
      <c r="C599" s="21"/>
      <c r="D599" s="97" t="str">
        <f>IF(C599="","",IFERROR(INDEX(②メンバー!$C$5:$C$104,MATCH(C599,②メンバー!$B$5:$B$104,0)),""))</f>
        <v/>
      </c>
      <c r="E599" s="24"/>
      <c r="F599" s="160"/>
      <c r="G599" s="20"/>
      <c r="H599" s="20"/>
      <c r="I599" s="20"/>
      <c r="J599" s="20"/>
      <c r="K599" s="20"/>
      <c r="L599" s="20"/>
      <c r="M599" s="20"/>
      <c r="N599" s="20"/>
      <c r="O599" s="24"/>
      <c r="P599" s="161" t="str">
        <f t="shared" si="19"/>
        <v/>
      </c>
      <c r="Q599" s="7"/>
    </row>
    <row r="600" spans="1:17">
      <c r="A600" s="31" t="str">
        <f t="shared" si="18"/>
        <v/>
      </c>
      <c r="B600" s="159"/>
      <c r="C600" s="21"/>
      <c r="D600" s="97" t="str">
        <f>IF(C600="","",IFERROR(INDEX(②メンバー!$C$5:$C$104,MATCH(C600,②メンバー!$B$5:$B$104,0)),""))</f>
        <v/>
      </c>
      <c r="E600" s="24"/>
      <c r="F600" s="160"/>
      <c r="G600" s="20"/>
      <c r="H600" s="20"/>
      <c r="I600" s="20"/>
      <c r="J600" s="20"/>
      <c r="K600" s="20"/>
      <c r="L600" s="20"/>
      <c r="M600" s="20"/>
      <c r="N600" s="20"/>
      <c r="O600" s="24"/>
      <c r="P600" s="161" t="str">
        <f t="shared" si="19"/>
        <v/>
      </c>
      <c r="Q600" s="7"/>
    </row>
    <row r="601" spans="1:17">
      <c r="A601" s="31" t="str">
        <f t="shared" si="18"/>
        <v/>
      </c>
      <c r="B601" s="159"/>
      <c r="C601" s="21"/>
      <c r="D601" s="97" t="str">
        <f>IF(C601="","",IFERROR(INDEX(②メンバー!$C$5:$C$104,MATCH(C601,②メンバー!$B$5:$B$104,0)),""))</f>
        <v/>
      </c>
      <c r="E601" s="24"/>
      <c r="F601" s="160"/>
      <c r="G601" s="20"/>
      <c r="H601" s="20"/>
      <c r="I601" s="20"/>
      <c r="J601" s="20"/>
      <c r="K601" s="20"/>
      <c r="L601" s="20"/>
      <c r="M601" s="20"/>
      <c r="N601" s="20"/>
      <c r="O601" s="24"/>
      <c r="P601" s="161" t="str">
        <f t="shared" si="19"/>
        <v/>
      </c>
      <c r="Q601" s="7"/>
    </row>
    <row r="602" spans="1:17">
      <c r="A602" s="31" t="str">
        <f t="shared" si="18"/>
        <v/>
      </c>
      <c r="B602" s="159"/>
      <c r="C602" s="21"/>
      <c r="D602" s="97" t="str">
        <f>IF(C602="","",IFERROR(INDEX(②メンバー!$C$5:$C$104,MATCH(C602,②メンバー!$B$5:$B$104,0)),""))</f>
        <v/>
      </c>
      <c r="E602" s="24"/>
      <c r="F602" s="160"/>
      <c r="G602" s="20"/>
      <c r="H602" s="20"/>
      <c r="I602" s="20"/>
      <c r="J602" s="20"/>
      <c r="K602" s="20"/>
      <c r="L602" s="20"/>
      <c r="M602" s="20"/>
      <c r="N602" s="20"/>
      <c r="O602" s="24"/>
      <c r="P602" s="161" t="str">
        <f t="shared" si="19"/>
        <v/>
      </c>
      <c r="Q602" s="7"/>
    </row>
    <row r="603" spans="1:17">
      <c r="A603" s="31" t="str">
        <f t="shared" si="18"/>
        <v/>
      </c>
      <c r="B603" s="159"/>
      <c r="C603" s="21"/>
      <c r="D603" s="97" t="str">
        <f>IF(C603="","",IFERROR(INDEX(②メンバー!$C$5:$C$104,MATCH(C603,②メンバー!$B$5:$B$104,0)),""))</f>
        <v/>
      </c>
      <c r="E603" s="24"/>
      <c r="F603" s="160"/>
      <c r="G603" s="20"/>
      <c r="H603" s="20"/>
      <c r="I603" s="20"/>
      <c r="J603" s="20"/>
      <c r="K603" s="20"/>
      <c r="L603" s="20"/>
      <c r="M603" s="20"/>
      <c r="N603" s="20"/>
      <c r="O603" s="24"/>
      <c r="P603" s="161" t="str">
        <f t="shared" si="19"/>
        <v/>
      </c>
      <c r="Q603" s="7"/>
    </row>
    <row r="604" spans="1:17">
      <c r="A604" s="31" t="str">
        <f t="shared" si="18"/>
        <v/>
      </c>
      <c r="B604" s="159"/>
      <c r="C604" s="21"/>
      <c r="D604" s="97" t="str">
        <f>IF(C604="","",IFERROR(INDEX(②メンバー!$C$5:$C$104,MATCH(C604,②メンバー!$B$5:$B$104,0)),""))</f>
        <v/>
      </c>
      <c r="E604" s="24"/>
      <c r="F604" s="160"/>
      <c r="G604" s="20"/>
      <c r="H604" s="20"/>
      <c r="I604" s="20"/>
      <c r="J604" s="20"/>
      <c r="K604" s="20"/>
      <c r="L604" s="20"/>
      <c r="M604" s="20"/>
      <c r="N604" s="20"/>
      <c r="O604" s="24"/>
      <c r="P604" s="161" t="str">
        <f t="shared" si="19"/>
        <v/>
      </c>
      <c r="Q604" s="7"/>
    </row>
    <row r="605" spans="1:17">
      <c r="A605" s="31" t="str">
        <f t="shared" si="18"/>
        <v/>
      </c>
      <c r="B605" s="159"/>
      <c r="C605" s="21"/>
      <c r="D605" s="97" t="str">
        <f>IF(C605="","",IFERROR(INDEX(②メンバー!$C$5:$C$104,MATCH(C605,②メンバー!$B$5:$B$104,0)),""))</f>
        <v/>
      </c>
      <c r="E605" s="24"/>
      <c r="F605" s="160"/>
      <c r="G605" s="20"/>
      <c r="H605" s="20"/>
      <c r="I605" s="20"/>
      <c r="J605" s="20"/>
      <c r="K605" s="20"/>
      <c r="L605" s="20"/>
      <c r="M605" s="20"/>
      <c r="N605" s="20"/>
      <c r="O605" s="24"/>
      <c r="P605" s="161" t="str">
        <f t="shared" si="19"/>
        <v/>
      </c>
      <c r="Q605" s="7"/>
    </row>
    <row r="606" spans="1:17">
      <c r="A606" s="31" t="str">
        <f t="shared" si="18"/>
        <v/>
      </c>
      <c r="B606" s="159"/>
      <c r="C606" s="21"/>
      <c r="D606" s="97" t="str">
        <f>IF(C606="","",IFERROR(INDEX(②メンバー!$C$5:$C$104,MATCH(C606,②メンバー!$B$5:$B$104,0)),""))</f>
        <v/>
      </c>
      <c r="E606" s="24"/>
      <c r="F606" s="160"/>
      <c r="G606" s="20"/>
      <c r="H606" s="20"/>
      <c r="I606" s="20"/>
      <c r="J606" s="20"/>
      <c r="K606" s="20"/>
      <c r="L606" s="20"/>
      <c r="M606" s="20"/>
      <c r="N606" s="20"/>
      <c r="O606" s="24"/>
      <c r="P606" s="161" t="str">
        <f t="shared" si="19"/>
        <v/>
      </c>
      <c r="Q606" s="7"/>
    </row>
    <row r="607" spans="1:17">
      <c r="A607" s="31" t="str">
        <f t="shared" si="18"/>
        <v/>
      </c>
      <c r="B607" s="159"/>
      <c r="C607" s="21"/>
      <c r="D607" s="97" t="str">
        <f>IF(C607="","",IFERROR(INDEX(②メンバー!$C$5:$C$104,MATCH(C607,②メンバー!$B$5:$B$104,0)),""))</f>
        <v/>
      </c>
      <c r="E607" s="24"/>
      <c r="F607" s="160"/>
      <c r="G607" s="20"/>
      <c r="H607" s="20"/>
      <c r="I607" s="20"/>
      <c r="J607" s="20"/>
      <c r="K607" s="20"/>
      <c r="L607" s="20"/>
      <c r="M607" s="20"/>
      <c r="N607" s="20"/>
      <c r="O607" s="24"/>
      <c r="P607" s="161" t="str">
        <f t="shared" si="19"/>
        <v/>
      </c>
      <c r="Q607" s="7"/>
    </row>
    <row r="608" spans="1:17">
      <c r="A608" s="31" t="str">
        <f t="shared" si="18"/>
        <v/>
      </c>
      <c r="B608" s="159"/>
      <c r="C608" s="21"/>
      <c r="D608" s="97" t="str">
        <f>IF(C608="","",IFERROR(INDEX(②メンバー!$C$5:$C$104,MATCH(C608,②メンバー!$B$5:$B$104,0)),""))</f>
        <v/>
      </c>
      <c r="E608" s="24"/>
      <c r="F608" s="160"/>
      <c r="G608" s="20"/>
      <c r="H608" s="20"/>
      <c r="I608" s="20"/>
      <c r="J608" s="20"/>
      <c r="K608" s="20"/>
      <c r="L608" s="20"/>
      <c r="M608" s="20"/>
      <c r="N608" s="20"/>
      <c r="O608" s="24"/>
      <c r="P608" s="161" t="str">
        <f t="shared" si="19"/>
        <v/>
      </c>
      <c r="Q608" s="7"/>
    </row>
    <row r="609" spans="1:17">
      <c r="A609" s="31" t="str">
        <f t="shared" si="18"/>
        <v/>
      </c>
      <c r="B609" s="159"/>
      <c r="C609" s="21"/>
      <c r="D609" s="97" t="str">
        <f>IF(C609="","",IFERROR(INDEX(②メンバー!$C$5:$C$104,MATCH(C609,②メンバー!$B$5:$B$104,0)),""))</f>
        <v/>
      </c>
      <c r="E609" s="24"/>
      <c r="F609" s="160"/>
      <c r="G609" s="20"/>
      <c r="H609" s="20"/>
      <c r="I609" s="20"/>
      <c r="J609" s="20"/>
      <c r="K609" s="20"/>
      <c r="L609" s="20"/>
      <c r="M609" s="20"/>
      <c r="N609" s="20"/>
      <c r="O609" s="24"/>
      <c r="P609" s="161" t="str">
        <f t="shared" si="19"/>
        <v/>
      </c>
      <c r="Q609" s="7"/>
    </row>
    <row r="610" spans="1:17">
      <c r="A610" s="31" t="str">
        <f t="shared" si="18"/>
        <v/>
      </c>
      <c r="B610" s="159"/>
      <c r="C610" s="21"/>
      <c r="D610" s="97" t="str">
        <f>IF(C610="","",IFERROR(INDEX(②メンバー!$C$5:$C$104,MATCH(C610,②メンバー!$B$5:$B$104,0)),""))</f>
        <v/>
      </c>
      <c r="E610" s="24"/>
      <c r="F610" s="160"/>
      <c r="G610" s="20"/>
      <c r="H610" s="20"/>
      <c r="I610" s="20"/>
      <c r="J610" s="20"/>
      <c r="K610" s="20"/>
      <c r="L610" s="20"/>
      <c r="M610" s="20"/>
      <c r="N610" s="20"/>
      <c r="O610" s="24"/>
      <c r="P610" s="161" t="str">
        <f t="shared" si="19"/>
        <v/>
      </c>
      <c r="Q610" s="7"/>
    </row>
    <row r="611" spans="1:17">
      <c r="A611" s="31" t="str">
        <f t="shared" si="18"/>
        <v/>
      </c>
      <c r="B611" s="159"/>
      <c r="C611" s="21"/>
      <c r="D611" s="97" t="str">
        <f>IF(C611="","",IFERROR(INDEX(②メンバー!$C$5:$C$104,MATCH(C611,②メンバー!$B$5:$B$104,0)),""))</f>
        <v/>
      </c>
      <c r="E611" s="24"/>
      <c r="F611" s="160"/>
      <c r="G611" s="20"/>
      <c r="H611" s="20"/>
      <c r="I611" s="20"/>
      <c r="J611" s="20"/>
      <c r="K611" s="20"/>
      <c r="L611" s="20"/>
      <c r="M611" s="20"/>
      <c r="N611" s="20"/>
      <c r="O611" s="24"/>
      <c r="P611" s="161" t="str">
        <f t="shared" si="19"/>
        <v/>
      </c>
      <c r="Q611" s="7"/>
    </row>
    <row r="612" spans="1:17">
      <c r="A612" s="31" t="str">
        <f t="shared" si="18"/>
        <v/>
      </c>
      <c r="B612" s="159"/>
      <c r="C612" s="21"/>
      <c r="D612" s="97" t="str">
        <f>IF(C612="","",IFERROR(INDEX(②メンバー!$C$5:$C$104,MATCH(C612,②メンバー!$B$5:$B$104,0)),""))</f>
        <v/>
      </c>
      <c r="E612" s="24"/>
      <c r="F612" s="160"/>
      <c r="G612" s="20"/>
      <c r="H612" s="20"/>
      <c r="I612" s="20"/>
      <c r="J612" s="20"/>
      <c r="K612" s="20"/>
      <c r="L612" s="20"/>
      <c r="M612" s="20"/>
      <c r="N612" s="20"/>
      <c r="O612" s="24"/>
      <c r="P612" s="161" t="str">
        <f t="shared" si="19"/>
        <v/>
      </c>
      <c r="Q612" s="7"/>
    </row>
    <row r="613" spans="1:17">
      <c r="A613" s="31" t="str">
        <f t="shared" si="18"/>
        <v/>
      </c>
      <c r="B613" s="159"/>
      <c r="C613" s="21"/>
      <c r="D613" s="97" t="str">
        <f>IF(C613="","",IFERROR(INDEX(②メンバー!$C$5:$C$104,MATCH(C613,②メンバー!$B$5:$B$104,0)),""))</f>
        <v/>
      </c>
      <c r="E613" s="24"/>
      <c r="F613" s="160"/>
      <c r="G613" s="20"/>
      <c r="H613" s="20"/>
      <c r="I613" s="20"/>
      <c r="J613" s="20"/>
      <c r="K613" s="20"/>
      <c r="L613" s="20"/>
      <c r="M613" s="20"/>
      <c r="N613" s="20"/>
      <c r="O613" s="24"/>
      <c r="P613" s="161" t="str">
        <f t="shared" si="19"/>
        <v/>
      </c>
      <c r="Q613" s="7"/>
    </row>
    <row r="614" spans="1:17">
      <c r="A614" s="31" t="str">
        <f t="shared" si="18"/>
        <v/>
      </c>
      <c r="B614" s="159"/>
      <c r="C614" s="21"/>
      <c r="D614" s="97" t="str">
        <f>IF(C614="","",IFERROR(INDEX(②メンバー!$C$5:$C$104,MATCH(C614,②メンバー!$B$5:$B$104,0)),""))</f>
        <v/>
      </c>
      <c r="E614" s="24"/>
      <c r="F614" s="160"/>
      <c r="G614" s="20"/>
      <c r="H614" s="20"/>
      <c r="I614" s="20"/>
      <c r="J614" s="20"/>
      <c r="K614" s="20"/>
      <c r="L614" s="20"/>
      <c r="M614" s="20"/>
      <c r="N614" s="20"/>
      <c r="O614" s="24"/>
      <c r="P614" s="161" t="str">
        <f t="shared" si="19"/>
        <v/>
      </c>
      <c r="Q614" s="7"/>
    </row>
    <row r="615" spans="1:17">
      <c r="A615" s="31" t="str">
        <f t="shared" si="18"/>
        <v/>
      </c>
      <c r="B615" s="159"/>
      <c r="C615" s="21"/>
      <c r="D615" s="97" t="str">
        <f>IF(C615="","",IFERROR(INDEX(②メンバー!$C$5:$C$104,MATCH(C615,②メンバー!$B$5:$B$104,0)),""))</f>
        <v/>
      </c>
      <c r="E615" s="24"/>
      <c r="F615" s="160"/>
      <c r="G615" s="20"/>
      <c r="H615" s="20"/>
      <c r="I615" s="20"/>
      <c r="J615" s="20"/>
      <c r="K615" s="20"/>
      <c r="L615" s="20"/>
      <c r="M615" s="20"/>
      <c r="N615" s="20"/>
      <c r="O615" s="24"/>
      <c r="P615" s="161" t="str">
        <f t="shared" si="19"/>
        <v/>
      </c>
      <c r="Q615" s="7"/>
    </row>
    <row r="616" spans="1:17">
      <c r="A616" s="31" t="str">
        <f t="shared" si="18"/>
        <v/>
      </c>
      <c r="B616" s="159"/>
      <c r="C616" s="21"/>
      <c r="D616" s="97" t="str">
        <f>IF(C616="","",IFERROR(INDEX(②メンバー!$C$5:$C$104,MATCH(C616,②メンバー!$B$5:$B$104,0)),""))</f>
        <v/>
      </c>
      <c r="E616" s="24"/>
      <c r="F616" s="160"/>
      <c r="G616" s="20"/>
      <c r="H616" s="20"/>
      <c r="I616" s="20"/>
      <c r="J616" s="20"/>
      <c r="K616" s="20"/>
      <c r="L616" s="20"/>
      <c r="M616" s="20"/>
      <c r="N616" s="20"/>
      <c r="O616" s="24"/>
      <c r="P616" s="161" t="str">
        <f t="shared" si="19"/>
        <v/>
      </c>
      <c r="Q616" s="7"/>
    </row>
    <row r="617" spans="1:17">
      <c r="A617" s="31" t="str">
        <f t="shared" si="18"/>
        <v/>
      </c>
      <c r="B617" s="159"/>
      <c r="C617" s="21"/>
      <c r="D617" s="97" t="str">
        <f>IF(C617="","",IFERROR(INDEX(②メンバー!$C$5:$C$104,MATCH(C617,②メンバー!$B$5:$B$104,0)),""))</f>
        <v/>
      </c>
      <c r="E617" s="24"/>
      <c r="F617" s="160"/>
      <c r="G617" s="20"/>
      <c r="H617" s="20"/>
      <c r="I617" s="20"/>
      <c r="J617" s="20"/>
      <c r="K617" s="20"/>
      <c r="L617" s="20"/>
      <c r="M617" s="20"/>
      <c r="N617" s="20"/>
      <c r="O617" s="24"/>
      <c r="P617" s="161" t="str">
        <f t="shared" si="19"/>
        <v/>
      </c>
      <c r="Q617" s="7"/>
    </row>
    <row r="618" spans="1:17">
      <c r="A618" s="31" t="str">
        <f t="shared" si="18"/>
        <v/>
      </c>
      <c r="B618" s="159"/>
      <c r="C618" s="21"/>
      <c r="D618" s="97" t="str">
        <f>IF(C618="","",IFERROR(INDEX(②メンバー!$C$5:$C$104,MATCH(C618,②メンバー!$B$5:$B$104,0)),""))</f>
        <v/>
      </c>
      <c r="E618" s="24"/>
      <c r="F618" s="160"/>
      <c r="G618" s="20"/>
      <c r="H618" s="20"/>
      <c r="I618" s="20"/>
      <c r="J618" s="20"/>
      <c r="K618" s="20"/>
      <c r="L618" s="20"/>
      <c r="M618" s="20"/>
      <c r="N618" s="20"/>
      <c r="O618" s="24"/>
      <c r="P618" s="161" t="str">
        <f t="shared" si="19"/>
        <v/>
      </c>
      <c r="Q618" s="7"/>
    </row>
    <row r="619" spans="1:17">
      <c r="A619" s="31" t="str">
        <f t="shared" si="18"/>
        <v/>
      </c>
      <c r="B619" s="159"/>
      <c r="C619" s="21"/>
      <c r="D619" s="97" t="str">
        <f>IF(C619="","",IFERROR(INDEX(②メンバー!$C$5:$C$104,MATCH(C619,②メンバー!$B$5:$B$104,0)),""))</f>
        <v/>
      </c>
      <c r="E619" s="24"/>
      <c r="F619" s="160"/>
      <c r="G619" s="20"/>
      <c r="H619" s="20"/>
      <c r="I619" s="20"/>
      <c r="J619" s="20"/>
      <c r="K619" s="20"/>
      <c r="L619" s="20"/>
      <c r="M619" s="20"/>
      <c r="N619" s="20"/>
      <c r="O619" s="24"/>
      <c r="P619" s="161" t="str">
        <f t="shared" si="19"/>
        <v/>
      </c>
      <c r="Q619" s="7"/>
    </row>
    <row r="620" spans="1:17">
      <c r="A620" s="31" t="str">
        <f t="shared" si="18"/>
        <v/>
      </c>
      <c r="B620" s="159"/>
      <c r="C620" s="21"/>
      <c r="D620" s="97" t="str">
        <f>IF(C620="","",IFERROR(INDEX(②メンバー!$C$5:$C$104,MATCH(C620,②メンバー!$B$5:$B$104,0)),""))</f>
        <v/>
      </c>
      <c r="E620" s="24"/>
      <c r="F620" s="160"/>
      <c r="G620" s="20"/>
      <c r="H620" s="20"/>
      <c r="I620" s="20"/>
      <c r="J620" s="20"/>
      <c r="K620" s="20"/>
      <c r="L620" s="20"/>
      <c r="M620" s="20"/>
      <c r="N620" s="20"/>
      <c r="O620" s="24"/>
      <c r="P620" s="161" t="str">
        <f t="shared" si="19"/>
        <v/>
      </c>
      <c r="Q620" s="7"/>
    </row>
    <row r="621" spans="1:17">
      <c r="A621" s="31" t="str">
        <f t="shared" si="18"/>
        <v/>
      </c>
      <c r="B621" s="159"/>
      <c r="C621" s="21"/>
      <c r="D621" s="97" t="str">
        <f>IF(C621="","",IFERROR(INDEX(②メンバー!$C$5:$C$104,MATCH(C621,②メンバー!$B$5:$B$104,0)),""))</f>
        <v/>
      </c>
      <c r="E621" s="24"/>
      <c r="F621" s="160"/>
      <c r="G621" s="20"/>
      <c r="H621" s="20"/>
      <c r="I621" s="20"/>
      <c r="J621" s="20"/>
      <c r="K621" s="20"/>
      <c r="L621" s="20"/>
      <c r="M621" s="20"/>
      <c r="N621" s="20"/>
      <c r="O621" s="24"/>
      <c r="P621" s="161" t="str">
        <f t="shared" si="19"/>
        <v/>
      </c>
      <c r="Q621" s="7"/>
    </row>
    <row r="622" spans="1:17">
      <c r="A622" s="31" t="str">
        <f t="shared" si="18"/>
        <v/>
      </c>
      <c r="B622" s="159"/>
      <c r="C622" s="21"/>
      <c r="D622" s="97" t="str">
        <f>IF(C622="","",IFERROR(INDEX(②メンバー!$C$5:$C$104,MATCH(C622,②メンバー!$B$5:$B$104,0)),""))</f>
        <v/>
      </c>
      <c r="E622" s="24"/>
      <c r="F622" s="160"/>
      <c r="G622" s="20"/>
      <c r="H622" s="20"/>
      <c r="I622" s="20"/>
      <c r="J622" s="20"/>
      <c r="K622" s="20"/>
      <c r="L622" s="20"/>
      <c r="M622" s="20"/>
      <c r="N622" s="20"/>
      <c r="O622" s="24"/>
      <c r="P622" s="161" t="str">
        <f t="shared" si="19"/>
        <v/>
      </c>
      <c r="Q622" s="7"/>
    </row>
    <row r="623" spans="1:17">
      <c r="A623" s="31" t="str">
        <f t="shared" si="18"/>
        <v/>
      </c>
      <c r="B623" s="159"/>
      <c r="C623" s="21"/>
      <c r="D623" s="97" t="str">
        <f>IF(C623="","",IFERROR(INDEX(②メンバー!$C$5:$C$104,MATCH(C623,②メンバー!$B$5:$B$104,0)),""))</f>
        <v/>
      </c>
      <c r="E623" s="24"/>
      <c r="F623" s="160"/>
      <c r="G623" s="20"/>
      <c r="H623" s="20"/>
      <c r="I623" s="20"/>
      <c r="J623" s="20"/>
      <c r="K623" s="20"/>
      <c r="L623" s="20"/>
      <c r="M623" s="20"/>
      <c r="N623" s="20"/>
      <c r="O623" s="24"/>
      <c r="P623" s="161" t="str">
        <f t="shared" si="19"/>
        <v/>
      </c>
      <c r="Q623" s="7"/>
    </row>
    <row r="624" spans="1:17">
      <c r="A624" s="31" t="str">
        <f t="shared" si="18"/>
        <v/>
      </c>
      <c r="B624" s="159"/>
      <c r="C624" s="21"/>
      <c r="D624" s="97" t="str">
        <f>IF(C624="","",IFERROR(INDEX(②メンバー!$C$5:$C$104,MATCH(C624,②メンバー!$B$5:$B$104,0)),""))</f>
        <v/>
      </c>
      <c r="E624" s="24"/>
      <c r="F624" s="160"/>
      <c r="G624" s="20"/>
      <c r="H624" s="20"/>
      <c r="I624" s="20"/>
      <c r="J624" s="20"/>
      <c r="K624" s="20"/>
      <c r="L624" s="20"/>
      <c r="M624" s="20"/>
      <c r="N624" s="20"/>
      <c r="O624" s="24"/>
      <c r="P624" s="161" t="str">
        <f t="shared" si="19"/>
        <v/>
      </c>
      <c r="Q624" s="7"/>
    </row>
    <row r="625" spans="1:17">
      <c r="A625" s="31" t="str">
        <f t="shared" si="18"/>
        <v/>
      </c>
      <c r="B625" s="159"/>
      <c r="C625" s="21"/>
      <c r="D625" s="97" t="str">
        <f>IF(C625="","",IFERROR(INDEX(②メンバー!$C$5:$C$104,MATCH(C625,②メンバー!$B$5:$B$104,0)),""))</f>
        <v/>
      </c>
      <c r="E625" s="24"/>
      <c r="F625" s="160"/>
      <c r="G625" s="20"/>
      <c r="H625" s="20"/>
      <c r="I625" s="20"/>
      <c r="J625" s="20"/>
      <c r="K625" s="20"/>
      <c r="L625" s="20"/>
      <c r="M625" s="20"/>
      <c r="N625" s="20"/>
      <c r="O625" s="24"/>
      <c r="P625" s="161" t="str">
        <f t="shared" si="19"/>
        <v/>
      </c>
      <c r="Q625" s="7"/>
    </row>
    <row r="626" spans="1:17">
      <c r="A626" s="31" t="str">
        <f t="shared" si="18"/>
        <v/>
      </c>
      <c r="B626" s="159"/>
      <c r="C626" s="21"/>
      <c r="D626" s="97" t="str">
        <f>IF(C626="","",IFERROR(INDEX(②メンバー!$C$5:$C$104,MATCH(C626,②メンバー!$B$5:$B$104,0)),""))</f>
        <v/>
      </c>
      <c r="E626" s="24"/>
      <c r="F626" s="160"/>
      <c r="G626" s="20"/>
      <c r="H626" s="20"/>
      <c r="I626" s="20"/>
      <c r="J626" s="20"/>
      <c r="K626" s="20"/>
      <c r="L626" s="20"/>
      <c r="M626" s="20"/>
      <c r="N626" s="20"/>
      <c r="O626" s="24"/>
      <c r="P626" s="161" t="str">
        <f t="shared" si="19"/>
        <v/>
      </c>
      <c r="Q626" s="7"/>
    </row>
    <row r="627" spans="1:17">
      <c r="A627" s="31" t="str">
        <f t="shared" si="18"/>
        <v/>
      </c>
      <c r="B627" s="159"/>
      <c r="C627" s="21"/>
      <c r="D627" s="97" t="str">
        <f>IF(C627="","",IFERROR(INDEX(②メンバー!$C$5:$C$104,MATCH(C627,②メンバー!$B$5:$B$104,0)),""))</f>
        <v/>
      </c>
      <c r="E627" s="24"/>
      <c r="F627" s="160"/>
      <c r="G627" s="20"/>
      <c r="H627" s="20"/>
      <c r="I627" s="20"/>
      <c r="J627" s="20"/>
      <c r="K627" s="20"/>
      <c r="L627" s="20"/>
      <c r="M627" s="20"/>
      <c r="N627" s="20"/>
      <c r="O627" s="24"/>
      <c r="P627" s="161" t="str">
        <f t="shared" si="19"/>
        <v/>
      </c>
      <c r="Q627" s="7"/>
    </row>
    <row r="628" spans="1:17">
      <c r="A628" s="31" t="str">
        <f t="shared" si="18"/>
        <v/>
      </c>
      <c r="B628" s="159"/>
      <c r="C628" s="21"/>
      <c r="D628" s="97" t="str">
        <f>IF(C628="","",IFERROR(INDEX(②メンバー!$C$5:$C$104,MATCH(C628,②メンバー!$B$5:$B$104,0)),""))</f>
        <v/>
      </c>
      <c r="E628" s="24"/>
      <c r="F628" s="160"/>
      <c r="G628" s="20"/>
      <c r="H628" s="20"/>
      <c r="I628" s="20"/>
      <c r="J628" s="20"/>
      <c r="K628" s="20"/>
      <c r="L628" s="20"/>
      <c r="M628" s="20"/>
      <c r="N628" s="20"/>
      <c r="O628" s="24"/>
      <c r="P628" s="161" t="str">
        <f t="shared" si="19"/>
        <v/>
      </c>
      <c r="Q628" s="7"/>
    </row>
    <row r="629" spans="1:17">
      <c r="A629" s="31" t="str">
        <f t="shared" si="18"/>
        <v/>
      </c>
      <c r="B629" s="159"/>
      <c r="C629" s="21"/>
      <c r="D629" s="97" t="str">
        <f>IF(C629="","",IFERROR(INDEX(②メンバー!$C$5:$C$104,MATCH(C629,②メンバー!$B$5:$B$104,0)),""))</f>
        <v/>
      </c>
      <c r="E629" s="24"/>
      <c r="F629" s="160"/>
      <c r="G629" s="20"/>
      <c r="H629" s="20"/>
      <c r="I629" s="20"/>
      <c r="J629" s="20"/>
      <c r="K629" s="20"/>
      <c r="L629" s="20"/>
      <c r="M629" s="20"/>
      <c r="N629" s="20"/>
      <c r="O629" s="24"/>
      <c r="P629" s="161" t="str">
        <f t="shared" si="19"/>
        <v/>
      </c>
      <c r="Q629" s="7"/>
    </row>
    <row r="630" spans="1:17">
      <c r="A630" s="31" t="str">
        <f t="shared" si="18"/>
        <v/>
      </c>
      <c r="B630" s="159"/>
      <c r="C630" s="21"/>
      <c r="D630" s="97" t="str">
        <f>IF(C630="","",IFERROR(INDEX(②メンバー!$C$5:$C$104,MATCH(C630,②メンバー!$B$5:$B$104,0)),""))</f>
        <v/>
      </c>
      <c r="E630" s="24"/>
      <c r="F630" s="160"/>
      <c r="G630" s="20"/>
      <c r="H630" s="20"/>
      <c r="I630" s="20"/>
      <c r="J630" s="20"/>
      <c r="K630" s="20"/>
      <c r="L630" s="20"/>
      <c r="M630" s="20"/>
      <c r="N630" s="20"/>
      <c r="O630" s="24"/>
      <c r="P630" s="161" t="str">
        <f t="shared" si="19"/>
        <v/>
      </c>
      <c r="Q630" s="7"/>
    </row>
    <row r="631" spans="1:17">
      <c r="A631" s="31" t="str">
        <f t="shared" si="18"/>
        <v/>
      </c>
      <c r="B631" s="159"/>
      <c r="C631" s="21"/>
      <c r="D631" s="97" t="str">
        <f>IF(C631="","",IFERROR(INDEX(②メンバー!$C$5:$C$104,MATCH(C631,②メンバー!$B$5:$B$104,0)),""))</f>
        <v/>
      </c>
      <c r="E631" s="24"/>
      <c r="F631" s="160"/>
      <c r="G631" s="20"/>
      <c r="H631" s="20"/>
      <c r="I631" s="20"/>
      <c r="J631" s="20"/>
      <c r="K631" s="20"/>
      <c r="L631" s="20"/>
      <c r="M631" s="20"/>
      <c r="N631" s="20"/>
      <c r="O631" s="24"/>
      <c r="P631" s="161" t="str">
        <f t="shared" si="19"/>
        <v/>
      </c>
      <c r="Q631" s="7"/>
    </row>
    <row r="632" spans="1:17">
      <c r="A632" s="31" t="str">
        <f t="shared" si="18"/>
        <v/>
      </c>
      <c r="B632" s="159"/>
      <c r="C632" s="21"/>
      <c r="D632" s="97" t="str">
        <f>IF(C632="","",IFERROR(INDEX(②メンバー!$C$5:$C$104,MATCH(C632,②メンバー!$B$5:$B$104,0)),""))</f>
        <v/>
      </c>
      <c r="E632" s="24"/>
      <c r="F632" s="160"/>
      <c r="G632" s="20"/>
      <c r="H632" s="20"/>
      <c r="I632" s="20"/>
      <c r="J632" s="20"/>
      <c r="K632" s="20"/>
      <c r="L632" s="20"/>
      <c r="M632" s="20"/>
      <c r="N632" s="20"/>
      <c r="O632" s="24"/>
      <c r="P632" s="161" t="str">
        <f t="shared" si="19"/>
        <v/>
      </c>
      <c r="Q632" s="7"/>
    </row>
    <row r="633" spans="1:17">
      <c r="A633" s="31" t="str">
        <f t="shared" si="18"/>
        <v/>
      </c>
      <c r="B633" s="159"/>
      <c r="C633" s="21"/>
      <c r="D633" s="97" t="str">
        <f>IF(C633="","",IFERROR(INDEX(②メンバー!$C$5:$C$104,MATCH(C633,②メンバー!$B$5:$B$104,0)),""))</f>
        <v/>
      </c>
      <c r="E633" s="24"/>
      <c r="F633" s="160"/>
      <c r="G633" s="20"/>
      <c r="H633" s="20"/>
      <c r="I633" s="20"/>
      <c r="J633" s="20"/>
      <c r="K633" s="20"/>
      <c r="L633" s="20"/>
      <c r="M633" s="20"/>
      <c r="N633" s="20"/>
      <c r="O633" s="24"/>
      <c r="P633" s="161" t="str">
        <f t="shared" si="19"/>
        <v/>
      </c>
      <c r="Q633" s="7"/>
    </row>
    <row r="634" spans="1:17">
      <c r="A634" s="31" t="str">
        <f t="shared" si="18"/>
        <v/>
      </c>
      <c r="B634" s="159"/>
      <c r="C634" s="21"/>
      <c r="D634" s="97" t="str">
        <f>IF(C634="","",IFERROR(INDEX(②メンバー!$C$5:$C$104,MATCH(C634,②メンバー!$B$5:$B$104,0)),""))</f>
        <v/>
      </c>
      <c r="E634" s="24"/>
      <c r="F634" s="160"/>
      <c r="G634" s="20"/>
      <c r="H634" s="20"/>
      <c r="I634" s="20"/>
      <c r="J634" s="20"/>
      <c r="K634" s="20"/>
      <c r="L634" s="20"/>
      <c r="M634" s="20"/>
      <c r="N634" s="20"/>
      <c r="O634" s="24"/>
      <c r="P634" s="161" t="str">
        <f t="shared" si="19"/>
        <v/>
      </c>
      <c r="Q634" s="7"/>
    </row>
    <row r="635" spans="1:17">
      <c r="A635" s="31" t="str">
        <f t="shared" si="18"/>
        <v/>
      </c>
      <c r="B635" s="159"/>
      <c r="C635" s="21"/>
      <c r="D635" s="97" t="str">
        <f>IF(C635="","",IFERROR(INDEX(②メンバー!$C$5:$C$104,MATCH(C635,②メンバー!$B$5:$B$104,0)),""))</f>
        <v/>
      </c>
      <c r="E635" s="24"/>
      <c r="F635" s="160"/>
      <c r="G635" s="20"/>
      <c r="H635" s="20"/>
      <c r="I635" s="20"/>
      <c r="J635" s="20"/>
      <c r="K635" s="20"/>
      <c r="L635" s="20"/>
      <c r="M635" s="20"/>
      <c r="N635" s="20"/>
      <c r="O635" s="24"/>
      <c r="P635" s="161" t="str">
        <f t="shared" si="19"/>
        <v/>
      </c>
      <c r="Q635" s="7"/>
    </row>
    <row r="636" spans="1:17">
      <c r="A636" s="31" t="str">
        <f t="shared" si="18"/>
        <v/>
      </c>
      <c r="B636" s="159"/>
      <c r="C636" s="21"/>
      <c r="D636" s="97" t="str">
        <f>IF(C636="","",IFERROR(INDEX(②メンバー!$C$5:$C$104,MATCH(C636,②メンバー!$B$5:$B$104,0)),""))</f>
        <v/>
      </c>
      <c r="E636" s="24"/>
      <c r="F636" s="160"/>
      <c r="G636" s="20"/>
      <c r="H636" s="20"/>
      <c r="I636" s="20"/>
      <c r="J636" s="20"/>
      <c r="K636" s="20"/>
      <c r="L636" s="20"/>
      <c r="M636" s="20"/>
      <c r="N636" s="20"/>
      <c r="O636" s="24"/>
      <c r="P636" s="161" t="str">
        <f t="shared" si="19"/>
        <v/>
      </c>
      <c r="Q636" s="7"/>
    </row>
    <row r="637" spans="1:17">
      <c r="A637" s="31" t="str">
        <f t="shared" si="18"/>
        <v/>
      </c>
      <c r="B637" s="159"/>
      <c r="C637" s="21"/>
      <c r="D637" s="97" t="str">
        <f>IF(C637="","",IFERROR(INDEX(②メンバー!$C$5:$C$104,MATCH(C637,②メンバー!$B$5:$B$104,0)),""))</f>
        <v/>
      </c>
      <c r="E637" s="24"/>
      <c r="F637" s="160"/>
      <c r="G637" s="20"/>
      <c r="H637" s="20"/>
      <c r="I637" s="20"/>
      <c r="J637" s="20"/>
      <c r="K637" s="20"/>
      <c r="L637" s="20"/>
      <c r="M637" s="20"/>
      <c r="N637" s="20"/>
      <c r="O637" s="24"/>
      <c r="P637" s="161" t="str">
        <f t="shared" si="19"/>
        <v/>
      </c>
      <c r="Q637" s="7"/>
    </row>
    <row r="638" spans="1:17">
      <c r="A638" s="31" t="str">
        <f t="shared" si="18"/>
        <v/>
      </c>
      <c r="B638" s="159"/>
      <c r="C638" s="21"/>
      <c r="D638" s="97" t="str">
        <f>IF(C638="","",IFERROR(INDEX(②メンバー!$C$5:$C$104,MATCH(C638,②メンバー!$B$5:$B$104,0)),""))</f>
        <v/>
      </c>
      <c r="E638" s="24"/>
      <c r="F638" s="160"/>
      <c r="G638" s="20"/>
      <c r="H638" s="20"/>
      <c r="I638" s="20"/>
      <c r="J638" s="20"/>
      <c r="K638" s="20"/>
      <c r="L638" s="20"/>
      <c r="M638" s="20"/>
      <c r="N638" s="20"/>
      <c r="O638" s="24"/>
      <c r="P638" s="161" t="str">
        <f t="shared" si="19"/>
        <v/>
      </c>
      <c r="Q638" s="7"/>
    </row>
    <row r="639" spans="1:17">
      <c r="A639" s="31" t="str">
        <f t="shared" si="18"/>
        <v/>
      </c>
      <c r="B639" s="159"/>
      <c r="C639" s="21"/>
      <c r="D639" s="97" t="str">
        <f>IF(C639="","",IFERROR(INDEX(②メンバー!$C$5:$C$104,MATCH(C639,②メンバー!$B$5:$B$104,0)),""))</f>
        <v/>
      </c>
      <c r="E639" s="24"/>
      <c r="F639" s="160"/>
      <c r="G639" s="20"/>
      <c r="H639" s="20"/>
      <c r="I639" s="20"/>
      <c r="J639" s="20"/>
      <c r="K639" s="20"/>
      <c r="L639" s="20"/>
      <c r="M639" s="20"/>
      <c r="N639" s="20"/>
      <c r="O639" s="24"/>
      <c r="P639" s="161" t="str">
        <f t="shared" si="19"/>
        <v/>
      </c>
      <c r="Q639" s="7"/>
    </row>
    <row r="640" spans="1:17">
      <c r="A640" s="31" t="str">
        <f t="shared" si="18"/>
        <v/>
      </c>
      <c r="B640" s="159"/>
      <c r="C640" s="21"/>
      <c r="D640" s="97" t="str">
        <f>IF(C640="","",IFERROR(INDEX(②メンバー!$C$5:$C$104,MATCH(C640,②メンバー!$B$5:$B$104,0)),""))</f>
        <v/>
      </c>
      <c r="E640" s="24"/>
      <c r="F640" s="160"/>
      <c r="G640" s="20"/>
      <c r="H640" s="20"/>
      <c r="I640" s="20"/>
      <c r="J640" s="20"/>
      <c r="K640" s="20"/>
      <c r="L640" s="20"/>
      <c r="M640" s="20"/>
      <c r="N640" s="20"/>
      <c r="O640" s="24"/>
      <c r="P640" s="161" t="str">
        <f t="shared" si="19"/>
        <v/>
      </c>
      <c r="Q640" s="7"/>
    </row>
    <row r="641" spans="1:17">
      <c r="A641" s="31" t="str">
        <f t="shared" si="18"/>
        <v/>
      </c>
      <c r="B641" s="159"/>
      <c r="C641" s="21"/>
      <c r="D641" s="97" t="str">
        <f>IF(C641="","",IFERROR(INDEX(②メンバー!$C$5:$C$104,MATCH(C641,②メンバー!$B$5:$B$104,0)),""))</f>
        <v/>
      </c>
      <c r="E641" s="24"/>
      <c r="F641" s="160"/>
      <c r="G641" s="20"/>
      <c r="H641" s="20"/>
      <c r="I641" s="20"/>
      <c r="J641" s="20"/>
      <c r="K641" s="20"/>
      <c r="L641" s="20"/>
      <c r="M641" s="20"/>
      <c r="N641" s="20"/>
      <c r="O641" s="24"/>
      <c r="P641" s="161" t="str">
        <f t="shared" si="19"/>
        <v/>
      </c>
      <c r="Q641" s="7"/>
    </row>
    <row r="642" spans="1:17">
      <c r="A642" s="31" t="str">
        <f t="shared" si="18"/>
        <v/>
      </c>
      <c r="B642" s="159"/>
      <c r="C642" s="21"/>
      <c r="D642" s="97" t="str">
        <f>IF(C642="","",IFERROR(INDEX(②メンバー!$C$5:$C$104,MATCH(C642,②メンバー!$B$5:$B$104,0)),""))</f>
        <v/>
      </c>
      <c r="E642" s="24"/>
      <c r="F642" s="160"/>
      <c r="G642" s="20"/>
      <c r="H642" s="20"/>
      <c r="I642" s="20"/>
      <c r="J642" s="20"/>
      <c r="K642" s="20"/>
      <c r="L642" s="20"/>
      <c r="M642" s="20"/>
      <c r="N642" s="20"/>
      <c r="O642" s="24"/>
      <c r="P642" s="161" t="str">
        <f t="shared" si="19"/>
        <v/>
      </c>
      <c r="Q642" s="7"/>
    </row>
    <row r="643" spans="1:17">
      <c r="A643" s="31" t="str">
        <f t="shared" si="18"/>
        <v/>
      </c>
      <c r="B643" s="159"/>
      <c r="C643" s="21"/>
      <c r="D643" s="97" t="str">
        <f>IF(C643="","",IFERROR(INDEX(②メンバー!$C$5:$C$104,MATCH(C643,②メンバー!$B$5:$B$104,0)),""))</f>
        <v/>
      </c>
      <c r="E643" s="24"/>
      <c r="F643" s="160"/>
      <c r="G643" s="20"/>
      <c r="H643" s="20"/>
      <c r="I643" s="20"/>
      <c r="J643" s="20"/>
      <c r="K643" s="20"/>
      <c r="L643" s="20"/>
      <c r="M643" s="20"/>
      <c r="N643" s="20"/>
      <c r="O643" s="24"/>
      <c r="P643" s="161" t="str">
        <f t="shared" si="19"/>
        <v/>
      </c>
      <c r="Q643" s="7"/>
    </row>
    <row r="644" spans="1:17">
      <c r="A644" s="31" t="str">
        <f t="shared" si="18"/>
        <v/>
      </c>
      <c r="B644" s="159"/>
      <c r="C644" s="21"/>
      <c r="D644" s="97" t="str">
        <f>IF(C644="","",IFERROR(INDEX(②メンバー!$C$5:$C$104,MATCH(C644,②メンバー!$B$5:$B$104,0)),""))</f>
        <v/>
      </c>
      <c r="E644" s="24"/>
      <c r="F644" s="160"/>
      <c r="G644" s="20"/>
      <c r="H644" s="20"/>
      <c r="I644" s="20"/>
      <c r="J644" s="20"/>
      <c r="K644" s="20"/>
      <c r="L644" s="20"/>
      <c r="M644" s="20"/>
      <c r="N644" s="20"/>
      <c r="O644" s="24"/>
      <c r="P644" s="161" t="str">
        <f t="shared" si="19"/>
        <v/>
      </c>
      <c r="Q644" s="7"/>
    </row>
    <row r="645" spans="1:17">
      <c r="A645" s="31" t="str">
        <f t="shared" si="18"/>
        <v/>
      </c>
      <c r="B645" s="159"/>
      <c r="C645" s="21"/>
      <c r="D645" s="97" t="str">
        <f>IF(C645="","",IFERROR(INDEX(②メンバー!$C$5:$C$104,MATCH(C645,②メンバー!$B$5:$B$104,0)),""))</f>
        <v/>
      </c>
      <c r="E645" s="24"/>
      <c r="F645" s="160"/>
      <c r="G645" s="20"/>
      <c r="H645" s="20"/>
      <c r="I645" s="20"/>
      <c r="J645" s="20"/>
      <c r="K645" s="20"/>
      <c r="L645" s="20"/>
      <c r="M645" s="20"/>
      <c r="N645" s="20"/>
      <c r="O645" s="24"/>
      <c r="P645" s="161" t="str">
        <f t="shared" si="19"/>
        <v/>
      </c>
      <c r="Q645" s="7"/>
    </row>
    <row r="646" spans="1:17">
      <c r="A646" s="31" t="str">
        <f t="shared" ref="A646:A709" si="20">IF(B646="","",ROW()-5)</f>
        <v/>
      </c>
      <c r="B646" s="159"/>
      <c r="C646" s="21"/>
      <c r="D646" s="97" t="str">
        <f>IF(C646="","",IFERROR(INDEX(②メンバー!$C$5:$C$104,MATCH(C646,②メンバー!$B$5:$B$104,0)),""))</f>
        <v/>
      </c>
      <c r="E646" s="24"/>
      <c r="F646" s="160"/>
      <c r="G646" s="20"/>
      <c r="H646" s="20"/>
      <c r="I646" s="20"/>
      <c r="J646" s="20"/>
      <c r="K646" s="20"/>
      <c r="L646" s="20"/>
      <c r="M646" s="20"/>
      <c r="N646" s="20"/>
      <c r="O646" s="24"/>
      <c r="P646" s="161" t="str">
        <f t="shared" ref="P646:P709" si="21">IF(C646="","",IF(COUNTA(F646:O646)=0,IF(E646="出勤","いつもの時間","終日"),TRIM(IF(COUNTIF(F646:O646,"休")&gt;0,"休 "&amp;COUNTIF(F646:O646,"休")&amp;"h ","")&amp;IF(COUNTIF(F646:O646,"出")&gt;0,"出 "&amp;COUNTIF(F646:O646,"出")&amp;"h",""))))</f>
        <v/>
      </c>
      <c r="Q646" s="7"/>
    </row>
    <row r="647" spans="1:17">
      <c r="A647" s="31" t="str">
        <f t="shared" si="20"/>
        <v/>
      </c>
      <c r="B647" s="159"/>
      <c r="C647" s="21"/>
      <c r="D647" s="97" t="str">
        <f>IF(C647="","",IFERROR(INDEX(②メンバー!$C$5:$C$104,MATCH(C647,②メンバー!$B$5:$B$104,0)),""))</f>
        <v/>
      </c>
      <c r="E647" s="24"/>
      <c r="F647" s="160"/>
      <c r="G647" s="20"/>
      <c r="H647" s="20"/>
      <c r="I647" s="20"/>
      <c r="J647" s="20"/>
      <c r="K647" s="20"/>
      <c r="L647" s="20"/>
      <c r="M647" s="20"/>
      <c r="N647" s="20"/>
      <c r="O647" s="24"/>
      <c r="P647" s="161" t="str">
        <f t="shared" si="21"/>
        <v/>
      </c>
      <c r="Q647" s="7"/>
    </row>
    <row r="648" spans="1:17">
      <c r="A648" s="31" t="str">
        <f t="shared" si="20"/>
        <v/>
      </c>
      <c r="B648" s="159"/>
      <c r="C648" s="21"/>
      <c r="D648" s="97" t="str">
        <f>IF(C648="","",IFERROR(INDEX(②メンバー!$C$5:$C$104,MATCH(C648,②メンバー!$B$5:$B$104,0)),""))</f>
        <v/>
      </c>
      <c r="E648" s="24"/>
      <c r="F648" s="160"/>
      <c r="G648" s="20"/>
      <c r="H648" s="20"/>
      <c r="I648" s="20"/>
      <c r="J648" s="20"/>
      <c r="K648" s="20"/>
      <c r="L648" s="20"/>
      <c r="M648" s="20"/>
      <c r="N648" s="20"/>
      <c r="O648" s="24"/>
      <c r="P648" s="161" t="str">
        <f t="shared" si="21"/>
        <v/>
      </c>
      <c r="Q648" s="7"/>
    </row>
    <row r="649" spans="1:17">
      <c r="A649" s="31" t="str">
        <f t="shared" si="20"/>
        <v/>
      </c>
      <c r="B649" s="159"/>
      <c r="C649" s="21"/>
      <c r="D649" s="97" t="str">
        <f>IF(C649="","",IFERROR(INDEX(②メンバー!$C$5:$C$104,MATCH(C649,②メンバー!$B$5:$B$104,0)),""))</f>
        <v/>
      </c>
      <c r="E649" s="24"/>
      <c r="F649" s="160"/>
      <c r="G649" s="20"/>
      <c r="H649" s="20"/>
      <c r="I649" s="20"/>
      <c r="J649" s="20"/>
      <c r="K649" s="20"/>
      <c r="L649" s="20"/>
      <c r="M649" s="20"/>
      <c r="N649" s="20"/>
      <c r="O649" s="24"/>
      <c r="P649" s="161" t="str">
        <f t="shared" si="21"/>
        <v/>
      </c>
      <c r="Q649" s="7"/>
    </row>
    <row r="650" spans="1:17">
      <c r="A650" s="31" t="str">
        <f t="shared" si="20"/>
        <v/>
      </c>
      <c r="B650" s="159"/>
      <c r="C650" s="21"/>
      <c r="D650" s="97" t="str">
        <f>IF(C650="","",IFERROR(INDEX(②メンバー!$C$5:$C$104,MATCH(C650,②メンバー!$B$5:$B$104,0)),""))</f>
        <v/>
      </c>
      <c r="E650" s="24"/>
      <c r="F650" s="160"/>
      <c r="G650" s="20"/>
      <c r="H650" s="20"/>
      <c r="I650" s="20"/>
      <c r="J650" s="20"/>
      <c r="K650" s="20"/>
      <c r="L650" s="20"/>
      <c r="M650" s="20"/>
      <c r="N650" s="20"/>
      <c r="O650" s="24"/>
      <c r="P650" s="161" t="str">
        <f t="shared" si="21"/>
        <v/>
      </c>
      <c r="Q650" s="7"/>
    </row>
    <row r="651" spans="1:17">
      <c r="A651" s="31" t="str">
        <f t="shared" si="20"/>
        <v/>
      </c>
      <c r="B651" s="159"/>
      <c r="C651" s="21"/>
      <c r="D651" s="97" t="str">
        <f>IF(C651="","",IFERROR(INDEX(②メンバー!$C$5:$C$104,MATCH(C651,②メンバー!$B$5:$B$104,0)),""))</f>
        <v/>
      </c>
      <c r="E651" s="24"/>
      <c r="F651" s="160"/>
      <c r="G651" s="20"/>
      <c r="H651" s="20"/>
      <c r="I651" s="20"/>
      <c r="J651" s="20"/>
      <c r="K651" s="20"/>
      <c r="L651" s="20"/>
      <c r="M651" s="20"/>
      <c r="N651" s="20"/>
      <c r="O651" s="24"/>
      <c r="P651" s="161" t="str">
        <f t="shared" si="21"/>
        <v/>
      </c>
      <c r="Q651" s="7"/>
    </row>
    <row r="652" spans="1:17">
      <c r="A652" s="31" t="str">
        <f t="shared" si="20"/>
        <v/>
      </c>
      <c r="B652" s="159"/>
      <c r="C652" s="21"/>
      <c r="D652" s="97" t="str">
        <f>IF(C652="","",IFERROR(INDEX(②メンバー!$C$5:$C$104,MATCH(C652,②メンバー!$B$5:$B$104,0)),""))</f>
        <v/>
      </c>
      <c r="E652" s="24"/>
      <c r="F652" s="160"/>
      <c r="G652" s="20"/>
      <c r="H652" s="20"/>
      <c r="I652" s="20"/>
      <c r="J652" s="20"/>
      <c r="K652" s="20"/>
      <c r="L652" s="20"/>
      <c r="M652" s="20"/>
      <c r="N652" s="20"/>
      <c r="O652" s="24"/>
      <c r="P652" s="161" t="str">
        <f t="shared" si="21"/>
        <v/>
      </c>
      <c r="Q652" s="7"/>
    </row>
    <row r="653" spans="1:17">
      <c r="A653" s="31" t="str">
        <f t="shared" si="20"/>
        <v/>
      </c>
      <c r="B653" s="159"/>
      <c r="C653" s="21"/>
      <c r="D653" s="97" t="str">
        <f>IF(C653="","",IFERROR(INDEX(②メンバー!$C$5:$C$104,MATCH(C653,②メンバー!$B$5:$B$104,0)),""))</f>
        <v/>
      </c>
      <c r="E653" s="24"/>
      <c r="F653" s="160"/>
      <c r="G653" s="20"/>
      <c r="H653" s="20"/>
      <c r="I653" s="20"/>
      <c r="J653" s="20"/>
      <c r="K653" s="20"/>
      <c r="L653" s="20"/>
      <c r="M653" s="20"/>
      <c r="N653" s="20"/>
      <c r="O653" s="24"/>
      <c r="P653" s="161" t="str">
        <f t="shared" si="21"/>
        <v/>
      </c>
      <c r="Q653" s="7"/>
    </row>
    <row r="654" spans="1:17">
      <c r="A654" s="31" t="str">
        <f t="shared" si="20"/>
        <v/>
      </c>
      <c r="B654" s="159"/>
      <c r="C654" s="21"/>
      <c r="D654" s="97" t="str">
        <f>IF(C654="","",IFERROR(INDEX(②メンバー!$C$5:$C$104,MATCH(C654,②メンバー!$B$5:$B$104,0)),""))</f>
        <v/>
      </c>
      <c r="E654" s="24"/>
      <c r="F654" s="160"/>
      <c r="G654" s="20"/>
      <c r="H654" s="20"/>
      <c r="I654" s="20"/>
      <c r="J654" s="20"/>
      <c r="K654" s="20"/>
      <c r="L654" s="20"/>
      <c r="M654" s="20"/>
      <c r="N654" s="20"/>
      <c r="O654" s="24"/>
      <c r="P654" s="161" t="str">
        <f t="shared" si="21"/>
        <v/>
      </c>
      <c r="Q654" s="7"/>
    </row>
    <row r="655" spans="1:17">
      <c r="A655" s="31" t="str">
        <f t="shared" si="20"/>
        <v/>
      </c>
      <c r="B655" s="159"/>
      <c r="C655" s="21"/>
      <c r="D655" s="97" t="str">
        <f>IF(C655="","",IFERROR(INDEX(②メンバー!$C$5:$C$104,MATCH(C655,②メンバー!$B$5:$B$104,0)),""))</f>
        <v/>
      </c>
      <c r="E655" s="24"/>
      <c r="F655" s="160"/>
      <c r="G655" s="20"/>
      <c r="H655" s="20"/>
      <c r="I655" s="20"/>
      <c r="J655" s="20"/>
      <c r="K655" s="20"/>
      <c r="L655" s="20"/>
      <c r="M655" s="20"/>
      <c r="N655" s="20"/>
      <c r="O655" s="24"/>
      <c r="P655" s="161" t="str">
        <f t="shared" si="21"/>
        <v/>
      </c>
      <c r="Q655" s="7"/>
    </row>
    <row r="656" spans="1:17">
      <c r="A656" s="31" t="str">
        <f t="shared" si="20"/>
        <v/>
      </c>
      <c r="B656" s="159"/>
      <c r="C656" s="21"/>
      <c r="D656" s="97" t="str">
        <f>IF(C656="","",IFERROR(INDEX(②メンバー!$C$5:$C$104,MATCH(C656,②メンバー!$B$5:$B$104,0)),""))</f>
        <v/>
      </c>
      <c r="E656" s="24"/>
      <c r="F656" s="160"/>
      <c r="G656" s="20"/>
      <c r="H656" s="20"/>
      <c r="I656" s="20"/>
      <c r="J656" s="20"/>
      <c r="K656" s="20"/>
      <c r="L656" s="20"/>
      <c r="M656" s="20"/>
      <c r="N656" s="20"/>
      <c r="O656" s="24"/>
      <c r="P656" s="161" t="str">
        <f t="shared" si="21"/>
        <v/>
      </c>
      <c r="Q656" s="7"/>
    </row>
    <row r="657" spans="1:17">
      <c r="A657" s="31" t="str">
        <f t="shared" si="20"/>
        <v/>
      </c>
      <c r="B657" s="159"/>
      <c r="C657" s="21"/>
      <c r="D657" s="97" t="str">
        <f>IF(C657="","",IFERROR(INDEX(②メンバー!$C$5:$C$104,MATCH(C657,②メンバー!$B$5:$B$104,0)),""))</f>
        <v/>
      </c>
      <c r="E657" s="24"/>
      <c r="F657" s="160"/>
      <c r="G657" s="20"/>
      <c r="H657" s="20"/>
      <c r="I657" s="20"/>
      <c r="J657" s="20"/>
      <c r="K657" s="20"/>
      <c r="L657" s="20"/>
      <c r="M657" s="20"/>
      <c r="N657" s="20"/>
      <c r="O657" s="24"/>
      <c r="P657" s="161" t="str">
        <f t="shared" si="21"/>
        <v/>
      </c>
      <c r="Q657" s="7"/>
    </row>
    <row r="658" spans="1:17">
      <c r="A658" s="31" t="str">
        <f t="shared" si="20"/>
        <v/>
      </c>
      <c r="B658" s="159"/>
      <c r="C658" s="21"/>
      <c r="D658" s="97" t="str">
        <f>IF(C658="","",IFERROR(INDEX(②メンバー!$C$5:$C$104,MATCH(C658,②メンバー!$B$5:$B$104,0)),""))</f>
        <v/>
      </c>
      <c r="E658" s="24"/>
      <c r="F658" s="160"/>
      <c r="G658" s="20"/>
      <c r="H658" s="20"/>
      <c r="I658" s="20"/>
      <c r="J658" s="20"/>
      <c r="K658" s="20"/>
      <c r="L658" s="20"/>
      <c r="M658" s="20"/>
      <c r="N658" s="20"/>
      <c r="O658" s="24"/>
      <c r="P658" s="161" t="str">
        <f t="shared" si="21"/>
        <v/>
      </c>
      <c r="Q658" s="7"/>
    </row>
    <row r="659" spans="1:17">
      <c r="A659" s="31" t="str">
        <f t="shared" si="20"/>
        <v/>
      </c>
      <c r="B659" s="159"/>
      <c r="C659" s="21"/>
      <c r="D659" s="97" t="str">
        <f>IF(C659="","",IFERROR(INDEX(②メンバー!$C$5:$C$104,MATCH(C659,②メンバー!$B$5:$B$104,0)),""))</f>
        <v/>
      </c>
      <c r="E659" s="24"/>
      <c r="F659" s="160"/>
      <c r="G659" s="20"/>
      <c r="H659" s="20"/>
      <c r="I659" s="20"/>
      <c r="J659" s="20"/>
      <c r="K659" s="20"/>
      <c r="L659" s="20"/>
      <c r="M659" s="20"/>
      <c r="N659" s="20"/>
      <c r="O659" s="24"/>
      <c r="P659" s="161" t="str">
        <f t="shared" si="21"/>
        <v/>
      </c>
      <c r="Q659" s="7"/>
    </row>
    <row r="660" spans="1:17">
      <c r="A660" s="31" t="str">
        <f t="shared" si="20"/>
        <v/>
      </c>
      <c r="B660" s="159"/>
      <c r="C660" s="21"/>
      <c r="D660" s="97" t="str">
        <f>IF(C660="","",IFERROR(INDEX(②メンバー!$C$5:$C$104,MATCH(C660,②メンバー!$B$5:$B$104,0)),""))</f>
        <v/>
      </c>
      <c r="E660" s="24"/>
      <c r="F660" s="160"/>
      <c r="G660" s="20"/>
      <c r="H660" s="20"/>
      <c r="I660" s="20"/>
      <c r="J660" s="20"/>
      <c r="K660" s="20"/>
      <c r="L660" s="20"/>
      <c r="M660" s="20"/>
      <c r="N660" s="20"/>
      <c r="O660" s="24"/>
      <c r="P660" s="161" t="str">
        <f t="shared" si="21"/>
        <v/>
      </c>
      <c r="Q660" s="7"/>
    </row>
    <row r="661" spans="1:17">
      <c r="A661" s="31" t="str">
        <f t="shared" si="20"/>
        <v/>
      </c>
      <c r="B661" s="159"/>
      <c r="C661" s="21"/>
      <c r="D661" s="97" t="str">
        <f>IF(C661="","",IFERROR(INDEX(②メンバー!$C$5:$C$104,MATCH(C661,②メンバー!$B$5:$B$104,0)),""))</f>
        <v/>
      </c>
      <c r="E661" s="24"/>
      <c r="F661" s="160"/>
      <c r="G661" s="20"/>
      <c r="H661" s="20"/>
      <c r="I661" s="20"/>
      <c r="J661" s="20"/>
      <c r="K661" s="20"/>
      <c r="L661" s="20"/>
      <c r="M661" s="20"/>
      <c r="N661" s="20"/>
      <c r="O661" s="24"/>
      <c r="P661" s="161" t="str">
        <f t="shared" si="21"/>
        <v/>
      </c>
      <c r="Q661" s="7"/>
    </row>
    <row r="662" spans="1:17">
      <c r="A662" s="31" t="str">
        <f t="shared" si="20"/>
        <v/>
      </c>
      <c r="B662" s="159"/>
      <c r="C662" s="21"/>
      <c r="D662" s="97" t="str">
        <f>IF(C662="","",IFERROR(INDEX(②メンバー!$C$5:$C$104,MATCH(C662,②メンバー!$B$5:$B$104,0)),""))</f>
        <v/>
      </c>
      <c r="E662" s="24"/>
      <c r="F662" s="160"/>
      <c r="G662" s="20"/>
      <c r="H662" s="20"/>
      <c r="I662" s="20"/>
      <c r="J662" s="20"/>
      <c r="K662" s="20"/>
      <c r="L662" s="20"/>
      <c r="M662" s="20"/>
      <c r="N662" s="20"/>
      <c r="O662" s="24"/>
      <c r="P662" s="161" t="str">
        <f t="shared" si="21"/>
        <v/>
      </c>
      <c r="Q662" s="7"/>
    </row>
    <row r="663" spans="1:17">
      <c r="A663" s="31" t="str">
        <f t="shared" si="20"/>
        <v/>
      </c>
      <c r="B663" s="159"/>
      <c r="C663" s="21"/>
      <c r="D663" s="97" t="str">
        <f>IF(C663="","",IFERROR(INDEX(②メンバー!$C$5:$C$104,MATCH(C663,②メンバー!$B$5:$B$104,0)),""))</f>
        <v/>
      </c>
      <c r="E663" s="24"/>
      <c r="F663" s="160"/>
      <c r="G663" s="20"/>
      <c r="H663" s="20"/>
      <c r="I663" s="20"/>
      <c r="J663" s="20"/>
      <c r="K663" s="20"/>
      <c r="L663" s="20"/>
      <c r="M663" s="20"/>
      <c r="N663" s="20"/>
      <c r="O663" s="24"/>
      <c r="P663" s="161" t="str">
        <f t="shared" si="21"/>
        <v/>
      </c>
      <c r="Q663" s="7"/>
    </row>
    <row r="664" spans="1:17">
      <c r="A664" s="31" t="str">
        <f t="shared" si="20"/>
        <v/>
      </c>
      <c r="B664" s="159"/>
      <c r="C664" s="21"/>
      <c r="D664" s="97" t="str">
        <f>IF(C664="","",IFERROR(INDEX(②メンバー!$C$5:$C$104,MATCH(C664,②メンバー!$B$5:$B$104,0)),""))</f>
        <v/>
      </c>
      <c r="E664" s="24"/>
      <c r="F664" s="160"/>
      <c r="G664" s="20"/>
      <c r="H664" s="20"/>
      <c r="I664" s="20"/>
      <c r="J664" s="20"/>
      <c r="K664" s="20"/>
      <c r="L664" s="20"/>
      <c r="M664" s="20"/>
      <c r="N664" s="20"/>
      <c r="O664" s="24"/>
      <c r="P664" s="161" t="str">
        <f t="shared" si="21"/>
        <v/>
      </c>
      <c r="Q664" s="7"/>
    </row>
    <row r="665" spans="1:17">
      <c r="A665" s="31" t="str">
        <f t="shared" si="20"/>
        <v/>
      </c>
      <c r="B665" s="159"/>
      <c r="C665" s="21"/>
      <c r="D665" s="97" t="str">
        <f>IF(C665="","",IFERROR(INDEX(②メンバー!$C$5:$C$104,MATCH(C665,②メンバー!$B$5:$B$104,0)),""))</f>
        <v/>
      </c>
      <c r="E665" s="24"/>
      <c r="F665" s="160"/>
      <c r="G665" s="20"/>
      <c r="H665" s="20"/>
      <c r="I665" s="20"/>
      <c r="J665" s="20"/>
      <c r="K665" s="20"/>
      <c r="L665" s="20"/>
      <c r="M665" s="20"/>
      <c r="N665" s="20"/>
      <c r="O665" s="24"/>
      <c r="P665" s="161" t="str">
        <f t="shared" si="21"/>
        <v/>
      </c>
      <c r="Q665" s="7"/>
    </row>
    <row r="666" spans="1:17">
      <c r="A666" s="31" t="str">
        <f t="shared" si="20"/>
        <v/>
      </c>
      <c r="B666" s="159"/>
      <c r="C666" s="21"/>
      <c r="D666" s="97" t="str">
        <f>IF(C666="","",IFERROR(INDEX(②メンバー!$C$5:$C$104,MATCH(C666,②メンバー!$B$5:$B$104,0)),""))</f>
        <v/>
      </c>
      <c r="E666" s="24"/>
      <c r="F666" s="160"/>
      <c r="G666" s="20"/>
      <c r="H666" s="20"/>
      <c r="I666" s="20"/>
      <c r="J666" s="20"/>
      <c r="K666" s="20"/>
      <c r="L666" s="20"/>
      <c r="M666" s="20"/>
      <c r="N666" s="20"/>
      <c r="O666" s="24"/>
      <c r="P666" s="161" t="str">
        <f t="shared" si="21"/>
        <v/>
      </c>
      <c r="Q666" s="7"/>
    </row>
    <row r="667" spans="1:17">
      <c r="A667" s="31" t="str">
        <f t="shared" si="20"/>
        <v/>
      </c>
      <c r="B667" s="159"/>
      <c r="C667" s="21"/>
      <c r="D667" s="97" t="str">
        <f>IF(C667="","",IFERROR(INDEX(②メンバー!$C$5:$C$104,MATCH(C667,②メンバー!$B$5:$B$104,0)),""))</f>
        <v/>
      </c>
      <c r="E667" s="24"/>
      <c r="F667" s="160"/>
      <c r="G667" s="20"/>
      <c r="H667" s="20"/>
      <c r="I667" s="20"/>
      <c r="J667" s="20"/>
      <c r="K667" s="20"/>
      <c r="L667" s="20"/>
      <c r="M667" s="20"/>
      <c r="N667" s="20"/>
      <c r="O667" s="24"/>
      <c r="P667" s="161" t="str">
        <f t="shared" si="21"/>
        <v/>
      </c>
      <c r="Q667" s="7"/>
    </row>
    <row r="668" spans="1:17">
      <c r="A668" s="31" t="str">
        <f t="shared" si="20"/>
        <v/>
      </c>
      <c r="B668" s="159"/>
      <c r="C668" s="21"/>
      <c r="D668" s="97" t="str">
        <f>IF(C668="","",IFERROR(INDEX(②メンバー!$C$5:$C$104,MATCH(C668,②メンバー!$B$5:$B$104,0)),""))</f>
        <v/>
      </c>
      <c r="E668" s="24"/>
      <c r="F668" s="160"/>
      <c r="G668" s="20"/>
      <c r="H668" s="20"/>
      <c r="I668" s="20"/>
      <c r="J668" s="20"/>
      <c r="K668" s="20"/>
      <c r="L668" s="20"/>
      <c r="M668" s="20"/>
      <c r="N668" s="20"/>
      <c r="O668" s="24"/>
      <c r="P668" s="161" t="str">
        <f t="shared" si="21"/>
        <v/>
      </c>
      <c r="Q668" s="7"/>
    </row>
    <row r="669" spans="1:17">
      <c r="A669" s="31" t="str">
        <f t="shared" si="20"/>
        <v/>
      </c>
      <c r="B669" s="159"/>
      <c r="C669" s="21"/>
      <c r="D669" s="97" t="str">
        <f>IF(C669="","",IFERROR(INDEX(②メンバー!$C$5:$C$104,MATCH(C669,②メンバー!$B$5:$B$104,0)),""))</f>
        <v/>
      </c>
      <c r="E669" s="24"/>
      <c r="F669" s="160"/>
      <c r="G669" s="20"/>
      <c r="H669" s="20"/>
      <c r="I669" s="20"/>
      <c r="J669" s="20"/>
      <c r="K669" s="20"/>
      <c r="L669" s="20"/>
      <c r="M669" s="20"/>
      <c r="N669" s="20"/>
      <c r="O669" s="24"/>
      <c r="P669" s="161" t="str">
        <f t="shared" si="21"/>
        <v/>
      </c>
      <c r="Q669" s="7"/>
    </row>
    <row r="670" spans="1:17">
      <c r="A670" s="31" t="str">
        <f t="shared" si="20"/>
        <v/>
      </c>
      <c r="B670" s="159"/>
      <c r="C670" s="21"/>
      <c r="D670" s="97" t="str">
        <f>IF(C670="","",IFERROR(INDEX(②メンバー!$C$5:$C$104,MATCH(C670,②メンバー!$B$5:$B$104,0)),""))</f>
        <v/>
      </c>
      <c r="E670" s="24"/>
      <c r="F670" s="160"/>
      <c r="G670" s="20"/>
      <c r="H670" s="20"/>
      <c r="I670" s="20"/>
      <c r="J670" s="20"/>
      <c r="K670" s="20"/>
      <c r="L670" s="20"/>
      <c r="M670" s="20"/>
      <c r="N670" s="20"/>
      <c r="O670" s="24"/>
      <c r="P670" s="161" t="str">
        <f t="shared" si="21"/>
        <v/>
      </c>
      <c r="Q670" s="7"/>
    </row>
    <row r="671" spans="1:17">
      <c r="A671" s="31" t="str">
        <f t="shared" si="20"/>
        <v/>
      </c>
      <c r="B671" s="159"/>
      <c r="C671" s="21"/>
      <c r="D671" s="97" t="str">
        <f>IF(C671="","",IFERROR(INDEX(②メンバー!$C$5:$C$104,MATCH(C671,②メンバー!$B$5:$B$104,0)),""))</f>
        <v/>
      </c>
      <c r="E671" s="24"/>
      <c r="F671" s="160"/>
      <c r="G671" s="20"/>
      <c r="H671" s="20"/>
      <c r="I671" s="20"/>
      <c r="J671" s="20"/>
      <c r="K671" s="20"/>
      <c r="L671" s="20"/>
      <c r="M671" s="20"/>
      <c r="N671" s="20"/>
      <c r="O671" s="24"/>
      <c r="P671" s="161" t="str">
        <f t="shared" si="21"/>
        <v/>
      </c>
      <c r="Q671" s="7"/>
    </row>
    <row r="672" spans="1:17">
      <c r="A672" s="31" t="str">
        <f t="shared" si="20"/>
        <v/>
      </c>
      <c r="B672" s="159"/>
      <c r="C672" s="21"/>
      <c r="D672" s="97" t="str">
        <f>IF(C672="","",IFERROR(INDEX(②メンバー!$C$5:$C$104,MATCH(C672,②メンバー!$B$5:$B$104,0)),""))</f>
        <v/>
      </c>
      <c r="E672" s="24"/>
      <c r="F672" s="160"/>
      <c r="G672" s="20"/>
      <c r="H672" s="20"/>
      <c r="I672" s="20"/>
      <c r="J672" s="20"/>
      <c r="K672" s="20"/>
      <c r="L672" s="20"/>
      <c r="M672" s="20"/>
      <c r="N672" s="20"/>
      <c r="O672" s="24"/>
      <c r="P672" s="161" t="str">
        <f t="shared" si="21"/>
        <v/>
      </c>
      <c r="Q672" s="7"/>
    </row>
    <row r="673" spans="1:17">
      <c r="A673" s="31" t="str">
        <f t="shared" si="20"/>
        <v/>
      </c>
      <c r="B673" s="159"/>
      <c r="C673" s="21"/>
      <c r="D673" s="97" t="str">
        <f>IF(C673="","",IFERROR(INDEX(②メンバー!$C$5:$C$104,MATCH(C673,②メンバー!$B$5:$B$104,0)),""))</f>
        <v/>
      </c>
      <c r="E673" s="24"/>
      <c r="F673" s="160"/>
      <c r="G673" s="20"/>
      <c r="H673" s="20"/>
      <c r="I673" s="20"/>
      <c r="J673" s="20"/>
      <c r="K673" s="20"/>
      <c r="L673" s="20"/>
      <c r="M673" s="20"/>
      <c r="N673" s="20"/>
      <c r="O673" s="24"/>
      <c r="P673" s="161" t="str">
        <f t="shared" si="21"/>
        <v/>
      </c>
      <c r="Q673" s="7"/>
    </row>
    <row r="674" spans="1:17">
      <c r="A674" s="31" t="str">
        <f t="shared" si="20"/>
        <v/>
      </c>
      <c r="B674" s="159"/>
      <c r="C674" s="21"/>
      <c r="D674" s="97" t="str">
        <f>IF(C674="","",IFERROR(INDEX(②メンバー!$C$5:$C$104,MATCH(C674,②メンバー!$B$5:$B$104,0)),""))</f>
        <v/>
      </c>
      <c r="E674" s="24"/>
      <c r="F674" s="160"/>
      <c r="G674" s="20"/>
      <c r="H674" s="20"/>
      <c r="I674" s="20"/>
      <c r="J674" s="20"/>
      <c r="K674" s="20"/>
      <c r="L674" s="20"/>
      <c r="M674" s="20"/>
      <c r="N674" s="20"/>
      <c r="O674" s="24"/>
      <c r="P674" s="161" t="str">
        <f t="shared" si="21"/>
        <v/>
      </c>
      <c r="Q674" s="7"/>
    </row>
    <row r="675" spans="1:17">
      <c r="A675" s="31" t="str">
        <f t="shared" si="20"/>
        <v/>
      </c>
      <c r="B675" s="159"/>
      <c r="C675" s="21"/>
      <c r="D675" s="97" t="str">
        <f>IF(C675="","",IFERROR(INDEX(②メンバー!$C$5:$C$104,MATCH(C675,②メンバー!$B$5:$B$104,0)),""))</f>
        <v/>
      </c>
      <c r="E675" s="24"/>
      <c r="F675" s="160"/>
      <c r="G675" s="20"/>
      <c r="H675" s="20"/>
      <c r="I675" s="20"/>
      <c r="J675" s="20"/>
      <c r="K675" s="20"/>
      <c r="L675" s="20"/>
      <c r="M675" s="20"/>
      <c r="N675" s="20"/>
      <c r="O675" s="24"/>
      <c r="P675" s="161" t="str">
        <f t="shared" si="21"/>
        <v/>
      </c>
      <c r="Q675" s="7"/>
    </row>
    <row r="676" spans="1:17">
      <c r="A676" s="31" t="str">
        <f t="shared" si="20"/>
        <v/>
      </c>
      <c r="B676" s="159"/>
      <c r="C676" s="21"/>
      <c r="D676" s="97" t="str">
        <f>IF(C676="","",IFERROR(INDEX(②メンバー!$C$5:$C$104,MATCH(C676,②メンバー!$B$5:$B$104,0)),""))</f>
        <v/>
      </c>
      <c r="E676" s="24"/>
      <c r="F676" s="160"/>
      <c r="G676" s="20"/>
      <c r="H676" s="20"/>
      <c r="I676" s="20"/>
      <c r="J676" s="20"/>
      <c r="K676" s="20"/>
      <c r="L676" s="20"/>
      <c r="M676" s="20"/>
      <c r="N676" s="20"/>
      <c r="O676" s="24"/>
      <c r="P676" s="161" t="str">
        <f t="shared" si="21"/>
        <v/>
      </c>
      <c r="Q676" s="7"/>
    </row>
    <row r="677" spans="1:17">
      <c r="A677" s="31" t="str">
        <f t="shared" si="20"/>
        <v/>
      </c>
      <c r="B677" s="159"/>
      <c r="C677" s="21"/>
      <c r="D677" s="97" t="str">
        <f>IF(C677="","",IFERROR(INDEX(②メンバー!$C$5:$C$104,MATCH(C677,②メンバー!$B$5:$B$104,0)),""))</f>
        <v/>
      </c>
      <c r="E677" s="24"/>
      <c r="F677" s="160"/>
      <c r="G677" s="20"/>
      <c r="H677" s="20"/>
      <c r="I677" s="20"/>
      <c r="J677" s="20"/>
      <c r="K677" s="20"/>
      <c r="L677" s="20"/>
      <c r="M677" s="20"/>
      <c r="N677" s="20"/>
      <c r="O677" s="24"/>
      <c r="P677" s="161" t="str">
        <f t="shared" si="21"/>
        <v/>
      </c>
      <c r="Q677" s="7"/>
    </row>
    <row r="678" spans="1:17">
      <c r="A678" s="31" t="str">
        <f t="shared" si="20"/>
        <v/>
      </c>
      <c r="B678" s="159"/>
      <c r="C678" s="21"/>
      <c r="D678" s="97" t="str">
        <f>IF(C678="","",IFERROR(INDEX(②メンバー!$C$5:$C$104,MATCH(C678,②メンバー!$B$5:$B$104,0)),""))</f>
        <v/>
      </c>
      <c r="E678" s="24"/>
      <c r="F678" s="160"/>
      <c r="G678" s="20"/>
      <c r="H678" s="20"/>
      <c r="I678" s="20"/>
      <c r="J678" s="20"/>
      <c r="K678" s="20"/>
      <c r="L678" s="20"/>
      <c r="M678" s="20"/>
      <c r="N678" s="20"/>
      <c r="O678" s="24"/>
      <c r="P678" s="161" t="str">
        <f t="shared" si="21"/>
        <v/>
      </c>
      <c r="Q678" s="7"/>
    </row>
    <row r="679" spans="1:17">
      <c r="A679" s="31" t="str">
        <f t="shared" si="20"/>
        <v/>
      </c>
      <c r="B679" s="159"/>
      <c r="C679" s="21"/>
      <c r="D679" s="97" t="str">
        <f>IF(C679="","",IFERROR(INDEX(②メンバー!$C$5:$C$104,MATCH(C679,②メンバー!$B$5:$B$104,0)),""))</f>
        <v/>
      </c>
      <c r="E679" s="24"/>
      <c r="F679" s="160"/>
      <c r="G679" s="20"/>
      <c r="H679" s="20"/>
      <c r="I679" s="20"/>
      <c r="J679" s="20"/>
      <c r="K679" s="20"/>
      <c r="L679" s="20"/>
      <c r="M679" s="20"/>
      <c r="N679" s="20"/>
      <c r="O679" s="24"/>
      <c r="P679" s="161" t="str">
        <f t="shared" si="21"/>
        <v/>
      </c>
      <c r="Q679" s="7"/>
    </row>
    <row r="680" spans="1:17">
      <c r="A680" s="31" t="str">
        <f t="shared" si="20"/>
        <v/>
      </c>
      <c r="B680" s="159"/>
      <c r="C680" s="21"/>
      <c r="D680" s="97" t="str">
        <f>IF(C680="","",IFERROR(INDEX(②メンバー!$C$5:$C$104,MATCH(C680,②メンバー!$B$5:$B$104,0)),""))</f>
        <v/>
      </c>
      <c r="E680" s="24"/>
      <c r="F680" s="160"/>
      <c r="G680" s="20"/>
      <c r="H680" s="20"/>
      <c r="I680" s="20"/>
      <c r="J680" s="20"/>
      <c r="K680" s="20"/>
      <c r="L680" s="20"/>
      <c r="M680" s="20"/>
      <c r="N680" s="20"/>
      <c r="O680" s="24"/>
      <c r="P680" s="161" t="str">
        <f t="shared" si="21"/>
        <v/>
      </c>
      <c r="Q680" s="7"/>
    </row>
    <row r="681" spans="1:17">
      <c r="A681" s="31" t="str">
        <f t="shared" si="20"/>
        <v/>
      </c>
      <c r="B681" s="159"/>
      <c r="C681" s="21"/>
      <c r="D681" s="97" t="str">
        <f>IF(C681="","",IFERROR(INDEX(②メンバー!$C$5:$C$104,MATCH(C681,②メンバー!$B$5:$B$104,0)),""))</f>
        <v/>
      </c>
      <c r="E681" s="24"/>
      <c r="F681" s="160"/>
      <c r="G681" s="20"/>
      <c r="H681" s="20"/>
      <c r="I681" s="20"/>
      <c r="J681" s="20"/>
      <c r="K681" s="20"/>
      <c r="L681" s="20"/>
      <c r="M681" s="20"/>
      <c r="N681" s="20"/>
      <c r="O681" s="24"/>
      <c r="P681" s="161" t="str">
        <f t="shared" si="21"/>
        <v/>
      </c>
      <c r="Q681" s="7"/>
    </row>
    <row r="682" spans="1:17">
      <c r="A682" s="31" t="str">
        <f t="shared" si="20"/>
        <v/>
      </c>
      <c r="B682" s="159"/>
      <c r="C682" s="21"/>
      <c r="D682" s="97" t="str">
        <f>IF(C682="","",IFERROR(INDEX(②メンバー!$C$5:$C$104,MATCH(C682,②メンバー!$B$5:$B$104,0)),""))</f>
        <v/>
      </c>
      <c r="E682" s="24"/>
      <c r="F682" s="160"/>
      <c r="G682" s="20"/>
      <c r="H682" s="20"/>
      <c r="I682" s="20"/>
      <c r="J682" s="20"/>
      <c r="K682" s="20"/>
      <c r="L682" s="20"/>
      <c r="M682" s="20"/>
      <c r="N682" s="20"/>
      <c r="O682" s="24"/>
      <c r="P682" s="161" t="str">
        <f t="shared" si="21"/>
        <v/>
      </c>
      <c r="Q682" s="7"/>
    </row>
    <row r="683" spans="1:17">
      <c r="A683" s="31" t="str">
        <f t="shared" si="20"/>
        <v/>
      </c>
      <c r="B683" s="159"/>
      <c r="C683" s="21"/>
      <c r="D683" s="97" t="str">
        <f>IF(C683="","",IFERROR(INDEX(②メンバー!$C$5:$C$104,MATCH(C683,②メンバー!$B$5:$B$104,0)),""))</f>
        <v/>
      </c>
      <c r="E683" s="24"/>
      <c r="F683" s="160"/>
      <c r="G683" s="20"/>
      <c r="H683" s="20"/>
      <c r="I683" s="20"/>
      <c r="J683" s="20"/>
      <c r="K683" s="20"/>
      <c r="L683" s="20"/>
      <c r="M683" s="20"/>
      <c r="N683" s="20"/>
      <c r="O683" s="24"/>
      <c r="P683" s="161" t="str">
        <f t="shared" si="21"/>
        <v/>
      </c>
      <c r="Q683" s="7"/>
    </row>
    <row r="684" spans="1:17">
      <c r="A684" s="31" t="str">
        <f t="shared" si="20"/>
        <v/>
      </c>
      <c r="B684" s="159"/>
      <c r="C684" s="21"/>
      <c r="D684" s="97" t="str">
        <f>IF(C684="","",IFERROR(INDEX(②メンバー!$C$5:$C$104,MATCH(C684,②メンバー!$B$5:$B$104,0)),""))</f>
        <v/>
      </c>
      <c r="E684" s="24"/>
      <c r="F684" s="160"/>
      <c r="G684" s="20"/>
      <c r="H684" s="20"/>
      <c r="I684" s="20"/>
      <c r="J684" s="20"/>
      <c r="K684" s="20"/>
      <c r="L684" s="20"/>
      <c r="M684" s="20"/>
      <c r="N684" s="20"/>
      <c r="O684" s="24"/>
      <c r="P684" s="161" t="str">
        <f t="shared" si="21"/>
        <v/>
      </c>
      <c r="Q684" s="7"/>
    </row>
    <row r="685" spans="1:17">
      <c r="A685" s="31" t="str">
        <f t="shared" si="20"/>
        <v/>
      </c>
      <c r="B685" s="159"/>
      <c r="C685" s="21"/>
      <c r="D685" s="97" t="str">
        <f>IF(C685="","",IFERROR(INDEX(②メンバー!$C$5:$C$104,MATCH(C685,②メンバー!$B$5:$B$104,0)),""))</f>
        <v/>
      </c>
      <c r="E685" s="24"/>
      <c r="F685" s="160"/>
      <c r="G685" s="20"/>
      <c r="H685" s="20"/>
      <c r="I685" s="20"/>
      <c r="J685" s="20"/>
      <c r="K685" s="20"/>
      <c r="L685" s="20"/>
      <c r="M685" s="20"/>
      <c r="N685" s="20"/>
      <c r="O685" s="24"/>
      <c r="P685" s="161" t="str">
        <f t="shared" si="21"/>
        <v/>
      </c>
      <c r="Q685" s="7"/>
    </row>
    <row r="686" spans="1:17">
      <c r="A686" s="31" t="str">
        <f t="shared" si="20"/>
        <v/>
      </c>
      <c r="B686" s="159"/>
      <c r="C686" s="21"/>
      <c r="D686" s="97" t="str">
        <f>IF(C686="","",IFERROR(INDEX(②メンバー!$C$5:$C$104,MATCH(C686,②メンバー!$B$5:$B$104,0)),""))</f>
        <v/>
      </c>
      <c r="E686" s="24"/>
      <c r="F686" s="160"/>
      <c r="G686" s="20"/>
      <c r="H686" s="20"/>
      <c r="I686" s="20"/>
      <c r="J686" s="20"/>
      <c r="K686" s="20"/>
      <c r="L686" s="20"/>
      <c r="M686" s="20"/>
      <c r="N686" s="20"/>
      <c r="O686" s="24"/>
      <c r="P686" s="161" t="str">
        <f t="shared" si="21"/>
        <v/>
      </c>
      <c r="Q686" s="7"/>
    </row>
    <row r="687" spans="1:17">
      <c r="A687" s="31" t="str">
        <f t="shared" si="20"/>
        <v/>
      </c>
      <c r="B687" s="159"/>
      <c r="C687" s="21"/>
      <c r="D687" s="97" t="str">
        <f>IF(C687="","",IFERROR(INDEX(②メンバー!$C$5:$C$104,MATCH(C687,②メンバー!$B$5:$B$104,0)),""))</f>
        <v/>
      </c>
      <c r="E687" s="24"/>
      <c r="F687" s="160"/>
      <c r="G687" s="20"/>
      <c r="H687" s="20"/>
      <c r="I687" s="20"/>
      <c r="J687" s="20"/>
      <c r="K687" s="20"/>
      <c r="L687" s="20"/>
      <c r="M687" s="20"/>
      <c r="N687" s="20"/>
      <c r="O687" s="24"/>
      <c r="P687" s="161" t="str">
        <f t="shared" si="21"/>
        <v/>
      </c>
      <c r="Q687" s="7"/>
    </row>
    <row r="688" spans="1:17">
      <c r="A688" s="31" t="str">
        <f t="shared" si="20"/>
        <v/>
      </c>
      <c r="B688" s="159"/>
      <c r="C688" s="21"/>
      <c r="D688" s="97" t="str">
        <f>IF(C688="","",IFERROR(INDEX(②メンバー!$C$5:$C$104,MATCH(C688,②メンバー!$B$5:$B$104,0)),""))</f>
        <v/>
      </c>
      <c r="E688" s="24"/>
      <c r="F688" s="160"/>
      <c r="G688" s="20"/>
      <c r="H688" s="20"/>
      <c r="I688" s="20"/>
      <c r="J688" s="20"/>
      <c r="K688" s="20"/>
      <c r="L688" s="20"/>
      <c r="M688" s="20"/>
      <c r="N688" s="20"/>
      <c r="O688" s="24"/>
      <c r="P688" s="161" t="str">
        <f t="shared" si="21"/>
        <v/>
      </c>
      <c r="Q688" s="7"/>
    </row>
    <row r="689" spans="1:17">
      <c r="A689" s="31" t="str">
        <f t="shared" si="20"/>
        <v/>
      </c>
      <c r="B689" s="159"/>
      <c r="C689" s="21"/>
      <c r="D689" s="97" t="str">
        <f>IF(C689="","",IFERROR(INDEX(②メンバー!$C$5:$C$104,MATCH(C689,②メンバー!$B$5:$B$104,0)),""))</f>
        <v/>
      </c>
      <c r="E689" s="24"/>
      <c r="F689" s="160"/>
      <c r="G689" s="20"/>
      <c r="H689" s="20"/>
      <c r="I689" s="20"/>
      <c r="J689" s="20"/>
      <c r="K689" s="20"/>
      <c r="L689" s="20"/>
      <c r="M689" s="20"/>
      <c r="N689" s="20"/>
      <c r="O689" s="24"/>
      <c r="P689" s="161" t="str">
        <f t="shared" si="21"/>
        <v/>
      </c>
      <c r="Q689" s="7"/>
    </row>
    <row r="690" spans="1:17">
      <c r="A690" s="31" t="str">
        <f t="shared" si="20"/>
        <v/>
      </c>
      <c r="B690" s="159"/>
      <c r="C690" s="21"/>
      <c r="D690" s="97" t="str">
        <f>IF(C690="","",IFERROR(INDEX(②メンバー!$C$5:$C$104,MATCH(C690,②メンバー!$B$5:$B$104,0)),""))</f>
        <v/>
      </c>
      <c r="E690" s="24"/>
      <c r="F690" s="160"/>
      <c r="G690" s="20"/>
      <c r="H690" s="20"/>
      <c r="I690" s="20"/>
      <c r="J690" s="20"/>
      <c r="K690" s="20"/>
      <c r="L690" s="20"/>
      <c r="M690" s="20"/>
      <c r="N690" s="20"/>
      <c r="O690" s="24"/>
      <c r="P690" s="161" t="str">
        <f t="shared" si="21"/>
        <v/>
      </c>
      <c r="Q690" s="7"/>
    </row>
    <row r="691" spans="1:17">
      <c r="A691" s="31" t="str">
        <f t="shared" si="20"/>
        <v/>
      </c>
      <c r="B691" s="159"/>
      <c r="C691" s="21"/>
      <c r="D691" s="97" t="str">
        <f>IF(C691="","",IFERROR(INDEX(②メンバー!$C$5:$C$104,MATCH(C691,②メンバー!$B$5:$B$104,0)),""))</f>
        <v/>
      </c>
      <c r="E691" s="24"/>
      <c r="F691" s="160"/>
      <c r="G691" s="20"/>
      <c r="H691" s="20"/>
      <c r="I691" s="20"/>
      <c r="J691" s="20"/>
      <c r="K691" s="20"/>
      <c r="L691" s="20"/>
      <c r="M691" s="20"/>
      <c r="N691" s="20"/>
      <c r="O691" s="24"/>
      <c r="P691" s="161" t="str">
        <f t="shared" si="21"/>
        <v/>
      </c>
      <c r="Q691" s="7"/>
    </row>
    <row r="692" spans="1:17">
      <c r="A692" s="31" t="str">
        <f t="shared" si="20"/>
        <v/>
      </c>
      <c r="B692" s="159"/>
      <c r="C692" s="21"/>
      <c r="D692" s="97" t="str">
        <f>IF(C692="","",IFERROR(INDEX(②メンバー!$C$5:$C$104,MATCH(C692,②メンバー!$B$5:$B$104,0)),""))</f>
        <v/>
      </c>
      <c r="E692" s="24"/>
      <c r="F692" s="160"/>
      <c r="G692" s="20"/>
      <c r="H692" s="20"/>
      <c r="I692" s="20"/>
      <c r="J692" s="20"/>
      <c r="K692" s="20"/>
      <c r="L692" s="20"/>
      <c r="M692" s="20"/>
      <c r="N692" s="20"/>
      <c r="O692" s="24"/>
      <c r="P692" s="161" t="str">
        <f t="shared" si="21"/>
        <v/>
      </c>
      <c r="Q692" s="7"/>
    </row>
    <row r="693" spans="1:17">
      <c r="A693" s="31" t="str">
        <f t="shared" si="20"/>
        <v/>
      </c>
      <c r="B693" s="159"/>
      <c r="C693" s="21"/>
      <c r="D693" s="97" t="str">
        <f>IF(C693="","",IFERROR(INDEX(②メンバー!$C$5:$C$104,MATCH(C693,②メンバー!$B$5:$B$104,0)),""))</f>
        <v/>
      </c>
      <c r="E693" s="24"/>
      <c r="F693" s="160"/>
      <c r="G693" s="20"/>
      <c r="H693" s="20"/>
      <c r="I693" s="20"/>
      <c r="J693" s="20"/>
      <c r="K693" s="20"/>
      <c r="L693" s="20"/>
      <c r="M693" s="20"/>
      <c r="N693" s="20"/>
      <c r="O693" s="24"/>
      <c r="P693" s="161" t="str">
        <f t="shared" si="21"/>
        <v/>
      </c>
      <c r="Q693" s="7"/>
    </row>
    <row r="694" spans="1:17">
      <c r="A694" s="31" t="str">
        <f t="shared" si="20"/>
        <v/>
      </c>
      <c r="B694" s="159"/>
      <c r="C694" s="21"/>
      <c r="D694" s="97" t="str">
        <f>IF(C694="","",IFERROR(INDEX(②メンバー!$C$5:$C$104,MATCH(C694,②メンバー!$B$5:$B$104,0)),""))</f>
        <v/>
      </c>
      <c r="E694" s="24"/>
      <c r="F694" s="160"/>
      <c r="G694" s="20"/>
      <c r="H694" s="20"/>
      <c r="I694" s="20"/>
      <c r="J694" s="20"/>
      <c r="K694" s="20"/>
      <c r="L694" s="20"/>
      <c r="M694" s="20"/>
      <c r="N694" s="20"/>
      <c r="O694" s="24"/>
      <c r="P694" s="161" t="str">
        <f t="shared" si="21"/>
        <v/>
      </c>
      <c r="Q694" s="7"/>
    </row>
    <row r="695" spans="1:17">
      <c r="A695" s="31" t="str">
        <f t="shared" si="20"/>
        <v/>
      </c>
      <c r="B695" s="159"/>
      <c r="C695" s="21"/>
      <c r="D695" s="97" t="str">
        <f>IF(C695="","",IFERROR(INDEX(②メンバー!$C$5:$C$104,MATCH(C695,②メンバー!$B$5:$B$104,0)),""))</f>
        <v/>
      </c>
      <c r="E695" s="24"/>
      <c r="F695" s="160"/>
      <c r="G695" s="20"/>
      <c r="H695" s="20"/>
      <c r="I695" s="20"/>
      <c r="J695" s="20"/>
      <c r="K695" s="20"/>
      <c r="L695" s="20"/>
      <c r="M695" s="20"/>
      <c r="N695" s="20"/>
      <c r="O695" s="24"/>
      <c r="P695" s="161" t="str">
        <f t="shared" si="21"/>
        <v/>
      </c>
      <c r="Q695" s="7"/>
    </row>
    <row r="696" spans="1:17">
      <c r="A696" s="31" t="str">
        <f t="shared" si="20"/>
        <v/>
      </c>
      <c r="B696" s="159"/>
      <c r="C696" s="21"/>
      <c r="D696" s="97" t="str">
        <f>IF(C696="","",IFERROR(INDEX(②メンバー!$C$5:$C$104,MATCH(C696,②メンバー!$B$5:$B$104,0)),""))</f>
        <v/>
      </c>
      <c r="E696" s="24"/>
      <c r="F696" s="160"/>
      <c r="G696" s="20"/>
      <c r="H696" s="20"/>
      <c r="I696" s="20"/>
      <c r="J696" s="20"/>
      <c r="K696" s="20"/>
      <c r="L696" s="20"/>
      <c r="M696" s="20"/>
      <c r="N696" s="20"/>
      <c r="O696" s="24"/>
      <c r="P696" s="161" t="str">
        <f t="shared" si="21"/>
        <v/>
      </c>
      <c r="Q696" s="7"/>
    </row>
    <row r="697" spans="1:17">
      <c r="A697" s="31" t="str">
        <f t="shared" si="20"/>
        <v/>
      </c>
      <c r="B697" s="159"/>
      <c r="C697" s="21"/>
      <c r="D697" s="97" t="str">
        <f>IF(C697="","",IFERROR(INDEX(②メンバー!$C$5:$C$104,MATCH(C697,②メンバー!$B$5:$B$104,0)),""))</f>
        <v/>
      </c>
      <c r="E697" s="24"/>
      <c r="F697" s="160"/>
      <c r="G697" s="20"/>
      <c r="H697" s="20"/>
      <c r="I697" s="20"/>
      <c r="J697" s="20"/>
      <c r="K697" s="20"/>
      <c r="L697" s="20"/>
      <c r="M697" s="20"/>
      <c r="N697" s="20"/>
      <c r="O697" s="24"/>
      <c r="P697" s="161" t="str">
        <f t="shared" si="21"/>
        <v/>
      </c>
      <c r="Q697" s="7"/>
    </row>
    <row r="698" spans="1:17">
      <c r="A698" s="31" t="str">
        <f t="shared" si="20"/>
        <v/>
      </c>
      <c r="B698" s="159"/>
      <c r="C698" s="21"/>
      <c r="D698" s="97" t="str">
        <f>IF(C698="","",IFERROR(INDEX(②メンバー!$C$5:$C$104,MATCH(C698,②メンバー!$B$5:$B$104,0)),""))</f>
        <v/>
      </c>
      <c r="E698" s="24"/>
      <c r="F698" s="160"/>
      <c r="G698" s="20"/>
      <c r="H698" s="20"/>
      <c r="I698" s="20"/>
      <c r="J698" s="20"/>
      <c r="K698" s="20"/>
      <c r="L698" s="20"/>
      <c r="M698" s="20"/>
      <c r="N698" s="20"/>
      <c r="O698" s="24"/>
      <c r="P698" s="161" t="str">
        <f t="shared" si="21"/>
        <v/>
      </c>
      <c r="Q698" s="7"/>
    </row>
    <row r="699" spans="1:17">
      <c r="A699" s="31" t="str">
        <f t="shared" si="20"/>
        <v/>
      </c>
      <c r="B699" s="159"/>
      <c r="C699" s="21"/>
      <c r="D699" s="97" t="str">
        <f>IF(C699="","",IFERROR(INDEX(②メンバー!$C$5:$C$104,MATCH(C699,②メンバー!$B$5:$B$104,0)),""))</f>
        <v/>
      </c>
      <c r="E699" s="24"/>
      <c r="F699" s="160"/>
      <c r="G699" s="20"/>
      <c r="H699" s="20"/>
      <c r="I699" s="20"/>
      <c r="J699" s="20"/>
      <c r="K699" s="20"/>
      <c r="L699" s="20"/>
      <c r="M699" s="20"/>
      <c r="N699" s="20"/>
      <c r="O699" s="24"/>
      <c r="P699" s="161" t="str">
        <f t="shared" si="21"/>
        <v/>
      </c>
      <c r="Q699" s="7"/>
    </row>
    <row r="700" spans="1:17">
      <c r="A700" s="31" t="str">
        <f t="shared" si="20"/>
        <v/>
      </c>
      <c r="B700" s="159"/>
      <c r="C700" s="21"/>
      <c r="D700" s="97" t="str">
        <f>IF(C700="","",IFERROR(INDEX(②メンバー!$C$5:$C$104,MATCH(C700,②メンバー!$B$5:$B$104,0)),""))</f>
        <v/>
      </c>
      <c r="E700" s="24"/>
      <c r="F700" s="160"/>
      <c r="G700" s="20"/>
      <c r="H700" s="20"/>
      <c r="I700" s="20"/>
      <c r="J700" s="20"/>
      <c r="K700" s="20"/>
      <c r="L700" s="20"/>
      <c r="M700" s="20"/>
      <c r="N700" s="20"/>
      <c r="O700" s="24"/>
      <c r="P700" s="161" t="str">
        <f t="shared" si="21"/>
        <v/>
      </c>
      <c r="Q700" s="7"/>
    </row>
    <row r="701" spans="1:17">
      <c r="A701" s="31" t="str">
        <f t="shared" si="20"/>
        <v/>
      </c>
      <c r="B701" s="159"/>
      <c r="C701" s="21"/>
      <c r="D701" s="97" t="str">
        <f>IF(C701="","",IFERROR(INDEX(②メンバー!$C$5:$C$104,MATCH(C701,②メンバー!$B$5:$B$104,0)),""))</f>
        <v/>
      </c>
      <c r="E701" s="24"/>
      <c r="F701" s="160"/>
      <c r="G701" s="20"/>
      <c r="H701" s="20"/>
      <c r="I701" s="20"/>
      <c r="J701" s="20"/>
      <c r="K701" s="20"/>
      <c r="L701" s="20"/>
      <c r="M701" s="20"/>
      <c r="N701" s="20"/>
      <c r="O701" s="24"/>
      <c r="P701" s="161" t="str">
        <f t="shared" si="21"/>
        <v/>
      </c>
      <c r="Q701" s="7"/>
    </row>
    <row r="702" spans="1:17">
      <c r="A702" s="31" t="str">
        <f t="shared" si="20"/>
        <v/>
      </c>
      <c r="B702" s="159"/>
      <c r="C702" s="21"/>
      <c r="D702" s="97" t="str">
        <f>IF(C702="","",IFERROR(INDEX(②メンバー!$C$5:$C$104,MATCH(C702,②メンバー!$B$5:$B$104,0)),""))</f>
        <v/>
      </c>
      <c r="E702" s="24"/>
      <c r="F702" s="160"/>
      <c r="G702" s="20"/>
      <c r="H702" s="20"/>
      <c r="I702" s="20"/>
      <c r="J702" s="20"/>
      <c r="K702" s="20"/>
      <c r="L702" s="20"/>
      <c r="M702" s="20"/>
      <c r="N702" s="20"/>
      <c r="O702" s="24"/>
      <c r="P702" s="161" t="str">
        <f t="shared" si="21"/>
        <v/>
      </c>
      <c r="Q702" s="7"/>
    </row>
    <row r="703" spans="1:17">
      <c r="A703" s="31" t="str">
        <f t="shared" si="20"/>
        <v/>
      </c>
      <c r="B703" s="159"/>
      <c r="C703" s="21"/>
      <c r="D703" s="97" t="str">
        <f>IF(C703="","",IFERROR(INDEX(②メンバー!$C$5:$C$104,MATCH(C703,②メンバー!$B$5:$B$104,0)),""))</f>
        <v/>
      </c>
      <c r="E703" s="24"/>
      <c r="F703" s="160"/>
      <c r="G703" s="20"/>
      <c r="H703" s="20"/>
      <c r="I703" s="20"/>
      <c r="J703" s="20"/>
      <c r="K703" s="20"/>
      <c r="L703" s="20"/>
      <c r="M703" s="20"/>
      <c r="N703" s="20"/>
      <c r="O703" s="24"/>
      <c r="P703" s="161" t="str">
        <f t="shared" si="21"/>
        <v/>
      </c>
      <c r="Q703" s="7"/>
    </row>
    <row r="704" spans="1:17">
      <c r="A704" s="31" t="str">
        <f t="shared" si="20"/>
        <v/>
      </c>
      <c r="B704" s="159"/>
      <c r="C704" s="21"/>
      <c r="D704" s="97" t="str">
        <f>IF(C704="","",IFERROR(INDEX(②メンバー!$C$5:$C$104,MATCH(C704,②メンバー!$B$5:$B$104,0)),""))</f>
        <v/>
      </c>
      <c r="E704" s="24"/>
      <c r="F704" s="160"/>
      <c r="G704" s="20"/>
      <c r="H704" s="20"/>
      <c r="I704" s="20"/>
      <c r="J704" s="20"/>
      <c r="K704" s="20"/>
      <c r="L704" s="20"/>
      <c r="M704" s="20"/>
      <c r="N704" s="20"/>
      <c r="O704" s="24"/>
      <c r="P704" s="161" t="str">
        <f t="shared" si="21"/>
        <v/>
      </c>
      <c r="Q704" s="7"/>
    </row>
    <row r="705" spans="1:17">
      <c r="A705" s="31" t="str">
        <f t="shared" si="20"/>
        <v/>
      </c>
      <c r="B705" s="159"/>
      <c r="C705" s="21"/>
      <c r="D705" s="97" t="str">
        <f>IF(C705="","",IFERROR(INDEX(②メンバー!$C$5:$C$104,MATCH(C705,②メンバー!$B$5:$B$104,0)),""))</f>
        <v/>
      </c>
      <c r="E705" s="24"/>
      <c r="F705" s="160"/>
      <c r="G705" s="20"/>
      <c r="H705" s="20"/>
      <c r="I705" s="20"/>
      <c r="J705" s="20"/>
      <c r="K705" s="20"/>
      <c r="L705" s="20"/>
      <c r="M705" s="20"/>
      <c r="N705" s="20"/>
      <c r="O705" s="24"/>
      <c r="P705" s="161" t="str">
        <f t="shared" si="21"/>
        <v/>
      </c>
      <c r="Q705" s="7"/>
    </row>
    <row r="706" spans="1:17">
      <c r="A706" s="31" t="str">
        <f t="shared" si="20"/>
        <v/>
      </c>
      <c r="B706" s="159"/>
      <c r="C706" s="21"/>
      <c r="D706" s="97" t="str">
        <f>IF(C706="","",IFERROR(INDEX(②メンバー!$C$5:$C$104,MATCH(C706,②メンバー!$B$5:$B$104,0)),""))</f>
        <v/>
      </c>
      <c r="E706" s="24"/>
      <c r="F706" s="160"/>
      <c r="G706" s="20"/>
      <c r="H706" s="20"/>
      <c r="I706" s="20"/>
      <c r="J706" s="20"/>
      <c r="K706" s="20"/>
      <c r="L706" s="20"/>
      <c r="M706" s="20"/>
      <c r="N706" s="20"/>
      <c r="O706" s="24"/>
      <c r="P706" s="161" t="str">
        <f t="shared" si="21"/>
        <v/>
      </c>
      <c r="Q706" s="7"/>
    </row>
    <row r="707" spans="1:17">
      <c r="A707" s="31" t="str">
        <f t="shared" si="20"/>
        <v/>
      </c>
      <c r="B707" s="159"/>
      <c r="C707" s="21"/>
      <c r="D707" s="97" t="str">
        <f>IF(C707="","",IFERROR(INDEX(②メンバー!$C$5:$C$104,MATCH(C707,②メンバー!$B$5:$B$104,0)),""))</f>
        <v/>
      </c>
      <c r="E707" s="24"/>
      <c r="F707" s="160"/>
      <c r="G707" s="20"/>
      <c r="H707" s="20"/>
      <c r="I707" s="20"/>
      <c r="J707" s="20"/>
      <c r="K707" s="20"/>
      <c r="L707" s="20"/>
      <c r="M707" s="20"/>
      <c r="N707" s="20"/>
      <c r="O707" s="24"/>
      <c r="P707" s="161" t="str">
        <f t="shared" si="21"/>
        <v/>
      </c>
      <c r="Q707" s="7"/>
    </row>
    <row r="708" spans="1:17">
      <c r="A708" s="31" t="str">
        <f t="shared" si="20"/>
        <v/>
      </c>
      <c r="B708" s="159"/>
      <c r="C708" s="21"/>
      <c r="D708" s="97" t="str">
        <f>IF(C708="","",IFERROR(INDEX(②メンバー!$C$5:$C$104,MATCH(C708,②メンバー!$B$5:$B$104,0)),""))</f>
        <v/>
      </c>
      <c r="E708" s="24"/>
      <c r="F708" s="160"/>
      <c r="G708" s="20"/>
      <c r="H708" s="20"/>
      <c r="I708" s="20"/>
      <c r="J708" s="20"/>
      <c r="K708" s="20"/>
      <c r="L708" s="20"/>
      <c r="M708" s="20"/>
      <c r="N708" s="20"/>
      <c r="O708" s="24"/>
      <c r="P708" s="161" t="str">
        <f t="shared" si="21"/>
        <v/>
      </c>
      <c r="Q708" s="7"/>
    </row>
    <row r="709" spans="1:17">
      <c r="A709" s="31" t="str">
        <f t="shared" si="20"/>
        <v/>
      </c>
      <c r="B709" s="159"/>
      <c r="C709" s="21"/>
      <c r="D709" s="97" t="str">
        <f>IF(C709="","",IFERROR(INDEX(②メンバー!$C$5:$C$104,MATCH(C709,②メンバー!$B$5:$B$104,0)),""))</f>
        <v/>
      </c>
      <c r="E709" s="24"/>
      <c r="F709" s="160"/>
      <c r="G709" s="20"/>
      <c r="H709" s="20"/>
      <c r="I709" s="20"/>
      <c r="J709" s="20"/>
      <c r="K709" s="20"/>
      <c r="L709" s="20"/>
      <c r="M709" s="20"/>
      <c r="N709" s="20"/>
      <c r="O709" s="24"/>
      <c r="P709" s="161" t="str">
        <f t="shared" si="21"/>
        <v/>
      </c>
      <c r="Q709" s="7"/>
    </row>
    <row r="710" spans="1:17">
      <c r="A710" s="31" t="str">
        <f t="shared" ref="A710:A773" si="22">IF(B710="","",ROW()-5)</f>
        <v/>
      </c>
      <c r="B710" s="159"/>
      <c r="C710" s="21"/>
      <c r="D710" s="97" t="str">
        <f>IF(C710="","",IFERROR(INDEX(②メンバー!$C$5:$C$104,MATCH(C710,②メンバー!$B$5:$B$104,0)),""))</f>
        <v/>
      </c>
      <c r="E710" s="24"/>
      <c r="F710" s="160"/>
      <c r="G710" s="20"/>
      <c r="H710" s="20"/>
      <c r="I710" s="20"/>
      <c r="J710" s="20"/>
      <c r="K710" s="20"/>
      <c r="L710" s="20"/>
      <c r="M710" s="20"/>
      <c r="N710" s="20"/>
      <c r="O710" s="24"/>
      <c r="P710" s="161" t="str">
        <f t="shared" ref="P710:P773" si="23">IF(C710="","",IF(COUNTA(F710:O710)=0,IF(E710="出勤","いつもの時間","終日"),TRIM(IF(COUNTIF(F710:O710,"休")&gt;0,"休 "&amp;COUNTIF(F710:O710,"休")&amp;"h ","")&amp;IF(COUNTIF(F710:O710,"出")&gt;0,"出 "&amp;COUNTIF(F710:O710,"出")&amp;"h",""))))</f>
        <v/>
      </c>
      <c r="Q710" s="7"/>
    </row>
    <row r="711" spans="1:17">
      <c r="A711" s="31" t="str">
        <f t="shared" si="22"/>
        <v/>
      </c>
      <c r="B711" s="159"/>
      <c r="C711" s="21"/>
      <c r="D711" s="97" t="str">
        <f>IF(C711="","",IFERROR(INDEX(②メンバー!$C$5:$C$104,MATCH(C711,②メンバー!$B$5:$B$104,0)),""))</f>
        <v/>
      </c>
      <c r="E711" s="24"/>
      <c r="F711" s="160"/>
      <c r="G711" s="20"/>
      <c r="H711" s="20"/>
      <c r="I711" s="20"/>
      <c r="J711" s="20"/>
      <c r="K711" s="20"/>
      <c r="L711" s="20"/>
      <c r="M711" s="20"/>
      <c r="N711" s="20"/>
      <c r="O711" s="24"/>
      <c r="P711" s="161" t="str">
        <f t="shared" si="23"/>
        <v/>
      </c>
      <c r="Q711" s="7"/>
    </row>
    <row r="712" spans="1:17">
      <c r="A712" s="31" t="str">
        <f t="shared" si="22"/>
        <v/>
      </c>
      <c r="B712" s="159"/>
      <c r="C712" s="21"/>
      <c r="D712" s="97" t="str">
        <f>IF(C712="","",IFERROR(INDEX(②メンバー!$C$5:$C$104,MATCH(C712,②メンバー!$B$5:$B$104,0)),""))</f>
        <v/>
      </c>
      <c r="E712" s="24"/>
      <c r="F712" s="160"/>
      <c r="G712" s="20"/>
      <c r="H712" s="20"/>
      <c r="I712" s="20"/>
      <c r="J712" s="20"/>
      <c r="K712" s="20"/>
      <c r="L712" s="20"/>
      <c r="M712" s="20"/>
      <c r="N712" s="20"/>
      <c r="O712" s="24"/>
      <c r="P712" s="161" t="str">
        <f t="shared" si="23"/>
        <v/>
      </c>
      <c r="Q712" s="7"/>
    </row>
    <row r="713" spans="1:17">
      <c r="A713" s="31" t="str">
        <f t="shared" si="22"/>
        <v/>
      </c>
      <c r="B713" s="159"/>
      <c r="C713" s="21"/>
      <c r="D713" s="97" t="str">
        <f>IF(C713="","",IFERROR(INDEX(②メンバー!$C$5:$C$104,MATCH(C713,②メンバー!$B$5:$B$104,0)),""))</f>
        <v/>
      </c>
      <c r="E713" s="24"/>
      <c r="F713" s="160"/>
      <c r="G713" s="20"/>
      <c r="H713" s="20"/>
      <c r="I713" s="20"/>
      <c r="J713" s="20"/>
      <c r="K713" s="20"/>
      <c r="L713" s="20"/>
      <c r="M713" s="20"/>
      <c r="N713" s="20"/>
      <c r="O713" s="24"/>
      <c r="P713" s="161" t="str">
        <f t="shared" si="23"/>
        <v/>
      </c>
      <c r="Q713" s="7"/>
    </row>
    <row r="714" spans="1:17">
      <c r="A714" s="31" t="str">
        <f t="shared" si="22"/>
        <v/>
      </c>
      <c r="B714" s="159"/>
      <c r="C714" s="21"/>
      <c r="D714" s="97" t="str">
        <f>IF(C714="","",IFERROR(INDEX(②メンバー!$C$5:$C$104,MATCH(C714,②メンバー!$B$5:$B$104,0)),""))</f>
        <v/>
      </c>
      <c r="E714" s="24"/>
      <c r="F714" s="160"/>
      <c r="G714" s="20"/>
      <c r="H714" s="20"/>
      <c r="I714" s="20"/>
      <c r="J714" s="20"/>
      <c r="K714" s="20"/>
      <c r="L714" s="20"/>
      <c r="M714" s="20"/>
      <c r="N714" s="20"/>
      <c r="O714" s="24"/>
      <c r="P714" s="161" t="str">
        <f t="shared" si="23"/>
        <v/>
      </c>
      <c r="Q714" s="7"/>
    </row>
    <row r="715" spans="1:17">
      <c r="A715" s="31" t="str">
        <f t="shared" si="22"/>
        <v/>
      </c>
      <c r="B715" s="159"/>
      <c r="C715" s="21"/>
      <c r="D715" s="97" t="str">
        <f>IF(C715="","",IFERROR(INDEX(②メンバー!$C$5:$C$104,MATCH(C715,②メンバー!$B$5:$B$104,0)),""))</f>
        <v/>
      </c>
      <c r="E715" s="24"/>
      <c r="F715" s="160"/>
      <c r="G715" s="20"/>
      <c r="H715" s="20"/>
      <c r="I715" s="20"/>
      <c r="J715" s="20"/>
      <c r="K715" s="20"/>
      <c r="L715" s="20"/>
      <c r="M715" s="20"/>
      <c r="N715" s="20"/>
      <c r="O715" s="24"/>
      <c r="P715" s="161" t="str">
        <f t="shared" si="23"/>
        <v/>
      </c>
      <c r="Q715" s="7"/>
    </row>
    <row r="716" spans="1:17">
      <c r="A716" s="31" t="str">
        <f t="shared" si="22"/>
        <v/>
      </c>
      <c r="B716" s="159"/>
      <c r="C716" s="21"/>
      <c r="D716" s="97" t="str">
        <f>IF(C716="","",IFERROR(INDEX(②メンバー!$C$5:$C$104,MATCH(C716,②メンバー!$B$5:$B$104,0)),""))</f>
        <v/>
      </c>
      <c r="E716" s="24"/>
      <c r="F716" s="160"/>
      <c r="G716" s="20"/>
      <c r="H716" s="20"/>
      <c r="I716" s="20"/>
      <c r="J716" s="20"/>
      <c r="K716" s="20"/>
      <c r="L716" s="20"/>
      <c r="M716" s="20"/>
      <c r="N716" s="20"/>
      <c r="O716" s="24"/>
      <c r="P716" s="161" t="str">
        <f t="shared" si="23"/>
        <v/>
      </c>
      <c r="Q716" s="7"/>
    </row>
    <row r="717" spans="1:17">
      <c r="A717" s="31" t="str">
        <f t="shared" si="22"/>
        <v/>
      </c>
      <c r="B717" s="159"/>
      <c r="C717" s="21"/>
      <c r="D717" s="97" t="str">
        <f>IF(C717="","",IFERROR(INDEX(②メンバー!$C$5:$C$104,MATCH(C717,②メンバー!$B$5:$B$104,0)),""))</f>
        <v/>
      </c>
      <c r="E717" s="24"/>
      <c r="F717" s="160"/>
      <c r="G717" s="20"/>
      <c r="H717" s="20"/>
      <c r="I717" s="20"/>
      <c r="J717" s="20"/>
      <c r="K717" s="20"/>
      <c r="L717" s="20"/>
      <c r="M717" s="20"/>
      <c r="N717" s="20"/>
      <c r="O717" s="24"/>
      <c r="P717" s="161" t="str">
        <f t="shared" si="23"/>
        <v/>
      </c>
      <c r="Q717" s="7"/>
    </row>
    <row r="718" spans="1:17">
      <c r="A718" s="31" t="str">
        <f t="shared" si="22"/>
        <v/>
      </c>
      <c r="B718" s="159"/>
      <c r="C718" s="21"/>
      <c r="D718" s="97" t="str">
        <f>IF(C718="","",IFERROR(INDEX(②メンバー!$C$5:$C$104,MATCH(C718,②メンバー!$B$5:$B$104,0)),""))</f>
        <v/>
      </c>
      <c r="E718" s="24"/>
      <c r="F718" s="160"/>
      <c r="G718" s="20"/>
      <c r="H718" s="20"/>
      <c r="I718" s="20"/>
      <c r="J718" s="20"/>
      <c r="K718" s="20"/>
      <c r="L718" s="20"/>
      <c r="M718" s="20"/>
      <c r="N718" s="20"/>
      <c r="O718" s="24"/>
      <c r="P718" s="161" t="str">
        <f t="shared" si="23"/>
        <v/>
      </c>
      <c r="Q718" s="7"/>
    </row>
    <row r="719" spans="1:17">
      <c r="A719" s="31" t="str">
        <f t="shared" si="22"/>
        <v/>
      </c>
      <c r="B719" s="159"/>
      <c r="C719" s="21"/>
      <c r="D719" s="97" t="str">
        <f>IF(C719="","",IFERROR(INDEX(②メンバー!$C$5:$C$104,MATCH(C719,②メンバー!$B$5:$B$104,0)),""))</f>
        <v/>
      </c>
      <c r="E719" s="24"/>
      <c r="F719" s="160"/>
      <c r="G719" s="20"/>
      <c r="H719" s="20"/>
      <c r="I719" s="20"/>
      <c r="J719" s="20"/>
      <c r="K719" s="20"/>
      <c r="L719" s="20"/>
      <c r="M719" s="20"/>
      <c r="N719" s="20"/>
      <c r="O719" s="24"/>
      <c r="P719" s="161" t="str">
        <f t="shared" si="23"/>
        <v/>
      </c>
      <c r="Q719" s="7"/>
    </row>
    <row r="720" spans="1:17">
      <c r="A720" s="31" t="str">
        <f t="shared" si="22"/>
        <v/>
      </c>
      <c r="B720" s="159"/>
      <c r="C720" s="21"/>
      <c r="D720" s="97" t="str">
        <f>IF(C720="","",IFERROR(INDEX(②メンバー!$C$5:$C$104,MATCH(C720,②メンバー!$B$5:$B$104,0)),""))</f>
        <v/>
      </c>
      <c r="E720" s="24"/>
      <c r="F720" s="160"/>
      <c r="G720" s="20"/>
      <c r="H720" s="20"/>
      <c r="I720" s="20"/>
      <c r="J720" s="20"/>
      <c r="K720" s="20"/>
      <c r="L720" s="20"/>
      <c r="M720" s="20"/>
      <c r="N720" s="20"/>
      <c r="O720" s="24"/>
      <c r="P720" s="161" t="str">
        <f t="shared" si="23"/>
        <v/>
      </c>
      <c r="Q720" s="7"/>
    </row>
    <row r="721" spans="1:17">
      <c r="A721" s="31" t="str">
        <f t="shared" si="22"/>
        <v/>
      </c>
      <c r="B721" s="159"/>
      <c r="C721" s="21"/>
      <c r="D721" s="97" t="str">
        <f>IF(C721="","",IFERROR(INDEX(②メンバー!$C$5:$C$104,MATCH(C721,②メンバー!$B$5:$B$104,0)),""))</f>
        <v/>
      </c>
      <c r="E721" s="24"/>
      <c r="F721" s="160"/>
      <c r="G721" s="20"/>
      <c r="H721" s="20"/>
      <c r="I721" s="20"/>
      <c r="J721" s="20"/>
      <c r="K721" s="20"/>
      <c r="L721" s="20"/>
      <c r="M721" s="20"/>
      <c r="N721" s="20"/>
      <c r="O721" s="24"/>
      <c r="P721" s="161" t="str">
        <f t="shared" si="23"/>
        <v/>
      </c>
      <c r="Q721" s="7"/>
    </row>
    <row r="722" spans="1:17">
      <c r="A722" s="31" t="str">
        <f t="shared" si="22"/>
        <v/>
      </c>
      <c r="B722" s="159"/>
      <c r="C722" s="21"/>
      <c r="D722" s="97" t="str">
        <f>IF(C722="","",IFERROR(INDEX(②メンバー!$C$5:$C$104,MATCH(C722,②メンバー!$B$5:$B$104,0)),""))</f>
        <v/>
      </c>
      <c r="E722" s="24"/>
      <c r="F722" s="160"/>
      <c r="G722" s="20"/>
      <c r="H722" s="20"/>
      <c r="I722" s="20"/>
      <c r="J722" s="20"/>
      <c r="K722" s="20"/>
      <c r="L722" s="20"/>
      <c r="M722" s="20"/>
      <c r="N722" s="20"/>
      <c r="O722" s="24"/>
      <c r="P722" s="161" t="str">
        <f t="shared" si="23"/>
        <v/>
      </c>
      <c r="Q722" s="7"/>
    </row>
    <row r="723" spans="1:17">
      <c r="A723" s="31" t="str">
        <f t="shared" si="22"/>
        <v/>
      </c>
      <c r="B723" s="159"/>
      <c r="C723" s="21"/>
      <c r="D723" s="97" t="str">
        <f>IF(C723="","",IFERROR(INDEX(②メンバー!$C$5:$C$104,MATCH(C723,②メンバー!$B$5:$B$104,0)),""))</f>
        <v/>
      </c>
      <c r="E723" s="24"/>
      <c r="F723" s="160"/>
      <c r="G723" s="20"/>
      <c r="H723" s="20"/>
      <c r="I723" s="20"/>
      <c r="J723" s="20"/>
      <c r="K723" s="20"/>
      <c r="L723" s="20"/>
      <c r="M723" s="20"/>
      <c r="N723" s="20"/>
      <c r="O723" s="24"/>
      <c r="P723" s="161" t="str">
        <f t="shared" si="23"/>
        <v/>
      </c>
      <c r="Q723" s="7"/>
    </row>
    <row r="724" spans="1:17">
      <c r="A724" s="31" t="str">
        <f t="shared" si="22"/>
        <v/>
      </c>
      <c r="B724" s="159"/>
      <c r="C724" s="21"/>
      <c r="D724" s="97" t="str">
        <f>IF(C724="","",IFERROR(INDEX(②メンバー!$C$5:$C$104,MATCH(C724,②メンバー!$B$5:$B$104,0)),""))</f>
        <v/>
      </c>
      <c r="E724" s="24"/>
      <c r="F724" s="160"/>
      <c r="G724" s="20"/>
      <c r="H724" s="20"/>
      <c r="I724" s="20"/>
      <c r="J724" s="20"/>
      <c r="K724" s="20"/>
      <c r="L724" s="20"/>
      <c r="M724" s="20"/>
      <c r="N724" s="20"/>
      <c r="O724" s="24"/>
      <c r="P724" s="161" t="str">
        <f t="shared" si="23"/>
        <v/>
      </c>
      <c r="Q724" s="7"/>
    </row>
    <row r="725" spans="1:17">
      <c r="A725" s="31" t="str">
        <f t="shared" si="22"/>
        <v/>
      </c>
      <c r="B725" s="159"/>
      <c r="C725" s="21"/>
      <c r="D725" s="97" t="str">
        <f>IF(C725="","",IFERROR(INDEX(②メンバー!$C$5:$C$104,MATCH(C725,②メンバー!$B$5:$B$104,0)),""))</f>
        <v/>
      </c>
      <c r="E725" s="24"/>
      <c r="F725" s="160"/>
      <c r="G725" s="20"/>
      <c r="H725" s="20"/>
      <c r="I725" s="20"/>
      <c r="J725" s="20"/>
      <c r="K725" s="20"/>
      <c r="L725" s="20"/>
      <c r="M725" s="20"/>
      <c r="N725" s="20"/>
      <c r="O725" s="24"/>
      <c r="P725" s="161" t="str">
        <f t="shared" si="23"/>
        <v/>
      </c>
      <c r="Q725" s="7"/>
    </row>
    <row r="726" spans="1:17">
      <c r="A726" s="31" t="str">
        <f t="shared" si="22"/>
        <v/>
      </c>
      <c r="B726" s="159"/>
      <c r="C726" s="21"/>
      <c r="D726" s="97" t="str">
        <f>IF(C726="","",IFERROR(INDEX(②メンバー!$C$5:$C$104,MATCH(C726,②メンバー!$B$5:$B$104,0)),""))</f>
        <v/>
      </c>
      <c r="E726" s="24"/>
      <c r="F726" s="160"/>
      <c r="G726" s="20"/>
      <c r="H726" s="20"/>
      <c r="I726" s="20"/>
      <c r="J726" s="20"/>
      <c r="K726" s="20"/>
      <c r="L726" s="20"/>
      <c r="M726" s="20"/>
      <c r="N726" s="20"/>
      <c r="O726" s="24"/>
      <c r="P726" s="161" t="str">
        <f t="shared" si="23"/>
        <v/>
      </c>
      <c r="Q726" s="7"/>
    </row>
    <row r="727" spans="1:17">
      <c r="A727" s="31" t="str">
        <f t="shared" si="22"/>
        <v/>
      </c>
      <c r="B727" s="159"/>
      <c r="C727" s="21"/>
      <c r="D727" s="97" t="str">
        <f>IF(C727="","",IFERROR(INDEX(②メンバー!$C$5:$C$104,MATCH(C727,②メンバー!$B$5:$B$104,0)),""))</f>
        <v/>
      </c>
      <c r="E727" s="24"/>
      <c r="F727" s="160"/>
      <c r="G727" s="20"/>
      <c r="H727" s="20"/>
      <c r="I727" s="20"/>
      <c r="J727" s="20"/>
      <c r="K727" s="20"/>
      <c r="L727" s="20"/>
      <c r="M727" s="20"/>
      <c r="N727" s="20"/>
      <c r="O727" s="24"/>
      <c r="P727" s="161" t="str">
        <f t="shared" si="23"/>
        <v/>
      </c>
      <c r="Q727" s="7"/>
    </row>
    <row r="728" spans="1:17">
      <c r="A728" s="31" t="str">
        <f t="shared" si="22"/>
        <v/>
      </c>
      <c r="B728" s="159"/>
      <c r="C728" s="21"/>
      <c r="D728" s="97" t="str">
        <f>IF(C728="","",IFERROR(INDEX(②メンバー!$C$5:$C$104,MATCH(C728,②メンバー!$B$5:$B$104,0)),""))</f>
        <v/>
      </c>
      <c r="E728" s="24"/>
      <c r="F728" s="160"/>
      <c r="G728" s="20"/>
      <c r="H728" s="20"/>
      <c r="I728" s="20"/>
      <c r="J728" s="20"/>
      <c r="K728" s="20"/>
      <c r="L728" s="20"/>
      <c r="M728" s="20"/>
      <c r="N728" s="20"/>
      <c r="O728" s="24"/>
      <c r="P728" s="161" t="str">
        <f t="shared" si="23"/>
        <v/>
      </c>
      <c r="Q728" s="7"/>
    </row>
    <row r="729" spans="1:17">
      <c r="A729" s="31" t="str">
        <f t="shared" si="22"/>
        <v/>
      </c>
      <c r="B729" s="159"/>
      <c r="C729" s="21"/>
      <c r="D729" s="97" t="str">
        <f>IF(C729="","",IFERROR(INDEX(②メンバー!$C$5:$C$104,MATCH(C729,②メンバー!$B$5:$B$104,0)),""))</f>
        <v/>
      </c>
      <c r="E729" s="24"/>
      <c r="F729" s="160"/>
      <c r="G729" s="20"/>
      <c r="H729" s="20"/>
      <c r="I729" s="20"/>
      <c r="J729" s="20"/>
      <c r="K729" s="20"/>
      <c r="L729" s="20"/>
      <c r="M729" s="20"/>
      <c r="N729" s="20"/>
      <c r="O729" s="24"/>
      <c r="P729" s="161" t="str">
        <f t="shared" si="23"/>
        <v/>
      </c>
      <c r="Q729" s="7"/>
    </row>
    <row r="730" spans="1:17">
      <c r="A730" s="31" t="str">
        <f t="shared" si="22"/>
        <v/>
      </c>
      <c r="B730" s="159"/>
      <c r="C730" s="21"/>
      <c r="D730" s="97" t="str">
        <f>IF(C730="","",IFERROR(INDEX(②メンバー!$C$5:$C$104,MATCH(C730,②メンバー!$B$5:$B$104,0)),""))</f>
        <v/>
      </c>
      <c r="E730" s="24"/>
      <c r="F730" s="160"/>
      <c r="G730" s="20"/>
      <c r="H730" s="20"/>
      <c r="I730" s="20"/>
      <c r="J730" s="20"/>
      <c r="K730" s="20"/>
      <c r="L730" s="20"/>
      <c r="M730" s="20"/>
      <c r="N730" s="20"/>
      <c r="O730" s="24"/>
      <c r="P730" s="161" t="str">
        <f t="shared" si="23"/>
        <v/>
      </c>
      <c r="Q730" s="7"/>
    </row>
    <row r="731" spans="1:17">
      <c r="A731" s="31" t="str">
        <f t="shared" si="22"/>
        <v/>
      </c>
      <c r="B731" s="159"/>
      <c r="C731" s="21"/>
      <c r="D731" s="97" t="str">
        <f>IF(C731="","",IFERROR(INDEX(②メンバー!$C$5:$C$104,MATCH(C731,②メンバー!$B$5:$B$104,0)),""))</f>
        <v/>
      </c>
      <c r="E731" s="24"/>
      <c r="F731" s="160"/>
      <c r="G731" s="20"/>
      <c r="H731" s="20"/>
      <c r="I731" s="20"/>
      <c r="J731" s="20"/>
      <c r="K731" s="20"/>
      <c r="L731" s="20"/>
      <c r="M731" s="20"/>
      <c r="N731" s="20"/>
      <c r="O731" s="24"/>
      <c r="P731" s="161" t="str">
        <f t="shared" si="23"/>
        <v/>
      </c>
      <c r="Q731" s="7"/>
    </row>
    <row r="732" spans="1:17">
      <c r="A732" s="31" t="str">
        <f t="shared" si="22"/>
        <v/>
      </c>
      <c r="B732" s="159"/>
      <c r="C732" s="21"/>
      <c r="D732" s="97" t="str">
        <f>IF(C732="","",IFERROR(INDEX(②メンバー!$C$5:$C$104,MATCH(C732,②メンバー!$B$5:$B$104,0)),""))</f>
        <v/>
      </c>
      <c r="E732" s="24"/>
      <c r="F732" s="160"/>
      <c r="G732" s="20"/>
      <c r="H732" s="20"/>
      <c r="I732" s="20"/>
      <c r="J732" s="20"/>
      <c r="K732" s="20"/>
      <c r="L732" s="20"/>
      <c r="M732" s="20"/>
      <c r="N732" s="20"/>
      <c r="O732" s="24"/>
      <c r="P732" s="161" t="str">
        <f t="shared" si="23"/>
        <v/>
      </c>
      <c r="Q732" s="7"/>
    </row>
    <row r="733" spans="1:17">
      <c r="A733" s="31" t="str">
        <f t="shared" si="22"/>
        <v/>
      </c>
      <c r="B733" s="159"/>
      <c r="C733" s="21"/>
      <c r="D733" s="97" t="str">
        <f>IF(C733="","",IFERROR(INDEX(②メンバー!$C$5:$C$104,MATCH(C733,②メンバー!$B$5:$B$104,0)),""))</f>
        <v/>
      </c>
      <c r="E733" s="24"/>
      <c r="F733" s="160"/>
      <c r="G733" s="20"/>
      <c r="H733" s="20"/>
      <c r="I733" s="20"/>
      <c r="J733" s="20"/>
      <c r="K733" s="20"/>
      <c r="L733" s="20"/>
      <c r="M733" s="20"/>
      <c r="N733" s="20"/>
      <c r="O733" s="24"/>
      <c r="P733" s="161" t="str">
        <f t="shared" si="23"/>
        <v/>
      </c>
      <c r="Q733" s="7"/>
    </row>
    <row r="734" spans="1:17">
      <c r="A734" s="31" t="str">
        <f t="shared" si="22"/>
        <v/>
      </c>
      <c r="B734" s="159"/>
      <c r="C734" s="21"/>
      <c r="D734" s="97" t="str">
        <f>IF(C734="","",IFERROR(INDEX(②メンバー!$C$5:$C$104,MATCH(C734,②メンバー!$B$5:$B$104,0)),""))</f>
        <v/>
      </c>
      <c r="E734" s="24"/>
      <c r="F734" s="160"/>
      <c r="G734" s="20"/>
      <c r="H734" s="20"/>
      <c r="I734" s="20"/>
      <c r="J734" s="20"/>
      <c r="K734" s="20"/>
      <c r="L734" s="20"/>
      <c r="M734" s="20"/>
      <c r="N734" s="20"/>
      <c r="O734" s="24"/>
      <c r="P734" s="161" t="str">
        <f t="shared" si="23"/>
        <v/>
      </c>
      <c r="Q734" s="7"/>
    </row>
    <row r="735" spans="1:17">
      <c r="A735" s="31" t="str">
        <f t="shared" si="22"/>
        <v/>
      </c>
      <c r="B735" s="159"/>
      <c r="C735" s="21"/>
      <c r="D735" s="97" t="str">
        <f>IF(C735="","",IFERROR(INDEX(②メンバー!$C$5:$C$104,MATCH(C735,②メンバー!$B$5:$B$104,0)),""))</f>
        <v/>
      </c>
      <c r="E735" s="24"/>
      <c r="F735" s="160"/>
      <c r="G735" s="20"/>
      <c r="H735" s="20"/>
      <c r="I735" s="20"/>
      <c r="J735" s="20"/>
      <c r="K735" s="20"/>
      <c r="L735" s="20"/>
      <c r="M735" s="20"/>
      <c r="N735" s="20"/>
      <c r="O735" s="24"/>
      <c r="P735" s="161" t="str">
        <f t="shared" si="23"/>
        <v/>
      </c>
      <c r="Q735" s="7"/>
    </row>
    <row r="736" spans="1:17">
      <c r="A736" s="31" t="str">
        <f t="shared" si="22"/>
        <v/>
      </c>
      <c r="B736" s="159"/>
      <c r="C736" s="21"/>
      <c r="D736" s="97" t="str">
        <f>IF(C736="","",IFERROR(INDEX(②メンバー!$C$5:$C$104,MATCH(C736,②メンバー!$B$5:$B$104,0)),""))</f>
        <v/>
      </c>
      <c r="E736" s="24"/>
      <c r="F736" s="160"/>
      <c r="G736" s="20"/>
      <c r="H736" s="20"/>
      <c r="I736" s="20"/>
      <c r="J736" s="20"/>
      <c r="K736" s="20"/>
      <c r="L736" s="20"/>
      <c r="M736" s="20"/>
      <c r="N736" s="20"/>
      <c r="O736" s="24"/>
      <c r="P736" s="161" t="str">
        <f t="shared" si="23"/>
        <v/>
      </c>
      <c r="Q736" s="7"/>
    </row>
    <row r="737" spans="1:17">
      <c r="A737" s="31" t="str">
        <f t="shared" si="22"/>
        <v/>
      </c>
      <c r="B737" s="159"/>
      <c r="C737" s="21"/>
      <c r="D737" s="97" t="str">
        <f>IF(C737="","",IFERROR(INDEX(②メンバー!$C$5:$C$104,MATCH(C737,②メンバー!$B$5:$B$104,0)),""))</f>
        <v/>
      </c>
      <c r="E737" s="24"/>
      <c r="F737" s="160"/>
      <c r="G737" s="20"/>
      <c r="H737" s="20"/>
      <c r="I737" s="20"/>
      <c r="J737" s="20"/>
      <c r="K737" s="20"/>
      <c r="L737" s="20"/>
      <c r="M737" s="20"/>
      <c r="N737" s="20"/>
      <c r="O737" s="24"/>
      <c r="P737" s="161" t="str">
        <f t="shared" si="23"/>
        <v/>
      </c>
      <c r="Q737" s="7"/>
    </row>
    <row r="738" spans="1:17">
      <c r="A738" s="31" t="str">
        <f t="shared" si="22"/>
        <v/>
      </c>
      <c r="B738" s="159"/>
      <c r="C738" s="21"/>
      <c r="D738" s="97" t="str">
        <f>IF(C738="","",IFERROR(INDEX(②メンバー!$C$5:$C$104,MATCH(C738,②メンバー!$B$5:$B$104,0)),""))</f>
        <v/>
      </c>
      <c r="E738" s="24"/>
      <c r="F738" s="160"/>
      <c r="G738" s="20"/>
      <c r="H738" s="20"/>
      <c r="I738" s="20"/>
      <c r="J738" s="20"/>
      <c r="K738" s="20"/>
      <c r="L738" s="20"/>
      <c r="M738" s="20"/>
      <c r="N738" s="20"/>
      <c r="O738" s="24"/>
      <c r="P738" s="161" t="str">
        <f t="shared" si="23"/>
        <v/>
      </c>
      <c r="Q738" s="7"/>
    </row>
    <row r="739" spans="1:17">
      <c r="A739" s="31" t="str">
        <f t="shared" si="22"/>
        <v/>
      </c>
      <c r="B739" s="159"/>
      <c r="C739" s="21"/>
      <c r="D739" s="97" t="str">
        <f>IF(C739="","",IFERROR(INDEX(②メンバー!$C$5:$C$104,MATCH(C739,②メンバー!$B$5:$B$104,0)),""))</f>
        <v/>
      </c>
      <c r="E739" s="24"/>
      <c r="F739" s="160"/>
      <c r="G739" s="20"/>
      <c r="H739" s="20"/>
      <c r="I739" s="20"/>
      <c r="J739" s="20"/>
      <c r="K739" s="20"/>
      <c r="L739" s="20"/>
      <c r="M739" s="20"/>
      <c r="N739" s="20"/>
      <c r="O739" s="24"/>
      <c r="P739" s="161" t="str">
        <f t="shared" si="23"/>
        <v/>
      </c>
      <c r="Q739" s="7"/>
    </row>
    <row r="740" spans="1:17">
      <c r="A740" s="31" t="str">
        <f t="shared" si="22"/>
        <v/>
      </c>
      <c r="B740" s="159"/>
      <c r="C740" s="21"/>
      <c r="D740" s="97" t="str">
        <f>IF(C740="","",IFERROR(INDEX(②メンバー!$C$5:$C$104,MATCH(C740,②メンバー!$B$5:$B$104,0)),""))</f>
        <v/>
      </c>
      <c r="E740" s="24"/>
      <c r="F740" s="160"/>
      <c r="G740" s="20"/>
      <c r="H740" s="20"/>
      <c r="I740" s="20"/>
      <c r="J740" s="20"/>
      <c r="K740" s="20"/>
      <c r="L740" s="20"/>
      <c r="M740" s="20"/>
      <c r="N740" s="20"/>
      <c r="O740" s="24"/>
      <c r="P740" s="161" t="str">
        <f t="shared" si="23"/>
        <v/>
      </c>
      <c r="Q740" s="7"/>
    </row>
    <row r="741" spans="1:17">
      <c r="A741" s="31" t="str">
        <f t="shared" si="22"/>
        <v/>
      </c>
      <c r="B741" s="159"/>
      <c r="C741" s="21"/>
      <c r="D741" s="97" t="str">
        <f>IF(C741="","",IFERROR(INDEX(②メンバー!$C$5:$C$104,MATCH(C741,②メンバー!$B$5:$B$104,0)),""))</f>
        <v/>
      </c>
      <c r="E741" s="24"/>
      <c r="F741" s="160"/>
      <c r="G741" s="20"/>
      <c r="H741" s="20"/>
      <c r="I741" s="20"/>
      <c r="J741" s="20"/>
      <c r="K741" s="20"/>
      <c r="L741" s="20"/>
      <c r="M741" s="20"/>
      <c r="N741" s="20"/>
      <c r="O741" s="24"/>
      <c r="P741" s="161" t="str">
        <f t="shared" si="23"/>
        <v/>
      </c>
      <c r="Q741" s="7"/>
    </row>
    <row r="742" spans="1:17">
      <c r="A742" s="31" t="str">
        <f t="shared" si="22"/>
        <v/>
      </c>
      <c r="B742" s="159"/>
      <c r="C742" s="21"/>
      <c r="D742" s="97" t="str">
        <f>IF(C742="","",IFERROR(INDEX(②メンバー!$C$5:$C$104,MATCH(C742,②メンバー!$B$5:$B$104,0)),""))</f>
        <v/>
      </c>
      <c r="E742" s="24"/>
      <c r="F742" s="160"/>
      <c r="G742" s="20"/>
      <c r="H742" s="20"/>
      <c r="I742" s="20"/>
      <c r="J742" s="20"/>
      <c r="K742" s="20"/>
      <c r="L742" s="20"/>
      <c r="M742" s="20"/>
      <c r="N742" s="20"/>
      <c r="O742" s="24"/>
      <c r="P742" s="161" t="str">
        <f t="shared" si="23"/>
        <v/>
      </c>
      <c r="Q742" s="7"/>
    </row>
    <row r="743" spans="1:17">
      <c r="A743" s="31" t="str">
        <f t="shared" si="22"/>
        <v/>
      </c>
      <c r="B743" s="159"/>
      <c r="C743" s="21"/>
      <c r="D743" s="97" t="str">
        <f>IF(C743="","",IFERROR(INDEX(②メンバー!$C$5:$C$104,MATCH(C743,②メンバー!$B$5:$B$104,0)),""))</f>
        <v/>
      </c>
      <c r="E743" s="24"/>
      <c r="F743" s="160"/>
      <c r="G743" s="20"/>
      <c r="H743" s="20"/>
      <c r="I743" s="20"/>
      <c r="J743" s="20"/>
      <c r="K743" s="20"/>
      <c r="L743" s="20"/>
      <c r="M743" s="20"/>
      <c r="N743" s="20"/>
      <c r="O743" s="24"/>
      <c r="P743" s="161" t="str">
        <f t="shared" si="23"/>
        <v/>
      </c>
      <c r="Q743" s="7"/>
    </row>
    <row r="744" spans="1:17">
      <c r="A744" s="31" t="str">
        <f t="shared" si="22"/>
        <v/>
      </c>
      <c r="B744" s="159"/>
      <c r="C744" s="21"/>
      <c r="D744" s="97" t="str">
        <f>IF(C744="","",IFERROR(INDEX(②メンバー!$C$5:$C$104,MATCH(C744,②メンバー!$B$5:$B$104,0)),""))</f>
        <v/>
      </c>
      <c r="E744" s="24"/>
      <c r="F744" s="160"/>
      <c r="G744" s="20"/>
      <c r="H744" s="20"/>
      <c r="I744" s="20"/>
      <c r="J744" s="20"/>
      <c r="K744" s="20"/>
      <c r="L744" s="20"/>
      <c r="M744" s="20"/>
      <c r="N744" s="20"/>
      <c r="O744" s="24"/>
      <c r="P744" s="161" t="str">
        <f t="shared" si="23"/>
        <v/>
      </c>
      <c r="Q744" s="7"/>
    </row>
    <row r="745" spans="1:17">
      <c r="A745" s="31" t="str">
        <f t="shared" si="22"/>
        <v/>
      </c>
      <c r="B745" s="159"/>
      <c r="C745" s="21"/>
      <c r="D745" s="97" t="str">
        <f>IF(C745="","",IFERROR(INDEX(②メンバー!$C$5:$C$104,MATCH(C745,②メンバー!$B$5:$B$104,0)),""))</f>
        <v/>
      </c>
      <c r="E745" s="24"/>
      <c r="F745" s="160"/>
      <c r="G745" s="20"/>
      <c r="H745" s="20"/>
      <c r="I745" s="20"/>
      <c r="J745" s="20"/>
      <c r="K745" s="20"/>
      <c r="L745" s="20"/>
      <c r="M745" s="20"/>
      <c r="N745" s="20"/>
      <c r="O745" s="24"/>
      <c r="P745" s="161" t="str">
        <f t="shared" si="23"/>
        <v/>
      </c>
      <c r="Q745" s="7"/>
    </row>
    <row r="746" spans="1:17">
      <c r="A746" s="31" t="str">
        <f t="shared" si="22"/>
        <v/>
      </c>
      <c r="B746" s="159"/>
      <c r="C746" s="21"/>
      <c r="D746" s="97" t="str">
        <f>IF(C746="","",IFERROR(INDEX(②メンバー!$C$5:$C$104,MATCH(C746,②メンバー!$B$5:$B$104,0)),""))</f>
        <v/>
      </c>
      <c r="E746" s="24"/>
      <c r="F746" s="160"/>
      <c r="G746" s="20"/>
      <c r="H746" s="20"/>
      <c r="I746" s="20"/>
      <c r="J746" s="20"/>
      <c r="K746" s="20"/>
      <c r="L746" s="20"/>
      <c r="M746" s="20"/>
      <c r="N746" s="20"/>
      <c r="O746" s="24"/>
      <c r="P746" s="161" t="str">
        <f t="shared" si="23"/>
        <v/>
      </c>
      <c r="Q746" s="7"/>
    </row>
    <row r="747" spans="1:17">
      <c r="A747" s="31" t="str">
        <f t="shared" si="22"/>
        <v/>
      </c>
      <c r="B747" s="159"/>
      <c r="C747" s="21"/>
      <c r="D747" s="97" t="str">
        <f>IF(C747="","",IFERROR(INDEX(②メンバー!$C$5:$C$104,MATCH(C747,②メンバー!$B$5:$B$104,0)),""))</f>
        <v/>
      </c>
      <c r="E747" s="24"/>
      <c r="F747" s="160"/>
      <c r="G747" s="20"/>
      <c r="H747" s="20"/>
      <c r="I747" s="20"/>
      <c r="J747" s="20"/>
      <c r="K747" s="20"/>
      <c r="L747" s="20"/>
      <c r="M747" s="20"/>
      <c r="N747" s="20"/>
      <c r="O747" s="24"/>
      <c r="P747" s="161" t="str">
        <f t="shared" si="23"/>
        <v/>
      </c>
      <c r="Q747" s="7"/>
    </row>
    <row r="748" spans="1:17">
      <c r="A748" s="31" t="str">
        <f t="shared" si="22"/>
        <v/>
      </c>
      <c r="B748" s="159"/>
      <c r="C748" s="21"/>
      <c r="D748" s="97" t="str">
        <f>IF(C748="","",IFERROR(INDEX(②メンバー!$C$5:$C$104,MATCH(C748,②メンバー!$B$5:$B$104,0)),""))</f>
        <v/>
      </c>
      <c r="E748" s="24"/>
      <c r="F748" s="160"/>
      <c r="G748" s="20"/>
      <c r="H748" s="20"/>
      <c r="I748" s="20"/>
      <c r="J748" s="20"/>
      <c r="K748" s="20"/>
      <c r="L748" s="20"/>
      <c r="M748" s="20"/>
      <c r="N748" s="20"/>
      <c r="O748" s="24"/>
      <c r="P748" s="161" t="str">
        <f t="shared" si="23"/>
        <v/>
      </c>
      <c r="Q748" s="7"/>
    </row>
    <row r="749" spans="1:17">
      <c r="A749" s="31" t="str">
        <f t="shared" si="22"/>
        <v/>
      </c>
      <c r="B749" s="159"/>
      <c r="C749" s="21"/>
      <c r="D749" s="97" t="str">
        <f>IF(C749="","",IFERROR(INDEX(②メンバー!$C$5:$C$104,MATCH(C749,②メンバー!$B$5:$B$104,0)),""))</f>
        <v/>
      </c>
      <c r="E749" s="24"/>
      <c r="F749" s="160"/>
      <c r="G749" s="20"/>
      <c r="H749" s="20"/>
      <c r="I749" s="20"/>
      <c r="J749" s="20"/>
      <c r="K749" s="20"/>
      <c r="L749" s="20"/>
      <c r="M749" s="20"/>
      <c r="N749" s="20"/>
      <c r="O749" s="24"/>
      <c r="P749" s="161" t="str">
        <f t="shared" si="23"/>
        <v/>
      </c>
      <c r="Q749" s="7"/>
    </row>
    <row r="750" spans="1:17">
      <c r="A750" s="31" t="str">
        <f t="shared" si="22"/>
        <v/>
      </c>
      <c r="B750" s="159"/>
      <c r="C750" s="21"/>
      <c r="D750" s="97" t="str">
        <f>IF(C750="","",IFERROR(INDEX(②メンバー!$C$5:$C$104,MATCH(C750,②メンバー!$B$5:$B$104,0)),""))</f>
        <v/>
      </c>
      <c r="E750" s="24"/>
      <c r="F750" s="160"/>
      <c r="G750" s="20"/>
      <c r="H750" s="20"/>
      <c r="I750" s="20"/>
      <c r="J750" s="20"/>
      <c r="K750" s="20"/>
      <c r="L750" s="20"/>
      <c r="M750" s="20"/>
      <c r="N750" s="20"/>
      <c r="O750" s="24"/>
      <c r="P750" s="161" t="str">
        <f t="shared" si="23"/>
        <v/>
      </c>
      <c r="Q750" s="7"/>
    </row>
    <row r="751" spans="1:17">
      <c r="A751" s="31" t="str">
        <f t="shared" si="22"/>
        <v/>
      </c>
      <c r="B751" s="159"/>
      <c r="C751" s="21"/>
      <c r="D751" s="97" t="str">
        <f>IF(C751="","",IFERROR(INDEX(②メンバー!$C$5:$C$104,MATCH(C751,②メンバー!$B$5:$B$104,0)),""))</f>
        <v/>
      </c>
      <c r="E751" s="24"/>
      <c r="F751" s="160"/>
      <c r="G751" s="20"/>
      <c r="H751" s="20"/>
      <c r="I751" s="20"/>
      <c r="J751" s="20"/>
      <c r="K751" s="20"/>
      <c r="L751" s="20"/>
      <c r="M751" s="20"/>
      <c r="N751" s="20"/>
      <c r="O751" s="24"/>
      <c r="P751" s="161" t="str">
        <f t="shared" si="23"/>
        <v/>
      </c>
      <c r="Q751" s="7"/>
    </row>
    <row r="752" spans="1:17">
      <c r="A752" s="31" t="str">
        <f t="shared" si="22"/>
        <v/>
      </c>
      <c r="B752" s="159"/>
      <c r="C752" s="21"/>
      <c r="D752" s="97" t="str">
        <f>IF(C752="","",IFERROR(INDEX(②メンバー!$C$5:$C$104,MATCH(C752,②メンバー!$B$5:$B$104,0)),""))</f>
        <v/>
      </c>
      <c r="E752" s="24"/>
      <c r="F752" s="160"/>
      <c r="G752" s="20"/>
      <c r="H752" s="20"/>
      <c r="I752" s="20"/>
      <c r="J752" s="20"/>
      <c r="K752" s="20"/>
      <c r="L752" s="20"/>
      <c r="M752" s="20"/>
      <c r="N752" s="20"/>
      <c r="O752" s="24"/>
      <c r="P752" s="161" t="str">
        <f t="shared" si="23"/>
        <v/>
      </c>
      <c r="Q752" s="7"/>
    </row>
    <row r="753" spans="1:17">
      <c r="A753" s="31" t="str">
        <f t="shared" si="22"/>
        <v/>
      </c>
      <c r="B753" s="159"/>
      <c r="C753" s="21"/>
      <c r="D753" s="97" t="str">
        <f>IF(C753="","",IFERROR(INDEX(②メンバー!$C$5:$C$104,MATCH(C753,②メンバー!$B$5:$B$104,0)),""))</f>
        <v/>
      </c>
      <c r="E753" s="24"/>
      <c r="F753" s="160"/>
      <c r="G753" s="20"/>
      <c r="H753" s="20"/>
      <c r="I753" s="20"/>
      <c r="J753" s="20"/>
      <c r="K753" s="20"/>
      <c r="L753" s="20"/>
      <c r="M753" s="20"/>
      <c r="N753" s="20"/>
      <c r="O753" s="24"/>
      <c r="P753" s="161" t="str">
        <f t="shared" si="23"/>
        <v/>
      </c>
      <c r="Q753" s="7"/>
    </row>
    <row r="754" spans="1:17">
      <c r="A754" s="31" t="str">
        <f t="shared" si="22"/>
        <v/>
      </c>
      <c r="B754" s="159"/>
      <c r="C754" s="21"/>
      <c r="D754" s="97" t="str">
        <f>IF(C754="","",IFERROR(INDEX(②メンバー!$C$5:$C$104,MATCH(C754,②メンバー!$B$5:$B$104,0)),""))</f>
        <v/>
      </c>
      <c r="E754" s="24"/>
      <c r="F754" s="160"/>
      <c r="G754" s="20"/>
      <c r="H754" s="20"/>
      <c r="I754" s="20"/>
      <c r="J754" s="20"/>
      <c r="K754" s="20"/>
      <c r="L754" s="20"/>
      <c r="M754" s="20"/>
      <c r="N754" s="20"/>
      <c r="O754" s="24"/>
      <c r="P754" s="161" t="str">
        <f t="shared" si="23"/>
        <v/>
      </c>
      <c r="Q754" s="7"/>
    </row>
    <row r="755" spans="1:17">
      <c r="A755" s="31" t="str">
        <f t="shared" si="22"/>
        <v/>
      </c>
      <c r="B755" s="159"/>
      <c r="C755" s="21"/>
      <c r="D755" s="97" t="str">
        <f>IF(C755="","",IFERROR(INDEX(②メンバー!$C$5:$C$104,MATCH(C755,②メンバー!$B$5:$B$104,0)),""))</f>
        <v/>
      </c>
      <c r="E755" s="24"/>
      <c r="F755" s="160"/>
      <c r="G755" s="20"/>
      <c r="H755" s="20"/>
      <c r="I755" s="20"/>
      <c r="J755" s="20"/>
      <c r="K755" s="20"/>
      <c r="L755" s="20"/>
      <c r="M755" s="20"/>
      <c r="N755" s="20"/>
      <c r="O755" s="24"/>
      <c r="P755" s="161" t="str">
        <f t="shared" si="23"/>
        <v/>
      </c>
      <c r="Q755" s="7"/>
    </row>
    <row r="756" spans="1:17">
      <c r="A756" s="31" t="str">
        <f t="shared" si="22"/>
        <v/>
      </c>
      <c r="B756" s="159"/>
      <c r="C756" s="21"/>
      <c r="D756" s="97" t="str">
        <f>IF(C756="","",IFERROR(INDEX(②メンバー!$C$5:$C$104,MATCH(C756,②メンバー!$B$5:$B$104,0)),""))</f>
        <v/>
      </c>
      <c r="E756" s="24"/>
      <c r="F756" s="160"/>
      <c r="G756" s="20"/>
      <c r="H756" s="20"/>
      <c r="I756" s="20"/>
      <c r="J756" s="20"/>
      <c r="K756" s="20"/>
      <c r="L756" s="20"/>
      <c r="M756" s="20"/>
      <c r="N756" s="20"/>
      <c r="O756" s="24"/>
      <c r="P756" s="161" t="str">
        <f t="shared" si="23"/>
        <v/>
      </c>
      <c r="Q756" s="7"/>
    </row>
    <row r="757" spans="1:17">
      <c r="A757" s="31" t="str">
        <f t="shared" si="22"/>
        <v/>
      </c>
      <c r="B757" s="159"/>
      <c r="C757" s="21"/>
      <c r="D757" s="97" t="str">
        <f>IF(C757="","",IFERROR(INDEX(②メンバー!$C$5:$C$104,MATCH(C757,②メンバー!$B$5:$B$104,0)),""))</f>
        <v/>
      </c>
      <c r="E757" s="24"/>
      <c r="F757" s="160"/>
      <c r="G757" s="20"/>
      <c r="H757" s="20"/>
      <c r="I757" s="20"/>
      <c r="J757" s="20"/>
      <c r="K757" s="20"/>
      <c r="L757" s="20"/>
      <c r="M757" s="20"/>
      <c r="N757" s="20"/>
      <c r="O757" s="24"/>
      <c r="P757" s="161" t="str">
        <f t="shared" si="23"/>
        <v/>
      </c>
      <c r="Q757" s="7"/>
    </row>
    <row r="758" spans="1:17">
      <c r="A758" s="31" t="str">
        <f t="shared" si="22"/>
        <v/>
      </c>
      <c r="B758" s="159"/>
      <c r="C758" s="21"/>
      <c r="D758" s="97" t="str">
        <f>IF(C758="","",IFERROR(INDEX(②メンバー!$C$5:$C$104,MATCH(C758,②メンバー!$B$5:$B$104,0)),""))</f>
        <v/>
      </c>
      <c r="E758" s="24"/>
      <c r="F758" s="160"/>
      <c r="G758" s="20"/>
      <c r="H758" s="20"/>
      <c r="I758" s="20"/>
      <c r="J758" s="20"/>
      <c r="K758" s="20"/>
      <c r="L758" s="20"/>
      <c r="M758" s="20"/>
      <c r="N758" s="20"/>
      <c r="O758" s="24"/>
      <c r="P758" s="161" t="str">
        <f t="shared" si="23"/>
        <v/>
      </c>
      <c r="Q758" s="7"/>
    </row>
    <row r="759" spans="1:17">
      <c r="A759" s="31" t="str">
        <f t="shared" si="22"/>
        <v/>
      </c>
      <c r="B759" s="159"/>
      <c r="C759" s="21"/>
      <c r="D759" s="97" t="str">
        <f>IF(C759="","",IFERROR(INDEX(②メンバー!$C$5:$C$104,MATCH(C759,②メンバー!$B$5:$B$104,0)),""))</f>
        <v/>
      </c>
      <c r="E759" s="24"/>
      <c r="F759" s="160"/>
      <c r="G759" s="20"/>
      <c r="H759" s="20"/>
      <c r="I759" s="20"/>
      <c r="J759" s="20"/>
      <c r="K759" s="20"/>
      <c r="L759" s="20"/>
      <c r="M759" s="20"/>
      <c r="N759" s="20"/>
      <c r="O759" s="24"/>
      <c r="P759" s="161" t="str">
        <f t="shared" si="23"/>
        <v/>
      </c>
      <c r="Q759" s="7"/>
    </row>
    <row r="760" spans="1:17">
      <c r="A760" s="31" t="str">
        <f t="shared" si="22"/>
        <v/>
      </c>
      <c r="B760" s="159"/>
      <c r="C760" s="21"/>
      <c r="D760" s="97" t="str">
        <f>IF(C760="","",IFERROR(INDEX(②メンバー!$C$5:$C$104,MATCH(C760,②メンバー!$B$5:$B$104,0)),""))</f>
        <v/>
      </c>
      <c r="E760" s="24"/>
      <c r="F760" s="160"/>
      <c r="G760" s="20"/>
      <c r="H760" s="20"/>
      <c r="I760" s="20"/>
      <c r="J760" s="20"/>
      <c r="K760" s="20"/>
      <c r="L760" s="20"/>
      <c r="M760" s="20"/>
      <c r="N760" s="20"/>
      <c r="O760" s="24"/>
      <c r="P760" s="161" t="str">
        <f t="shared" si="23"/>
        <v/>
      </c>
      <c r="Q760" s="7"/>
    </row>
    <row r="761" spans="1:17">
      <c r="A761" s="31" t="str">
        <f t="shared" si="22"/>
        <v/>
      </c>
      <c r="B761" s="159"/>
      <c r="C761" s="21"/>
      <c r="D761" s="97" t="str">
        <f>IF(C761="","",IFERROR(INDEX(②メンバー!$C$5:$C$104,MATCH(C761,②メンバー!$B$5:$B$104,0)),""))</f>
        <v/>
      </c>
      <c r="E761" s="24"/>
      <c r="F761" s="160"/>
      <c r="G761" s="20"/>
      <c r="H761" s="20"/>
      <c r="I761" s="20"/>
      <c r="J761" s="20"/>
      <c r="K761" s="20"/>
      <c r="L761" s="20"/>
      <c r="M761" s="20"/>
      <c r="N761" s="20"/>
      <c r="O761" s="24"/>
      <c r="P761" s="161" t="str">
        <f t="shared" si="23"/>
        <v/>
      </c>
      <c r="Q761" s="7"/>
    </row>
    <row r="762" spans="1:17">
      <c r="A762" s="31" t="str">
        <f t="shared" si="22"/>
        <v/>
      </c>
      <c r="B762" s="159"/>
      <c r="C762" s="21"/>
      <c r="D762" s="97" t="str">
        <f>IF(C762="","",IFERROR(INDEX(②メンバー!$C$5:$C$104,MATCH(C762,②メンバー!$B$5:$B$104,0)),""))</f>
        <v/>
      </c>
      <c r="E762" s="24"/>
      <c r="F762" s="160"/>
      <c r="G762" s="20"/>
      <c r="H762" s="20"/>
      <c r="I762" s="20"/>
      <c r="J762" s="20"/>
      <c r="K762" s="20"/>
      <c r="L762" s="20"/>
      <c r="M762" s="20"/>
      <c r="N762" s="20"/>
      <c r="O762" s="24"/>
      <c r="P762" s="161" t="str">
        <f t="shared" si="23"/>
        <v/>
      </c>
      <c r="Q762" s="7"/>
    </row>
    <row r="763" spans="1:17">
      <c r="A763" s="31" t="str">
        <f t="shared" si="22"/>
        <v/>
      </c>
      <c r="B763" s="159"/>
      <c r="C763" s="21"/>
      <c r="D763" s="97" t="str">
        <f>IF(C763="","",IFERROR(INDEX(②メンバー!$C$5:$C$104,MATCH(C763,②メンバー!$B$5:$B$104,0)),""))</f>
        <v/>
      </c>
      <c r="E763" s="24"/>
      <c r="F763" s="160"/>
      <c r="G763" s="20"/>
      <c r="H763" s="20"/>
      <c r="I763" s="20"/>
      <c r="J763" s="20"/>
      <c r="K763" s="20"/>
      <c r="L763" s="20"/>
      <c r="M763" s="20"/>
      <c r="N763" s="20"/>
      <c r="O763" s="24"/>
      <c r="P763" s="161" t="str">
        <f t="shared" si="23"/>
        <v/>
      </c>
      <c r="Q763" s="7"/>
    </row>
    <row r="764" spans="1:17">
      <c r="A764" s="31" t="str">
        <f t="shared" si="22"/>
        <v/>
      </c>
      <c r="B764" s="159"/>
      <c r="C764" s="21"/>
      <c r="D764" s="97" t="str">
        <f>IF(C764="","",IFERROR(INDEX(②メンバー!$C$5:$C$104,MATCH(C764,②メンバー!$B$5:$B$104,0)),""))</f>
        <v/>
      </c>
      <c r="E764" s="24"/>
      <c r="F764" s="160"/>
      <c r="G764" s="20"/>
      <c r="H764" s="20"/>
      <c r="I764" s="20"/>
      <c r="J764" s="20"/>
      <c r="K764" s="20"/>
      <c r="L764" s="20"/>
      <c r="M764" s="20"/>
      <c r="N764" s="20"/>
      <c r="O764" s="24"/>
      <c r="P764" s="161" t="str">
        <f t="shared" si="23"/>
        <v/>
      </c>
      <c r="Q764" s="7"/>
    </row>
    <row r="765" spans="1:17">
      <c r="A765" s="31" t="str">
        <f t="shared" si="22"/>
        <v/>
      </c>
      <c r="B765" s="159"/>
      <c r="C765" s="21"/>
      <c r="D765" s="97" t="str">
        <f>IF(C765="","",IFERROR(INDEX(②メンバー!$C$5:$C$104,MATCH(C765,②メンバー!$B$5:$B$104,0)),""))</f>
        <v/>
      </c>
      <c r="E765" s="24"/>
      <c r="F765" s="160"/>
      <c r="G765" s="20"/>
      <c r="H765" s="20"/>
      <c r="I765" s="20"/>
      <c r="J765" s="20"/>
      <c r="K765" s="20"/>
      <c r="L765" s="20"/>
      <c r="M765" s="20"/>
      <c r="N765" s="20"/>
      <c r="O765" s="24"/>
      <c r="P765" s="161" t="str">
        <f t="shared" si="23"/>
        <v/>
      </c>
      <c r="Q765" s="7"/>
    </row>
    <row r="766" spans="1:17">
      <c r="A766" s="31" t="str">
        <f t="shared" si="22"/>
        <v/>
      </c>
      <c r="B766" s="159"/>
      <c r="C766" s="21"/>
      <c r="D766" s="97" t="str">
        <f>IF(C766="","",IFERROR(INDEX(②メンバー!$C$5:$C$104,MATCH(C766,②メンバー!$B$5:$B$104,0)),""))</f>
        <v/>
      </c>
      <c r="E766" s="24"/>
      <c r="F766" s="160"/>
      <c r="G766" s="20"/>
      <c r="H766" s="20"/>
      <c r="I766" s="20"/>
      <c r="J766" s="20"/>
      <c r="K766" s="20"/>
      <c r="L766" s="20"/>
      <c r="M766" s="20"/>
      <c r="N766" s="20"/>
      <c r="O766" s="24"/>
      <c r="P766" s="161" t="str">
        <f t="shared" si="23"/>
        <v/>
      </c>
      <c r="Q766" s="7"/>
    </row>
    <row r="767" spans="1:17">
      <c r="A767" s="31" t="str">
        <f t="shared" si="22"/>
        <v/>
      </c>
      <c r="B767" s="159"/>
      <c r="C767" s="21"/>
      <c r="D767" s="97" t="str">
        <f>IF(C767="","",IFERROR(INDEX(②メンバー!$C$5:$C$104,MATCH(C767,②メンバー!$B$5:$B$104,0)),""))</f>
        <v/>
      </c>
      <c r="E767" s="24"/>
      <c r="F767" s="160"/>
      <c r="G767" s="20"/>
      <c r="H767" s="20"/>
      <c r="I767" s="20"/>
      <c r="J767" s="20"/>
      <c r="K767" s="20"/>
      <c r="L767" s="20"/>
      <c r="M767" s="20"/>
      <c r="N767" s="20"/>
      <c r="O767" s="24"/>
      <c r="P767" s="161" t="str">
        <f t="shared" si="23"/>
        <v/>
      </c>
      <c r="Q767" s="7"/>
    </row>
    <row r="768" spans="1:17">
      <c r="A768" s="31" t="str">
        <f t="shared" si="22"/>
        <v/>
      </c>
      <c r="B768" s="159"/>
      <c r="C768" s="21"/>
      <c r="D768" s="97" t="str">
        <f>IF(C768="","",IFERROR(INDEX(②メンバー!$C$5:$C$104,MATCH(C768,②メンバー!$B$5:$B$104,0)),""))</f>
        <v/>
      </c>
      <c r="E768" s="24"/>
      <c r="F768" s="160"/>
      <c r="G768" s="20"/>
      <c r="H768" s="20"/>
      <c r="I768" s="20"/>
      <c r="J768" s="20"/>
      <c r="K768" s="20"/>
      <c r="L768" s="20"/>
      <c r="M768" s="20"/>
      <c r="N768" s="20"/>
      <c r="O768" s="24"/>
      <c r="P768" s="161" t="str">
        <f t="shared" si="23"/>
        <v/>
      </c>
      <c r="Q768" s="7"/>
    </row>
    <row r="769" spans="1:17">
      <c r="A769" s="31" t="str">
        <f t="shared" si="22"/>
        <v/>
      </c>
      <c r="B769" s="159"/>
      <c r="C769" s="21"/>
      <c r="D769" s="97" t="str">
        <f>IF(C769="","",IFERROR(INDEX(②メンバー!$C$5:$C$104,MATCH(C769,②メンバー!$B$5:$B$104,0)),""))</f>
        <v/>
      </c>
      <c r="E769" s="24"/>
      <c r="F769" s="160"/>
      <c r="G769" s="20"/>
      <c r="H769" s="20"/>
      <c r="I769" s="20"/>
      <c r="J769" s="20"/>
      <c r="K769" s="20"/>
      <c r="L769" s="20"/>
      <c r="M769" s="20"/>
      <c r="N769" s="20"/>
      <c r="O769" s="24"/>
      <c r="P769" s="161" t="str">
        <f t="shared" si="23"/>
        <v/>
      </c>
      <c r="Q769" s="7"/>
    </row>
    <row r="770" spans="1:17">
      <c r="A770" s="31" t="str">
        <f t="shared" si="22"/>
        <v/>
      </c>
      <c r="B770" s="159"/>
      <c r="C770" s="21"/>
      <c r="D770" s="97" t="str">
        <f>IF(C770="","",IFERROR(INDEX(②メンバー!$C$5:$C$104,MATCH(C770,②メンバー!$B$5:$B$104,0)),""))</f>
        <v/>
      </c>
      <c r="E770" s="24"/>
      <c r="F770" s="160"/>
      <c r="G770" s="20"/>
      <c r="H770" s="20"/>
      <c r="I770" s="20"/>
      <c r="J770" s="20"/>
      <c r="K770" s="20"/>
      <c r="L770" s="20"/>
      <c r="M770" s="20"/>
      <c r="N770" s="20"/>
      <c r="O770" s="24"/>
      <c r="P770" s="161" t="str">
        <f t="shared" si="23"/>
        <v/>
      </c>
      <c r="Q770" s="7"/>
    </row>
    <row r="771" spans="1:17">
      <c r="A771" s="31" t="str">
        <f t="shared" si="22"/>
        <v/>
      </c>
      <c r="B771" s="159"/>
      <c r="C771" s="21"/>
      <c r="D771" s="97" t="str">
        <f>IF(C771="","",IFERROR(INDEX(②メンバー!$C$5:$C$104,MATCH(C771,②メンバー!$B$5:$B$104,0)),""))</f>
        <v/>
      </c>
      <c r="E771" s="24"/>
      <c r="F771" s="160"/>
      <c r="G771" s="20"/>
      <c r="H771" s="20"/>
      <c r="I771" s="20"/>
      <c r="J771" s="20"/>
      <c r="K771" s="20"/>
      <c r="L771" s="20"/>
      <c r="M771" s="20"/>
      <c r="N771" s="20"/>
      <c r="O771" s="24"/>
      <c r="P771" s="161" t="str">
        <f t="shared" si="23"/>
        <v/>
      </c>
      <c r="Q771" s="7"/>
    </row>
    <row r="772" spans="1:17">
      <c r="A772" s="31" t="str">
        <f t="shared" si="22"/>
        <v/>
      </c>
      <c r="B772" s="159"/>
      <c r="C772" s="21"/>
      <c r="D772" s="97" t="str">
        <f>IF(C772="","",IFERROR(INDEX(②メンバー!$C$5:$C$104,MATCH(C772,②メンバー!$B$5:$B$104,0)),""))</f>
        <v/>
      </c>
      <c r="E772" s="24"/>
      <c r="F772" s="160"/>
      <c r="G772" s="20"/>
      <c r="H772" s="20"/>
      <c r="I772" s="20"/>
      <c r="J772" s="20"/>
      <c r="K772" s="20"/>
      <c r="L772" s="20"/>
      <c r="M772" s="20"/>
      <c r="N772" s="20"/>
      <c r="O772" s="24"/>
      <c r="P772" s="161" t="str">
        <f t="shared" si="23"/>
        <v/>
      </c>
      <c r="Q772" s="7"/>
    </row>
    <row r="773" spans="1:17">
      <c r="A773" s="31" t="str">
        <f t="shared" si="22"/>
        <v/>
      </c>
      <c r="B773" s="159"/>
      <c r="C773" s="21"/>
      <c r="D773" s="97" t="str">
        <f>IF(C773="","",IFERROR(INDEX(②メンバー!$C$5:$C$104,MATCH(C773,②メンバー!$B$5:$B$104,0)),""))</f>
        <v/>
      </c>
      <c r="E773" s="24"/>
      <c r="F773" s="160"/>
      <c r="G773" s="20"/>
      <c r="H773" s="20"/>
      <c r="I773" s="20"/>
      <c r="J773" s="20"/>
      <c r="K773" s="20"/>
      <c r="L773" s="20"/>
      <c r="M773" s="20"/>
      <c r="N773" s="20"/>
      <c r="O773" s="24"/>
      <c r="P773" s="161" t="str">
        <f t="shared" si="23"/>
        <v/>
      </c>
      <c r="Q773" s="7"/>
    </row>
    <row r="774" spans="1:17">
      <c r="A774" s="31" t="str">
        <f t="shared" ref="A774:A837" si="24">IF(B774="","",ROW()-5)</f>
        <v/>
      </c>
      <c r="B774" s="159"/>
      <c r="C774" s="21"/>
      <c r="D774" s="97" t="str">
        <f>IF(C774="","",IFERROR(INDEX(②メンバー!$C$5:$C$104,MATCH(C774,②メンバー!$B$5:$B$104,0)),""))</f>
        <v/>
      </c>
      <c r="E774" s="24"/>
      <c r="F774" s="160"/>
      <c r="G774" s="20"/>
      <c r="H774" s="20"/>
      <c r="I774" s="20"/>
      <c r="J774" s="20"/>
      <c r="K774" s="20"/>
      <c r="L774" s="20"/>
      <c r="M774" s="20"/>
      <c r="N774" s="20"/>
      <c r="O774" s="24"/>
      <c r="P774" s="161" t="str">
        <f t="shared" ref="P774:P837" si="25">IF(C774="","",IF(COUNTA(F774:O774)=0,IF(E774="出勤","いつもの時間","終日"),TRIM(IF(COUNTIF(F774:O774,"休")&gt;0,"休 "&amp;COUNTIF(F774:O774,"休")&amp;"h ","")&amp;IF(COUNTIF(F774:O774,"出")&gt;0,"出 "&amp;COUNTIF(F774:O774,"出")&amp;"h",""))))</f>
        <v/>
      </c>
      <c r="Q774" s="7"/>
    </row>
    <row r="775" spans="1:17">
      <c r="A775" s="31" t="str">
        <f t="shared" si="24"/>
        <v/>
      </c>
      <c r="B775" s="159"/>
      <c r="C775" s="21"/>
      <c r="D775" s="97" t="str">
        <f>IF(C775="","",IFERROR(INDEX(②メンバー!$C$5:$C$104,MATCH(C775,②メンバー!$B$5:$B$104,0)),""))</f>
        <v/>
      </c>
      <c r="E775" s="24"/>
      <c r="F775" s="160"/>
      <c r="G775" s="20"/>
      <c r="H775" s="20"/>
      <c r="I775" s="20"/>
      <c r="J775" s="20"/>
      <c r="K775" s="20"/>
      <c r="L775" s="20"/>
      <c r="M775" s="20"/>
      <c r="N775" s="20"/>
      <c r="O775" s="24"/>
      <c r="P775" s="161" t="str">
        <f t="shared" si="25"/>
        <v/>
      </c>
      <c r="Q775" s="7"/>
    </row>
    <row r="776" spans="1:17">
      <c r="A776" s="31" t="str">
        <f t="shared" si="24"/>
        <v/>
      </c>
      <c r="B776" s="159"/>
      <c r="C776" s="21"/>
      <c r="D776" s="97" t="str">
        <f>IF(C776="","",IFERROR(INDEX(②メンバー!$C$5:$C$104,MATCH(C776,②メンバー!$B$5:$B$104,0)),""))</f>
        <v/>
      </c>
      <c r="E776" s="24"/>
      <c r="F776" s="160"/>
      <c r="G776" s="20"/>
      <c r="H776" s="20"/>
      <c r="I776" s="20"/>
      <c r="J776" s="20"/>
      <c r="K776" s="20"/>
      <c r="L776" s="20"/>
      <c r="M776" s="20"/>
      <c r="N776" s="20"/>
      <c r="O776" s="24"/>
      <c r="P776" s="161" t="str">
        <f t="shared" si="25"/>
        <v/>
      </c>
      <c r="Q776" s="7"/>
    </row>
    <row r="777" spans="1:17">
      <c r="A777" s="31" t="str">
        <f t="shared" si="24"/>
        <v/>
      </c>
      <c r="B777" s="159"/>
      <c r="C777" s="21"/>
      <c r="D777" s="97" t="str">
        <f>IF(C777="","",IFERROR(INDEX(②メンバー!$C$5:$C$104,MATCH(C777,②メンバー!$B$5:$B$104,0)),""))</f>
        <v/>
      </c>
      <c r="E777" s="24"/>
      <c r="F777" s="160"/>
      <c r="G777" s="20"/>
      <c r="H777" s="20"/>
      <c r="I777" s="20"/>
      <c r="J777" s="20"/>
      <c r="K777" s="20"/>
      <c r="L777" s="20"/>
      <c r="M777" s="20"/>
      <c r="N777" s="20"/>
      <c r="O777" s="24"/>
      <c r="P777" s="161" t="str">
        <f t="shared" si="25"/>
        <v/>
      </c>
      <c r="Q777" s="7"/>
    </row>
    <row r="778" spans="1:17">
      <c r="A778" s="31" t="str">
        <f t="shared" si="24"/>
        <v/>
      </c>
      <c r="B778" s="159"/>
      <c r="C778" s="21"/>
      <c r="D778" s="97" t="str">
        <f>IF(C778="","",IFERROR(INDEX(②メンバー!$C$5:$C$104,MATCH(C778,②メンバー!$B$5:$B$104,0)),""))</f>
        <v/>
      </c>
      <c r="E778" s="24"/>
      <c r="F778" s="160"/>
      <c r="G778" s="20"/>
      <c r="H778" s="20"/>
      <c r="I778" s="20"/>
      <c r="J778" s="20"/>
      <c r="K778" s="20"/>
      <c r="L778" s="20"/>
      <c r="M778" s="20"/>
      <c r="N778" s="20"/>
      <c r="O778" s="24"/>
      <c r="P778" s="161" t="str">
        <f t="shared" si="25"/>
        <v/>
      </c>
      <c r="Q778" s="7"/>
    </row>
    <row r="779" spans="1:17">
      <c r="A779" s="31" t="str">
        <f t="shared" si="24"/>
        <v/>
      </c>
      <c r="B779" s="159"/>
      <c r="C779" s="21"/>
      <c r="D779" s="97" t="str">
        <f>IF(C779="","",IFERROR(INDEX(②メンバー!$C$5:$C$104,MATCH(C779,②メンバー!$B$5:$B$104,0)),""))</f>
        <v/>
      </c>
      <c r="E779" s="24"/>
      <c r="F779" s="160"/>
      <c r="G779" s="20"/>
      <c r="H779" s="20"/>
      <c r="I779" s="20"/>
      <c r="J779" s="20"/>
      <c r="K779" s="20"/>
      <c r="L779" s="20"/>
      <c r="M779" s="20"/>
      <c r="N779" s="20"/>
      <c r="O779" s="24"/>
      <c r="P779" s="161" t="str">
        <f t="shared" si="25"/>
        <v/>
      </c>
      <c r="Q779" s="7"/>
    </row>
    <row r="780" spans="1:17">
      <c r="A780" s="31" t="str">
        <f t="shared" si="24"/>
        <v/>
      </c>
      <c r="B780" s="159"/>
      <c r="C780" s="21"/>
      <c r="D780" s="97" t="str">
        <f>IF(C780="","",IFERROR(INDEX(②メンバー!$C$5:$C$104,MATCH(C780,②メンバー!$B$5:$B$104,0)),""))</f>
        <v/>
      </c>
      <c r="E780" s="24"/>
      <c r="F780" s="160"/>
      <c r="G780" s="20"/>
      <c r="H780" s="20"/>
      <c r="I780" s="20"/>
      <c r="J780" s="20"/>
      <c r="K780" s="20"/>
      <c r="L780" s="20"/>
      <c r="M780" s="20"/>
      <c r="N780" s="20"/>
      <c r="O780" s="24"/>
      <c r="P780" s="161" t="str">
        <f t="shared" si="25"/>
        <v/>
      </c>
      <c r="Q780" s="7"/>
    </row>
    <row r="781" spans="1:17">
      <c r="A781" s="31" t="str">
        <f t="shared" si="24"/>
        <v/>
      </c>
      <c r="B781" s="159"/>
      <c r="C781" s="21"/>
      <c r="D781" s="97" t="str">
        <f>IF(C781="","",IFERROR(INDEX(②メンバー!$C$5:$C$104,MATCH(C781,②メンバー!$B$5:$B$104,0)),""))</f>
        <v/>
      </c>
      <c r="E781" s="24"/>
      <c r="F781" s="160"/>
      <c r="G781" s="20"/>
      <c r="H781" s="20"/>
      <c r="I781" s="20"/>
      <c r="J781" s="20"/>
      <c r="K781" s="20"/>
      <c r="L781" s="20"/>
      <c r="M781" s="20"/>
      <c r="N781" s="20"/>
      <c r="O781" s="24"/>
      <c r="P781" s="161" t="str">
        <f t="shared" si="25"/>
        <v/>
      </c>
      <c r="Q781" s="7"/>
    </row>
    <row r="782" spans="1:17">
      <c r="A782" s="31" t="str">
        <f t="shared" si="24"/>
        <v/>
      </c>
      <c r="B782" s="159"/>
      <c r="C782" s="21"/>
      <c r="D782" s="97" t="str">
        <f>IF(C782="","",IFERROR(INDEX(②メンバー!$C$5:$C$104,MATCH(C782,②メンバー!$B$5:$B$104,0)),""))</f>
        <v/>
      </c>
      <c r="E782" s="24"/>
      <c r="F782" s="160"/>
      <c r="G782" s="20"/>
      <c r="H782" s="20"/>
      <c r="I782" s="20"/>
      <c r="J782" s="20"/>
      <c r="K782" s="20"/>
      <c r="L782" s="20"/>
      <c r="M782" s="20"/>
      <c r="N782" s="20"/>
      <c r="O782" s="24"/>
      <c r="P782" s="161" t="str">
        <f t="shared" si="25"/>
        <v/>
      </c>
      <c r="Q782" s="7"/>
    </row>
    <row r="783" spans="1:17">
      <c r="A783" s="31" t="str">
        <f t="shared" si="24"/>
        <v/>
      </c>
      <c r="B783" s="159"/>
      <c r="C783" s="21"/>
      <c r="D783" s="97" t="str">
        <f>IF(C783="","",IFERROR(INDEX(②メンバー!$C$5:$C$104,MATCH(C783,②メンバー!$B$5:$B$104,0)),""))</f>
        <v/>
      </c>
      <c r="E783" s="24"/>
      <c r="F783" s="160"/>
      <c r="G783" s="20"/>
      <c r="H783" s="20"/>
      <c r="I783" s="20"/>
      <c r="J783" s="20"/>
      <c r="K783" s="20"/>
      <c r="L783" s="20"/>
      <c r="M783" s="20"/>
      <c r="N783" s="20"/>
      <c r="O783" s="24"/>
      <c r="P783" s="161" t="str">
        <f t="shared" si="25"/>
        <v/>
      </c>
      <c r="Q783" s="7"/>
    </row>
    <row r="784" spans="1:17">
      <c r="A784" s="31" t="str">
        <f t="shared" si="24"/>
        <v/>
      </c>
      <c r="B784" s="159"/>
      <c r="C784" s="21"/>
      <c r="D784" s="97" t="str">
        <f>IF(C784="","",IFERROR(INDEX(②メンバー!$C$5:$C$104,MATCH(C784,②メンバー!$B$5:$B$104,0)),""))</f>
        <v/>
      </c>
      <c r="E784" s="24"/>
      <c r="F784" s="160"/>
      <c r="G784" s="20"/>
      <c r="H784" s="20"/>
      <c r="I784" s="20"/>
      <c r="J784" s="20"/>
      <c r="K784" s="20"/>
      <c r="L784" s="20"/>
      <c r="M784" s="20"/>
      <c r="N784" s="20"/>
      <c r="O784" s="24"/>
      <c r="P784" s="161" t="str">
        <f t="shared" si="25"/>
        <v/>
      </c>
      <c r="Q784" s="7"/>
    </row>
    <row r="785" spans="1:17">
      <c r="A785" s="31" t="str">
        <f t="shared" si="24"/>
        <v/>
      </c>
      <c r="B785" s="159"/>
      <c r="C785" s="21"/>
      <c r="D785" s="97" t="str">
        <f>IF(C785="","",IFERROR(INDEX(②メンバー!$C$5:$C$104,MATCH(C785,②メンバー!$B$5:$B$104,0)),""))</f>
        <v/>
      </c>
      <c r="E785" s="24"/>
      <c r="F785" s="160"/>
      <c r="G785" s="20"/>
      <c r="H785" s="20"/>
      <c r="I785" s="20"/>
      <c r="J785" s="20"/>
      <c r="K785" s="20"/>
      <c r="L785" s="20"/>
      <c r="M785" s="20"/>
      <c r="N785" s="20"/>
      <c r="O785" s="24"/>
      <c r="P785" s="161" t="str">
        <f t="shared" si="25"/>
        <v/>
      </c>
      <c r="Q785" s="7"/>
    </row>
    <row r="786" spans="1:17">
      <c r="A786" s="31" t="str">
        <f t="shared" si="24"/>
        <v/>
      </c>
      <c r="B786" s="159"/>
      <c r="C786" s="21"/>
      <c r="D786" s="97" t="str">
        <f>IF(C786="","",IFERROR(INDEX(②メンバー!$C$5:$C$104,MATCH(C786,②メンバー!$B$5:$B$104,0)),""))</f>
        <v/>
      </c>
      <c r="E786" s="24"/>
      <c r="F786" s="160"/>
      <c r="G786" s="20"/>
      <c r="H786" s="20"/>
      <c r="I786" s="20"/>
      <c r="J786" s="20"/>
      <c r="K786" s="20"/>
      <c r="L786" s="20"/>
      <c r="M786" s="20"/>
      <c r="N786" s="20"/>
      <c r="O786" s="24"/>
      <c r="P786" s="161" t="str">
        <f t="shared" si="25"/>
        <v/>
      </c>
      <c r="Q786" s="7"/>
    </row>
    <row r="787" spans="1:17">
      <c r="A787" s="31" t="str">
        <f t="shared" si="24"/>
        <v/>
      </c>
      <c r="B787" s="159"/>
      <c r="C787" s="21"/>
      <c r="D787" s="97" t="str">
        <f>IF(C787="","",IFERROR(INDEX(②メンバー!$C$5:$C$104,MATCH(C787,②メンバー!$B$5:$B$104,0)),""))</f>
        <v/>
      </c>
      <c r="E787" s="24"/>
      <c r="F787" s="160"/>
      <c r="G787" s="20"/>
      <c r="H787" s="20"/>
      <c r="I787" s="20"/>
      <c r="J787" s="20"/>
      <c r="K787" s="20"/>
      <c r="L787" s="20"/>
      <c r="M787" s="20"/>
      <c r="N787" s="20"/>
      <c r="O787" s="24"/>
      <c r="P787" s="161" t="str">
        <f t="shared" si="25"/>
        <v/>
      </c>
      <c r="Q787" s="7"/>
    </row>
    <row r="788" spans="1:17">
      <c r="A788" s="31" t="str">
        <f t="shared" si="24"/>
        <v/>
      </c>
      <c r="B788" s="159"/>
      <c r="C788" s="21"/>
      <c r="D788" s="97" t="str">
        <f>IF(C788="","",IFERROR(INDEX(②メンバー!$C$5:$C$104,MATCH(C788,②メンバー!$B$5:$B$104,0)),""))</f>
        <v/>
      </c>
      <c r="E788" s="24"/>
      <c r="F788" s="160"/>
      <c r="G788" s="20"/>
      <c r="H788" s="20"/>
      <c r="I788" s="20"/>
      <c r="J788" s="20"/>
      <c r="K788" s="20"/>
      <c r="L788" s="20"/>
      <c r="M788" s="20"/>
      <c r="N788" s="20"/>
      <c r="O788" s="24"/>
      <c r="P788" s="161" t="str">
        <f t="shared" si="25"/>
        <v/>
      </c>
      <c r="Q788" s="7"/>
    </row>
    <row r="789" spans="1:17">
      <c r="A789" s="31" t="str">
        <f t="shared" si="24"/>
        <v/>
      </c>
      <c r="B789" s="159"/>
      <c r="C789" s="21"/>
      <c r="D789" s="97" t="str">
        <f>IF(C789="","",IFERROR(INDEX(②メンバー!$C$5:$C$104,MATCH(C789,②メンバー!$B$5:$B$104,0)),""))</f>
        <v/>
      </c>
      <c r="E789" s="24"/>
      <c r="F789" s="160"/>
      <c r="G789" s="20"/>
      <c r="H789" s="20"/>
      <c r="I789" s="20"/>
      <c r="J789" s="20"/>
      <c r="K789" s="20"/>
      <c r="L789" s="20"/>
      <c r="M789" s="20"/>
      <c r="N789" s="20"/>
      <c r="O789" s="24"/>
      <c r="P789" s="161" t="str">
        <f t="shared" si="25"/>
        <v/>
      </c>
      <c r="Q789" s="7"/>
    </row>
    <row r="790" spans="1:17">
      <c r="A790" s="31" t="str">
        <f t="shared" si="24"/>
        <v/>
      </c>
      <c r="B790" s="159"/>
      <c r="C790" s="21"/>
      <c r="D790" s="97" t="str">
        <f>IF(C790="","",IFERROR(INDEX(②メンバー!$C$5:$C$104,MATCH(C790,②メンバー!$B$5:$B$104,0)),""))</f>
        <v/>
      </c>
      <c r="E790" s="24"/>
      <c r="F790" s="160"/>
      <c r="G790" s="20"/>
      <c r="H790" s="20"/>
      <c r="I790" s="20"/>
      <c r="J790" s="20"/>
      <c r="K790" s="20"/>
      <c r="L790" s="20"/>
      <c r="M790" s="20"/>
      <c r="N790" s="20"/>
      <c r="O790" s="24"/>
      <c r="P790" s="161" t="str">
        <f t="shared" si="25"/>
        <v/>
      </c>
      <c r="Q790" s="7"/>
    </row>
    <row r="791" spans="1:17">
      <c r="A791" s="31" t="str">
        <f t="shared" si="24"/>
        <v/>
      </c>
      <c r="B791" s="159"/>
      <c r="C791" s="21"/>
      <c r="D791" s="97" t="str">
        <f>IF(C791="","",IFERROR(INDEX(②メンバー!$C$5:$C$104,MATCH(C791,②メンバー!$B$5:$B$104,0)),""))</f>
        <v/>
      </c>
      <c r="E791" s="24"/>
      <c r="F791" s="160"/>
      <c r="G791" s="20"/>
      <c r="H791" s="20"/>
      <c r="I791" s="20"/>
      <c r="J791" s="20"/>
      <c r="K791" s="20"/>
      <c r="L791" s="20"/>
      <c r="M791" s="20"/>
      <c r="N791" s="20"/>
      <c r="O791" s="24"/>
      <c r="P791" s="161" t="str">
        <f t="shared" si="25"/>
        <v/>
      </c>
      <c r="Q791" s="7"/>
    </row>
    <row r="792" spans="1:17">
      <c r="A792" s="31" t="str">
        <f t="shared" si="24"/>
        <v/>
      </c>
      <c r="B792" s="159"/>
      <c r="C792" s="21"/>
      <c r="D792" s="97" t="str">
        <f>IF(C792="","",IFERROR(INDEX(②メンバー!$C$5:$C$104,MATCH(C792,②メンバー!$B$5:$B$104,0)),""))</f>
        <v/>
      </c>
      <c r="E792" s="24"/>
      <c r="F792" s="160"/>
      <c r="G792" s="20"/>
      <c r="H792" s="20"/>
      <c r="I792" s="20"/>
      <c r="J792" s="20"/>
      <c r="K792" s="20"/>
      <c r="L792" s="20"/>
      <c r="M792" s="20"/>
      <c r="N792" s="20"/>
      <c r="O792" s="24"/>
      <c r="P792" s="161" t="str">
        <f t="shared" si="25"/>
        <v/>
      </c>
      <c r="Q792" s="7"/>
    </row>
    <row r="793" spans="1:17">
      <c r="A793" s="31" t="str">
        <f t="shared" si="24"/>
        <v/>
      </c>
      <c r="B793" s="159"/>
      <c r="C793" s="21"/>
      <c r="D793" s="97" t="str">
        <f>IF(C793="","",IFERROR(INDEX(②メンバー!$C$5:$C$104,MATCH(C793,②メンバー!$B$5:$B$104,0)),""))</f>
        <v/>
      </c>
      <c r="E793" s="24"/>
      <c r="F793" s="160"/>
      <c r="G793" s="20"/>
      <c r="H793" s="20"/>
      <c r="I793" s="20"/>
      <c r="J793" s="20"/>
      <c r="K793" s="20"/>
      <c r="L793" s="20"/>
      <c r="M793" s="20"/>
      <c r="N793" s="20"/>
      <c r="O793" s="24"/>
      <c r="P793" s="161" t="str">
        <f t="shared" si="25"/>
        <v/>
      </c>
      <c r="Q793" s="7"/>
    </row>
    <row r="794" spans="1:17">
      <c r="A794" s="31" t="str">
        <f t="shared" si="24"/>
        <v/>
      </c>
      <c r="B794" s="159"/>
      <c r="C794" s="21"/>
      <c r="D794" s="97" t="str">
        <f>IF(C794="","",IFERROR(INDEX(②メンバー!$C$5:$C$104,MATCH(C794,②メンバー!$B$5:$B$104,0)),""))</f>
        <v/>
      </c>
      <c r="E794" s="24"/>
      <c r="F794" s="160"/>
      <c r="G794" s="20"/>
      <c r="H794" s="20"/>
      <c r="I794" s="20"/>
      <c r="J794" s="20"/>
      <c r="K794" s="20"/>
      <c r="L794" s="20"/>
      <c r="M794" s="20"/>
      <c r="N794" s="20"/>
      <c r="O794" s="24"/>
      <c r="P794" s="161" t="str">
        <f t="shared" si="25"/>
        <v/>
      </c>
      <c r="Q794" s="7"/>
    </row>
    <row r="795" spans="1:17">
      <c r="A795" s="31" t="str">
        <f t="shared" si="24"/>
        <v/>
      </c>
      <c r="B795" s="159"/>
      <c r="C795" s="21"/>
      <c r="D795" s="97" t="str">
        <f>IF(C795="","",IFERROR(INDEX(②メンバー!$C$5:$C$104,MATCH(C795,②メンバー!$B$5:$B$104,0)),""))</f>
        <v/>
      </c>
      <c r="E795" s="24"/>
      <c r="F795" s="160"/>
      <c r="G795" s="20"/>
      <c r="H795" s="20"/>
      <c r="I795" s="20"/>
      <c r="J795" s="20"/>
      <c r="K795" s="20"/>
      <c r="L795" s="20"/>
      <c r="M795" s="20"/>
      <c r="N795" s="20"/>
      <c r="O795" s="24"/>
      <c r="P795" s="161" t="str">
        <f t="shared" si="25"/>
        <v/>
      </c>
      <c r="Q795" s="7"/>
    </row>
    <row r="796" spans="1:17">
      <c r="A796" s="31" t="str">
        <f t="shared" si="24"/>
        <v/>
      </c>
      <c r="B796" s="159"/>
      <c r="C796" s="21"/>
      <c r="D796" s="97" t="str">
        <f>IF(C796="","",IFERROR(INDEX(②メンバー!$C$5:$C$104,MATCH(C796,②メンバー!$B$5:$B$104,0)),""))</f>
        <v/>
      </c>
      <c r="E796" s="24"/>
      <c r="F796" s="160"/>
      <c r="G796" s="20"/>
      <c r="H796" s="20"/>
      <c r="I796" s="20"/>
      <c r="J796" s="20"/>
      <c r="K796" s="20"/>
      <c r="L796" s="20"/>
      <c r="M796" s="20"/>
      <c r="N796" s="20"/>
      <c r="O796" s="24"/>
      <c r="P796" s="161" t="str">
        <f t="shared" si="25"/>
        <v/>
      </c>
      <c r="Q796" s="7"/>
    </row>
    <row r="797" spans="1:17">
      <c r="A797" s="31" t="str">
        <f t="shared" si="24"/>
        <v/>
      </c>
      <c r="B797" s="159"/>
      <c r="C797" s="21"/>
      <c r="D797" s="97" t="str">
        <f>IF(C797="","",IFERROR(INDEX(②メンバー!$C$5:$C$104,MATCH(C797,②メンバー!$B$5:$B$104,0)),""))</f>
        <v/>
      </c>
      <c r="E797" s="24"/>
      <c r="F797" s="160"/>
      <c r="G797" s="20"/>
      <c r="H797" s="20"/>
      <c r="I797" s="20"/>
      <c r="J797" s="20"/>
      <c r="K797" s="20"/>
      <c r="L797" s="20"/>
      <c r="M797" s="20"/>
      <c r="N797" s="20"/>
      <c r="O797" s="24"/>
      <c r="P797" s="161" t="str">
        <f t="shared" si="25"/>
        <v/>
      </c>
      <c r="Q797" s="7"/>
    </row>
    <row r="798" spans="1:17">
      <c r="A798" s="31" t="str">
        <f t="shared" si="24"/>
        <v/>
      </c>
      <c r="B798" s="159"/>
      <c r="C798" s="21"/>
      <c r="D798" s="97" t="str">
        <f>IF(C798="","",IFERROR(INDEX(②メンバー!$C$5:$C$104,MATCH(C798,②メンバー!$B$5:$B$104,0)),""))</f>
        <v/>
      </c>
      <c r="E798" s="24"/>
      <c r="F798" s="160"/>
      <c r="G798" s="20"/>
      <c r="H798" s="20"/>
      <c r="I798" s="20"/>
      <c r="J798" s="20"/>
      <c r="K798" s="20"/>
      <c r="L798" s="20"/>
      <c r="M798" s="20"/>
      <c r="N798" s="20"/>
      <c r="O798" s="24"/>
      <c r="P798" s="161" t="str">
        <f t="shared" si="25"/>
        <v/>
      </c>
      <c r="Q798" s="7"/>
    </row>
    <row r="799" spans="1:17">
      <c r="A799" s="31" t="str">
        <f t="shared" si="24"/>
        <v/>
      </c>
      <c r="B799" s="159"/>
      <c r="C799" s="21"/>
      <c r="D799" s="97" t="str">
        <f>IF(C799="","",IFERROR(INDEX(②メンバー!$C$5:$C$104,MATCH(C799,②メンバー!$B$5:$B$104,0)),""))</f>
        <v/>
      </c>
      <c r="E799" s="24"/>
      <c r="F799" s="160"/>
      <c r="G799" s="20"/>
      <c r="H799" s="20"/>
      <c r="I799" s="20"/>
      <c r="J799" s="20"/>
      <c r="K799" s="20"/>
      <c r="L799" s="20"/>
      <c r="M799" s="20"/>
      <c r="N799" s="20"/>
      <c r="O799" s="24"/>
      <c r="P799" s="161" t="str">
        <f t="shared" si="25"/>
        <v/>
      </c>
      <c r="Q799" s="7"/>
    </row>
    <row r="800" spans="1:17">
      <c r="A800" s="31" t="str">
        <f t="shared" si="24"/>
        <v/>
      </c>
      <c r="B800" s="159"/>
      <c r="C800" s="21"/>
      <c r="D800" s="97" t="str">
        <f>IF(C800="","",IFERROR(INDEX(②メンバー!$C$5:$C$104,MATCH(C800,②メンバー!$B$5:$B$104,0)),""))</f>
        <v/>
      </c>
      <c r="E800" s="24"/>
      <c r="F800" s="160"/>
      <c r="G800" s="20"/>
      <c r="H800" s="20"/>
      <c r="I800" s="20"/>
      <c r="J800" s="20"/>
      <c r="K800" s="20"/>
      <c r="L800" s="20"/>
      <c r="M800" s="20"/>
      <c r="N800" s="20"/>
      <c r="O800" s="24"/>
      <c r="P800" s="161" t="str">
        <f t="shared" si="25"/>
        <v/>
      </c>
      <c r="Q800" s="7"/>
    </row>
    <row r="801" spans="1:17">
      <c r="A801" s="31" t="str">
        <f t="shared" si="24"/>
        <v/>
      </c>
      <c r="B801" s="159"/>
      <c r="C801" s="21"/>
      <c r="D801" s="97" t="str">
        <f>IF(C801="","",IFERROR(INDEX(②メンバー!$C$5:$C$104,MATCH(C801,②メンバー!$B$5:$B$104,0)),""))</f>
        <v/>
      </c>
      <c r="E801" s="24"/>
      <c r="F801" s="160"/>
      <c r="G801" s="20"/>
      <c r="H801" s="20"/>
      <c r="I801" s="20"/>
      <c r="J801" s="20"/>
      <c r="K801" s="20"/>
      <c r="L801" s="20"/>
      <c r="M801" s="20"/>
      <c r="N801" s="20"/>
      <c r="O801" s="24"/>
      <c r="P801" s="161" t="str">
        <f t="shared" si="25"/>
        <v/>
      </c>
      <c r="Q801" s="7"/>
    </row>
    <row r="802" spans="1:17">
      <c r="A802" s="31" t="str">
        <f t="shared" si="24"/>
        <v/>
      </c>
      <c r="B802" s="159"/>
      <c r="C802" s="21"/>
      <c r="D802" s="97" t="str">
        <f>IF(C802="","",IFERROR(INDEX(②メンバー!$C$5:$C$104,MATCH(C802,②メンバー!$B$5:$B$104,0)),""))</f>
        <v/>
      </c>
      <c r="E802" s="24"/>
      <c r="F802" s="160"/>
      <c r="G802" s="20"/>
      <c r="H802" s="20"/>
      <c r="I802" s="20"/>
      <c r="J802" s="20"/>
      <c r="K802" s="20"/>
      <c r="L802" s="20"/>
      <c r="M802" s="20"/>
      <c r="N802" s="20"/>
      <c r="O802" s="24"/>
      <c r="P802" s="161" t="str">
        <f t="shared" si="25"/>
        <v/>
      </c>
      <c r="Q802" s="7"/>
    </row>
    <row r="803" spans="1:17">
      <c r="A803" s="31" t="str">
        <f t="shared" si="24"/>
        <v/>
      </c>
      <c r="B803" s="159"/>
      <c r="C803" s="21"/>
      <c r="D803" s="97" t="str">
        <f>IF(C803="","",IFERROR(INDEX(②メンバー!$C$5:$C$104,MATCH(C803,②メンバー!$B$5:$B$104,0)),""))</f>
        <v/>
      </c>
      <c r="E803" s="24"/>
      <c r="F803" s="160"/>
      <c r="G803" s="20"/>
      <c r="H803" s="20"/>
      <c r="I803" s="20"/>
      <c r="J803" s="20"/>
      <c r="K803" s="20"/>
      <c r="L803" s="20"/>
      <c r="M803" s="20"/>
      <c r="N803" s="20"/>
      <c r="O803" s="24"/>
      <c r="P803" s="161" t="str">
        <f t="shared" si="25"/>
        <v/>
      </c>
      <c r="Q803" s="7"/>
    </row>
    <row r="804" spans="1:17">
      <c r="A804" s="31" t="str">
        <f t="shared" si="24"/>
        <v/>
      </c>
      <c r="B804" s="159"/>
      <c r="C804" s="21"/>
      <c r="D804" s="97" t="str">
        <f>IF(C804="","",IFERROR(INDEX(②メンバー!$C$5:$C$104,MATCH(C804,②メンバー!$B$5:$B$104,0)),""))</f>
        <v/>
      </c>
      <c r="E804" s="24"/>
      <c r="F804" s="160"/>
      <c r="G804" s="20"/>
      <c r="H804" s="20"/>
      <c r="I804" s="20"/>
      <c r="J804" s="20"/>
      <c r="K804" s="20"/>
      <c r="L804" s="20"/>
      <c r="M804" s="20"/>
      <c r="N804" s="20"/>
      <c r="O804" s="24"/>
      <c r="P804" s="161" t="str">
        <f t="shared" si="25"/>
        <v/>
      </c>
      <c r="Q804" s="7"/>
    </row>
    <row r="805" spans="1:17">
      <c r="A805" s="31" t="str">
        <f t="shared" si="24"/>
        <v/>
      </c>
      <c r="B805" s="159"/>
      <c r="C805" s="21"/>
      <c r="D805" s="97" t="str">
        <f>IF(C805="","",IFERROR(INDEX(②メンバー!$C$5:$C$104,MATCH(C805,②メンバー!$B$5:$B$104,0)),""))</f>
        <v/>
      </c>
      <c r="E805" s="24"/>
      <c r="F805" s="160"/>
      <c r="G805" s="20"/>
      <c r="H805" s="20"/>
      <c r="I805" s="20"/>
      <c r="J805" s="20"/>
      <c r="K805" s="20"/>
      <c r="L805" s="20"/>
      <c r="M805" s="20"/>
      <c r="N805" s="20"/>
      <c r="O805" s="24"/>
      <c r="P805" s="161" t="str">
        <f t="shared" si="25"/>
        <v/>
      </c>
      <c r="Q805" s="7"/>
    </row>
    <row r="806" spans="1:17">
      <c r="A806" s="31" t="str">
        <f t="shared" si="24"/>
        <v/>
      </c>
      <c r="B806" s="159"/>
      <c r="C806" s="21"/>
      <c r="D806" s="97" t="str">
        <f>IF(C806="","",IFERROR(INDEX(②メンバー!$C$5:$C$104,MATCH(C806,②メンバー!$B$5:$B$104,0)),""))</f>
        <v/>
      </c>
      <c r="E806" s="24"/>
      <c r="F806" s="160"/>
      <c r="G806" s="20"/>
      <c r="H806" s="20"/>
      <c r="I806" s="20"/>
      <c r="J806" s="20"/>
      <c r="K806" s="20"/>
      <c r="L806" s="20"/>
      <c r="M806" s="20"/>
      <c r="N806" s="20"/>
      <c r="O806" s="24"/>
      <c r="P806" s="161" t="str">
        <f t="shared" si="25"/>
        <v/>
      </c>
      <c r="Q806" s="7"/>
    </row>
    <row r="807" spans="1:17">
      <c r="A807" s="31" t="str">
        <f t="shared" si="24"/>
        <v/>
      </c>
      <c r="B807" s="159"/>
      <c r="C807" s="21"/>
      <c r="D807" s="97" t="str">
        <f>IF(C807="","",IFERROR(INDEX(②メンバー!$C$5:$C$104,MATCH(C807,②メンバー!$B$5:$B$104,0)),""))</f>
        <v/>
      </c>
      <c r="E807" s="24"/>
      <c r="F807" s="160"/>
      <c r="G807" s="20"/>
      <c r="H807" s="20"/>
      <c r="I807" s="20"/>
      <c r="J807" s="20"/>
      <c r="K807" s="20"/>
      <c r="L807" s="20"/>
      <c r="M807" s="20"/>
      <c r="N807" s="20"/>
      <c r="O807" s="24"/>
      <c r="P807" s="161" t="str">
        <f t="shared" si="25"/>
        <v/>
      </c>
      <c r="Q807" s="7"/>
    </row>
    <row r="808" spans="1:17">
      <c r="A808" s="31" t="str">
        <f t="shared" si="24"/>
        <v/>
      </c>
      <c r="B808" s="159"/>
      <c r="C808" s="21"/>
      <c r="D808" s="97" t="str">
        <f>IF(C808="","",IFERROR(INDEX(②メンバー!$C$5:$C$104,MATCH(C808,②メンバー!$B$5:$B$104,0)),""))</f>
        <v/>
      </c>
      <c r="E808" s="24"/>
      <c r="F808" s="160"/>
      <c r="G808" s="20"/>
      <c r="H808" s="20"/>
      <c r="I808" s="20"/>
      <c r="J808" s="20"/>
      <c r="K808" s="20"/>
      <c r="L808" s="20"/>
      <c r="M808" s="20"/>
      <c r="N808" s="20"/>
      <c r="O808" s="24"/>
      <c r="P808" s="161" t="str">
        <f t="shared" si="25"/>
        <v/>
      </c>
      <c r="Q808" s="7"/>
    </row>
    <row r="809" spans="1:17">
      <c r="A809" s="31" t="str">
        <f t="shared" si="24"/>
        <v/>
      </c>
      <c r="B809" s="159"/>
      <c r="C809" s="21"/>
      <c r="D809" s="97" t="str">
        <f>IF(C809="","",IFERROR(INDEX(②メンバー!$C$5:$C$104,MATCH(C809,②メンバー!$B$5:$B$104,0)),""))</f>
        <v/>
      </c>
      <c r="E809" s="24"/>
      <c r="F809" s="160"/>
      <c r="G809" s="20"/>
      <c r="H809" s="20"/>
      <c r="I809" s="20"/>
      <c r="J809" s="20"/>
      <c r="K809" s="20"/>
      <c r="L809" s="20"/>
      <c r="M809" s="20"/>
      <c r="N809" s="20"/>
      <c r="O809" s="24"/>
      <c r="P809" s="161" t="str">
        <f t="shared" si="25"/>
        <v/>
      </c>
      <c r="Q809" s="7"/>
    </row>
    <row r="810" spans="1:17">
      <c r="A810" s="31" t="str">
        <f t="shared" si="24"/>
        <v/>
      </c>
      <c r="B810" s="159"/>
      <c r="C810" s="21"/>
      <c r="D810" s="97" t="str">
        <f>IF(C810="","",IFERROR(INDEX(②メンバー!$C$5:$C$104,MATCH(C810,②メンバー!$B$5:$B$104,0)),""))</f>
        <v/>
      </c>
      <c r="E810" s="24"/>
      <c r="F810" s="160"/>
      <c r="G810" s="20"/>
      <c r="H810" s="20"/>
      <c r="I810" s="20"/>
      <c r="J810" s="20"/>
      <c r="K810" s="20"/>
      <c r="L810" s="20"/>
      <c r="M810" s="20"/>
      <c r="N810" s="20"/>
      <c r="O810" s="24"/>
      <c r="P810" s="161" t="str">
        <f t="shared" si="25"/>
        <v/>
      </c>
      <c r="Q810" s="7"/>
    </row>
    <row r="811" spans="1:17">
      <c r="A811" s="31" t="str">
        <f t="shared" si="24"/>
        <v/>
      </c>
      <c r="B811" s="159"/>
      <c r="C811" s="21"/>
      <c r="D811" s="97" t="str">
        <f>IF(C811="","",IFERROR(INDEX(②メンバー!$C$5:$C$104,MATCH(C811,②メンバー!$B$5:$B$104,0)),""))</f>
        <v/>
      </c>
      <c r="E811" s="24"/>
      <c r="F811" s="160"/>
      <c r="G811" s="20"/>
      <c r="H811" s="20"/>
      <c r="I811" s="20"/>
      <c r="J811" s="20"/>
      <c r="K811" s="20"/>
      <c r="L811" s="20"/>
      <c r="M811" s="20"/>
      <c r="N811" s="20"/>
      <c r="O811" s="24"/>
      <c r="P811" s="161" t="str">
        <f t="shared" si="25"/>
        <v/>
      </c>
      <c r="Q811" s="7"/>
    </row>
    <row r="812" spans="1:17">
      <c r="A812" s="31" t="str">
        <f t="shared" si="24"/>
        <v/>
      </c>
      <c r="B812" s="159"/>
      <c r="C812" s="21"/>
      <c r="D812" s="97" t="str">
        <f>IF(C812="","",IFERROR(INDEX(②メンバー!$C$5:$C$104,MATCH(C812,②メンバー!$B$5:$B$104,0)),""))</f>
        <v/>
      </c>
      <c r="E812" s="24"/>
      <c r="F812" s="160"/>
      <c r="G812" s="20"/>
      <c r="H812" s="20"/>
      <c r="I812" s="20"/>
      <c r="J812" s="20"/>
      <c r="K812" s="20"/>
      <c r="L812" s="20"/>
      <c r="M812" s="20"/>
      <c r="N812" s="20"/>
      <c r="O812" s="24"/>
      <c r="P812" s="161" t="str">
        <f t="shared" si="25"/>
        <v/>
      </c>
      <c r="Q812" s="7"/>
    </row>
    <row r="813" spans="1:17">
      <c r="A813" s="31" t="str">
        <f t="shared" si="24"/>
        <v/>
      </c>
      <c r="B813" s="159"/>
      <c r="C813" s="21"/>
      <c r="D813" s="97" t="str">
        <f>IF(C813="","",IFERROR(INDEX(②メンバー!$C$5:$C$104,MATCH(C813,②メンバー!$B$5:$B$104,0)),""))</f>
        <v/>
      </c>
      <c r="E813" s="24"/>
      <c r="F813" s="160"/>
      <c r="G813" s="20"/>
      <c r="H813" s="20"/>
      <c r="I813" s="20"/>
      <c r="J813" s="20"/>
      <c r="K813" s="20"/>
      <c r="L813" s="20"/>
      <c r="M813" s="20"/>
      <c r="N813" s="20"/>
      <c r="O813" s="24"/>
      <c r="P813" s="161" t="str">
        <f t="shared" si="25"/>
        <v/>
      </c>
      <c r="Q813" s="7"/>
    </row>
    <row r="814" spans="1:17">
      <c r="A814" s="31" t="str">
        <f t="shared" si="24"/>
        <v/>
      </c>
      <c r="B814" s="159"/>
      <c r="C814" s="21"/>
      <c r="D814" s="97" t="str">
        <f>IF(C814="","",IFERROR(INDEX(②メンバー!$C$5:$C$104,MATCH(C814,②メンバー!$B$5:$B$104,0)),""))</f>
        <v/>
      </c>
      <c r="E814" s="24"/>
      <c r="F814" s="160"/>
      <c r="G814" s="20"/>
      <c r="H814" s="20"/>
      <c r="I814" s="20"/>
      <c r="J814" s="20"/>
      <c r="K814" s="20"/>
      <c r="L814" s="20"/>
      <c r="M814" s="20"/>
      <c r="N814" s="20"/>
      <c r="O814" s="24"/>
      <c r="P814" s="161" t="str">
        <f t="shared" si="25"/>
        <v/>
      </c>
      <c r="Q814" s="7"/>
    </row>
    <row r="815" spans="1:17">
      <c r="A815" s="31" t="str">
        <f t="shared" si="24"/>
        <v/>
      </c>
      <c r="B815" s="159"/>
      <c r="C815" s="21"/>
      <c r="D815" s="97" t="str">
        <f>IF(C815="","",IFERROR(INDEX(②メンバー!$C$5:$C$104,MATCH(C815,②メンバー!$B$5:$B$104,0)),""))</f>
        <v/>
      </c>
      <c r="E815" s="24"/>
      <c r="F815" s="160"/>
      <c r="G815" s="20"/>
      <c r="H815" s="20"/>
      <c r="I815" s="20"/>
      <c r="J815" s="20"/>
      <c r="K815" s="20"/>
      <c r="L815" s="20"/>
      <c r="M815" s="20"/>
      <c r="N815" s="20"/>
      <c r="O815" s="24"/>
      <c r="P815" s="161" t="str">
        <f t="shared" si="25"/>
        <v/>
      </c>
      <c r="Q815" s="7"/>
    </row>
    <row r="816" spans="1:17">
      <c r="A816" s="31" t="str">
        <f t="shared" si="24"/>
        <v/>
      </c>
      <c r="B816" s="159"/>
      <c r="C816" s="21"/>
      <c r="D816" s="97" t="str">
        <f>IF(C816="","",IFERROR(INDEX(②メンバー!$C$5:$C$104,MATCH(C816,②メンバー!$B$5:$B$104,0)),""))</f>
        <v/>
      </c>
      <c r="E816" s="24"/>
      <c r="F816" s="160"/>
      <c r="G816" s="20"/>
      <c r="H816" s="20"/>
      <c r="I816" s="20"/>
      <c r="J816" s="20"/>
      <c r="K816" s="20"/>
      <c r="L816" s="20"/>
      <c r="M816" s="20"/>
      <c r="N816" s="20"/>
      <c r="O816" s="24"/>
      <c r="P816" s="161" t="str">
        <f t="shared" si="25"/>
        <v/>
      </c>
      <c r="Q816" s="7"/>
    </row>
    <row r="817" spans="1:17">
      <c r="A817" s="31" t="str">
        <f t="shared" si="24"/>
        <v/>
      </c>
      <c r="B817" s="159"/>
      <c r="C817" s="21"/>
      <c r="D817" s="97" t="str">
        <f>IF(C817="","",IFERROR(INDEX(②メンバー!$C$5:$C$104,MATCH(C817,②メンバー!$B$5:$B$104,0)),""))</f>
        <v/>
      </c>
      <c r="E817" s="24"/>
      <c r="F817" s="160"/>
      <c r="G817" s="20"/>
      <c r="H817" s="20"/>
      <c r="I817" s="20"/>
      <c r="J817" s="20"/>
      <c r="K817" s="20"/>
      <c r="L817" s="20"/>
      <c r="M817" s="20"/>
      <c r="N817" s="20"/>
      <c r="O817" s="24"/>
      <c r="P817" s="161" t="str">
        <f t="shared" si="25"/>
        <v/>
      </c>
      <c r="Q817" s="7"/>
    </row>
    <row r="818" spans="1:17">
      <c r="A818" s="31" t="str">
        <f t="shared" si="24"/>
        <v/>
      </c>
      <c r="B818" s="159"/>
      <c r="C818" s="21"/>
      <c r="D818" s="97" t="str">
        <f>IF(C818="","",IFERROR(INDEX(②メンバー!$C$5:$C$104,MATCH(C818,②メンバー!$B$5:$B$104,0)),""))</f>
        <v/>
      </c>
      <c r="E818" s="24"/>
      <c r="F818" s="160"/>
      <c r="G818" s="20"/>
      <c r="H818" s="20"/>
      <c r="I818" s="20"/>
      <c r="J818" s="20"/>
      <c r="K818" s="20"/>
      <c r="L818" s="20"/>
      <c r="M818" s="20"/>
      <c r="N818" s="20"/>
      <c r="O818" s="24"/>
      <c r="P818" s="161" t="str">
        <f t="shared" si="25"/>
        <v/>
      </c>
      <c r="Q818" s="7"/>
    </row>
    <row r="819" spans="1:17">
      <c r="A819" s="31" t="str">
        <f t="shared" si="24"/>
        <v/>
      </c>
      <c r="B819" s="159"/>
      <c r="C819" s="21"/>
      <c r="D819" s="97" t="str">
        <f>IF(C819="","",IFERROR(INDEX(②メンバー!$C$5:$C$104,MATCH(C819,②メンバー!$B$5:$B$104,0)),""))</f>
        <v/>
      </c>
      <c r="E819" s="24"/>
      <c r="F819" s="160"/>
      <c r="G819" s="20"/>
      <c r="H819" s="20"/>
      <c r="I819" s="20"/>
      <c r="J819" s="20"/>
      <c r="K819" s="20"/>
      <c r="L819" s="20"/>
      <c r="M819" s="20"/>
      <c r="N819" s="20"/>
      <c r="O819" s="24"/>
      <c r="P819" s="161" t="str">
        <f t="shared" si="25"/>
        <v/>
      </c>
      <c r="Q819" s="7"/>
    </row>
    <row r="820" spans="1:17">
      <c r="A820" s="31" t="str">
        <f t="shared" si="24"/>
        <v/>
      </c>
      <c r="B820" s="159"/>
      <c r="C820" s="21"/>
      <c r="D820" s="97" t="str">
        <f>IF(C820="","",IFERROR(INDEX(②メンバー!$C$5:$C$104,MATCH(C820,②メンバー!$B$5:$B$104,0)),""))</f>
        <v/>
      </c>
      <c r="E820" s="24"/>
      <c r="F820" s="160"/>
      <c r="G820" s="20"/>
      <c r="H820" s="20"/>
      <c r="I820" s="20"/>
      <c r="J820" s="20"/>
      <c r="K820" s="20"/>
      <c r="L820" s="20"/>
      <c r="M820" s="20"/>
      <c r="N820" s="20"/>
      <c r="O820" s="24"/>
      <c r="P820" s="161" t="str">
        <f t="shared" si="25"/>
        <v/>
      </c>
      <c r="Q820" s="7"/>
    </row>
    <row r="821" spans="1:17">
      <c r="A821" s="31" t="str">
        <f t="shared" si="24"/>
        <v/>
      </c>
      <c r="B821" s="159"/>
      <c r="C821" s="21"/>
      <c r="D821" s="97" t="str">
        <f>IF(C821="","",IFERROR(INDEX(②メンバー!$C$5:$C$104,MATCH(C821,②メンバー!$B$5:$B$104,0)),""))</f>
        <v/>
      </c>
      <c r="E821" s="24"/>
      <c r="F821" s="160"/>
      <c r="G821" s="20"/>
      <c r="H821" s="20"/>
      <c r="I821" s="20"/>
      <c r="J821" s="20"/>
      <c r="K821" s="20"/>
      <c r="L821" s="20"/>
      <c r="M821" s="20"/>
      <c r="N821" s="20"/>
      <c r="O821" s="24"/>
      <c r="P821" s="161" t="str">
        <f t="shared" si="25"/>
        <v/>
      </c>
      <c r="Q821" s="7"/>
    </row>
    <row r="822" spans="1:17">
      <c r="A822" s="31" t="str">
        <f t="shared" si="24"/>
        <v/>
      </c>
      <c r="B822" s="159"/>
      <c r="C822" s="21"/>
      <c r="D822" s="97" t="str">
        <f>IF(C822="","",IFERROR(INDEX(②メンバー!$C$5:$C$104,MATCH(C822,②メンバー!$B$5:$B$104,0)),""))</f>
        <v/>
      </c>
      <c r="E822" s="24"/>
      <c r="F822" s="160"/>
      <c r="G822" s="20"/>
      <c r="H822" s="20"/>
      <c r="I822" s="20"/>
      <c r="J822" s="20"/>
      <c r="K822" s="20"/>
      <c r="L822" s="20"/>
      <c r="M822" s="20"/>
      <c r="N822" s="20"/>
      <c r="O822" s="24"/>
      <c r="P822" s="161" t="str">
        <f t="shared" si="25"/>
        <v/>
      </c>
      <c r="Q822" s="7"/>
    </row>
    <row r="823" spans="1:17">
      <c r="A823" s="31" t="str">
        <f t="shared" si="24"/>
        <v/>
      </c>
      <c r="B823" s="159"/>
      <c r="C823" s="21"/>
      <c r="D823" s="97" t="str">
        <f>IF(C823="","",IFERROR(INDEX(②メンバー!$C$5:$C$104,MATCH(C823,②メンバー!$B$5:$B$104,0)),""))</f>
        <v/>
      </c>
      <c r="E823" s="24"/>
      <c r="F823" s="160"/>
      <c r="G823" s="20"/>
      <c r="H823" s="20"/>
      <c r="I823" s="20"/>
      <c r="J823" s="20"/>
      <c r="K823" s="20"/>
      <c r="L823" s="20"/>
      <c r="M823" s="20"/>
      <c r="N823" s="20"/>
      <c r="O823" s="24"/>
      <c r="P823" s="161" t="str">
        <f t="shared" si="25"/>
        <v/>
      </c>
      <c r="Q823" s="7"/>
    </row>
    <row r="824" spans="1:17">
      <c r="A824" s="31" t="str">
        <f t="shared" si="24"/>
        <v/>
      </c>
      <c r="B824" s="159"/>
      <c r="C824" s="21"/>
      <c r="D824" s="97" t="str">
        <f>IF(C824="","",IFERROR(INDEX(②メンバー!$C$5:$C$104,MATCH(C824,②メンバー!$B$5:$B$104,0)),""))</f>
        <v/>
      </c>
      <c r="E824" s="24"/>
      <c r="F824" s="160"/>
      <c r="G824" s="20"/>
      <c r="H824" s="20"/>
      <c r="I824" s="20"/>
      <c r="J824" s="20"/>
      <c r="K824" s="20"/>
      <c r="L824" s="20"/>
      <c r="M824" s="20"/>
      <c r="N824" s="20"/>
      <c r="O824" s="24"/>
      <c r="P824" s="161" t="str">
        <f t="shared" si="25"/>
        <v/>
      </c>
      <c r="Q824" s="7"/>
    </row>
    <row r="825" spans="1:17">
      <c r="A825" s="31" t="str">
        <f t="shared" si="24"/>
        <v/>
      </c>
      <c r="B825" s="159"/>
      <c r="C825" s="21"/>
      <c r="D825" s="97" t="str">
        <f>IF(C825="","",IFERROR(INDEX(②メンバー!$C$5:$C$104,MATCH(C825,②メンバー!$B$5:$B$104,0)),""))</f>
        <v/>
      </c>
      <c r="E825" s="24"/>
      <c r="F825" s="160"/>
      <c r="G825" s="20"/>
      <c r="H825" s="20"/>
      <c r="I825" s="20"/>
      <c r="J825" s="20"/>
      <c r="K825" s="20"/>
      <c r="L825" s="20"/>
      <c r="M825" s="20"/>
      <c r="N825" s="20"/>
      <c r="O825" s="24"/>
      <c r="P825" s="161" t="str">
        <f t="shared" si="25"/>
        <v/>
      </c>
      <c r="Q825" s="7"/>
    </row>
    <row r="826" spans="1:17">
      <c r="A826" s="31" t="str">
        <f t="shared" si="24"/>
        <v/>
      </c>
      <c r="B826" s="159"/>
      <c r="C826" s="21"/>
      <c r="D826" s="97" t="str">
        <f>IF(C826="","",IFERROR(INDEX(②メンバー!$C$5:$C$104,MATCH(C826,②メンバー!$B$5:$B$104,0)),""))</f>
        <v/>
      </c>
      <c r="E826" s="24"/>
      <c r="F826" s="160"/>
      <c r="G826" s="20"/>
      <c r="H826" s="20"/>
      <c r="I826" s="20"/>
      <c r="J826" s="20"/>
      <c r="K826" s="20"/>
      <c r="L826" s="20"/>
      <c r="M826" s="20"/>
      <c r="N826" s="20"/>
      <c r="O826" s="24"/>
      <c r="P826" s="161" t="str">
        <f t="shared" si="25"/>
        <v/>
      </c>
      <c r="Q826" s="7"/>
    </row>
    <row r="827" spans="1:17">
      <c r="A827" s="31" t="str">
        <f t="shared" si="24"/>
        <v/>
      </c>
      <c r="B827" s="159"/>
      <c r="C827" s="21"/>
      <c r="D827" s="97" t="str">
        <f>IF(C827="","",IFERROR(INDEX(②メンバー!$C$5:$C$104,MATCH(C827,②メンバー!$B$5:$B$104,0)),""))</f>
        <v/>
      </c>
      <c r="E827" s="24"/>
      <c r="F827" s="160"/>
      <c r="G827" s="20"/>
      <c r="H827" s="20"/>
      <c r="I827" s="20"/>
      <c r="J827" s="20"/>
      <c r="K827" s="20"/>
      <c r="L827" s="20"/>
      <c r="M827" s="20"/>
      <c r="N827" s="20"/>
      <c r="O827" s="24"/>
      <c r="P827" s="161" t="str">
        <f t="shared" si="25"/>
        <v/>
      </c>
      <c r="Q827" s="7"/>
    </row>
    <row r="828" spans="1:17">
      <c r="A828" s="31" t="str">
        <f t="shared" si="24"/>
        <v/>
      </c>
      <c r="B828" s="159"/>
      <c r="C828" s="21"/>
      <c r="D828" s="97" t="str">
        <f>IF(C828="","",IFERROR(INDEX(②メンバー!$C$5:$C$104,MATCH(C828,②メンバー!$B$5:$B$104,0)),""))</f>
        <v/>
      </c>
      <c r="E828" s="24"/>
      <c r="F828" s="160"/>
      <c r="G828" s="20"/>
      <c r="H828" s="20"/>
      <c r="I828" s="20"/>
      <c r="J828" s="20"/>
      <c r="K828" s="20"/>
      <c r="L828" s="20"/>
      <c r="M828" s="20"/>
      <c r="N828" s="20"/>
      <c r="O828" s="24"/>
      <c r="P828" s="161" t="str">
        <f t="shared" si="25"/>
        <v/>
      </c>
      <c r="Q828" s="7"/>
    </row>
    <row r="829" spans="1:17">
      <c r="A829" s="31" t="str">
        <f t="shared" si="24"/>
        <v/>
      </c>
      <c r="B829" s="159"/>
      <c r="C829" s="21"/>
      <c r="D829" s="97" t="str">
        <f>IF(C829="","",IFERROR(INDEX(②メンバー!$C$5:$C$104,MATCH(C829,②メンバー!$B$5:$B$104,0)),""))</f>
        <v/>
      </c>
      <c r="E829" s="24"/>
      <c r="F829" s="160"/>
      <c r="G829" s="20"/>
      <c r="H829" s="20"/>
      <c r="I829" s="20"/>
      <c r="J829" s="20"/>
      <c r="K829" s="20"/>
      <c r="L829" s="20"/>
      <c r="M829" s="20"/>
      <c r="N829" s="20"/>
      <c r="O829" s="24"/>
      <c r="P829" s="161" t="str">
        <f t="shared" si="25"/>
        <v/>
      </c>
      <c r="Q829" s="7"/>
    </row>
    <row r="830" spans="1:17">
      <c r="A830" s="31" t="str">
        <f t="shared" si="24"/>
        <v/>
      </c>
      <c r="B830" s="159"/>
      <c r="C830" s="21"/>
      <c r="D830" s="97" t="str">
        <f>IF(C830="","",IFERROR(INDEX(②メンバー!$C$5:$C$104,MATCH(C830,②メンバー!$B$5:$B$104,0)),""))</f>
        <v/>
      </c>
      <c r="E830" s="24"/>
      <c r="F830" s="160"/>
      <c r="G830" s="20"/>
      <c r="H830" s="20"/>
      <c r="I830" s="20"/>
      <c r="J830" s="20"/>
      <c r="K830" s="20"/>
      <c r="L830" s="20"/>
      <c r="M830" s="20"/>
      <c r="N830" s="20"/>
      <c r="O830" s="24"/>
      <c r="P830" s="161" t="str">
        <f t="shared" si="25"/>
        <v/>
      </c>
      <c r="Q830" s="7"/>
    </row>
    <row r="831" spans="1:17">
      <c r="A831" s="31" t="str">
        <f t="shared" si="24"/>
        <v/>
      </c>
      <c r="B831" s="159"/>
      <c r="C831" s="21"/>
      <c r="D831" s="97" t="str">
        <f>IF(C831="","",IFERROR(INDEX(②メンバー!$C$5:$C$104,MATCH(C831,②メンバー!$B$5:$B$104,0)),""))</f>
        <v/>
      </c>
      <c r="E831" s="24"/>
      <c r="F831" s="160"/>
      <c r="G831" s="20"/>
      <c r="H831" s="20"/>
      <c r="I831" s="20"/>
      <c r="J831" s="20"/>
      <c r="K831" s="20"/>
      <c r="L831" s="20"/>
      <c r="M831" s="20"/>
      <c r="N831" s="20"/>
      <c r="O831" s="24"/>
      <c r="P831" s="161" t="str">
        <f t="shared" si="25"/>
        <v/>
      </c>
      <c r="Q831" s="7"/>
    </row>
    <row r="832" spans="1:17">
      <c r="A832" s="31" t="str">
        <f t="shared" si="24"/>
        <v/>
      </c>
      <c r="B832" s="159"/>
      <c r="C832" s="21"/>
      <c r="D832" s="97" t="str">
        <f>IF(C832="","",IFERROR(INDEX(②メンバー!$C$5:$C$104,MATCH(C832,②メンバー!$B$5:$B$104,0)),""))</f>
        <v/>
      </c>
      <c r="E832" s="24"/>
      <c r="F832" s="160"/>
      <c r="G832" s="20"/>
      <c r="H832" s="20"/>
      <c r="I832" s="20"/>
      <c r="J832" s="20"/>
      <c r="K832" s="20"/>
      <c r="L832" s="20"/>
      <c r="M832" s="20"/>
      <c r="N832" s="20"/>
      <c r="O832" s="24"/>
      <c r="P832" s="161" t="str">
        <f t="shared" si="25"/>
        <v/>
      </c>
      <c r="Q832" s="7"/>
    </row>
    <row r="833" spans="1:17">
      <c r="A833" s="31" t="str">
        <f t="shared" si="24"/>
        <v/>
      </c>
      <c r="B833" s="159"/>
      <c r="C833" s="21"/>
      <c r="D833" s="97" t="str">
        <f>IF(C833="","",IFERROR(INDEX(②メンバー!$C$5:$C$104,MATCH(C833,②メンバー!$B$5:$B$104,0)),""))</f>
        <v/>
      </c>
      <c r="E833" s="24"/>
      <c r="F833" s="160"/>
      <c r="G833" s="20"/>
      <c r="H833" s="20"/>
      <c r="I833" s="20"/>
      <c r="J833" s="20"/>
      <c r="K833" s="20"/>
      <c r="L833" s="20"/>
      <c r="M833" s="20"/>
      <c r="N833" s="20"/>
      <c r="O833" s="24"/>
      <c r="P833" s="161" t="str">
        <f t="shared" si="25"/>
        <v/>
      </c>
      <c r="Q833" s="7"/>
    </row>
    <row r="834" spans="1:17">
      <c r="A834" s="31" t="str">
        <f t="shared" si="24"/>
        <v/>
      </c>
      <c r="B834" s="159"/>
      <c r="C834" s="21"/>
      <c r="D834" s="97" t="str">
        <f>IF(C834="","",IFERROR(INDEX(②メンバー!$C$5:$C$104,MATCH(C834,②メンバー!$B$5:$B$104,0)),""))</f>
        <v/>
      </c>
      <c r="E834" s="24"/>
      <c r="F834" s="160"/>
      <c r="G834" s="20"/>
      <c r="H834" s="20"/>
      <c r="I834" s="20"/>
      <c r="J834" s="20"/>
      <c r="K834" s="20"/>
      <c r="L834" s="20"/>
      <c r="M834" s="20"/>
      <c r="N834" s="20"/>
      <c r="O834" s="24"/>
      <c r="P834" s="161" t="str">
        <f t="shared" si="25"/>
        <v/>
      </c>
      <c r="Q834" s="7"/>
    </row>
    <row r="835" spans="1:17">
      <c r="A835" s="31" t="str">
        <f t="shared" si="24"/>
        <v/>
      </c>
      <c r="B835" s="159"/>
      <c r="C835" s="21"/>
      <c r="D835" s="97" t="str">
        <f>IF(C835="","",IFERROR(INDEX(②メンバー!$C$5:$C$104,MATCH(C835,②メンバー!$B$5:$B$104,0)),""))</f>
        <v/>
      </c>
      <c r="E835" s="24"/>
      <c r="F835" s="160"/>
      <c r="G835" s="20"/>
      <c r="H835" s="20"/>
      <c r="I835" s="20"/>
      <c r="J835" s="20"/>
      <c r="K835" s="20"/>
      <c r="L835" s="20"/>
      <c r="M835" s="20"/>
      <c r="N835" s="20"/>
      <c r="O835" s="24"/>
      <c r="P835" s="161" t="str">
        <f t="shared" si="25"/>
        <v/>
      </c>
      <c r="Q835" s="7"/>
    </row>
    <row r="836" spans="1:17">
      <c r="A836" s="31" t="str">
        <f t="shared" si="24"/>
        <v/>
      </c>
      <c r="B836" s="159"/>
      <c r="C836" s="21"/>
      <c r="D836" s="97" t="str">
        <f>IF(C836="","",IFERROR(INDEX(②メンバー!$C$5:$C$104,MATCH(C836,②メンバー!$B$5:$B$104,0)),""))</f>
        <v/>
      </c>
      <c r="E836" s="24"/>
      <c r="F836" s="160"/>
      <c r="G836" s="20"/>
      <c r="H836" s="20"/>
      <c r="I836" s="20"/>
      <c r="J836" s="20"/>
      <c r="K836" s="20"/>
      <c r="L836" s="20"/>
      <c r="M836" s="20"/>
      <c r="N836" s="20"/>
      <c r="O836" s="24"/>
      <c r="P836" s="161" t="str">
        <f t="shared" si="25"/>
        <v/>
      </c>
      <c r="Q836" s="7"/>
    </row>
    <row r="837" spans="1:17">
      <c r="A837" s="31" t="str">
        <f t="shared" si="24"/>
        <v/>
      </c>
      <c r="B837" s="159"/>
      <c r="C837" s="21"/>
      <c r="D837" s="97" t="str">
        <f>IF(C837="","",IFERROR(INDEX(②メンバー!$C$5:$C$104,MATCH(C837,②メンバー!$B$5:$B$104,0)),""))</f>
        <v/>
      </c>
      <c r="E837" s="24"/>
      <c r="F837" s="160"/>
      <c r="G837" s="20"/>
      <c r="H837" s="20"/>
      <c r="I837" s="20"/>
      <c r="J837" s="20"/>
      <c r="K837" s="20"/>
      <c r="L837" s="20"/>
      <c r="M837" s="20"/>
      <c r="N837" s="20"/>
      <c r="O837" s="24"/>
      <c r="P837" s="161" t="str">
        <f t="shared" si="25"/>
        <v/>
      </c>
      <c r="Q837" s="7"/>
    </row>
    <row r="838" spans="1:17">
      <c r="A838" s="31" t="str">
        <f t="shared" ref="A838:A901" si="26">IF(B838="","",ROW()-5)</f>
        <v/>
      </c>
      <c r="B838" s="159"/>
      <c r="C838" s="21"/>
      <c r="D838" s="97" t="str">
        <f>IF(C838="","",IFERROR(INDEX(②メンバー!$C$5:$C$104,MATCH(C838,②メンバー!$B$5:$B$104,0)),""))</f>
        <v/>
      </c>
      <c r="E838" s="24"/>
      <c r="F838" s="160"/>
      <c r="G838" s="20"/>
      <c r="H838" s="20"/>
      <c r="I838" s="20"/>
      <c r="J838" s="20"/>
      <c r="K838" s="20"/>
      <c r="L838" s="20"/>
      <c r="M838" s="20"/>
      <c r="N838" s="20"/>
      <c r="O838" s="24"/>
      <c r="P838" s="161" t="str">
        <f t="shared" ref="P838:P901" si="27">IF(C838="","",IF(COUNTA(F838:O838)=0,IF(E838="出勤","いつもの時間","終日"),TRIM(IF(COUNTIF(F838:O838,"休")&gt;0,"休 "&amp;COUNTIF(F838:O838,"休")&amp;"h ","")&amp;IF(COUNTIF(F838:O838,"出")&gt;0,"出 "&amp;COUNTIF(F838:O838,"出")&amp;"h",""))))</f>
        <v/>
      </c>
      <c r="Q838" s="7"/>
    </row>
    <row r="839" spans="1:17">
      <c r="A839" s="31" t="str">
        <f t="shared" si="26"/>
        <v/>
      </c>
      <c r="B839" s="159"/>
      <c r="C839" s="21"/>
      <c r="D839" s="97" t="str">
        <f>IF(C839="","",IFERROR(INDEX(②メンバー!$C$5:$C$104,MATCH(C839,②メンバー!$B$5:$B$104,0)),""))</f>
        <v/>
      </c>
      <c r="E839" s="24"/>
      <c r="F839" s="160"/>
      <c r="G839" s="20"/>
      <c r="H839" s="20"/>
      <c r="I839" s="20"/>
      <c r="J839" s="20"/>
      <c r="K839" s="20"/>
      <c r="L839" s="20"/>
      <c r="M839" s="20"/>
      <c r="N839" s="20"/>
      <c r="O839" s="24"/>
      <c r="P839" s="161" t="str">
        <f t="shared" si="27"/>
        <v/>
      </c>
      <c r="Q839" s="7"/>
    </row>
    <row r="840" spans="1:17">
      <c r="A840" s="31" t="str">
        <f t="shared" si="26"/>
        <v/>
      </c>
      <c r="B840" s="159"/>
      <c r="C840" s="21"/>
      <c r="D840" s="97" t="str">
        <f>IF(C840="","",IFERROR(INDEX(②メンバー!$C$5:$C$104,MATCH(C840,②メンバー!$B$5:$B$104,0)),""))</f>
        <v/>
      </c>
      <c r="E840" s="24"/>
      <c r="F840" s="160"/>
      <c r="G840" s="20"/>
      <c r="H840" s="20"/>
      <c r="I840" s="20"/>
      <c r="J840" s="20"/>
      <c r="K840" s="20"/>
      <c r="L840" s="20"/>
      <c r="M840" s="20"/>
      <c r="N840" s="20"/>
      <c r="O840" s="24"/>
      <c r="P840" s="161" t="str">
        <f t="shared" si="27"/>
        <v/>
      </c>
      <c r="Q840" s="7"/>
    </row>
    <row r="841" spans="1:17">
      <c r="A841" s="31" t="str">
        <f t="shared" si="26"/>
        <v/>
      </c>
      <c r="B841" s="159"/>
      <c r="C841" s="21"/>
      <c r="D841" s="97" t="str">
        <f>IF(C841="","",IFERROR(INDEX(②メンバー!$C$5:$C$104,MATCH(C841,②メンバー!$B$5:$B$104,0)),""))</f>
        <v/>
      </c>
      <c r="E841" s="24"/>
      <c r="F841" s="160"/>
      <c r="G841" s="20"/>
      <c r="H841" s="20"/>
      <c r="I841" s="20"/>
      <c r="J841" s="20"/>
      <c r="K841" s="20"/>
      <c r="L841" s="20"/>
      <c r="M841" s="20"/>
      <c r="N841" s="20"/>
      <c r="O841" s="24"/>
      <c r="P841" s="161" t="str">
        <f t="shared" si="27"/>
        <v/>
      </c>
      <c r="Q841" s="7"/>
    </row>
    <row r="842" spans="1:17">
      <c r="A842" s="31" t="str">
        <f t="shared" si="26"/>
        <v/>
      </c>
      <c r="B842" s="159"/>
      <c r="C842" s="21"/>
      <c r="D842" s="97" t="str">
        <f>IF(C842="","",IFERROR(INDEX(②メンバー!$C$5:$C$104,MATCH(C842,②メンバー!$B$5:$B$104,0)),""))</f>
        <v/>
      </c>
      <c r="E842" s="24"/>
      <c r="F842" s="160"/>
      <c r="G842" s="20"/>
      <c r="H842" s="20"/>
      <c r="I842" s="20"/>
      <c r="J842" s="20"/>
      <c r="K842" s="20"/>
      <c r="L842" s="20"/>
      <c r="M842" s="20"/>
      <c r="N842" s="20"/>
      <c r="O842" s="24"/>
      <c r="P842" s="161" t="str">
        <f t="shared" si="27"/>
        <v/>
      </c>
      <c r="Q842" s="7"/>
    </row>
    <row r="843" spans="1:17">
      <c r="A843" s="31" t="str">
        <f t="shared" si="26"/>
        <v/>
      </c>
      <c r="B843" s="159"/>
      <c r="C843" s="21"/>
      <c r="D843" s="97" t="str">
        <f>IF(C843="","",IFERROR(INDEX(②メンバー!$C$5:$C$104,MATCH(C843,②メンバー!$B$5:$B$104,0)),""))</f>
        <v/>
      </c>
      <c r="E843" s="24"/>
      <c r="F843" s="160"/>
      <c r="G843" s="20"/>
      <c r="H843" s="20"/>
      <c r="I843" s="20"/>
      <c r="J843" s="20"/>
      <c r="K843" s="20"/>
      <c r="L843" s="20"/>
      <c r="M843" s="20"/>
      <c r="N843" s="20"/>
      <c r="O843" s="24"/>
      <c r="P843" s="161" t="str">
        <f t="shared" si="27"/>
        <v/>
      </c>
      <c r="Q843" s="7"/>
    </row>
    <row r="844" spans="1:17">
      <c r="A844" s="31" t="str">
        <f t="shared" si="26"/>
        <v/>
      </c>
      <c r="B844" s="159"/>
      <c r="C844" s="21"/>
      <c r="D844" s="97" t="str">
        <f>IF(C844="","",IFERROR(INDEX(②メンバー!$C$5:$C$104,MATCH(C844,②メンバー!$B$5:$B$104,0)),""))</f>
        <v/>
      </c>
      <c r="E844" s="24"/>
      <c r="F844" s="160"/>
      <c r="G844" s="20"/>
      <c r="H844" s="20"/>
      <c r="I844" s="20"/>
      <c r="J844" s="20"/>
      <c r="K844" s="20"/>
      <c r="L844" s="20"/>
      <c r="M844" s="20"/>
      <c r="N844" s="20"/>
      <c r="O844" s="24"/>
      <c r="P844" s="161" t="str">
        <f t="shared" si="27"/>
        <v/>
      </c>
      <c r="Q844" s="7"/>
    </row>
    <row r="845" spans="1:17">
      <c r="A845" s="31" t="str">
        <f t="shared" si="26"/>
        <v/>
      </c>
      <c r="B845" s="159"/>
      <c r="C845" s="21"/>
      <c r="D845" s="97" t="str">
        <f>IF(C845="","",IFERROR(INDEX(②メンバー!$C$5:$C$104,MATCH(C845,②メンバー!$B$5:$B$104,0)),""))</f>
        <v/>
      </c>
      <c r="E845" s="24"/>
      <c r="F845" s="160"/>
      <c r="G845" s="20"/>
      <c r="H845" s="20"/>
      <c r="I845" s="20"/>
      <c r="J845" s="20"/>
      <c r="K845" s="20"/>
      <c r="L845" s="20"/>
      <c r="M845" s="20"/>
      <c r="N845" s="20"/>
      <c r="O845" s="24"/>
      <c r="P845" s="161" t="str">
        <f t="shared" si="27"/>
        <v/>
      </c>
      <c r="Q845" s="7"/>
    </row>
    <row r="846" spans="1:17">
      <c r="A846" s="31" t="str">
        <f t="shared" si="26"/>
        <v/>
      </c>
      <c r="B846" s="159"/>
      <c r="C846" s="21"/>
      <c r="D846" s="97" t="str">
        <f>IF(C846="","",IFERROR(INDEX(②メンバー!$C$5:$C$104,MATCH(C846,②メンバー!$B$5:$B$104,0)),""))</f>
        <v/>
      </c>
      <c r="E846" s="24"/>
      <c r="F846" s="160"/>
      <c r="G846" s="20"/>
      <c r="H846" s="20"/>
      <c r="I846" s="20"/>
      <c r="J846" s="20"/>
      <c r="K846" s="20"/>
      <c r="L846" s="20"/>
      <c r="M846" s="20"/>
      <c r="N846" s="20"/>
      <c r="O846" s="24"/>
      <c r="P846" s="161" t="str">
        <f t="shared" si="27"/>
        <v/>
      </c>
      <c r="Q846" s="7"/>
    </row>
    <row r="847" spans="1:17">
      <c r="A847" s="31" t="str">
        <f t="shared" si="26"/>
        <v/>
      </c>
      <c r="B847" s="159"/>
      <c r="C847" s="21"/>
      <c r="D847" s="97" t="str">
        <f>IF(C847="","",IFERROR(INDEX(②メンバー!$C$5:$C$104,MATCH(C847,②メンバー!$B$5:$B$104,0)),""))</f>
        <v/>
      </c>
      <c r="E847" s="24"/>
      <c r="F847" s="160"/>
      <c r="G847" s="20"/>
      <c r="H847" s="20"/>
      <c r="I847" s="20"/>
      <c r="J847" s="20"/>
      <c r="K847" s="20"/>
      <c r="L847" s="20"/>
      <c r="M847" s="20"/>
      <c r="N847" s="20"/>
      <c r="O847" s="24"/>
      <c r="P847" s="161" t="str">
        <f t="shared" si="27"/>
        <v/>
      </c>
      <c r="Q847" s="7"/>
    </row>
    <row r="848" spans="1:17">
      <c r="A848" s="31" t="str">
        <f t="shared" si="26"/>
        <v/>
      </c>
      <c r="B848" s="159"/>
      <c r="C848" s="21"/>
      <c r="D848" s="97" t="str">
        <f>IF(C848="","",IFERROR(INDEX(②メンバー!$C$5:$C$104,MATCH(C848,②メンバー!$B$5:$B$104,0)),""))</f>
        <v/>
      </c>
      <c r="E848" s="24"/>
      <c r="F848" s="160"/>
      <c r="G848" s="20"/>
      <c r="H848" s="20"/>
      <c r="I848" s="20"/>
      <c r="J848" s="20"/>
      <c r="K848" s="20"/>
      <c r="L848" s="20"/>
      <c r="M848" s="20"/>
      <c r="N848" s="20"/>
      <c r="O848" s="24"/>
      <c r="P848" s="161" t="str">
        <f t="shared" si="27"/>
        <v/>
      </c>
      <c r="Q848" s="7"/>
    </row>
    <row r="849" spans="1:17">
      <c r="A849" s="31" t="str">
        <f t="shared" si="26"/>
        <v/>
      </c>
      <c r="B849" s="159"/>
      <c r="C849" s="21"/>
      <c r="D849" s="97" t="str">
        <f>IF(C849="","",IFERROR(INDEX(②メンバー!$C$5:$C$104,MATCH(C849,②メンバー!$B$5:$B$104,0)),""))</f>
        <v/>
      </c>
      <c r="E849" s="24"/>
      <c r="F849" s="160"/>
      <c r="G849" s="20"/>
      <c r="H849" s="20"/>
      <c r="I849" s="20"/>
      <c r="J849" s="20"/>
      <c r="K849" s="20"/>
      <c r="L849" s="20"/>
      <c r="M849" s="20"/>
      <c r="N849" s="20"/>
      <c r="O849" s="24"/>
      <c r="P849" s="161" t="str">
        <f t="shared" si="27"/>
        <v/>
      </c>
      <c r="Q849" s="7"/>
    </row>
    <row r="850" spans="1:17">
      <c r="A850" s="31" t="str">
        <f t="shared" si="26"/>
        <v/>
      </c>
      <c r="B850" s="159"/>
      <c r="C850" s="21"/>
      <c r="D850" s="97" t="str">
        <f>IF(C850="","",IFERROR(INDEX(②メンバー!$C$5:$C$104,MATCH(C850,②メンバー!$B$5:$B$104,0)),""))</f>
        <v/>
      </c>
      <c r="E850" s="24"/>
      <c r="F850" s="160"/>
      <c r="G850" s="20"/>
      <c r="H850" s="20"/>
      <c r="I850" s="20"/>
      <c r="J850" s="20"/>
      <c r="K850" s="20"/>
      <c r="L850" s="20"/>
      <c r="M850" s="20"/>
      <c r="N850" s="20"/>
      <c r="O850" s="24"/>
      <c r="P850" s="161" t="str">
        <f t="shared" si="27"/>
        <v/>
      </c>
      <c r="Q850" s="7"/>
    </row>
    <row r="851" spans="1:17">
      <c r="A851" s="31" t="str">
        <f t="shared" si="26"/>
        <v/>
      </c>
      <c r="B851" s="159"/>
      <c r="C851" s="21"/>
      <c r="D851" s="97" t="str">
        <f>IF(C851="","",IFERROR(INDEX(②メンバー!$C$5:$C$104,MATCH(C851,②メンバー!$B$5:$B$104,0)),""))</f>
        <v/>
      </c>
      <c r="E851" s="24"/>
      <c r="F851" s="160"/>
      <c r="G851" s="20"/>
      <c r="H851" s="20"/>
      <c r="I851" s="20"/>
      <c r="J851" s="20"/>
      <c r="K851" s="20"/>
      <c r="L851" s="20"/>
      <c r="M851" s="20"/>
      <c r="N851" s="20"/>
      <c r="O851" s="24"/>
      <c r="P851" s="161" t="str">
        <f t="shared" si="27"/>
        <v/>
      </c>
      <c r="Q851" s="7"/>
    </row>
    <row r="852" spans="1:17">
      <c r="A852" s="31" t="str">
        <f t="shared" si="26"/>
        <v/>
      </c>
      <c r="B852" s="159"/>
      <c r="C852" s="21"/>
      <c r="D852" s="97" t="str">
        <f>IF(C852="","",IFERROR(INDEX(②メンバー!$C$5:$C$104,MATCH(C852,②メンバー!$B$5:$B$104,0)),""))</f>
        <v/>
      </c>
      <c r="E852" s="24"/>
      <c r="F852" s="160"/>
      <c r="G852" s="20"/>
      <c r="H852" s="20"/>
      <c r="I852" s="20"/>
      <c r="J852" s="20"/>
      <c r="K852" s="20"/>
      <c r="L852" s="20"/>
      <c r="M852" s="20"/>
      <c r="N852" s="20"/>
      <c r="O852" s="24"/>
      <c r="P852" s="161" t="str">
        <f t="shared" si="27"/>
        <v/>
      </c>
      <c r="Q852" s="7"/>
    </row>
    <row r="853" spans="1:17">
      <c r="A853" s="31" t="str">
        <f t="shared" si="26"/>
        <v/>
      </c>
      <c r="B853" s="159"/>
      <c r="C853" s="21"/>
      <c r="D853" s="97" t="str">
        <f>IF(C853="","",IFERROR(INDEX(②メンバー!$C$5:$C$104,MATCH(C853,②メンバー!$B$5:$B$104,0)),""))</f>
        <v/>
      </c>
      <c r="E853" s="24"/>
      <c r="F853" s="160"/>
      <c r="G853" s="20"/>
      <c r="H853" s="20"/>
      <c r="I853" s="20"/>
      <c r="J853" s="20"/>
      <c r="K853" s="20"/>
      <c r="L853" s="20"/>
      <c r="M853" s="20"/>
      <c r="N853" s="20"/>
      <c r="O853" s="24"/>
      <c r="P853" s="161" t="str">
        <f t="shared" si="27"/>
        <v/>
      </c>
      <c r="Q853" s="7"/>
    </row>
    <row r="854" spans="1:17">
      <c r="A854" s="31" t="str">
        <f t="shared" si="26"/>
        <v/>
      </c>
      <c r="B854" s="159"/>
      <c r="C854" s="21"/>
      <c r="D854" s="97" t="str">
        <f>IF(C854="","",IFERROR(INDEX(②メンバー!$C$5:$C$104,MATCH(C854,②メンバー!$B$5:$B$104,0)),""))</f>
        <v/>
      </c>
      <c r="E854" s="24"/>
      <c r="F854" s="160"/>
      <c r="G854" s="20"/>
      <c r="H854" s="20"/>
      <c r="I854" s="20"/>
      <c r="J854" s="20"/>
      <c r="K854" s="20"/>
      <c r="L854" s="20"/>
      <c r="M854" s="20"/>
      <c r="N854" s="20"/>
      <c r="O854" s="24"/>
      <c r="P854" s="161" t="str">
        <f t="shared" si="27"/>
        <v/>
      </c>
      <c r="Q854" s="7"/>
    </row>
    <row r="855" spans="1:17">
      <c r="A855" s="31" t="str">
        <f t="shared" si="26"/>
        <v/>
      </c>
      <c r="B855" s="159"/>
      <c r="C855" s="21"/>
      <c r="D855" s="97" t="str">
        <f>IF(C855="","",IFERROR(INDEX(②メンバー!$C$5:$C$104,MATCH(C855,②メンバー!$B$5:$B$104,0)),""))</f>
        <v/>
      </c>
      <c r="E855" s="24"/>
      <c r="F855" s="160"/>
      <c r="G855" s="20"/>
      <c r="H855" s="20"/>
      <c r="I855" s="20"/>
      <c r="J855" s="20"/>
      <c r="K855" s="20"/>
      <c r="L855" s="20"/>
      <c r="M855" s="20"/>
      <c r="N855" s="20"/>
      <c r="O855" s="24"/>
      <c r="P855" s="161" t="str">
        <f t="shared" si="27"/>
        <v/>
      </c>
      <c r="Q855" s="7"/>
    </row>
    <row r="856" spans="1:17">
      <c r="A856" s="31" t="str">
        <f t="shared" si="26"/>
        <v/>
      </c>
      <c r="B856" s="159"/>
      <c r="C856" s="21"/>
      <c r="D856" s="97" t="str">
        <f>IF(C856="","",IFERROR(INDEX(②メンバー!$C$5:$C$104,MATCH(C856,②メンバー!$B$5:$B$104,0)),""))</f>
        <v/>
      </c>
      <c r="E856" s="24"/>
      <c r="F856" s="160"/>
      <c r="G856" s="20"/>
      <c r="H856" s="20"/>
      <c r="I856" s="20"/>
      <c r="J856" s="20"/>
      <c r="K856" s="20"/>
      <c r="L856" s="20"/>
      <c r="M856" s="20"/>
      <c r="N856" s="20"/>
      <c r="O856" s="24"/>
      <c r="P856" s="161" t="str">
        <f t="shared" si="27"/>
        <v/>
      </c>
      <c r="Q856" s="7"/>
    </row>
    <row r="857" spans="1:17">
      <c r="A857" s="31" t="str">
        <f t="shared" si="26"/>
        <v/>
      </c>
      <c r="B857" s="159"/>
      <c r="C857" s="21"/>
      <c r="D857" s="97" t="str">
        <f>IF(C857="","",IFERROR(INDEX(②メンバー!$C$5:$C$104,MATCH(C857,②メンバー!$B$5:$B$104,0)),""))</f>
        <v/>
      </c>
      <c r="E857" s="24"/>
      <c r="F857" s="160"/>
      <c r="G857" s="20"/>
      <c r="H857" s="20"/>
      <c r="I857" s="20"/>
      <c r="J857" s="20"/>
      <c r="K857" s="20"/>
      <c r="L857" s="20"/>
      <c r="M857" s="20"/>
      <c r="N857" s="20"/>
      <c r="O857" s="24"/>
      <c r="P857" s="161" t="str">
        <f t="shared" si="27"/>
        <v/>
      </c>
      <c r="Q857" s="7"/>
    </row>
    <row r="858" spans="1:17">
      <c r="A858" s="31" t="str">
        <f t="shared" si="26"/>
        <v/>
      </c>
      <c r="B858" s="159"/>
      <c r="C858" s="21"/>
      <c r="D858" s="97" t="str">
        <f>IF(C858="","",IFERROR(INDEX(②メンバー!$C$5:$C$104,MATCH(C858,②メンバー!$B$5:$B$104,0)),""))</f>
        <v/>
      </c>
      <c r="E858" s="24"/>
      <c r="F858" s="160"/>
      <c r="G858" s="20"/>
      <c r="H858" s="20"/>
      <c r="I858" s="20"/>
      <c r="J858" s="20"/>
      <c r="K858" s="20"/>
      <c r="L858" s="20"/>
      <c r="M858" s="20"/>
      <c r="N858" s="20"/>
      <c r="O858" s="24"/>
      <c r="P858" s="161" t="str">
        <f t="shared" si="27"/>
        <v/>
      </c>
      <c r="Q858" s="7"/>
    </row>
    <row r="859" spans="1:17">
      <c r="A859" s="31" t="str">
        <f t="shared" si="26"/>
        <v/>
      </c>
      <c r="B859" s="159"/>
      <c r="C859" s="21"/>
      <c r="D859" s="97" t="str">
        <f>IF(C859="","",IFERROR(INDEX(②メンバー!$C$5:$C$104,MATCH(C859,②メンバー!$B$5:$B$104,0)),""))</f>
        <v/>
      </c>
      <c r="E859" s="24"/>
      <c r="F859" s="160"/>
      <c r="G859" s="20"/>
      <c r="H859" s="20"/>
      <c r="I859" s="20"/>
      <c r="J859" s="20"/>
      <c r="K859" s="20"/>
      <c r="L859" s="20"/>
      <c r="M859" s="20"/>
      <c r="N859" s="20"/>
      <c r="O859" s="24"/>
      <c r="P859" s="161" t="str">
        <f t="shared" si="27"/>
        <v/>
      </c>
      <c r="Q859" s="7"/>
    </row>
    <row r="860" spans="1:17">
      <c r="A860" s="31" t="str">
        <f t="shared" si="26"/>
        <v/>
      </c>
      <c r="B860" s="159"/>
      <c r="C860" s="21"/>
      <c r="D860" s="97" t="str">
        <f>IF(C860="","",IFERROR(INDEX(②メンバー!$C$5:$C$104,MATCH(C860,②メンバー!$B$5:$B$104,0)),""))</f>
        <v/>
      </c>
      <c r="E860" s="24"/>
      <c r="F860" s="160"/>
      <c r="G860" s="20"/>
      <c r="H860" s="20"/>
      <c r="I860" s="20"/>
      <c r="J860" s="20"/>
      <c r="K860" s="20"/>
      <c r="L860" s="20"/>
      <c r="M860" s="20"/>
      <c r="N860" s="20"/>
      <c r="O860" s="24"/>
      <c r="P860" s="161" t="str">
        <f t="shared" si="27"/>
        <v/>
      </c>
      <c r="Q860" s="7"/>
    </row>
    <row r="861" spans="1:17">
      <c r="A861" s="31" t="str">
        <f t="shared" si="26"/>
        <v/>
      </c>
      <c r="B861" s="159"/>
      <c r="C861" s="21"/>
      <c r="D861" s="97" t="str">
        <f>IF(C861="","",IFERROR(INDEX(②メンバー!$C$5:$C$104,MATCH(C861,②メンバー!$B$5:$B$104,0)),""))</f>
        <v/>
      </c>
      <c r="E861" s="24"/>
      <c r="F861" s="160"/>
      <c r="G861" s="20"/>
      <c r="H861" s="20"/>
      <c r="I861" s="20"/>
      <c r="J861" s="20"/>
      <c r="K861" s="20"/>
      <c r="L861" s="20"/>
      <c r="M861" s="20"/>
      <c r="N861" s="20"/>
      <c r="O861" s="24"/>
      <c r="P861" s="161" t="str">
        <f t="shared" si="27"/>
        <v/>
      </c>
      <c r="Q861" s="7"/>
    </row>
    <row r="862" spans="1:17">
      <c r="A862" s="31" t="str">
        <f t="shared" si="26"/>
        <v/>
      </c>
      <c r="B862" s="159"/>
      <c r="C862" s="21"/>
      <c r="D862" s="97" t="str">
        <f>IF(C862="","",IFERROR(INDEX(②メンバー!$C$5:$C$104,MATCH(C862,②メンバー!$B$5:$B$104,0)),""))</f>
        <v/>
      </c>
      <c r="E862" s="24"/>
      <c r="F862" s="160"/>
      <c r="G862" s="20"/>
      <c r="H862" s="20"/>
      <c r="I862" s="20"/>
      <c r="J862" s="20"/>
      <c r="K862" s="20"/>
      <c r="L862" s="20"/>
      <c r="M862" s="20"/>
      <c r="N862" s="20"/>
      <c r="O862" s="24"/>
      <c r="P862" s="161" t="str">
        <f t="shared" si="27"/>
        <v/>
      </c>
      <c r="Q862" s="7"/>
    </row>
    <row r="863" spans="1:17">
      <c r="A863" s="31" t="str">
        <f t="shared" si="26"/>
        <v/>
      </c>
      <c r="B863" s="159"/>
      <c r="C863" s="21"/>
      <c r="D863" s="97" t="str">
        <f>IF(C863="","",IFERROR(INDEX(②メンバー!$C$5:$C$104,MATCH(C863,②メンバー!$B$5:$B$104,0)),""))</f>
        <v/>
      </c>
      <c r="E863" s="24"/>
      <c r="F863" s="160"/>
      <c r="G863" s="20"/>
      <c r="H863" s="20"/>
      <c r="I863" s="20"/>
      <c r="J863" s="20"/>
      <c r="K863" s="20"/>
      <c r="L863" s="20"/>
      <c r="M863" s="20"/>
      <c r="N863" s="20"/>
      <c r="O863" s="24"/>
      <c r="P863" s="161" t="str">
        <f t="shared" si="27"/>
        <v/>
      </c>
      <c r="Q863" s="7"/>
    </row>
    <row r="864" spans="1:17">
      <c r="A864" s="31" t="str">
        <f t="shared" si="26"/>
        <v/>
      </c>
      <c r="B864" s="159"/>
      <c r="C864" s="21"/>
      <c r="D864" s="97" t="str">
        <f>IF(C864="","",IFERROR(INDEX(②メンバー!$C$5:$C$104,MATCH(C864,②メンバー!$B$5:$B$104,0)),""))</f>
        <v/>
      </c>
      <c r="E864" s="24"/>
      <c r="F864" s="160"/>
      <c r="G864" s="20"/>
      <c r="H864" s="20"/>
      <c r="I864" s="20"/>
      <c r="J864" s="20"/>
      <c r="K864" s="20"/>
      <c r="L864" s="20"/>
      <c r="M864" s="20"/>
      <c r="N864" s="20"/>
      <c r="O864" s="24"/>
      <c r="P864" s="161" t="str">
        <f t="shared" si="27"/>
        <v/>
      </c>
      <c r="Q864" s="7"/>
    </row>
    <row r="865" spans="1:17">
      <c r="A865" s="31" t="str">
        <f t="shared" si="26"/>
        <v/>
      </c>
      <c r="B865" s="159"/>
      <c r="C865" s="21"/>
      <c r="D865" s="97" t="str">
        <f>IF(C865="","",IFERROR(INDEX(②メンバー!$C$5:$C$104,MATCH(C865,②メンバー!$B$5:$B$104,0)),""))</f>
        <v/>
      </c>
      <c r="E865" s="24"/>
      <c r="F865" s="160"/>
      <c r="G865" s="20"/>
      <c r="H865" s="20"/>
      <c r="I865" s="20"/>
      <c r="J865" s="20"/>
      <c r="K865" s="20"/>
      <c r="L865" s="20"/>
      <c r="M865" s="20"/>
      <c r="N865" s="20"/>
      <c r="O865" s="24"/>
      <c r="P865" s="161" t="str">
        <f t="shared" si="27"/>
        <v/>
      </c>
      <c r="Q865" s="7"/>
    </row>
    <row r="866" spans="1:17">
      <c r="A866" s="31" t="str">
        <f t="shared" si="26"/>
        <v/>
      </c>
      <c r="B866" s="159"/>
      <c r="C866" s="21"/>
      <c r="D866" s="97" t="str">
        <f>IF(C866="","",IFERROR(INDEX(②メンバー!$C$5:$C$104,MATCH(C866,②メンバー!$B$5:$B$104,0)),""))</f>
        <v/>
      </c>
      <c r="E866" s="24"/>
      <c r="F866" s="160"/>
      <c r="G866" s="20"/>
      <c r="H866" s="20"/>
      <c r="I866" s="20"/>
      <c r="J866" s="20"/>
      <c r="K866" s="20"/>
      <c r="L866" s="20"/>
      <c r="M866" s="20"/>
      <c r="N866" s="20"/>
      <c r="O866" s="24"/>
      <c r="P866" s="161" t="str">
        <f t="shared" si="27"/>
        <v/>
      </c>
      <c r="Q866" s="7"/>
    </row>
    <row r="867" spans="1:17">
      <c r="A867" s="31" t="str">
        <f t="shared" si="26"/>
        <v/>
      </c>
      <c r="B867" s="159"/>
      <c r="C867" s="21"/>
      <c r="D867" s="97" t="str">
        <f>IF(C867="","",IFERROR(INDEX(②メンバー!$C$5:$C$104,MATCH(C867,②メンバー!$B$5:$B$104,0)),""))</f>
        <v/>
      </c>
      <c r="E867" s="24"/>
      <c r="F867" s="160"/>
      <c r="G867" s="20"/>
      <c r="H867" s="20"/>
      <c r="I867" s="20"/>
      <c r="J867" s="20"/>
      <c r="K867" s="20"/>
      <c r="L867" s="20"/>
      <c r="M867" s="20"/>
      <c r="N867" s="20"/>
      <c r="O867" s="24"/>
      <c r="P867" s="161" t="str">
        <f t="shared" si="27"/>
        <v/>
      </c>
      <c r="Q867" s="7"/>
    </row>
    <row r="868" spans="1:17">
      <c r="A868" s="31" t="str">
        <f t="shared" si="26"/>
        <v/>
      </c>
      <c r="B868" s="159"/>
      <c r="C868" s="21"/>
      <c r="D868" s="97" t="str">
        <f>IF(C868="","",IFERROR(INDEX(②メンバー!$C$5:$C$104,MATCH(C868,②メンバー!$B$5:$B$104,0)),""))</f>
        <v/>
      </c>
      <c r="E868" s="24"/>
      <c r="F868" s="160"/>
      <c r="G868" s="20"/>
      <c r="H868" s="20"/>
      <c r="I868" s="20"/>
      <c r="J868" s="20"/>
      <c r="K868" s="20"/>
      <c r="L868" s="20"/>
      <c r="M868" s="20"/>
      <c r="N868" s="20"/>
      <c r="O868" s="24"/>
      <c r="P868" s="161" t="str">
        <f t="shared" si="27"/>
        <v/>
      </c>
      <c r="Q868" s="7"/>
    </row>
    <row r="869" spans="1:17">
      <c r="A869" s="31" t="str">
        <f t="shared" si="26"/>
        <v/>
      </c>
      <c r="B869" s="159"/>
      <c r="C869" s="21"/>
      <c r="D869" s="97" t="str">
        <f>IF(C869="","",IFERROR(INDEX(②メンバー!$C$5:$C$104,MATCH(C869,②メンバー!$B$5:$B$104,0)),""))</f>
        <v/>
      </c>
      <c r="E869" s="24"/>
      <c r="F869" s="160"/>
      <c r="G869" s="20"/>
      <c r="H869" s="20"/>
      <c r="I869" s="20"/>
      <c r="J869" s="20"/>
      <c r="K869" s="20"/>
      <c r="L869" s="20"/>
      <c r="M869" s="20"/>
      <c r="N869" s="20"/>
      <c r="O869" s="24"/>
      <c r="P869" s="161" t="str">
        <f t="shared" si="27"/>
        <v/>
      </c>
      <c r="Q869" s="7"/>
    </row>
    <row r="870" spans="1:17">
      <c r="A870" s="31" t="str">
        <f t="shared" si="26"/>
        <v/>
      </c>
      <c r="B870" s="159"/>
      <c r="C870" s="21"/>
      <c r="D870" s="97" t="str">
        <f>IF(C870="","",IFERROR(INDEX(②メンバー!$C$5:$C$104,MATCH(C870,②メンバー!$B$5:$B$104,0)),""))</f>
        <v/>
      </c>
      <c r="E870" s="24"/>
      <c r="F870" s="160"/>
      <c r="G870" s="20"/>
      <c r="H870" s="20"/>
      <c r="I870" s="20"/>
      <c r="J870" s="20"/>
      <c r="K870" s="20"/>
      <c r="L870" s="20"/>
      <c r="M870" s="20"/>
      <c r="N870" s="20"/>
      <c r="O870" s="24"/>
      <c r="P870" s="161" t="str">
        <f t="shared" si="27"/>
        <v/>
      </c>
      <c r="Q870" s="7"/>
    </row>
    <row r="871" spans="1:17">
      <c r="A871" s="31" t="str">
        <f t="shared" si="26"/>
        <v/>
      </c>
      <c r="B871" s="159"/>
      <c r="C871" s="21"/>
      <c r="D871" s="97" t="str">
        <f>IF(C871="","",IFERROR(INDEX(②メンバー!$C$5:$C$104,MATCH(C871,②メンバー!$B$5:$B$104,0)),""))</f>
        <v/>
      </c>
      <c r="E871" s="24"/>
      <c r="F871" s="160"/>
      <c r="G871" s="20"/>
      <c r="H871" s="20"/>
      <c r="I871" s="20"/>
      <c r="J871" s="20"/>
      <c r="K871" s="20"/>
      <c r="L871" s="20"/>
      <c r="M871" s="20"/>
      <c r="N871" s="20"/>
      <c r="O871" s="24"/>
      <c r="P871" s="161" t="str">
        <f t="shared" si="27"/>
        <v/>
      </c>
      <c r="Q871" s="7"/>
    </row>
    <row r="872" spans="1:17">
      <c r="A872" s="31" t="str">
        <f t="shared" si="26"/>
        <v/>
      </c>
      <c r="B872" s="159"/>
      <c r="C872" s="21"/>
      <c r="D872" s="97" t="str">
        <f>IF(C872="","",IFERROR(INDEX(②メンバー!$C$5:$C$104,MATCH(C872,②メンバー!$B$5:$B$104,0)),""))</f>
        <v/>
      </c>
      <c r="E872" s="24"/>
      <c r="F872" s="160"/>
      <c r="G872" s="20"/>
      <c r="H872" s="20"/>
      <c r="I872" s="20"/>
      <c r="J872" s="20"/>
      <c r="K872" s="20"/>
      <c r="L872" s="20"/>
      <c r="M872" s="20"/>
      <c r="N872" s="20"/>
      <c r="O872" s="24"/>
      <c r="P872" s="161" t="str">
        <f t="shared" si="27"/>
        <v/>
      </c>
      <c r="Q872" s="7"/>
    </row>
    <row r="873" spans="1:17">
      <c r="A873" s="31" t="str">
        <f t="shared" si="26"/>
        <v/>
      </c>
      <c r="B873" s="159"/>
      <c r="C873" s="21"/>
      <c r="D873" s="97" t="str">
        <f>IF(C873="","",IFERROR(INDEX(②メンバー!$C$5:$C$104,MATCH(C873,②メンバー!$B$5:$B$104,0)),""))</f>
        <v/>
      </c>
      <c r="E873" s="24"/>
      <c r="F873" s="160"/>
      <c r="G873" s="20"/>
      <c r="H873" s="20"/>
      <c r="I873" s="20"/>
      <c r="J873" s="20"/>
      <c r="K873" s="20"/>
      <c r="L873" s="20"/>
      <c r="M873" s="20"/>
      <c r="N873" s="20"/>
      <c r="O873" s="24"/>
      <c r="P873" s="161" t="str">
        <f t="shared" si="27"/>
        <v/>
      </c>
      <c r="Q873" s="7"/>
    </row>
    <row r="874" spans="1:17">
      <c r="A874" s="31" t="str">
        <f t="shared" si="26"/>
        <v/>
      </c>
      <c r="B874" s="159"/>
      <c r="C874" s="21"/>
      <c r="D874" s="97" t="str">
        <f>IF(C874="","",IFERROR(INDEX(②メンバー!$C$5:$C$104,MATCH(C874,②メンバー!$B$5:$B$104,0)),""))</f>
        <v/>
      </c>
      <c r="E874" s="24"/>
      <c r="F874" s="160"/>
      <c r="G874" s="20"/>
      <c r="H874" s="20"/>
      <c r="I874" s="20"/>
      <c r="J874" s="20"/>
      <c r="K874" s="20"/>
      <c r="L874" s="20"/>
      <c r="M874" s="20"/>
      <c r="N874" s="20"/>
      <c r="O874" s="24"/>
      <c r="P874" s="161" t="str">
        <f t="shared" si="27"/>
        <v/>
      </c>
      <c r="Q874" s="7"/>
    </row>
    <row r="875" spans="1:17">
      <c r="A875" s="31" t="str">
        <f t="shared" si="26"/>
        <v/>
      </c>
      <c r="B875" s="159"/>
      <c r="C875" s="21"/>
      <c r="D875" s="97" t="str">
        <f>IF(C875="","",IFERROR(INDEX(②メンバー!$C$5:$C$104,MATCH(C875,②メンバー!$B$5:$B$104,0)),""))</f>
        <v/>
      </c>
      <c r="E875" s="24"/>
      <c r="F875" s="160"/>
      <c r="G875" s="20"/>
      <c r="H875" s="20"/>
      <c r="I875" s="20"/>
      <c r="J875" s="20"/>
      <c r="K875" s="20"/>
      <c r="L875" s="20"/>
      <c r="M875" s="20"/>
      <c r="N875" s="20"/>
      <c r="O875" s="24"/>
      <c r="P875" s="161" t="str">
        <f t="shared" si="27"/>
        <v/>
      </c>
      <c r="Q875" s="7"/>
    </row>
    <row r="876" spans="1:17">
      <c r="A876" s="31" t="str">
        <f t="shared" si="26"/>
        <v/>
      </c>
      <c r="B876" s="159"/>
      <c r="C876" s="21"/>
      <c r="D876" s="97" t="str">
        <f>IF(C876="","",IFERROR(INDEX(②メンバー!$C$5:$C$104,MATCH(C876,②メンバー!$B$5:$B$104,0)),""))</f>
        <v/>
      </c>
      <c r="E876" s="24"/>
      <c r="F876" s="160"/>
      <c r="G876" s="20"/>
      <c r="H876" s="20"/>
      <c r="I876" s="20"/>
      <c r="J876" s="20"/>
      <c r="K876" s="20"/>
      <c r="L876" s="20"/>
      <c r="M876" s="20"/>
      <c r="N876" s="20"/>
      <c r="O876" s="24"/>
      <c r="P876" s="161" t="str">
        <f t="shared" si="27"/>
        <v/>
      </c>
      <c r="Q876" s="7"/>
    </row>
    <row r="877" spans="1:17">
      <c r="A877" s="31" t="str">
        <f t="shared" si="26"/>
        <v/>
      </c>
      <c r="B877" s="159"/>
      <c r="C877" s="21"/>
      <c r="D877" s="97" t="str">
        <f>IF(C877="","",IFERROR(INDEX(②メンバー!$C$5:$C$104,MATCH(C877,②メンバー!$B$5:$B$104,0)),""))</f>
        <v/>
      </c>
      <c r="E877" s="24"/>
      <c r="F877" s="160"/>
      <c r="G877" s="20"/>
      <c r="H877" s="20"/>
      <c r="I877" s="20"/>
      <c r="J877" s="20"/>
      <c r="K877" s="20"/>
      <c r="L877" s="20"/>
      <c r="M877" s="20"/>
      <c r="N877" s="20"/>
      <c r="O877" s="24"/>
      <c r="P877" s="161" t="str">
        <f t="shared" si="27"/>
        <v/>
      </c>
      <c r="Q877" s="7"/>
    </row>
    <row r="878" spans="1:17">
      <c r="A878" s="31" t="str">
        <f t="shared" si="26"/>
        <v/>
      </c>
      <c r="B878" s="159"/>
      <c r="C878" s="21"/>
      <c r="D878" s="97" t="str">
        <f>IF(C878="","",IFERROR(INDEX(②メンバー!$C$5:$C$104,MATCH(C878,②メンバー!$B$5:$B$104,0)),""))</f>
        <v/>
      </c>
      <c r="E878" s="24"/>
      <c r="F878" s="160"/>
      <c r="G878" s="20"/>
      <c r="H878" s="20"/>
      <c r="I878" s="20"/>
      <c r="J878" s="20"/>
      <c r="K878" s="20"/>
      <c r="L878" s="20"/>
      <c r="M878" s="20"/>
      <c r="N878" s="20"/>
      <c r="O878" s="24"/>
      <c r="P878" s="161" t="str">
        <f t="shared" si="27"/>
        <v/>
      </c>
      <c r="Q878" s="7"/>
    </row>
    <row r="879" spans="1:17">
      <c r="A879" s="31" t="str">
        <f t="shared" si="26"/>
        <v/>
      </c>
      <c r="B879" s="159"/>
      <c r="C879" s="21"/>
      <c r="D879" s="97" t="str">
        <f>IF(C879="","",IFERROR(INDEX(②メンバー!$C$5:$C$104,MATCH(C879,②メンバー!$B$5:$B$104,0)),""))</f>
        <v/>
      </c>
      <c r="E879" s="24"/>
      <c r="F879" s="160"/>
      <c r="G879" s="20"/>
      <c r="H879" s="20"/>
      <c r="I879" s="20"/>
      <c r="J879" s="20"/>
      <c r="K879" s="20"/>
      <c r="L879" s="20"/>
      <c r="M879" s="20"/>
      <c r="N879" s="20"/>
      <c r="O879" s="24"/>
      <c r="P879" s="161" t="str">
        <f t="shared" si="27"/>
        <v/>
      </c>
      <c r="Q879" s="7"/>
    </row>
    <row r="880" spans="1:17">
      <c r="A880" s="31" t="str">
        <f t="shared" si="26"/>
        <v/>
      </c>
      <c r="B880" s="159"/>
      <c r="C880" s="21"/>
      <c r="D880" s="97" t="str">
        <f>IF(C880="","",IFERROR(INDEX(②メンバー!$C$5:$C$104,MATCH(C880,②メンバー!$B$5:$B$104,0)),""))</f>
        <v/>
      </c>
      <c r="E880" s="24"/>
      <c r="F880" s="160"/>
      <c r="G880" s="20"/>
      <c r="H880" s="20"/>
      <c r="I880" s="20"/>
      <c r="J880" s="20"/>
      <c r="K880" s="20"/>
      <c r="L880" s="20"/>
      <c r="M880" s="20"/>
      <c r="N880" s="20"/>
      <c r="O880" s="24"/>
      <c r="P880" s="161" t="str">
        <f t="shared" si="27"/>
        <v/>
      </c>
      <c r="Q880" s="7"/>
    </row>
    <row r="881" spans="1:17">
      <c r="A881" s="31" t="str">
        <f t="shared" si="26"/>
        <v/>
      </c>
      <c r="B881" s="159"/>
      <c r="C881" s="21"/>
      <c r="D881" s="97" t="str">
        <f>IF(C881="","",IFERROR(INDEX(②メンバー!$C$5:$C$104,MATCH(C881,②メンバー!$B$5:$B$104,0)),""))</f>
        <v/>
      </c>
      <c r="E881" s="24"/>
      <c r="F881" s="160"/>
      <c r="G881" s="20"/>
      <c r="H881" s="20"/>
      <c r="I881" s="20"/>
      <c r="J881" s="20"/>
      <c r="K881" s="20"/>
      <c r="L881" s="20"/>
      <c r="M881" s="20"/>
      <c r="N881" s="20"/>
      <c r="O881" s="24"/>
      <c r="P881" s="161" t="str">
        <f t="shared" si="27"/>
        <v/>
      </c>
      <c r="Q881" s="7"/>
    </row>
    <row r="882" spans="1:17">
      <c r="A882" s="31" t="str">
        <f t="shared" si="26"/>
        <v/>
      </c>
      <c r="B882" s="159"/>
      <c r="C882" s="21"/>
      <c r="D882" s="97" t="str">
        <f>IF(C882="","",IFERROR(INDEX(②メンバー!$C$5:$C$104,MATCH(C882,②メンバー!$B$5:$B$104,0)),""))</f>
        <v/>
      </c>
      <c r="E882" s="24"/>
      <c r="F882" s="160"/>
      <c r="G882" s="20"/>
      <c r="H882" s="20"/>
      <c r="I882" s="20"/>
      <c r="J882" s="20"/>
      <c r="K882" s="20"/>
      <c r="L882" s="20"/>
      <c r="M882" s="20"/>
      <c r="N882" s="20"/>
      <c r="O882" s="24"/>
      <c r="P882" s="161" t="str">
        <f t="shared" si="27"/>
        <v/>
      </c>
      <c r="Q882" s="7"/>
    </row>
    <row r="883" spans="1:17">
      <c r="A883" s="31" t="str">
        <f t="shared" si="26"/>
        <v/>
      </c>
      <c r="B883" s="159"/>
      <c r="C883" s="21"/>
      <c r="D883" s="97" t="str">
        <f>IF(C883="","",IFERROR(INDEX(②メンバー!$C$5:$C$104,MATCH(C883,②メンバー!$B$5:$B$104,0)),""))</f>
        <v/>
      </c>
      <c r="E883" s="24"/>
      <c r="F883" s="160"/>
      <c r="G883" s="20"/>
      <c r="H883" s="20"/>
      <c r="I883" s="20"/>
      <c r="J883" s="20"/>
      <c r="K883" s="20"/>
      <c r="L883" s="20"/>
      <c r="M883" s="20"/>
      <c r="N883" s="20"/>
      <c r="O883" s="24"/>
      <c r="P883" s="161" t="str">
        <f t="shared" si="27"/>
        <v/>
      </c>
      <c r="Q883" s="7"/>
    </row>
    <row r="884" spans="1:17">
      <c r="A884" s="31" t="str">
        <f t="shared" si="26"/>
        <v/>
      </c>
      <c r="B884" s="159"/>
      <c r="C884" s="21"/>
      <c r="D884" s="97" t="str">
        <f>IF(C884="","",IFERROR(INDEX(②メンバー!$C$5:$C$104,MATCH(C884,②メンバー!$B$5:$B$104,0)),""))</f>
        <v/>
      </c>
      <c r="E884" s="24"/>
      <c r="F884" s="160"/>
      <c r="G884" s="20"/>
      <c r="H884" s="20"/>
      <c r="I884" s="20"/>
      <c r="J884" s="20"/>
      <c r="K884" s="20"/>
      <c r="L884" s="20"/>
      <c r="M884" s="20"/>
      <c r="N884" s="20"/>
      <c r="O884" s="24"/>
      <c r="P884" s="161" t="str">
        <f t="shared" si="27"/>
        <v/>
      </c>
      <c r="Q884" s="7"/>
    </row>
    <row r="885" spans="1:17">
      <c r="A885" s="31" t="str">
        <f t="shared" si="26"/>
        <v/>
      </c>
      <c r="B885" s="159"/>
      <c r="C885" s="21"/>
      <c r="D885" s="97" t="str">
        <f>IF(C885="","",IFERROR(INDEX(②メンバー!$C$5:$C$104,MATCH(C885,②メンバー!$B$5:$B$104,0)),""))</f>
        <v/>
      </c>
      <c r="E885" s="24"/>
      <c r="F885" s="160"/>
      <c r="G885" s="20"/>
      <c r="H885" s="20"/>
      <c r="I885" s="20"/>
      <c r="J885" s="20"/>
      <c r="K885" s="20"/>
      <c r="L885" s="20"/>
      <c r="M885" s="20"/>
      <c r="N885" s="20"/>
      <c r="O885" s="24"/>
      <c r="P885" s="161" t="str">
        <f t="shared" si="27"/>
        <v/>
      </c>
      <c r="Q885" s="7"/>
    </row>
    <row r="886" spans="1:17">
      <c r="A886" s="31" t="str">
        <f t="shared" si="26"/>
        <v/>
      </c>
      <c r="B886" s="159"/>
      <c r="C886" s="21"/>
      <c r="D886" s="97" t="str">
        <f>IF(C886="","",IFERROR(INDEX(②メンバー!$C$5:$C$104,MATCH(C886,②メンバー!$B$5:$B$104,0)),""))</f>
        <v/>
      </c>
      <c r="E886" s="24"/>
      <c r="F886" s="160"/>
      <c r="G886" s="20"/>
      <c r="H886" s="20"/>
      <c r="I886" s="20"/>
      <c r="J886" s="20"/>
      <c r="K886" s="20"/>
      <c r="L886" s="20"/>
      <c r="M886" s="20"/>
      <c r="N886" s="20"/>
      <c r="O886" s="24"/>
      <c r="P886" s="161" t="str">
        <f t="shared" si="27"/>
        <v/>
      </c>
      <c r="Q886" s="7"/>
    </row>
    <row r="887" spans="1:17">
      <c r="A887" s="31" t="str">
        <f t="shared" si="26"/>
        <v/>
      </c>
      <c r="B887" s="159"/>
      <c r="C887" s="21"/>
      <c r="D887" s="97" t="str">
        <f>IF(C887="","",IFERROR(INDEX(②メンバー!$C$5:$C$104,MATCH(C887,②メンバー!$B$5:$B$104,0)),""))</f>
        <v/>
      </c>
      <c r="E887" s="24"/>
      <c r="F887" s="160"/>
      <c r="G887" s="20"/>
      <c r="H887" s="20"/>
      <c r="I887" s="20"/>
      <c r="J887" s="20"/>
      <c r="K887" s="20"/>
      <c r="L887" s="20"/>
      <c r="M887" s="20"/>
      <c r="N887" s="20"/>
      <c r="O887" s="24"/>
      <c r="P887" s="161" t="str">
        <f t="shared" si="27"/>
        <v/>
      </c>
      <c r="Q887" s="7"/>
    </row>
    <row r="888" spans="1:17">
      <c r="A888" s="31" t="str">
        <f t="shared" si="26"/>
        <v/>
      </c>
      <c r="B888" s="159"/>
      <c r="C888" s="21"/>
      <c r="D888" s="97" t="str">
        <f>IF(C888="","",IFERROR(INDEX(②メンバー!$C$5:$C$104,MATCH(C888,②メンバー!$B$5:$B$104,0)),""))</f>
        <v/>
      </c>
      <c r="E888" s="24"/>
      <c r="F888" s="160"/>
      <c r="G888" s="20"/>
      <c r="H888" s="20"/>
      <c r="I888" s="20"/>
      <c r="J888" s="20"/>
      <c r="K888" s="20"/>
      <c r="L888" s="20"/>
      <c r="M888" s="20"/>
      <c r="N888" s="20"/>
      <c r="O888" s="24"/>
      <c r="P888" s="161" t="str">
        <f t="shared" si="27"/>
        <v/>
      </c>
      <c r="Q888" s="7"/>
    </row>
    <row r="889" spans="1:17">
      <c r="A889" s="31" t="str">
        <f t="shared" si="26"/>
        <v/>
      </c>
      <c r="B889" s="159"/>
      <c r="C889" s="21"/>
      <c r="D889" s="97" t="str">
        <f>IF(C889="","",IFERROR(INDEX(②メンバー!$C$5:$C$104,MATCH(C889,②メンバー!$B$5:$B$104,0)),""))</f>
        <v/>
      </c>
      <c r="E889" s="24"/>
      <c r="F889" s="160"/>
      <c r="G889" s="20"/>
      <c r="H889" s="20"/>
      <c r="I889" s="20"/>
      <c r="J889" s="20"/>
      <c r="K889" s="20"/>
      <c r="L889" s="20"/>
      <c r="M889" s="20"/>
      <c r="N889" s="20"/>
      <c r="O889" s="24"/>
      <c r="P889" s="161" t="str">
        <f t="shared" si="27"/>
        <v/>
      </c>
      <c r="Q889" s="7"/>
    </row>
    <row r="890" spans="1:17">
      <c r="A890" s="31" t="str">
        <f t="shared" si="26"/>
        <v/>
      </c>
      <c r="B890" s="159"/>
      <c r="C890" s="21"/>
      <c r="D890" s="97" t="str">
        <f>IF(C890="","",IFERROR(INDEX(②メンバー!$C$5:$C$104,MATCH(C890,②メンバー!$B$5:$B$104,0)),""))</f>
        <v/>
      </c>
      <c r="E890" s="24"/>
      <c r="F890" s="160"/>
      <c r="G890" s="20"/>
      <c r="H890" s="20"/>
      <c r="I890" s="20"/>
      <c r="J890" s="20"/>
      <c r="K890" s="20"/>
      <c r="L890" s="20"/>
      <c r="M890" s="20"/>
      <c r="N890" s="20"/>
      <c r="O890" s="24"/>
      <c r="P890" s="161" t="str">
        <f t="shared" si="27"/>
        <v/>
      </c>
      <c r="Q890" s="7"/>
    </row>
    <row r="891" spans="1:17">
      <c r="A891" s="31" t="str">
        <f t="shared" si="26"/>
        <v/>
      </c>
      <c r="B891" s="159"/>
      <c r="C891" s="21"/>
      <c r="D891" s="97" t="str">
        <f>IF(C891="","",IFERROR(INDEX(②メンバー!$C$5:$C$104,MATCH(C891,②メンバー!$B$5:$B$104,0)),""))</f>
        <v/>
      </c>
      <c r="E891" s="24"/>
      <c r="F891" s="160"/>
      <c r="G891" s="20"/>
      <c r="H891" s="20"/>
      <c r="I891" s="20"/>
      <c r="J891" s="20"/>
      <c r="K891" s="20"/>
      <c r="L891" s="20"/>
      <c r="M891" s="20"/>
      <c r="N891" s="20"/>
      <c r="O891" s="24"/>
      <c r="P891" s="161" t="str">
        <f t="shared" si="27"/>
        <v/>
      </c>
      <c r="Q891" s="7"/>
    </row>
    <row r="892" spans="1:17">
      <c r="A892" s="31" t="str">
        <f t="shared" si="26"/>
        <v/>
      </c>
      <c r="B892" s="159"/>
      <c r="C892" s="21"/>
      <c r="D892" s="97" t="str">
        <f>IF(C892="","",IFERROR(INDEX(②メンバー!$C$5:$C$104,MATCH(C892,②メンバー!$B$5:$B$104,0)),""))</f>
        <v/>
      </c>
      <c r="E892" s="24"/>
      <c r="F892" s="160"/>
      <c r="G892" s="20"/>
      <c r="H892" s="20"/>
      <c r="I892" s="20"/>
      <c r="J892" s="20"/>
      <c r="K892" s="20"/>
      <c r="L892" s="20"/>
      <c r="M892" s="20"/>
      <c r="N892" s="20"/>
      <c r="O892" s="24"/>
      <c r="P892" s="161" t="str">
        <f t="shared" si="27"/>
        <v/>
      </c>
      <c r="Q892" s="7"/>
    </row>
    <row r="893" spans="1:17">
      <c r="A893" s="31" t="str">
        <f t="shared" si="26"/>
        <v/>
      </c>
      <c r="B893" s="159"/>
      <c r="C893" s="21"/>
      <c r="D893" s="97" t="str">
        <f>IF(C893="","",IFERROR(INDEX(②メンバー!$C$5:$C$104,MATCH(C893,②メンバー!$B$5:$B$104,0)),""))</f>
        <v/>
      </c>
      <c r="E893" s="24"/>
      <c r="F893" s="160"/>
      <c r="G893" s="20"/>
      <c r="H893" s="20"/>
      <c r="I893" s="20"/>
      <c r="J893" s="20"/>
      <c r="K893" s="20"/>
      <c r="L893" s="20"/>
      <c r="M893" s="20"/>
      <c r="N893" s="20"/>
      <c r="O893" s="24"/>
      <c r="P893" s="161" t="str">
        <f t="shared" si="27"/>
        <v/>
      </c>
      <c r="Q893" s="7"/>
    </row>
    <row r="894" spans="1:17">
      <c r="A894" s="31" t="str">
        <f t="shared" si="26"/>
        <v/>
      </c>
      <c r="B894" s="159"/>
      <c r="C894" s="21"/>
      <c r="D894" s="97" t="str">
        <f>IF(C894="","",IFERROR(INDEX(②メンバー!$C$5:$C$104,MATCH(C894,②メンバー!$B$5:$B$104,0)),""))</f>
        <v/>
      </c>
      <c r="E894" s="24"/>
      <c r="F894" s="160"/>
      <c r="G894" s="20"/>
      <c r="H894" s="20"/>
      <c r="I894" s="20"/>
      <c r="J894" s="20"/>
      <c r="K894" s="20"/>
      <c r="L894" s="20"/>
      <c r="M894" s="20"/>
      <c r="N894" s="20"/>
      <c r="O894" s="24"/>
      <c r="P894" s="161" t="str">
        <f t="shared" si="27"/>
        <v/>
      </c>
      <c r="Q894" s="7"/>
    </row>
    <row r="895" spans="1:17">
      <c r="A895" s="31" t="str">
        <f t="shared" si="26"/>
        <v/>
      </c>
      <c r="B895" s="159"/>
      <c r="C895" s="21"/>
      <c r="D895" s="97" t="str">
        <f>IF(C895="","",IFERROR(INDEX(②メンバー!$C$5:$C$104,MATCH(C895,②メンバー!$B$5:$B$104,0)),""))</f>
        <v/>
      </c>
      <c r="E895" s="24"/>
      <c r="F895" s="160"/>
      <c r="G895" s="20"/>
      <c r="H895" s="20"/>
      <c r="I895" s="20"/>
      <c r="J895" s="20"/>
      <c r="K895" s="20"/>
      <c r="L895" s="20"/>
      <c r="M895" s="20"/>
      <c r="N895" s="20"/>
      <c r="O895" s="24"/>
      <c r="P895" s="161" t="str">
        <f t="shared" si="27"/>
        <v/>
      </c>
      <c r="Q895" s="7"/>
    </row>
    <row r="896" spans="1:17">
      <c r="A896" s="31" t="str">
        <f t="shared" si="26"/>
        <v/>
      </c>
      <c r="B896" s="159"/>
      <c r="C896" s="21"/>
      <c r="D896" s="97" t="str">
        <f>IF(C896="","",IFERROR(INDEX(②メンバー!$C$5:$C$104,MATCH(C896,②メンバー!$B$5:$B$104,0)),""))</f>
        <v/>
      </c>
      <c r="E896" s="24"/>
      <c r="F896" s="160"/>
      <c r="G896" s="20"/>
      <c r="H896" s="20"/>
      <c r="I896" s="20"/>
      <c r="J896" s="20"/>
      <c r="K896" s="20"/>
      <c r="L896" s="20"/>
      <c r="M896" s="20"/>
      <c r="N896" s="20"/>
      <c r="O896" s="24"/>
      <c r="P896" s="161" t="str">
        <f t="shared" si="27"/>
        <v/>
      </c>
      <c r="Q896" s="7"/>
    </row>
    <row r="897" spans="1:17">
      <c r="A897" s="31" t="str">
        <f t="shared" si="26"/>
        <v/>
      </c>
      <c r="B897" s="159"/>
      <c r="C897" s="21"/>
      <c r="D897" s="97" t="str">
        <f>IF(C897="","",IFERROR(INDEX(②メンバー!$C$5:$C$104,MATCH(C897,②メンバー!$B$5:$B$104,0)),""))</f>
        <v/>
      </c>
      <c r="E897" s="24"/>
      <c r="F897" s="160"/>
      <c r="G897" s="20"/>
      <c r="H897" s="20"/>
      <c r="I897" s="20"/>
      <c r="J897" s="20"/>
      <c r="K897" s="20"/>
      <c r="L897" s="20"/>
      <c r="M897" s="20"/>
      <c r="N897" s="20"/>
      <c r="O897" s="24"/>
      <c r="P897" s="161" t="str">
        <f t="shared" si="27"/>
        <v/>
      </c>
      <c r="Q897" s="7"/>
    </row>
    <row r="898" spans="1:17">
      <c r="A898" s="31" t="str">
        <f t="shared" si="26"/>
        <v/>
      </c>
      <c r="B898" s="159"/>
      <c r="C898" s="21"/>
      <c r="D898" s="97" t="str">
        <f>IF(C898="","",IFERROR(INDEX(②メンバー!$C$5:$C$104,MATCH(C898,②メンバー!$B$5:$B$104,0)),""))</f>
        <v/>
      </c>
      <c r="E898" s="24"/>
      <c r="F898" s="160"/>
      <c r="G898" s="20"/>
      <c r="H898" s="20"/>
      <c r="I898" s="20"/>
      <c r="J898" s="20"/>
      <c r="K898" s="20"/>
      <c r="L898" s="20"/>
      <c r="M898" s="20"/>
      <c r="N898" s="20"/>
      <c r="O898" s="24"/>
      <c r="P898" s="161" t="str">
        <f t="shared" si="27"/>
        <v/>
      </c>
      <c r="Q898" s="7"/>
    </row>
    <row r="899" spans="1:17">
      <c r="A899" s="31" t="str">
        <f t="shared" si="26"/>
        <v/>
      </c>
      <c r="B899" s="159"/>
      <c r="C899" s="21"/>
      <c r="D899" s="97" t="str">
        <f>IF(C899="","",IFERROR(INDEX(②メンバー!$C$5:$C$104,MATCH(C899,②メンバー!$B$5:$B$104,0)),""))</f>
        <v/>
      </c>
      <c r="E899" s="24"/>
      <c r="F899" s="160"/>
      <c r="G899" s="20"/>
      <c r="H899" s="20"/>
      <c r="I899" s="20"/>
      <c r="J899" s="20"/>
      <c r="K899" s="20"/>
      <c r="L899" s="20"/>
      <c r="M899" s="20"/>
      <c r="N899" s="20"/>
      <c r="O899" s="24"/>
      <c r="P899" s="161" t="str">
        <f t="shared" si="27"/>
        <v/>
      </c>
      <c r="Q899" s="7"/>
    </row>
    <row r="900" spans="1:17">
      <c r="A900" s="31" t="str">
        <f t="shared" si="26"/>
        <v/>
      </c>
      <c r="B900" s="159"/>
      <c r="C900" s="21"/>
      <c r="D900" s="97" t="str">
        <f>IF(C900="","",IFERROR(INDEX(②メンバー!$C$5:$C$104,MATCH(C900,②メンバー!$B$5:$B$104,0)),""))</f>
        <v/>
      </c>
      <c r="E900" s="24"/>
      <c r="F900" s="160"/>
      <c r="G900" s="20"/>
      <c r="H900" s="20"/>
      <c r="I900" s="20"/>
      <c r="J900" s="20"/>
      <c r="K900" s="20"/>
      <c r="L900" s="20"/>
      <c r="M900" s="20"/>
      <c r="N900" s="20"/>
      <c r="O900" s="24"/>
      <c r="P900" s="161" t="str">
        <f t="shared" si="27"/>
        <v/>
      </c>
      <c r="Q900" s="7"/>
    </row>
    <row r="901" spans="1:17">
      <c r="A901" s="31" t="str">
        <f t="shared" si="26"/>
        <v/>
      </c>
      <c r="B901" s="159"/>
      <c r="C901" s="21"/>
      <c r="D901" s="97" t="str">
        <f>IF(C901="","",IFERROR(INDEX(②メンバー!$C$5:$C$104,MATCH(C901,②メンバー!$B$5:$B$104,0)),""))</f>
        <v/>
      </c>
      <c r="E901" s="24"/>
      <c r="F901" s="160"/>
      <c r="G901" s="20"/>
      <c r="H901" s="20"/>
      <c r="I901" s="20"/>
      <c r="J901" s="20"/>
      <c r="K901" s="20"/>
      <c r="L901" s="20"/>
      <c r="M901" s="20"/>
      <c r="N901" s="20"/>
      <c r="O901" s="24"/>
      <c r="P901" s="161" t="str">
        <f t="shared" si="27"/>
        <v/>
      </c>
      <c r="Q901" s="7"/>
    </row>
    <row r="902" spans="1:17">
      <c r="A902" s="31" t="str">
        <f t="shared" ref="A902:A965" si="28">IF(B902="","",ROW()-5)</f>
        <v/>
      </c>
      <c r="B902" s="159"/>
      <c r="C902" s="21"/>
      <c r="D902" s="97" t="str">
        <f>IF(C902="","",IFERROR(INDEX(②メンバー!$C$5:$C$104,MATCH(C902,②メンバー!$B$5:$B$104,0)),""))</f>
        <v/>
      </c>
      <c r="E902" s="24"/>
      <c r="F902" s="160"/>
      <c r="G902" s="20"/>
      <c r="H902" s="20"/>
      <c r="I902" s="20"/>
      <c r="J902" s="20"/>
      <c r="K902" s="20"/>
      <c r="L902" s="20"/>
      <c r="M902" s="20"/>
      <c r="N902" s="20"/>
      <c r="O902" s="24"/>
      <c r="P902" s="161" t="str">
        <f t="shared" ref="P902:P965" si="29">IF(C902="","",IF(COUNTA(F902:O902)=0,IF(E902="出勤","いつもの時間","終日"),TRIM(IF(COUNTIF(F902:O902,"休")&gt;0,"休 "&amp;COUNTIF(F902:O902,"休")&amp;"h ","")&amp;IF(COUNTIF(F902:O902,"出")&gt;0,"出 "&amp;COUNTIF(F902:O902,"出")&amp;"h",""))))</f>
        <v/>
      </c>
      <c r="Q902" s="7"/>
    </row>
    <row r="903" spans="1:17">
      <c r="A903" s="31" t="str">
        <f t="shared" si="28"/>
        <v/>
      </c>
      <c r="B903" s="159"/>
      <c r="C903" s="21"/>
      <c r="D903" s="97" t="str">
        <f>IF(C903="","",IFERROR(INDEX(②メンバー!$C$5:$C$104,MATCH(C903,②メンバー!$B$5:$B$104,0)),""))</f>
        <v/>
      </c>
      <c r="E903" s="24"/>
      <c r="F903" s="160"/>
      <c r="G903" s="20"/>
      <c r="H903" s="20"/>
      <c r="I903" s="20"/>
      <c r="J903" s="20"/>
      <c r="K903" s="20"/>
      <c r="L903" s="20"/>
      <c r="M903" s="20"/>
      <c r="N903" s="20"/>
      <c r="O903" s="24"/>
      <c r="P903" s="161" t="str">
        <f t="shared" si="29"/>
        <v/>
      </c>
      <c r="Q903" s="7"/>
    </row>
    <row r="904" spans="1:17">
      <c r="A904" s="31" t="str">
        <f t="shared" si="28"/>
        <v/>
      </c>
      <c r="B904" s="159"/>
      <c r="C904" s="21"/>
      <c r="D904" s="97" t="str">
        <f>IF(C904="","",IFERROR(INDEX(②メンバー!$C$5:$C$104,MATCH(C904,②メンバー!$B$5:$B$104,0)),""))</f>
        <v/>
      </c>
      <c r="E904" s="24"/>
      <c r="F904" s="160"/>
      <c r="G904" s="20"/>
      <c r="H904" s="20"/>
      <c r="I904" s="20"/>
      <c r="J904" s="20"/>
      <c r="K904" s="20"/>
      <c r="L904" s="20"/>
      <c r="M904" s="20"/>
      <c r="N904" s="20"/>
      <c r="O904" s="24"/>
      <c r="P904" s="161" t="str">
        <f t="shared" si="29"/>
        <v/>
      </c>
      <c r="Q904" s="7"/>
    </row>
    <row r="905" spans="1:17">
      <c r="A905" s="31" t="str">
        <f t="shared" si="28"/>
        <v/>
      </c>
      <c r="B905" s="159"/>
      <c r="C905" s="21"/>
      <c r="D905" s="97" t="str">
        <f>IF(C905="","",IFERROR(INDEX(②メンバー!$C$5:$C$104,MATCH(C905,②メンバー!$B$5:$B$104,0)),""))</f>
        <v/>
      </c>
      <c r="E905" s="24"/>
      <c r="F905" s="160"/>
      <c r="G905" s="20"/>
      <c r="H905" s="20"/>
      <c r="I905" s="20"/>
      <c r="J905" s="20"/>
      <c r="K905" s="20"/>
      <c r="L905" s="20"/>
      <c r="M905" s="20"/>
      <c r="N905" s="20"/>
      <c r="O905" s="24"/>
      <c r="P905" s="161" t="str">
        <f t="shared" si="29"/>
        <v/>
      </c>
      <c r="Q905" s="7"/>
    </row>
    <row r="906" spans="1:17">
      <c r="A906" s="31" t="str">
        <f t="shared" si="28"/>
        <v/>
      </c>
      <c r="B906" s="159"/>
      <c r="C906" s="21"/>
      <c r="D906" s="97" t="str">
        <f>IF(C906="","",IFERROR(INDEX(②メンバー!$C$5:$C$104,MATCH(C906,②メンバー!$B$5:$B$104,0)),""))</f>
        <v/>
      </c>
      <c r="E906" s="24"/>
      <c r="F906" s="160"/>
      <c r="G906" s="20"/>
      <c r="H906" s="20"/>
      <c r="I906" s="20"/>
      <c r="J906" s="20"/>
      <c r="K906" s="20"/>
      <c r="L906" s="20"/>
      <c r="M906" s="20"/>
      <c r="N906" s="20"/>
      <c r="O906" s="24"/>
      <c r="P906" s="161" t="str">
        <f t="shared" si="29"/>
        <v/>
      </c>
      <c r="Q906" s="7"/>
    </row>
    <row r="907" spans="1:17">
      <c r="A907" s="31" t="str">
        <f t="shared" si="28"/>
        <v/>
      </c>
      <c r="B907" s="159"/>
      <c r="C907" s="21"/>
      <c r="D907" s="97" t="str">
        <f>IF(C907="","",IFERROR(INDEX(②メンバー!$C$5:$C$104,MATCH(C907,②メンバー!$B$5:$B$104,0)),""))</f>
        <v/>
      </c>
      <c r="E907" s="24"/>
      <c r="F907" s="160"/>
      <c r="G907" s="20"/>
      <c r="H907" s="20"/>
      <c r="I907" s="20"/>
      <c r="J907" s="20"/>
      <c r="K907" s="20"/>
      <c r="L907" s="20"/>
      <c r="M907" s="20"/>
      <c r="N907" s="20"/>
      <c r="O907" s="24"/>
      <c r="P907" s="161" t="str">
        <f t="shared" si="29"/>
        <v/>
      </c>
      <c r="Q907" s="7"/>
    </row>
    <row r="908" spans="1:17">
      <c r="A908" s="31" t="str">
        <f t="shared" si="28"/>
        <v/>
      </c>
      <c r="B908" s="159"/>
      <c r="C908" s="21"/>
      <c r="D908" s="97" t="str">
        <f>IF(C908="","",IFERROR(INDEX(②メンバー!$C$5:$C$104,MATCH(C908,②メンバー!$B$5:$B$104,0)),""))</f>
        <v/>
      </c>
      <c r="E908" s="24"/>
      <c r="F908" s="160"/>
      <c r="G908" s="20"/>
      <c r="H908" s="20"/>
      <c r="I908" s="20"/>
      <c r="J908" s="20"/>
      <c r="K908" s="20"/>
      <c r="L908" s="20"/>
      <c r="M908" s="20"/>
      <c r="N908" s="20"/>
      <c r="O908" s="24"/>
      <c r="P908" s="161" t="str">
        <f t="shared" si="29"/>
        <v/>
      </c>
      <c r="Q908" s="7"/>
    </row>
    <row r="909" spans="1:17">
      <c r="A909" s="31" t="str">
        <f t="shared" si="28"/>
        <v/>
      </c>
      <c r="B909" s="159"/>
      <c r="C909" s="21"/>
      <c r="D909" s="97" t="str">
        <f>IF(C909="","",IFERROR(INDEX(②メンバー!$C$5:$C$104,MATCH(C909,②メンバー!$B$5:$B$104,0)),""))</f>
        <v/>
      </c>
      <c r="E909" s="24"/>
      <c r="F909" s="160"/>
      <c r="G909" s="20"/>
      <c r="H909" s="20"/>
      <c r="I909" s="20"/>
      <c r="J909" s="20"/>
      <c r="K909" s="20"/>
      <c r="L909" s="20"/>
      <c r="M909" s="20"/>
      <c r="N909" s="20"/>
      <c r="O909" s="24"/>
      <c r="P909" s="161" t="str">
        <f t="shared" si="29"/>
        <v/>
      </c>
      <c r="Q909" s="7"/>
    </row>
    <row r="910" spans="1:17">
      <c r="A910" s="31" t="str">
        <f t="shared" si="28"/>
        <v/>
      </c>
      <c r="B910" s="159"/>
      <c r="C910" s="21"/>
      <c r="D910" s="97" t="str">
        <f>IF(C910="","",IFERROR(INDEX(②メンバー!$C$5:$C$104,MATCH(C910,②メンバー!$B$5:$B$104,0)),""))</f>
        <v/>
      </c>
      <c r="E910" s="24"/>
      <c r="F910" s="160"/>
      <c r="G910" s="20"/>
      <c r="H910" s="20"/>
      <c r="I910" s="20"/>
      <c r="J910" s="20"/>
      <c r="K910" s="20"/>
      <c r="L910" s="20"/>
      <c r="M910" s="20"/>
      <c r="N910" s="20"/>
      <c r="O910" s="24"/>
      <c r="P910" s="161" t="str">
        <f t="shared" si="29"/>
        <v/>
      </c>
      <c r="Q910" s="7"/>
    </row>
    <row r="911" spans="1:17">
      <c r="A911" s="31" t="str">
        <f t="shared" si="28"/>
        <v/>
      </c>
      <c r="B911" s="159"/>
      <c r="C911" s="21"/>
      <c r="D911" s="97" t="str">
        <f>IF(C911="","",IFERROR(INDEX(②メンバー!$C$5:$C$104,MATCH(C911,②メンバー!$B$5:$B$104,0)),""))</f>
        <v/>
      </c>
      <c r="E911" s="24"/>
      <c r="F911" s="160"/>
      <c r="G911" s="20"/>
      <c r="H911" s="20"/>
      <c r="I911" s="20"/>
      <c r="J911" s="20"/>
      <c r="K911" s="20"/>
      <c r="L911" s="20"/>
      <c r="M911" s="20"/>
      <c r="N911" s="20"/>
      <c r="O911" s="24"/>
      <c r="P911" s="161" t="str">
        <f t="shared" si="29"/>
        <v/>
      </c>
      <c r="Q911" s="7"/>
    </row>
    <row r="912" spans="1:17">
      <c r="A912" s="31" t="str">
        <f t="shared" si="28"/>
        <v/>
      </c>
      <c r="B912" s="159"/>
      <c r="C912" s="21"/>
      <c r="D912" s="97" t="str">
        <f>IF(C912="","",IFERROR(INDEX(②メンバー!$C$5:$C$104,MATCH(C912,②メンバー!$B$5:$B$104,0)),""))</f>
        <v/>
      </c>
      <c r="E912" s="24"/>
      <c r="F912" s="160"/>
      <c r="G912" s="20"/>
      <c r="H912" s="20"/>
      <c r="I912" s="20"/>
      <c r="J912" s="20"/>
      <c r="K912" s="20"/>
      <c r="L912" s="20"/>
      <c r="M912" s="20"/>
      <c r="N912" s="20"/>
      <c r="O912" s="24"/>
      <c r="P912" s="161" t="str">
        <f t="shared" si="29"/>
        <v/>
      </c>
      <c r="Q912" s="7"/>
    </row>
    <row r="913" spans="1:17">
      <c r="A913" s="31" t="str">
        <f t="shared" si="28"/>
        <v/>
      </c>
      <c r="B913" s="159"/>
      <c r="C913" s="21"/>
      <c r="D913" s="97" t="str">
        <f>IF(C913="","",IFERROR(INDEX(②メンバー!$C$5:$C$104,MATCH(C913,②メンバー!$B$5:$B$104,0)),""))</f>
        <v/>
      </c>
      <c r="E913" s="24"/>
      <c r="F913" s="160"/>
      <c r="G913" s="20"/>
      <c r="H913" s="20"/>
      <c r="I913" s="20"/>
      <c r="J913" s="20"/>
      <c r="K913" s="20"/>
      <c r="L913" s="20"/>
      <c r="M913" s="20"/>
      <c r="N913" s="20"/>
      <c r="O913" s="24"/>
      <c r="P913" s="161" t="str">
        <f t="shared" si="29"/>
        <v/>
      </c>
      <c r="Q913" s="7"/>
    </row>
    <row r="914" spans="1:17">
      <c r="A914" s="31" t="str">
        <f t="shared" si="28"/>
        <v/>
      </c>
      <c r="B914" s="159"/>
      <c r="C914" s="21"/>
      <c r="D914" s="97" t="str">
        <f>IF(C914="","",IFERROR(INDEX(②メンバー!$C$5:$C$104,MATCH(C914,②メンバー!$B$5:$B$104,0)),""))</f>
        <v/>
      </c>
      <c r="E914" s="24"/>
      <c r="F914" s="160"/>
      <c r="G914" s="20"/>
      <c r="H914" s="20"/>
      <c r="I914" s="20"/>
      <c r="J914" s="20"/>
      <c r="K914" s="20"/>
      <c r="L914" s="20"/>
      <c r="M914" s="20"/>
      <c r="N914" s="20"/>
      <c r="O914" s="24"/>
      <c r="P914" s="161" t="str">
        <f t="shared" si="29"/>
        <v/>
      </c>
      <c r="Q914" s="7"/>
    </row>
    <row r="915" spans="1:17">
      <c r="A915" s="31" t="str">
        <f t="shared" si="28"/>
        <v/>
      </c>
      <c r="B915" s="159"/>
      <c r="C915" s="21"/>
      <c r="D915" s="97" t="str">
        <f>IF(C915="","",IFERROR(INDEX(②メンバー!$C$5:$C$104,MATCH(C915,②メンバー!$B$5:$B$104,0)),""))</f>
        <v/>
      </c>
      <c r="E915" s="24"/>
      <c r="F915" s="160"/>
      <c r="G915" s="20"/>
      <c r="H915" s="20"/>
      <c r="I915" s="20"/>
      <c r="J915" s="20"/>
      <c r="K915" s="20"/>
      <c r="L915" s="20"/>
      <c r="M915" s="20"/>
      <c r="N915" s="20"/>
      <c r="O915" s="24"/>
      <c r="P915" s="161" t="str">
        <f t="shared" si="29"/>
        <v/>
      </c>
      <c r="Q915" s="7"/>
    </row>
    <row r="916" spans="1:17">
      <c r="A916" s="31" t="str">
        <f t="shared" si="28"/>
        <v/>
      </c>
      <c r="B916" s="159"/>
      <c r="C916" s="21"/>
      <c r="D916" s="97" t="str">
        <f>IF(C916="","",IFERROR(INDEX(②メンバー!$C$5:$C$104,MATCH(C916,②メンバー!$B$5:$B$104,0)),""))</f>
        <v/>
      </c>
      <c r="E916" s="24"/>
      <c r="F916" s="160"/>
      <c r="G916" s="20"/>
      <c r="H916" s="20"/>
      <c r="I916" s="20"/>
      <c r="J916" s="20"/>
      <c r="K916" s="20"/>
      <c r="L916" s="20"/>
      <c r="M916" s="20"/>
      <c r="N916" s="20"/>
      <c r="O916" s="24"/>
      <c r="P916" s="161" t="str">
        <f t="shared" si="29"/>
        <v/>
      </c>
      <c r="Q916" s="7"/>
    </row>
    <row r="917" spans="1:17">
      <c r="A917" s="31" t="str">
        <f t="shared" si="28"/>
        <v/>
      </c>
      <c r="B917" s="159"/>
      <c r="C917" s="21"/>
      <c r="D917" s="97" t="str">
        <f>IF(C917="","",IFERROR(INDEX(②メンバー!$C$5:$C$104,MATCH(C917,②メンバー!$B$5:$B$104,0)),""))</f>
        <v/>
      </c>
      <c r="E917" s="24"/>
      <c r="F917" s="160"/>
      <c r="G917" s="20"/>
      <c r="H917" s="20"/>
      <c r="I917" s="20"/>
      <c r="J917" s="20"/>
      <c r="K917" s="20"/>
      <c r="L917" s="20"/>
      <c r="M917" s="20"/>
      <c r="N917" s="20"/>
      <c r="O917" s="24"/>
      <c r="P917" s="161" t="str">
        <f t="shared" si="29"/>
        <v/>
      </c>
      <c r="Q917" s="7"/>
    </row>
    <row r="918" spans="1:17">
      <c r="A918" s="31" t="str">
        <f t="shared" si="28"/>
        <v/>
      </c>
      <c r="B918" s="159"/>
      <c r="C918" s="21"/>
      <c r="D918" s="97" t="str">
        <f>IF(C918="","",IFERROR(INDEX(②メンバー!$C$5:$C$104,MATCH(C918,②メンバー!$B$5:$B$104,0)),""))</f>
        <v/>
      </c>
      <c r="E918" s="24"/>
      <c r="F918" s="160"/>
      <c r="G918" s="20"/>
      <c r="H918" s="20"/>
      <c r="I918" s="20"/>
      <c r="J918" s="20"/>
      <c r="K918" s="20"/>
      <c r="L918" s="20"/>
      <c r="M918" s="20"/>
      <c r="N918" s="20"/>
      <c r="O918" s="24"/>
      <c r="P918" s="161" t="str">
        <f t="shared" si="29"/>
        <v/>
      </c>
      <c r="Q918" s="7"/>
    </row>
    <row r="919" spans="1:17">
      <c r="A919" s="31" t="str">
        <f t="shared" si="28"/>
        <v/>
      </c>
      <c r="B919" s="159"/>
      <c r="C919" s="21"/>
      <c r="D919" s="97" t="str">
        <f>IF(C919="","",IFERROR(INDEX(②メンバー!$C$5:$C$104,MATCH(C919,②メンバー!$B$5:$B$104,0)),""))</f>
        <v/>
      </c>
      <c r="E919" s="24"/>
      <c r="F919" s="160"/>
      <c r="G919" s="20"/>
      <c r="H919" s="20"/>
      <c r="I919" s="20"/>
      <c r="J919" s="20"/>
      <c r="K919" s="20"/>
      <c r="L919" s="20"/>
      <c r="M919" s="20"/>
      <c r="N919" s="20"/>
      <c r="O919" s="24"/>
      <c r="P919" s="161" t="str">
        <f t="shared" si="29"/>
        <v/>
      </c>
      <c r="Q919" s="7"/>
    </row>
    <row r="920" spans="1:17">
      <c r="A920" s="31" t="str">
        <f t="shared" si="28"/>
        <v/>
      </c>
      <c r="B920" s="159"/>
      <c r="C920" s="21"/>
      <c r="D920" s="97" t="str">
        <f>IF(C920="","",IFERROR(INDEX(②メンバー!$C$5:$C$104,MATCH(C920,②メンバー!$B$5:$B$104,0)),""))</f>
        <v/>
      </c>
      <c r="E920" s="24"/>
      <c r="F920" s="160"/>
      <c r="G920" s="20"/>
      <c r="H920" s="20"/>
      <c r="I920" s="20"/>
      <c r="J920" s="20"/>
      <c r="K920" s="20"/>
      <c r="L920" s="20"/>
      <c r="M920" s="20"/>
      <c r="N920" s="20"/>
      <c r="O920" s="24"/>
      <c r="P920" s="161" t="str">
        <f t="shared" si="29"/>
        <v/>
      </c>
      <c r="Q920" s="7"/>
    </row>
    <row r="921" spans="1:17">
      <c r="A921" s="31" t="str">
        <f t="shared" si="28"/>
        <v/>
      </c>
      <c r="B921" s="159"/>
      <c r="C921" s="21"/>
      <c r="D921" s="97" t="str">
        <f>IF(C921="","",IFERROR(INDEX(②メンバー!$C$5:$C$104,MATCH(C921,②メンバー!$B$5:$B$104,0)),""))</f>
        <v/>
      </c>
      <c r="E921" s="24"/>
      <c r="F921" s="160"/>
      <c r="G921" s="20"/>
      <c r="H921" s="20"/>
      <c r="I921" s="20"/>
      <c r="J921" s="20"/>
      <c r="K921" s="20"/>
      <c r="L921" s="20"/>
      <c r="M921" s="20"/>
      <c r="N921" s="20"/>
      <c r="O921" s="24"/>
      <c r="P921" s="161" t="str">
        <f t="shared" si="29"/>
        <v/>
      </c>
      <c r="Q921" s="7"/>
    </row>
    <row r="922" spans="1:17">
      <c r="A922" s="31" t="str">
        <f t="shared" si="28"/>
        <v/>
      </c>
      <c r="B922" s="159"/>
      <c r="C922" s="21"/>
      <c r="D922" s="97" t="str">
        <f>IF(C922="","",IFERROR(INDEX(②メンバー!$C$5:$C$104,MATCH(C922,②メンバー!$B$5:$B$104,0)),""))</f>
        <v/>
      </c>
      <c r="E922" s="24"/>
      <c r="F922" s="160"/>
      <c r="G922" s="20"/>
      <c r="H922" s="20"/>
      <c r="I922" s="20"/>
      <c r="J922" s="20"/>
      <c r="K922" s="20"/>
      <c r="L922" s="20"/>
      <c r="M922" s="20"/>
      <c r="N922" s="20"/>
      <c r="O922" s="24"/>
      <c r="P922" s="161" t="str">
        <f t="shared" si="29"/>
        <v/>
      </c>
      <c r="Q922" s="7"/>
    </row>
    <row r="923" spans="1:17">
      <c r="A923" s="31" t="str">
        <f t="shared" si="28"/>
        <v/>
      </c>
      <c r="B923" s="159"/>
      <c r="C923" s="21"/>
      <c r="D923" s="97" t="str">
        <f>IF(C923="","",IFERROR(INDEX(②メンバー!$C$5:$C$104,MATCH(C923,②メンバー!$B$5:$B$104,0)),""))</f>
        <v/>
      </c>
      <c r="E923" s="24"/>
      <c r="F923" s="160"/>
      <c r="G923" s="20"/>
      <c r="H923" s="20"/>
      <c r="I923" s="20"/>
      <c r="J923" s="20"/>
      <c r="K923" s="20"/>
      <c r="L923" s="20"/>
      <c r="M923" s="20"/>
      <c r="N923" s="20"/>
      <c r="O923" s="24"/>
      <c r="P923" s="161" t="str">
        <f t="shared" si="29"/>
        <v/>
      </c>
      <c r="Q923" s="7"/>
    </row>
    <row r="924" spans="1:17">
      <c r="A924" s="31" t="str">
        <f t="shared" si="28"/>
        <v/>
      </c>
      <c r="B924" s="159"/>
      <c r="C924" s="21"/>
      <c r="D924" s="97" t="str">
        <f>IF(C924="","",IFERROR(INDEX(②メンバー!$C$5:$C$104,MATCH(C924,②メンバー!$B$5:$B$104,0)),""))</f>
        <v/>
      </c>
      <c r="E924" s="24"/>
      <c r="F924" s="160"/>
      <c r="G924" s="20"/>
      <c r="H924" s="20"/>
      <c r="I924" s="20"/>
      <c r="J924" s="20"/>
      <c r="K924" s="20"/>
      <c r="L924" s="20"/>
      <c r="M924" s="20"/>
      <c r="N924" s="20"/>
      <c r="O924" s="24"/>
      <c r="P924" s="161" t="str">
        <f t="shared" si="29"/>
        <v/>
      </c>
      <c r="Q924" s="7"/>
    </row>
    <row r="925" spans="1:17">
      <c r="A925" s="31" t="str">
        <f t="shared" si="28"/>
        <v/>
      </c>
      <c r="B925" s="159"/>
      <c r="C925" s="21"/>
      <c r="D925" s="97" t="str">
        <f>IF(C925="","",IFERROR(INDEX(②メンバー!$C$5:$C$104,MATCH(C925,②メンバー!$B$5:$B$104,0)),""))</f>
        <v/>
      </c>
      <c r="E925" s="24"/>
      <c r="F925" s="160"/>
      <c r="G925" s="20"/>
      <c r="H925" s="20"/>
      <c r="I925" s="20"/>
      <c r="J925" s="20"/>
      <c r="K925" s="20"/>
      <c r="L925" s="20"/>
      <c r="M925" s="20"/>
      <c r="N925" s="20"/>
      <c r="O925" s="24"/>
      <c r="P925" s="161" t="str">
        <f t="shared" si="29"/>
        <v/>
      </c>
      <c r="Q925" s="7"/>
    </row>
    <row r="926" spans="1:17">
      <c r="A926" s="31" t="str">
        <f t="shared" si="28"/>
        <v/>
      </c>
      <c r="B926" s="159"/>
      <c r="C926" s="21"/>
      <c r="D926" s="97" t="str">
        <f>IF(C926="","",IFERROR(INDEX(②メンバー!$C$5:$C$104,MATCH(C926,②メンバー!$B$5:$B$104,0)),""))</f>
        <v/>
      </c>
      <c r="E926" s="24"/>
      <c r="F926" s="160"/>
      <c r="G926" s="20"/>
      <c r="H926" s="20"/>
      <c r="I926" s="20"/>
      <c r="J926" s="20"/>
      <c r="K926" s="20"/>
      <c r="L926" s="20"/>
      <c r="M926" s="20"/>
      <c r="N926" s="20"/>
      <c r="O926" s="24"/>
      <c r="P926" s="161" t="str">
        <f t="shared" si="29"/>
        <v/>
      </c>
      <c r="Q926" s="7"/>
    </row>
    <row r="927" spans="1:17">
      <c r="A927" s="31" t="str">
        <f t="shared" si="28"/>
        <v/>
      </c>
      <c r="B927" s="159"/>
      <c r="C927" s="21"/>
      <c r="D927" s="97" t="str">
        <f>IF(C927="","",IFERROR(INDEX(②メンバー!$C$5:$C$104,MATCH(C927,②メンバー!$B$5:$B$104,0)),""))</f>
        <v/>
      </c>
      <c r="E927" s="24"/>
      <c r="F927" s="160"/>
      <c r="G927" s="20"/>
      <c r="H927" s="20"/>
      <c r="I927" s="20"/>
      <c r="J927" s="20"/>
      <c r="K927" s="20"/>
      <c r="L927" s="20"/>
      <c r="M927" s="20"/>
      <c r="N927" s="20"/>
      <c r="O927" s="24"/>
      <c r="P927" s="161" t="str">
        <f t="shared" si="29"/>
        <v/>
      </c>
      <c r="Q927" s="7"/>
    </row>
    <row r="928" spans="1:17">
      <c r="A928" s="31" t="str">
        <f t="shared" si="28"/>
        <v/>
      </c>
      <c r="B928" s="159"/>
      <c r="C928" s="21"/>
      <c r="D928" s="97" t="str">
        <f>IF(C928="","",IFERROR(INDEX(②メンバー!$C$5:$C$104,MATCH(C928,②メンバー!$B$5:$B$104,0)),""))</f>
        <v/>
      </c>
      <c r="E928" s="24"/>
      <c r="F928" s="160"/>
      <c r="G928" s="20"/>
      <c r="H928" s="20"/>
      <c r="I928" s="20"/>
      <c r="J928" s="20"/>
      <c r="K928" s="20"/>
      <c r="L928" s="20"/>
      <c r="M928" s="20"/>
      <c r="N928" s="20"/>
      <c r="O928" s="24"/>
      <c r="P928" s="161" t="str">
        <f t="shared" si="29"/>
        <v/>
      </c>
      <c r="Q928" s="7"/>
    </row>
    <row r="929" spans="1:17">
      <c r="A929" s="31" t="str">
        <f t="shared" si="28"/>
        <v/>
      </c>
      <c r="B929" s="159"/>
      <c r="C929" s="21"/>
      <c r="D929" s="97" t="str">
        <f>IF(C929="","",IFERROR(INDEX(②メンバー!$C$5:$C$104,MATCH(C929,②メンバー!$B$5:$B$104,0)),""))</f>
        <v/>
      </c>
      <c r="E929" s="24"/>
      <c r="F929" s="160"/>
      <c r="G929" s="20"/>
      <c r="H929" s="20"/>
      <c r="I929" s="20"/>
      <c r="J929" s="20"/>
      <c r="K929" s="20"/>
      <c r="L929" s="20"/>
      <c r="M929" s="20"/>
      <c r="N929" s="20"/>
      <c r="O929" s="24"/>
      <c r="P929" s="161" t="str">
        <f t="shared" si="29"/>
        <v/>
      </c>
      <c r="Q929" s="7"/>
    </row>
    <row r="930" spans="1:17">
      <c r="A930" s="31" t="str">
        <f t="shared" si="28"/>
        <v/>
      </c>
      <c r="B930" s="159"/>
      <c r="C930" s="21"/>
      <c r="D930" s="97" t="str">
        <f>IF(C930="","",IFERROR(INDEX(②メンバー!$C$5:$C$104,MATCH(C930,②メンバー!$B$5:$B$104,0)),""))</f>
        <v/>
      </c>
      <c r="E930" s="24"/>
      <c r="F930" s="160"/>
      <c r="G930" s="20"/>
      <c r="H930" s="20"/>
      <c r="I930" s="20"/>
      <c r="J930" s="20"/>
      <c r="K930" s="20"/>
      <c r="L930" s="20"/>
      <c r="M930" s="20"/>
      <c r="N930" s="20"/>
      <c r="O930" s="24"/>
      <c r="P930" s="161" t="str">
        <f t="shared" si="29"/>
        <v/>
      </c>
      <c r="Q930" s="7"/>
    </row>
    <row r="931" spans="1:17">
      <c r="A931" s="31" t="str">
        <f t="shared" si="28"/>
        <v/>
      </c>
      <c r="B931" s="159"/>
      <c r="C931" s="21"/>
      <c r="D931" s="97" t="str">
        <f>IF(C931="","",IFERROR(INDEX(②メンバー!$C$5:$C$104,MATCH(C931,②メンバー!$B$5:$B$104,0)),""))</f>
        <v/>
      </c>
      <c r="E931" s="24"/>
      <c r="F931" s="160"/>
      <c r="G931" s="20"/>
      <c r="H931" s="20"/>
      <c r="I931" s="20"/>
      <c r="J931" s="20"/>
      <c r="K931" s="20"/>
      <c r="L931" s="20"/>
      <c r="M931" s="20"/>
      <c r="N931" s="20"/>
      <c r="O931" s="24"/>
      <c r="P931" s="161" t="str">
        <f t="shared" si="29"/>
        <v/>
      </c>
      <c r="Q931" s="7"/>
    </row>
    <row r="932" spans="1:17">
      <c r="A932" s="31" t="str">
        <f t="shared" si="28"/>
        <v/>
      </c>
      <c r="B932" s="159"/>
      <c r="C932" s="21"/>
      <c r="D932" s="97" t="str">
        <f>IF(C932="","",IFERROR(INDEX(②メンバー!$C$5:$C$104,MATCH(C932,②メンバー!$B$5:$B$104,0)),""))</f>
        <v/>
      </c>
      <c r="E932" s="24"/>
      <c r="F932" s="160"/>
      <c r="G932" s="20"/>
      <c r="H932" s="20"/>
      <c r="I932" s="20"/>
      <c r="J932" s="20"/>
      <c r="K932" s="20"/>
      <c r="L932" s="20"/>
      <c r="M932" s="20"/>
      <c r="N932" s="20"/>
      <c r="O932" s="24"/>
      <c r="P932" s="161" t="str">
        <f t="shared" si="29"/>
        <v/>
      </c>
      <c r="Q932" s="7"/>
    </row>
    <row r="933" spans="1:17">
      <c r="A933" s="31" t="str">
        <f t="shared" si="28"/>
        <v/>
      </c>
      <c r="B933" s="159"/>
      <c r="C933" s="21"/>
      <c r="D933" s="97" t="str">
        <f>IF(C933="","",IFERROR(INDEX(②メンバー!$C$5:$C$104,MATCH(C933,②メンバー!$B$5:$B$104,0)),""))</f>
        <v/>
      </c>
      <c r="E933" s="24"/>
      <c r="F933" s="160"/>
      <c r="G933" s="20"/>
      <c r="H933" s="20"/>
      <c r="I933" s="20"/>
      <c r="J933" s="20"/>
      <c r="K933" s="20"/>
      <c r="L933" s="20"/>
      <c r="M933" s="20"/>
      <c r="N933" s="20"/>
      <c r="O933" s="24"/>
      <c r="P933" s="161" t="str">
        <f t="shared" si="29"/>
        <v/>
      </c>
      <c r="Q933" s="7"/>
    </row>
    <row r="934" spans="1:17">
      <c r="A934" s="31" t="str">
        <f t="shared" si="28"/>
        <v/>
      </c>
      <c r="B934" s="159"/>
      <c r="C934" s="21"/>
      <c r="D934" s="97" t="str">
        <f>IF(C934="","",IFERROR(INDEX(②メンバー!$C$5:$C$104,MATCH(C934,②メンバー!$B$5:$B$104,0)),""))</f>
        <v/>
      </c>
      <c r="E934" s="24"/>
      <c r="F934" s="160"/>
      <c r="G934" s="20"/>
      <c r="H934" s="20"/>
      <c r="I934" s="20"/>
      <c r="J934" s="20"/>
      <c r="K934" s="20"/>
      <c r="L934" s="20"/>
      <c r="M934" s="20"/>
      <c r="N934" s="20"/>
      <c r="O934" s="24"/>
      <c r="P934" s="161" t="str">
        <f t="shared" si="29"/>
        <v/>
      </c>
      <c r="Q934" s="7"/>
    </row>
    <row r="935" spans="1:17">
      <c r="A935" s="31" t="str">
        <f t="shared" si="28"/>
        <v/>
      </c>
      <c r="B935" s="159"/>
      <c r="C935" s="21"/>
      <c r="D935" s="97" t="str">
        <f>IF(C935="","",IFERROR(INDEX(②メンバー!$C$5:$C$104,MATCH(C935,②メンバー!$B$5:$B$104,0)),""))</f>
        <v/>
      </c>
      <c r="E935" s="24"/>
      <c r="F935" s="160"/>
      <c r="G935" s="20"/>
      <c r="H935" s="20"/>
      <c r="I935" s="20"/>
      <c r="J935" s="20"/>
      <c r="K935" s="20"/>
      <c r="L935" s="20"/>
      <c r="M935" s="20"/>
      <c r="N935" s="20"/>
      <c r="O935" s="24"/>
      <c r="P935" s="161" t="str">
        <f t="shared" si="29"/>
        <v/>
      </c>
      <c r="Q935" s="7"/>
    </row>
    <row r="936" spans="1:17">
      <c r="A936" s="31" t="str">
        <f t="shared" si="28"/>
        <v/>
      </c>
      <c r="B936" s="159"/>
      <c r="C936" s="21"/>
      <c r="D936" s="97" t="str">
        <f>IF(C936="","",IFERROR(INDEX(②メンバー!$C$5:$C$104,MATCH(C936,②メンバー!$B$5:$B$104,0)),""))</f>
        <v/>
      </c>
      <c r="E936" s="24"/>
      <c r="F936" s="160"/>
      <c r="G936" s="20"/>
      <c r="H936" s="20"/>
      <c r="I936" s="20"/>
      <c r="J936" s="20"/>
      <c r="K936" s="20"/>
      <c r="L936" s="20"/>
      <c r="M936" s="20"/>
      <c r="N936" s="20"/>
      <c r="O936" s="24"/>
      <c r="P936" s="161" t="str">
        <f t="shared" si="29"/>
        <v/>
      </c>
      <c r="Q936" s="7"/>
    </row>
    <row r="937" spans="1:17">
      <c r="A937" s="31" t="str">
        <f t="shared" si="28"/>
        <v/>
      </c>
      <c r="B937" s="159"/>
      <c r="C937" s="21"/>
      <c r="D937" s="97" t="str">
        <f>IF(C937="","",IFERROR(INDEX(②メンバー!$C$5:$C$104,MATCH(C937,②メンバー!$B$5:$B$104,0)),""))</f>
        <v/>
      </c>
      <c r="E937" s="24"/>
      <c r="F937" s="160"/>
      <c r="G937" s="20"/>
      <c r="H937" s="20"/>
      <c r="I937" s="20"/>
      <c r="J937" s="20"/>
      <c r="K937" s="20"/>
      <c r="L937" s="20"/>
      <c r="M937" s="20"/>
      <c r="N937" s="20"/>
      <c r="O937" s="24"/>
      <c r="P937" s="161" t="str">
        <f t="shared" si="29"/>
        <v/>
      </c>
      <c r="Q937" s="7"/>
    </row>
    <row r="938" spans="1:17">
      <c r="A938" s="31" t="str">
        <f t="shared" si="28"/>
        <v/>
      </c>
      <c r="B938" s="159"/>
      <c r="C938" s="21"/>
      <c r="D938" s="97" t="str">
        <f>IF(C938="","",IFERROR(INDEX(②メンバー!$C$5:$C$104,MATCH(C938,②メンバー!$B$5:$B$104,0)),""))</f>
        <v/>
      </c>
      <c r="E938" s="24"/>
      <c r="F938" s="160"/>
      <c r="G938" s="20"/>
      <c r="H938" s="20"/>
      <c r="I938" s="20"/>
      <c r="J938" s="20"/>
      <c r="K938" s="20"/>
      <c r="L938" s="20"/>
      <c r="M938" s="20"/>
      <c r="N938" s="20"/>
      <c r="O938" s="24"/>
      <c r="P938" s="161" t="str">
        <f t="shared" si="29"/>
        <v/>
      </c>
      <c r="Q938" s="7"/>
    </row>
    <row r="939" spans="1:17">
      <c r="A939" s="31" t="str">
        <f t="shared" si="28"/>
        <v/>
      </c>
      <c r="B939" s="159"/>
      <c r="C939" s="21"/>
      <c r="D939" s="97" t="str">
        <f>IF(C939="","",IFERROR(INDEX(②メンバー!$C$5:$C$104,MATCH(C939,②メンバー!$B$5:$B$104,0)),""))</f>
        <v/>
      </c>
      <c r="E939" s="24"/>
      <c r="F939" s="160"/>
      <c r="G939" s="20"/>
      <c r="H939" s="20"/>
      <c r="I939" s="20"/>
      <c r="J939" s="20"/>
      <c r="K939" s="20"/>
      <c r="L939" s="20"/>
      <c r="M939" s="20"/>
      <c r="N939" s="20"/>
      <c r="O939" s="24"/>
      <c r="P939" s="161" t="str">
        <f t="shared" si="29"/>
        <v/>
      </c>
      <c r="Q939" s="7"/>
    </row>
    <row r="940" spans="1:17">
      <c r="A940" s="31" t="str">
        <f t="shared" si="28"/>
        <v/>
      </c>
      <c r="B940" s="159"/>
      <c r="C940" s="21"/>
      <c r="D940" s="97" t="str">
        <f>IF(C940="","",IFERROR(INDEX(②メンバー!$C$5:$C$104,MATCH(C940,②メンバー!$B$5:$B$104,0)),""))</f>
        <v/>
      </c>
      <c r="E940" s="24"/>
      <c r="F940" s="160"/>
      <c r="G940" s="20"/>
      <c r="H940" s="20"/>
      <c r="I940" s="20"/>
      <c r="J940" s="20"/>
      <c r="K940" s="20"/>
      <c r="L940" s="20"/>
      <c r="M940" s="20"/>
      <c r="N940" s="20"/>
      <c r="O940" s="24"/>
      <c r="P940" s="161" t="str">
        <f t="shared" si="29"/>
        <v/>
      </c>
      <c r="Q940" s="7"/>
    </row>
    <row r="941" spans="1:17">
      <c r="A941" s="31" t="str">
        <f t="shared" si="28"/>
        <v/>
      </c>
      <c r="B941" s="159"/>
      <c r="C941" s="21"/>
      <c r="D941" s="97" t="str">
        <f>IF(C941="","",IFERROR(INDEX(②メンバー!$C$5:$C$104,MATCH(C941,②メンバー!$B$5:$B$104,0)),""))</f>
        <v/>
      </c>
      <c r="E941" s="24"/>
      <c r="F941" s="160"/>
      <c r="G941" s="20"/>
      <c r="H941" s="20"/>
      <c r="I941" s="20"/>
      <c r="J941" s="20"/>
      <c r="K941" s="20"/>
      <c r="L941" s="20"/>
      <c r="M941" s="20"/>
      <c r="N941" s="20"/>
      <c r="O941" s="24"/>
      <c r="P941" s="161" t="str">
        <f t="shared" si="29"/>
        <v/>
      </c>
      <c r="Q941" s="7"/>
    </row>
    <row r="942" spans="1:17">
      <c r="A942" s="31" t="str">
        <f t="shared" si="28"/>
        <v/>
      </c>
      <c r="B942" s="159"/>
      <c r="C942" s="21"/>
      <c r="D942" s="97" t="str">
        <f>IF(C942="","",IFERROR(INDEX(②メンバー!$C$5:$C$104,MATCH(C942,②メンバー!$B$5:$B$104,0)),""))</f>
        <v/>
      </c>
      <c r="E942" s="24"/>
      <c r="F942" s="160"/>
      <c r="G942" s="20"/>
      <c r="H942" s="20"/>
      <c r="I942" s="20"/>
      <c r="J942" s="20"/>
      <c r="K942" s="20"/>
      <c r="L942" s="20"/>
      <c r="M942" s="20"/>
      <c r="N942" s="20"/>
      <c r="O942" s="24"/>
      <c r="P942" s="161" t="str">
        <f t="shared" si="29"/>
        <v/>
      </c>
      <c r="Q942" s="7"/>
    </row>
    <row r="943" spans="1:17">
      <c r="A943" s="31" t="str">
        <f t="shared" si="28"/>
        <v/>
      </c>
      <c r="B943" s="159"/>
      <c r="C943" s="21"/>
      <c r="D943" s="97" t="str">
        <f>IF(C943="","",IFERROR(INDEX(②メンバー!$C$5:$C$104,MATCH(C943,②メンバー!$B$5:$B$104,0)),""))</f>
        <v/>
      </c>
      <c r="E943" s="24"/>
      <c r="F943" s="160"/>
      <c r="G943" s="20"/>
      <c r="H943" s="20"/>
      <c r="I943" s="20"/>
      <c r="J943" s="20"/>
      <c r="K943" s="20"/>
      <c r="L943" s="20"/>
      <c r="M943" s="20"/>
      <c r="N943" s="20"/>
      <c r="O943" s="24"/>
      <c r="P943" s="161" t="str">
        <f t="shared" si="29"/>
        <v/>
      </c>
      <c r="Q943" s="7"/>
    </row>
    <row r="944" spans="1:17">
      <c r="A944" s="31" t="str">
        <f t="shared" si="28"/>
        <v/>
      </c>
      <c r="B944" s="159"/>
      <c r="C944" s="21"/>
      <c r="D944" s="97" t="str">
        <f>IF(C944="","",IFERROR(INDEX(②メンバー!$C$5:$C$104,MATCH(C944,②メンバー!$B$5:$B$104,0)),""))</f>
        <v/>
      </c>
      <c r="E944" s="24"/>
      <c r="F944" s="160"/>
      <c r="G944" s="20"/>
      <c r="H944" s="20"/>
      <c r="I944" s="20"/>
      <c r="J944" s="20"/>
      <c r="K944" s="20"/>
      <c r="L944" s="20"/>
      <c r="M944" s="20"/>
      <c r="N944" s="20"/>
      <c r="O944" s="24"/>
      <c r="P944" s="161" t="str">
        <f t="shared" si="29"/>
        <v/>
      </c>
      <c r="Q944" s="7"/>
    </row>
    <row r="945" spans="1:17">
      <c r="A945" s="31" t="str">
        <f t="shared" si="28"/>
        <v/>
      </c>
      <c r="B945" s="159"/>
      <c r="C945" s="21"/>
      <c r="D945" s="97" t="str">
        <f>IF(C945="","",IFERROR(INDEX(②メンバー!$C$5:$C$104,MATCH(C945,②メンバー!$B$5:$B$104,0)),""))</f>
        <v/>
      </c>
      <c r="E945" s="24"/>
      <c r="F945" s="160"/>
      <c r="G945" s="20"/>
      <c r="H945" s="20"/>
      <c r="I945" s="20"/>
      <c r="J945" s="20"/>
      <c r="K945" s="20"/>
      <c r="L945" s="20"/>
      <c r="M945" s="20"/>
      <c r="N945" s="20"/>
      <c r="O945" s="24"/>
      <c r="P945" s="161" t="str">
        <f t="shared" si="29"/>
        <v/>
      </c>
      <c r="Q945" s="7"/>
    </row>
    <row r="946" spans="1:17">
      <c r="A946" s="31" t="str">
        <f t="shared" si="28"/>
        <v/>
      </c>
      <c r="B946" s="159"/>
      <c r="C946" s="21"/>
      <c r="D946" s="97" t="str">
        <f>IF(C946="","",IFERROR(INDEX(②メンバー!$C$5:$C$104,MATCH(C946,②メンバー!$B$5:$B$104,0)),""))</f>
        <v/>
      </c>
      <c r="E946" s="24"/>
      <c r="F946" s="160"/>
      <c r="G946" s="20"/>
      <c r="H946" s="20"/>
      <c r="I946" s="20"/>
      <c r="J946" s="20"/>
      <c r="K946" s="20"/>
      <c r="L946" s="20"/>
      <c r="M946" s="20"/>
      <c r="N946" s="20"/>
      <c r="O946" s="24"/>
      <c r="P946" s="161" t="str">
        <f t="shared" si="29"/>
        <v/>
      </c>
      <c r="Q946" s="7"/>
    </row>
    <row r="947" spans="1:17">
      <c r="A947" s="31" t="str">
        <f t="shared" si="28"/>
        <v/>
      </c>
      <c r="B947" s="159"/>
      <c r="C947" s="21"/>
      <c r="D947" s="97" t="str">
        <f>IF(C947="","",IFERROR(INDEX(②メンバー!$C$5:$C$104,MATCH(C947,②メンバー!$B$5:$B$104,0)),""))</f>
        <v/>
      </c>
      <c r="E947" s="24"/>
      <c r="F947" s="160"/>
      <c r="G947" s="20"/>
      <c r="H947" s="20"/>
      <c r="I947" s="20"/>
      <c r="J947" s="20"/>
      <c r="K947" s="20"/>
      <c r="L947" s="20"/>
      <c r="M947" s="20"/>
      <c r="N947" s="20"/>
      <c r="O947" s="24"/>
      <c r="P947" s="161" t="str">
        <f t="shared" si="29"/>
        <v/>
      </c>
      <c r="Q947" s="7"/>
    </row>
    <row r="948" spans="1:17">
      <c r="A948" s="31" t="str">
        <f t="shared" si="28"/>
        <v/>
      </c>
      <c r="B948" s="159"/>
      <c r="C948" s="21"/>
      <c r="D948" s="97" t="str">
        <f>IF(C948="","",IFERROR(INDEX(②メンバー!$C$5:$C$104,MATCH(C948,②メンバー!$B$5:$B$104,0)),""))</f>
        <v/>
      </c>
      <c r="E948" s="24"/>
      <c r="F948" s="160"/>
      <c r="G948" s="20"/>
      <c r="H948" s="20"/>
      <c r="I948" s="20"/>
      <c r="J948" s="20"/>
      <c r="K948" s="20"/>
      <c r="L948" s="20"/>
      <c r="M948" s="20"/>
      <c r="N948" s="20"/>
      <c r="O948" s="24"/>
      <c r="P948" s="161" t="str">
        <f t="shared" si="29"/>
        <v/>
      </c>
      <c r="Q948" s="7"/>
    </row>
    <row r="949" spans="1:17">
      <c r="A949" s="31" t="str">
        <f t="shared" si="28"/>
        <v/>
      </c>
      <c r="B949" s="159"/>
      <c r="C949" s="21"/>
      <c r="D949" s="97" t="str">
        <f>IF(C949="","",IFERROR(INDEX(②メンバー!$C$5:$C$104,MATCH(C949,②メンバー!$B$5:$B$104,0)),""))</f>
        <v/>
      </c>
      <c r="E949" s="24"/>
      <c r="F949" s="160"/>
      <c r="G949" s="20"/>
      <c r="H949" s="20"/>
      <c r="I949" s="20"/>
      <c r="J949" s="20"/>
      <c r="K949" s="20"/>
      <c r="L949" s="20"/>
      <c r="M949" s="20"/>
      <c r="N949" s="20"/>
      <c r="O949" s="24"/>
      <c r="P949" s="161" t="str">
        <f t="shared" si="29"/>
        <v/>
      </c>
      <c r="Q949" s="7"/>
    </row>
    <row r="950" spans="1:17">
      <c r="A950" s="31" t="str">
        <f t="shared" si="28"/>
        <v/>
      </c>
      <c r="B950" s="159"/>
      <c r="C950" s="21"/>
      <c r="D950" s="97" t="str">
        <f>IF(C950="","",IFERROR(INDEX(②メンバー!$C$5:$C$104,MATCH(C950,②メンバー!$B$5:$B$104,0)),""))</f>
        <v/>
      </c>
      <c r="E950" s="24"/>
      <c r="F950" s="160"/>
      <c r="G950" s="20"/>
      <c r="H950" s="20"/>
      <c r="I950" s="20"/>
      <c r="J950" s="20"/>
      <c r="K950" s="20"/>
      <c r="L950" s="20"/>
      <c r="M950" s="20"/>
      <c r="N950" s="20"/>
      <c r="O950" s="24"/>
      <c r="P950" s="161" t="str">
        <f t="shared" si="29"/>
        <v/>
      </c>
      <c r="Q950" s="7"/>
    </row>
    <row r="951" spans="1:17">
      <c r="A951" s="31" t="str">
        <f t="shared" si="28"/>
        <v/>
      </c>
      <c r="B951" s="159"/>
      <c r="C951" s="21"/>
      <c r="D951" s="97" t="str">
        <f>IF(C951="","",IFERROR(INDEX(②メンバー!$C$5:$C$104,MATCH(C951,②メンバー!$B$5:$B$104,0)),""))</f>
        <v/>
      </c>
      <c r="E951" s="24"/>
      <c r="F951" s="160"/>
      <c r="G951" s="20"/>
      <c r="H951" s="20"/>
      <c r="I951" s="20"/>
      <c r="J951" s="20"/>
      <c r="K951" s="20"/>
      <c r="L951" s="20"/>
      <c r="M951" s="20"/>
      <c r="N951" s="20"/>
      <c r="O951" s="24"/>
      <c r="P951" s="161" t="str">
        <f t="shared" si="29"/>
        <v/>
      </c>
      <c r="Q951" s="7"/>
    </row>
    <row r="952" spans="1:17">
      <c r="A952" s="31" t="str">
        <f t="shared" si="28"/>
        <v/>
      </c>
      <c r="B952" s="159"/>
      <c r="C952" s="21"/>
      <c r="D952" s="97" t="str">
        <f>IF(C952="","",IFERROR(INDEX(②メンバー!$C$5:$C$104,MATCH(C952,②メンバー!$B$5:$B$104,0)),""))</f>
        <v/>
      </c>
      <c r="E952" s="24"/>
      <c r="F952" s="160"/>
      <c r="G952" s="20"/>
      <c r="H952" s="20"/>
      <c r="I952" s="20"/>
      <c r="J952" s="20"/>
      <c r="K952" s="20"/>
      <c r="L952" s="20"/>
      <c r="M952" s="20"/>
      <c r="N952" s="20"/>
      <c r="O952" s="24"/>
      <c r="P952" s="161" t="str">
        <f t="shared" si="29"/>
        <v/>
      </c>
      <c r="Q952" s="7"/>
    </row>
    <row r="953" spans="1:17">
      <c r="A953" s="31" t="str">
        <f t="shared" si="28"/>
        <v/>
      </c>
      <c r="B953" s="159"/>
      <c r="C953" s="21"/>
      <c r="D953" s="97" t="str">
        <f>IF(C953="","",IFERROR(INDEX(②メンバー!$C$5:$C$104,MATCH(C953,②メンバー!$B$5:$B$104,0)),""))</f>
        <v/>
      </c>
      <c r="E953" s="24"/>
      <c r="F953" s="160"/>
      <c r="G953" s="20"/>
      <c r="H953" s="20"/>
      <c r="I953" s="20"/>
      <c r="J953" s="20"/>
      <c r="K953" s="20"/>
      <c r="L953" s="20"/>
      <c r="M953" s="20"/>
      <c r="N953" s="20"/>
      <c r="O953" s="24"/>
      <c r="P953" s="161" t="str">
        <f t="shared" si="29"/>
        <v/>
      </c>
      <c r="Q953" s="7"/>
    </row>
    <row r="954" spans="1:17">
      <c r="A954" s="31" t="str">
        <f t="shared" si="28"/>
        <v/>
      </c>
      <c r="B954" s="159"/>
      <c r="C954" s="21"/>
      <c r="D954" s="97" t="str">
        <f>IF(C954="","",IFERROR(INDEX(②メンバー!$C$5:$C$104,MATCH(C954,②メンバー!$B$5:$B$104,0)),""))</f>
        <v/>
      </c>
      <c r="E954" s="24"/>
      <c r="F954" s="160"/>
      <c r="G954" s="20"/>
      <c r="H954" s="20"/>
      <c r="I954" s="20"/>
      <c r="J954" s="20"/>
      <c r="K954" s="20"/>
      <c r="L954" s="20"/>
      <c r="M954" s="20"/>
      <c r="N954" s="20"/>
      <c r="O954" s="24"/>
      <c r="P954" s="161" t="str">
        <f t="shared" si="29"/>
        <v/>
      </c>
      <c r="Q954" s="7"/>
    </row>
    <row r="955" spans="1:17">
      <c r="A955" s="31" t="str">
        <f t="shared" si="28"/>
        <v/>
      </c>
      <c r="B955" s="159"/>
      <c r="C955" s="21"/>
      <c r="D955" s="97" t="str">
        <f>IF(C955="","",IFERROR(INDEX(②メンバー!$C$5:$C$104,MATCH(C955,②メンバー!$B$5:$B$104,0)),""))</f>
        <v/>
      </c>
      <c r="E955" s="24"/>
      <c r="F955" s="160"/>
      <c r="G955" s="20"/>
      <c r="H955" s="20"/>
      <c r="I955" s="20"/>
      <c r="J955" s="20"/>
      <c r="K955" s="20"/>
      <c r="L955" s="20"/>
      <c r="M955" s="20"/>
      <c r="N955" s="20"/>
      <c r="O955" s="24"/>
      <c r="P955" s="161" t="str">
        <f t="shared" si="29"/>
        <v/>
      </c>
      <c r="Q955" s="7"/>
    </row>
    <row r="956" spans="1:17">
      <c r="A956" s="31" t="str">
        <f t="shared" si="28"/>
        <v/>
      </c>
      <c r="B956" s="159"/>
      <c r="C956" s="21"/>
      <c r="D956" s="97" t="str">
        <f>IF(C956="","",IFERROR(INDEX(②メンバー!$C$5:$C$104,MATCH(C956,②メンバー!$B$5:$B$104,0)),""))</f>
        <v/>
      </c>
      <c r="E956" s="24"/>
      <c r="F956" s="160"/>
      <c r="G956" s="20"/>
      <c r="H956" s="20"/>
      <c r="I956" s="20"/>
      <c r="J956" s="20"/>
      <c r="K956" s="20"/>
      <c r="L956" s="20"/>
      <c r="M956" s="20"/>
      <c r="N956" s="20"/>
      <c r="O956" s="24"/>
      <c r="P956" s="161" t="str">
        <f t="shared" si="29"/>
        <v/>
      </c>
      <c r="Q956" s="7"/>
    </row>
    <row r="957" spans="1:17">
      <c r="A957" s="31" t="str">
        <f t="shared" si="28"/>
        <v/>
      </c>
      <c r="B957" s="159"/>
      <c r="C957" s="21"/>
      <c r="D957" s="97" t="str">
        <f>IF(C957="","",IFERROR(INDEX(②メンバー!$C$5:$C$104,MATCH(C957,②メンバー!$B$5:$B$104,0)),""))</f>
        <v/>
      </c>
      <c r="E957" s="24"/>
      <c r="F957" s="160"/>
      <c r="G957" s="20"/>
      <c r="H957" s="20"/>
      <c r="I957" s="20"/>
      <c r="J957" s="20"/>
      <c r="K957" s="20"/>
      <c r="L957" s="20"/>
      <c r="M957" s="20"/>
      <c r="N957" s="20"/>
      <c r="O957" s="24"/>
      <c r="P957" s="161" t="str">
        <f t="shared" si="29"/>
        <v/>
      </c>
      <c r="Q957" s="7"/>
    </row>
    <row r="958" spans="1:17">
      <c r="A958" s="31" t="str">
        <f t="shared" si="28"/>
        <v/>
      </c>
      <c r="B958" s="159"/>
      <c r="C958" s="21"/>
      <c r="D958" s="97" t="str">
        <f>IF(C958="","",IFERROR(INDEX(②メンバー!$C$5:$C$104,MATCH(C958,②メンバー!$B$5:$B$104,0)),""))</f>
        <v/>
      </c>
      <c r="E958" s="24"/>
      <c r="F958" s="160"/>
      <c r="G958" s="20"/>
      <c r="H958" s="20"/>
      <c r="I958" s="20"/>
      <c r="J958" s="20"/>
      <c r="K958" s="20"/>
      <c r="L958" s="20"/>
      <c r="M958" s="20"/>
      <c r="N958" s="20"/>
      <c r="O958" s="24"/>
      <c r="P958" s="161" t="str">
        <f t="shared" si="29"/>
        <v/>
      </c>
      <c r="Q958" s="7"/>
    </row>
    <row r="959" spans="1:17">
      <c r="A959" s="31" t="str">
        <f t="shared" si="28"/>
        <v/>
      </c>
      <c r="B959" s="159"/>
      <c r="C959" s="21"/>
      <c r="D959" s="97" t="str">
        <f>IF(C959="","",IFERROR(INDEX(②メンバー!$C$5:$C$104,MATCH(C959,②メンバー!$B$5:$B$104,0)),""))</f>
        <v/>
      </c>
      <c r="E959" s="24"/>
      <c r="F959" s="160"/>
      <c r="G959" s="20"/>
      <c r="H959" s="20"/>
      <c r="I959" s="20"/>
      <c r="J959" s="20"/>
      <c r="K959" s="20"/>
      <c r="L959" s="20"/>
      <c r="M959" s="20"/>
      <c r="N959" s="20"/>
      <c r="O959" s="24"/>
      <c r="P959" s="161" t="str">
        <f t="shared" si="29"/>
        <v/>
      </c>
      <c r="Q959" s="7"/>
    </row>
    <row r="960" spans="1:17">
      <c r="A960" s="31" t="str">
        <f t="shared" si="28"/>
        <v/>
      </c>
      <c r="B960" s="159"/>
      <c r="C960" s="21"/>
      <c r="D960" s="97" t="str">
        <f>IF(C960="","",IFERROR(INDEX(②メンバー!$C$5:$C$104,MATCH(C960,②メンバー!$B$5:$B$104,0)),""))</f>
        <v/>
      </c>
      <c r="E960" s="24"/>
      <c r="F960" s="160"/>
      <c r="G960" s="20"/>
      <c r="H960" s="20"/>
      <c r="I960" s="20"/>
      <c r="J960" s="20"/>
      <c r="K960" s="20"/>
      <c r="L960" s="20"/>
      <c r="M960" s="20"/>
      <c r="N960" s="20"/>
      <c r="O960" s="24"/>
      <c r="P960" s="161" t="str">
        <f t="shared" si="29"/>
        <v/>
      </c>
      <c r="Q960" s="7"/>
    </row>
    <row r="961" spans="1:17">
      <c r="A961" s="31" t="str">
        <f t="shared" si="28"/>
        <v/>
      </c>
      <c r="B961" s="159"/>
      <c r="C961" s="21"/>
      <c r="D961" s="97" t="str">
        <f>IF(C961="","",IFERROR(INDEX(②メンバー!$C$5:$C$104,MATCH(C961,②メンバー!$B$5:$B$104,0)),""))</f>
        <v/>
      </c>
      <c r="E961" s="24"/>
      <c r="F961" s="160"/>
      <c r="G961" s="20"/>
      <c r="H961" s="20"/>
      <c r="I961" s="20"/>
      <c r="J961" s="20"/>
      <c r="K961" s="20"/>
      <c r="L961" s="20"/>
      <c r="M961" s="20"/>
      <c r="N961" s="20"/>
      <c r="O961" s="24"/>
      <c r="P961" s="161" t="str">
        <f t="shared" si="29"/>
        <v/>
      </c>
      <c r="Q961" s="7"/>
    </row>
    <row r="962" spans="1:17">
      <c r="A962" s="31" t="str">
        <f t="shared" si="28"/>
        <v/>
      </c>
      <c r="B962" s="159"/>
      <c r="C962" s="21"/>
      <c r="D962" s="97" t="str">
        <f>IF(C962="","",IFERROR(INDEX(②メンバー!$C$5:$C$104,MATCH(C962,②メンバー!$B$5:$B$104,0)),""))</f>
        <v/>
      </c>
      <c r="E962" s="24"/>
      <c r="F962" s="160"/>
      <c r="G962" s="20"/>
      <c r="H962" s="20"/>
      <c r="I962" s="20"/>
      <c r="J962" s="20"/>
      <c r="K962" s="20"/>
      <c r="L962" s="20"/>
      <c r="M962" s="20"/>
      <c r="N962" s="20"/>
      <c r="O962" s="24"/>
      <c r="P962" s="161" t="str">
        <f t="shared" si="29"/>
        <v/>
      </c>
      <c r="Q962" s="7"/>
    </row>
    <row r="963" spans="1:17">
      <c r="A963" s="31" t="str">
        <f t="shared" si="28"/>
        <v/>
      </c>
      <c r="B963" s="159"/>
      <c r="C963" s="21"/>
      <c r="D963" s="97" t="str">
        <f>IF(C963="","",IFERROR(INDEX(②メンバー!$C$5:$C$104,MATCH(C963,②メンバー!$B$5:$B$104,0)),""))</f>
        <v/>
      </c>
      <c r="E963" s="24"/>
      <c r="F963" s="160"/>
      <c r="G963" s="20"/>
      <c r="H963" s="20"/>
      <c r="I963" s="20"/>
      <c r="J963" s="20"/>
      <c r="K963" s="20"/>
      <c r="L963" s="20"/>
      <c r="M963" s="20"/>
      <c r="N963" s="20"/>
      <c r="O963" s="24"/>
      <c r="P963" s="161" t="str">
        <f t="shared" si="29"/>
        <v/>
      </c>
      <c r="Q963" s="7"/>
    </row>
    <row r="964" spans="1:17">
      <c r="A964" s="31" t="str">
        <f t="shared" si="28"/>
        <v/>
      </c>
      <c r="B964" s="159"/>
      <c r="C964" s="21"/>
      <c r="D964" s="97" t="str">
        <f>IF(C964="","",IFERROR(INDEX(②メンバー!$C$5:$C$104,MATCH(C964,②メンバー!$B$5:$B$104,0)),""))</f>
        <v/>
      </c>
      <c r="E964" s="24"/>
      <c r="F964" s="160"/>
      <c r="G964" s="20"/>
      <c r="H964" s="20"/>
      <c r="I964" s="20"/>
      <c r="J964" s="20"/>
      <c r="K964" s="20"/>
      <c r="L964" s="20"/>
      <c r="M964" s="20"/>
      <c r="N964" s="20"/>
      <c r="O964" s="24"/>
      <c r="P964" s="161" t="str">
        <f t="shared" si="29"/>
        <v/>
      </c>
      <c r="Q964" s="7"/>
    </row>
    <row r="965" spans="1:17">
      <c r="A965" s="31" t="str">
        <f t="shared" si="28"/>
        <v/>
      </c>
      <c r="B965" s="159"/>
      <c r="C965" s="21"/>
      <c r="D965" s="97" t="str">
        <f>IF(C965="","",IFERROR(INDEX(②メンバー!$C$5:$C$104,MATCH(C965,②メンバー!$B$5:$B$104,0)),""))</f>
        <v/>
      </c>
      <c r="E965" s="24"/>
      <c r="F965" s="160"/>
      <c r="G965" s="20"/>
      <c r="H965" s="20"/>
      <c r="I965" s="20"/>
      <c r="J965" s="20"/>
      <c r="K965" s="20"/>
      <c r="L965" s="20"/>
      <c r="M965" s="20"/>
      <c r="N965" s="20"/>
      <c r="O965" s="24"/>
      <c r="P965" s="161" t="str">
        <f t="shared" si="29"/>
        <v/>
      </c>
      <c r="Q965" s="7"/>
    </row>
    <row r="966" spans="1:17">
      <c r="A966" s="31" t="str">
        <f t="shared" ref="A966:A1005" si="30">IF(B966="","",ROW()-5)</f>
        <v/>
      </c>
      <c r="B966" s="159"/>
      <c r="C966" s="21"/>
      <c r="D966" s="97" t="str">
        <f>IF(C966="","",IFERROR(INDEX(②メンバー!$C$5:$C$104,MATCH(C966,②メンバー!$B$5:$B$104,0)),""))</f>
        <v/>
      </c>
      <c r="E966" s="24"/>
      <c r="F966" s="160"/>
      <c r="G966" s="20"/>
      <c r="H966" s="20"/>
      <c r="I966" s="20"/>
      <c r="J966" s="20"/>
      <c r="K966" s="20"/>
      <c r="L966" s="20"/>
      <c r="M966" s="20"/>
      <c r="N966" s="20"/>
      <c r="O966" s="24"/>
      <c r="P966" s="161" t="str">
        <f t="shared" ref="P966:P1005" si="31">IF(C966="","",IF(COUNTA(F966:O966)=0,IF(E966="出勤","いつもの時間","終日"),TRIM(IF(COUNTIF(F966:O966,"休")&gt;0,"休 "&amp;COUNTIF(F966:O966,"休")&amp;"h ","")&amp;IF(COUNTIF(F966:O966,"出")&gt;0,"出 "&amp;COUNTIF(F966:O966,"出")&amp;"h",""))))</f>
        <v/>
      </c>
      <c r="Q966" s="7"/>
    </row>
    <row r="967" spans="1:17">
      <c r="A967" s="31" t="str">
        <f t="shared" si="30"/>
        <v/>
      </c>
      <c r="B967" s="159"/>
      <c r="C967" s="21"/>
      <c r="D967" s="97" t="str">
        <f>IF(C967="","",IFERROR(INDEX(②メンバー!$C$5:$C$104,MATCH(C967,②メンバー!$B$5:$B$104,0)),""))</f>
        <v/>
      </c>
      <c r="E967" s="24"/>
      <c r="F967" s="160"/>
      <c r="G967" s="20"/>
      <c r="H967" s="20"/>
      <c r="I967" s="20"/>
      <c r="J967" s="20"/>
      <c r="K967" s="20"/>
      <c r="L967" s="20"/>
      <c r="M967" s="20"/>
      <c r="N967" s="20"/>
      <c r="O967" s="24"/>
      <c r="P967" s="161" t="str">
        <f t="shared" si="31"/>
        <v/>
      </c>
      <c r="Q967" s="7"/>
    </row>
    <row r="968" spans="1:17">
      <c r="A968" s="31" t="str">
        <f t="shared" si="30"/>
        <v/>
      </c>
      <c r="B968" s="159"/>
      <c r="C968" s="21"/>
      <c r="D968" s="97" t="str">
        <f>IF(C968="","",IFERROR(INDEX(②メンバー!$C$5:$C$104,MATCH(C968,②メンバー!$B$5:$B$104,0)),""))</f>
        <v/>
      </c>
      <c r="E968" s="24"/>
      <c r="F968" s="160"/>
      <c r="G968" s="20"/>
      <c r="H968" s="20"/>
      <c r="I968" s="20"/>
      <c r="J968" s="20"/>
      <c r="K968" s="20"/>
      <c r="L968" s="20"/>
      <c r="M968" s="20"/>
      <c r="N968" s="20"/>
      <c r="O968" s="24"/>
      <c r="P968" s="161" t="str">
        <f t="shared" si="31"/>
        <v/>
      </c>
      <c r="Q968" s="7"/>
    </row>
    <row r="969" spans="1:17">
      <c r="A969" s="31" t="str">
        <f t="shared" si="30"/>
        <v/>
      </c>
      <c r="B969" s="159"/>
      <c r="C969" s="21"/>
      <c r="D969" s="97" t="str">
        <f>IF(C969="","",IFERROR(INDEX(②メンバー!$C$5:$C$104,MATCH(C969,②メンバー!$B$5:$B$104,0)),""))</f>
        <v/>
      </c>
      <c r="E969" s="24"/>
      <c r="F969" s="160"/>
      <c r="G969" s="20"/>
      <c r="H969" s="20"/>
      <c r="I969" s="20"/>
      <c r="J969" s="20"/>
      <c r="K969" s="20"/>
      <c r="L969" s="20"/>
      <c r="M969" s="20"/>
      <c r="N969" s="20"/>
      <c r="O969" s="24"/>
      <c r="P969" s="161" t="str">
        <f t="shared" si="31"/>
        <v/>
      </c>
      <c r="Q969" s="7"/>
    </row>
    <row r="970" spans="1:17">
      <c r="A970" s="31" t="str">
        <f t="shared" si="30"/>
        <v/>
      </c>
      <c r="B970" s="159"/>
      <c r="C970" s="21"/>
      <c r="D970" s="97" t="str">
        <f>IF(C970="","",IFERROR(INDEX(②メンバー!$C$5:$C$104,MATCH(C970,②メンバー!$B$5:$B$104,0)),""))</f>
        <v/>
      </c>
      <c r="E970" s="24"/>
      <c r="F970" s="160"/>
      <c r="G970" s="20"/>
      <c r="H970" s="20"/>
      <c r="I970" s="20"/>
      <c r="J970" s="20"/>
      <c r="K970" s="20"/>
      <c r="L970" s="20"/>
      <c r="M970" s="20"/>
      <c r="N970" s="20"/>
      <c r="O970" s="24"/>
      <c r="P970" s="161" t="str">
        <f t="shared" si="31"/>
        <v/>
      </c>
      <c r="Q970" s="7"/>
    </row>
    <row r="971" spans="1:17">
      <c r="A971" s="31" t="str">
        <f t="shared" si="30"/>
        <v/>
      </c>
      <c r="B971" s="159"/>
      <c r="C971" s="21"/>
      <c r="D971" s="97" t="str">
        <f>IF(C971="","",IFERROR(INDEX(②メンバー!$C$5:$C$104,MATCH(C971,②メンバー!$B$5:$B$104,0)),""))</f>
        <v/>
      </c>
      <c r="E971" s="24"/>
      <c r="F971" s="160"/>
      <c r="G971" s="20"/>
      <c r="H971" s="20"/>
      <c r="I971" s="20"/>
      <c r="J971" s="20"/>
      <c r="K971" s="20"/>
      <c r="L971" s="20"/>
      <c r="M971" s="20"/>
      <c r="N971" s="20"/>
      <c r="O971" s="24"/>
      <c r="P971" s="161" t="str">
        <f t="shared" si="31"/>
        <v/>
      </c>
      <c r="Q971" s="7"/>
    </row>
    <row r="972" spans="1:17">
      <c r="A972" s="31" t="str">
        <f t="shared" si="30"/>
        <v/>
      </c>
      <c r="B972" s="159"/>
      <c r="C972" s="21"/>
      <c r="D972" s="97" t="str">
        <f>IF(C972="","",IFERROR(INDEX(②メンバー!$C$5:$C$104,MATCH(C972,②メンバー!$B$5:$B$104,0)),""))</f>
        <v/>
      </c>
      <c r="E972" s="24"/>
      <c r="F972" s="160"/>
      <c r="G972" s="20"/>
      <c r="H972" s="20"/>
      <c r="I972" s="20"/>
      <c r="J972" s="20"/>
      <c r="K972" s="20"/>
      <c r="L972" s="20"/>
      <c r="M972" s="20"/>
      <c r="N972" s="20"/>
      <c r="O972" s="24"/>
      <c r="P972" s="161" t="str">
        <f t="shared" si="31"/>
        <v/>
      </c>
      <c r="Q972" s="7"/>
    </row>
    <row r="973" spans="1:17">
      <c r="A973" s="31" t="str">
        <f t="shared" si="30"/>
        <v/>
      </c>
      <c r="B973" s="159"/>
      <c r="C973" s="21"/>
      <c r="D973" s="97" t="str">
        <f>IF(C973="","",IFERROR(INDEX(②メンバー!$C$5:$C$104,MATCH(C973,②メンバー!$B$5:$B$104,0)),""))</f>
        <v/>
      </c>
      <c r="E973" s="24"/>
      <c r="F973" s="160"/>
      <c r="G973" s="20"/>
      <c r="H973" s="20"/>
      <c r="I973" s="20"/>
      <c r="J973" s="20"/>
      <c r="K973" s="20"/>
      <c r="L973" s="20"/>
      <c r="M973" s="20"/>
      <c r="N973" s="20"/>
      <c r="O973" s="24"/>
      <c r="P973" s="161" t="str">
        <f t="shared" si="31"/>
        <v/>
      </c>
      <c r="Q973" s="7"/>
    </row>
    <row r="974" spans="1:17">
      <c r="A974" s="31" t="str">
        <f t="shared" si="30"/>
        <v/>
      </c>
      <c r="B974" s="159"/>
      <c r="C974" s="21"/>
      <c r="D974" s="97" t="str">
        <f>IF(C974="","",IFERROR(INDEX(②メンバー!$C$5:$C$104,MATCH(C974,②メンバー!$B$5:$B$104,0)),""))</f>
        <v/>
      </c>
      <c r="E974" s="24"/>
      <c r="F974" s="160"/>
      <c r="G974" s="20"/>
      <c r="H974" s="20"/>
      <c r="I974" s="20"/>
      <c r="J974" s="20"/>
      <c r="K974" s="20"/>
      <c r="L974" s="20"/>
      <c r="M974" s="20"/>
      <c r="N974" s="20"/>
      <c r="O974" s="24"/>
      <c r="P974" s="161" t="str">
        <f t="shared" si="31"/>
        <v/>
      </c>
      <c r="Q974" s="7"/>
    </row>
    <row r="975" spans="1:17">
      <c r="A975" s="31" t="str">
        <f t="shared" si="30"/>
        <v/>
      </c>
      <c r="B975" s="159"/>
      <c r="C975" s="21"/>
      <c r="D975" s="97" t="str">
        <f>IF(C975="","",IFERROR(INDEX(②メンバー!$C$5:$C$104,MATCH(C975,②メンバー!$B$5:$B$104,0)),""))</f>
        <v/>
      </c>
      <c r="E975" s="24"/>
      <c r="F975" s="160"/>
      <c r="G975" s="20"/>
      <c r="H975" s="20"/>
      <c r="I975" s="20"/>
      <c r="J975" s="20"/>
      <c r="K975" s="20"/>
      <c r="L975" s="20"/>
      <c r="M975" s="20"/>
      <c r="N975" s="20"/>
      <c r="O975" s="24"/>
      <c r="P975" s="161" t="str">
        <f t="shared" si="31"/>
        <v/>
      </c>
      <c r="Q975" s="7"/>
    </row>
    <row r="976" spans="1:17">
      <c r="A976" s="31" t="str">
        <f t="shared" si="30"/>
        <v/>
      </c>
      <c r="B976" s="159"/>
      <c r="C976" s="21"/>
      <c r="D976" s="97" t="str">
        <f>IF(C976="","",IFERROR(INDEX(②メンバー!$C$5:$C$104,MATCH(C976,②メンバー!$B$5:$B$104,0)),""))</f>
        <v/>
      </c>
      <c r="E976" s="24"/>
      <c r="F976" s="160"/>
      <c r="G976" s="20"/>
      <c r="H976" s="20"/>
      <c r="I976" s="20"/>
      <c r="J976" s="20"/>
      <c r="K976" s="20"/>
      <c r="L976" s="20"/>
      <c r="M976" s="20"/>
      <c r="N976" s="20"/>
      <c r="O976" s="24"/>
      <c r="P976" s="161" t="str">
        <f t="shared" si="31"/>
        <v/>
      </c>
      <c r="Q976" s="7"/>
    </row>
    <row r="977" spans="1:17">
      <c r="A977" s="31" t="str">
        <f t="shared" si="30"/>
        <v/>
      </c>
      <c r="B977" s="159"/>
      <c r="C977" s="21"/>
      <c r="D977" s="97" t="str">
        <f>IF(C977="","",IFERROR(INDEX(②メンバー!$C$5:$C$104,MATCH(C977,②メンバー!$B$5:$B$104,0)),""))</f>
        <v/>
      </c>
      <c r="E977" s="24"/>
      <c r="F977" s="160"/>
      <c r="G977" s="20"/>
      <c r="H977" s="20"/>
      <c r="I977" s="20"/>
      <c r="J977" s="20"/>
      <c r="K977" s="20"/>
      <c r="L977" s="20"/>
      <c r="M977" s="20"/>
      <c r="N977" s="20"/>
      <c r="O977" s="24"/>
      <c r="P977" s="161" t="str">
        <f t="shared" si="31"/>
        <v/>
      </c>
      <c r="Q977" s="7"/>
    </row>
    <row r="978" spans="1:17">
      <c r="A978" s="31" t="str">
        <f t="shared" si="30"/>
        <v/>
      </c>
      <c r="B978" s="159"/>
      <c r="C978" s="21"/>
      <c r="D978" s="97" t="str">
        <f>IF(C978="","",IFERROR(INDEX(②メンバー!$C$5:$C$104,MATCH(C978,②メンバー!$B$5:$B$104,0)),""))</f>
        <v/>
      </c>
      <c r="E978" s="24"/>
      <c r="F978" s="160"/>
      <c r="G978" s="20"/>
      <c r="H978" s="20"/>
      <c r="I978" s="20"/>
      <c r="J978" s="20"/>
      <c r="K978" s="20"/>
      <c r="L978" s="20"/>
      <c r="M978" s="20"/>
      <c r="N978" s="20"/>
      <c r="O978" s="24"/>
      <c r="P978" s="161" t="str">
        <f t="shared" si="31"/>
        <v/>
      </c>
      <c r="Q978" s="7"/>
    </row>
    <row r="979" spans="1:17">
      <c r="A979" s="31" t="str">
        <f t="shared" si="30"/>
        <v/>
      </c>
      <c r="B979" s="159"/>
      <c r="C979" s="21"/>
      <c r="D979" s="97" t="str">
        <f>IF(C979="","",IFERROR(INDEX(②メンバー!$C$5:$C$104,MATCH(C979,②メンバー!$B$5:$B$104,0)),""))</f>
        <v/>
      </c>
      <c r="E979" s="24"/>
      <c r="F979" s="160"/>
      <c r="G979" s="20"/>
      <c r="H979" s="20"/>
      <c r="I979" s="20"/>
      <c r="J979" s="20"/>
      <c r="K979" s="20"/>
      <c r="L979" s="20"/>
      <c r="M979" s="20"/>
      <c r="N979" s="20"/>
      <c r="O979" s="24"/>
      <c r="P979" s="161" t="str">
        <f t="shared" si="31"/>
        <v/>
      </c>
      <c r="Q979" s="7"/>
    </row>
    <row r="980" spans="1:17">
      <c r="A980" s="31" t="str">
        <f t="shared" si="30"/>
        <v/>
      </c>
      <c r="B980" s="159"/>
      <c r="C980" s="21"/>
      <c r="D980" s="97" t="str">
        <f>IF(C980="","",IFERROR(INDEX(②メンバー!$C$5:$C$104,MATCH(C980,②メンバー!$B$5:$B$104,0)),""))</f>
        <v/>
      </c>
      <c r="E980" s="24"/>
      <c r="F980" s="160"/>
      <c r="G980" s="20"/>
      <c r="H980" s="20"/>
      <c r="I980" s="20"/>
      <c r="J980" s="20"/>
      <c r="K980" s="20"/>
      <c r="L980" s="20"/>
      <c r="M980" s="20"/>
      <c r="N980" s="20"/>
      <c r="O980" s="24"/>
      <c r="P980" s="161" t="str">
        <f t="shared" si="31"/>
        <v/>
      </c>
      <c r="Q980" s="7"/>
    </row>
    <row r="981" spans="1:17">
      <c r="A981" s="31" t="str">
        <f t="shared" si="30"/>
        <v/>
      </c>
      <c r="B981" s="159"/>
      <c r="C981" s="21"/>
      <c r="D981" s="97" t="str">
        <f>IF(C981="","",IFERROR(INDEX(②メンバー!$C$5:$C$104,MATCH(C981,②メンバー!$B$5:$B$104,0)),""))</f>
        <v/>
      </c>
      <c r="E981" s="24"/>
      <c r="F981" s="160"/>
      <c r="G981" s="20"/>
      <c r="H981" s="20"/>
      <c r="I981" s="20"/>
      <c r="J981" s="20"/>
      <c r="K981" s="20"/>
      <c r="L981" s="20"/>
      <c r="M981" s="20"/>
      <c r="N981" s="20"/>
      <c r="O981" s="24"/>
      <c r="P981" s="161" t="str">
        <f t="shared" si="31"/>
        <v/>
      </c>
      <c r="Q981" s="7"/>
    </row>
    <row r="982" spans="1:17">
      <c r="A982" s="31" t="str">
        <f t="shared" si="30"/>
        <v/>
      </c>
      <c r="B982" s="159"/>
      <c r="C982" s="21"/>
      <c r="D982" s="97" t="str">
        <f>IF(C982="","",IFERROR(INDEX(②メンバー!$C$5:$C$104,MATCH(C982,②メンバー!$B$5:$B$104,0)),""))</f>
        <v/>
      </c>
      <c r="E982" s="24"/>
      <c r="F982" s="160"/>
      <c r="G982" s="20"/>
      <c r="H982" s="20"/>
      <c r="I982" s="20"/>
      <c r="J982" s="20"/>
      <c r="K982" s="20"/>
      <c r="L982" s="20"/>
      <c r="M982" s="20"/>
      <c r="N982" s="20"/>
      <c r="O982" s="24"/>
      <c r="P982" s="161" t="str">
        <f t="shared" si="31"/>
        <v/>
      </c>
      <c r="Q982" s="7"/>
    </row>
    <row r="983" spans="1:17">
      <c r="A983" s="31" t="str">
        <f t="shared" si="30"/>
        <v/>
      </c>
      <c r="B983" s="159"/>
      <c r="C983" s="21"/>
      <c r="D983" s="97" t="str">
        <f>IF(C983="","",IFERROR(INDEX(②メンバー!$C$5:$C$104,MATCH(C983,②メンバー!$B$5:$B$104,0)),""))</f>
        <v/>
      </c>
      <c r="E983" s="24"/>
      <c r="F983" s="160"/>
      <c r="G983" s="20"/>
      <c r="H983" s="20"/>
      <c r="I983" s="20"/>
      <c r="J983" s="20"/>
      <c r="K983" s="20"/>
      <c r="L983" s="20"/>
      <c r="M983" s="20"/>
      <c r="N983" s="20"/>
      <c r="O983" s="24"/>
      <c r="P983" s="161" t="str">
        <f t="shared" si="31"/>
        <v/>
      </c>
      <c r="Q983" s="7"/>
    </row>
    <row r="984" spans="1:17">
      <c r="A984" s="31" t="str">
        <f t="shared" si="30"/>
        <v/>
      </c>
      <c r="B984" s="159"/>
      <c r="C984" s="21"/>
      <c r="D984" s="97" t="str">
        <f>IF(C984="","",IFERROR(INDEX(②メンバー!$C$5:$C$104,MATCH(C984,②メンバー!$B$5:$B$104,0)),""))</f>
        <v/>
      </c>
      <c r="E984" s="24"/>
      <c r="F984" s="160"/>
      <c r="G984" s="20"/>
      <c r="H984" s="20"/>
      <c r="I984" s="20"/>
      <c r="J984" s="20"/>
      <c r="K984" s="20"/>
      <c r="L984" s="20"/>
      <c r="M984" s="20"/>
      <c r="N984" s="20"/>
      <c r="O984" s="24"/>
      <c r="P984" s="161" t="str">
        <f t="shared" si="31"/>
        <v/>
      </c>
      <c r="Q984" s="7"/>
    </row>
    <row r="985" spans="1:17">
      <c r="A985" s="31" t="str">
        <f t="shared" si="30"/>
        <v/>
      </c>
      <c r="B985" s="159"/>
      <c r="C985" s="21"/>
      <c r="D985" s="97" t="str">
        <f>IF(C985="","",IFERROR(INDEX(②メンバー!$C$5:$C$104,MATCH(C985,②メンバー!$B$5:$B$104,0)),""))</f>
        <v/>
      </c>
      <c r="E985" s="24"/>
      <c r="F985" s="160"/>
      <c r="G985" s="20"/>
      <c r="H985" s="20"/>
      <c r="I985" s="20"/>
      <c r="J985" s="20"/>
      <c r="K985" s="20"/>
      <c r="L985" s="20"/>
      <c r="M985" s="20"/>
      <c r="N985" s="20"/>
      <c r="O985" s="24"/>
      <c r="P985" s="161" t="str">
        <f t="shared" si="31"/>
        <v/>
      </c>
      <c r="Q985" s="7"/>
    </row>
    <row r="986" spans="1:17">
      <c r="A986" s="31" t="str">
        <f t="shared" si="30"/>
        <v/>
      </c>
      <c r="B986" s="159"/>
      <c r="C986" s="21"/>
      <c r="D986" s="97" t="str">
        <f>IF(C986="","",IFERROR(INDEX(②メンバー!$C$5:$C$104,MATCH(C986,②メンバー!$B$5:$B$104,0)),""))</f>
        <v/>
      </c>
      <c r="E986" s="24"/>
      <c r="F986" s="160"/>
      <c r="G986" s="20"/>
      <c r="H986" s="20"/>
      <c r="I986" s="20"/>
      <c r="J986" s="20"/>
      <c r="K986" s="20"/>
      <c r="L986" s="20"/>
      <c r="M986" s="20"/>
      <c r="N986" s="20"/>
      <c r="O986" s="24"/>
      <c r="P986" s="161" t="str">
        <f t="shared" si="31"/>
        <v/>
      </c>
      <c r="Q986" s="7"/>
    </row>
    <row r="987" spans="1:17">
      <c r="A987" s="31" t="str">
        <f t="shared" si="30"/>
        <v/>
      </c>
      <c r="B987" s="159"/>
      <c r="C987" s="21"/>
      <c r="D987" s="97" t="str">
        <f>IF(C987="","",IFERROR(INDEX(②メンバー!$C$5:$C$104,MATCH(C987,②メンバー!$B$5:$B$104,0)),""))</f>
        <v/>
      </c>
      <c r="E987" s="24"/>
      <c r="F987" s="160"/>
      <c r="G987" s="20"/>
      <c r="H987" s="20"/>
      <c r="I987" s="20"/>
      <c r="J987" s="20"/>
      <c r="K987" s="20"/>
      <c r="L987" s="20"/>
      <c r="M987" s="20"/>
      <c r="N987" s="20"/>
      <c r="O987" s="24"/>
      <c r="P987" s="161" t="str">
        <f t="shared" si="31"/>
        <v/>
      </c>
      <c r="Q987" s="7"/>
    </row>
    <row r="988" spans="1:17">
      <c r="A988" s="31" t="str">
        <f t="shared" si="30"/>
        <v/>
      </c>
      <c r="B988" s="159"/>
      <c r="C988" s="21"/>
      <c r="D988" s="97" t="str">
        <f>IF(C988="","",IFERROR(INDEX(②メンバー!$C$5:$C$104,MATCH(C988,②メンバー!$B$5:$B$104,0)),""))</f>
        <v/>
      </c>
      <c r="E988" s="24"/>
      <c r="F988" s="160"/>
      <c r="G988" s="20"/>
      <c r="H988" s="20"/>
      <c r="I988" s="20"/>
      <c r="J988" s="20"/>
      <c r="K988" s="20"/>
      <c r="L988" s="20"/>
      <c r="M988" s="20"/>
      <c r="N988" s="20"/>
      <c r="O988" s="24"/>
      <c r="P988" s="161" t="str">
        <f t="shared" si="31"/>
        <v/>
      </c>
      <c r="Q988" s="7"/>
    </row>
    <row r="989" spans="1:17">
      <c r="A989" s="31" t="str">
        <f t="shared" si="30"/>
        <v/>
      </c>
      <c r="B989" s="159"/>
      <c r="C989" s="21"/>
      <c r="D989" s="97" t="str">
        <f>IF(C989="","",IFERROR(INDEX(②メンバー!$C$5:$C$104,MATCH(C989,②メンバー!$B$5:$B$104,0)),""))</f>
        <v/>
      </c>
      <c r="E989" s="24"/>
      <c r="F989" s="160"/>
      <c r="G989" s="20"/>
      <c r="H989" s="20"/>
      <c r="I989" s="20"/>
      <c r="J989" s="20"/>
      <c r="K989" s="20"/>
      <c r="L989" s="20"/>
      <c r="M989" s="20"/>
      <c r="N989" s="20"/>
      <c r="O989" s="24"/>
      <c r="P989" s="161" t="str">
        <f t="shared" si="31"/>
        <v/>
      </c>
      <c r="Q989" s="7"/>
    </row>
    <row r="990" spans="1:17">
      <c r="A990" s="31" t="str">
        <f t="shared" si="30"/>
        <v/>
      </c>
      <c r="B990" s="159"/>
      <c r="C990" s="21"/>
      <c r="D990" s="97" t="str">
        <f>IF(C990="","",IFERROR(INDEX(②メンバー!$C$5:$C$104,MATCH(C990,②メンバー!$B$5:$B$104,0)),""))</f>
        <v/>
      </c>
      <c r="E990" s="24"/>
      <c r="F990" s="160"/>
      <c r="G990" s="20"/>
      <c r="H990" s="20"/>
      <c r="I990" s="20"/>
      <c r="J990" s="20"/>
      <c r="K990" s="20"/>
      <c r="L990" s="20"/>
      <c r="M990" s="20"/>
      <c r="N990" s="20"/>
      <c r="O990" s="24"/>
      <c r="P990" s="161" t="str">
        <f t="shared" si="31"/>
        <v/>
      </c>
      <c r="Q990" s="7"/>
    </row>
    <row r="991" spans="1:17">
      <c r="A991" s="31" t="str">
        <f t="shared" si="30"/>
        <v/>
      </c>
      <c r="B991" s="159"/>
      <c r="C991" s="21"/>
      <c r="D991" s="97" t="str">
        <f>IF(C991="","",IFERROR(INDEX(②メンバー!$C$5:$C$104,MATCH(C991,②メンバー!$B$5:$B$104,0)),""))</f>
        <v/>
      </c>
      <c r="E991" s="24"/>
      <c r="F991" s="160"/>
      <c r="G991" s="20"/>
      <c r="H991" s="20"/>
      <c r="I991" s="20"/>
      <c r="J991" s="20"/>
      <c r="K991" s="20"/>
      <c r="L991" s="20"/>
      <c r="M991" s="20"/>
      <c r="N991" s="20"/>
      <c r="O991" s="24"/>
      <c r="P991" s="161" t="str">
        <f t="shared" si="31"/>
        <v/>
      </c>
      <c r="Q991" s="7"/>
    </row>
    <row r="992" spans="1:17">
      <c r="A992" s="31" t="str">
        <f t="shared" si="30"/>
        <v/>
      </c>
      <c r="B992" s="159"/>
      <c r="C992" s="21"/>
      <c r="D992" s="97" t="str">
        <f>IF(C992="","",IFERROR(INDEX(②メンバー!$C$5:$C$104,MATCH(C992,②メンバー!$B$5:$B$104,0)),""))</f>
        <v/>
      </c>
      <c r="E992" s="24"/>
      <c r="F992" s="160"/>
      <c r="G992" s="20"/>
      <c r="H992" s="20"/>
      <c r="I992" s="20"/>
      <c r="J992" s="20"/>
      <c r="K992" s="20"/>
      <c r="L992" s="20"/>
      <c r="M992" s="20"/>
      <c r="N992" s="20"/>
      <c r="O992" s="24"/>
      <c r="P992" s="161" t="str">
        <f t="shared" si="31"/>
        <v/>
      </c>
      <c r="Q992" s="7"/>
    </row>
    <row r="993" spans="1:17">
      <c r="A993" s="31" t="str">
        <f t="shared" si="30"/>
        <v/>
      </c>
      <c r="B993" s="159"/>
      <c r="C993" s="21"/>
      <c r="D993" s="97" t="str">
        <f>IF(C993="","",IFERROR(INDEX(②メンバー!$C$5:$C$104,MATCH(C993,②メンバー!$B$5:$B$104,0)),""))</f>
        <v/>
      </c>
      <c r="E993" s="24"/>
      <c r="F993" s="160"/>
      <c r="G993" s="20"/>
      <c r="H993" s="20"/>
      <c r="I993" s="20"/>
      <c r="J993" s="20"/>
      <c r="K993" s="20"/>
      <c r="L993" s="20"/>
      <c r="M993" s="20"/>
      <c r="N993" s="20"/>
      <c r="O993" s="24"/>
      <c r="P993" s="161" t="str">
        <f t="shared" si="31"/>
        <v/>
      </c>
      <c r="Q993" s="7"/>
    </row>
    <row r="994" spans="1:17">
      <c r="A994" s="31" t="str">
        <f t="shared" si="30"/>
        <v/>
      </c>
      <c r="B994" s="159"/>
      <c r="C994" s="21"/>
      <c r="D994" s="97" t="str">
        <f>IF(C994="","",IFERROR(INDEX(②メンバー!$C$5:$C$104,MATCH(C994,②メンバー!$B$5:$B$104,0)),""))</f>
        <v/>
      </c>
      <c r="E994" s="24"/>
      <c r="F994" s="160"/>
      <c r="G994" s="20"/>
      <c r="H994" s="20"/>
      <c r="I994" s="20"/>
      <c r="J994" s="20"/>
      <c r="K994" s="20"/>
      <c r="L994" s="20"/>
      <c r="M994" s="20"/>
      <c r="N994" s="20"/>
      <c r="O994" s="24"/>
      <c r="P994" s="161" t="str">
        <f t="shared" si="31"/>
        <v/>
      </c>
      <c r="Q994" s="7"/>
    </row>
    <row r="995" spans="1:17">
      <c r="A995" s="31" t="str">
        <f t="shared" si="30"/>
        <v/>
      </c>
      <c r="B995" s="159"/>
      <c r="C995" s="21"/>
      <c r="D995" s="97" t="str">
        <f>IF(C995="","",IFERROR(INDEX(②メンバー!$C$5:$C$104,MATCH(C995,②メンバー!$B$5:$B$104,0)),""))</f>
        <v/>
      </c>
      <c r="E995" s="24"/>
      <c r="F995" s="160"/>
      <c r="G995" s="20"/>
      <c r="H995" s="20"/>
      <c r="I995" s="20"/>
      <c r="J995" s="20"/>
      <c r="K995" s="20"/>
      <c r="L995" s="20"/>
      <c r="M995" s="20"/>
      <c r="N995" s="20"/>
      <c r="O995" s="24"/>
      <c r="P995" s="161" t="str">
        <f t="shared" si="31"/>
        <v/>
      </c>
      <c r="Q995" s="7"/>
    </row>
    <row r="996" spans="1:17">
      <c r="A996" s="31" t="str">
        <f t="shared" si="30"/>
        <v/>
      </c>
      <c r="B996" s="159"/>
      <c r="C996" s="21"/>
      <c r="D996" s="97" t="str">
        <f>IF(C996="","",IFERROR(INDEX(②メンバー!$C$5:$C$104,MATCH(C996,②メンバー!$B$5:$B$104,0)),""))</f>
        <v/>
      </c>
      <c r="E996" s="24"/>
      <c r="F996" s="160"/>
      <c r="G996" s="20"/>
      <c r="H996" s="20"/>
      <c r="I996" s="20"/>
      <c r="J996" s="20"/>
      <c r="K996" s="20"/>
      <c r="L996" s="20"/>
      <c r="M996" s="20"/>
      <c r="N996" s="20"/>
      <c r="O996" s="24"/>
      <c r="P996" s="161" t="str">
        <f t="shared" si="31"/>
        <v/>
      </c>
      <c r="Q996" s="7"/>
    </row>
    <row r="997" spans="1:17">
      <c r="A997" s="31" t="str">
        <f t="shared" si="30"/>
        <v/>
      </c>
      <c r="B997" s="159"/>
      <c r="C997" s="21"/>
      <c r="D997" s="97" t="str">
        <f>IF(C997="","",IFERROR(INDEX(②メンバー!$C$5:$C$104,MATCH(C997,②メンバー!$B$5:$B$104,0)),""))</f>
        <v/>
      </c>
      <c r="E997" s="24"/>
      <c r="F997" s="160"/>
      <c r="G997" s="20"/>
      <c r="H997" s="20"/>
      <c r="I997" s="20"/>
      <c r="J997" s="20"/>
      <c r="K997" s="20"/>
      <c r="L997" s="20"/>
      <c r="M997" s="20"/>
      <c r="N997" s="20"/>
      <c r="O997" s="24"/>
      <c r="P997" s="161" t="str">
        <f t="shared" si="31"/>
        <v/>
      </c>
      <c r="Q997" s="7"/>
    </row>
    <row r="998" spans="1:17">
      <c r="A998" s="31" t="str">
        <f t="shared" si="30"/>
        <v/>
      </c>
      <c r="B998" s="159"/>
      <c r="C998" s="21"/>
      <c r="D998" s="97" t="str">
        <f>IF(C998="","",IFERROR(INDEX(②メンバー!$C$5:$C$104,MATCH(C998,②メンバー!$B$5:$B$104,0)),""))</f>
        <v/>
      </c>
      <c r="E998" s="24"/>
      <c r="F998" s="160"/>
      <c r="G998" s="20"/>
      <c r="H998" s="20"/>
      <c r="I998" s="20"/>
      <c r="J998" s="20"/>
      <c r="K998" s="20"/>
      <c r="L998" s="20"/>
      <c r="M998" s="20"/>
      <c r="N998" s="20"/>
      <c r="O998" s="24"/>
      <c r="P998" s="161" t="str">
        <f t="shared" si="31"/>
        <v/>
      </c>
      <c r="Q998" s="7"/>
    </row>
    <row r="999" spans="1:17">
      <c r="A999" s="31" t="str">
        <f t="shared" si="30"/>
        <v/>
      </c>
      <c r="B999" s="159"/>
      <c r="C999" s="21"/>
      <c r="D999" s="97" t="str">
        <f>IF(C999="","",IFERROR(INDEX(②メンバー!$C$5:$C$104,MATCH(C999,②メンバー!$B$5:$B$104,0)),""))</f>
        <v/>
      </c>
      <c r="E999" s="24"/>
      <c r="F999" s="160"/>
      <c r="G999" s="20"/>
      <c r="H999" s="20"/>
      <c r="I999" s="20"/>
      <c r="J999" s="20"/>
      <c r="K999" s="20"/>
      <c r="L999" s="20"/>
      <c r="M999" s="20"/>
      <c r="N999" s="20"/>
      <c r="O999" s="24"/>
      <c r="P999" s="161" t="str">
        <f t="shared" si="31"/>
        <v/>
      </c>
      <c r="Q999" s="7"/>
    </row>
    <row r="1000" spans="1:17">
      <c r="A1000" s="31" t="str">
        <f t="shared" si="30"/>
        <v/>
      </c>
      <c r="B1000" s="159"/>
      <c r="C1000" s="21"/>
      <c r="D1000" s="97" t="str">
        <f>IF(C1000="","",IFERROR(INDEX(②メンバー!$C$5:$C$104,MATCH(C1000,②メンバー!$B$5:$B$104,0)),""))</f>
        <v/>
      </c>
      <c r="E1000" s="24"/>
      <c r="F1000" s="160"/>
      <c r="G1000" s="20"/>
      <c r="H1000" s="20"/>
      <c r="I1000" s="20"/>
      <c r="J1000" s="20"/>
      <c r="K1000" s="20"/>
      <c r="L1000" s="20"/>
      <c r="M1000" s="20"/>
      <c r="N1000" s="20"/>
      <c r="O1000" s="24"/>
      <c r="P1000" s="161" t="str">
        <f t="shared" si="31"/>
        <v/>
      </c>
      <c r="Q1000" s="7"/>
    </row>
    <row r="1001" spans="1:17">
      <c r="A1001" s="31" t="str">
        <f t="shared" si="30"/>
        <v/>
      </c>
      <c r="B1001" s="159"/>
      <c r="C1001" s="21"/>
      <c r="D1001" s="97" t="str">
        <f>IF(C1001="","",IFERROR(INDEX(②メンバー!$C$5:$C$104,MATCH(C1001,②メンバー!$B$5:$B$104,0)),""))</f>
        <v/>
      </c>
      <c r="E1001" s="24"/>
      <c r="F1001" s="160"/>
      <c r="G1001" s="20"/>
      <c r="H1001" s="20"/>
      <c r="I1001" s="20"/>
      <c r="J1001" s="20"/>
      <c r="K1001" s="20"/>
      <c r="L1001" s="20"/>
      <c r="M1001" s="20"/>
      <c r="N1001" s="20"/>
      <c r="O1001" s="24"/>
      <c r="P1001" s="161" t="str">
        <f t="shared" si="31"/>
        <v/>
      </c>
      <c r="Q1001" s="7"/>
    </row>
    <row r="1002" spans="1:17">
      <c r="A1002" s="31" t="str">
        <f t="shared" si="30"/>
        <v/>
      </c>
      <c r="B1002" s="159"/>
      <c r="C1002" s="21"/>
      <c r="D1002" s="97" t="str">
        <f>IF(C1002="","",IFERROR(INDEX(②メンバー!$C$5:$C$104,MATCH(C1002,②メンバー!$B$5:$B$104,0)),""))</f>
        <v/>
      </c>
      <c r="E1002" s="24"/>
      <c r="F1002" s="160"/>
      <c r="G1002" s="20"/>
      <c r="H1002" s="20"/>
      <c r="I1002" s="20"/>
      <c r="J1002" s="20"/>
      <c r="K1002" s="20"/>
      <c r="L1002" s="20"/>
      <c r="M1002" s="20"/>
      <c r="N1002" s="20"/>
      <c r="O1002" s="24"/>
      <c r="P1002" s="161" t="str">
        <f t="shared" si="31"/>
        <v/>
      </c>
      <c r="Q1002" s="7"/>
    </row>
    <row r="1003" spans="1:17">
      <c r="A1003" s="31" t="str">
        <f t="shared" si="30"/>
        <v/>
      </c>
      <c r="B1003" s="159"/>
      <c r="C1003" s="21"/>
      <c r="D1003" s="97" t="str">
        <f>IF(C1003="","",IFERROR(INDEX(②メンバー!$C$5:$C$104,MATCH(C1003,②メンバー!$B$5:$B$104,0)),""))</f>
        <v/>
      </c>
      <c r="E1003" s="24"/>
      <c r="F1003" s="160"/>
      <c r="G1003" s="20"/>
      <c r="H1003" s="20"/>
      <c r="I1003" s="20"/>
      <c r="J1003" s="20"/>
      <c r="K1003" s="20"/>
      <c r="L1003" s="20"/>
      <c r="M1003" s="20"/>
      <c r="N1003" s="20"/>
      <c r="O1003" s="24"/>
      <c r="P1003" s="161" t="str">
        <f t="shared" si="31"/>
        <v/>
      </c>
      <c r="Q1003" s="7"/>
    </row>
    <row r="1004" spans="1:17">
      <c r="A1004" s="31" t="str">
        <f t="shared" si="30"/>
        <v/>
      </c>
      <c r="B1004" s="159"/>
      <c r="C1004" s="21"/>
      <c r="D1004" s="97" t="str">
        <f>IF(C1004="","",IFERROR(INDEX(②メンバー!$C$5:$C$104,MATCH(C1004,②メンバー!$B$5:$B$104,0)),""))</f>
        <v/>
      </c>
      <c r="E1004" s="24"/>
      <c r="F1004" s="160"/>
      <c r="G1004" s="20"/>
      <c r="H1004" s="20"/>
      <c r="I1004" s="20"/>
      <c r="J1004" s="20"/>
      <c r="K1004" s="20"/>
      <c r="L1004" s="20"/>
      <c r="M1004" s="20"/>
      <c r="N1004" s="20"/>
      <c r="O1004" s="24"/>
      <c r="P1004" s="161" t="str">
        <f t="shared" si="31"/>
        <v/>
      </c>
      <c r="Q1004" s="7"/>
    </row>
    <row r="1005" spans="1:17">
      <c r="A1005" s="31" t="str">
        <f t="shared" si="30"/>
        <v/>
      </c>
      <c r="B1005" s="159"/>
      <c r="C1005" s="21"/>
      <c r="D1005" s="97" t="str">
        <f>IF(C1005="","",IFERROR(INDEX(②メンバー!$C$5:$C$104,MATCH(C1005,②メンバー!$B$5:$B$104,0)),""))</f>
        <v/>
      </c>
      <c r="E1005" s="24"/>
      <c r="F1005" s="160"/>
      <c r="G1005" s="20"/>
      <c r="H1005" s="20"/>
      <c r="I1005" s="20"/>
      <c r="J1005" s="20"/>
      <c r="K1005" s="20"/>
      <c r="L1005" s="20"/>
      <c r="M1005" s="20"/>
      <c r="N1005" s="20"/>
      <c r="O1005" s="24"/>
      <c r="P1005" s="161" t="str">
        <f t="shared" si="31"/>
        <v/>
      </c>
      <c r="Q1005" s="7"/>
    </row>
  </sheetData>
  <mergeCells count="1">
    <mergeCell ref="F4:O4"/>
  </mergeCells>
  <phoneticPr fontId="1"/>
  <conditionalFormatting sqref="F6:O1005">
    <cfRule type="cellIs" dxfId="26" priority="1" stopIfTrue="1" operator="equal">
      <formula>"出"</formula>
    </cfRule>
    <cfRule type="cellIs" dxfId="25" priority="2" stopIfTrue="1" operator="equal">
      <formula>"休"</formula>
    </cfRule>
  </conditionalFormatting>
  <conditionalFormatting sqref="E6:E1005">
    <cfRule type="cellIs" dxfId="24" priority="3" stopIfTrue="1" operator="equal">
      <formula>"出勤"</formula>
    </cfRule>
  </conditionalFormatting>
  <conditionalFormatting sqref="C6:C1005">
    <cfRule type="expression" dxfId="23" priority="4" stopIfTrue="1">
      <formula>AND($C6&lt;&gt;"",$D6="")</formula>
    </cfRule>
  </conditionalFormatting>
  <conditionalFormatting sqref="P6:P1005">
    <cfRule type="expression" dxfId="22" priority="5" stopIfTrue="1">
      <formula>LEFT(P6,2)="終日"</formula>
    </cfRule>
  </conditionalFormatting>
  <dataValidations count="4">
    <dataValidation type="date" operator="greaterThan" allowBlank="1" showInputMessage="1" showErrorMessage="1" error="日付を入力してください（例：2026/10/15）" sqref="B6:B1005" xr:uid="{DEAE2456-A717-4290-BFBF-8C15DE5659B5}">
      <formula1>36526</formula1>
    </dataValidation>
    <dataValidation type="list" allowBlank="1" showInputMessage="1" showErrorMessage="1" sqref="C6:C1005" xr:uid="{ABDC46D6-8AFD-43B8-AF8E-55478939DE4F}">
      <formula1>メンバー一覧</formula1>
    </dataValidation>
    <dataValidation type="list" allowBlank="1" showInputMessage="1" showErrorMessage="1" sqref="E6:E1005" xr:uid="{2B02DAB2-F1C7-4A49-83F1-6121B78B96DE}">
      <formula1>"休み,出勤"</formula1>
    </dataValidation>
    <dataValidation type="list" allowBlank="1" showInputMessage="1" showErrorMessage="1" error="「休」（いない）か「出」（いる）を選んでください。" sqref="F6:O1005" xr:uid="{C5AFC0F1-F39F-4E50-89E3-E9AFD1A9D3DE}">
      <formula1>"休,出"</formula1>
    </dataValidation>
  </dataValidations>
  <hyperlinks>
    <hyperlink ref="A1" location="'表紙'!A1" display="◀ 表紙へ" xr:uid="{636C4375-9ACF-4796-B489-A4DCF813E9A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818FC-255A-450B-B2B5-195A1A7AC3BD}">
  <sheetPr codeName="Sheet3">
    <tabColor rgb="FF70AD47"/>
  </sheetPr>
  <dimension ref="A1:C19"/>
  <sheetViews>
    <sheetView showGridLines="0" zoomScaleNormal="100" workbookViewId="0">
      <selection activeCell="B1" sqref="B1"/>
    </sheetView>
  </sheetViews>
  <sheetFormatPr defaultRowHeight="14.25"/>
  <cols>
    <col min="1" max="1" width="3.625" customWidth="1"/>
    <col min="2" max="2" width="14.625" customWidth="1"/>
    <col min="3" max="3" width="20.625" customWidth="1"/>
    <col min="4" max="4" width="3.625" customWidth="1"/>
  </cols>
  <sheetData>
    <row r="1" spans="1:3" ht="30" customHeight="1">
      <c r="A1" s="2" t="s">
        <v>188</v>
      </c>
    </row>
    <row r="3" spans="1:3" ht="21">
      <c r="B3" s="3" t="s">
        <v>203</v>
      </c>
    </row>
    <row r="5" spans="1:3" ht="18">
      <c r="B5" s="35" t="s">
        <v>58</v>
      </c>
      <c r="C5" s="36">
        <v>46296</v>
      </c>
    </row>
    <row r="6" spans="1:3">
      <c r="B6" s="35" t="s">
        <v>59</v>
      </c>
      <c r="C6" s="37">
        <f>IF(ISNUMBER(C5),EDATE(C5,1)-1,"")</f>
        <v>46326</v>
      </c>
    </row>
    <row r="7" spans="1:3">
      <c r="B7" s="35" t="s">
        <v>60</v>
      </c>
      <c r="C7" s="38">
        <f>COUNTIFS(②メンバー!B5:B104,"?*",②メンバー!D5:D104,"&lt;&gt;×")</f>
        <v>13</v>
      </c>
    </row>
    <row r="10" spans="1:3" ht="16.5">
      <c r="B10" s="39" t="s">
        <v>61</v>
      </c>
    </row>
    <row r="11" spans="1:3">
      <c r="B11" s="40" t="s">
        <v>145</v>
      </c>
    </row>
    <row r="12" spans="1:3">
      <c r="B12" s="40" t="s">
        <v>146</v>
      </c>
    </row>
    <row r="13" spans="1:3">
      <c r="B13" s="40" t="s">
        <v>147</v>
      </c>
    </row>
    <row r="14" spans="1:3">
      <c r="B14" s="40" t="s">
        <v>148</v>
      </c>
    </row>
    <row r="15" spans="1:3">
      <c r="B15" s="40" t="s">
        <v>149</v>
      </c>
    </row>
    <row r="16" spans="1:3">
      <c r="B16" s="40" t="s">
        <v>150</v>
      </c>
    </row>
    <row r="17" spans="2:2">
      <c r="B17" s="41" t="s">
        <v>151</v>
      </c>
    </row>
    <row r="18" spans="2:2">
      <c r="B18" s="41" t="s">
        <v>152</v>
      </c>
    </row>
    <row r="19" spans="2:2">
      <c r="B19" s="41" t="s">
        <v>204</v>
      </c>
    </row>
  </sheetData>
  <phoneticPr fontId="1"/>
  <dataValidations count="1">
    <dataValidation type="date" operator="greaterThan" allowBlank="1" showInputMessage="1" showErrorMessage="1" error="日付を入力してください（例：2026/11/1）" sqref="C5" xr:uid="{9F7E90FA-3A10-49A2-B17C-5DE2FCBA6789}">
      <formula1>36526</formula1>
    </dataValidation>
  </dataValidations>
  <hyperlinks>
    <hyperlink ref="A1" location="'表紙'!A1" display="◀ 表紙へ" xr:uid="{FD1BCD4A-EA15-4BCF-9C2E-F7B93DDB71FD}"/>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ED743-EAAA-482A-868A-BC3E2417362D}">
  <sheetPr codeName="Sheet7">
    <tabColor rgb="FF5B9BD5"/>
    <pageSetUpPr fitToPage="1"/>
  </sheetPr>
  <dimension ref="A1:AO37"/>
  <sheetViews>
    <sheetView showGridLines="0" zoomScale="90" zoomScaleNormal="90" workbookViewId="0">
      <pane xSplit="4" ySplit="5" topLeftCell="E6" activePane="bottomRight" state="frozen"/>
      <selection pane="topRight" activeCell="E1" sqref="E1"/>
      <selection pane="bottomLeft" activeCell="A6" sqref="A6"/>
      <selection pane="bottomRight" activeCell="I12" sqref="I12"/>
    </sheetView>
  </sheetViews>
  <sheetFormatPr defaultRowHeight="14.25"/>
  <cols>
    <col min="1" max="1" width="4.625" customWidth="1"/>
    <col min="2" max="2" width="12.625" customWidth="1"/>
    <col min="3" max="3" width="6.625" customWidth="1"/>
    <col min="4" max="4" width="6.125" customWidth="1"/>
    <col min="5" max="35" width="7.375" customWidth="1"/>
    <col min="36" max="39" width="6.625" customWidth="1"/>
    <col min="40" max="41" width="0" hidden="1" customWidth="1"/>
  </cols>
  <sheetData>
    <row r="1" spans="1:41" ht="19.5">
      <c r="A1" s="2" t="s">
        <v>188</v>
      </c>
      <c r="C1" s="44" t="s">
        <v>212</v>
      </c>
    </row>
    <row r="2" spans="1:41">
      <c r="A2" s="96">
        <v>46296</v>
      </c>
      <c r="D2" s="45" t="s">
        <v>94</v>
      </c>
      <c r="E2" s="46" t="s">
        <v>4436</v>
      </c>
      <c r="F2" s="47" t="s">
        <v>4435</v>
      </c>
      <c r="H2" s="48" t="s">
        <v>30</v>
      </c>
      <c r="I2" s="47" t="s">
        <v>31</v>
      </c>
      <c r="K2" s="49" t="s">
        <v>28</v>
      </c>
      <c r="L2" s="47" t="s">
        <v>32</v>
      </c>
      <c r="N2" s="121" t="s">
        <v>193</v>
      </c>
      <c r="O2" s="47" t="s">
        <v>194</v>
      </c>
    </row>
    <row r="3" spans="1:41" ht="15" thickBot="1">
      <c r="E3" s="4" t="s">
        <v>98</v>
      </c>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row>
    <row r="4" spans="1:41" ht="18" customHeight="1">
      <c r="A4" s="220" t="s">
        <v>48</v>
      </c>
      <c r="B4" s="217" t="s">
        <v>49</v>
      </c>
      <c r="C4" s="217" t="s">
        <v>4497</v>
      </c>
      <c r="D4" s="217" t="s">
        <v>95</v>
      </c>
      <c r="E4" s="56">
        <v>46296</v>
      </c>
      <c r="F4" s="56">
        <v>46297</v>
      </c>
      <c r="G4" s="57">
        <v>46298</v>
      </c>
      <c r="H4" s="58">
        <v>46299</v>
      </c>
      <c r="I4" s="56">
        <v>46300</v>
      </c>
      <c r="J4" s="56">
        <v>46301</v>
      </c>
      <c r="K4" s="56">
        <v>46302</v>
      </c>
      <c r="L4" s="56">
        <v>46303</v>
      </c>
      <c r="M4" s="56">
        <v>46304</v>
      </c>
      <c r="N4" s="57">
        <v>46305</v>
      </c>
      <c r="O4" s="58">
        <v>46306</v>
      </c>
      <c r="P4" s="58">
        <v>46307</v>
      </c>
      <c r="Q4" s="56">
        <v>46308</v>
      </c>
      <c r="R4" s="56">
        <v>46309</v>
      </c>
      <c r="S4" s="56">
        <v>46310</v>
      </c>
      <c r="T4" s="56">
        <v>46311</v>
      </c>
      <c r="U4" s="57">
        <v>46312</v>
      </c>
      <c r="V4" s="58">
        <v>46313</v>
      </c>
      <c r="W4" s="56">
        <v>46314</v>
      </c>
      <c r="X4" s="56">
        <v>46315</v>
      </c>
      <c r="Y4" s="56">
        <v>46316</v>
      </c>
      <c r="Z4" s="56">
        <v>46317</v>
      </c>
      <c r="AA4" s="56">
        <v>46318</v>
      </c>
      <c r="AB4" s="57">
        <v>46319</v>
      </c>
      <c r="AC4" s="58">
        <v>46320</v>
      </c>
      <c r="AD4" s="56">
        <v>46321</v>
      </c>
      <c r="AE4" s="56">
        <v>46322</v>
      </c>
      <c r="AF4" s="56">
        <v>46323</v>
      </c>
      <c r="AG4" s="56">
        <v>46324</v>
      </c>
      <c r="AH4" s="56">
        <v>46325</v>
      </c>
      <c r="AI4" s="57">
        <v>46326</v>
      </c>
      <c r="AJ4" s="217" t="s">
        <v>96</v>
      </c>
      <c r="AK4" s="217" t="s">
        <v>29</v>
      </c>
      <c r="AL4" s="217" t="s">
        <v>33</v>
      </c>
      <c r="AM4" s="218" t="s">
        <v>97</v>
      </c>
    </row>
    <row r="5" spans="1:41" ht="15.95" customHeight="1">
      <c r="A5" s="221"/>
      <c r="B5" s="215"/>
      <c r="C5" s="215"/>
      <c r="D5" s="215"/>
      <c r="E5" s="50" t="s">
        <v>44</v>
      </c>
      <c r="F5" s="50" t="s">
        <v>45</v>
      </c>
      <c r="G5" s="51" t="s">
        <v>46</v>
      </c>
      <c r="H5" s="52" t="s">
        <v>47</v>
      </c>
      <c r="I5" s="50" t="s">
        <v>41</v>
      </c>
      <c r="J5" s="50" t="s">
        <v>42</v>
      </c>
      <c r="K5" s="50" t="s">
        <v>43</v>
      </c>
      <c r="L5" s="50" t="s">
        <v>44</v>
      </c>
      <c r="M5" s="50" t="s">
        <v>45</v>
      </c>
      <c r="N5" s="51" t="s">
        <v>46</v>
      </c>
      <c r="O5" s="52" t="s">
        <v>47</v>
      </c>
      <c r="P5" s="52" t="s">
        <v>41</v>
      </c>
      <c r="Q5" s="50" t="s">
        <v>42</v>
      </c>
      <c r="R5" s="50" t="s">
        <v>43</v>
      </c>
      <c r="S5" s="50" t="s">
        <v>44</v>
      </c>
      <c r="T5" s="50" t="s">
        <v>45</v>
      </c>
      <c r="U5" s="51" t="s">
        <v>46</v>
      </c>
      <c r="V5" s="52" t="s">
        <v>47</v>
      </c>
      <c r="W5" s="50" t="s">
        <v>41</v>
      </c>
      <c r="X5" s="50" t="s">
        <v>42</v>
      </c>
      <c r="Y5" s="50" t="s">
        <v>43</v>
      </c>
      <c r="Z5" s="50" t="s">
        <v>44</v>
      </c>
      <c r="AA5" s="50" t="s">
        <v>45</v>
      </c>
      <c r="AB5" s="51" t="s">
        <v>46</v>
      </c>
      <c r="AC5" s="52" t="s">
        <v>47</v>
      </c>
      <c r="AD5" s="50" t="s">
        <v>41</v>
      </c>
      <c r="AE5" s="50" t="s">
        <v>42</v>
      </c>
      <c r="AF5" s="50" t="s">
        <v>43</v>
      </c>
      <c r="AG5" s="50" t="s">
        <v>44</v>
      </c>
      <c r="AH5" s="50" t="s">
        <v>45</v>
      </c>
      <c r="AI5" s="51" t="s">
        <v>46</v>
      </c>
      <c r="AJ5" s="215"/>
      <c r="AK5" s="215"/>
      <c r="AL5" s="215"/>
      <c r="AM5" s="219"/>
    </row>
    <row r="6" spans="1:41">
      <c r="A6" s="123">
        <v>1</v>
      </c>
      <c r="B6" s="13" t="s">
        <v>63</v>
      </c>
      <c r="C6" s="8" t="s">
        <v>21</v>
      </c>
      <c r="D6" s="11">
        <v>60</v>
      </c>
      <c r="E6" s="53" t="s">
        <v>28</v>
      </c>
      <c r="F6" s="53" t="s">
        <v>99</v>
      </c>
      <c r="G6" s="54" t="s">
        <v>4436</v>
      </c>
      <c r="H6" s="55" t="s">
        <v>4436</v>
      </c>
      <c r="I6" s="53" t="s">
        <v>99</v>
      </c>
      <c r="J6" s="53" t="s">
        <v>99</v>
      </c>
      <c r="K6" s="53" t="s">
        <v>99</v>
      </c>
      <c r="L6" s="53" t="s">
        <v>99</v>
      </c>
      <c r="M6" s="53" t="s">
        <v>99</v>
      </c>
      <c r="N6" s="54" t="s">
        <v>4436</v>
      </c>
      <c r="O6" s="55" t="s">
        <v>4436</v>
      </c>
      <c r="P6" s="55" t="s">
        <v>30</v>
      </c>
      <c r="Q6" s="53" t="s">
        <v>99</v>
      </c>
      <c r="R6" s="53" t="s">
        <v>99</v>
      </c>
      <c r="S6" s="53" t="s">
        <v>99</v>
      </c>
      <c r="T6" s="53" t="s">
        <v>99</v>
      </c>
      <c r="U6" s="54" t="s">
        <v>4436</v>
      </c>
      <c r="V6" s="55" t="s">
        <v>4436</v>
      </c>
      <c r="W6" s="53" t="s">
        <v>99</v>
      </c>
      <c r="X6" s="53" t="s">
        <v>99</v>
      </c>
      <c r="Y6" s="53" t="s">
        <v>99</v>
      </c>
      <c r="Z6" s="53" t="s">
        <v>99</v>
      </c>
      <c r="AA6" s="53" t="s">
        <v>99</v>
      </c>
      <c r="AB6" s="54" t="s">
        <v>4436</v>
      </c>
      <c r="AC6" s="55" t="s">
        <v>4436</v>
      </c>
      <c r="AD6" s="53" t="s">
        <v>99</v>
      </c>
      <c r="AE6" s="53" t="s">
        <v>99</v>
      </c>
      <c r="AF6" s="53" t="s">
        <v>99</v>
      </c>
      <c r="AG6" s="53" t="s">
        <v>99</v>
      </c>
      <c r="AH6" s="53" t="s">
        <v>99</v>
      </c>
      <c r="AI6" s="54" t="s">
        <v>4436</v>
      </c>
      <c r="AJ6" s="97">
        <f t="shared" ref="AJ6:AJ18" si="0">COUNTIF(E6:AI6,"*-*")</f>
        <v>29</v>
      </c>
      <c r="AK6" s="97">
        <f t="shared" ref="AK6:AK18" si="1">COUNTIF(E6:AI6,"-")+COUNTIF(E6:AI6,"祝")</f>
        <v>10</v>
      </c>
      <c r="AL6" s="97">
        <f t="shared" ref="AL6:AL18" si="2">COUNTIF(E6:AI6,"休")</f>
        <v>1</v>
      </c>
      <c r="AM6" s="124">
        <f t="shared" ref="AM6:AM18" si="3">SumShiftHours(E6:AI6,D6,AN6,AO6)</f>
        <v>160</v>
      </c>
      <c r="AN6" s="122">
        <v>0.54166666666666663</v>
      </c>
      <c r="AO6" s="122">
        <v>0.58333333333333337</v>
      </c>
    </row>
    <row r="7" spans="1:41">
      <c r="A7" s="123">
        <v>2</v>
      </c>
      <c r="B7" s="13" t="s">
        <v>65</v>
      </c>
      <c r="C7" s="8" t="s">
        <v>21</v>
      </c>
      <c r="D7" s="11">
        <v>60</v>
      </c>
      <c r="E7" s="53" t="s">
        <v>100</v>
      </c>
      <c r="F7" s="53" t="s">
        <v>4436</v>
      </c>
      <c r="G7" s="54" t="s">
        <v>4436</v>
      </c>
      <c r="H7" s="55" t="s">
        <v>4436</v>
      </c>
      <c r="I7" s="53" t="s">
        <v>4436</v>
      </c>
      <c r="J7" s="53" t="s">
        <v>100</v>
      </c>
      <c r="K7" s="53" t="s">
        <v>100</v>
      </c>
      <c r="L7" s="53" t="s">
        <v>100</v>
      </c>
      <c r="M7" s="53" t="s">
        <v>4436</v>
      </c>
      <c r="N7" s="54" t="s">
        <v>4436</v>
      </c>
      <c r="O7" s="55" t="s">
        <v>4436</v>
      </c>
      <c r="P7" s="55" t="s">
        <v>30</v>
      </c>
      <c r="Q7" s="53" t="s">
        <v>100</v>
      </c>
      <c r="R7" s="53" t="s">
        <v>100</v>
      </c>
      <c r="S7" s="53" t="s">
        <v>100</v>
      </c>
      <c r="T7" s="53" t="s">
        <v>4436</v>
      </c>
      <c r="U7" s="54" t="s">
        <v>4436</v>
      </c>
      <c r="V7" s="55" t="s">
        <v>4436</v>
      </c>
      <c r="W7" s="53" t="s">
        <v>4436</v>
      </c>
      <c r="X7" s="53" t="s">
        <v>100</v>
      </c>
      <c r="Y7" s="53" t="s">
        <v>100</v>
      </c>
      <c r="Z7" s="53" t="s">
        <v>100</v>
      </c>
      <c r="AA7" s="53" t="s">
        <v>4436</v>
      </c>
      <c r="AB7" s="54" t="s">
        <v>4436</v>
      </c>
      <c r="AC7" s="55" t="s">
        <v>4436</v>
      </c>
      <c r="AD7" s="53" t="s">
        <v>4436</v>
      </c>
      <c r="AE7" s="53" t="s">
        <v>100</v>
      </c>
      <c r="AF7" s="53" t="s">
        <v>100</v>
      </c>
      <c r="AG7" s="53" t="s">
        <v>100</v>
      </c>
      <c r="AH7" s="53" t="s">
        <v>4436</v>
      </c>
      <c r="AI7" s="54" t="s">
        <v>4436</v>
      </c>
      <c r="AJ7" s="97">
        <f t="shared" si="0"/>
        <v>30</v>
      </c>
      <c r="AK7" s="97">
        <f t="shared" si="1"/>
        <v>18</v>
      </c>
      <c r="AL7" s="97">
        <f t="shared" si="2"/>
        <v>0</v>
      </c>
      <c r="AM7" s="124">
        <f t="shared" si="3"/>
        <v>104</v>
      </c>
      <c r="AN7" s="122">
        <v>0.5</v>
      </c>
      <c r="AO7" s="122">
        <v>0.54166666666666663</v>
      </c>
    </row>
    <row r="8" spans="1:41" ht="15" thickBot="1">
      <c r="A8" s="128">
        <v>3</v>
      </c>
      <c r="B8" s="129" t="s">
        <v>67</v>
      </c>
      <c r="C8" s="130" t="s">
        <v>21</v>
      </c>
      <c r="D8" s="131">
        <v>60</v>
      </c>
      <c r="E8" s="62" t="s">
        <v>99</v>
      </c>
      <c r="F8" s="62" t="s">
        <v>99</v>
      </c>
      <c r="G8" s="63" t="s">
        <v>4436</v>
      </c>
      <c r="H8" s="64" t="s">
        <v>4436</v>
      </c>
      <c r="I8" s="62" t="s">
        <v>99</v>
      </c>
      <c r="J8" s="62" t="s">
        <v>99</v>
      </c>
      <c r="K8" s="62" t="s">
        <v>99</v>
      </c>
      <c r="L8" s="62" t="s">
        <v>99</v>
      </c>
      <c r="M8" s="62" t="s">
        <v>99</v>
      </c>
      <c r="N8" s="63" t="s">
        <v>4436</v>
      </c>
      <c r="O8" s="64" t="s">
        <v>4436</v>
      </c>
      <c r="P8" s="64" t="s">
        <v>30</v>
      </c>
      <c r="Q8" s="62" t="s">
        <v>99</v>
      </c>
      <c r="R8" s="62" t="s">
        <v>99</v>
      </c>
      <c r="S8" s="62" t="s">
        <v>99</v>
      </c>
      <c r="T8" s="62" t="s">
        <v>99</v>
      </c>
      <c r="U8" s="63" t="s">
        <v>4436</v>
      </c>
      <c r="V8" s="64" t="s">
        <v>4436</v>
      </c>
      <c r="W8" s="62" t="s">
        <v>99</v>
      </c>
      <c r="X8" s="62" t="s">
        <v>99</v>
      </c>
      <c r="Y8" s="62" t="s">
        <v>99</v>
      </c>
      <c r="Z8" s="62" t="s">
        <v>99</v>
      </c>
      <c r="AA8" s="62" t="s">
        <v>99</v>
      </c>
      <c r="AB8" s="63" t="s">
        <v>4436</v>
      </c>
      <c r="AC8" s="64" t="s">
        <v>4436</v>
      </c>
      <c r="AD8" s="62" t="s">
        <v>99</v>
      </c>
      <c r="AE8" s="62" t="s">
        <v>99</v>
      </c>
      <c r="AF8" s="62" t="s">
        <v>99</v>
      </c>
      <c r="AG8" s="62" t="s">
        <v>99</v>
      </c>
      <c r="AH8" s="62" t="s">
        <v>99</v>
      </c>
      <c r="AI8" s="63" t="s">
        <v>4436</v>
      </c>
      <c r="AJ8" s="132">
        <f t="shared" si="0"/>
        <v>30</v>
      </c>
      <c r="AK8" s="132">
        <f t="shared" si="1"/>
        <v>10</v>
      </c>
      <c r="AL8" s="132">
        <f t="shared" si="2"/>
        <v>0</v>
      </c>
      <c r="AM8" s="133">
        <f t="shared" si="3"/>
        <v>168</v>
      </c>
      <c r="AN8" s="122">
        <v>0.54166666666666663</v>
      </c>
      <c r="AO8" s="122">
        <v>0.58333333333333337</v>
      </c>
    </row>
    <row r="9" spans="1:41">
      <c r="A9" s="139">
        <v>4</v>
      </c>
      <c r="B9" s="140" t="s">
        <v>69</v>
      </c>
      <c r="C9" s="141" t="s">
        <v>22</v>
      </c>
      <c r="D9" s="142">
        <v>60</v>
      </c>
      <c r="E9" s="68" t="s">
        <v>4436</v>
      </c>
      <c r="F9" s="68" t="s">
        <v>101</v>
      </c>
      <c r="G9" s="69" t="s">
        <v>4436</v>
      </c>
      <c r="H9" s="70" t="s">
        <v>4436</v>
      </c>
      <c r="I9" s="68" t="s">
        <v>101</v>
      </c>
      <c r="J9" s="68" t="s">
        <v>4436</v>
      </c>
      <c r="K9" s="68" t="s">
        <v>101</v>
      </c>
      <c r="L9" s="68" t="s">
        <v>4436</v>
      </c>
      <c r="M9" s="68" t="s">
        <v>101</v>
      </c>
      <c r="N9" s="69" t="s">
        <v>4436</v>
      </c>
      <c r="O9" s="70" t="s">
        <v>4436</v>
      </c>
      <c r="P9" s="70" t="s">
        <v>30</v>
      </c>
      <c r="Q9" s="68" t="s">
        <v>4436</v>
      </c>
      <c r="R9" s="68" t="s">
        <v>101</v>
      </c>
      <c r="S9" s="68" t="s">
        <v>4436</v>
      </c>
      <c r="T9" s="68" t="s">
        <v>101</v>
      </c>
      <c r="U9" s="69" t="s">
        <v>4436</v>
      </c>
      <c r="V9" s="70" t="s">
        <v>4436</v>
      </c>
      <c r="W9" s="68" t="s">
        <v>101</v>
      </c>
      <c r="X9" s="68" t="s">
        <v>4436</v>
      </c>
      <c r="Y9" s="68" t="s">
        <v>101</v>
      </c>
      <c r="Z9" s="68" t="s">
        <v>4436</v>
      </c>
      <c r="AA9" s="68" t="s">
        <v>101</v>
      </c>
      <c r="AB9" s="69" t="s">
        <v>4436</v>
      </c>
      <c r="AC9" s="70" t="s">
        <v>4436</v>
      </c>
      <c r="AD9" s="68" t="s">
        <v>101</v>
      </c>
      <c r="AE9" s="68" t="s">
        <v>4436</v>
      </c>
      <c r="AF9" s="68" t="s">
        <v>101</v>
      </c>
      <c r="AG9" s="68" t="s">
        <v>4436</v>
      </c>
      <c r="AH9" s="68" t="s">
        <v>101</v>
      </c>
      <c r="AI9" s="69" t="s">
        <v>4436</v>
      </c>
      <c r="AJ9" s="143">
        <f t="shared" si="0"/>
        <v>30</v>
      </c>
      <c r="AK9" s="143">
        <f t="shared" si="1"/>
        <v>19</v>
      </c>
      <c r="AL9" s="143">
        <f t="shared" si="2"/>
        <v>0</v>
      </c>
      <c r="AM9" s="144">
        <f t="shared" si="3"/>
        <v>84</v>
      </c>
      <c r="AN9" s="122">
        <v>0.5</v>
      </c>
      <c r="AO9" s="122">
        <v>0.54166666666666663</v>
      </c>
    </row>
    <row r="10" spans="1:41" ht="15" thickBot="1">
      <c r="A10" s="145">
        <v>5</v>
      </c>
      <c r="B10" s="146" t="s">
        <v>71</v>
      </c>
      <c r="C10" s="147" t="s">
        <v>22</v>
      </c>
      <c r="D10" s="148">
        <v>60</v>
      </c>
      <c r="E10" s="71" t="s">
        <v>99</v>
      </c>
      <c r="F10" s="71" t="s">
        <v>99</v>
      </c>
      <c r="G10" s="72" t="s">
        <v>4436</v>
      </c>
      <c r="H10" s="73" t="s">
        <v>4436</v>
      </c>
      <c r="I10" s="71" t="s">
        <v>99</v>
      </c>
      <c r="J10" s="71" t="s">
        <v>99</v>
      </c>
      <c r="K10" s="71" t="s">
        <v>99</v>
      </c>
      <c r="L10" s="71" t="s">
        <v>99</v>
      </c>
      <c r="M10" s="71" t="s">
        <v>99</v>
      </c>
      <c r="N10" s="72" t="s">
        <v>4436</v>
      </c>
      <c r="O10" s="73" t="s">
        <v>4436</v>
      </c>
      <c r="P10" s="73" t="s">
        <v>30</v>
      </c>
      <c r="Q10" s="71" t="s">
        <v>99</v>
      </c>
      <c r="R10" s="71" t="s">
        <v>99</v>
      </c>
      <c r="S10" s="71" t="s">
        <v>99</v>
      </c>
      <c r="T10" s="71" t="s">
        <v>99</v>
      </c>
      <c r="U10" s="72" t="s">
        <v>4436</v>
      </c>
      <c r="V10" s="73" t="s">
        <v>4436</v>
      </c>
      <c r="W10" s="71" t="s">
        <v>99</v>
      </c>
      <c r="X10" s="71" t="s">
        <v>99</v>
      </c>
      <c r="Y10" s="71" t="s">
        <v>99</v>
      </c>
      <c r="Z10" s="71" t="s">
        <v>99</v>
      </c>
      <c r="AA10" s="71" t="s">
        <v>99</v>
      </c>
      <c r="AB10" s="72" t="s">
        <v>4436</v>
      </c>
      <c r="AC10" s="73" t="s">
        <v>4436</v>
      </c>
      <c r="AD10" s="71" t="s">
        <v>99</v>
      </c>
      <c r="AE10" s="71" t="s">
        <v>99</v>
      </c>
      <c r="AF10" s="71" t="s">
        <v>99</v>
      </c>
      <c r="AG10" s="71" t="s">
        <v>99</v>
      </c>
      <c r="AH10" s="71" t="s">
        <v>99</v>
      </c>
      <c r="AI10" s="72" t="s">
        <v>4436</v>
      </c>
      <c r="AJ10" s="149">
        <f t="shared" si="0"/>
        <v>30</v>
      </c>
      <c r="AK10" s="149">
        <f t="shared" si="1"/>
        <v>10</v>
      </c>
      <c r="AL10" s="149">
        <f t="shared" si="2"/>
        <v>0</v>
      </c>
      <c r="AM10" s="150">
        <f t="shared" si="3"/>
        <v>168</v>
      </c>
      <c r="AN10" s="122">
        <v>0.54166666666666663</v>
      </c>
      <c r="AO10" s="122">
        <v>0.58333333333333337</v>
      </c>
    </row>
    <row r="11" spans="1:41">
      <c r="A11" s="139">
        <v>6</v>
      </c>
      <c r="B11" s="140" t="s">
        <v>73</v>
      </c>
      <c r="C11" s="152" t="s">
        <v>23</v>
      </c>
      <c r="D11" s="142">
        <v>60</v>
      </c>
      <c r="E11" s="68" t="s">
        <v>4436</v>
      </c>
      <c r="F11" s="68" t="s">
        <v>102</v>
      </c>
      <c r="G11" s="69" t="s">
        <v>4436</v>
      </c>
      <c r="H11" s="70" t="s">
        <v>4436</v>
      </c>
      <c r="I11" s="68" t="s">
        <v>102</v>
      </c>
      <c r="J11" s="68" t="s">
        <v>4436</v>
      </c>
      <c r="K11" s="68" t="s">
        <v>102</v>
      </c>
      <c r="L11" s="68" t="s">
        <v>4436</v>
      </c>
      <c r="M11" s="68" t="s">
        <v>102</v>
      </c>
      <c r="N11" s="69" t="s">
        <v>4436</v>
      </c>
      <c r="O11" s="70" t="s">
        <v>4436</v>
      </c>
      <c r="P11" s="70" t="s">
        <v>30</v>
      </c>
      <c r="Q11" s="68" t="s">
        <v>4436</v>
      </c>
      <c r="R11" s="68" t="s">
        <v>102</v>
      </c>
      <c r="S11" s="68" t="s">
        <v>4436</v>
      </c>
      <c r="T11" s="68" t="s">
        <v>102</v>
      </c>
      <c r="U11" s="69" t="s">
        <v>4436</v>
      </c>
      <c r="V11" s="70" t="s">
        <v>4436</v>
      </c>
      <c r="W11" s="68" t="s">
        <v>102</v>
      </c>
      <c r="X11" s="68" t="s">
        <v>4436</v>
      </c>
      <c r="Y11" s="68" t="s">
        <v>102</v>
      </c>
      <c r="Z11" s="68" t="s">
        <v>4436</v>
      </c>
      <c r="AA11" s="68" t="s">
        <v>102</v>
      </c>
      <c r="AB11" s="69" t="s">
        <v>4436</v>
      </c>
      <c r="AC11" s="70" t="s">
        <v>4436</v>
      </c>
      <c r="AD11" s="68" t="s">
        <v>102</v>
      </c>
      <c r="AE11" s="68" t="s">
        <v>4436</v>
      </c>
      <c r="AF11" s="68" t="s">
        <v>102</v>
      </c>
      <c r="AG11" s="68" t="s">
        <v>4436</v>
      </c>
      <c r="AH11" s="68" t="s">
        <v>102</v>
      </c>
      <c r="AI11" s="69" t="s">
        <v>4436</v>
      </c>
      <c r="AJ11" s="143">
        <f t="shared" si="0"/>
        <v>30</v>
      </c>
      <c r="AK11" s="143">
        <f t="shared" si="1"/>
        <v>19</v>
      </c>
      <c r="AL11" s="143">
        <f t="shared" si="2"/>
        <v>0</v>
      </c>
      <c r="AM11" s="144">
        <f t="shared" si="3"/>
        <v>84</v>
      </c>
      <c r="AN11" s="122">
        <v>0.5</v>
      </c>
      <c r="AO11" s="122">
        <v>0.54166666666666663</v>
      </c>
    </row>
    <row r="12" spans="1:41">
      <c r="A12" s="134">
        <v>7</v>
      </c>
      <c r="B12" s="135" t="s">
        <v>75</v>
      </c>
      <c r="C12" s="151" t="s">
        <v>23</v>
      </c>
      <c r="D12" s="136">
        <v>60</v>
      </c>
      <c r="E12" s="65" t="s">
        <v>103</v>
      </c>
      <c r="F12" s="65" t="s">
        <v>4436</v>
      </c>
      <c r="G12" s="66" t="s">
        <v>4436</v>
      </c>
      <c r="H12" s="67" t="s">
        <v>4436</v>
      </c>
      <c r="I12" s="65" t="s">
        <v>103</v>
      </c>
      <c r="J12" s="65" t="s">
        <v>103</v>
      </c>
      <c r="K12" s="65" t="s">
        <v>103</v>
      </c>
      <c r="L12" s="65" t="s">
        <v>103</v>
      </c>
      <c r="M12" s="65" t="s">
        <v>4436</v>
      </c>
      <c r="N12" s="66" t="s">
        <v>4436</v>
      </c>
      <c r="O12" s="67" t="s">
        <v>4436</v>
      </c>
      <c r="P12" s="67" t="s">
        <v>30</v>
      </c>
      <c r="Q12" s="65" t="s">
        <v>103</v>
      </c>
      <c r="R12" s="65" t="s">
        <v>103</v>
      </c>
      <c r="S12" s="65" t="s">
        <v>103</v>
      </c>
      <c r="T12" s="65" t="s">
        <v>4436</v>
      </c>
      <c r="U12" s="66" t="s">
        <v>4436</v>
      </c>
      <c r="V12" s="67" t="s">
        <v>4436</v>
      </c>
      <c r="W12" s="65" t="s">
        <v>103</v>
      </c>
      <c r="X12" s="65" t="s">
        <v>103</v>
      </c>
      <c r="Y12" s="65" t="s">
        <v>103</v>
      </c>
      <c r="Z12" s="65" t="s">
        <v>103</v>
      </c>
      <c r="AA12" s="65" t="s">
        <v>4436</v>
      </c>
      <c r="AB12" s="66" t="s">
        <v>4436</v>
      </c>
      <c r="AC12" s="67" t="s">
        <v>4436</v>
      </c>
      <c r="AD12" s="65" t="s">
        <v>103</v>
      </c>
      <c r="AE12" s="65" t="s">
        <v>103</v>
      </c>
      <c r="AF12" s="65" t="s">
        <v>103</v>
      </c>
      <c r="AG12" s="65" t="s">
        <v>103</v>
      </c>
      <c r="AH12" s="65" t="s">
        <v>4436</v>
      </c>
      <c r="AI12" s="66" t="s">
        <v>4436</v>
      </c>
      <c r="AJ12" s="137">
        <f t="shared" si="0"/>
        <v>30</v>
      </c>
      <c r="AK12" s="137">
        <f t="shared" si="1"/>
        <v>15</v>
      </c>
      <c r="AL12" s="137">
        <f t="shared" si="2"/>
        <v>0</v>
      </c>
      <c r="AM12" s="138">
        <f t="shared" si="3"/>
        <v>104</v>
      </c>
      <c r="AN12" s="122">
        <v>0.5</v>
      </c>
      <c r="AO12" s="122">
        <v>0.54166666666666663</v>
      </c>
    </row>
    <row r="13" spans="1:41">
      <c r="A13" s="123">
        <v>8</v>
      </c>
      <c r="B13" s="13" t="s">
        <v>77</v>
      </c>
      <c r="C13" s="10" t="s">
        <v>23</v>
      </c>
      <c r="D13" s="11">
        <v>60</v>
      </c>
      <c r="E13" s="53" t="s">
        <v>104</v>
      </c>
      <c r="F13" s="53" t="s">
        <v>104</v>
      </c>
      <c r="G13" s="54" t="s">
        <v>4436</v>
      </c>
      <c r="H13" s="55" t="s">
        <v>4436</v>
      </c>
      <c r="I13" s="53" t="s">
        <v>104</v>
      </c>
      <c r="J13" s="53" t="s">
        <v>104</v>
      </c>
      <c r="K13" s="53" t="s">
        <v>104</v>
      </c>
      <c r="L13" s="53" t="s">
        <v>104</v>
      </c>
      <c r="M13" s="53" t="s">
        <v>104</v>
      </c>
      <c r="N13" s="54" t="s">
        <v>4436</v>
      </c>
      <c r="O13" s="55" t="s">
        <v>4436</v>
      </c>
      <c r="P13" s="55" t="s">
        <v>30</v>
      </c>
      <c r="Q13" s="53" t="s">
        <v>104</v>
      </c>
      <c r="R13" s="53" t="s">
        <v>104</v>
      </c>
      <c r="S13" s="53" t="s">
        <v>104</v>
      </c>
      <c r="T13" s="53" t="s">
        <v>104</v>
      </c>
      <c r="U13" s="54" t="s">
        <v>4436</v>
      </c>
      <c r="V13" s="55" t="s">
        <v>4436</v>
      </c>
      <c r="W13" s="53" t="s">
        <v>104</v>
      </c>
      <c r="X13" s="53" t="s">
        <v>104</v>
      </c>
      <c r="Y13" s="53" t="s">
        <v>104</v>
      </c>
      <c r="Z13" s="53" t="s">
        <v>104</v>
      </c>
      <c r="AA13" s="53" t="s">
        <v>104</v>
      </c>
      <c r="AB13" s="54" t="s">
        <v>4436</v>
      </c>
      <c r="AC13" s="55" t="s">
        <v>4436</v>
      </c>
      <c r="AD13" s="53" t="s">
        <v>104</v>
      </c>
      <c r="AE13" s="53" t="s">
        <v>104</v>
      </c>
      <c r="AF13" s="53" t="s">
        <v>104</v>
      </c>
      <c r="AG13" s="53" t="s">
        <v>104</v>
      </c>
      <c r="AH13" s="53" t="s">
        <v>104</v>
      </c>
      <c r="AI13" s="54" t="s">
        <v>4436</v>
      </c>
      <c r="AJ13" s="97">
        <f t="shared" si="0"/>
        <v>30</v>
      </c>
      <c r="AK13" s="97">
        <f t="shared" si="1"/>
        <v>10</v>
      </c>
      <c r="AL13" s="97">
        <f t="shared" si="2"/>
        <v>0</v>
      </c>
      <c r="AM13" s="124">
        <f t="shared" si="3"/>
        <v>168</v>
      </c>
      <c r="AN13" s="122">
        <v>0.5</v>
      </c>
      <c r="AO13" s="122">
        <v>0.54166666666666663</v>
      </c>
    </row>
    <row r="14" spans="1:41">
      <c r="A14" s="123">
        <v>9</v>
      </c>
      <c r="B14" s="13" t="s">
        <v>79</v>
      </c>
      <c r="C14" s="10" t="s">
        <v>23</v>
      </c>
      <c r="D14" s="11">
        <v>60</v>
      </c>
      <c r="E14" s="53" t="s">
        <v>104</v>
      </c>
      <c r="F14" s="53" t="s">
        <v>104</v>
      </c>
      <c r="G14" s="54" t="s">
        <v>4436</v>
      </c>
      <c r="H14" s="55" t="s">
        <v>4436</v>
      </c>
      <c r="I14" s="53" t="s">
        <v>104</v>
      </c>
      <c r="J14" s="53" t="s">
        <v>104</v>
      </c>
      <c r="K14" s="53" t="s">
        <v>104</v>
      </c>
      <c r="L14" s="53" t="s">
        <v>104</v>
      </c>
      <c r="M14" s="53" t="s">
        <v>104</v>
      </c>
      <c r="N14" s="54" t="s">
        <v>4436</v>
      </c>
      <c r="O14" s="55" t="s">
        <v>4436</v>
      </c>
      <c r="P14" s="55" t="s">
        <v>30</v>
      </c>
      <c r="Q14" s="53" t="s">
        <v>104</v>
      </c>
      <c r="R14" s="53" t="s">
        <v>104</v>
      </c>
      <c r="S14" s="53" t="s">
        <v>104</v>
      </c>
      <c r="T14" s="53" t="s">
        <v>104</v>
      </c>
      <c r="U14" s="54" t="s">
        <v>4436</v>
      </c>
      <c r="V14" s="55" t="s">
        <v>4436</v>
      </c>
      <c r="W14" s="53" t="s">
        <v>104</v>
      </c>
      <c r="X14" s="53" t="s">
        <v>104</v>
      </c>
      <c r="Y14" s="53" t="s">
        <v>104</v>
      </c>
      <c r="Z14" s="53" t="s">
        <v>104</v>
      </c>
      <c r="AA14" s="53" t="s">
        <v>104</v>
      </c>
      <c r="AB14" s="54" t="s">
        <v>4436</v>
      </c>
      <c r="AC14" s="55" t="s">
        <v>4436</v>
      </c>
      <c r="AD14" s="53" t="s">
        <v>104</v>
      </c>
      <c r="AE14" s="53" t="s">
        <v>104</v>
      </c>
      <c r="AF14" s="53" t="s">
        <v>104</v>
      </c>
      <c r="AG14" s="53" t="s">
        <v>104</v>
      </c>
      <c r="AH14" s="53" t="s">
        <v>104</v>
      </c>
      <c r="AI14" s="54" t="s">
        <v>4436</v>
      </c>
      <c r="AJ14" s="97">
        <f t="shared" si="0"/>
        <v>30</v>
      </c>
      <c r="AK14" s="97">
        <f t="shared" si="1"/>
        <v>10</v>
      </c>
      <c r="AL14" s="97">
        <f t="shared" si="2"/>
        <v>0</v>
      </c>
      <c r="AM14" s="124">
        <f t="shared" si="3"/>
        <v>168</v>
      </c>
      <c r="AN14" s="122">
        <v>0.5</v>
      </c>
      <c r="AO14" s="122">
        <v>0.54166666666666663</v>
      </c>
    </row>
    <row r="15" spans="1:41">
      <c r="A15" s="123">
        <v>10</v>
      </c>
      <c r="B15" s="13" t="s">
        <v>81</v>
      </c>
      <c r="C15" s="10" t="s">
        <v>23</v>
      </c>
      <c r="D15" s="11">
        <v>60</v>
      </c>
      <c r="E15" s="53" t="s">
        <v>99</v>
      </c>
      <c r="F15" s="53" t="s">
        <v>99</v>
      </c>
      <c r="G15" s="54" t="s">
        <v>4436</v>
      </c>
      <c r="H15" s="55" t="s">
        <v>4436</v>
      </c>
      <c r="I15" s="53" t="s">
        <v>99</v>
      </c>
      <c r="J15" s="53" t="s">
        <v>4436</v>
      </c>
      <c r="K15" s="53" t="s">
        <v>99</v>
      </c>
      <c r="L15" s="53" t="s">
        <v>99</v>
      </c>
      <c r="M15" s="53" t="s">
        <v>99</v>
      </c>
      <c r="N15" s="54" t="s">
        <v>4436</v>
      </c>
      <c r="O15" s="55" t="s">
        <v>4436</v>
      </c>
      <c r="P15" s="55" t="s">
        <v>30</v>
      </c>
      <c r="Q15" s="53" t="s">
        <v>4436</v>
      </c>
      <c r="R15" s="53" t="s">
        <v>99</v>
      </c>
      <c r="S15" s="53" t="s">
        <v>99</v>
      </c>
      <c r="T15" s="53" t="s">
        <v>99</v>
      </c>
      <c r="U15" s="54" t="s">
        <v>4436</v>
      </c>
      <c r="V15" s="55" t="s">
        <v>4436</v>
      </c>
      <c r="W15" s="53" t="s">
        <v>99</v>
      </c>
      <c r="X15" s="53" t="s">
        <v>4436</v>
      </c>
      <c r="Y15" s="53" t="s">
        <v>99</v>
      </c>
      <c r="Z15" s="53" t="s">
        <v>99</v>
      </c>
      <c r="AA15" s="53" t="s">
        <v>99</v>
      </c>
      <c r="AB15" s="54" t="s">
        <v>4436</v>
      </c>
      <c r="AC15" s="55" t="s">
        <v>4436</v>
      </c>
      <c r="AD15" s="53" t="s">
        <v>99</v>
      </c>
      <c r="AE15" s="53" t="s">
        <v>4436</v>
      </c>
      <c r="AF15" s="53" t="s">
        <v>99</v>
      </c>
      <c r="AG15" s="53" t="s">
        <v>99</v>
      </c>
      <c r="AH15" s="53" t="s">
        <v>99</v>
      </c>
      <c r="AI15" s="54" t="s">
        <v>4436</v>
      </c>
      <c r="AJ15" s="97">
        <f t="shared" si="0"/>
        <v>30</v>
      </c>
      <c r="AK15" s="97">
        <f t="shared" si="1"/>
        <v>14</v>
      </c>
      <c r="AL15" s="97">
        <f t="shared" si="2"/>
        <v>0</v>
      </c>
      <c r="AM15" s="124">
        <f t="shared" si="3"/>
        <v>136</v>
      </c>
      <c r="AN15" s="122">
        <v>0.5</v>
      </c>
      <c r="AO15" s="122">
        <v>0.54166666666666663</v>
      </c>
    </row>
    <row r="16" spans="1:41">
      <c r="A16" s="123">
        <v>11</v>
      </c>
      <c r="B16" s="13" t="s">
        <v>83</v>
      </c>
      <c r="C16" s="10" t="s">
        <v>23</v>
      </c>
      <c r="D16" s="11">
        <v>60</v>
      </c>
      <c r="E16" s="53" t="s">
        <v>99</v>
      </c>
      <c r="F16" s="53" t="s">
        <v>99</v>
      </c>
      <c r="G16" s="54" t="s">
        <v>4436</v>
      </c>
      <c r="H16" s="55" t="s">
        <v>4436</v>
      </c>
      <c r="I16" s="53" t="s">
        <v>99</v>
      </c>
      <c r="J16" s="53" t="s">
        <v>99</v>
      </c>
      <c r="K16" s="53" t="s">
        <v>4436</v>
      </c>
      <c r="L16" s="53" t="s">
        <v>99</v>
      </c>
      <c r="M16" s="53" t="s">
        <v>99</v>
      </c>
      <c r="N16" s="54" t="s">
        <v>4436</v>
      </c>
      <c r="O16" s="55" t="s">
        <v>4436</v>
      </c>
      <c r="P16" s="55" t="s">
        <v>30</v>
      </c>
      <c r="Q16" s="53" t="s">
        <v>99</v>
      </c>
      <c r="R16" s="53" t="s">
        <v>4436</v>
      </c>
      <c r="S16" s="53" t="s">
        <v>99</v>
      </c>
      <c r="T16" s="53" t="s">
        <v>99</v>
      </c>
      <c r="U16" s="54" t="s">
        <v>4436</v>
      </c>
      <c r="V16" s="55" t="s">
        <v>4436</v>
      </c>
      <c r="W16" s="53" t="s">
        <v>99</v>
      </c>
      <c r="X16" s="53" t="s">
        <v>99</v>
      </c>
      <c r="Y16" s="53" t="s">
        <v>4436</v>
      </c>
      <c r="Z16" s="53" t="s">
        <v>99</v>
      </c>
      <c r="AA16" s="53" t="s">
        <v>99</v>
      </c>
      <c r="AB16" s="54" t="s">
        <v>4436</v>
      </c>
      <c r="AC16" s="55" t="s">
        <v>4436</v>
      </c>
      <c r="AD16" s="53" t="s">
        <v>99</v>
      </c>
      <c r="AE16" s="53" t="s">
        <v>99</v>
      </c>
      <c r="AF16" s="53" t="s">
        <v>4436</v>
      </c>
      <c r="AG16" s="53" t="s">
        <v>99</v>
      </c>
      <c r="AH16" s="53" t="s">
        <v>99</v>
      </c>
      <c r="AI16" s="54" t="s">
        <v>4436</v>
      </c>
      <c r="AJ16" s="97">
        <f t="shared" si="0"/>
        <v>30</v>
      </c>
      <c r="AK16" s="97">
        <f t="shared" si="1"/>
        <v>14</v>
      </c>
      <c r="AL16" s="97">
        <f t="shared" si="2"/>
        <v>0</v>
      </c>
      <c r="AM16" s="124">
        <f t="shared" si="3"/>
        <v>136</v>
      </c>
      <c r="AN16" s="122">
        <v>0.5</v>
      </c>
      <c r="AO16" s="122">
        <v>0.54166666666666663</v>
      </c>
    </row>
    <row r="17" spans="1:41">
      <c r="A17" s="123">
        <v>12</v>
      </c>
      <c r="B17" s="13" t="s">
        <v>85</v>
      </c>
      <c r="C17" s="10" t="s">
        <v>23</v>
      </c>
      <c r="D17" s="11">
        <v>60</v>
      </c>
      <c r="E17" s="53" t="s">
        <v>105</v>
      </c>
      <c r="F17" s="53" t="s">
        <v>105</v>
      </c>
      <c r="G17" s="54" t="s">
        <v>4436</v>
      </c>
      <c r="H17" s="55" t="s">
        <v>4436</v>
      </c>
      <c r="I17" s="53" t="s">
        <v>105</v>
      </c>
      <c r="J17" s="53" t="s">
        <v>105</v>
      </c>
      <c r="K17" s="53" t="s">
        <v>4436</v>
      </c>
      <c r="L17" s="53" t="s">
        <v>105</v>
      </c>
      <c r="M17" s="53" t="s">
        <v>105</v>
      </c>
      <c r="N17" s="54" t="s">
        <v>4436</v>
      </c>
      <c r="O17" s="55" t="s">
        <v>4436</v>
      </c>
      <c r="P17" s="55" t="s">
        <v>30</v>
      </c>
      <c r="Q17" s="53" t="s">
        <v>105</v>
      </c>
      <c r="R17" s="53" t="s">
        <v>4436</v>
      </c>
      <c r="S17" s="53" t="s">
        <v>105</v>
      </c>
      <c r="T17" s="53" t="s">
        <v>105</v>
      </c>
      <c r="U17" s="54" t="s">
        <v>4436</v>
      </c>
      <c r="V17" s="55" t="s">
        <v>4436</v>
      </c>
      <c r="W17" s="53" t="s">
        <v>105</v>
      </c>
      <c r="X17" s="53" t="s">
        <v>105</v>
      </c>
      <c r="Y17" s="53" t="s">
        <v>4436</v>
      </c>
      <c r="Z17" s="53" t="s">
        <v>105</v>
      </c>
      <c r="AA17" s="53" t="s">
        <v>105</v>
      </c>
      <c r="AB17" s="54" t="s">
        <v>4436</v>
      </c>
      <c r="AC17" s="55" t="s">
        <v>4436</v>
      </c>
      <c r="AD17" s="53" t="s">
        <v>105</v>
      </c>
      <c r="AE17" s="53" t="s">
        <v>105</v>
      </c>
      <c r="AF17" s="53" t="s">
        <v>4436</v>
      </c>
      <c r="AG17" s="53" t="s">
        <v>105</v>
      </c>
      <c r="AH17" s="53" t="s">
        <v>105</v>
      </c>
      <c r="AI17" s="54" t="s">
        <v>4436</v>
      </c>
      <c r="AJ17" s="97">
        <f t="shared" si="0"/>
        <v>30</v>
      </c>
      <c r="AK17" s="97">
        <f t="shared" si="1"/>
        <v>14</v>
      </c>
      <c r="AL17" s="97">
        <f t="shared" si="2"/>
        <v>0</v>
      </c>
      <c r="AM17" s="124">
        <f t="shared" si="3"/>
        <v>136</v>
      </c>
      <c r="AN17" s="122">
        <v>0.5</v>
      </c>
      <c r="AO17" s="122">
        <v>0.54166666666666663</v>
      </c>
    </row>
    <row r="18" spans="1:41" ht="15" thickBot="1">
      <c r="A18" s="99">
        <v>13</v>
      </c>
      <c r="B18" s="125" t="s">
        <v>87</v>
      </c>
      <c r="C18" s="100" t="s">
        <v>23</v>
      </c>
      <c r="D18" s="101">
        <v>60</v>
      </c>
      <c r="E18" s="59" t="s">
        <v>104</v>
      </c>
      <c r="F18" s="59" t="s">
        <v>104</v>
      </c>
      <c r="G18" s="60" t="s">
        <v>4436</v>
      </c>
      <c r="H18" s="61" t="s">
        <v>4436</v>
      </c>
      <c r="I18" s="59" t="s">
        <v>104</v>
      </c>
      <c r="J18" s="59" t="s">
        <v>104</v>
      </c>
      <c r="K18" s="59" t="s">
        <v>104</v>
      </c>
      <c r="L18" s="59" t="s">
        <v>104</v>
      </c>
      <c r="M18" s="59" t="s">
        <v>104</v>
      </c>
      <c r="N18" s="60" t="s">
        <v>4436</v>
      </c>
      <c r="O18" s="61" t="s">
        <v>4436</v>
      </c>
      <c r="P18" s="61" t="s">
        <v>30</v>
      </c>
      <c r="Q18" s="59" t="s">
        <v>104</v>
      </c>
      <c r="R18" s="59" t="s">
        <v>104</v>
      </c>
      <c r="S18" s="59" t="s">
        <v>104</v>
      </c>
      <c r="T18" s="59" t="s">
        <v>104</v>
      </c>
      <c r="U18" s="60" t="s">
        <v>4436</v>
      </c>
      <c r="V18" s="61" t="s">
        <v>4436</v>
      </c>
      <c r="W18" s="59" t="s">
        <v>104</v>
      </c>
      <c r="X18" s="59" t="s">
        <v>104</v>
      </c>
      <c r="Y18" s="59" t="s">
        <v>104</v>
      </c>
      <c r="Z18" s="59" t="s">
        <v>104</v>
      </c>
      <c r="AA18" s="59" t="s">
        <v>104</v>
      </c>
      <c r="AB18" s="60" t="s">
        <v>4436</v>
      </c>
      <c r="AC18" s="61" t="s">
        <v>4436</v>
      </c>
      <c r="AD18" s="59" t="s">
        <v>104</v>
      </c>
      <c r="AE18" s="59" t="s">
        <v>104</v>
      </c>
      <c r="AF18" s="59" t="s">
        <v>104</v>
      </c>
      <c r="AG18" s="59" t="s">
        <v>104</v>
      </c>
      <c r="AH18" s="59" t="s">
        <v>104</v>
      </c>
      <c r="AI18" s="60" t="s">
        <v>4436</v>
      </c>
      <c r="AJ18" s="126">
        <f t="shared" si="0"/>
        <v>30</v>
      </c>
      <c r="AK18" s="126">
        <f t="shared" si="1"/>
        <v>10</v>
      </c>
      <c r="AL18" s="126">
        <f t="shared" si="2"/>
        <v>0</v>
      </c>
      <c r="AM18" s="127">
        <f t="shared" si="3"/>
        <v>168</v>
      </c>
      <c r="AN18" s="122">
        <v>0.5</v>
      </c>
      <c r="AO18" s="122">
        <v>0.54166666666666663</v>
      </c>
    </row>
    <row r="20" spans="1:41">
      <c r="B20" s="153" t="s">
        <v>106</v>
      </c>
      <c r="C20" s="8" t="s">
        <v>21</v>
      </c>
      <c r="D20" s="11"/>
      <c r="E20" s="11">
        <f t="shared" ref="E20:AI20" si="4">SUMPRODUCT(($C$6:$C$18="SV")*ISNUMBER(SEARCH("-",E$6:E$18)))</f>
        <v>2</v>
      </c>
      <c r="F20" s="11">
        <f t="shared" si="4"/>
        <v>3</v>
      </c>
      <c r="G20" s="11">
        <f t="shared" si="4"/>
        <v>3</v>
      </c>
      <c r="H20" s="11">
        <f t="shared" si="4"/>
        <v>3</v>
      </c>
      <c r="I20" s="11">
        <f t="shared" si="4"/>
        <v>3</v>
      </c>
      <c r="J20" s="11">
        <f t="shared" si="4"/>
        <v>3</v>
      </c>
      <c r="K20" s="11">
        <f t="shared" si="4"/>
        <v>3</v>
      </c>
      <c r="L20" s="11">
        <f t="shared" si="4"/>
        <v>3</v>
      </c>
      <c r="M20" s="11">
        <f t="shared" si="4"/>
        <v>3</v>
      </c>
      <c r="N20" s="11">
        <f t="shared" si="4"/>
        <v>3</v>
      </c>
      <c r="O20" s="11">
        <f t="shared" si="4"/>
        <v>3</v>
      </c>
      <c r="P20" s="11">
        <f t="shared" si="4"/>
        <v>0</v>
      </c>
      <c r="Q20" s="11">
        <f t="shared" si="4"/>
        <v>3</v>
      </c>
      <c r="R20" s="11">
        <f t="shared" si="4"/>
        <v>3</v>
      </c>
      <c r="S20" s="11">
        <f t="shared" si="4"/>
        <v>3</v>
      </c>
      <c r="T20" s="11">
        <f t="shared" si="4"/>
        <v>3</v>
      </c>
      <c r="U20" s="11">
        <f t="shared" si="4"/>
        <v>3</v>
      </c>
      <c r="V20" s="11">
        <f t="shared" si="4"/>
        <v>3</v>
      </c>
      <c r="W20" s="11">
        <f t="shared" si="4"/>
        <v>3</v>
      </c>
      <c r="X20" s="11">
        <f t="shared" si="4"/>
        <v>3</v>
      </c>
      <c r="Y20" s="11">
        <f t="shared" si="4"/>
        <v>3</v>
      </c>
      <c r="Z20" s="11">
        <f t="shared" si="4"/>
        <v>3</v>
      </c>
      <c r="AA20" s="11">
        <f t="shared" si="4"/>
        <v>3</v>
      </c>
      <c r="AB20" s="11">
        <f t="shared" si="4"/>
        <v>3</v>
      </c>
      <c r="AC20" s="11">
        <f t="shared" si="4"/>
        <v>3</v>
      </c>
      <c r="AD20" s="11">
        <f t="shared" si="4"/>
        <v>3</v>
      </c>
      <c r="AE20" s="11">
        <f t="shared" si="4"/>
        <v>3</v>
      </c>
      <c r="AF20" s="11">
        <f t="shared" si="4"/>
        <v>3</v>
      </c>
      <c r="AG20" s="11">
        <f t="shared" si="4"/>
        <v>3</v>
      </c>
      <c r="AH20" s="11">
        <f t="shared" si="4"/>
        <v>3</v>
      </c>
      <c r="AI20" s="11">
        <f t="shared" si="4"/>
        <v>3</v>
      </c>
    </row>
    <row r="21" spans="1:41">
      <c r="B21" s="153" t="s">
        <v>106</v>
      </c>
      <c r="C21" s="9" t="s">
        <v>22</v>
      </c>
      <c r="D21" s="11"/>
      <c r="E21" s="11">
        <f t="shared" ref="E21:AI21" si="5">SUMPRODUCT(($C$6:$C$18="SV補")*ISNUMBER(SEARCH("-",E$6:E$18)))</f>
        <v>2</v>
      </c>
      <c r="F21" s="11">
        <f t="shared" si="5"/>
        <v>2</v>
      </c>
      <c r="G21" s="11">
        <f t="shared" si="5"/>
        <v>2</v>
      </c>
      <c r="H21" s="11">
        <f t="shared" si="5"/>
        <v>2</v>
      </c>
      <c r="I21" s="11">
        <f t="shared" si="5"/>
        <v>2</v>
      </c>
      <c r="J21" s="11">
        <f t="shared" si="5"/>
        <v>2</v>
      </c>
      <c r="K21" s="11">
        <f t="shared" si="5"/>
        <v>2</v>
      </c>
      <c r="L21" s="11">
        <f t="shared" si="5"/>
        <v>2</v>
      </c>
      <c r="M21" s="11">
        <f t="shared" si="5"/>
        <v>2</v>
      </c>
      <c r="N21" s="11">
        <f t="shared" si="5"/>
        <v>2</v>
      </c>
      <c r="O21" s="11">
        <f t="shared" si="5"/>
        <v>2</v>
      </c>
      <c r="P21" s="11">
        <f t="shared" si="5"/>
        <v>0</v>
      </c>
      <c r="Q21" s="11">
        <f t="shared" si="5"/>
        <v>2</v>
      </c>
      <c r="R21" s="11">
        <f t="shared" si="5"/>
        <v>2</v>
      </c>
      <c r="S21" s="11">
        <f t="shared" si="5"/>
        <v>2</v>
      </c>
      <c r="T21" s="11">
        <f t="shared" si="5"/>
        <v>2</v>
      </c>
      <c r="U21" s="11">
        <f t="shared" si="5"/>
        <v>2</v>
      </c>
      <c r="V21" s="11">
        <f t="shared" si="5"/>
        <v>2</v>
      </c>
      <c r="W21" s="11">
        <f t="shared" si="5"/>
        <v>2</v>
      </c>
      <c r="X21" s="11">
        <f t="shared" si="5"/>
        <v>2</v>
      </c>
      <c r="Y21" s="11">
        <f t="shared" si="5"/>
        <v>2</v>
      </c>
      <c r="Z21" s="11">
        <f t="shared" si="5"/>
        <v>2</v>
      </c>
      <c r="AA21" s="11">
        <f t="shared" si="5"/>
        <v>2</v>
      </c>
      <c r="AB21" s="11">
        <f t="shared" si="5"/>
        <v>2</v>
      </c>
      <c r="AC21" s="11">
        <f t="shared" si="5"/>
        <v>2</v>
      </c>
      <c r="AD21" s="11">
        <f t="shared" si="5"/>
        <v>2</v>
      </c>
      <c r="AE21" s="11">
        <f t="shared" si="5"/>
        <v>2</v>
      </c>
      <c r="AF21" s="11">
        <f t="shared" si="5"/>
        <v>2</v>
      </c>
      <c r="AG21" s="11">
        <f t="shared" si="5"/>
        <v>2</v>
      </c>
      <c r="AH21" s="11">
        <f t="shared" si="5"/>
        <v>2</v>
      </c>
      <c r="AI21" s="11">
        <f t="shared" si="5"/>
        <v>2</v>
      </c>
    </row>
    <row r="22" spans="1:41">
      <c r="B22" s="153" t="s">
        <v>106</v>
      </c>
      <c r="C22" s="10" t="s">
        <v>23</v>
      </c>
      <c r="D22" s="11"/>
      <c r="E22" s="11">
        <f t="shared" ref="E22:AI22" si="6">SUMPRODUCT(($C$6:$C$18="OP")*ISNUMBER(SEARCH("-",E$6:E$18)))</f>
        <v>8</v>
      </c>
      <c r="F22" s="11">
        <f t="shared" si="6"/>
        <v>8</v>
      </c>
      <c r="G22" s="11">
        <f t="shared" si="6"/>
        <v>8</v>
      </c>
      <c r="H22" s="11">
        <f t="shared" si="6"/>
        <v>8</v>
      </c>
      <c r="I22" s="11">
        <f t="shared" si="6"/>
        <v>8</v>
      </c>
      <c r="J22" s="11">
        <f t="shared" si="6"/>
        <v>8</v>
      </c>
      <c r="K22" s="11">
        <f t="shared" si="6"/>
        <v>8</v>
      </c>
      <c r="L22" s="11">
        <f t="shared" si="6"/>
        <v>8</v>
      </c>
      <c r="M22" s="11">
        <f t="shared" si="6"/>
        <v>8</v>
      </c>
      <c r="N22" s="11">
        <f t="shared" si="6"/>
        <v>8</v>
      </c>
      <c r="O22" s="11">
        <f t="shared" si="6"/>
        <v>8</v>
      </c>
      <c r="P22" s="11">
        <f t="shared" si="6"/>
        <v>0</v>
      </c>
      <c r="Q22" s="11">
        <f t="shared" si="6"/>
        <v>8</v>
      </c>
      <c r="R22" s="11">
        <f t="shared" si="6"/>
        <v>8</v>
      </c>
      <c r="S22" s="11">
        <f t="shared" si="6"/>
        <v>8</v>
      </c>
      <c r="T22" s="11">
        <f t="shared" si="6"/>
        <v>8</v>
      </c>
      <c r="U22" s="11">
        <f t="shared" si="6"/>
        <v>8</v>
      </c>
      <c r="V22" s="11">
        <f t="shared" si="6"/>
        <v>8</v>
      </c>
      <c r="W22" s="11">
        <f t="shared" si="6"/>
        <v>8</v>
      </c>
      <c r="X22" s="11">
        <f t="shared" si="6"/>
        <v>8</v>
      </c>
      <c r="Y22" s="11">
        <f t="shared" si="6"/>
        <v>8</v>
      </c>
      <c r="Z22" s="11">
        <f t="shared" si="6"/>
        <v>8</v>
      </c>
      <c r="AA22" s="11">
        <f t="shared" si="6"/>
        <v>8</v>
      </c>
      <c r="AB22" s="11">
        <f t="shared" si="6"/>
        <v>8</v>
      </c>
      <c r="AC22" s="11">
        <f t="shared" si="6"/>
        <v>8</v>
      </c>
      <c r="AD22" s="11">
        <f t="shared" si="6"/>
        <v>8</v>
      </c>
      <c r="AE22" s="11">
        <f t="shared" si="6"/>
        <v>8</v>
      </c>
      <c r="AF22" s="11">
        <f t="shared" si="6"/>
        <v>8</v>
      </c>
      <c r="AG22" s="11">
        <f t="shared" si="6"/>
        <v>8</v>
      </c>
      <c r="AH22" s="11">
        <f t="shared" si="6"/>
        <v>8</v>
      </c>
      <c r="AI22" s="11">
        <f t="shared" si="6"/>
        <v>8</v>
      </c>
    </row>
    <row r="23" spans="1:41">
      <c r="B23" s="75" t="s">
        <v>106</v>
      </c>
      <c r="C23" s="74" t="s">
        <v>107</v>
      </c>
      <c r="D23" s="74"/>
      <c r="E23" s="74">
        <f t="shared" ref="E23:AI23" si="7">SUMPRODUCT(--ISNUMBER(SEARCH("-",E$6:E$18)))</f>
        <v>12</v>
      </c>
      <c r="F23" s="74">
        <f t="shared" si="7"/>
        <v>13</v>
      </c>
      <c r="G23" s="74">
        <f t="shared" si="7"/>
        <v>13</v>
      </c>
      <c r="H23" s="74">
        <f t="shared" si="7"/>
        <v>13</v>
      </c>
      <c r="I23" s="74">
        <f t="shared" si="7"/>
        <v>13</v>
      </c>
      <c r="J23" s="74">
        <f t="shared" si="7"/>
        <v>13</v>
      </c>
      <c r="K23" s="74">
        <f t="shared" si="7"/>
        <v>13</v>
      </c>
      <c r="L23" s="74">
        <f t="shared" si="7"/>
        <v>13</v>
      </c>
      <c r="M23" s="74">
        <f t="shared" si="7"/>
        <v>13</v>
      </c>
      <c r="N23" s="74">
        <f t="shared" si="7"/>
        <v>13</v>
      </c>
      <c r="O23" s="74">
        <f t="shared" si="7"/>
        <v>13</v>
      </c>
      <c r="P23" s="74">
        <f t="shared" si="7"/>
        <v>0</v>
      </c>
      <c r="Q23" s="74">
        <f t="shared" si="7"/>
        <v>13</v>
      </c>
      <c r="R23" s="74">
        <f t="shared" si="7"/>
        <v>13</v>
      </c>
      <c r="S23" s="74">
        <f t="shared" si="7"/>
        <v>13</v>
      </c>
      <c r="T23" s="74">
        <f t="shared" si="7"/>
        <v>13</v>
      </c>
      <c r="U23" s="74">
        <f t="shared" si="7"/>
        <v>13</v>
      </c>
      <c r="V23" s="74">
        <f t="shared" si="7"/>
        <v>13</v>
      </c>
      <c r="W23" s="74">
        <f t="shared" si="7"/>
        <v>13</v>
      </c>
      <c r="X23" s="74">
        <f t="shared" si="7"/>
        <v>13</v>
      </c>
      <c r="Y23" s="74">
        <f t="shared" si="7"/>
        <v>13</v>
      </c>
      <c r="Z23" s="74">
        <f t="shared" si="7"/>
        <v>13</v>
      </c>
      <c r="AA23" s="74">
        <f t="shared" si="7"/>
        <v>13</v>
      </c>
      <c r="AB23" s="74">
        <f t="shared" si="7"/>
        <v>13</v>
      </c>
      <c r="AC23" s="74">
        <f t="shared" si="7"/>
        <v>13</v>
      </c>
      <c r="AD23" s="74">
        <f t="shared" si="7"/>
        <v>13</v>
      </c>
      <c r="AE23" s="74">
        <f t="shared" si="7"/>
        <v>13</v>
      </c>
      <c r="AF23" s="74">
        <f t="shared" si="7"/>
        <v>13</v>
      </c>
      <c r="AG23" s="74">
        <f t="shared" si="7"/>
        <v>13</v>
      </c>
      <c r="AH23" s="74">
        <f t="shared" si="7"/>
        <v>13</v>
      </c>
      <c r="AI23" s="74">
        <f t="shared" si="7"/>
        <v>13</v>
      </c>
    </row>
    <row r="25" spans="1:41" ht="27.95" customHeight="1">
      <c r="B25" s="86" t="s">
        <v>126</v>
      </c>
      <c r="C25" s="80" t="s">
        <v>4497</v>
      </c>
      <c r="D25" s="80" t="s">
        <v>127</v>
      </c>
      <c r="E25" s="81">
        <f t="shared" ref="E25:AI25" si="8">E$4</f>
        <v>46296</v>
      </c>
      <c r="F25" s="81">
        <f t="shared" si="8"/>
        <v>46297</v>
      </c>
      <c r="G25" s="81">
        <f t="shared" si="8"/>
        <v>46298</v>
      </c>
      <c r="H25" s="81">
        <f t="shared" si="8"/>
        <v>46299</v>
      </c>
      <c r="I25" s="81">
        <f t="shared" si="8"/>
        <v>46300</v>
      </c>
      <c r="J25" s="81">
        <f t="shared" si="8"/>
        <v>46301</v>
      </c>
      <c r="K25" s="81">
        <f t="shared" si="8"/>
        <v>46302</v>
      </c>
      <c r="L25" s="81">
        <f t="shared" si="8"/>
        <v>46303</v>
      </c>
      <c r="M25" s="81">
        <f t="shared" si="8"/>
        <v>46304</v>
      </c>
      <c r="N25" s="81">
        <f t="shared" si="8"/>
        <v>46305</v>
      </c>
      <c r="O25" s="81">
        <f t="shared" si="8"/>
        <v>46306</v>
      </c>
      <c r="P25" s="81">
        <f t="shared" si="8"/>
        <v>46307</v>
      </c>
      <c r="Q25" s="81">
        <f t="shared" si="8"/>
        <v>46308</v>
      </c>
      <c r="R25" s="81">
        <f t="shared" si="8"/>
        <v>46309</v>
      </c>
      <c r="S25" s="81">
        <f t="shared" si="8"/>
        <v>46310</v>
      </c>
      <c r="T25" s="81">
        <f t="shared" si="8"/>
        <v>46311</v>
      </c>
      <c r="U25" s="81">
        <f t="shared" si="8"/>
        <v>46312</v>
      </c>
      <c r="V25" s="81">
        <f t="shared" si="8"/>
        <v>46313</v>
      </c>
      <c r="W25" s="81">
        <f t="shared" si="8"/>
        <v>46314</v>
      </c>
      <c r="X25" s="81">
        <f t="shared" si="8"/>
        <v>46315</v>
      </c>
      <c r="Y25" s="81">
        <f t="shared" si="8"/>
        <v>46316</v>
      </c>
      <c r="Z25" s="81">
        <f t="shared" si="8"/>
        <v>46317</v>
      </c>
      <c r="AA25" s="81">
        <f t="shared" si="8"/>
        <v>46318</v>
      </c>
      <c r="AB25" s="81">
        <f t="shared" si="8"/>
        <v>46319</v>
      </c>
      <c r="AC25" s="81">
        <f t="shared" si="8"/>
        <v>46320</v>
      </c>
      <c r="AD25" s="81">
        <f t="shared" si="8"/>
        <v>46321</v>
      </c>
      <c r="AE25" s="81">
        <f t="shared" si="8"/>
        <v>46322</v>
      </c>
      <c r="AF25" s="81">
        <f t="shared" si="8"/>
        <v>46323</v>
      </c>
      <c r="AG25" s="81">
        <f t="shared" si="8"/>
        <v>46324</v>
      </c>
      <c r="AH25" s="81">
        <f t="shared" si="8"/>
        <v>46325</v>
      </c>
      <c r="AI25" s="81">
        <f t="shared" si="8"/>
        <v>46326</v>
      </c>
      <c r="AJ25" s="5" t="s">
        <v>128</v>
      </c>
    </row>
    <row r="26" spans="1:41">
      <c r="B26" s="87" t="s">
        <v>213</v>
      </c>
      <c r="C26" s="82" t="s">
        <v>23</v>
      </c>
      <c r="D26" s="83">
        <f>IFERROR(INDEX(①各種設定!$K$5:$K$51,MATCH($B26,①各種設定!$J$5:$J$51,0)),0)</f>
        <v>3</v>
      </c>
      <c r="E26" s="82">
        <f t="shared" ref="E26:AI26" si="9">SUMPRODUCT(($C$6:$C$18="OP")*ISNUMBER(SEARCH("-",E$6:E$18)))</f>
        <v>8</v>
      </c>
      <c r="F26" s="82">
        <f t="shared" si="9"/>
        <v>8</v>
      </c>
      <c r="G26" s="84">
        <f t="shared" si="9"/>
        <v>8</v>
      </c>
      <c r="H26" s="84">
        <f t="shared" si="9"/>
        <v>8</v>
      </c>
      <c r="I26" s="82">
        <f t="shared" si="9"/>
        <v>8</v>
      </c>
      <c r="J26" s="82">
        <f t="shared" si="9"/>
        <v>8</v>
      </c>
      <c r="K26" s="82">
        <f t="shared" si="9"/>
        <v>8</v>
      </c>
      <c r="L26" s="82">
        <f t="shared" si="9"/>
        <v>8</v>
      </c>
      <c r="M26" s="82">
        <f t="shared" si="9"/>
        <v>8</v>
      </c>
      <c r="N26" s="84">
        <f t="shared" si="9"/>
        <v>8</v>
      </c>
      <c r="O26" s="84">
        <f t="shared" si="9"/>
        <v>8</v>
      </c>
      <c r="P26" s="84">
        <f t="shared" si="9"/>
        <v>0</v>
      </c>
      <c r="Q26" s="82">
        <f t="shared" si="9"/>
        <v>8</v>
      </c>
      <c r="R26" s="82">
        <f t="shared" si="9"/>
        <v>8</v>
      </c>
      <c r="S26" s="82">
        <f t="shared" si="9"/>
        <v>8</v>
      </c>
      <c r="T26" s="82">
        <f t="shared" si="9"/>
        <v>8</v>
      </c>
      <c r="U26" s="84">
        <f t="shared" si="9"/>
        <v>8</v>
      </c>
      <c r="V26" s="84">
        <f t="shared" si="9"/>
        <v>8</v>
      </c>
      <c r="W26" s="82">
        <f t="shared" si="9"/>
        <v>8</v>
      </c>
      <c r="X26" s="82">
        <f t="shared" si="9"/>
        <v>8</v>
      </c>
      <c r="Y26" s="82">
        <f t="shared" si="9"/>
        <v>8</v>
      </c>
      <c r="Z26" s="82">
        <f t="shared" si="9"/>
        <v>8</v>
      </c>
      <c r="AA26" s="82">
        <f t="shared" si="9"/>
        <v>8</v>
      </c>
      <c r="AB26" s="84">
        <f t="shared" si="9"/>
        <v>8</v>
      </c>
      <c r="AC26" s="84">
        <f t="shared" si="9"/>
        <v>8</v>
      </c>
      <c r="AD26" s="82">
        <f t="shared" si="9"/>
        <v>8</v>
      </c>
      <c r="AE26" s="82">
        <f t="shared" si="9"/>
        <v>8</v>
      </c>
      <c r="AF26" s="82">
        <f t="shared" si="9"/>
        <v>8</v>
      </c>
      <c r="AG26" s="82">
        <f t="shared" si="9"/>
        <v>8</v>
      </c>
      <c r="AH26" s="82">
        <f t="shared" si="9"/>
        <v>8</v>
      </c>
      <c r="AI26" s="84">
        <f t="shared" si="9"/>
        <v>8</v>
      </c>
      <c r="AJ26" s="11">
        <f t="shared" ref="AJ26:AJ36" si="10">IF($D26&gt;0,SUMPRODUCT((E26:AI26&lt;$D26)*(E$37:AI$37&lt;&gt;"－")),"－")</f>
        <v>0</v>
      </c>
    </row>
    <row r="27" spans="1:41">
      <c r="B27" s="153" t="s">
        <v>56</v>
      </c>
      <c r="C27" s="11" t="s">
        <v>23</v>
      </c>
      <c r="D27" s="154">
        <f>IFERROR(INDEX(①各種設定!$K$5:$K$51,MATCH($B27,①各種設定!$J$5:$J$51,0)),0)</f>
        <v>2</v>
      </c>
      <c r="E27" s="11">
        <f>SUMPRODUCT(($C$6:$C$18="OP")*ISNUMBER(SEARCH("-",E$6:E$18))*(COUNTIFS(②メンバー!$B$5:$B$104,$B$6:$B$18,②メンバー!$X$5:$X$104,"○")&gt;0))</f>
        <v>6</v>
      </c>
      <c r="F27" s="11">
        <f>SUMPRODUCT(($C$6:$C$18="OP")*ISNUMBER(SEARCH("-",F$6:F$18))*(COUNTIFS(②メンバー!$B$5:$B$104,$B$6:$B$18,②メンバー!$X$5:$X$104,"○")&gt;0))</f>
        <v>6</v>
      </c>
      <c r="G27" s="85">
        <f>SUMPRODUCT(($C$6:$C$18="OP")*ISNUMBER(SEARCH("-",G$6:G$18))*(COUNTIFS(②メンバー!$B$5:$B$104,$B$6:$B$18,②メンバー!$X$5:$X$104,"○")&gt;0))</f>
        <v>6</v>
      </c>
      <c r="H27" s="85">
        <f>SUMPRODUCT(($C$6:$C$18="OP")*ISNUMBER(SEARCH("-",H$6:H$18))*(COUNTIFS(②メンバー!$B$5:$B$104,$B$6:$B$18,②メンバー!$X$5:$X$104,"○")&gt;0))</f>
        <v>6</v>
      </c>
      <c r="I27" s="11">
        <f>SUMPRODUCT(($C$6:$C$18="OP")*ISNUMBER(SEARCH("-",I$6:I$18))*(COUNTIFS(②メンバー!$B$5:$B$104,$B$6:$B$18,②メンバー!$X$5:$X$104,"○")&gt;0))</f>
        <v>6</v>
      </c>
      <c r="J27" s="11">
        <f>SUMPRODUCT(($C$6:$C$18="OP")*ISNUMBER(SEARCH("-",J$6:J$18))*(COUNTIFS(②メンバー!$B$5:$B$104,$B$6:$B$18,②メンバー!$X$5:$X$104,"○")&gt;0))</f>
        <v>6</v>
      </c>
      <c r="K27" s="11">
        <f>SUMPRODUCT(($C$6:$C$18="OP")*ISNUMBER(SEARCH("-",K$6:K$18))*(COUNTIFS(②メンバー!$B$5:$B$104,$B$6:$B$18,②メンバー!$X$5:$X$104,"○")&gt;0))</f>
        <v>6</v>
      </c>
      <c r="L27" s="11">
        <f>SUMPRODUCT(($C$6:$C$18="OP")*ISNUMBER(SEARCH("-",L$6:L$18))*(COUNTIFS(②メンバー!$B$5:$B$104,$B$6:$B$18,②メンバー!$X$5:$X$104,"○")&gt;0))</f>
        <v>6</v>
      </c>
      <c r="M27" s="11">
        <f>SUMPRODUCT(($C$6:$C$18="OP")*ISNUMBER(SEARCH("-",M$6:M$18))*(COUNTIFS(②メンバー!$B$5:$B$104,$B$6:$B$18,②メンバー!$X$5:$X$104,"○")&gt;0))</f>
        <v>6</v>
      </c>
      <c r="N27" s="85">
        <f>SUMPRODUCT(($C$6:$C$18="OP")*ISNUMBER(SEARCH("-",N$6:N$18))*(COUNTIFS(②メンバー!$B$5:$B$104,$B$6:$B$18,②メンバー!$X$5:$X$104,"○")&gt;0))</f>
        <v>6</v>
      </c>
      <c r="O27" s="85">
        <f>SUMPRODUCT(($C$6:$C$18="OP")*ISNUMBER(SEARCH("-",O$6:O$18))*(COUNTIFS(②メンバー!$B$5:$B$104,$B$6:$B$18,②メンバー!$X$5:$X$104,"○")&gt;0))</f>
        <v>6</v>
      </c>
      <c r="P27" s="85">
        <f>SUMPRODUCT(($C$6:$C$18="OP")*ISNUMBER(SEARCH("-",P$6:P$18))*(COUNTIFS(②メンバー!$B$5:$B$104,$B$6:$B$18,②メンバー!$X$5:$X$104,"○")&gt;0))</f>
        <v>0</v>
      </c>
      <c r="Q27" s="11">
        <f>SUMPRODUCT(($C$6:$C$18="OP")*ISNUMBER(SEARCH("-",Q$6:Q$18))*(COUNTIFS(②メンバー!$B$5:$B$104,$B$6:$B$18,②メンバー!$X$5:$X$104,"○")&gt;0))</f>
        <v>6</v>
      </c>
      <c r="R27" s="11">
        <f>SUMPRODUCT(($C$6:$C$18="OP")*ISNUMBER(SEARCH("-",R$6:R$18))*(COUNTIFS(②メンバー!$B$5:$B$104,$B$6:$B$18,②メンバー!$X$5:$X$104,"○")&gt;0))</f>
        <v>6</v>
      </c>
      <c r="S27" s="11">
        <f>SUMPRODUCT(($C$6:$C$18="OP")*ISNUMBER(SEARCH("-",S$6:S$18))*(COUNTIFS(②メンバー!$B$5:$B$104,$B$6:$B$18,②メンバー!$X$5:$X$104,"○")&gt;0))</f>
        <v>6</v>
      </c>
      <c r="T27" s="11">
        <f>SUMPRODUCT(($C$6:$C$18="OP")*ISNUMBER(SEARCH("-",T$6:T$18))*(COUNTIFS(②メンバー!$B$5:$B$104,$B$6:$B$18,②メンバー!$X$5:$X$104,"○")&gt;0))</f>
        <v>6</v>
      </c>
      <c r="U27" s="85">
        <f>SUMPRODUCT(($C$6:$C$18="OP")*ISNUMBER(SEARCH("-",U$6:U$18))*(COUNTIFS(②メンバー!$B$5:$B$104,$B$6:$B$18,②メンバー!$X$5:$X$104,"○")&gt;0))</f>
        <v>6</v>
      </c>
      <c r="V27" s="85">
        <f>SUMPRODUCT(($C$6:$C$18="OP")*ISNUMBER(SEARCH("-",V$6:V$18))*(COUNTIFS(②メンバー!$B$5:$B$104,$B$6:$B$18,②メンバー!$X$5:$X$104,"○")&gt;0))</f>
        <v>6</v>
      </c>
      <c r="W27" s="11">
        <f>SUMPRODUCT(($C$6:$C$18="OP")*ISNUMBER(SEARCH("-",W$6:W$18))*(COUNTIFS(②メンバー!$B$5:$B$104,$B$6:$B$18,②メンバー!$X$5:$X$104,"○")&gt;0))</f>
        <v>6</v>
      </c>
      <c r="X27" s="11">
        <f>SUMPRODUCT(($C$6:$C$18="OP")*ISNUMBER(SEARCH("-",X$6:X$18))*(COUNTIFS(②メンバー!$B$5:$B$104,$B$6:$B$18,②メンバー!$X$5:$X$104,"○")&gt;0))</f>
        <v>6</v>
      </c>
      <c r="Y27" s="11">
        <f>SUMPRODUCT(($C$6:$C$18="OP")*ISNUMBER(SEARCH("-",Y$6:Y$18))*(COUNTIFS(②メンバー!$B$5:$B$104,$B$6:$B$18,②メンバー!$X$5:$X$104,"○")&gt;0))</f>
        <v>6</v>
      </c>
      <c r="Z27" s="11">
        <f>SUMPRODUCT(($C$6:$C$18="OP")*ISNUMBER(SEARCH("-",Z$6:Z$18))*(COUNTIFS(②メンバー!$B$5:$B$104,$B$6:$B$18,②メンバー!$X$5:$X$104,"○")&gt;0))</f>
        <v>6</v>
      </c>
      <c r="AA27" s="11">
        <f>SUMPRODUCT(($C$6:$C$18="OP")*ISNUMBER(SEARCH("-",AA$6:AA$18))*(COUNTIFS(②メンバー!$B$5:$B$104,$B$6:$B$18,②メンバー!$X$5:$X$104,"○")&gt;0))</f>
        <v>6</v>
      </c>
      <c r="AB27" s="85">
        <f>SUMPRODUCT(($C$6:$C$18="OP")*ISNUMBER(SEARCH("-",AB$6:AB$18))*(COUNTIFS(②メンバー!$B$5:$B$104,$B$6:$B$18,②メンバー!$X$5:$X$104,"○")&gt;0))</f>
        <v>6</v>
      </c>
      <c r="AC27" s="85">
        <f>SUMPRODUCT(($C$6:$C$18="OP")*ISNUMBER(SEARCH("-",AC$6:AC$18))*(COUNTIFS(②メンバー!$B$5:$B$104,$B$6:$B$18,②メンバー!$X$5:$X$104,"○")&gt;0))</f>
        <v>6</v>
      </c>
      <c r="AD27" s="11">
        <f>SUMPRODUCT(($C$6:$C$18="OP")*ISNUMBER(SEARCH("-",AD$6:AD$18))*(COUNTIFS(②メンバー!$B$5:$B$104,$B$6:$B$18,②メンバー!$X$5:$X$104,"○")&gt;0))</f>
        <v>6</v>
      </c>
      <c r="AE27" s="11">
        <f>SUMPRODUCT(($C$6:$C$18="OP")*ISNUMBER(SEARCH("-",AE$6:AE$18))*(COUNTIFS(②メンバー!$B$5:$B$104,$B$6:$B$18,②メンバー!$X$5:$X$104,"○")&gt;0))</f>
        <v>6</v>
      </c>
      <c r="AF27" s="11">
        <f>SUMPRODUCT(($C$6:$C$18="OP")*ISNUMBER(SEARCH("-",AF$6:AF$18))*(COUNTIFS(②メンバー!$B$5:$B$104,$B$6:$B$18,②メンバー!$X$5:$X$104,"○")&gt;0))</f>
        <v>6</v>
      </c>
      <c r="AG27" s="11">
        <f>SUMPRODUCT(($C$6:$C$18="OP")*ISNUMBER(SEARCH("-",AG$6:AG$18))*(COUNTIFS(②メンバー!$B$5:$B$104,$B$6:$B$18,②メンバー!$X$5:$X$104,"○")&gt;0))</f>
        <v>6</v>
      </c>
      <c r="AH27" s="11">
        <f>SUMPRODUCT(($C$6:$C$18="OP")*ISNUMBER(SEARCH("-",AH$6:AH$18))*(COUNTIFS(②メンバー!$B$5:$B$104,$B$6:$B$18,②メンバー!$X$5:$X$104,"○")&gt;0))</f>
        <v>6</v>
      </c>
      <c r="AI27" s="85">
        <f>SUMPRODUCT(($C$6:$C$18="OP")*ISNUMBER(SEARCH("-",AI$6:AI$18))*(COUNTIFS(②メンバー!$B$5:$B$104,$B$6:$B$18,②メンバー!$X$5:$X$104,"○")&gt;0))</f>
        <v>6</v>
      </c>
      <c r="AJ27" s="11">
        <f t="shared" si="10"/>
        <v>0</v>
      </c>
    </row>
    <row r="28" spans="1:41">
      <c r="B28" s="153" t="s">
        <v>122</v>
      </c>
      <c r="C28" s="11" t="s">
        <v>23</v>
      </c>
      <c r="D28" s="154">
        <f>IFERROR(INDEX(①各種設定!$K$5:$K$51,MATCH($B28,①各種設定!$J$5:$J$51,0)),0)</f>
        <v>2</v>
      </c>
      <c r="E28" s="11">
        <f>SUMPRODUCT(($C$6:$C$18="OP")*ISNUMBER(SEARCH("-",E$6:E$18))*(COUNTIFS(②メンバー!$B$5:$B$104,$B$6:$B$18,②メンバー!$Y$5:$Y$104,"○")&gt;0))</f>
        <v>4</v>
      </c>
      <c r="F28" s="11">
        <f>SUMPRODUCT(($C$6:$C$18="OP")*ISNUMBER(SEARCH("-",F$6:F$18))*(COUNTIFS(②メンバー!$B$5:$B$104,$B$6:$B$18,②メンバー!$Y$5:$Y$104,"○")&gt;0))</f>
        <v>4</v>
      </c>
      <c r="G28" s="85">
        <f>SUMPRODUCT(($C$6:$C$18="OP")*ISNUMBER(SEARCH("-",G$6:G$18))*(COUNTIFS(②メンバー!$B$5:$B$104,$B$6:$B$18,②メンバー!$Y$5:$Y$104,"○")&gt;0))</f>
        <v>4</v>
      </c>
      <c r="H28" s="85">
        <f>SUMPRODUCT(($C$6:$C$18="OP")*ISNUMBER(SEARCH("-",H$6:H$18))*(COUNTIFS(②メンバー!$B$5:$B$104,$B$6:$B$18,②メンバー!$Y$5:$Y$104,"○")&gt;0))</f>
        <v>4</v>
      </c>
      <c r="I28" s="11">
        <f>SUMPRODUCT(($C$6:$C$18="OP")*ISNUMBER(SEARCH("-",I$6:I$18))*(COUNTIFS(②メンバー!$B$5:$B$104,$B$6:$B$18,②メンバー!$Y$5:$Y$104,"○")&gt;0))</f>
        <v>4</v>
      </c>
      <c r="J28" s="11">
        <f>SUMPRODUCT(($C$6:$C$18="OP")*ISNUMBER(SEARCH("-",J$6:J$18))*(COUNTIFS(②メンバー!$B$5:$B$104,$B$6:$B$18,②メンバー!$Y$5:$Y$104,"○")&gt;0))</f>
        <v>4</v>
      </c>
      <c r="K28" s="11">
        <f>SUMPRODUCT(($C$6:$C$18="OP")*ISNUMBER(SEARCH("-",K$6:K$18))*(COUNTIFS(②メンバー!$B$5:$B$104,$B$6:$B$18,②メンバー!$Y$5:$Y$104,"○")&gt;0))</f>
        <v>4</v>
      </c>
      <c r="L28" s="11">
        <f>SUMPRODUCT(($C$6:$C$18="OP")*ISNUMBER(SEARCH("-",L$6:L$18))*(COUNTIFS(②メンバー!$B$5:$B$104,$B$6:$B$18,②メンバー!$Y$5:$Y$104,"○")&gt;0))</f>
        <v>4</v>
      </c>
      <c r="M28" s="11">
        <f>SUMPRODUCT(($C$6:$C$18="OP")*ISNUMBER(SEARCH("-",M$6:M$18))*(COUNTIFS(②メンバー!$B$5:$B$104,$B$6:$B$18,②メンバー!$Y$5:$Y$104,"○")&gt;0))</f>
        <v>4</v>
      </c>
      <c r="N28" s="85">
        <f>SUMPRODUCT(($C$6:$C$18="OP")*ISNUMBER(SEARCH("-",N$6:N$18))*(COUNTIFS(②メンバー!$B$5:$B$104,$B$6:$B$18,②メンバー!$Y$5:$Y$104,"○")&gt;0))</f>
        <v>4</v>
      </c>
      <c r="O28" s="85">
        <f>SUMPRODUCT(($C$6:$C$18="OP")*ISNUMBER(SEARCH("-",O$6:O$18))*(COUNTIFS(②メンバー!$B$5:$B$104,$B$6:$B$18,②メンバー!$Y$5:$Y$104,"○")&gt;0))</f>
        <v>4</v>
      </c>
      <c r="P28" s="85">
        <f>SUMPRODUCT(($C$6:$C$18="OP")*ISNUMBER(SEARCH("-",P$6:P$18))*(COUNTIFS(②メンバー!$B$5:$B$104,$B$6:$B$18,②メンバー!$Y$5:$Y$104,"○")&gt;0))</f>
        <v>0</v>
      </c>
      <c r="Q28" s="11">
        <f>SUMPRODUCT(($C$6:$C$18="OP")*ISNUMBER(SEARCH("-",Q$6:Q$18))*(COUNTIFS(②メンバー!$B$5:$B$104,$B$6:$B$18,②メンバー!$Y$5:$Y$104,"○")&gt;0))</f>
        <v>4</v>
      </c>
      <c r="R28" s="11">
        <f>SUMPRODUCT(($C$6:$C$18="OP")*ISNUMBER(SEARCH("-",R$6:R$18))*(COUNTIFS(②メンバー!$B$5:$B$104,$B$6:$B$18,②メンバー!$Y$5:$Y$104,"○")&gt;0))</f>
        <v>4</v>
      </c>
      <c r="S28" s="11">
        <f>SUMPRODUCT(($C$6:$C$18="OP")*ISNUMBER(SEARCH("-",S$6:S$18))*(COUNTIFS(②メンバー!$B$5:$B$104,$B$6:$B$18,②メンバー!$Y$5:$Y$104,"○")&gt;0))</f>
        <v>4</v>
      </c>
      <c r="T28" s="11">
        <f>SUMPRODUCT(($C$6:$C$18="OP")*ISNUMBER(SEARCH("-",T$6:T$18))*(COUNTIFS(②メンバー!$B$5:$B$104,$B$6:$B$18,②メンバー!$Y$5:$Y$104,"○")&gt;0))</f>
        <v>4</v>
      </c>
      <c r="U28" s="85">
        <f>SUMPRODUCT(($C$6:$C$18="OP")*ISNUMBER(SEARCH("-",U$6:U$18))*(COUNTIFS(②メンバー!$B$5:$B$104,$B$6:$B$18,②メンバー!$Y$5:$Y$104,"○")&gt;0))</f>
        <v>4</v>
      </c>
      <c r="V28" s="85">
        <f>SUMPRODUCT(($C$6:$C$18="OP")*ISNUMBER(SEARCH("-",V$6:V$18))*(COUNTIFS(②メンバー!$B$5:$B$104,$B$6:$B$18,②メンバー!$Y$5:$Y$104,"○")&gt;0))</f>
        <v>4</v>
      </c>
      <c r="W28" s="11">
        <f>SUMPRODUCT(($C$6:$C$18="OP")*ISNUMBER(SEARCH("-",W$6:W$18))*(COUNTIFS(②メンバー!$B$5:$B$104,$B$6:$B$18,②メンバー!$Y$5:$Y$104,"○")&gt;0))</f>
        <v>4</v>
      </c>
      <c r="X28" s="11">
        <f>SUMPRODUCT(($C$6:$C$18="OP")*ISNUMBER(SEARCH("-",X$6:X$18))*(COUNTIFS(②メンバー!$B$5:$B$104,$B$6:$B$18,②メンバー!$Y$5:$Y$104,"○")&gt;0))</f>
        <v>4</v>
      </c>
      <c r="Y28" s="11">
        <f>SUMPRODUCT(($C$6:$C$18="OP")*ISNUMBER(SEARCH("-",Y$6:Y$18))*(COUNTIFS(②メンバー!$B$5:$B$104,$B$6:$B$18,②メンバー!$Y$5:$Y$104,"○")&gt;0))</f>
        <v>4</v>
      </c>
      <c r="Z28" s="11">
        <f>SUMPRODUCT(($C$6:$C$18="OP")*ISNUMBER(SEARCH("-",Z$6:Z$18))*(COUNTIFS(②メンバー!$B$5:$B$104,$B$6:$B$18,②メンバー!$Y$5:$Y$104,"○")&gt;0))</f>
        <v>4</v>
      </c>
      <c r="AA28" s="11">
        <f>SUMPRODUCT(($C$6:$C$18="OP")*ISNUMBER(SEARCH("-",AA$6:AA$18))*(COUNTIFS(②メンバー!$B$5:$B$104,$B$6:$B$18,②メンバー!$Y$5:$Y$104,"○")&gt;0))</f>
        <v>4</v>
      </c>
      <c r="AB28" s="85">
        <f>SUMPRODUCT(($C$6:$C$18="OP")*ISNUMBER(SEARCH("-",AB$6:AB$18))*(COUNTIFS(②メンバー!$B$5:$B$104,$B$6:$B$18,②メンバー!$Y$5:$Y$104,"○")&gt;0))</f>
        <v>4</v>
      </c>
      <c r="AC28" s="85">
        <f>SUMPRODUCT(($C$6:$C$18="OP")*ISNUMBER(SEARCH("-",AC$6:AC$18))*(COUNTIFS(②メンバー!$B$5:$B$104,$B$6:$B$18,②メンバー!$Y$5:$Y$104,"○")&gt;0))</f>
        <v>4</v>
      </c>
      <c r="AD28" s="11">
        <f>SUMPRODUCT(($C$6:$C$18="OP")*ISNUMBER(SEARCH("-",AD$6:AD$18))*(COUNTIFS(②メンバー!$B$5:$B$104,$B$6:$B$18,②メンバー!$Y$5:$Y$104,"○")&gt;0))</f>
        <v>4</v>
      </c>
      <c r="AE28" s="11">
        <f>SUMPRODUCT(($C$6:$C$18="OP")*ISNUMBER(SEARCH("-",AE$6:AE$18))*(COUNTIFS(②メンバー!$B$5:$B$104,$B$6:$B$18,②メンバー!$Y$5:$Y$104,"○")&gt;0))</f>
        <v>4</v>
      </c>
      <c r="AF28" s="11">
        <f>SUMPRODUCT(($C$6:$C$18="OP")*ISNUMBER(SEARCH("-",AF$6:AF$18))*(COUNTIFS(②メンバー!$B$5:$B$104,$B$6:$B$18,②メンバー!$Y$5:$Y$104,"○")&gt;0))</f>
        <v>4</v>
      </c>
      <c r="AG28" s="11">
        <f>SUMPRODUCT(($C$6:$C$18="OP")*ISNUMBER(SEARCH("-",AG$6:AG$18))*(COUNTIFS(②メンバー!$B$5:$B$104,$B$6:$B$18,②メンバー!$Y$5:$Y$104,"○")&gt;0))</f>
        <v>4</v>
      </c>
      <c r="AH28" s="11">
        <f>SUMPRODUCT(($C$6:$C$18="OP")*ISNUMBER(SEARCH("-",AH$6:AH$18))*(COUNTIFS(②メンバー!$B$5:$B$104,$B$6:$B$18,②メンバー!$Y$5:$Y$104,"○")&gt;0))</f>
        <v>4</v>
      </c>
      <c r="AI28" s="85">
        <f>SUMPRODUCT(($C$6:$C$18="OP")*ISNUMBER(SEARCH("-",AI$6:AI$18))*(COUNTIFS(②メンバー!$B$5:$B$104,$B$6:$B$18,②メンバー!$Y$5:$Y$104,"○")&gt;0))</f>
        <v>4</v>
      </c>
      <c r="AJ28" s="11">
        <f t="shared" si="10"/>
        <v>0</v>
      </c>
    </row>
    <row r="29" spans="1:41">
      <c r="B29" s="153" t="s">
        <v>133</v>
      </c>
      <c r="C29" s="11" t="s">
        <v>23</v>
      </c>
      <c r="D29" s="154">
        <f>IFERROR(INDEX(①各種設定!$K$5:$K$51,MATCH($B29,①各種設定!$J$5:$J$51,0)),0)</f>
        <v>1</v>
      </c>
      <c r="E29" s="11">
        <f>SUMPRODUCT(($C$6:$C$18="OP")*ISNUMBER(SEARCH("-",E$6:E$18))*(COUNTIFS(②メンバー!$B$5:$B$104,$B$6:$B$18,②メンバー!$Z$5:$Z$104,"○")&gt;0))</f>
        <v>6</v>
      </c>
      <c r="F29" s="11">
        <f>SUMPRODUCT(($C$6:$C$18="OP")*ISNUMBER(SEARCH("-",F$6:F$18))*(COUNTIFS(②メンバー!$B$5:$B$104,$B$6:$B$18,②メンバー!$Z$5:$Z$104,"○")&gt;0))</f>
        <v>6</v>
      </c>
      <c r="G29" s="85">
        <f>SUMPRODUCT(($C$6:$C$18="OP")*ISNUMBER(SEARCH("-",G$6:G$18))*(COUNTIFS(②メンバー!$B$5:$B$104,$B$6:$B$18,②メンバー!$Z$5:$Z$104,"○")&gt;0))</f>
        <v>6</v>
      </c>
      <c r="H29" s="85">
        <f>SUMPRODUCT(($C$6:$C$18="OP")*ISNUMBER(SEARCH("-",H$6:H$18))*(COUNTIFS(②メンバー!$B$5:$B$104,$B$6:$B$18,②メンバー!$Z$5:$Z$104,"○")&gt;0))</f>
        <v>6</v>
      </c>
      <c r="I29" s="11">
        <f>SUMPRODUCT(($C$6:$C$18="OP")*ISNUMBER(SEARCH("-",I$6:I$18))*(COUNTIFS(②メンバー!$B$5:$B$104,$B$6:$B$18,②メンバー!$Z$5:$Z$104,"○")&gt;0))</f>
        <v>6</v>
      </c>
      <c r="J29" s="11">
        <f>SUMPRODUCT(($C$6:$C$18="OP")*ISNUMBER(SEARCH("-",J$6:J$18))*(COUNTIFS(②メンバー!$B$5:$B$104,$B$6:$B$18,②メンバー!$Z$5:$Z$104,"○")&gt;0))</f>
        <v>6</v>
      </c>
      <c r="K29" s="11">
        <f>SUMPRODUCT(($C$6:$C$18="OP")*ISNUMBER(SEARCH("-",K$6:K$18))*(COUNTIFS(②メンバー!$B$5:$B$104,$B$6:$B$18,②メンバー!$Z$5:$Z$104,"○")&gt;0))</f>
        <v>6</v>
      </c>
      <c r="L29" s="11">
        <f>SUMPRODUCT(($C$6:$C$18="OP")*ISNUMBER(SEARCH("-",L$6:L$18))*(COUNTIFS(②メンバー!$B$5:$B$104,$B$6:$B$18,②メンバー!$Z$5:$Z$104,"○")&gt;0))</f>
        <v>6</v>
      </c>
      <c r="M29" s="11">
        <f>SUMPRODUCT(($C$6:$C$18="OP")*ISNUMBER(SEARCH("-",M$6:M$18))*(COUNTIFS(②メンバー!$B$5:$B$104,$B$6:$B$18,②メンバー!$Z$5:$Z$104,"○")&gt;0))</f>
        <v>6</v>
      </c>
      <c r="N29" s="85">
        <f>SUMPRODUCT(($C$6:$C$18="OP")*ISNUMBER(SEARCH("-",N$6:N$18))*(COUNTIFS(②メンバー!$B$5:$B$104,$B$6:$B$18,②メンバー!$Z$5:$Z$104,"○")&gt;0))</f>
        <v>6</v>
      </c>
      <c r="O29" s="85">
        <f>SUMPRODUCT(($C$6:$C$18="OP")*ISNUMBER(SEARCH("-",O$6:O$18))*(COUNTIFS(②メンバー!$B$5:$B$104,$B$6:$B$18,②メンバー!$Z$5:$Z$104,"○")&gt;0))</f>
        <v>6</v>
      </c>
      <c r="P29" s="85">
        <f>SUMPRODUCT(($C$6:$C$18="OP")*ISNUMBER(SEARCH("-",P$6:P$18))*(COUNTIFS(②メンバー!$B$5:$B$104,$B$6:$B$18,②メンバー!$Z$5:$Z$104,"○")&gt;0))</f>
        <v>0</v>
      </c>
      <c r="Q29" s="11">
        <f>SUMPRODUCT(($C$6:$C$18="OP")*ISNUMBER(SEARCH("-",Q$6:Q$18))*(COUNTIFS(②メンバー!$B$5:$B$104,$B$6:$B$18,②メンバー!$Z$5:$Z$104,"○")&gt;0))</f>
        <v>6</v>
      </c>
      <c r="R29" s="11">
        <f>SUMPRODUCT(($C$6:$C$18="OP")*ISNUMBER(SEARCH("-",R$6:R$18))*(COUNTIFS(②メンバー!$B$5:$B$104,$B$6:$B$18,②メンバー!$Z$5:$Z$104,"○")&gt;0))</f>
        <v>6</v>
      </c>
      <c r="S29" s="11">
        <f>SUMPRODUCT(($C$6:$C$18="OP")*ISNUMBER(SEARCH("-",S$6:S$18))*(COUNTIFS(②メンバー!$B$5:$B$104,$B$6:$B$18,②メンバー!$Z$5:$Z$104,"○")&gt;0))</f>
        <v>6</v>
      </c>
      <c r="T29" s="11">
        <f>SUMPRODUCT(($C$6:$C$18="OP")*ISNUMBER(SEARCH("-",T$6:T$18))*(COUNTIFS(②メンバー!$B$5:$B$104,$B$6:$B$18,②メンバー!$Z$5:$Z$104,"○")&gt;0))</f>
        <v>6</v>
      </c>
      <c r="U29" s="85">
        <f>SUMPRODUCT(($C$6:$C$18="OP")*ISNUMBER(SEARCH("-",U$6:U$18))*(COUNTIFS(②メンバー!$B$5:$B$104,$B$6:$B$18,②メンバー!$Z$5:$Z$104,"○")&gt;0))</f>
        <v>6</v>
      </c>
      <c r="V29" s="85">
        <f>SUMPRODUCT(($C$6:$C$18="OP")*ISNUMBER(SEARCH("-",V$6:V$18))*(COUNTIFS(②メンバー!$B$5:$B$104,$B$6:$B$18,②メンバー!$Z$5:$Z$104,"○")&gt;0))</f>
        <v>6</v>
      </c>
      <c r="W29" s="11">
        <f>SUMPRODUCT(($C$6:$C$18="OP")*ISNUMBER(SEARCH("-",W$6:W$18))*(COUNTIFS(②メンバー!$B$5:$B$104,$B$6:$B$18,②メンバー!$Z$5:$Z$104,"○")&gt;0))</f>
        <v>6</v>
      </c>
      <c r="X29" s="11">
        <f>SUMPRODUCT(($C$6:$C$18="OP")*ISNUMBER(SEARCH("-",X$6:X$18))*(COUNTIFS(②メンバー!$B$5:$B$104,$B$6:$B$18,②メンバー!$Z$5:$Z$104,"○")&gt;0))</f>
        <v>6</v>
      </c>
      <c r="Y29" s="11">
        <f>SUMPRODUCT(($C$6:$C$18="OP")*ISNUMBER(SEARCH("-",Y$6:Y$18))*(COUNTIFS(②メンバー!$B$5:$B$104,$B$6:$B$18,②メンバー!$Z$5:$Z$104,"○")&gt;0))</f>
        <v>6</v>
      </c>
      <c r="Z29" s="11">
        <f>SUMPRODUCT(($C$6:$C$18="OP")*ISNUMBER(SEARCH("-",Z$6:Z$18))*(COUNTIFS(②メンバー!$B$5:$B$104,$B$6:$B$18,②メンバー!$Z$5:$Z$104,"○")&gt;0))</f>
        <v>6</v>
      </c>
      <c r="AA29" s="11">
        <f>SUMPRODUCT(($C$6:$C$18="OP")*ISNUMBER(SEARCH("-",AA$6:AA$18))*(COUNTIFS(②メンバー!$B$5:$B$104,$B$6:$B$18,②メンバー!$Z$5:$Z$104,"○")&gt;0))</f>
        <v>6</v>
      </c>
      <c r="AB29" s="85">
        <f>SUMPRODUCT(($C$6:$C$18="OP")*ISNUMBER(SEARCH("-",AB$6:AB$18))*(COUNTIFS(②メンバー!$B$5:$B$104,$B$6:$B$18,②メンバー!$Z$5:$Z$104,"○")&gt;0))</f>
        <v>6</v>
      </c>
      <c r="AC29" s="85">
        <f>SUMPRODUCT(($C$6:$C$18="OP")*ISNUMBER(SEARCH("-",AC$6:AC$18))*(COUNTIFS(②メンバー!$B$5:$B$104,$B$6:$B$18,②メンバー!$Z$5:$Z$104,"○")&gt;0))</f>
        <v>6</v>
      </c>
      <c r="AD29" s="11">
        <f>SUMPRODUCT(($C$6:$C$18="OP")*ISNUMBER(SEARCH("-",AD$6:AD$18))*(COUNTIFS(②メンバー!$B$5:$B$104,$B$6:$B$18,②メンバー!$Z$5:$Z$104,"○")&gt;0))</f>
        <v>6</v>
      </c>
      <c r="AE29" s="11">
        <f>SUMPRODUCT(($C$6:$C$18="OP")*ISNUMBER(SEARCH("-",AE$6:AE$18))*(COUNTIFS(②メンバー!$B$5:$B$104,$B$6:$B$18,②メンバー!$Z$5:$Z$104,"○")&gt;0))</f>
        <v>6</v>
      </c>
      <c r="AF29" s="11">
        <f>SUMPRODUCT(($C$6:$C$18="OP")*ISNUMBER(SEARCH("-",AF$6:AF$18))*(COUNTIFS(②メンバー!$B$5:$B$104,$B$6:$B$18,②メンバー!$Z$5:$Z$104,"○")&gt;0))</f>
        <v>6</v>
      </c>
      <c r="AG29" s="11">
        <f>SUMPRODUCT(($C$6:$C$18="OP")*ISNUMBER(SEARCH("-",AG$6:AG$18))*(COUNTIFS(②メンバー!$B$5:$B$104,$B$6:$B$18,②メンバー!$Z$5:$Z$104,"○")&gt;0))</f>
        <v>6</v>
      </c>
      <c r="AH29" s="11">
        <f>SUMPRODUCT(($C$6:$C$18="OP")*ISNUMBER(SEARCH("-",AH$6:AH$18))*(COUNTIFS(②メンバー!$B$5:$B$104,$B$6:$B$18,②メンバー!$Z$5:$Z$104,"○")&gt;0))</f>
        <v>6</v>
      </c>
      <c r="AI29" s="85">
        <f>SUMPRODUCT(($C$6:$C$18="OP")*ISNUMBER(SEARCH("-",AI$6:AI$18))*(COUNTIFS(②メンバー!$B$5:$B$104,$B$6:$B$18,②メンバー!$Z$5:$Z$104,"○")&gt;0))</f>
        <v>6</v>
      </c>
      <c r="AJ29" s="11">
        <f t="shared" si="10"/>
        <v>0</v>
      </c>
    </row>
    <row r="30" spans="1:41">
      <c r="B30" s="153" t="s">
        <v>131</v>
      </c>
      <c r="C30" s="11" t="s">
        <v>23</v>
      </c>
      <c r="D30" s="154">
        <f>IFERROR(INDEX(①各種設定!$K$5:$K$51,MATCH($B30,①各種設定!$J$5:$J$51,0)),0)</f>
        <v>1</v>
      </c>
      <c r="E30" s="11">
        <f>SUMPRODUCT(($C$6:$C$18="OP")*ISNUMBER(SEARCH("-",E$6:E$18))*(COUNTIFS(②メンバー!$B$5:$B$104,$B$6:$B$18,②メンバー!$AA$5:$AA$104,"○")&gt;0))</f>
        <v>6</v>
      </c>
      <c r="F30" s="11">
        <f>SUMPRODUCT(($C$6:$C$18="OP")*ISNUMBER(SEARCH("-",F$6:F$18))*(COUNTIFS(②メンバー!$B$5:$B$104,$B$6:$B$18,②メンバー!$AA$5:$AA$104,"○")&gt;0))</f>
        <v>6</v>
      </c>
      <c r="G30" s="85">
        <f>SUMPRODUCT(($C$6:$C$18="OP")*ISNUMBER(SEARCH("-",G$6:G$18))*(COUNTIFS(②メンバー!$B$5:$B$104,$B$6:$B$18,②メンバー!$AA$5:$AA$104,"○")&gt;0))</f>
        <v>6</v>
      </c>
      <c r="H30" s="85">
        <f>SUMPRODUCT(($C$6:$C$18="OP")*ISNUMBER(SEARCH("-",H$6:H$18))*(COUNTIFS(②メンバー!$B$5:$B$104,$B$6:$B$18,②メンバー!$AA$5:$AA$104,"○")&gt;0))</f>
        <v>6</v>
      </c>
      <c r="I30" s="11">
        <f>SUMPRODUCT(($C$6:$C$18="OP")*ISNUMBER(SEARCH("-",I$6:I$18))*(COUNTIFS(②メンバー!$B$5:$B$104,$B$6:$B$18,②メンバー!$AA$5:$AA$104,"○")&gt;0))</f>
        <v>6</v>
      </c>
      <c r="J30" s="11">
        <f>SUMPRODUCT(($C$6:$C$18="OP")*ISNUMBER(SEARCH("-",J$6:J$18))*(COUNTIFS(②メンバー!$B$5:$B$104,$B$6:$B$18,②メンバー!$AA$5:$AA$104,"○")&gt;0))</f>
        <v>6</v>
      </c>
      <c r="K30" s="11">
        <f>SUMPRODUCT(($C$6:$C$18="OP")*ISNUMBER(SEARCH("-",K$6:K$18))*(COUNTIFS(②メンバー!$B$5:$B$104,$B$6:$B$18,②メンバー!$AA$5:$AA$104,"○")&gt;0))</f>
        <v>6</v>
      </c>
      <c r="L30" s="11">
        <f>SUMPRODUCT(($C$6:$C$18="OP")*ISNUMBER(SEARCH("-",L$6:L$18))*(COUNTIFS(②メンバー!$B$5:$B$104,$B$6:$B$18,②メンバー!$AA$5:$AA$104,"○")&gt;0))</f>
        <v>6</v>
      </c>
      <c r="M30" s="11">
        <f>SUMPRODUCT(($C$6:$C$18="OP")*ISNUMBER(SEARCH("-",M$6:M$18))*(COUNTIFS(②メンバー!$B$5:$B$104,$B$6:$B$18,②メンバー!$AA$5:$AA$104,"○")&gt;0))</f>
        <v>6</v>
      </c>
      <c r="N30" s="85">
        <f>SUMPRODUCT(($C$6:$C$18="OP")*ISNUMBER(SEARCH("-",N$6:N$18))*(COUNTIFS(②メンバー!$B$5:$B$104,$B$6:$B$18,②メンバー!$AA$5:$AA$104,"○")&gt;0))</f>
        <v>6</v>
      </c>
      <c r="O30" s="85">
        <f>SUMPRODUCT(($C$6:$C$18="OP")*ISNUMBER(SEARCH("-",O$6:O$18))*(COUNTIFS(②メンバー!$B$5:$B$104,$B$6:$B$18,②メンバー!$AA$5:$AA$104,"○")&gt;0))</f>
        <v>6</v>
      </c>
      <c r="P30" s="85">
        <f>SUMPRODUCT(($C$6:$C$18="OP")*ISNUMBER(SEARCH("-",P$6:P$18))*(COUNTIFS(②メンバー!$B$5:$B$104,$B$6:$B$18,②メンバー!$AA$5:$AA$104,"○")&gt;0))</f>
        <v>0</v>
      </c>
      <c r="Q30" s="11">
        <f>SUMPRODUCT(($C$6:$C$18="OP")*ISNUMBER(SEARCH("-",Q$6:Q$18))*(COUNTIFS(②メンバー!$B$5:$B$104,$B$6:$B$18,②メンバー!$AA$5:$AA$104,"○")&gt;0))</f>
        <v>6</v>
      </c>
      <c r="R30" s="11">
        <f>SUMPRODUCT(($C$6:$C$18="OP")*ISNUMBER(SEARCH("-",R$6:R$18))*(COUNTIFS(②メンバー!$B$5:$B$104,$B$6:$B$18,②メンバー!$AA$5:$AA$104,"○")&gt;0))</f>
        <v>6</v>
      </c>
      <c r="S30" s="11">
        <f>SUMPRODUCT(($C$6:$C$18="OP")*ISNUMBER(SEARCH("-",S$6:S$18))*(COUNTIFS(②メンバー!$B$5:$B$104,$B$6:$B$18,②メンバー!$AA$5:$AA$104,"○")&gt;0))</f>
        <v>6</v>
      </c>
      <c r="T30" s="11">
        <f>SUMPRODUCT(($C$6:$C$18="OP")*ISNUMBER(SEARCH("-",T$6:T$18))*(COUNTIFS(②メンバー!$B$5:$B$104,$B$6:$B$18,②メンバー!$AA$5:$AA$104,"○")&gt;0))</f>
        <v>6</v>
      </c>
      <c r="U30" s="85">
        <f>SUMPRODUCT(($C$6:$C$18="OP")*ISNUMBER(SEARCH("-",U$6:U$18))*(COUNTIFS(②メンバー!$B$5:$B$104,$B$6:$B$18,②メンバー!$AA$5:$AA$104,"○")&gt;0))</f>
        <v>6</v>
      </c>
      <c r="V30" s="85">
        <f>SUMPRODUCT(($C$6:$C$18="OP")*ISNUMBER(SEARCH("-",V$6:V$18))*(COUNTIFS(②メンバー!$B$5:$B$104,$B$6:$B$18,②メンバー!$AA$5:$AA$104,"○")&gt;0))</f>
        <v>6</v>
      </c>
      <c r="W30" s="11">
        <f>SUMPRODUCT(($C$6:$C$18="OP")*ISNUMBER(SEARCH("-",W$6:W$18))*(COUNTIFS(②メンバー!$B$5:$B$104,$B$6:$B$18,②メンバー!$AA$5:$AA$104,"○")&gt;0))</f>
        <v>6</v>
      </c>
      <c r="X30" s="11">
        <f>SUMPRODUCT(($C$6:$C$18="OP")*ISNUMBER(SEARCH("-",X$6:X$18))*(COUNTIFS(②メンバー!$B$5:$B$104,$B$6:$B$18,②メンバー!$AA$5:$AA$104,"○")&gt;0))</f>
        <v>6</v>
      </c>
      <c r="Y30" s="11">
        <f>SUMPRODUCT(($C$6:$C$18="OP")*ISNUMBER(SEARCH("-",Y$6:Y$18))*(COUNTIFS(②メンバー!$B$5:$B$104,$B$6:$B$18,②メンバー!$AA$5:$AA$104,"○")&gt;0))</f>
        <v>6</v>
      </c>
      <c r="Z30" s="11">
        <f>SUMPRODUCT(($C$6:$C$18="OP")*ISNUMBER(SEARCH("-",Z$6:Z$18))*(COUNTIFS(②メンバー!$B$5:$B$104,$B$6:$B$18,②メンバー!$AA$5:$AA$104,"○")&gt;0))</f>
        <v>6</v>
      </c>
      <c r="AA30" s="11">
        <f>SUMPRODUCT(($C$6:$C$18="OP")*ISNUMBER(SEARCH("-",AA$6:AA$18))*(COUNTIFS(②メンバー!$B$5:$B$104,$B$6:$B$18,②メンバー!$AA$5:$AA$104,"○")&gt;0))</f>
        <v>6</v>
      </c>
      <c r="AB30" s="85">
        <f>SUMPRODUCT(($C$6:$C$18="OP")*ISNUMBER(SEARCH("-",AB$6:AB$18))*(COUNTIFS(②メンバー!$B$5:$B$104,$B$6:$B$18,②メンバー!$AA$5:$AA$104,"○")&gt;0))</f>
        <v>6</v>
      </c>
      <c r="AC30" s="85">
        <f>SUMPRODUCT(($C$6:$C$18="OP")*ISNUMBER(SEARCH("-",AC$6:AC$18))*(COUNTIFS(②メンバー!$B$5:$B$104,$B$6:$B$18,②メンバー!$AA$5:$AA$104,"○")&gt;0))</f>
        <v>6</v>
      </c>
      <c r="AD30" s="11">
        <f>SUMPRODUCT(($C$6:$C$18="OP")*ISNUMBER(SEARCH("-",AD$6:AD$18))*(COUNTIFS(②メンバー!$B$5:$B$104,$B$6:$B$18,②メンバー!$AA$5:$AA$104,"○")&gt;0))</f>
        <v>6</v>
      </c>
      <c r="AE30" s="11">
        <f>SUMPRODUCT(($C$6:$C$18="OP")*ISNUMBER(SEARCH("-",AE$6:AE$18))*(COUNTIFS(②メンバー!$B$5:$B$104,$B$6:$B$18,②メンバー!$AA$5:$AA$104,"○")&gt;0))</f>
        <v>6</v>
      </c>
      <c r="AF30" s="11">
        <f>SUMPRODUCT(($C$6:$C$18="OP")*ISNUMBER(SEARCH("-",AF$6:AF$18))*(COUNTIFS(②メンバー!$B$5:$B$104,$B$6:$B$18,②メンバー!$AA$5:$AA$104,"○")&gt;0))</f>
        <v>6</v>
      </c>
      <c r="AG30" s="11">
        <f>SUMPRODUCT(($C$6:$C$18="OP")*ISNUMBER(SEARCH("-",AG$6:AG$18))*(COUNTIFS(②メンバー!$B$5:$B$104,$B$6:$B$18,②メンバー!$AA$5:$AA$104,"○")&gt;0))</f>
        <v>6</v>
      </c>
      <c r="AH30" s="11">
        <f>SUMPRODUCT(($C$6:$C$18="OP")*ISNUMBER(SEARCH("-",AH$6:AH$18))*(COUNTIFS(②メンバー!$B$5:$B$104,$B$6:$B$18,②メンバー!$AA$5:$AA$104,"○")&gt;0))</f>
        <v>6</v>
      </c>
      <c r="AI30" s="85">
        <f>SUMPRODUCT(($C$6:$C$18="OP")*ISNUMBER(SEARCH("-",AI$6:AI$18))*(COUNTIFS(②メンバー!$B$5:$B$104,$B$6:$B$18,②メンバー!$AA$5:$AA$104,"○")&gt;0))</f>
        <v>6</v>
      </c>
      <c r="AJ30" s="11">
        <f t="shared" si="10"/>
        <v>0</v>
      </c>
    </row>
    <row r="31" spans="1:41">
      <c r="B31" s="153" t="s">
        <v>123</v>
      </c>
      <c r="C31" s="11" t="s">
        <v>23</v>
      </c>
      <c r="D31" s="154">
        <f>IFERROR(INDEX(①各種設定!$K$5:$K$51,MATCH($B31,①各種設定!$J$5:$J$51,0)),0)</f>
        <v>1</v>
      </c>
      <c r="E31" s="11">
        <f>SUMPRODUCT(($C$6:$C$18="OP")*ISNUMBER(SEARCH("-",E$6:E$18))*(COUNTIFS(②メンバー!$B$5:$B$104,$B$6:$B$18,②メンバー!$AB$5:$AB$104,"○")&gt;0))</f>
        <v>4</v>
      </c>
      <c r="F31" s="11">
        <f>SUMPRODUCT(($C$6:$C$18="OP")*ISNUMBER(SEARCH("-",F$6:F$18))*(COUNTIFS(②メンバー!$B$5:$B$104,$B$6:$B$18,②メンバー!$AB$5:$AB$104,"○")&gt;0))</f>
        <v>4</v>
      </c>
      <c r="G31" s="85">
        <f>SUMPRODUCT(($C$6:$C$18="OP")*ISNUMBER(SEARCH("-",G$6:G$18))*(COUNTIFS(②メンバー!$B$5:$B$104,$B$6:$B$18,②メンバー!$AB$5:$AB$104,"○")&gt;0))</f>
        <v>4</v>
      </c>
      <c r="H31" s="85">
        <f>SUMPRODUCT(($C$6:$C$18="OP")*ISNUMBER(SEARCH("-",H$6:H$18))*(COUNTIFS(②メンバー!$B$5:$B$104,$B$6:$B$18,②メンバー!$AB$5:$AB$104,"○")&gt;0))</f>
        <v>4</v>
      </c>
      <c r="I31" s="11">
        <f>SUMPRODUCT(($C$6:$C$18="OP")*ISNUMBER(SEARCH("-",I$6:I$18))*(COUNTIFS(②メンバー!$B$5:$B$104,$B$6:$B$18,②メンバー!$AB$5:$AB$104,"○")&gt;0))</f>
        <v>4</v>
      </c>
      <c r="J31" s="11">
        <f>SUMPRODUCT(($C$6:$C$18="OP")*ISNUMBER(SEARCH("-",J$6:J$18))*(COUNTIFS(②メンバー!$B$5:$B$104,$B$6:$B$18,②メンバー!$AB$5:$AB$104,"○")&gt;0))</f>
        <v>4</v>
      </c>
      <c r="K31" s="11">
        <f>SUMPRODUCT(($C$6:$C$18="OP")*ISNUMBER(SEARCH("-",K$6:K$18))*(COUNTIFS(②メンバー!$B$5:$B$104,$B$6:$B$18,②メンバー!$AB$5:$AB$104,"○")&gt;0))</f>
        <v>4</v>
      </c>
      <c r="L31" s="11">
        <f>SUMPRODUCT(($C$6:$C$18="OP")*ISNUMBER(SEARCH("-",L$6:L$18))*(COUNTIFS(②メンバー!$B$5:$B$104,$B$6:$B$18,②メンバー!$AB$5:$AB$104,"○")&gt;0))</f>
        <v>4</v>
      </c>
      <c r="M31" s="11">
        <f>SUMPRODUCT(($C$6:$C$18="OP")*ISNUMBER(SEARCH("-",M$6:M$18))*(COUNTIFS(②メンバー!$B$5:$B$104,$B$6:$B$18,②メンバー!$AB$5:$AB$104,"○")&gt;0))</f>
        <v>4</v>
      </c>
      <c r="N31" s="85">
        <f>SUMPRODUCT(($C$6:$C$18="OP")*ISNUMBER(SEARCH("-",N$6:N$18))*(COUNTIFS(②メンバー!$B$5:$B$104,$B$6:$B$18,②メンバー!$AB$5:$AB$104,"○")&gt;0))</f>
        <v>4</v>
      </c>
      <c r="O31" s="85">
        <f>SUMPRODUCT(($C$6:$C$18="OP")*ISNUMBER(SEARCH("-",O$6:O$18))*(COUNTIFS(②メンバー!$B$5:$B$104,$B$6:$B$18,②メンバー!$AB$5:$AB$104,"○")&gt;0))</f>
        <v>4</v>
      </c>
      <c r="P31" s="85">
        <f>SUMPRODUCT(($C$6:$C$18="OP")*ISNUMBER(SEARCH("-",P$6:P$18))*(COUNTIFS(②メンバー!$B$5:$B$104,$B$6:$B$18,②メンバー!$AB$5:$AB$104,"○")&gt;0))</f>
        <v>0</v>
      </c>
      <c r="Q31" s="11">
        <f>SUMPRODUCT(($C$6:$C$18="OP")*ISNUMBER(SEARCH("-",Q$6:Q$18))*(COUNTIFS(②メンバー!$B$5:$B$104,$B$6:$B$18,②メンバー!$AB$5:$AB$104,"○")&gt;0))</f>
        <v>4</v>
      </c>
      <c r="R31" s="11">
        <f>SUMPRODUCT(($C$6:$C$18="OP")*ISNUMBER(SEARCH("-",R$6:R$18))*(COUNTIFS(②メンバー!$B$5:$B$104,$B$6:$B$18,②メンバー!$AB$5:$AB$104,"○")&gt;0))</f>
        <v>4</v>
      </c>
      <c r="S31" s="11">
        <f>SUMPRODUCT(($C$6:$C$18="OP")*ISNUMBER(SEARCH("-",S$6:S$18))*(COUNTIFS(②メンバー!$B$5:$B$104,$B$6:$B$18,②メンバー!$AB$5:$AB$104,"○")&gt;0))</f>
        <v>4</v>
      </c>
      <c r="T31" s="11">
        <f>SUMPRODUCT(($C$6:$C$18="OP")*ISNUMBER(SEARCH("-",T$6:T$18))*(COUNTIFS(②メンバー!$B$5:$B$104,$B$6:$B$18,②メンバー!$AB$5:$AB$104,"○")&gt;0))</f>
        <v>4</v>
      </c>
      <c r="U31" s="85">
        <f>SUMPRODUCT(($C$6:$C$18="OP")*ISNUMBER(SEARCH("-",U$6:U$18))*(COUNTIFS(②メンバー!$B$5:$B$104,$B$6:$B$18,②メンバー!$AB$5:$AB$104,"○")&gt;0))</f>
        <v>4</v>
      </c>
      <c r="V31" s="85">
        <f>SUMPRODUCT(($C$6:$C$18="OP")*ISNUMBER(SEARCH("-",V$6:V$18))*(COUNTIFS(②メンバー!$B$5:$B$104,$B$6:$B$18,②メンバー!$AB$5:$AB$104,"○")&gt;0))</f>
        <v>4</v>
      </c>
      <c r="W31" s="11">
        <f>SUMPRODUCT(($C$6:$C$18="OP")*ISNUMBER(SEARCH("-",W$6:W$18))*(COUNTIFS(②メンバー!$B$5:$B$104,$B$6:$B$18,②メンバー!$AB$5:$AB$104,"○")&gt;0))</f>
        <v>4</v>
      </c>
      <c r="X31" s="11">
        <f>SUMPRODUCT(($C$6:$C$18="OP")*ISNUMBER(SEARCH("-",X$6:X$18))*(COUNTIFS(②メンバー!$B$5:$B$104,$B$6:$B$18,②メンバー!$AB$5:$AB$104,"○")&gt;0))</f>
        <v>4</v>
      </c>
      <c r="Y31" s="11">
        <f>SUMPRODUCT(($C$6:$C$18="OP")*ISNUMBER(SEARCH("-",Y$6:Y$18))*(COUNTIFS(②メンバー!$B$5:$B$104,$B$6:$B$18,②メンバー!$AB$5:$AB$104,"○")&gt;0))</f>
        <v>4</v>
      </c>
      <c r="Z31" s="11">
        <f>SUMPRODUCT(($C$6:$C$18="OP")*ISNUMBER(SEARCH("-",Z$6:Z$18))*(COUNTIFS(②メンバー!$B$5:$B$104,$B$6:$B$18,②メンバー!$AB$5:$AB$104,"○")&gt;0))</f>
        <v>4</v>
      </c>
      <c r="AA31" s="11">
        <f>SUMPRODUCT(($C$6:$C$18="OP")*ISNUMBER(SEARCH("-",AA$6:AA$18))*(COUNTIFS(②メンバー!$B$5:$B$104,$B$6:$B$18,②メンバー!$AB$5:$AB$104,"○")&gt;0))</f>
        <v>4</v>
      </c>
      <c r="AB31" s="85">
        <f>SUMPRODUCT(($C$6:$C$18="OP")*ISNUMBER(SEARCH("-",AB$6:AB$18))*(COUNTIFS(②メンバー!$B$5:$B$104,$B$6:$B$18,②メンバー!$AB$5:$AB$104,"○")&gt;0))</f>
        <v>4</v>
      </c>
      <c r="AC31" s="85">
        <f>SUMPRODUCT(($C$6:$C$18="OP")*ISNUMBER(SEARCH("-",AC$6:AC$18))*(COUNTIFS(②メンバー!$B$5:$B$104,$B$6:$B$18,②メンバー!$AB$5:$AB$104,"○")&gt;0))</f>
        <v>4</v>
      </c>
      <c r="AD31" s="11">
        <f>SUMPRODUCT(($C$6:$C$18="OP")*ISNUMBER(SEARCH("-",AD$6:AD$18))*(COUNTIFS(②メンバー!$B$5:$B$104,$B$6:$B$18,②メンバー!$AB$5:$AB$104,"○")&gt;0))</f>
        <v>4</v>
      </c>
      <c r="AE31" s="11">
        <f>SUMPRODUCT(($C$6:$C$18="OP")*ISNUMBER(SEARCH("-",AE$6:AE$18))*(COUNTIFS(②メンバー!$B$5:$B$104,$B$6:$B$18,②メンバー!$AB$5:$AB$104,"○")&gt;0))</f>
        <v>4</v>
      </c>
      <c r="AF31" s="11">
        <f>SUMPRODUCT(($C$6:$C$18="OP")*ISNUMBER(SEARCH("-",AF$6:AF$18))*(COUNTIFS(②メンバー!$B$5:$B$104,$B$6:$B$18,②メンバー!$AB$5:$AB$104,"○")&gt;0))</f>
        <v>4</v>
      </c>
      <c r="AG31" s="11">
        <f>SUMPRODUCT(($C$6:$C$18="OP")*ISNUMBER(SEARCH("-",AG$6:AG$18))*(COUNTIFS(②メンバー!$B$5:$B$104,$B$6:$B$18,②メンバー!$AB$5:$AB$104,"○")&gt;0))</f>
        <v>4</v>
      </c>
      <c r="AH31" s="11">
        <f>SUMPRODUCT(($C$6:$C$18="OP")*ISNUMBER(SEARCH("-",AH$6:AH$18))*(COUNTIFS(②メンバー!$B$5:$B$104,$B$6:$B$18,②メンバー!$AB$5:$AB$104,"○")&gt;0))</f>
        <v>4</v>
      </c>
      <c r="AI31" s="85">
        <f>SUMPRODUCT(($C$6:$C$18="OP")*ISNUMBER(SEARCH("-",AI$6:AI$18))*(COUNTIFS(②メンバー!$B$5:$B$104,$B$6:$B$18,②メンバー!$AB$5:$AB$104,"○")&gt;0))</f>
        <v>4</v>
      </c>
      <c r="AJ31" s="11">
        <f t="shared" si="10"/>
        <v>0</v>
      </c>
    </row>
    <row r="32" spans="1:41">
      <c r="B32" s="153" t="s">
        <v>124</v>
      </c>
      <c r="C32" s="11" t="s">
        <v>23</v>
      </c>
      <c r="D32" s="154">
        <f>IFERROR(INDEX(①各種設定!$K$5:$K$51,MATCH($B32,①各種設定!$J$5:$J$51,0)),0)</f>
        <v>3</v>
      </c>
      <c r="E32" s="11">
        <f>SUMPRODUCT(($C$6:$C$18="OP")*ISNUMBER(SEARCH("-",E$6:E$18))*(COUNTIFS(②メンバー!$B$5:$B$104,$B$6:$B$18,②メンバー!$AC$5:$AC$104,"○")&gt;0))</f>
        <v>4</v>
      </c>
      <c r="F32" s="11">
        <f>SUMPRODUCT(($C$6:$C$18="OP")*ISNUMBER(SEARCH("-",F$6:F$18))*(COUNTIFS(②メンバー!$B$5:$B$104,$B$6:$B$18,②メンバー!$AC$5:$AC$104,"○")&gt;0))</f>
        <v>4</v>
      </c>
      <c r="G32" s="85">
        <f>SUMPRODUCT(($C$6:$C$18="OP")*ISNUMBER(SEARCH("-",G$6:G$18))*(COUNTIFS(②メンバー!$B$5:$B$104,$B$6:$B$18,②メンバー!$AC$5:$AC$104,"○")&gt;0))</f>
        <v>4</v>
      </c>
      <c r="H32" s="85">
        <f>SUMPRODUCT(($C$6:$C$18="OP")*ISNUMBER(SEARCH("-",H$6:H$18))*(COUNTIFS(②メンバー!$B$5:$B$104,$B$6:$B$18,②メンバー!$AC$5:$AC$104,"○")&gt;0))</f>
        <v>4</v>
      </c>
      <c r="I32" s="11">
        <f>SUMPRODUCT(($C$6:$C$18="OP")*ISNUMBER(SEARCH("-",I$6:I$18))*(COUNTIFS(②メンバー!$B$5:$B$104,$B$6:$B$18,②メンバー!$AC$5:$AC$104,"○")&gt;0))</f>
        <v>4</v>
      </c>
      <c r="J32" s="11">
        <f>SUMPRODUCT(($C$6:$C$18="OP")*ISNUMBER(SEARCH("-",J$6:J$18))*(COUNTIFS(②メンバー!$B$5:$B$104,$B$6:$B$18,②メンバー!$AC$5:$AC$104,"○")&gt;0))</f>
        <v>4</v>
      </c>
      <c r="K32" s="11">
        <f>SUMPRODUCT(($C$6:$C$18="OP")*ISNUMBER(SEARCH("-",K$6:K$18))*(COUNTIFS(②メンバー!$B$5:$B$104,$B$6:$B$18,②メンバー!$AC$5:$AC$104,"○")&gt;0))</f>
        <v>4</v>
      </c>
      <c r="L32" s="11">
        <f>SUMPRODUCT(($C$6:$C$18="OP")*ISNUMBER(SEARCH("-",L$6:L$18))*(COUNTIFS(②メンバー!$B$5:$B$104,$B$6:$B$18,②メンバー!$AC$5:$AC$104,"○")&gt;0))</f>
        <v>4</v>
      </c>
      <c r="M32" s="11">
        <f>SUMPRODUCT(($C$6:$C$18="OP")*ISNUMBER(SEARCH("-",M$6:M$18))*(COUNTIFS(②メンバー!$B$5:$B$104,$B$6:$B$18,②メンバー!$AC$5:$AC$104,"○")&gt;0))</f>
        <v>4</v>
      </c>
      <c r="N32" s="85">
        <f>SUMPRODUCT(($C$6:$C$18="OP")*ISNUMBER(SEARCH("-",N$6:N$18))*(COUNTIFS(②メンバー!$B$5:$B$104,$B$6:$B$18,②メンバー!$AC$5:$AC$104,"○")&gt;0))</f>
        <v>4</v>
      </c>
      <c r="O32" s="85">
        <f>SUMPRODUCT(($C$6:$C$18="OP")*ISNUMBER(SEARCH("-",O$6:O$18))*(COUNTIFS(②メンバー!$B$5:$B$104,$B$6:$B$18,②メンバー!$AC$5:$AC$104,"○")&gt;0))</f>
        <v>4</v>
      </c>
      <c r="P32" s="85">
        <f>SUMPRODUCT(($C$6:$C$18="OP")*ISNUMBER(SEARCH("-",P$6:P$18))*(COUNTIFS(②メンバー!$B$5:$B$104,$B$6:$B$18,②メンバー!$AC$5:$AC$104,"○")&gt;0))</f>
        <v>0</v>
      </c>
      <c r="Q32" s="11">
        <f>SUMPRODUCT(($C$6:$C$18="OP")*ISNUMBER(SEARCH("-",Q$6:Q$18))*(COUNTIFS(②メンバー!$B$5:$B$104,$B$6:$B$18,②メンバー!$AC$5:$AC$104,"○")&gt;0))</f>
        <v>4</v>
      </c>
      <c r="R32" s="11">
        <f>SUMPRODUCT(($C$6:$C$18="OP")*ISNUMBER(SEARCH("-",R$6:R$18))*(COUNTIFS(②メンバー!$B$5:$B$104,$B$6:$B$18,②メンバー!$AC$5:$AC$104,"○")&gt;0))</f>
        <v>4</v>
      </c>
      <c r="S32" s="11">
        <f>SUMPRODUCT(($C$6:$C$18="OP")*ISNUMBER(SEARCH("-",S$6:S$18))*(COUNTIFS(②メンバー!$B$5:$B$104,$B$6:$B$18,②メンバー!$AC$5:$AC$104,"○")&gt;0))</f>
        <v>4</v>
      </c>
      <c r="T32" s="11">
        <f>SUMPRODUCT(($C$6:$C$18="OP")*ISNUMBER(SEARCH("-",T$6:T$18))*(COUNTIFS(②メンバー!$B$5:$B$104,$B$6:$B$18,②メンバー!$AC$5:$AC$104,"○")&gt;0))</f>
        <v>4</v>
      </c>
      <c r="U32" s="85">
        <f>SUMPRODUCT(($C$6:$C$18="OP")*ISNUMBER(SEARCH("-",U$6:U$18))*(COUNTIFS(②メンバー!$B$5:$B$104,$B$6:$B$18,②メンバー!$AC$5:$AC$104,"○")&gt;0))</f>
        <v>4</v>
      </c>
      <c r="V32" s="85">
        <f>SUMPRODUCT(($C$6:$C$18="OP")*ISNUMBER(SEARCH("-",V$6:V$18))*(COUNTIFS(②メンバー!$B$5:$B$104,$B$6:$B$18,②メンバー!$AC$5:$AC$104,"○")&gt;0))</f>
        <v>4</v>
      </c>
      <c r="W32" s="11">
        <f>SUMPRODUCT(($C$6:$C$18="OP")*ISNUMBER(SEARCH("-",W$6:W$18))*(COUNTIFS(②メンバー!$B$5:$B$104,$B$6:$B$18,②メンバー!$AC$5:$AC$104,"○")&gt;0))</f>
        <v>4</v>
      </c>
      <c r="X32" s="11">
        <f>SUMPRODUCT(($C$6:$C$18="OP")*ISNUMBER(SEARCH("-",X$6:X$18))*(COUNTIFS(②メンバー!$B$5:$B$104,$B$6:$B$18,②メンバー!$AC$5:$AC$104,"○")&gt;0))</f>
        <v>4</v>
      </c>
      <c r="Y32" s="11">
        <f>SUMPRODUCT(($C$6:$C$18="OP")*ISNUMBER(SEARCH("-",Y$6:Y$18))*(COUNTIFS(②メンバー!$B$5:$B$104,$B$6:$B$18,②メンバー!$AC$5:$AC$104,"○")&gt;0))</f>
        <v>4</v>
      </c>
      <c r="Z32" s="11">
        <f>SUMPRODUCT(($C$6:$C$18="OP")*ISNUMBER(SEARCH("-",Z$6:Z$18))*(COUNTIFS(②メンバー!$B$5:$B$104,$B$6:$B$18,②メンバー!$AC$5:$AC$104,"○")&gt;0))</f>
        <v>4</v>
      </c>
      <c r="AA32" s="11">
        <f>SUMPRODUCT(($C$6:$C$18="OP")*ISNUMBER(SEARCH("-",AA$6:AA$18))*(COUNTIFS(②メンバー!$B$5:$B$104,$B$6:$B$18,②メンバー!$AC$5:$AC$104,"○")&gt;0))</f>
        <v>4</v>
      </c>
      <c r="AB32" s="85">
        <f>SUMPRODUCT(($C$6:$C$18="OP")*ISNUMBER(SEARCH("-",AB$6:AB$18))*(COUNTIFS(②メンバー!$B$5:$B$104,$B$6:$B$18,②メンバー!$AC$5:$AC$104,"○")&gt;0))</f>
        <v>4</v>
      </c>
      <c r="AC32" s="85">
        <f>SUMPRODUCT(($C$6:$C$18="OP")*ISNUMBER(SEARCH("-",AC$6:AC$18))*(COUNTIFS(②メンバー!$B$5:$B$104,$B$6:$B$18,②メンバー!$AC$5:$AC$104,"○")&gt;0))</f>
        <v>4</v>
      </c>
      <c r="AD32" s="11">
        <f>SUMPRODUCT(($C$6:$C$18="OP")*ISNUMBER(SEARCH("-",AD$6:AD$18))*(COUNTIFS(②メンバー!$B$5:$B$104,$B$6:$B$18,②メンバー!$AC$5:$AC$104,"○")&gt;0))</f>
        <v>4</v>
      </c>
      <c r="AE32" s="11">
        <f>SUMPRODUCT(($C$6:$C$18="OP")*ISNUMBER(SEARCH("-",AE$6:AE$18))*(COUNTIFS(②メンバー!$B$5:$B$104,$B$6:$B$18,②メンバー!$AC$5:$AC$104,"○")&gt;0))</f>
        <v>4</v>
      </c>
      <c r="AF32" s="11">
        <f>SUMPRODUCT(($C$6:$C$18="OP")*ISNUMBER(SEARCH("-",AF$6:AF$18))*(COUNTIFS(②メンバー!$B$5:$B$104,$B$6:$B$18,②メンバー!$AC$5:$AC$104,"○")&gt;0))</f>
        <v>4</v>
      </c>
      <c r="AG32" s="11">
        <f>SUMPRODUCT(($C$6:$C$18="OP")*ISNUMBER(SEARCH("-",AG$6:AG$18))*(COUNTIFS(②メンバー!$B$5:$B$104,$B$6:$B$18,②メンバー!$AC$5:$AC$104,"○")&gt;0))</f>
        <v>4</v>
      </c>
      <c r="AH32" s="11">
        <f>SUMPRODUCT(($C$6:$C$18="OP")*ISNUMBER(SEARCH("-",AH$6:AH$18))*(COUNTIFS(②メンバー!$B$5:$B$104,$B$6:$B$18,②メンバー!$AC$5:$AC$104,"○")&gt;0))</f>
        <v>4</v>
      </c>
      <c r="AI32" s="85">
        <f>SUMPRODUCT(($C$6:$C$18="OP")*ISNUMBER(SEARCH("-",AI$6:AI$18))*(COUNTIFS(②メンバー!$B$5:$B$104,$B$6:$B$18,②メンバー!$AC$5:$AC$104,"○")&gt;0))</f>
        <v>4</v>
      </c>
      <c r="AJ32" s="11">
        <f t="shared" si="10"/>
        <v>0</v>
      </c>
    </row>
    <row r="33" spans="2:36">
      <c r="B33" s="153" t="s">
        <v>135</v>
      </c>
      <c r="C33" s="11" t="s">
        <v>23</v>
      </c>
      <c r="D33" s="154">
        <f>IFERROR(INDEX(①各種設定!$K$5:$K$51,MATCH($B33,①各種設定!$J$5:$J$51,0)),0)</f>
        <v>1</v>
      </c>
      <c r="E33" s="11">
        <f>SUMPRODUCT(($C$6:$C$18="OP")*ISNUMBER(SEARCH("-",E$6:E$18))*(COUNTIFS(②メンバー!$B$5:$B$104,$B$6:$B$18,②メンバー!$AD$5:$AD$104,"○")&gt;0))</f>
        <v>4</v>
      </c>
      <c r="F33" s="11">
        <f>SUMPRODUCT(($C$6:$C$18="OP")*ISNUMBER(SEARCH("-",F$6:F$18))*(COUNTIFS(②メンバー!$B$5:$B$104,$B$6:$B$18,②メンバー!$AD$5:$AD$104,"○")&gt;0))</f>
        <v>4</v>
      </c>
      <c r="G33" s="85">
        <f>SUMPRODUCT(($C$6:$C$18="OP")*ISNUMBER(SEARCH("-",G$6:G$18))*(COUNTIFS(②メンバー!$B$5:$B$104,$B$6:$B$18,②メンバー!$AD$5:$AD$104,"○")&gt;0))</f>
        <v>4</v>
      </c>
      <c r="H33" s="85">
        <f>SUMPRODUCT(($C$6:$C$18="OP")*ISNUMBER(SEARCH("-",H$6:H$18))*(COUNTIFS(②メンバー!$B$5:$B$104,$B$6:$B$18,②メンバー!$AD$5:$AD$104,"○")&gt;0))</f>
        <v>4</v>
      </c>
      <c r="I33" s="11">
        <f>SUMPRODUCT(($C$6:$C$18="OP")*ISNUMBER(SEARCH("-",I$6:I$18))*(COUNTIFS(②メンバー!$B$5:$B$104,$B$6:$B$18,②メンバー!$AD$5:$AD$104,"○")&gt;0))</f>
        <v>4</v>
      </c>
      <c r="J33" s="11">
        <f>SUMPRODUCT(($C$6:$C$18="OP")*ISNUMBER(SEARCH("-",J$6:J$18))*(COUNTIFS(②メンバー!$B$5:$B$104,$B$6:$B$18,②メンバー!$AD$5:$AD$104,"○")&gt;0))</f>
        <v>4</v>
      </c>
      <c r="K33" s="11">
        <f>SUMPRODUCT(($C$6:$C$18="OP")*ISNUMBER(SEARCH("-",K$6:K$18))*(COUNTIFS(②メンバー!$B$5:$B$104,$B$6:$B$18,②メンバー!$AD$5:$AD$104,"○")&gt;0))</f>
        <v>4</v>
      </c>
      <c r="L33" s="11">
        <f>SUMPRODUCT(($C$6:$C$18="OP")*ISNUMBER(SEARCH("-",L$6:L$18))*(COUNTIFS(②メンバー!$B$5:$B$104,$B$6:$B$18,②メンバー!$AD$5:$AD$104,"○")&gt;0))</f>
        <v>4</v>
      </c>
      <c r="M33" s="11">
        <f>SUMPRODUCT(($C$6:$C$18="OP")*ISNUMBER(SEARCH("-",M$6:M$18))*(COUNTIFS(②メンバー!$B$5:$B$104,$B$6:$B$18,②メンバー!$AD$5:$AD$104,"○")&gt;0))</f>
        <v>4</v>
      </c>
      <c r="N33" s="85">
        <f>SUMPRODUCT(($C$6:$C$18="OP")*ISNUMBER(SEARCH("-",N$6:N$18))*(COUNTIFS(②メンバー!$B$5:$B$104,$B$6:$B$18,②メンバー!$AD$5:$AD$104,"○")&gt;0))</f>
        <v>4</v>
      </c>
      <c r="O33" s="85">
        <f>SUMPRODUCT(($C$6:$C$18="OP")*ISNUMBER(SEARCH("-",O$6:O$18))*(COUNTIFS(②メンバー!$B$5:$B$104,$B$6:$B$18,②メンバー!$AD$5:$AD$104,"○")&gt;0))</f>
        <v>4</v>
      </c>
      <c r="P33" s="85">
        <f>SUMPRODUCT(($C$6:$C$18="OP")*ISNUMBER(SEARCH("-",P$6:P$18))*(COUNTIFS(②メンバー!$B$5:$B$104,$B$6:$B$18,②メンバー!$AD$5:$AD$104,"○")&gt;0))</f>
        <v>0</v>
      </c>
      <c r="Q33" s="11">
        <f>SUMPRODUCT(($C$6:$C$18="OP")*ISNUMBER(SEARCH("-",Q$6:Q$18))*(COUNTIFS(②メンバー!$B$5:$B$104,$B$6:$B$18,②メンバー!$AD$5:$AD$104,"○")&gt;0))</f>
        <v>4</v>
      </c>
      <c r="R33" s="11">
        <f>SUMPRODUCT(($C$6:$C$18="OP")*ISNUMBER(SEARCH("-",R$6:R$18))*(COUNTIFS(②メンバー!$B$5:$B$104,$B$6:$B$18,②メンバー!$AD$5:$AD$104,"○")&gt;0))</f>
        <v>4</v>
      </c>
      <c r="S33" s="11">
        <f>SUMPRODUCT(($C$6:$C$18="OP")*ISNUMBER(SEARCH("-",S$6:S$18))*(COUNTIFS(②メンバー!$B$5:$B$104,$B$6:$B$18,②メンバー!$AD$5:$AD$104,"○")&gt;0))</f>
        <v>4</v>
      </c>
      <c r="T33" s="11">
        <f>SUMPRODUCT(($C$6:$C$18="OP")*ISNUMBER(SEARCH("-",T$6:T$18))*(COUNTIFS(②メンバー!$B$5:$B$104,$B$6:$B$18,②メンバー!$AD$5:$AD$104,"○")&gt;0))</f>
        <v>4</v>
      </c>
      <c r="U33" s="85">
        <f>SUMPRODUCT(($C$6:$C$18="OP")*ISNUMBER(SEARCH("-",U$6:U$18))*(COUNTIFS(②メンバー!$B$5:$B$104,$B$6:$B$18,②メンバー!$AD$5:$AD$104,"○")&gt;0))</f>
        <v>4</v>
      </c>
      <c r="V33" s="85">
        <f>SUMPRODUCT(($C$6:$C$18="OP")*ISNUMBER(SEARCH("-",V$6:V$18))*(COUNTIFS(②メンバー!$B$5:$B$104,$B$6:$B$18,②メンバー!$AD$5:$AD$104,"○")&gt;0))</f>
        <v>4</v>
      </c>
      <c r="W33" s="11">
        <f>SUMPRODUCT(($C$6:$C$18="OP")*ISNUMBER(SEARCH("-",W$6:W$18))*(COUNTIFS(②メンバー!$B$5:$B$104,$B$6:$B$18,②メンバー!$AD$5:$AD$104,"○")&gt;0))</f>
        <v>4</v>
      </c>
      <c r="X33" s="11">
        <f>SUMPRODUCT(($C$6:$C$18="OP")*ISNUMBER(SEARCH("-",X$6:X$18))*(COUNTIFS(②メンバー!$B$5:$B$104,$B$6:$B$18,②メンバー!$AD$5:$AD$104,"○")&gt;0))</f>
        <v>4</v>
      </c>
      <c r="Y33" s="11">
        <f>SUMPRODUCT(($C$6:$C$18="OP")*ISNUMBER(SEARCH("-",Y$6:Y$18))*(COUNTIFS(②メンバー!$B$5:$B$104,$B$6:$B$18,②メンバー!$AD$5:$AD$104,"○")&gt;0))</f>
        <v>4</v>
      </c>
      <c r="Z33" s="11">
        <f>SUMPRODUCT(($C$6:$C$18="OP")*ISNUMBER(SEARCH("-",Z$6:Z$18))*(COUNTIFS(②メンバー!$B$5:$B$104,$B$6:$B$18,②メンバー!$AD$5:$AD$104,"○")&gt;0))</f>
        <v>4</v>
      </c>
      <c r="AA33" s="11">
        <f>SUMPRODUCT(($C$6:$C$18="OP")*ISNUMBER(SEARCH("-",AA$6:AA$18))*(COUNTIFS(②メンバー!$B$5:$B$104,$B$6:$B$18,②メンバー!$AD$5:$AD$104,"○")&gt;0))</f>
        <v>4</v>
      </c>
      <c r="AB33" s="85">
        <f>SUMPRODUCT(($C$6:$C$18="OP")*ISNUMBER(SEARCH("-",AB$6:AB$18))*(COUNTIFS(②メンバー!$B$5:$B$104,$B$6:$B$18,②メンバー!$AD$5:$AD$104,"○")&gt;0))</f>
        <v>4</v>
      </c>
      <c r="AC33" s="85">
        <f>SUMPRODUCT(($C$6:$C$18="OP")*ISNUMBER(SEARCH("-",AC$6:AC$18))*(COUNTIFS(②メンバー!$B$5:$B$104,$B$6:$B$18,②メンバー!$AD$5:$AD$104,"○")&gt;0))</f>
        <v>4</v>
      </c>
      <c r="AD33" s="11">
        <f>SUMPRODUCT(($C$6:$C$18="OP")*ISNUMBER(SEARCH("-",AD$6:AD$18))*(COUNTIFS(②メンバー!$B$5:$B$104,$B$6:$B$18,②メンバー!$AD$5:$AD$104,"○")&gt;0))</f>
        <v>4</v>
      </c>
      <c r="AE33" s="11">
        <f>SUMPRODUCT(($C$6:$C$18="OP")*ISNUMBER(SEARCH("-",AE$6:AE$18))*(COUNTIFS(②メンバー!$B$5:$B$104,$B$6:$B$18,②メンバー!$AD$5:$AD$104,"○")&gt;0))</f>
        <v>4</v>
      </c>
      <c r="AF33" s="11">
        <f>SUMPRODUCT(($C$6:$C$18="OP")*ISNUMBER(SEARCH("-",AF$6:AF$18))*(COUNTIFS(②メンバー!$B$5:$B$104,$B$6:$B$18,②メンバー!$AD$5:$AD$104,"○")&gt;0))</f>
        <v>4</v>
      </c>
      <c r="AG33" s="11">
        <f>SUMPRODUCT(($C$6:$C$18="OP")*ISNUMBER(SEARCH("-",AG$6:AG$18))*(COUNTIFS(②メンバー!$B$5:$B$104,$B$6:$B$18,②メンバー!$AD$5:$AD$104,"○")&gt;0))</f>
        <v>4</v>
      </c>
      <c r="AH33" s="11">
        <f>SUMPRODUCT(($C$6:$C$18="OP")*ISNUMBER(SEARCH("-",AH$6:AH$18))*(COUNTIFS(②メンバー!$B$5:$B$104,$B$6:$B$18,②メンバー!$AD$5:$AD$104,"○")&gt;0))</f>
        <v>4</v>
      </c>
      <c r="AI33" s="85">
        <f>SUMPRODUCT(($C$6:$C$18="OP")*ISNUMBER(SEARCH("-",AI$6:AI$18))*(COUNTIFS(②メンバー!$B$5:$B$104,$B$6:$B$18,②メンバー!$AD$5:$AD$104,"○")&gt;0))</f>
        <v>4</v>
      </c>
      <c r="AJ33" s="11">
        <f t="shared" si="10"/>
        <v>0</v>
      </c>
    </row>
    <row r="34" spans="2:36">
      <c r="B34" s="153" t="s">
        <v>136</v>
      </c>
      <c r="C34" s="11" t="s">
        <v>23</v>
      </c>
      <c r="D34" s="154">
        <f>IFERROR(INDEX(①各種設定!$K$5:$K$51,MATCH($B34,①各種設定!$J$5:$J$51,0)),0)</f>
        <v>1</v>
      </c>
      <c r="E34" s="11">
        <f>SUMPRODUCT(($C$6:$C$18="OP")*ISNUMBER(SEARCH("-",E$6:E$18))*(COUNTIFS(②メンバー!$B$5:$B$104,$B$6:$B$18,②メンバー!$AF$5:$AF$104,"○")&gt;0))</f>
        <v>4</v>
      </c>
      <c r="F34" s="11">
        <f>SUMPRODUCT(($C$6:$C$18="OP")*ISNUMBER(SEARCH("-",F$6:F$18))*(COUNTIFS(②メンバー!$B$5:$B$104,$B$6:$B$18,②メンバー!$AF$5:$AF$104,"○")&gt;0))</f>
        <v>4</v>
      </c>
      <c r="G34" s="85">
        <f>SUMPRODUCT(($C$6:$C$18="OP")*ISNUMBER(SEARCH("-",G$6:G$18))*(COUNTIFS(②メンバー!$B$5:$B$104,$B$6:$B$18,②メンバー!$AF$5:$AF$104,"○")&gt;0))</f>
        <v>4</v>
      </c>
      <c r="H34" s="85">
        <f>SUMPRODUCT(($C$6:$C$18="OP")*ISNUMBER(SEARCH("-",H$6:H$18))*(COUNTIFS(②メンバー!$B$5:$B$104,$B$6:$B$18,②メンバー!$AF$5:$AF$104,"○")&gt;0))</f>
        <v>4</v>
      </c>
      <c r="I34" s="11">
        <f>SUMPRODUCT(($C$6:$C$18="OP")*ISNUMBER(SEARCH("-",I$6:I$18))*(COUNTIFS(②メンバー!$B$5:$B$104,$B$6:$B$18,②メンバー!$AF$5:$AF$104,"○")&gt;0))</f>
        <v>4</v>
      </c>
      <c r="J34" s="11">
        <f>SUMPRODUCT(($C$6:$C$18="OP")*ISNUMBER(SEARCH("-",J$6:J$18))*(COUNTIFS(②メンバー!$B$5:$B$104,$B$6:$B$18,②メンバー!$AF$5:$AF$104,"○")&gt;0))</f>
        <v>4</v>
      </c>
      <c r="K34" s="11">
        <f>SUMPRODUCT(($C$6:$C$18="OP")*ISNUMBER(SEARCH("-",K$6:K$18))*(COUNTIFS(②メンバー!$B$5:$B$104,$B$6:$B$18,②メンバー!$AF$5:$AF$104,"○")&gt;0))</f>
        <v>4</v>
      </c>
      <c r="L34" s="11">
        <f>SUMPRODUCT(($C$6:$C$18="OP")*ISNUMBER(SEARCH("-",L$6:L$18))*(COUNTIFS(②メンバー!$B$5:$B$104,$B$6:$B$18,②メンバー!$AF$5:$AF$104,"○")&gt;0))</f>
        <v>4</v>
      </c>
      <c r="M34" s="11">
        <f>SUMPRODUCT(($C$6:$C$18="OP")*ISNUMBER(SEARCH("-",M$6:M$18))*(COUNTIFS(②メンバー!$B$5:$B$104,$B$6:$B$18,②メンバー!$AF$5:$AF$104,"○")&gt;0))</f>
        <v>4</v>
      </c>
      <c r="N34" s="85">
        <f>SUMPRODUCT(($C$6:$C$18="OP")*ISNUMBER(SEARCH("-",N$6:N$18))*(COUNTIFS(②メンバー!$B$5:$B$104,$B$6:$B$18,②メンバー!$AF$5:$AF$104,"○")&gt;0))</f>
        <v>4</v>
      </c>
      <c r="O34" s="85">
        <f>SUMPRODUCT(($C$6:$C$18="OP")*ISNUMBER(SEARCH("-",O$6:O$18))*(COUNTIFS(②メンバー!$B$5:$B$104,$B$6:$B$18,②メンバー!$AF$5:$AF$104,"○")&gt;0))</f>
        <v>4</v>
      </c>
      <c r="P34" s="85">
        <f>SUMPRODUCT(($C$6:$C$18="OP")*ISNUMBER(SEARCH("-",P$6:P$18))*(COUNTIFS(②メンバー!$B$5:$B$104,$B$6:$B$18,②メンバー!$AF$5:$AF$104,"○")&gt;0))</f>
        <v>0</v>
      </c>
      <c r="Q34" s="11">
        <f>SUMPRODUCT(($C$6:$C$18="OP")*ISNUMBER(SEARCH("-",Q$6:Q$18))*(COUNTIFS(②メンバー!$B$5:$B$104,$B$6:$B$18,②メンバー!$AF$5:$AF$104,"○")&gt;0))</f>
        <v>4</v>
      </c>
      <c r="R34" s="11">
        <f>SUMPRODUCT(($C$6:$C$18="OP")*ISNUMBER(SEARCH("-",R$6:R$18))*(COUNTIFS(②メンバー!$B$5:$B$104,$B$6:$B$18,②メンバー!$AF$5:$AF$104,"○")&gt;0))</f>
        <v>4</v>
      </c>
      <c r="S34" s="11">
        <f>SUMPRODUCT(($C$6:$C$18="OP")*ISNUMBER(SEARCH("-",S$6:S$18))*(COUNTIFS(②メンバー!$B$5:$B$104,$B$6:$B$18,②メンバー!$AF$5:$AF$104,"○")&gt;0))</f>
        <v>4</v>
      </c>
      <c r="T34" s="11">
        <f>SUMPRODUCT(($C$6:$C$18="OP")*ISNUMBER(SEARCH("-",T$6:T$18))*(COUNTIFS(②メンバー!$B$5:$B$104,$B$6:$B$18,②メンバー!$AF$5:$AF$104,"○")&gt;0))</f>
        <v>4</v>
      </c>
      <c r="U34" s="85">
        <f>SUMPRODUCT(($C$6:$C$18="OP")*ISNUMBER(SEARCH("-",U$6:U$18))*(COUNTIFS(②メンバー!$B$5:$B$104,$B$6:$B$18,②メンバー!$AF$5:$AF$104,"○")&gt;0))</f>
        <v>4</v>
      </c>
      <c r="V34" s="85">
        <f>SUMPRODUCT(($C$6:$C$18="OP")*ISNUMBER(SEARCH("-",V$6:V$18))*(COUNTIFS(②メンバー!$B$5:$B$104,$B$6:$B$18,②メンバー!$AF$5:$AF$104,"○")&gt;0))</f>
        <v>4</v>
      </c>
      <c r="W34" s="11">
        <f>SUMPRODUCT(($C$6:$C$18="OP")*ISNUMBER(SEARCH("-",W$6:W$18))*(COUNTIFS(②メンバー!$B$5:$B$104,$B$6:$B$18,②メンバー!$AF$5:$AF$104,"○")&gt;0))</f>
        <v>4</v>
      </c>
      <c r="X34" s="11">
        <f>SUMPRODUCT(($C$6:$C$18="OP")*ISNUMBER(SEARCH("-",X$6:X$18))*(COUNTIFS(②メンバー!$B$5:$B$104,$B$6:$B$18,②メンバー!$AF$5:$AF$104,"○")&gt;0))</f>
        <v>4</v>
      </c>
      <c r="Y34" s="11">
        <f>SUMPRODUCT(($C$6:$C$18="OP")*ISNUMBER(SEARCH("-",Y$6:Y$18))*(COUNTIFS(②メンバー!$B$5:$B$104,$B$6:$B$18,②メンバー!$AF$5:$AF$104,"○")&gt;0))</f>
        <v>4</v>
      </c>
      <c r="Z34" s="11">
        <f>SUMPRODUCT(($C$6:$C$18="OP")*ISNUMBER(SEARCH("-",Z$6:Z$18))*(COUNTIFS(②メンバー!$B$5:$B$104,$B$6:$B$18,②メンバー!$AF$5:$AF$104,"○")&gt;0))</f>
        <v>4</v>
      </c>
      <c r="AA34" s="11">
        <f>SUMPRODUCT(($C$6:$C$18="OP")*ISNUMBER(SEARCH("-",AA$6:AA$18))*(COUNTIFS(②メンバー!$B$5:$B$104,$B$6:$B$18,②メンバー!$AF$5:$AF$104,"○")&gt;0))</f>
        <v>4</v>
      </c>
      <c r="AB34" s="85">
        <f>SUMPRODUCT(($C$6:$C$18="OP")*ISNUMBER(SEARCH("-",AB$6:AB$18))*(COUNTIFS(②メンバー!$B$5:$B$104,$B$6:$B$18,②メンバー!$AF$5:$AF$104,"○")&gt;0))</f>
        <v>4</v>
      </c>
      <c r="AC34" s="85">
        <f>SUMPRODUCT(($C$6:$C$18="OP")*ISNUMBER(SEARCH("-",AC$6:AC$18))*(COUNTIFS(②メンバー!$B$5:$B$104,$B$6:$B$18,②メンバー!$AF$5:$AF$104,"○")&gt;0))</f>
        <v>4</v>
      </c>
      <c r="AD34" s="11">
        <f>SUMPRODUCT(($C$6:$C$18="OP")*ISNUMBER(SEARCH("-",AD$6:AD$18))*(COUNTIFS(②メンバー!$B$5:$B$104,$B$6:$B$18,②メンバー!$AF$5:$AF$104,"○")&gt;0))</f>
        <v>4</v>
      </c>
      <c r="AE34" s="11">
        <f>SUMPRODUCT(($C$6:$C$18="OP")*ISNUMBER(SEARCH("-",AE$6:AE$18))*(COUNTIFS(②メンバー!$B$5:$B$104,$B$6:$B$18,②メンバー!$AF$5:$AF$104,"○")&gt;0))</f>
        <v>4</v>
      </c>
      <c r="AF34" s="11">
        <f>SUMPRODUCT(($C$6:$C$18="OP")*ISNUMBER(SEARCH("-",AF$6:AF$18))*(COUNTIFS(②メンバー!$B$5:$B$104,$B$6:$B$18,②メンバー!$AF$5:$AF$104,"○")&gt;0))</f>
        <v>4</v>
      </c>
      <c r="AG34" s="11">
        <f>SUMPRODUCT(($C$6:$C$18="OP")*ISNUMBER(SEARCH("-",AG$6:AG$18))*(COUNTIFS(②メンバー!$B$5:$B$104,$B$6:$B$18,②メンバー!$AF$5:$AF$104,"○")&gt;0))</f>
        <v>4</v>
      </c>
      <c r="AH34" s="11">
        <f>SUMPRODUCT(($C$6:$C$18="OP")*ISNUMBER(SEARCH("-",AH$6:AH$18))*(COUNTIFS(②メンバー!$B$5:$B$104,$B$6:$B$18,②メンバー!$AF$5:$AF$104,"○")&gt;0))</f>
        <v>4</v>
      </c>
      <c r="AI34" s="85">
        <f>SUMPRODUCT(($C$6:$C$18="OP")*ISNUMBER(SEARCH("-",AI$6:AI$18))*(COUNTIFS(②メンバー!$B$5:$B$104,$B$6:$B$18,②メンバー!$AF$5:$AF$104,"○")&gt;0))</f>
        <v>4</v>
      </c>
      <c r="AJ34" s="11">
        <f t="shared" si="10"/>
        <v>0</v>
      </c>
    </row>
    <row r="35" spans="2:36">
      <c r="B35" s="155" t="s">
        <v>125</v>
      </c>
      <c r="C35" s="131" t="s">
        <v>23</v>
      </c>
      <c r="D35" s="156">
        <f>IFERROR(INDEX(①各種設定!$K$5:$K$51,MATCH($B35,①各種設定!$J$5:$J$51,0)),0)</f>
        <v>1</v>
      </c>
      <c r="E35" s="131">
        <f>SUMPRODUCT(($C$6:$C$18="OP")*ISNUMBER(SEARCH("-",E$6:E$18))*(COUNTIFS(②メンバー!$B$5:$B$104,$B$6:$B$18,②メンバー!$AH$5:$AH$104,"○")&gt;0))</f>
        <v>4</v>
      </c>
      <c r="F35" s="131">
        <f>SUMPRODUCT(($C$6:$C$18="OP")*ISNUMBER(SEARCH("-",F$6:F$18))*(COUNTIFS(②メンバー!$B$5:$B$104,$B$6:$B$18,②メンバー!$AH$5:$AH$104,"○")&gt;0))</f>
        <v>4</v>
      </c>
      <c r="G35" s="88">
        <f>SUMPRODUCT(($C$6:$C$18="OP")*ISNUMBER(SEARCH("-",G$6:G$18))*(COUNTIFS(②メンバー!$B$5:$B$104,$B$6:$B$18,②メンバー!$AH$5:$AH$104,"○")&gt;0))</f>
        <v>4</v>
      </c>
      <c r="H35" s="88">
        <f>SUMPRODUCT(($C$6:$C$18="OP")*ISNUMBER(SEARCH("-",H$6:H$18))*(COUNTIFS(②メンバー!$B$5:$B$104,$B$6:$B$18,②メンバー!$AH$5:$AH$104,"○")&gt;0))</f>
        <v>4</v>
      </c>
      <c r="I35" s="131">
        <f>SUMPRODUCT(($C$6:$C$18="OP")*ISNUMBER(SEARCH("-",I$6:I$18))*(COUNTIFS(②メンバー!$B$5:$B$104,$B$6:$B$18,②メンバー!$AH$5:$AH$104,"○")&gt;0))</f>
        <v>4</v>
      </c>
      <c r="J35" s="131">
        <f>SUMPRODUCT(($C$6:$C$18="OP")*ISNUMBER(SEARCH("-",J$6:J$18))*(COUNTIFS(②メンバー!$B$5:$B$104,$B$6:$B$18,②メンバー!$AH$5:$AH$104,"○")&gt;0))</f>
        <v>4</v>
      </c>
      <c r="K35" s="131">
        <f>SUMPRODUCT(($C$6:$C$18="OP")*ISNUMBER(SEARCH("-",K$6:K$18))*(COUNTIFS(②メンバー!$B$5:$B$104,$B$6:$B$18,②メンバー!$AH$5:$AH$104,"○")&gt;0))</f>
        <v>4</v>
      </c>
      <c r="L35" s="131">
        <f>SUMPRODUCT(($C$6:$C$18="OP")*ISNUMBER(SEARCH("-",L$6:L$18))*(COUNTIFS(②メンバー!$B$5:$B$104,$B$6:$B$18,②メンバー!$AH$5:$AH$104,"○")&gt;0))</f>
        <v>4</v>
      </c>
      <c r="M35" s="131">
        <f>SUMPRODUCT(($C$6:$C$18="OP")*ISNUMBER(SEARCH("-",M$6:M$18))*(COUNTIFS(②メンバー!$B$5:$B$104,$B$6:$B$18,②メンバー!$AH$5:$AH$104,"○")&gt;0))</f>
        <v>4</v>
      </c>
      <c r="N35" s="88">
        <f>SUMPRODUCT(($C$6:$C$18="OP")*ISNUMBER(SEARCH("-",N$6:N$18))*(COUNTIFS(②メンバー!$B$5:$B$104,$B$6:$B$18,②メンバー!$AH$5:$AH$104,"○")&gt;0))</f>
        <v>4</v>
      </c>
      <c r="O35" s="88">
        <f>SUMPRODUCT(($C$6:$C$18="OP")*ISNUMBER(SEARCH("-",O$6:O$18))*(COUNTIFS(②メンバー!$B$5:$B$104,$B$6:$B$18,②メンバー!$AH$5:$AH$104,"○")&gt;0))</f>
        <v>4</v>
      </c>
      <c r="P35" s="88">
        <f>SUMPRODUCT(($C$6:$C$18="OP")*ISNUMBER(SEARCH("-",P$6:P$18))*(COUNTIFS(②メンバー!$B$5:$B$104,$B$6:$B$18,②メンバー!$AH$5:$AH$104,"○")&gt;0))</f>
        <v>0</v>
      </c>
      <c r="Q35" s="131">
        <f>SUMPRODUCT(($C$6:$C$18="OP")*ISNUMBER(SEARCH("-",Q$6:Q$18))*(COUNTIFS(②メンバー!$B$5:$B$104,$B$6:$B$18,②メンバー!$AH$5:$AH$104,"○")&gt;0))</f>
        <v>4</v>
      </c>
      <c r="R35" s="131">
        <f>SUMPRODUCT(($C$6:$C$18="OP")*ISNUMBER(SEARCH("-",R$6:R$18))*(COUNTIFS(②メンバー!$B$5:$B$104,$B$6:$B$18,②メンバー!$AH$5:$AH$104,"○")&gt;0))</f>
        <v>4</v>
      </c>
      <c r="S35" s="131">
        <f>SUMPRODUCT(($C$6:$C$18="OP")*ISNUMBER(SEARCH("-",S$6:S$18))*(COUNTIFS(②メンバー!$B$5:$B$104,$B$6:$B$18,②メンバー!$AH$5:$AH$104,"○")&gt;0))</f>
        <v>4</v>
      </c>
      <c r="T35" s="131">
        <f>SUMPRODUCT(($C$6:$C$18="OP")*ISNUMBER(SEARCH("-",T$6:T$18))*(COUNTIFS(②メンバー!$B$5:$B$104,$B$6:$B$18,②メンバー!$AH$5:$AH$104,"○")&gt;0))</f>
        <v>4</v>
      </c>
      <c r="U35" s="88">
        <f>SUMPRODUCT(($C$6:$C$18="OP")*ISNUMBER(SEARCH("-",U$6:U$18))*(COUNTIFS(②メンバー!$B$5:$B$104,$B$6:$B$18,②メンバー!$AH$5:$AH$104,"○")&gt;0))</f>
        <v>4</v>
      </c>
      <c r="V35" s="88">
        <f>SUMPRODUCT(($C$6:$C$18="OP")*ISNUMBER(SEARCH("-",V$6:V$18))*(COUNTIFS(②メンバー!$B$5:$B$104,$B$6:$B$18,②メンバー!$AH$5:$AH$104,"○")&gt;0))</f>
        <v>4</v>
      </c>
      <c r="W35" s="131">
        <f>SUMPRODUCT(($C$6:$C$18="OP")*ISNUMBER(SEARCH("-",W$6:W$18))*(COUNTIFS(②メンバー!$B$5:$B$104,$B$6:$B$18,②メンバー!$AH$5:$AH$104,"○")&gt;0))</f>
        <v>4</v>
      </c>
      <c r="X35" s="131">
        <f>SUMPRODUCT(($C$6:$C$18="OP")*ISNUMBER(SEARCH("-",X$6:X$18))*(COUNTIFS(②メンバー!$B$5:$B$104,$B$6:$B$18,②メンバー!$AH$5:$AH$104,"○")&gt;0))</f>
        <v>4</v>
      </c>
      <c r="Y35" s="131">
        <f>SUMPRODUCT(($C$6:$C$18="OP")*ISNUMBER(SEARCH("-",Y$6:Y$18))*(COUNTIFS(②メンバー!$B$5:$B$104,$B$6:$B$18,②メンバー!$AH$5:$AH$104,"○")&gt;0))</f>
        <v>4</v>
      </c>
      <c r="Z35" s="131">
        <f>SUMPRODUCT(($C$6:$C$18="OP")*ISNUMBER(SEARCH("-",Z$6:Z$18))*(COUNTIFS(②メンバー!$B$5:$B$104,$B$6:$B$18,②メンバー!$AH$5:$AH$104,"○")&gt;0))</f>
        <v>4</v>
      </c>
      <c r="AA35" s="131">
        <f>SUMPRODUCT(($C$6:$C$18="OP")*ISNUMBER(SEARCH("-",AA$6:AA$18))*(COUNTIFS(②メンバー!$B$5:$B$104,$B$6:$B$18,②メンバー!$AH$5:$AH$104,"○")&gt;0))</f>
        <v>4</v>
      </c>
      <c r="AB35" s="88">
        <f>SUMPRODUCT(($C$6:$C$18="OP")*ISNUMBER(SEARCH("-",AB$6:AB$18))*(COUNTIFS(②メンバー!$B$5:$B$104,$B$6:$B$18,②メンバー!$AH$5:$AH$104,"○")&gt;0))</f>
        <v>4</v>
      </c>
      <c r="AC35" s="88">
        <f>SUMPRODUCT(($C$6:$C$18="OP")*ISNUMBER(SEARCH("-",AC$6:AC$18))*(COUNTIFS(②メンバー!$B$5:$B$104,$B$6:$B$18,②メンバー!$AH$5:$AH$104,"○")&gt;0))</f>
        <v>4</v>
      </c>
      <c r="AD35" s="131">
        <f>SUMPRODUCT(($C$6:$C$18="OP")*ISNUMBER(SEARCH("-",AD$6:AD$18))*(COUNTIFS(②メンバー!$B$5:$B$104,$B$6:$B$18,②メンバー!$AH$5:$AH$104,"○")&gt;0))</f>
        <v>4</v>
      </c>
      <c r="AE35" s="131">
        <f>SUMPRODUCT(($C$6:$C$18="OP")*ISNUMBER(SEARCH("-",AE$6:AE$18))*(COUNTIFS(②メンバー!$B$5:$B$104,$B$6:$B$18,②メンバー!$AH$5:$AH$104,"○")&gt;0))</f>
        <v>4</v>
      </c>
      <c r="AF35" s="131">
        <f>SUMPRODUCT(($C$6:$C$18="OP")*ISNUMBER(SEARCH("-",AF$6:AF$18))*(COUNTIFS(②メンバー!$B$5:$B$104,$B$6:$B$18,②メンバー!$AH$5:$AH$104,"○")&gt;0))</f>
        <v>4</v>
      </c>
      <c r="AG35" s="131">
        <f>SUMPRODUCT(($C$6:$C$18="OP")*ISNUMBER(SEARCH("-",AG$6:AG$18))*(COUNTIFS(②メンバー!$B$5:$B$104,$B$6:$B$18,②メンバー!$AH$5:$AH$104,"○")&gt;0))</f>
        <v>4</v>
      </c>
      <c r="AH35" s="131">
        <f>SUMPRODUCT(($C$6:$C$18="OP")*ISNUMBER(SEARCH("-",AH$6:AH$18))*(COUNTIFS(②メンバー!$B$5:$B$104,$B$6:$B$18,②メンバー!$AH$5:$AH$104,"○")&gt;0))</f>
        <v>4</v>
      </c>
      <c r="AI35" s="88">
        <f>SUMPRODUCT(($C$6:$C$18="OP")*ISNUMBER(SEARCH("-",AI$6:AI$18))*(COUNTIFS(②メンバー!$B$5:$B$104,$B$6:$B$18,②メンバー!$AH$5:$AH$104,"○")&gt;0))</f>
        <v>4</v>
      </c>
      <c r="AJ35" s="11">
        <f t="shared" ref="AJ35" si="11">IF($D35&gt;0,SUMPRODUCT((E35:AI35&lt;$D35)*(E$37:AI$37&lt;&gt;"－")),"－")</f>
        <v>0</v>
      </c>
    </row>
    <row r="36" spans="2:36" ht="15" thickBot="1">
      <c r="B36" s="155" t="s">
        <v>253</v>
      </c>
      <c r="C36" s="131" t="s">
        <v>23</v>
      </c>
      <c r="D36" s="156">
        <f>IFERROR(INDEX(①各種設定!$K$5:$K$51,MATCH($B36,①各種設定!$J$5:$J$51,0)),0)</f>
        <v>1</v>
      </c>
      <c r="E36" s="131" cm="1">
        <f t="array" ref="E36">SUMPRODUCT(($C$6:$C$18="OP")*ISNUMBER(SEARCH("-",E$6:E$18))*(COUNTIFS(②メンバー!$B$5:$B$104,$B$6:$B$18,②メンバー!$AH$5:$AH$104,"○")&gt;0))</f>
        <v>4</v>
      </c>
      <c r="F36" s="131">
        <f>SUMPRODUCT(($C$6:$C$18="OP")*ISNUMBER(SEARCH("-",F$6:F$18))*(COUNTIFS(②メンバー!$B$5:$B$104,$B$6:$B$18,②メンバー!$AH$5:$AH$104,"○")&gt;0))</f>
        <v>4</v>
      </c>
      <c r="G36" s="88">
        <f>SUMPRODUCT(($C$6:$C$18="OP")*ISNUMBER(SEARCH("-",G$6:G$18))*(COUNTIFS(②メンバー!$B$5:$B$104,$B$6:$B$18,②メンバー!$AH$5:$AH$104,"○")&gt;0))</f>
        <v>4</v>
      </c>
      <c r="H36" s="88">
        <f>SUMPRODUCT(($C$6:$C$18="OP")*ISNUMBER(SEARCH("-",H$6:H$18))*(COUNTIFS(②メンバー!$B$5:$B$104,$B$6:$B$18,②メンバー!$AH$5:$AH$104,"○")&gt;0))</f>
        <v>4</v>
      </c>
      <c r="I36" s="131">
        <f>SUMPRODUCT(($C$6:$C$18="OP")*ISNUMBER(SEARCH("-",I$6:I$18))*(COUNTIFS(②メンバー!$B$5:$B$104,$B$6:$B$18,②メンバー!$AH$5:$AH$104,"○")&gt;0))</f>
        <v>4</v>
      </c>
      <c r="J36" s="131">
        <f>SUMPRODUCT(($C$6:$C$18="OP")*ISNUMBER(SEARCH("-",J$6:J$18))*(COUNTIFS(②メンバー!$B$5:$B$104,$B$6:$B$18,②メンバー!$AH$5:$AH$104,"○")&gt;0))</f>
        <v>4</v>
      </c>
      <c r="K36" s="131">
        <f>SUMPRODUCT(($C$6:$C$18="OP")*ISNUMBER(SEARCH("-",K$6:K$18))*(COUNTIFS(②メンバー!$B$5:$B$104,$B$6:$B$18,②メンバー!$AH$5:$AH$104,"○")&gt;0))</f>
        <v>4</v>
      </c>
      <c r="L36" s="131">
        <f>SUMPRODUCT(($C$6:$C$18="OP")*ISNUMBER(SEARCH("-",L$6:L$18))*(COUNTIFS(②メンバー!$B$5:$B$104,$B$6:$B$18,②メンバー!$AH$5:$AH$104,"○")&gt;0))</f>
        <v>4</v>
      </c>
      <c r="M36" s="131">
        <f>SUMPRODUCT(($C$6:$C$18="OP")*ISNUMBER(SEARCH("-",M$6:M$18))*(COUNTIFS(②メンバー!$B$5:$B$104,$B$6:$B$18,②メンバー!$AH$5:$AH$104,"○")&gt;0))</f>
        <v>4</v>
      </c>
      <c r="N36" s="88">
        <f>SUMPRODUCT(($C$6:$C$18="OP")*ISNUMBER(SEARCH("-",N$6:N$18))*(COUNTIFS(②メンバー!$B$5:$B$104,$B$6:$B$18,②メンバー!$AH$5:$AH$104,"○")&gt;0))</f>
        <v>4</v>
      </c>
      <c r="O36" s="88">
        <f>SUMPRODUCT(($C$6:$C$18="OP")*ISNUMBER(SEARCH("-",O$6:O$18))*(COUNTIFS(②メンバー!$B$5:$B$104,$B$6:$B$18,②メンバー!$AH$5:$AH$104,"○")&gt;0))</f>
        <v>4</v>
      </c>
      <c r="P36" s="88">
        <f>SUMPRODUCT(($C$6:$C$18="OP")*ISNUMBER(SEARCH("-",P$6:P$18))*(COUNTIFS(②メンバー!$B$5:$B$104,$B$6:$B$18,②メンバー!$AH$5:$AH$104,"○")&gt;0))</f>
        <v>0</v>
      </c>
      <c r="Q36" s="131">
        <f>SUMPRODUCT(($C$6:$C$18="OP")*ISNUMBER(SEARCH("-",Q$6:Q$18))*(COUNTIFS(②メンバー!$B$5:$B$104,$B$6:$B$18,②メンバー!$AH$5:$AH$104,"○")&gt;0))</f>
        <v>4</v>
      </c>
      <c r="R36" s="131">
        <f>SUMPRODUCT(($C$6:$C$18="OP")*ISNUMBER(SEARCH("-",R$6:R$18))*(COUNTIFS(②メンバー!$B$5:$B$104,$B$6:$B$18,②メンバー!$AH$5:$AH$104,"○")&gt;0))</f>
        <v>4</v>
      </c>
      <c r="S36" s="131">
        <f>SUMPRODUCT(($C$6:$C$18="OP")*ISNUMBER(SEARCH("-",S$6:S$18))*(COUNTIFS(②メンバー!$B$5:$B$104,$B$6:$B$18,②メンバー!$AH$5:$AH$104,"○")&gt;0))</f>
        <v>4</v>
      </c>
      <c r="T36" s="131">
        <f>SUMPRODUCT(($C$6:$C$18="OP")*ISNUMBER(SEARCH("-",T$6:T$18))*(COUNTIFS(②メンバー!$B$5:$B$104,$B$6:$B$18,②メンバー!$AH$5:$AH$104,"○")&gt;0))</f>
        <v>4</v>
      </c>
      <c r="U36" s="88">
        <f>SUMPRODUCT(($C$6:$C$18="OP")*ISNUMBER(SEARCH("-",U$6:U$18))*(COUNTIFS(②メンバー!$B$5:$B$104,$B$6:$B$18,②メンバー!$AH$5:$AH$104,"○")&gt;0))</f>
        <v>4</v>
      </c>
      <c r="V36" s="88">
        <f>SUMPRODUCT(($C$6:$C$18="OP")*ISNUMBER(SEARCH("-",V$6:V$18))*(COUNTIFS(②メンバー!$B$5:$B$104,$B$6:$B$18,②メンバー!$AH$5:$AH$104,"○")&gt;0))</f>
        <v>4</v>
      </c>
      <c r="W36" s="131">
        <f>SUMPRODUCT(($C$6:$C$18="OP")*ISNUMBER(SEARCH("-",W$6:W$18))*(COUNTIFS(②メンバー!$B$5:$B$104,$B$6:$B$18,②メンバー!$AH$5:$AH$104,"○")&gt;0))</f>
        <v>4</v>
      </c>
      <c r="X36" s="131">
        <f>SUMPRODUCT(($C$6:$C$18="OP")*ISNUMBER(SEARCH("-",X$6:X$18))*(COUNTIFS(②メンバー!$B$5:$B$104,$B$6:$B$18,②メンバー!$AH$5:$AH$104,"○")&gt;0))</f>
        <v>4</v>
      </c>
      <c r="Y36" s="131">
        <f>SUMPRODUCT(($C$6:$C$18="OP")*ISNUMBER(SEARCH("-",Y$6:Y$18))*(COUNTIFS(②メンバー!$B$5:$B$104,$B$6:$B$18,②メンバー!$AH$5:$AH$104,"○")&gt;0))</f>
        <v>4</v>
      </c>
      <c r="Z36" s="131">
        <f>SUMPRODUCT(($C$6:$C$18="OP")*ISNUMBER(SEARCH("-",Z$6:Z$18))*(COUNTIFS(②メンバー!$B$5:$B$104,$B$6:$B$18,②メンバー!$AH$5:$AH$104,"○")&gt;0))</f>
        <v>4</v>
      </c>
      <c r="AA36" s="131">
        <f>SUMPRODUCT(($C$6:$C$18="OP")*ISNUMBER(SEARCH("-",AA$6:AA$18))*(COUNTIFS(②メンバー!$B$5:$B$104,$B$6:$B$18,②メンバー!$AH$5:$AH$104,"○")&gt;0))</f>
        <v>4</v>
      </c>
      <c r="AB36" s="88">
        <f>SUMPRODUCT(($C$6:$C$18="OP")*ISNUMBER(SEARCH("-",AB$6:AB$18))*(COUNTIFS(②メンバー!$B$5:$B$104,$B$6:$B$18,②メンバー!$AH$5:$AH$104,"○")&gt;0))</f>
        <v>4</v>
      </c>
      <c r="AC36" s="88">
        <f>SUMPRODUCT(($C$6:$C$18="OP")*ISNUMBER(SEARCH("-",AC$6:AC$18))*(COUNTIFS(②メンバー!$B$5:$B$104,$B$6:$B$18,②メンバー!$AH$5:$AH$104,"○")&gt;0))</f>
        <v>4</v>
      </c>
      <c r="AD36" s="131">
        <f>SUMPRODUCT(($C$6:$C$18="OP")*ISNUMBER(SEARCH("-",AD$6:AD$18))*(COUNTIFS(②メンバー!$B$5:$B$104,$B$6:$B$18,②メンバー!$AH$5:$AH$104,"○")&gt;0))</f>
        <v>4</v>
      </c>
      <c r="AE36" s="131">
        <f>SUMPRODUCT(($C$6:$C$18="OP")*ISNUMBER(SEARCH("-",AE$6:AE$18))*(COUNTIFS(②メンバー!$B$5:$B$104,$B$6:$B$18,②メンバー!$AH$5:$AH$104,"○")&gt;0))</f>
        <v>4</v>
      </c>
      <c r="AF36" s="131">
        <f>SUMPRODUCT(($C$6:$C$18="OP")*ISNUMBER(SEARCH("-",AF$6:AF$18))*(COUNTIFS(②メンバー!$B$5:$B$104,$B$6:$B$18,②メンバー!$AH$5:$AH$104,"○")&gt;0))</f>
        <v>4</v>
      </c>
      <c r="AG36" s="131">
        <f>SUMPRODUCT(($C$6:$C$18="OP")*ISNUMBER(SEARCH("-",AG$6:AG$18))*(COUNTIFS(②メンバー!$B$5:$B$104,$B$6:$B$18,②メンバー!$AH$5:$AH$104,"○")&gt;0))</f>
        <v>4</v>
      </c>
      <c r="AH36" s="131">
        <f>SUMPRODUCT(($C$6:$C$18="OP")*ISNUMBER(SEARCH("-",AH$6:AH$18))*(COUNTIFS(②メンバー!$B$5:$B$104,$B$6:$B$18,②メンバー!$AH$5:$AH$104,"○")&gt;0))</f>
        <v>4</v>
      </c>
      <c r="AI36" s="88">
        <f>SUMPRODUCT(($C$6:$C$18="OP")*ISNUMBER(SEARCH("-",AI$6:AI$18))*(COUNTIFS(②メンバー!$B$5:$B$104,$B$6:$B$18,②メンバー!$AH$5:$AH$104,"○")&gt;0))</f>
        <v>4</v>
      </c>
      <c r="AJ36" s="11">
        <f t="shared" si="10"/>
        <v>0</v>
      </c>
    </row>
    <row r="37" spans="2:36">
      <c r="B37" s="89" t="s">
        <v>129</v>
      </c>
      <c r="C37" s="90" t="s">
        <v>23</v>
      </c>
      <c r="D37" s="90"/>
      <c r="E37" s="91" t="str">
        <f>IF(SUMPRODUCT((E$26:E$36&lt;$D$26:$D$36)*($D$26:$D$36&gt;0))=0,"○","×"&amp;SUMPRODUCT((E$26:E$36&lt;$D$26:$D$36)*($D$26:$D$36&gt;0)))</f>
        <v>○</v>
      </c>
      <c r="F37" s="91" t="str">
        <f>IF(SUMPRODUCT((F$26:F$36&lt;$D$26:$D$36)*($D$26:$D$36&gt;0))=0,"○","×"&amp;SUMPRODUCT((F$26:F$36&lt;$D$26:$D$36)*($D$26:$D$36&gt;0)))</f>
        <v>○</v>
      </c>
      <c r="G37" s="92" t="s">
        <v>130</v>
      </c>
      <c r="H37" s="92" t="s">
        <v>130</v>
      </c>
      <c r="I37" s="91" t="str">
        <f>IF(SUMPRODUCT((I$26:I$36&lt;$D$26:$D$36)*($D$26:$D$36&gt;0))=0,"○","×"&amp;SUMPRODUCT((I$26:I$36&lt;$D$26:$D$36)*($D$26:$D$36&gt;0)))</f>
        <v>○</v>
      </c>
      <c r="J37" s="91" t="str">
        <f>IF(SUMPRODUCT((J$26:J$36&lt;$D$26:$D$36)*($D$26:$D$36&gt;0))=0,"○","×"&amp;SUMPRODUCT((J$26:J$36&lt;$D$26:$D$36)*($D$26:$D$36&gt;0)))</f>
        <v>○</v>
      </c>
      <c r="K37" s="91" t="str">
        <f>IF(SUMPRODUCT((K$26:K$36&lt;$D$26:$D$36)*($D$26:$D$36&gt;0))=0,"○","×"&amp;SUMPRODUCT((K$26:K$36&lt;$D$26:$D$36)*($D$26:$D$36&gt;0)))</f>
        <v>○</v>
      </c>
      <c r="L37" s="91" t="str">
        <f>IF(SUMPRODUCT((L$26:L$36&lt;$D$26:$D$36)*($D$26:$D$36&gt;0))=0,"○","×"&amp;SUMPRODUCT((L$26:L$36&lt;$D$26:$D$36)*($D$26:$D$36&gt;0)))</f>
        <v>○</v>
      </c>
      <c r="M37" s="91" t="str">
        <f>IF(SUMPRODUCT((M$26:M$36&lt;$D$26:$D$36)*($D$26:$D$36&gt;0))=0,"○","×"&amp;SUMPRODUCT((M$26:M$36&lt;$D$26:$D$36)*($D$26:$D$36&gt;0)))</f>
        <v>○</v>
      </c>
      <c r="N37" s="92" t="s">
        <v>130</v>
      </c>
      <c r="O37" s="92" t="s">
        <v>130</v>
      </c>
      <c r="P37" s="92" t="s">
        <v>130</v>
      </c>
      <c r="Q37" s="91" t="str">
        <f>IF(SUMPRODUCT((Q$26:Q$36&lt;$D$26:$D$36)*($D$26:$D$36&gt;0))=0,"○","×"&amp;SUMPRODUCT((Q$26:Q$36&lt;$D$26:$D$36)*($D$26:$D$36&gt;0)))</f>
        <v>○</v>
      </c>
      <c r="R37" s="91" t="str">
        <f>IF(SUMPRODUCT((R$26:R$36&lt;$D$26:$D$36)*($D$26:$D$36&gt;0))=0,"○","×"&amp;SUMPRODUCT((R$26:R$36&lt;$D$26:$D$36)*($D$26:$D$36&gt;0)))</f>
        <v>○</v>
      </c>
      <c r="S37" s="91" t="str">
        <f>IF(SUMPRODUCT((S$26:S$36&lt;$D$26:$D$36)*($D$26:$D$36&gt;0))=0,"○","×"&amp;SUMPRODUCT((S$26:S$36&lt;$D$26:$D$36)*($D$26:$D$36&gt;0)))</f>
        <v>○</v>
      </c>
      <c r="T37" s="91" t="str">
        <f>IF(SUMPRODUCT((T$26:T$36&lt;$D$26:$D$36)*($D$26:$D$36&gt;0))=0,"○","×"&amp;SUMPRODUCT((T$26:T$36&lt;$D$26:$D$36)*($D$26:$D$36&gt;0)))</f>
        <v>○</v>
      </c>
      <c r="U37" s="92" t="s">
        <v>130</v>
      </c>
      <c r="V37" s="92" t="s">
        <v>130</v>
      </c>
      <c r="W37" s="91" t="str">
        <f>IF(SUMPRODUCT((W$26:W$36&lt;$D$26:$D$36)*($D$26:$D$36&gt;0))=0,"○","×"&amp;SUMPRODUCT((W$26:W$36&lt;$D$26:$D$36)*($D$26:$D$36&gt;0)))</f>
        <v>○</v>
      </c>
      <c r="X37" s="91" t="str">
        <f>IF(SUMPRODUCT((X$26:X$36&lt;$D$26:$D$36)*($D$26:$D$36&gt;0))=0,"○","×"&amp;SUMPRODUCT((X$26:X$36&lt;$D$26:$D$36)*($D$26:$D$36&gt;0)))</f>
        <v>○</v>
      </c>
      <c r="Y37" s="91" t="str">
        <f>IF(SUMPRODUCT((Y$26:Y$36&lt;$D$26:$D$36)*($D$26:$D$36&gt;0))=0,"○","×"&amp;SUMPRODUCT((Y$26:Y$36&lt;$D$26:$D$36)*($D$26:$D$36&gt;0)))</f>
        <v>○</v>
      </c>
      <c r="Z37" s="91" t="str">
        <f>IF(SUMPRODUCT((Z$26:Z$36&lt;$D$26:$D$36)*($D$26:$D$36&gt;0))=0,"○","×"&amp;SUMPRODUCT((Z$26:Z$36&lt;$D$26:$D$36)*($D$26:$D$36&gt;0)))</f>
        <v>○</v>
      </c>
      <c r="AA37" s="91" t="str">
        <f>IF(SUMPRODUCT((AA$26:AA$36&lt;$D$26:$D$36)*($D$26:$D$36&gt;0))=0,"○","×"&amp;SUMPRODUCT((AA$26:AA$36&lt;$D$26:$D$36)*($D$26:$D$36&gt;0)))</f>
        <v>○</v>
      </c>
      <c r="AB37" s="92" t="s">
        <v>130</v>
      </c>
      <c r="AC37" s="92" t="s">
        <v>130</v>
      </c>
      <c r="AD37" s="91" t="str">
        <f>IF(SUMPRODUCT((AD$26:AD$36&lt;$D$26:$D$36)*($D$26:$D$36&gt;0))=0,"○","×"&amp;SUMPRODUCT((AD$26:AD$36&lt;$D$26:$D$36)*($D$26:$D$36&gt;0)))</f>
        <v>○</v>
      </c>
      <c r="AE37" s="91" t="str">
        <f>IF(SUMPRODUCT((AE$26:AE$36&lt;$D$26:$D$36)*($D$26:$D$36&gt;0))=0,"○","×"&amp;SUMPRODUCT((AE$26:AE$36&lt;$D$26:$D$36)*($D$26:$D$36&gt;0)))</f>
        <v>○</v>
      </c>
      <c r="AF37" s="91" t="str">
        <f>IF(SUMPRODUCT((AF$26:AF$36&lt;$D$26:$D$36)*($D$26:$D$36&gt;0))=0,"○","×"&amp;SUMPRODUCT((AF$26:AF$36&lt;$D$26:$D$36)*($D$26:$D$36&gt;0)))</f>
        <v>○</v>
      </c>
      <c r="AG37" s="91" t="str">
        <f>IF(SUMPRODUCT((AG$26:AG$36&lt;$D$26:$D$36)*($D$26:$D$36&gt;0))=0,"○","×"&amp;SUMPRODUCT((AG$26:AG$36&lt;$D$26:$D$36)*($D$26:$D$36&gt;0)))</f>
        <v>○</v>
      </c>
      <c r="AH37" s="91" t="str">
        <f>IF(SUMPRODUCT((AH$26:AH$36&lt;$D$26:$D$36)*($D$26:$D$36&gt;0))=0,"○","×"&amp;SUMPRODUCT((AH$26:AH$36&lt;$D$26:$D$36)*($D$26:$D$36&gt;0)))</f>
        <v>○</v>
      </c>
      <c r="AI37" s="92" t="s">
        <v>130</v>
      </c>
      <c r="AJ37" s="82">
        <f>COUNTIF(E37:AI37,"×*")</f>
        <v>0</v>
      </c>
    </row>
  </sheetData>
  <mergeCells count="8">
    <mergeCell ref="AL4:AL5"/>
    <mergeCell ref="AM4:AM5"/>
    <mergeCell ref="A4:A5"/>
    <mergeCell ref="B4:B5"/>
    <mergeCell ref="C4:C5"/>
    <mergeCell ref="D4:D5"/>
    <mergeCell ref="AJ4:AJ5"/>
    <mergeCell ref="AK4:AK5"/>
  </mergeCells>
  <phoneticPr fontId="1"/>
  <conditionalFormatting sqref="E26:AI36">
    <cfRule type="expression" dxfId="21" priority="5" stopIfTrue="1">
      <formula>AND($D26&gt;0,E26&lt;$D26,E$37&lt;&gt;"－")</formula>
    </cfRule>
    <cfRule type="expression" dxfId="20" priority="6" stopIfTrue="1">
      <formula>AND($D26&gt;0,E$37&lt;&gt;"－")</formula>
    </cfRule>
  </conditionalFormatting>
  <conditionalFormatting sqref="E37:AI37">
    <cfRule type="expression" dxfId="19" priority="7" stopIfTrue="1">
      <formula>LEFT(E37,1)="×"</formula>
    </cfRule>
    <cfRule type="expression" dxfId="18" priority="8" stopIfTrue="1">
      <formula>E37="○"</formula>
    </cfRule>
  </conditionalFormatting>
  <conditionalFormatting sqref="AJ26:AJ37">
    <cfRule type="expression" dxfId="17" priority="9" stopIfTrue="1">
      <formula>AND(ISNUMBER(AJ26),AJ26&gt;0)</formula>
    </cfRule>
  </conditionalFormatting>
  <conditionalFormatting sqref="E6:AI18">
    <cfRule type="cellIs" dxfId="16" priority="10" stopIfTrue="1" operator="equal">
      <formula>"-"</formula>
    </cfRule>
    <cfRule type="cellIs" dxfId="15" priority="2" stopIfTrue="1" operator="equal">
      <formula>"祝"</formula>
    </cfRule>
    <cfRule type="cellIs" dxfId="14" priority="3" stopIfTrue="1" operator="equal">
      <formula>"休"</formula>
    </cfRule>
    <cfRule type="cellIs" dxfId="13" priority="4" stopIfTrue="1" operator="equal">
      <formula>"振"</formula>
    </cfRule>
  </conditionalFormatting>
  <hyperlinks>
    <hyperlink ref="A1" location="'表紙'!A1" display="◀ 表紙へ" xr:uid="{0286F146-5951-4EF3-87C0-3396A5DC9E44}"/>
  </hyperlinks>
  <pageMargins left="0.7" right="0.7" top="0.75" bottom="0.75" header="0.3" footer="0.3"/>
  <pageSetup paperSize="9" scale="37" fitToHeight="0" orientation="landscape" r:id="rId1"/>
  <headerFooter>
    <oddHeader>&amp;C⑤月間_2026年10月</oddHead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4B8F4-8EB7-4174-B603-5D9630BA3936}">
  <sheetPr codeName="Sheet6">
    <tabColor rgb="FF7030A0"/>
    <pageSetUpPr fitToPage="1"/>
  </sheetPr>
  <dimension ref="A1:R471"/>
  <sheetViews>
    <sheetView showGridLines="0" zoomScaleNormal="100" workbookViewId="0">
      <pane ySplit="6" topLeftCell="A61" activePane="bottomLeft" state="frozen"/>
      <selection pane="bottomLeft" activeCell="J77" sqref="J77"/>
    </sheetView>
  </sheetViews>
  <sheetFormatPr defaultRowHeight="14.25"/>
  <cols>
    <col min="1" max="1" width="4.625" customWidth="1"/>
    <col min="2" max="2" width="12.625" customWidth="1"/>
    <col min="3" max="4" width="6.625" customWidth="1"/>
    <col min="5" max="14" width="7.125" customWidth="1"/>
    <col min="15" max="15" width="40.625" customWidth="1"/>
    <col min="16" max="16" width="4.625" customWidth="1"/>
    <col min="17" max="18" width="0" hidden="1" customWidth="1"/>
  </cols>
  <sheetData>
    <row r="1" spans="1:18" ht="19.5">
      <c r="A1" s="2" t="s">
        <v>292</v>
      </c>
      <c r="C1" s="44" t="s">
        <v>191</v>
      </c>
    </row>
    <row r="2" spans="1:18">
      <c r="A2" s="96">
        <v>46296</v>
      </c>
      <c r="C2" s="2" t="s">
        <v>189</v>
      </c>
      <c r="G2" s="45" t="s">
        <v>153</v>
      </c>
      <c r="H2" s="46" t="s">
        <v>4436</v>
      </c>
      <c r="I2" s="47" t="s">
        <v>4435</v>
      </c>
      <c r="J2" s="48" t="s">
        <v>30</v>
      </c>
      <c r="K2" s="47" t="s">
        <v>31</v>
      </c>
      <c r="L2" s="49" t="s">
        <v>28</v>
      </c>
      <c r="M2" s="47" t="s">
        <v>32</v>
      </c>
    </row>
    <row r="3" spans="1:18">
      <c r="A3" s="96" t="s">
        <v>190</v>
      </c>
    </row>
    <row r="4" spans="1:18">
      <c r="B4" s="45" t="s">
        <v>192</v>
      </c>
      <c r="D4" s="104">
        <v>1</v>
      </c>
      <c r="E4" s="104">
        <v>2</v>
      </c>
      <c r="F4" s="105">
        <v>3</v>
      </c>
      <c r="G4" s="106">
        <v>4</v>
      </c>
      <c r="H4" s="104">
        <v>5</v>
      </c>
      <c r="I4" s="104">
        <v>6</v>
      </c>
      <c r="J4" s="104">
        <v>7</v>
      </c>
      <c r="K4" s="104">
        <v>8</v>
      </c>
      <c r="L4" s="104">
        <v>9</v>
      </c>
      <c r="M4" s="105">
        <v>10</v>
      </c>
      <c r="N4" s="106">
        <v>11</v>
      </c>
    </row>
    <row r="5" spans="1:18">
      <c r="D5" s="106">
        <v>12</v>
      </c>
      <c r="E5" s="104">
        <v>13</v>
      </c>
      <c r="F5" s="104">
        <v>14</v>
      </c>
      <c r="G5" s="104">
        <v>15</v>
      </c>
      <c r="H5" s="104">
        <v>16</v>
      </c>
      <c r="I5" s="105">
        <v>17</v>
      </c>
      <c r="J5" s="106">
        <v>18</v>
      </c>
      <c r="K5" s="104">
        <v>19</v>
      </c>
      <c r="L5" s="104">
        <v>20</v>
      </c>
      <c r="M5" s="104">
        <v>21</v>
      </c>
      <c r="N5" s="104">
        <v>22</v>
      </c>
    </row>
    <row r="6" spans="1:18">
      <c r="D6" s="104">
        <v>23</v>
      </c>
      <c r="E6" s="105">
        <v>24</v>
      </c>
      <c r="F6" s="106">
        <v>25</v>
      </c>
      <c r="G6" s="104">
        <v>26</v>
      </c>
      <c r="H6" s="104">
        <v>27</v>
      </c>
      <c r="I6" s="104">
        <v>28</v>
      </c>
      <c r="J6" s="104">
        <v>29</v>
      </c>
      <c r="K6" s="104">
        <v>30</v>
      </c>
      <c r="L6" s="105">
        <v>31</v>
      </c>
    </row>
    <row r="7" spans="1:18" ht="15" thickBot="1"/>
    <row r="8" spans="1:18" ht="26.1" customHeight="1">
      <c r="A8" s="228" t="s">
        <v>154</v>
      </c>
      <c r="B8" s="229"/>
      <c r="C8" s="230"/>
      <c r="D8" s="103" t="s">
        <v>155</v>
      </c>
      <c r="E8" s="168">
        <v>0.33333333333333331</v>
      </c>
      <c r="F8" s="169">
        <v>0.375</v>
      </c>
      <c r="G8" s="169">
        <v>0.41666666666666669</v>
      </c>
      <c r="H8" s="169">
        <v>0.45833333333333331</v>
      </c>
      <c r="I8" s="169">
        <v>0.5</v>
      </c>
      <c r="J8" s="169">
        <v>0.54166666666666663</v>
      </c>
      <c r="K8" s="169">
        <v>0.58333333333333337</v>
      </c>
      <c r="L8" s="169">
        <v>0.625</v>
      </c>
      <c r="M8" s="169">
        <v>0.66666666666666663</v>
      </c>
      <c r="N8" s="170">
        <v>0.70833333333333337</v>
      </c>
      <c r="O8" s="196" t="s">
        <v>262</v>
      </c>
      <c r="P8" s="102" t="s">
        <v>156</v>
      </c>
      <c r="Q8">
        <v>46296</v>
      </c>
    </row>
    <row r="9" spans="1:18">
      <c r="A9" s="98">
        <v>1</v>
      </c>
      <c r="B9" s="114" t="s">
        <v>63</v>
      </c>
      <c r="C9" s="8" t="s">
        <v>21</v>
      </c>
      <c r="D9" s="109"/>
      <c r="E9" s="171" t="s">
        <v>4433</v>
      </c>
      <c r="F9" s="172" t="s">
        <v>4433</v>
      </c>
      <c r="G9" s="172" t="s">
        <v>4433</v>
      </c>
      <c r="H9" s="172" t="s">
        <v>4433</v>
      </c>
      <c r="I9" s="172" t="s">
        <v>4433</v>
      </c>
      <c r="J9" s="172" t="s">
        <v>4433</v>
      </c>
      <c r="K9" s="172" t="s">
        <v>4433</v>
      </c>
      <c r="L9" s="172" t="s">
        <v>4433</v>
      </c>
      <c r="M9" s="172" t="s">
        <v>4433</v>
      </c>
      <c r="N9" s="173" t="s">
        <v>4433</v>
      </c>
      <c r="O9" s="111"/>
      <c r="Q9">
        <v>46296</v>
      </c>
    </row>
    <row r="10" spans="1:18">
      <c r="A10" s="98">
        <v>2</v>
      </c>
      <c r="B10" s="113" t="s">
        <v>65</v>
      </c>
      <c r="C10" s="8" t="s">
        <v>21</v>
      </c>
      <c r="D10" s="109"/>
      <c r="E10" s="171"/>
      <c r="F10" s="172"/>
      <c r="G10" s="172"/>
      <c r="H10" s="172"/>
      <c r="I10" s="172" t="s">
        <v>4492</v>
      </c>
      <c r="J10" s="172"/>
      <c r="K10" s="172"/>
      <c r="L10" s="172"/>
      <c r="M10" s="172"/>
      <c r="N10" s="173"/>
      <c r="O10" s="111"/>
      <c r="Q10">
        <v>46296</v>
      </c>
    </row>
    <row r="11" spans="1:18">
      <c r="A11" s="98">
        <v>3</v>
      </c>
      <c r="B11" s="113" t="s">
        <v>67</v>
      </c>
      <c r="C11" s="8" t="s">
        <v>21</v>
      </c>
      <c r="D11" s="109"/>
      <c r="E11" s="171"/>
      <c r="F11" s="172"/>
      <c r="G11" s="172"/>
      <c r="H11" s="172"/>
      <c r="I11" s="172"/>
      <c r="J11" s="172" t="s">
        <v>4492</v>
      </c>
      <c r="K11" s="172"/>
      <c r="L11" s="172"/>
      <c r="M11" s="172"/>
      <c r="N11" s="173"/>
      <c r="O11" s="111"/>
      <c r="Q11">
        <v>46296</v>
      </c>
    </row>
    <row r="12" spans="1:18">
      <c r="A12" s="98">
        <v>4</v>
      </c>
      <c r="B12" s="114" t="s">
        <v>69</v>
      </c>
      <c r="C12" s="9" t="s">
        <v>22</v>
      </c>
      <c r="D12" s="109"/>
      <c r="E12" s="171" t="s">
        <v>4434</v>
      </c>
      <c r="F12" s="172" t="s">
        <v>4434</v>
      </c>
      <c r="G12" s="172" t="s">
        <v>4434</v>
      </c>
      <c r="H12" s="172" t="s">
        <v>4434</v>
      </c>
      <c r="I12" s="172" t="s">
        <v>4434</v>
      </c>
      <c r="J12" s="172" t="s">
        <v>4434</v>
      </c>
      <c r="K12" s="172" t="s">
        <v>4434</v>
      </c>
      <c r="L12" s="172" t="s">
        <v>4434</v>
      </c>
      <c r="M12" s="172" t="s">
        <v>4434</v>
      </c>
      <c r="N12" s="173" t="s">
        <v>4434</v>
      </c>
      <c r="O12" s="111"/>
      <c r="Q12">
        <v>46296</v>
      </c>
    </row>
    <row r="13" spans="1:18">
      <c r="A13" s="98">
        <v>5</v>
      </c>
      <c r="B13" s="113" t="s">
        <v>71</v>
      </c>
      <c r="C13" s="9" t="s">
        <v>22</v>
      </c>
      <c r="D13" s="109"/>
      <c r="E13" s="171"/>
      <c r="F13" s="172"/>
      <c r="G13" s="179" t="s">
        <v>122</v>
      </c>
      <c r="H13" s="172"/>
      <c r="I13" s="172"/>
      <c r="J13" s="172" t="s">
        <v>4492</v>
      </c>
      <c r="K13" s="172"/>
      <c r="L13" s="172"/>
      <c r="M13" s="172"/>
      <c r="N13" s="173"/>
      <c r="O13" s="111"/>
      <c r="Q13">
        <v>46296</v>
      </c>
      <c r="R13" s="194" t="s">
        <v>255</v>
      </c>
    </row>
    <row r="14" spans="1:18">
      <c r="A14" s="98">
        <v>6</v>
      </c>
      <c r="B14" s="114" t="s">
        <v>73</v>
      </c>
      <c r="C14" s="10" t="s">
        <v>23</v>
      </c>
      <c r="D14" s="109"/>
      <c r="E14" s="171" t="s">
        <v>4434</v>
      </c>
      <c r="F14" s="172" t="s">
        <v>4434</v>
      </c>
      <c r="G14" s="172" t="s">
        <v>4434</v>
      </c>
      <c r="H14" s="172" t="s">
        <v>4434</v>
      </c>
      <c r="I14" s="172" t="s">
        <v>4434</v>
      </c>
      <c r="J14" s="172" t="s">
        <v>4434</v>
      </c>
      <c r="K14" s="172" t="s">
        <v>4434</v>
      </c>
      <c r="L14" s="172" t="s">
        <v>4434</v>
      </c>
      <c r="M14" s="172" t="s">
        <v>4434</v>
      </c>
      <c r="N14" s="173" t="s">
        <v>4434</v>
      </c>
      <c r="O14" s="111"/>
      <c r="Q14">
        <v>46296</v>
      </c>
    </row>
    <row r="15" spans="1:18">
      <c r="A15" s="98">
        <v>7</v>
      </c>
      <c r="B15" s="113" t="s">
        <v>75</v>
      </c>
      <c r="C15" s="10" t="s">
        <v>23</v>
      </c>
      <c r="D15" s="192"/>
      <c r="E15" s="171"/>
      <c r="F15" s="172"/>
      <c r="G15" s="172"/>
      <c r="H15" s="172"/>
      <c r="I15" s="172" t="s">
        <v>4492</v>
      </c>
      <c r="J15" s="172"/>
      <c r="K15" s="172"/>
      <c r="L15" s="172"/>
      <c r="M15" s="172"/>
      <c r="N15" s="173"/>
      <c r="O15" s="111"/>
      <c r="Q15">
        <v>46296</v>
      </c>
    </row>
    <row r="16" spans="1:18">
      <c r="A16" s="98">
        <v>8</v>
      </c>
      <c r="B16" s="113" t="s">
        <v>77</v>
      </c>
      <c r="C16" s="10" t="s">
        <v>23</v>
      </c>
      <c r="D16" s="186" t="s">
        <v>57</v>
      </c>
      <c r="E16" s="171"/>
      <c r="F16" s="172"/>
      <c r="G16" s="172"/>
      <c r="H16" s="172"/>
      <c r="I16" s="172" t="s">
        <v>4492</v>
      </c>
      <c r="J16" s="172"/>
      <c r="K16" s="172"/>
      <c r="L16" s="172"/>
      <c r="M16" s="172"/>
      <c r="N16" s="173"/>
      <c r="O16" s="111"/>
      <c r="Q16">
        <v>46296</v>
      </c>
      <c r="R16" s="194" t="s">
        <v>254</v>
      </c>
    </row>
    <row r="17" spans="1:18">
      <c r="A17" s="98">
        <v>9</v>
      </c>
      <c r="B17" s="113" t="s">
        <v>79</v>
      </c>
      <c r="C17" s="10" t="s">
        <v>23</v>
      </c>
      <c r="D17" s="186" t="s">
        <v>57</v>
      </c>
      <c r="E17" s="171"/>
      <c r="F17" s="172"/>
      <c r="G17" s="172"/>
      <c r="H17" s="172"/>
      <c r="I17" s="172" t="s">
        <v>4492</v>
      </c>
      <c r="J17" s="172"/>
      <c r="K17" s="184"/>
      <c r="L17" s="172"/>
      <c r="M17" s="172"/>
      <c r="N17" s="173"/>
      <c r="O17" s="111"/>
      <c r="Q17">
        <v>46296</v>
      </c>
      <c r="R17" s="194" t="s">
        <v>254</v>
      </c>
    </row>
    <row r="18" spans="1:18">
      <c r="A18" s="98">
        <v>10</v>
      </c>
      <c r="B18" s="113" t="s">
        <v>81</v>
      </c>
      <c r="C18" s="10" t="s">
        <v>23</v>
      </c>
      <c r="D18" s="109"/>
      <c r="E18" s="171"/>
      <c r="F18" s="172"/>
      <c r="G18" s="179" t="s">
        <v>122</v>
      </c>
      <c r="H18" s="172"/>
      <c r="I18" s="172" t="s">
        <v>4492</v>
      </c>
      <c r="J18" s="179" t="s">
        <v>124</v>
      </c>
      <c r="K18" s="179" t="s">
        <v>226</v>
      </c>
      <c r="L18" s="172"/>
      <c r="M18" s="172"/>
      <c r="N18" s="195" t="s">
        <v>252</v>
      </c>
      <c r="O18" s="111"/>
      <c r="Q18">
        <v>46296</v>
      </c>
      <c r="R18" s="194" t="s">
        <v>261</v>
      </c>
    </row>
    <row r="19" spans="1:18">
      <c r="A19" s="98">
        <v>11</v>
      </c>
      <c r="B19" s="113" t="s">
        <v>83</v>
      </c>
      <c r="C19" s="10" t="s">
        <v>23</v>
      </c>
      <c r="D19" s="109"/>
      <c r="E19" s="171"/>
      <c r="F19" s="172"/>
      <c r="G19" s="179" t="s">
        <v>122</v>
      </c>
      <c r="H19" s="172"/>
      <c r="I19" s="172" t="s">
        <v>4492</v>
      </c>
      <c r="J19" s="179" t="s">
        <v>124</v>
      </c>
      <c r="K19" s="184"/>
      <c r="L19" s="172"/>
      <c r="M19" s="172"/>
      <c r="N19" s="195" t="s">
        <v>252</v>
      </c>
      <c r="O19" s="111"/>
      <c r="Q19">
        <v>46296</v>
      </c>
      <c r="R19" s="194" t="s">
        <v>260</v>
      </c>
    </row>
    <row r="20" spans="1:18">
      <c r="A20" s="98">
        <v>12</v>
      </c>
      <c r="B20" s="113" t="s">
        <v>85</v>
      </c>
      <c r="C20" s="10" t="s">
        <v>23</v>
      </c>
      <c r="D20" s="109"/>
      <c r="E20" s="171"/>
      <c r="F20" s="172"/>
      <c r="G20" s="172"/>
      <c r="H20" s="172"/>
      <c r="I20" s="172" t="s">
        <v>4492</v>
      </c>
      <c r="J20" s="179" t="s">
        <v>124</v>
      </c>
      <c r="K20" s="179" t="s">
        <v>224</v>
      </c>
      <c r="L20" s="172"/>
      <c r="M20" s="172"/>
      <c r="N20" s="173"/>
      <c r="O20" s="111"/>
      <c r="Q20">
        <v>46296</v>
      </c>
      <c r="R20" s="194" t="s">
        <v>258</v>
      </c>
    </row>
    <row r="21" spans="1:18" ht="15" thickBot="1">
      <c r="A21" s="99">
        <v>13</v>
      </c>
      <c r="B21" s="115" t="s">
        <v>87</v>
      </c>
      <c r="C21" s="100" t="s">
        <v>23</v>
      </c>
      <c r="D21" s="187" t="s">
        <v>57</v>
      </c>
      <c r="E21" s="174"/>
      <c r="F21" s="175"/>
      <c r="G21" s="175"/>
      <c r="H21" s="175"/>
      <c r="I21" s="175" t="s">
        <v>4492</v>
      </c>
      <c r="J21" s="185"/>
      <c r="K21" s="175"/>
      <c r="L21" s="175"/>
      <c r="M21" s="175"/>
      <c r="N21" s="176"/>
      <c r="O21" s="112"/>
      <c r="Q21">
        <v>46296</v>
      </c>
      <c r="R21" s="194" t="s">
        <v>254</v>
      </c>
    </row>
    <row r="22" spans="1:18" ht="15" thickBot="1">
      <c r="A22" s="107"/>
      <c r="B22" s="108"/>
      <c r="C22" s="107"/>
      <c r="D22" s="107"/>
      <c r="E22" s="177"/>
      <c r="F22" s="177"/>
      <c r="G22" s="177"/>
      <c r="H22" s="177"/>
      <c r="I22" s="177"/>
      <c r="J22" s="177"/>
      <c r="K22" s="177"/>
      <c r="L22" s="177"/>
      <c r="M22" s="177"/>
      <c r="N22" s="177"/>
      <c r="O22" s="108"/>
    </row>
    <row r="23" spans="1:18" ht="26.1" customHeight="1">
      <c r="A23" s="228" t="s">
        <v>157</v>
      </c>
      <c r="B23" s="229"/>
      <c r="C23" s="230"/>
      <c r="D23" s="103" t="s">
        <v>155</v>
      </c>
      <c r="E23" s="168">
        <v>0.33333333333333331</v>
      </c>
      <c r="F23" s="169">
        <v>0.375</v>
      </c>
      <c r="G23" s="169">
        <v>0.41666666666666669</v>
      </c>
      <c r="H23" s="169">
        <v>0.45833333333333331</v>
      </c>
      <c r="I23" s="169">
        <v>0.5</v>
      </c>
      <c r="J23" s="169">
        <v>0.54166666666666663</v>
      </c>
      <c r="K23" s="169">
        <v>0.58333333333333337</v>
      </c>
      <c r="L23" s="169">
        <v>0.625</v>
      </c>
      <c r="M23" s="169">
        <v>0.66666666666666663</v>
      </c>
      <c r="N23" s="170">
        <v>0.70833333333333337</v>
      </c>
      <c r="O23" s="196" t="s">
        <v>262</v>
      </c>
      <c r="P23" s="102" t="s">
        <v>156</v>
      </c>
      <c r="Q23">
        <v>46297</v>
      </c>
    </row>
    <row r="24" spans="1:18">
      <c r="A24" s="98">
        <v>1</v>
      </c>
      <c r="B24" s="113" t="s">
        <v>63</v>
      </c>
      <c r="C24" s="8" t="s">
        <v>21</v>
      </c>
      <c r="D24" s="109"/>
      <c r="E24" s="171"/>
      <c r="F24" s="172"/>
      <c r="G24" s="172"/>
      <c r="H24" s="172"/>
      <c r="I24" s="172"/>
      <c r="J24" s="172" t="s">
        <v>4492</v>
      </c>
      <c r="K24" s="172"/>
      <c r="L24" s="172"/>
      <c r="M24" s="172"/>
      <c r="N24" s="173"/>
      <c r="O24" s="111"/>
      <c r="Q24">
        <v>46297</v>
      </c>
    </row>
    <row r="25" spans="1:18">
      <c r="A25" s="98">
        <v>2</v>
      </c>
      <c r="B25" s="114" t="s">
        <v>65</v>
      </c>
      <c r="C25" s="8" t="s">
        <v>21</v>
      </c>
      <c r="D25" s="109"/>
      <c r="E25" s="171" t="s">
        <v>4434</v>
      </c>
      <c r="F25" s="172" t="s">
        <v>4434</v>
      </c>
      <c r="G25" s="172" t="s">
        <v>4434</v>
      </c>
      <c r="H25" s="172" t="s">
        <v>4434</v>
      </c>
      <c r="I25" s="172" t="s">
        <v>4434</v>
      </c>
      <c r="J25" s="172" t="s">
        <v>4434</v>
      </c>
      <c r="K25" s="172" t="s">
        <v>4434</v>
      </c>
      <c r="L25" s="172" t="s">
        <v>4434</v>
      </c>
      <c r="M25" s="172" t="s">
        <v>4434</v>
      </c>
      <c r="N25" s="173" t="s">
        <v>4434</v>
      </c>
      <c r="O25" s="111"/>
      <c r="Q25">
        <v>46297</v>
      </c>
    </row>
    <row r="26" spans="1:18">
      <c r="A26" s="98">
        <v>3</v>
      </c>
      <c r="B26" s="113" t="s">
        <v>67</v>
      </c>
      <c r="C26" s="8" t="s">
        <v>21</v>
      </c>
      <c r="D26" s="109"/>
      <c r="E26" s="171"/>
      <c r="F26" s="172"/>
      <c r="G26" s="172"/>
      <c r="H26" s="172"/>
      <c r="I26" s="172"/>
      <c r="J26" s="172" t="s">
        <v>4492</v>
      </c>
      <c r="K26" s="172"/>
      <c r="L26" s="172"/>
      <c r="M26" s="172"/>
      <c r="N26" s="173"/>
      <c r="O26" s="111"/>
      <c r="Q26">
        <v>46297</v>
      </c>
    </row>
    <row r="27" spans="1:18">
      <c r="A27" s="98">
        <v>4</v>
      </c>
      <c r="B27" s="113" t="s">
        <v>69</v>
      </c>
      <c r="C27" s="9" t="s">
        <v>22</v>
      </c>
      <c r="D27" s="109"/>
      <c r="E27" s="171"/>
      <c r="F27" s="172"/>
      <c r="G27" s="179" t="s">
        <v>122</v>
      </c>
      <c r="H27" s="172"/>
      <c r="I27" s="172" t="s">
        <v>4492</v>
      </c>
      <c r="J27" s="179" t="s">
        <v>124</v>
      </c>
      <c r="K27" s="172"/>
      <c r="L27" s="172"/>
      <c r="M27" s="172"/>
      <c r="N27" s="173"/>
      <c r="O27" s="111"/>
      <c r="Q27">
        <v>46297</v>
      </c>
      <c r="R27" s="194" t="s">
        <v>257</v>
      </c>
    </row>
    <row r="28" spans="1:18">
      <c r="A28" s="98">
        <v>5</v>
      </c>
      <c r="B28" s="113" t="s">
        <v>71</v>
      </c>
      <c r="C28" s="9" t="s">
        <v>22</v>
      </c>
      <c r="D28" s="109"/>
      <c r="E28" s="171"/>
      <c r="F28" s="172"/>
      <c r="G28" s="172"/>
      <c r="H28" s="172"/>
      <c r="I28" s="172"/>
      <c r="J28" s="172" t="s">
        <v>4492</v>
      </c>
      <c r="K28" s="172"/>
      <c r="L28" s="172"/>
      <c r="M28" s="172"/>
      <c r="N28" s="173"/>
      <c r="O28" s="111"/>
      <c r="Q28">
        <v>46297</v>
      </c>
    </row>
    <row r="29" spans="1:18">
      <c r="A29" s="98">
        <v>6</v>
      </c>
      <c r="B29" s="113" t="s">
        <v>73</v>
      </c>
      <c r="C29" s="10" t="s">
        <v>23</v>
      </c>
      <c r="D29" s="186" t="s">
        <v>57</v>
      </c>
      <c r="E29" s="171"/>
      <c r="F29" s="172"/>
      <c r="G29" s="172"/>
      <c r="H29" s="172"/>
      <c r="I29" s="172" t="s">
        <v>4492</v>
      </c>
      <c r="J29" s="172"/>
      <c r="K29" s="172"/>
      <c r="L29" s="172"/>
      <c r="M29" s="172"/>
      <c r="N29" s="173"/>
      <c r="O29" s="111"/>
      <c r="Q29">
        <v>46297</v>
      </c>
      <c r="R29" s="194" t="s">
        <v>254</v>
      </c>
    </row>
    <row r="30" spans="1:18">
      <c r="A30" s="98">
        <v>7</v>
      </c>
      <c r="B30" s="114" t="s">
        <v>75</v>
      </c>
      <c r="C30" s="10" t="s">
        <v>23</v>
      </c>
      <c r="D30" s="109"/>
      <c r="E30" s="171" t="s">
        <v>4434</v>
      </c>
      <c r="F30" s="172" t="s">
        <v>4434</v>
      </c>
      <c r="G30" s="172" t="s">
        <v>4434</v>
      </c>
      <c r="H30" s="172" t="s">
        <v>4434</v>
      </c>
      <c r="I30" s="172" t="s">
        <v>4434</v>
      </c>
      <c r="J30" s="172" t="s">
        <v>4434</v>
      </c>
      <c r="K30" s="172" t="s">
        <v>4434</v>
      </c>
      <c r="L30" s="172" t="s">
        <v>4434</v>
      </c>
      <c r="M30" s="172" t="s">
        <v>4434</v>
      </c>
      <c r="N30" s="173" t="s">
        <v>4434</v>
      </c>
      <c r="O30" s="111"/>
      <c r="Q30">
        <v>46297</v>
      </c>
    </row>
    <row r="31" spans="1:18">
      <c r="A31" s="98">
        <v>8</v>
      </c>
      <c r="B31" s="113" t="s">
        <v>77</v>
      </c>
      <c r="C31" s="10" t="s">
        <v>23</v>
      </c>
      <c r="D31" s="192"/>
      <c r="E31" s="171"/>
      <c r="F31" s="172"/>
      <c r="G31" s="172"/>
      <c r="H31" s="172"/>
      <c r="I31" s="172" t="s">
        <v>4492</v>
      </c>
      <c r="J31" s="172"/>
      <c r="K31" s="172"/>
      <c r="L31" s="172"/>
      <c r="M31" s="172"/>
      <c r="N31" s="173"/>
      <c r="O31" s="111"/>
      <c r="Q31">
        <v>46297</v>
      </c>
    </row>
    <row r="32" spans="1:18">
      <c r="A32" s="98">
        <v>9</v>
      </c>
      <c r="B32" s="113" t="s">
        <v>79</v>
      </c>
      <c r="C32" s="10" t="s">
        <v>23</v>
      </c>
      <c r="D32" s="109"/>
      <c r="E32" s="171"/>
      <c r="F32" s="172"/>
      <c r="G32" s="172"/>
      <c r="H32" s="172"/>
      <c r="I32" s="172" t="s">
        <v>4492</v>
      </c>
      <c r="J32" s="172"/>
      <c r="K32" s="184"/>
      <c r="L32" s="172"/>
      <c r="M32" s="172"/>
      <c r="N32" s="173"/>
      <c r="O32" s="111"/>
      <c r="Q32">
        <v>46297</v>
      </c>
    </row>
    <row r="33" spans="1:18">
      <c r="A33" s="98">
        <v>10</v>
      </c>
      <c r="B33" s="113" t="s">
        <v>81</v>
      </c>
      <c r="C33" s="10" t="s">
        <v>23</v>
      </c>
      <c r="D33" s="109"/>
      <c r="E33" s="171"/>
      <c r="F33" s="172"/>
      <c r="G33" s="179" t="s">
        <v>122</v>
      </c>
      <c r="H33" s="172"/>
      <c r="I33" s="172" t="s">
        <v>4492</v>
      </c>
      <c r="J33" s="179" t="s">
        <v>124</v>
      </c>
      <c r="K33" s="179" t="s">
        <v>226</v>
      </c>
      <c r="L33" s="172"/>
      <c r="M33" s="172"/>
      <c r="N33" s="195" t="s">
        <v>252</v>
      </c>
      <c r="O33" s="111"/>
      <c r="Q33">
        <v>46297</v>
      </c>
      <c r="R33" s="194" t="s">
        <v>261</v>
      </c>
    </row>
    <row r="34" spans="1:18">
      <c r="A34" s="98">
        <v>11</v>
      </c>
      <c r="B34" s="113" t="s">
        <v>83</v>
      </c>
      <c r="C34" s="10" t="s">
        <v>23</v>
      </c>
      <c r="D34" s="109"/>
      <c r="E34" s="171"/>
      <c r="F34" s="172"/>
      <c r="G34" s="179" t="s">
        <v>122</v>
      </c>
      <c r="H34" s="172"/>
      <c r="I34" s="172" t="s">
        <v>4492</v>
      </c>
      <c r="J34" s="179" t="s">
        <v>124</v>
      </c>
      <c r="K34" s="179" t="s">
        <v>224</v>
      </c>
      <c r="L34" s="172"/>
      <c r="M34" s="172"/>
      <c r="N34" s="195" t="s">
        <v>252</v>
      </c>
      <c r="O34" s="111"/>
      <c r="Q34">
        <v>46297</v>
      </c>
      <c r="R34" s="194" t="s">
        <v>264</v>
      </c>
    </row>
    <row r="35" spans="1:18">
      <c r="A35" s="98">
        <v>12</v>
      </c>
      <c r="B35" s="113" t="s">
        <v>85</v>
      </c>
      <c r="C35" s="10" t="s">
        <v>23</v>
      </c>
      <c r="D35" s="186" t="s">
        <v>57</v>
      </c>
      <c r="E35" s="171"/>
      <c r="F35" s="172"/>
      <c r="G35" s="184"/>
      <c r="H35" s="172"/>
      <c r="I35" s="172" t="s">
        <v>4492</v>
      </c>
      <c r="J35" s="172"/>
      <c r="K35" s="184"/>
      <c r="L35" s="172"/>
      <c r="M35" s="172"/>
      <c r="N35" s="173"/>
      <c r="O35" s="111"/>
      <c r="Q35">
        <v>46297</v>
      </c>
      <c r="R35" s="194" t="s">
        <v>254</v>
      </c>
    </row>
    <row r="36" spans="1:18" ht="15" thickBot="1">
      <c r="A36" s="99">
        <v>13</v>
      </c>
      <c r="B36" s="115" t="s">
        <v>87</v>
      </c>
      <c r="C36" s="100" t="s">
        <v>23</v>
      </c>
      <c r="D36" s="187" t="s">
        <v>57</v>
      </c>
      <c r="E36" s="174"/>
      <c r="F36" s="175"/>
      <c r="G36" s="185"/>
      <c r="H36" s="175"/>
      <c r="I36" s="175" t="s">
        <v>4492</v>
      </c>
      <c r="J36" s="185"/>
      <c r="K36" s="185"/>
      <c r="L36" s="175"/>
      <c r="M36" s="175"/>
      <c r="N36" s="176"/>
      <c r="O36" s="112"/>
      <c r="Q36">
        <v>46297</v>
      </c>
      <c r="R36" s="194" t="s">
        <v>254</v>
      </c>
    </row>
    <row r="37" spans="1:18" ht="15" thickBot="1">
      <c r="A37" s="107"/>
      <c r="B37" s="108"/>
      <c r="C37" s="107"/>
      <c r="D37" s="107"/>
      <c r="E37" s="177"/>
      <c r="F37" s="177"/>
      <c r="G37" s="177"/>
      <c r="H37" s="177"/>
      <c r="I37" s="177"/>
      <c r="J37" s="177"/>
      <c r="K37" s="177"/>
      <c r="L37" s="177"/>
      <c r="M37" s="177"/>
      <c r="N37" s="177"/>
      <c r="O37" s="108"/>
    </row>
    <row r="38" spans="1:18" ht="26.1" customHeight="1">
      <c r="A38" s="222" t="s">
        <v>158</v>
      </c>
      <c r="B38" s="223"/>
      <c r="C38" s="224"/>
      <c r="D38" s="103" t="s">
        <v>155</v>
      </c>
      <c r="E38" s="168">
        <v>0.33333333333333331</v>
      </c>
      <c r="F38" s="169">
        <v>0.375</v>
      </c>
      <c r="G38" s="169">
        <v>0.41666666666666669</v>
      </c>
      <c r="H38" s="169">
        <v>0.45833333333333331</v>
      </c>
      <c r="I38" s="169">
        <v>0.5</v>
      </c>
      <c r="J38" s="169">
        <v>0.54166666666666663</v>
      </c>
      <c r="K38" s="169">
        <v>0.58333333333333337</v>
      </c>
      <c r="L38" s="169">
        <v>0.625</v>
      </c>
      <c r="M38" s="169">
        <v>0.66666666666666663</v>
      </c>
      <c r="N38" s="170">
        <v>0.70833333333333337</v>
      </c>
      <c r="O38" s="178" t="s">
        <v>228</v>
      </c>
      <c r="P38" s="102" t="s">
        <v>156</v>
      </c>
      <c r="Q38">
        <v>46298</v>
      </c>
    </row>
    <row r="39" spans="1:18">
      <c r="A39" s="98">
        <v>1</v>
      </c>
      <c r="B39" s="114" t="s">
        <v>63</v>
      </c>
      <c r="C39" s="8" t="s">
        <v>21</v>
      </c>
      <c r="D39" s="109"/>
      <c r="E39" s="171" t="s">
        <v>4434</v>
      </c>
      <c r="F39" s="172" t="s">
        <v>4434</v>
      </c>
      <c r="G39" s="172" t="s">
        <v>4434</v>
      </c>
      <c r="H39" s="172" t="s">
        <v>4434</v>
      </c>
      <c r="I39" s="172" t="s">
        <v>4434</v>
      </c>
      <c r="J39" s="172" t="s">
        <v>4434</v>
      </c>
      <c r="K39" s="172" t="s">
        <v>4434</v>
      </c>
      <c r="L39" s="172" t="s">
        <v>4434</v>
      </c>
      <c r="M39" s="172" t="s">
        <v>4434</v>
      </c>
      <c r="N39" s="173" t="s">
        <v>4434</v>
      </c>
      <c r="O39" s="111"/>
      <c r="Q39">
        <v>46298</v>
      </c>
    </row>
    <row r="40" spans="1:18">
      <c r="A40" s="98">
        <v>2</v>
      </c>
      <c r="B40" s="114" t="s">
        <v>65</v>
      </c>
      <c r="C40" s="8" t="s">
        <v>21</v>
      </c>
      <c r="D40" s="109"/>
      <c r="E40" s="171" t="s">
        <v>4434</v>
      </c>
      <c r="F40" s="172" t="s">
        <v>4434</v>
      </c>
      <c r="G40" s="172" t="s">
        <v>4434</v>
      </c>
      <c r="H40" s="172" t="s">
        <v>4434</v>
      </c>
      <c r="I40" s="172" t="s">
        <v>4434</v>
      </c>
      <c r="J40" s="172" t="s">
        <v>4434</v>
      </c>
      <c r="K40" s="172" t="s">
        <v>4434</v>
      </c>
      <c r="L40" s="172" t="s">
        <v>4434</v>
      </c>
      <c r="M40" s="172" t="s">
        <v>4434</v>
      </c>
      <c r="N40" s="173" t="s">
        <v>4434</v>
      </c>
      <c r="O40" s="111"/>
      <c r="Q40">
        <v>46298</v>
      </c>
    </row>
    <row r="41" spans="1:18">
      <c r="A41" s="98">
        <v>3</v>
      </c>
      <c r="B41" s="114" t="s">
        <v>67</v>
      </c>
      <c r="C41" s="8" t="s">
        <v>21</v>
      </c>
      <c r="D41" s="109"/>
      <c r="E41" s="171" t="s">
        <v>4434</v>
      </c>
      <c r="F41" s="172" t="s">
        <v>4434</v>
      </c>
      <c r="G41" s="172" t="s">
        <v>4434</v>
      </c>
      <c r="H41" s="172" t="s">
        <v>4434</v>
      </c>
      <c r="I41" s="172" t="s">
        <v>4434</v>
      </c>
      <c r="J41" s="172" t="s">
        <v>4434</v>
      </c>
      <c r="K41" s="172" t="s">
        <v>4434</v>
      </c>
      <c r="L41" s="172" t="s">
        <v>4434</v>
      </c>
      <c r="M41" s="172" t="s">
        <v>4434</v>
      </c>
      <c r="N41" s="173" t="s">
        <v>4434</v>
      </c>
      <c r="O41" s="111"/>
      <c r="Q41">
        <v>46298</v>
      </c>
    </row>
    <row r="42" spans="1:18">
      <c r="A42" s="98">
        <v>4</v>
      </c>
      <c r="B42" s="114" t="s">
        <v>69</v>
      </c>
      <c r="C42" s="9" t="s">
        <v>22</v>
      </c>
      <c r="D42" s="109"/>
      <c r="E42" s="171" t="s">
        <v>4434</v>
      </c>
      <c r="F42" s="172" t="s">
        <v>4434</v>
      </c>
      <c r="G42" s="172" t="s">
        <v>4434</v>
      </c>
      <c r="H42" s="172" t="s">
        <v>4434</v>
      </c>
      <c r="I42" s="172" t="s">
        <v>4434</v>
      </c>
      <c r="J42" s="172" t="s">
        <v>4434</v>
      </c>
      <c r="K42" s="172" t="s">
        <v>4434</v>
      </c>
      <c r="L42" s="172" t="s">
        <v>4434</v>
      </c>
      <c r="M42" s="172" t="s">
        <v>4434</v>
      </c>
      <c r="N42" s="173" t="s">
        <v>4434</v>
      </c>
      <c r="O42" s="111"/>
      <c r="Q42">
        <v>46298</v>
      </c>
    </row>
    <row r="43" spans="1:18">
      <c r="A43" s="98">
        <v>5</v>
      </c>
      <c r="B43" s="114" t="s">
        <v>71</v>
      </c>
      <c r="C43" s="9" t="s">
        <v>22</v>
      </c>
      <c r="D43" s="109"/>
      <c r="E43" s="171" t="s">
        <v>4434</v>
      </c>
      <c r="F43" s="172" t="s">
        <v>4434</v>
      </c>
      <c r="G43" s="172" t="s">
        <v>4434</v>
      </c>
      <c r="H43" s="172" t="s">
        <v>4434</v>
      </c>
      <c r="I43" s="172" t="s">
        <v>4434</v>
      </c>
      <c r="J43" s="172" t="s">
        <v>4434</v>
      </c>
      <c r="K43" s="172" t="s">
        <v>4434</v>
      </c>
      <c r="L43" s="172" t="s">
        <v>4434</v>
      </c>
      <c r="M43" s="172" t="s">
        <v>4434</v>
      </c>
      <c r="N43" s="173" t="s">
        <v>4434</v>
      </c>
      <c r="O43" s="111"/>
      <c r="Q43">
        <v>46298</v>
      </c>
    </row>
    <row r="44" spans="1:18">
      <c r="A44" s="98">
        <v>6</v>
      </c>
      <c r="B44" s="114" t="s">
        <v>73</v>
      </c>
      <c r="C44" s="10" t="s">
        <v>23</v>
      </c>
      <c r="D44" s="109"/>
      <c r="E44" s="171" t="s">
        <v>4434</v>
      </c>
      <c r="F44" s="172" t="s">
        <v>4434</v>
      </c>
      <c r="G44" s="172" t="s">
        <v>4434</v>
      </c>
      <c r="H44" s="172" t="s">
        <v>4434</v>
      </c>
      <c r="I44" s="172" t="s">
        <v>4434</v>
      </c>
      <c r="J44" s="172" t="s">
        <v>4434</v>
      </c>
      <c r="K44" s="172" t="s">
        <v>4434</v>
      </c>
      <c r="L44" s="172" t="s">
        <v>4434</v>
      </c>
      <c r="M44" s="172" t="s">
        <v>4434</v>
      </c>
      <c r="N44" s="173" t="s">
        <v>4434</v>
      </c>
      <c r="O44" s="111"/>
      <c r="Q44">
        <v>46298</v>
      </c>
    </row>
    <row r="45" spans="1:18">
      <c r="A45" s="98">
        <v>7</v>
      </c>
      <c r="B45" s="114" t="s">
        <v>75</v>
      </c>
      <c r="C45" s="10" t="s">
        <v>23</v>
      </c>
      <c r="D45" s="109"/>
      <c r="E45" s="171" t="s">
        <v>4434</v>
      </c>
      <c r="F45" s="172" t="s">
        <v>4434</v>
      </c>
      <c r="G45" s="172" t="s">
        <v>4434</v>
      </c>
      <c r="H45" s="172" t="s">
        <v>4434</v>
      </c>
      <c r="I45" s="172" t="s">
        <v>4434</v>
      </c>
      <c r="J45" s="172" t="s">
        <v>4434</v>
      </c>
      <c r="K45" s="172" t="s">
        <v>4434</v>
      </c>
      <c r="L45" s="172" t="s">
        <v>4434</v>
      </c>
      <c r="M45" s="172" t="s">
        <v>4434</v>
      </c>
      <c r="N45" s="173" t="s">
        <v>4434</v>
      </c>
      <c r="O45" s="111"/>
      <c r="Q45">
        <v>46298</v>
      </c>
    </row>
    <row r="46" spans="1:18">
      <c r="A46" s="98">
        <v>8</v>
      </c>
      <c r="B46" s="114" t="s">
        <v>77</v>
      </c>
      <c r="C46" s="10" t="s">
        <v>23</v>
      </c>
      <c r="D46" s="109"/>
      <c r="E46" s="171" t="s">
        <v>4434</v>
      </c>
      <c r="F46" s="172" t="s">
        <v>4434</v>
      </c>
      <c r="G46" s="172" t="s">
        <v>4434</v>
      </c>
      <c r="H46" s="172" t="s">
        <v>4434</v>
      </c>
      <c r="I46" s="172" t="s">
        <v>4434</v>
      </c>
      <c r="J46" s="172" t="s">
        <v>4434</v>
      </c>
      <c r="K46" s="172" t="s">
        <v>4434</v>
      </c>
      <c r="L46" s="172" t="s">
        <v>4434</v>
      </c>
      <c r="M46" s="172" t="s">
        <v>4434</v>
      </c>
      <c r="N46" s="173" t="s">
        <v>4434</v>
      </c>
      <c r="O46" s="111"/>
      <c r="Q46">
        <v>46298</v>
      </c>
    </row>
    <row r="47" spans="1:18">
      <c r="A47" s="98">
        <v>9</v>
      </c>
      <c r="B47" s="114" t="s">
        <v>79</v>
      </c>
      <c r="C47" s="10" t="s">
        <v>23</v>
      </c>
      <c r="D47" s="109"/>
      <c r="E47" s="171" t="s">
        <v>4434</v>
      </c>
      <c r="F47" s="172" t="s">
        <v>4434</v>
      </c>
      <c r="G47" s="172" t="s">
        <v>4434</v>
      </c>
      <c r="H47" s="172" t="s">
        <v>4434</v>
      </c>
      <c r="I47" s="172" t="s">
        <v>4434</v>
      </c>
      <c r="J47" s="172" t="s">
        <v>4434</v>
      </c>
      <c r="K47" s="172" t="s">
        <v>4434</v>
      </c>
      <c r="L47" s="172" t="s">
        <v>4434</v>
      </c>
      <c r="M47" s="172" t="s">
        <v>4434</v>
      </c>
      <c r="N47" s="173" t="s">
        <v>4434</v>
      </c>
      <c r="O47" s="111"/>
      <c r="Q47">
        <v>46298</v>
      </c>
    </row>
    <row r="48" spans="1:18">
      <c r="A48" s="98">
        <v>10</v>
      </c>
      <c r="B48" s="114" t="s">
        <v>81</v>
      </c>
      <c r="C48" s="10" t="s">
        <v>23</v>
      </c>
      <c r="D48" s="109"/>
      <c r="E48" s="171" t="s">
        <v>4434</v>
      </c>
      <c r="F48" s="172" t="s">
        <v>4434</v>
      </c>
      <c r="G48" s="172" t="s">
        <v>4434</v>
      </c>
      <c r="H48" s="172" t="s">
        <v>4434</v>
      </c>
      <c r="I48" s="172" t="s">
        <v>4434</v>
      </c>
      <c r="J48" s="172" t="s">
        <v>4434</v>
      </c>
      <c r="K48" s="172" t="s">
        <v>4434</v>
      </c>
      <c r="L48" s="172" t="s">
        <v>4434</v>
      </c>
      <c r="M48" s="172" t="s">
        <v>4434</v>
      </c>
      <c r="N48" s="173" t="s">
        <v>4434</v>
      </c>
      <c r="O48" s="111"/>
      <c r="Q48">
        <v>46298</v>
      </c>
    </row>
    <row r="49" spans="1:17">
      <c r="A49" s="98">
        <v>11</v>
      </c>
      <c r="B49" s="114" t="s">
        <v>83</v>
      </c>
      <c r="C49" s="10" t="s">
        <v>23</v>
      </c>
      <c r="D49" s="109"/>
      <c r="E49" s="171" t="s">
        <v>4434</v>
      </c>
      <c r="F49" s="172" t="s">
        <v>4434</v>
      </c>
      <c r="G49" s="172" t="s">
        <v>4434</v>
      </c>
      <c r="H49" s="172" t="s">
        <v>4434</v>
      </c>
      <c r="I49" s="172" t="s">
        <v>4434</v>
      </c>
      <c r="J49" s="172" t="s">
        <v>4434</v>
      </c>
      <c r="K49" s="172" t="s">
        <v>4434</v>
      </c>
      <c r="L49" s="172" t="s">
        <v>4434</v>
      </c>
      <c r="M49" s="172" t="s">
        <v>4434</v>
      </c>
      <c r="N49" s="173" t="s">
        <v>4434</v>
      </c>
      <c r="O49" s="111"/>
      <c r="Q49">
        <v>46298</v>
      </c>
    </row>
    <row r="50" spans="1:17">
      <c r="A50" s="98">
        <v>12</v>
      </c>
      <c r="B50" s="114" t="s">
        <v>85</v>
      </c>
      <c r="C50" s="10" t="s">
        <v>23</v>
      </c>
      <c r="D50" s="109"/>
      <c r="E50" s="171" t="s">
        <v>4434</v>
      </c>
      <c r="F50" s="172" t="s">
        <v>4434</v>
      </c>
      <c r="G50" s="172" t="s">
        <v>4434</v>
      </c>
      <c r="H50" s="172" t="s">
        <v>4434</v>
      </c>
      <c r="I50" s="172" t="s">
        <v>4434</v>
      </c>
      <c r="J50" s="172" t="s">
        <v>4434</v>
      </c>
      <c r="K50" s="172" t="s">
        <v>4434</v>
      </c>
      <c r="L50" s="172" t="s">
        <v>4434</v>
      </c>
      <c r="M50" s="172" t="s">
        <v>4434</v>
      </c>
      <c r="N50" s="173" t="s">
        <v>4434</v>
      </c>
      <c r="O50" s="111"/>
      <c r="Q50">
        <v>46298</v>
      </c>
    </row>
    <row r="51" spans="1:17" ht="15" thickBot="1">
      <c r="A51" s="99">
        <v>13</v>
      </c>
      <c r="B51" s="116" t="s">
        <v>87</v>
      </c>
      <c r="C51" s="100" t="s">
        <v>23</v>
      </c>
      <c r="D51" s="110"/>
      <c r="E51" s="174" t="s">
        <v>4434</v>
      </c>
      <c r="F51" s="175" t="s">
        <v>4434</v>
      </c>
      <c r="G51" s="175" t="s">
        <v>4434</v>
      </c>
      <c r="H51" s="175" t="s">
        <v>4434</v>
      </c>
      <c r="I51" s="175" t="s">
        <v>4434</v>
      </c>
      <c r="J51" s="175" t="s">
        <v>4434</v>
      </c>
      <c r="K51" s="175" t="s">
        <v>4434</v>
      </c>
      <c r="L51" s="175" t="s">
        <v>4434</v>
      </c>
      <c r="M51" s="175" t="s">
        <v>4434</v>
      </c>
      <c r="N51" s="176" t="s">
        <v>4434</v>
      </c>
      <c r="O51" s="112"/>
      <c r="Q51">
        <v>46298</v>
      </c>
    </row>
    <row r="52" spans="1:17" ht="15" thickBot="1">
      <c r="A52" s="107"/>
      <c r="B52" s="108"/>
      <c r="C52" s="107"/>
      <c r="D52" s="107"/>
      <c r="E52" s="177"/>
      <c r="F52" s="177"/>
      <c r="G52" s="177"/>
      <c r="H52" s="177"/>
      <c r="I52" s="177"/>
      <c r="J52" s="177"/>
      <c r="K52" s="177"/>
      <c r="L52" s="177"/>
      <c r="M52" s="177"/>
      <c r="N52" s="177"/>
      <c r="O52" s="108"/>
    </row>
    <row r="53" spans="1:17" ht="26.1" customHeight="1">
      <c r="A53" s="225" t="s">
        <v>159</v>
      </c>
      <c r="B53" s="226"/>
      <c r="C53" s="227"/>
      <c r="D53" s="103" t="s">
        <v>155</v>
      </c>
      <c r="E53" s="168">
        <v>0.33333333333333331</v>
      </c>
      <c r="F53" s="169">
        <v>0.375</v>
      </c>
      <c r="G53" s="169">
        <v>0.41666666666666669</v>
      </c>
      <c r="H53" s="169">
        <v>0.45833333333333331</v>
      </c>
      <c r="I53" s="169">
        <v>0.5</v>
      </c>
      <c r="J53" s="169">
        <v>0.54166666666666663</v>
      </c>
      <c r="K53" s="169">
        <v>0.58333333333333337</v>
      </c>
      <c r="L53" s="169">
        <v>0.625</v>
      </c>
      <c r="M53" s="169">
        <v>0.66666666666666663</v>
      </c>
      <c r="N53" s="170">
        <v>0.70833333333333337</v>
      </c>
      <c r="O53" s="178" t="s">
        <v>228</v>
      </c>
      <c r="P53" s="102" t="s">
        <v>156</v>
      </c>
      <c r="Q53">
        <v>46299</v>
      </c>
    </row>
    <row r="54" spans="1:17">
      <c r="A54" s="98">
        <v>1</v>
      </c>
      <c r="B54" s="114" t="s">
        <v>63</v>
      </c>
      <c r="C54" s="8" t="s">
        <v>21</v>
      </c>
      <c r="D54" s="109"/>
      <c r="E54" s="171" t="s">
        <v>4434</v>
      </c>
      <c r="F54" s="172" t="s">
        <v>4434</v>
      </c>
      <c r="G54" s="172" t="s">
        <v>4434</v>
      </c>
      <c r="H54" s="172" t="s">
        <v>4434</v>
      </c>
      <c r="I54" s="172" t="s">
        <v>4434</v>
      </c>
      <c r="J54" s="172" t="s">
        <v>4434</v>
      </c>
      <c r="K54" s="172" t="s">
        <v>4434</v>
      </c>
      <c r="L54" s="172" t="s">
        <v>4434</v>
      </c>
      <c r="M54" s="172" t="s">
        <v>4434</v>
      </c>
      <c r="N54" s="173" t="s">
        <v>4434</v>
      </c>
      <c r="O54" s="111"/>
      <c r="Q54">
        <v>46299</v>
      </c>
    </row>
    <row r="55" spans="1:17">
      <c r="A55" s="98">
        <v>2</v>
      </c>
      <c r="B55" s="114" t="s">
        <v>65</v>
      </c>
      <c r="C55" s="8" t="s">
        <v>21</v>
      </c>
      <c r="D55" s="109"/>
      <c r="E55" s="171" t="s">
        <v>4434</v>
      </c>
      <c r="F55" s="172" t="s">
        <v>4434</v>
      </c>
      <c r="G55" s="172" t="s">
        <v>4434</v>
      </c>
      <c r="H55" s="172" t="s">
        <v>4434</v>
      </c>
      <c r="I55" s="172" t="s">
        <v>4434</v>
      </c>
      <c r="J55" s="172" t="s">
        <v>4434</v>
      </c>
      <c r="K55" s="172" t="s">
        <v>4434</v>
      </c>
      <c r="L55" s="172" t="s">
        <v>4434</v>
      </c>
      <c r="M55" s="172" t="s">
        <v>4434</v>
      </c>
      <c r="N55" s="173" t="s">
        <v>4434</v>
      </c>
      <c r="O55" s="111"/>
      <c r="Q55">
        <v>46299</v>
      </c>
    </row>
    <row r="56" spans="1:17">
      <c r="A56" s="98">
        <v>3</v>
      </c>
      <c r="B56" s="114" t="s">
        <v>67</v>
      </c>
      <c r="C56" s="8" t="s">
        <v>21</v>
      </c>
      <c r="D56" s="109"/>
      <c r="E56" s="171" t="s">
        <v>4434</v>
      </c>
      <c r="F56" s="172" t="s">
        <v>4434</v>
      </c>
      <c r="G56" s="172" t="s">
        <v>4434</v>
      </c>
      <c r="H56" s="172" t="s">
        <v>4434</v>
      </c>
      <c r="I56" s="172" t="s">
        <v>4434</v>
      </c>
      <c r="J56" s="172" t="s">
        <v>4434</v>
      </c>
      <c r="K56" s="172" t="s">
        <v>4434</v>
      </c>
      <c r="L56" s="172" t="s">
        <v>4434</v>
      </c>
      <c r="M56" s="172" t="s">
        <v>4434</v>
      </c>
      <c r="N56" s="173" t="s">
        <v>4434</v>
      </c>
      <c r="O56" s="111"/>
      <c r="Q56">
        <v>46299</v>
      </c>
    </row>
    <row r="57" spans="1:17">
      <c r="A57" s="98">
        <v>4</v>
      </c>
      <c r="B57" s="114" t="s">
        <v>69</v>
      </c>
      <c r="C57" s="9" t="s">
        <v>22</v>
      </c>
      <c r="D57" s="109"/>
      <c r="E57" s="171" t="s">
        <v>4434</v>
      </c>
      <c r="F57" s="172" t="s">
        <v>4434</v>
      </c>
      <c r="G57" s="172" t="s">
        <v>4434</v>
      </c>
      <c r="H57" s="172" t="s">
        <v>4434</v>
      </c>
      <c r="I57" s="172" t="s">
        <v>4434</v>
      </c>
      <c r="J57" s="172" t="s">
        <v>4434</v>
      </c>
      <c r="K57" s="172" t="s">
        <v>4434</v>
      </c>
      <c r="L57" s="172" t="s">
        <v>4434</v>
      </c>
      <c r="M57" s="172" t="s">
        <v>4434</v>
      </c>
      <c r="N57" s="173" t="s">
        <v>4434</v>
      </c>
      <c r="O57" s="111"/>
      <c r="Q57">
        <v>46299</v>
      </c>
    </row>
    <row r="58" spans="1:17">
      <c r="A58" s="98">
        <v>5</v>
      </c>
      <c r="B58" s="114" t="s">
        <v>71</v>
      </c>
      <c r="C58" s="9" t="s">
        <v>22</v>
      </c>
      <c r="D58" s="109"/>
      <c r="E58" s="171" t="s">
        <v>4434</v>
      </c>
      <c r="F58" s="172" t="s">
        <v>4434</v>
      </c>
      <c r="G58" s="172" t="s">
        <v>4434</v>
      </c>
      <c r="H58" s="172" t="s">
        <v>4434</v>
      </c>
      <c r="I58" s="172" t="s">
        <v>4434</v>
      </c>
      <c r="J58" s="172" t="s">
        <v>4434</v>
      </c>
      <c r="K58" s="172" t="s">
        <v>4434</v>
      </c>
      <c r="L58" s="172" t="s">
        <v>4434</v>
      </c>
      <c r="M58" s="172" t="s">
        <v>4434</v>
      </c>
      <c r="N58" s="173" t="s">
        <v>4434</v>
      </c>
      <c r="O58" s="111"/>
      <c r="Q58">
        <v>46299</v>
      </c>
    </row>
    <row r="59" spans="1:17">
      <c r="A59" s="98">
        <v>6</v>
      </c>
      <c r="B59" s="114" t="s">
        <v>73</v>
      </c>
      <c r="C59" s="10" t="s">
        <v>23</v>
      </c>
      <c r="D59" s="109"/>
      <c r="E59" s="171" t="s">
        <v>4434</v>
      </c>
      <c r="F59" s="172" t="s">
        <v>4434</v>
      </c>
      <c r="G59" s="172" t="s">
        <v>4434</v>
      </c>
      <c r="H59" s="172" t="s">
        <v>4434</v>
      </c>
      <c r="I59" s="172" t="s">
        <v>4434</v>
      </c>
      <c r="J59" s="172" t="s">
        <v>4434</v>
      </c>
      <c r="K59" s="172" t="s">
        <v>4434</v>
      </c>
      <c r="L59" s="172" t="s">
        <v>4434</v>
      </c>
      <c r="M59" s="172" t="s">
        <v>4434</v>
      </c>
      <c r="N59" s="173" t="s">
        <v>4434</v>
      </c>
      <c r="O59" s="111"/>
      <c r="Q59">
        <v>46299</v>
      </c>
    </row>
    <row r="60" spans="1:17">
      <c r="A60" s="98">
        <v>7</v>
      </c>
      <c r="B60" s="114" t="s">
        <v>75</v>
      </c>
      <c r="C60" s="10" t="s">
        <v>23</v>
      </c>
      <c r="D60" s="109"/>
      <c r="E60" s="171" t="s">
        <v>4434</v>
      </c>
      <c r="F60" s="172" t="s">
        <v>4434</v>
      </c>
      <c r="G60" s="172" t="s">
        <v>4434</v>
      </c>
      <c r="H60" s="172" t="s">
        <v>4434</v>
      </c>
      <c r="I60" s="172" t="s">
        <v>4434</v>
      </c>
      <c r="J60" s="172" t="s">
        <v>4434</v>
      </c>
      <c r="K60" s="172" t="s">
        <v>4434</v>
      </c>
      <c r="L60" s="172" t="s">
        <v>4434</v>
      </c>
      <c r="M60" s="172" t="s">
        <v>4434</v>
      </c>
      <c r="N60" s="173" t="s">
        <v>4434</v>
      </c>
      <c r="O60" s="111"/>
      <c r="Q60">
        <v>46299</v>
      </c>
    </row>
    <row r="61" spans="1:17">
      <c r="A61" s="98">
        <v>8</v>
      </c>
      <c r="B61" s="114" t="s">
        <v>77</v>
      </c>
      <c r="C61" s="10" t="s">
        <v>23</v>
      </c>
      <c r="D61" s="109"/>
      <c r="E61" s="171" t="s">
        <v>4434</v>
      </c>
      <c r="F61" s="172" t="s">
        <v>4434</v>
      </c>
      <c r="G61" s="172" t="s">
        <v>4434</v>
      </c>
      <c r="H61" s="172" t="s">
        <v>4434</v>
      </c>
      <c r="I61" s="172" t="s">
        <v>4434</v>
      </c>
      <c r="J61" s="172" t="s">
        <v>4434</v>
      </c>
      <c r="K61" s="172" t="s">
        <v>4434</v>
      </c>
      <c r="L61" s="172" t="s">
        <v>4434</v>
      </c>
      <c r="M61" s="172" t="s">
        <v>4434</v>
      </c>
      <c r="N61" s="173" t="s">
        <v>4434</v>
      </c>
      <c r="O61" s="111"/>
      <c r="Q61">
        <v>46299</v>
      </c>
    </row>
    <row r="62" spans="1:17">
      <c r="A62" s="98">
        <v>9</v>
      </c>
      <c r="B62" s="114" t="s">
        <v>79</v>
      </c>
      <c r="C62" s="10" t="s">
        <v>23</v>
      </c>
      <c r="D62" s="109"/>
      <c r="E62" s="171" t="s">
        <v>4434</v>
      </c>
      <c r="F62" s="172" t="s">
        <v>4434</v>
      </c>
      <c r="G62" s="172" t="s">
        <v>4434</v>
      </c>
      <c r="H62" s="172" t="s">
        <v>4434</v>
      </c>
      <c r="I62" s="172" t="s">
        <v>4434</v>
      </c>
      <c r="J62" s="172" t="s">
        <v>4434</v>
      </c>
      <c r="K62" s="172" t="s">
        <v>4434</v>
      </c>
      <c r="L62" s="172" t="s">
        <v>4434</v>
      </c>
      <c r="M62" s="172" t="s">
        <v>4434</v>
      </c>
      <c r="N62" s="173" t="s">
        <v>4434</v>
      </c>
      <c r="O62" s="111"/>
      <c r="Q62">
        <v>46299</v>
      </c>
    </row>
    <row r="63" spans="1:17">
      <c r="A63" s="98">
        <v>10</v>
      </c>
      <c r="B63" s="114" t="s">
        <v>81</v>
      </c>
      <c r="C63" s="10" t="s">
        <v>23</v>
      </c>
      <c r="D63" s="109"/>
      <c r="E63" s="171" t="s">
        <v>4434</v>
      </c>
      <c r="F63" s="172" t="s">
        <v>4434</v>
      </c>
      <c r="G63" s="172" t="s">
        <v>4434</v>
      </c>
      <c r="H63" s="172" t="s">
        <v>4434</v>
      </c>
      <c r="I63" s="172" t="s">
        <v>4434</v>
      </c>
      <c r="J63" s="172" t="s">
        <v>4434</v>
      </c>
      <c r="K63" s="172" t="s">
        <v>4434</v>
      </c>
      <c r="L63" s="172" t="s">
        <v>4434</v>
      </c>
      <c r="M63" s="172" t="s">
        <v>4434</v>
      </c>
      <c r="N63" s="173" t="s">
        <v>4434</v>
      </c>
      <c r="O63" s="111"/>
      <c r="Q63">
        <v>46299</v>
      </c>
    </row>
    <row r="64" spans="1:17">
      <c r="A64" s="98">
        <v>11</v>
      </c>
      <c r="B64" s="114" t="s">
        <v>83</v>
      </c>
      <c r="C64" s="10" t="s">
        <v>23</v>
      </c>
      <c r="D64" s="109"/>
      <c r="E64" s="171" t="s">
        <v>4434</v>
      </c>
      <c r="F64" s="172" t="s">
        <v>4434</v>
      </c>
      <c r="G64" s="172" t="s">
        <v>4434</v>
      </c>
      <c r="H64" s="172" t="s">
        <v>4434</v>
      </c>
      <c r="I64" s="172" t="s">
        <v>4434</v>
      </c>
      <c r="J64" s="172" t="s">
        <v>4434</v>
      </c>
      <c r="K64" s="172" t="s">
        <v>4434</v>
      </c>
      <c r="L64" s="172" t="s">
        <v>4434</v>
      </c>
      <c r="M64" s="172" t="s">
        <v>4434</v>
      </c>
      <c r="N64" s="173" t="s">
        <v>4434</v>
      </c>
      <c r="O64" s="111"/>
      <c r="Q64">
        <v>46299</v>
      </c>
    </row>
    <row r="65" spans="1:18">
      <c r="A65" s="98">
        <v>12</v>
      </c>
      <c r="B65" s="114" t="s">
        <v>85</v>
      </c>
      <c r="C65" s="10" t="s">
        <v>23</v>
      </c>
      <c r="D65" s="109"/>
      <c r="E65" s="171" t="s">
        <v>4434</v>
      </c>
      <c r="F65" s="172" t="s">
        <v>4434</v>
      </c>
      <c r="G65" s="172" t="s">
        <v>4434</v>
      </c>
      <c r="H65" s="172" t="s">
        <v>4434</v>
      </c>
      <c r="I65" s="172" t="s">
        <v>4434</v>
      </c>
      <c r="J65" s="172" t="s">
        <v>4434</v>
      </c>
      <c r="K65" s="172" t="s">
        <v>4434</v>
      </c>
      <c r="L65" s="172" t="s">
        <v>4434</v>
      </c>
      <c r="M65" s="172" t="s">
        <v>4434</v>
      </c>
      <c r="N65" s="173" t="s">
        <v>4434</v>
      </c>
      <c r="O65" s="111"/>
      <c r="Q65">
        <v>46299</v>
      </c>
    </row>
    <row r="66" spans="1:18" ht="15" thickBot="1">
      <c r="A66" s="99">
        <v>13</v>
      </c>
      <c r="B66" s="116" t="s">
        <v>87</v>
      </c>
      <c r="C66" s="100" t="s">
        <v>23</v>
      </c>
      <c r="D66" s="110"/>
      <c r="E66" s="174" t="s">
        <v>4434</v>
      </c>
      <c r="F66" s="175" t="s">
        <v>4434</v>
      </c>
      <c r="G66" s="175" t="s">
        <v>4434</v>
      </c>
      <c r="H66" s="175" t="s">
        <v>4434</v>
      </c>
      <c r="I66" s="175" t="s">
        <v>4434</v>
      </c>
      <c r="J66" s="175" t="s">
        <v>4434</v>
      </c>
      <c r="K66" s="175" t="s">
        <v>4434</v>
      </c>
      <c r="L66" s="175" t="s">
        <v>4434</v>
      </c>
      <c r="M66" s="175" t="s">
        <v>4434</v>
      </c>
      <c r="N66" s="176" t="s">
        <v>4434</v>
      </c>
      <c r="O66" s="112"/>
      <c r="Q66">
        <v>46299</v>
      </c>
    </row>
    <row r="67" spans="1:18" ht="15" thickBot="1">
      <c r="A67" s="107"/>
      <c r="B67" s="108"/>
      <c r="C67" s="107"/>
      <c r="D67" s="107"/>
      <c r="E67" s="177"/>
      <c r="F67" s="177"/>
      <c r="G67" s="177"/>
      <c r="H67" s="177"/>
      <c r="I67" s="177"/>
      <c r="J67" s="177"/>
      <c r="K67" s="177"/>
      <c r="L67" s="177"/>
      <c r="M67" s="177"/>
      <c r="N67" s="177"/>
      <c r="O67" s="108"/>
    </row>
    <row r="68" spans="1:18" ht="26.1" customHeight="1">
      <c r="A68" s="228" t="s">
        <v>160</v>
      </c>
      <c r="B68" s="229"/>
      <c r="C68" s="230"/>
      <c r="D68" s="103" t="s">
        <v>155</v>
      </c>
      <c r="E68" s="168">
        <v>0.33333333333333331</v>
      </c>
      <c r="F68" s="169">
        <v>0.375</v>
      </c>
      <c r="G68" s="169">
        <v>0.41666666666666669</v>
      </c>
      <c r="H68" s="169">
        <v>0.45833333333333331</v>
      </c>
      <c r="I68" s="169">
        <v>0.5</v>
      </c>
      <c r="J68" s="169">
        <v>0.54166666666666663</v>
      </c>
      <c r="K68" s="169">
        <v>0.58333333333333337</v>
      </c>
      <c r="L68" s="169">
        <v>0.625</v>
      </c>
      <c r="M68" s="169">
        <v>0.66666666666666663</v>
      </c>
      <c r="N68" s="170">
        <v>0.70833333333333337</v>
      </c>
      <c r="O68" s="196" t="s">
        <v>262</v>
      </c>
      <c r="P68" s="102" t="s">
        <v>156</v>
      </c>
      <c r="Q68">
        <v>46300</v>
      </c>
    </row>
    <row r="69" spans="1:18">
      <c r="A69" s="98">
        <v>1</v>
      </c>
      <c r="B69" s="113" t="s">
        <v>63</v>
      </c>
      <c r="C69" s="8" t="s">
        <v>21</v>
      </c>
      <c r="D69" s="109"/>
      <c r="E69" s="171"/>
      <c r="F69" s="172"/>
      <c r="G69" s="172"/>
      <c r="H69" s="172"/>
      <c r="I69" s="172"/>
      <c r="J69" s="172" t="s">
        <v>4492</v>
      </c>
      <c r="K69" s="172"/>
      <c r="L69" s="172"/>
      <c r="M69" s="172"/>
      <c r="N69" s="173"/>
      <c r="O69" s="111"/>
      <c r="Q69">
        <v>46300</v>
      </c>
    </row>
    <row r="70" spans="1:18">
      <c r="A70" s="98">
        <v>2</v>
      </c>
      <c r="B70" s="114" t="s">
        <v>65</v>
      </c>
      <c r="C70" s="8" t="s">
        <v>21</v>
      </c>
      <c r="D70" s="109"/>
      <c r="E70" s="171" t="s">
        <v>4434</v>
      </c>
      <c r="F70" s="172" t="s">
        <v>4434</v>
      </c>
      <c r="G70" s="172" t="s">
        <v>4434</v>
      </c>
      <c r="H70" s="172" t="s">
        <v>4434</v>
      </c>
      <c r="I70" s="172" t="s">
        <v>4434</v>
      </c>
      <c r="J70" s="172" t="s">
        <v>4434</v>
      </c>
      <c r="K70" s="172" t="s">
        <v>4434</v>
      </c>
      <c r="L70" s="172" t="s">
        <v>4434</v>
      </c>
      <c r="M70" s="172" t="s">
        <v>4434</v>
      </c>
      <c r="N70" s="173" t="s">
        <v>4434</v>
      </c>
      <c r="O70" s="111"/>
      <c r="Q70">
        <v>46300</v>
      </c>
    </row>
    <row r="71" spans="1:18">
      <c r="A71" s="98">
        <v>3</v>
      </c>
      <c r="B71" s="113" t="s">
        <v>67</v>
      </c>
      <c r="C71" s="8" t="s">
        <v>21</v>
      </c>
      <c r="D71" s="109"/>
      <c r="E71" s="171"/>
      <c r="F71" s="172"/>
      <c r="G71" s="172"/>
      <c r="H71" s="172"/>
      <c r="I71" s="172"/>
      <c r="J71" s="172" t="s">
        <v>4492</v>
      </c>
      <c r="K71" s="172"/>
      <c r="L71" s="172"/>
      <c r="M71" s="172"/>
      <c r="N71" s="173"/>
      <c r="O71" s="111"/>
      <c r="Q71">
        <v>46300</v>
      </c>
    </row>
    <row r="72" spans="1:18">
      <c r="A72" s="98">
        <v>4</v>
      </c>
      <c r="B72" s="113" t="s">
        <v>69</v>
      </c>
      <c r="C72" s="9" t="s">
        <v>22</v>
      </c>
      <c r="D72" s="109"/>
      <c r="E72" s="171"/>
      <c r="F72" s="172"/>
      <c r="G72" s="184"/>
      <c r="H72" s="172"/>
      <c r="I72" s="172" t="s">
        <v>4492</v>
      </c>
      <c r="J72" s="172"/>
      <c r="K72" s="172"/>
      <c r="L72" s="172"/>
      <c r="M72" s="172"/>
      <c r="N72" s="173"/>
      <c r="O72" s="111"/>
      <c r="Q72">
        <v>46300</v>
      </c>
    </row>
    <row r="73" spans="1:18">
      <c r="A73" s="98">
        <v>5</v>
      </c>
      <c r="B73" s="113" t="s">
        <v>71</v>
      </c>
      <c r="C73" s="9" t="s">
        <v>22</v>
      </c>
      <c r="D73" s="109"/>
      <c r="E73" s="171"/>
      <c r="F73" s="172"/>
      <c r="G73" s="179" t="s">
        <v>122</v>
      </c>
      <c r="H73" s="172"/>
      <c r="I73" s="172"/>
      <c r="J73" s="172" t="s">
        <v>4492</v>
      </c>
      <c r="K73" s="172"/>
      <c r="L73" s="172"/>
      <c r="M73" s="172"/>
      <c r="N73" s="173"/>
      <c r="O73" s="111"/>
      <c r="Q73">
        <v>46300</v>
      </c>
      <c r="R73" s="194" t="s">
        <v>255</v>
      </c>
    </row>
    <row r="74" spans="1:18">
      <c r="A74" s="98">
        <v>6</v>
      </c>
      <c r="B74" s="113" t="s">
        <v>73</v>
      </c>
      <c r="C74" s="10" t="s">
        <v>23</v>
      </c>
      <c r="D74" s="109"/>
      <c r="E74" s="171"/>
      <c r="F74" s="172"/>
      <c r="G74" s="172"/>
      <c r="H74" s="172"/>
      <c r="I74" s="172" t="s">
        <v>4492</v>
      </c>
      <c r="J74" s="172"/>
      <c r="K74" s="172"/>
      <c r="L74" s="172"/>
      <c r="M74" s="172"/>
      <c r="N74" s="173"/>
      <c r="O74" s="111"/>
      <c r="Q74">
        <v>46300</v>
      </c>
    </row>
    <row r="75" spans="1:18">
      <c r="A75" s="98">
        <v>7</v>
      </c>
      <c r="B75" s="113" t="s">
        <v>75</v>
      </c>
      <c r="C75" s="10" t="s">
        <v>23</v>
      </c>
      <c r="D75" s="186" t="s">
        <v>57</v>
      </c>
      <c r="E75" s="171"/>
      <c r="F75" s="172"/>
      <c r="G75" s="172"/>
      <c r="H75" s="172"/>
      <c r="I75" s="172" t="s">
        <v>4492</v>
      </c>
      <c r="J75" s="172"/>
      <c r="K75" s="172"/>
      <c r="L75" s="172"/>
      <c r="M75" s="172"/>
      <c r="N75" s="173"/>
      <c r="O75" s="111"/>
      <c r="Q75">
        <v>46300</v>
      </c>
      <c r="R75" s="194" t="s">
        <v>254</v>
      </c>
    </row>
    <row r="76" spans="1:18">
      <c r="A76" s="98">
        <v>8</v>
      </c>
      <c r="B76" s="113" t="s">
        <v>77</v>
      </c>
      <c r="C76" s="10" t="s">
        <v>23</v>
      </c>
      <c r="D76" s="109"/>
      <c r="E76" s="171" t="s">
        <v>4493</v>
      </c>
      <c r="F76" s="171" t="s">
        <v>4493</v>
      </c>
      <c r="G76" s="171" t="s">
        <v>4493</v>
      </c>
      <c r="H76" s="171" t="s">
        <v>4493</v>
      </c>
      <c r="I76" s="172" t="s">
        <v>4434</v>
      </c>
      <c r="J76" s="171" t="s">
        <v>4493</v>
      </c>
      <c r="K76" s="171" t="s">
        <v>4493</v>
      </c>
      <c r="L76" s="171" t="s">
        <v>4493</v>
      </c>
      <c r="M76" s="171" t="s">
        <v>4493</v>
      </c>
      <c r="N76" s="171" t="s">
        <v>4493</v>
      </c>
      <c r="O76" s="111"/>
      <c r="Q76">
        <v>46300</v>
      </c>
    </row>
    <row r="77" spans="1:18">
      <c r="A77" s="98">
        <v>9</v>
      </c>
      <c r="B77" s="113" t="s">
        <v>79</v>
      </c>
      <c r="C77" s="10" t="s">
        <v>23</v>
      </c>
      <c r="D77" s="186" t="s">
        <v>57</v>
      </c>
      <c r="E77" s="171" t="s">
        <v>4493</v>
      </c>
      <c r="F77" s="171" t="s">
        <v>4493</v>
      </c>
      <c r="G77" s="172" t="s">
        <v>4494</v>
      </c>
      <c r="H77" s="172" t="s">
        <v>4494</v>
      </c>
      <c r="I77" s="172" t="s">
        <v>4434</v>
      </c>
      <c r="J77" s="172" t="s">
        <v>4494</v>
      </c>
      <c r="K77" s="172" t="s">
        <v>4494</v>
      </c>
      <c r="L77" s="171" t="s">
        <v>4493</v>
      </c>
      <c r="M77" s="171" t="s">
        <v>4493</v>
      </c>
      <c r="N77" s="171" t="s">
        <v>4493</v>
      </c>
      <c r="O77" s="111"/>
      <c r="Q77">
        <v>46300</v>
      </c>
      <c r="R77" s="194" t="s">
        <v>254</v>
      </c>
    </row>
    <row r="78" spans="1:18">
      <c r="A78" s="98">
        <v>10</v>
      </c>
      <c r="B78" s="113" t="s">
        <v>81</v>
      </c>
      <c r="C78" s="10" t="s">
        <v>23</v>
      </c>
      <c r="D78" s="109"/>
      <c r="E78" s="171"/>
      <c r="F78" s="172"/>
      <c r="G78" s="172"/>
      <c r="H78" s="172"/>
      <c r="I78" s="172" t="s">
        <v>4492</v>
      </c>
      <c r="J78" s="179" t="s">
        <v>124</v>
      </c>
      <c r="K78" s="184"/>
      <c r="L78" s="172"/>
      <c r="M78" s="172"/>
      <c r="N78" s="195" t="s">
        <v>252</v>
      </c>
      <c r="O78" s="111"/>
      <c r="Q78">
        <v>46300</v>
      </c>
      <c r="R78" s="194" t="s">
        <v>265</v>
      </c>
    </row>
    <row r="79" spans="1:18">
      <c r="A79" s="98">
        <v>11</v>
      </c>
      <c r="B79" s="113" t="s">
        <v>83</v>
      </c>
      <c r="C79" s="10" t="s">
        <v>23</v>
      </c>
      <c r="D79" s="109"/>
      <c r="E79" s="171"/>
      <c r="F79" s="172"/>
      <c r="G79" s="179" t="s">
        <v>122</v>
      </c>
      <c r="H79" s="172"/>
      <c r="I79" s="172" t="s">
        <v>4492</v>
      </c>
      <c r="J79" s="179" t="s">
        <v>124</v>
      </c>
      <c r="K79" s="179" t="s">
        <v>226</v>
      </c>
      <c r="L79" s="172"/>
      <c r="M79" s="172"/>
      <c r="N79" s="195" t="s">
        <v>252</v>
      </c>
      <c r="O79" s="111"/>
      <c r="Q79">
        <v>46300</v>
      </c>
      <c r="R79" s="194" t="s">
        <v>261</v>
      </c>
    </row>
    <row r="80" spans="1:18">
      <c r="A80" s="98">
        <v>12</v>
      </c>
      <c r="B80" s="113" t="s">
        <v>85</v>
      </c>
      <c r="C80" s="10" t="s">
        <v>23</v>
      </c>
      <c r="D80" s="186" t="s">
        <v>57</v>
      </c>
      <c r="E80" s="171"/>
      <c r="F80" s="172"/>
      <c r="G80" s="184"/>
      <c r="H80" s="172"/>
      <c r="I80" s="172" t="s">
        <v>4492</v>
      </c>
      <c r="J80" s="184"/>
      <c r="K80" s="184"/>
      <c r="L80" s="172"/>
      <c r="M80" s="172"/>
      <c r="N80" s="173"/>
      <c r="O80" s="111"/>
      <c r="Q80">
        <v>46300</v>
      </c>
      <c r="R80" s="194" t="s">
        <v>254</v>
      </c>
    </row>
    <row r="81" spans="1:18" ht="15" thickBot="1">
      <c r="A81" s="99">
        <v>13</v>
      </c>
      <c r="B81" s="115" t="s">
        <v>87</v>
      </c>
      <c r="C81" s="100" t="s">
        <v>23</v>
      </c>
      <c r="D81" s="193"/>
      <c r="E81" s="174"/>
      <c r="F81" s="175"/>
      <c r="G81" s="180" t="s">
        <v>122</v>
      </c>
      <c r="H81" s="175"/>
      <c r="I81" s="175" t="s">
        <v>4492</v>
      </c>
      <c r="J81" s="180" t="s">
        <v>124</v>
      </c>
      <c r="K81" s="180" t="s">
        <v>224</v>
      </c>
      <c r="L81" s="175"/>
      <c r="M81" s="175"/>
      <c r="N81" s="176"/>
      <c r="O81" s="112"/>
      <c r="Q81">
        <v>46300</v>
      </c>
      <c r="R81" s="194" t="s">
        <v>263</v>
      </c>
    </row>
    <row r="82" spans="1:18" ht="15" thickBot="1">
      <c r="A82" s="107"/>
      <c r="B82" s="108"/>
      <c r="C82" s="107"/>
      <c r="D82" s="107"/>
      <c r="E82" s="177"/>
      <c r="F82" s="177"/>
      <c r="G82" s="177"/>
      <c r="H82" s="177"/>
      <c r="I82" s="177"/>
      <c r="J82" s="177"/>
      <c r="K82" s="177"/>
      <c r="L82" s="177"/>
      <c r="M82" s="177"/>
      <c r="N82" s="177"/>
      <c r="O82" s="108"/>
    </row>
    <row r="83" spans="1:18" ht="26.1" customHeight="1">
      <c r="A83" s="228" t="s">
        <v>161</v>
      </c>
      <c r="B83" s="229"/>
      <c r="C83" s="230"/>
      <c r="D83" s="103" t="s">
        <v>155</v>
      </c>
      <c r="E83" s="168">
        <v>0.33333333333333331</v>
      </c>
      <c r="F83" s="169">
        <v>0.375</v>
      </c>
      <c r="G83" s="169">
        <v>0.41666666666666669</v>
      </c>
      <c r="H83" s="169">
        <v>0.45833333333333331</v>
      </c>
      <c r="I83" s="169">
        <v>0.5</v>
      </c>
      <c r="J83" s="169">
        <v>0.54166666666666663</v>
      </c>
      <c r="K83" s="169">
        <v>0.58333333333333337</v>
      </c>
      <c r="L83" s="169">
        <v>0.625</v>
      </c>
      <c r="M83" s="169">
        <v>0.66666666666666663</v>
      </c>
      <c r="N83" s="170">
        <v>0.70833333333333337</v>
      </c>
      <c r="O83" s="196" t="s">
        <v>262</v>
      </c>
      <c r="P83" s="102" t="s">
        <v>156</v>
      </c>
      <c r="Q83">
        <v>46301</v>
      </c>
    </row>
    <row r="84" spans="1:18">
      <c r="A84" s="98">
        <v>1</v>
      </c>
      <c r="B84" s="113" t="s">
        <v>63</v>
      </c>
      <c r="C84" s="8" t="s">
        <v>21</v>
      </c>
      <c r="D84" s="109"/>
      <c r="E84" s="171"/>
      <c r="F84" s="172"/>
      <c r="G84" s="172"/>
      <c r="H84" s="172"/>
      <c r="I84" s="172"/>
      <c r="J84" s="172" t="s">
        <v>4492</v>
      </c>
      <c r="K84" s="172"/>
      <c r="L84" s="172"/>
      <c r="M84" s="172"/>
      <c r="N84" s="173"/>
      <c r="O84" s="111"/>
      <c r="Q84">
        <v>46301</v>
      </c>
    </row>
    <row r="85" spans="1:18">
      <c r="A85" s="98">
        <v>2</v>
      </c>
      <c r="B85" s="113" t="s">
        <v>65</v>
      </c>
      <c r="C85" s="8" t="s">
        <v>21</v>
      </c>
      <c r="D85" s="109"/>
      <c r="E85" s="171"/>
      <c r="F85" s="172"/>
      <c r="G85" s="172"/>
      <c r="H85" s="172"/>
      <c r="I85" s="172" t="s">
        <v>4492</v>
      </c>
      <c r="J85" s="172"/>
      <c r="K85" s="172"/>
      <c r="L85" s="172"/>
      <c r="M85" s="172"/>
      <c r="N85" s="173"/>
      <c r="O85" s="111"/>
      <c r="Q85">
        <v>46301</v>
      </c>
    </row>
    <row r="86" spans="1:18">
      <c r="A86" s="98">
        <v>3</v>
      </c>
      <c r="B86" s="113" t="s">
        <v>67</v>
      </c>
      <c r="C86" s="8" t="s">
        <v>21</v>
      </c>
      <c r="D86" s="109"/>
      <c r="E86" s="171"/>
      <c r="F86" s="172"/>
      <c r="G86" s="172"/>
      <c r="H86" s="172"/>
      <c r="I86" s="172"/>
      <c r="J86" s="172" t="s">
        <v>4492</v>
      </c>
      <c r="K86" s="172"/>
      <c r="L86" s="172"/>
      <c r="M86" s="172"/>
      <c r="N86" s="173"/>
      <c r="O86" s="111"/>
      <c r="Q86">
        <v>46301</v>
      </c>
    </row>
    <row r="87" spans="1:18">
      <c r="A87" s="98">
        <v>4</v>
      </c>
      <c r="B87" s="114" t="s">
        <v>69</v>
      </c>
      <c r="C87" s="9" t="s">
        <v>22</v>
      </c>
      <c r="D87" s="109"/>
      <c r="E87" s="171" t="s">
        <v>4434</v>
      </c>
      <c r="F87" s="172" t="s">
        <v>4434</v>
      </c>
      <c r="G87" s="172" t="s">
        <v>4434</v>
      </c>
      <c r="H87" s="172" t="s">
        <v>4434</v>
      </c>
      <c r="I87" s="172" t="s">
        <v>4434</v>
      </c>
      <c r="J87" s="172" t="s">
        <v>4434</v>
      </c>
      <c r="K87" s="172" t="s">
        <v>4434</v>
      </c>
      <c r="L87" s="172" t="s">
        <v>4434</v>
      </c>
      <c r="M87" s="172" t="s">
        <v>4434</v>
      </c>
      <c r="N87" s="173" t="s">
        <v>4434</v>
      </c>
      <c r="O87" s="111"/>
      <c r="Q87">
        <v>46301</v>
      </c>
    </row>
    <row r="88" spans="1:18">
      <c r="A88" s="98">
        <v>5</v>
      </c>
      <c r="B88" s="113" t="s">
        <v>71</v>
      </c>
      <c r="C88" s="9" t="s">
        <v>22</v>
      </c>
      <c r="D88" s="109"/>
      <c r="E88" s="171"/>
      <c r="F88" s="172"/>
      <c r="G88" s="179" t="s">
        <v>122</v>
      </c>
      <c r="H88" s="172"/>
      <c r="I88" s="172"/>
      <c r="J88" s="172" t="s">
        <v>4492</v>
      </c>
      <c r="K88" s="172"/>
      <c r="L88" s="172"/>
      <c r="M88" s="172"/>
      <c r="N88" s="195" t="s">
        <v>252</v>
      </c>
      <c r="O88" s="111"/>
      <c r="Q88">
        <v>46301</v>
      </c>
      <c r="R88" s="194" t="s">
        <v>266</v>
      </c>
    </row>
    <row r="89" spans="1:18">
      <c r="A89" s="98">
        <v>6</v>
      </c>
      <c r="B89" s="114" t="s">
        <v>73</v>
      </c>
      <c r="C89" s="10" t="s">
        <v>23</v>
      </c>
      <c r="D89" s="109"/>
      <c r="E89" s="171" t="s">
        <v>4434</v>
      </c>
      <c r="F89" s="172" t="s">
        <v>4434</v>
      </c>
      <c r="G89" s="172" t="s">
        <v>4434</v>
      </c>
      <c r="H89" s="172" t="s">
        <v>4434</v>
      </c>
      <c r="I89" s="172" t="s">
        <v>4434</v>
      </c>
      <c r="J89" s="172" t="s">
        <v>4434</v>
      </c>
      <c r="K89" s="172" t="s">
        <v>4434</v>
      </c>
      <c r="L89" s="172" t="s">
        <v>4434</v>
      </c>
      <c r="M89" s="172" t="s">
        <v>4434</v>
      </c>
      <c r="N89" s="173" t="s">
        <v>4434</v>
      </c>
      <c r="O89" s="111"/>
      <c r="Q89">
        <v>46301</v>
      </c>
    </row>
    <row r="90" spans="1:18">
      <c r="A90" s="98">
        <v>7</v>
      </c>
      <c r="B90" s="113" t="s">
        <v>75</v>
      </c>
      <c r="C90" s="10" t="s">
        <v>23</v>
      </c>
      <c r="D90" s="186" t="s">
        <v>57</v>
      </c>
      <c r="E90" s="171"/>
      <c r="F90" s="172"/>
      <c r="G90" s="172"/>
      <c r="H90" s="172"/>
      <c r="I90" s="172" t="s">
        <v>4492</v>
      </c>
      <c r="J90" s="172"/>
      <c r="K90" s="172"/>
      <c r="L90" s="172"/>
      <c r="M90" s="172"/>
      <c r="N90" s="173"/>
      <c r="O90" s="111"/>
      <c r="Q90">
        <v>46301</v>
      </c>
      <c r="R90" s="194" t="s">
        <v>254</v>
      </c>
    </row>
    <row r="91" spans="1:18">
      <c r="A91" s="98">
        <v>8</v>
      </c>
      <c r="B91" s="113" t="s">
        <v>77</v>
      </c>
      <c r="C91" s="10" t="s">
        <v>23</v>
      </c>
      <c r="D91" s="186" t="s">
        <v>57</v>
      </c>
      <c r="E91" s="171"/>
      <c r="F91" s="172"/>
      <c r="G91" s="172"/>
      <c r="H91" s="172"/>
      <c r="I91" s="172" t="s">
        <v>4492</v>
      </c>
      <c r="J91" s="172"/>
      <c r="K91" s="172"/>
      <c r="L91" s="172"/>
      <c r="M91" s="172"/>
      <c r="N91" s="173"/>
      <c r="O91" s="111"/>
      <c r="Q91">
        <v>46301</v>
      </c>
      <c r="R91" s="194" t="s">
        <v>254</v>
      </c>
    </row>
    <row r="92" spans="1:18">
      <c r="A92" s="98">
        <v>9</v>
      </c>
      <c r="B92" s="113" t="s">
        <v>79</v>
      </c>
      <c r="C92" s="10" t="s">
        <v>23</v>
      </c>
      <c r="D92" s="186" t="s">
        <v>57</v>
      </c>
      <c r="E92" s="171"/>
      <c r="F92" s="172"/>
      <c r="G92" s="172"/>
      <c r="H92" s="172"/>
      <c r="I92" s="172" t="s">
        <v>4492</v>
      </c>
      <c r="J92" s="172"/>
      <c r="K92" s="184"/>
      <c r="L92" s="172"/>
      <c r="M92" s="172"/>
      <c r="N92" s="173"/>
      <c r="O92" s="111"/>
      <c r="Q92">
        <v>46301</v>
      </c>
      <c r="R92" s="194" t="s">
        <v>254</v>
      </c>
    </row>
    <row r="93" spans="1:18">
      <c r="A93" s="98">
        <v>10</v>
      </c>
      <c r="B93" s="114" t="s">
        <v>81</v>
      </c>
      <c r="C93" s="10" t="s">
        <v>23</v>
      </c>
      <c r="D93" s="109"/>
      <c r="E93" s="171" t="s">
        <v>4434</v>
      </c>
      <c r="F93" s="172" t="s">
        <v>4434</v>
      </c>
      <c r="G93" s="172" t="s">
        <v>4434</v>
      </c>
      <c r="H93" s="172" t="s">
        <v>4434</v>
      </c>
      <c r="I93" s="172" t="s">
        <v>4434</v>
      </c>
      <c r="J93" s="172" t="s">
        <v>4434</v>
      </c>
      <c r="K93" s="172" t="s">
        <v>4434</v>
      </c>
      <c r="L93" s="172" t="s">
        <v>4434</v>
      </c>
      <c r="M93" s="172" t="s">
        <v>4434</v>
      </c>
      <c r="N93" s="173" t="s">
        <v>4434</v>
      </c>
      <c r="O93" s="111"/>
      <c r="Q93">
        <v>46301</v>
      </c>
    </row>
    <row r="94" spans="1:18">
      <c r="A94" s="98">
        <v>11</v>
      </c>
      <c r="B94" s="113" t="s">
        <v>83</v>
      </c>
      <c r="C94" s="10" t="s">
        <v>23</v>
      </c>
      <c r="D94" s="109"/>
      <c r="E94" s="171"/>
      <c r="F94" s="172"/>
      <c r="G94" s="184"/>
      <c r="H94" s="172"/>
      <c r="I94" s="172" t="s">
        <v>4492</v>
      </c>
      <c r="J94" s="179" t="s">
        <v>124</v>
      </c>
      <c r="K94" s="184"/>
      <c r="L94" s="172"/>
      <c r="M94" s="172"/>
      <c r="N94" s="195" t="s">
        <v>252</v>
      </c>
      <c r="O94" s="111"/>
      <c r="Q94">
        <v>46301</v>
      </c>
      <c r="R94" s="194" t="s">
        <v>265</v>
      </c>
    </row>
    <row r="95" spans="1:18">
      <c r="A95" s="98">
        <v>12</v>
      </c>
      <c r="B95" s="113" t="s">
        <v>85</v>
      </c>
      <c r="C95" s="10" t="s">
        <v>23</v>
      </c>
      <c r="D95" s="109"/>
      <c r="E95" s="171"/>
      <c r="F95" s="172"/>
      <c r="G95" s="179" t="s">
        <v>122</v>
      </c>
      <c r="H95" s="172"/>
      <c r="I95" s="172" t="s">
        <v>4492</v>
      </c>
      <c r="J95" s="179" t="s">
        <v>124</v>
      </c>
      <c r="K95" s="179" t="s">
        <v>226</v>
      </c>
      <c r="L95" s="172"/>
      <c r="M95" s="172"/>
      <c r="N95" s="173"/>
      <c r="O95" s="111"/>
      <c r="Q95">
        <v>46301</v>
      </c>
      <c r="R95" s="194" t="s">
        <v>259</v>
      </c>
    </row>
    <row r="96" spans="1:18" ht="15" thickBot="1">
      <c r="A96" s="99">
        <v>13</v>
      </c>
      <c r="B96" s="115" t="s">
        <v>87</v>
      </c>
      <c r="C96" s="100" t="s">
        <v>23</v>
      </c>
      <c r="D96" s="110"/>
      <c r="E96" s="174"/>
      <c r="F96" s="175"/>
      <c r="G96" s="180" t="s">
        <v>122</v>
      </c>
      <c r="H96" s="175"/>
      <c r="I96" s="175" t="s">
        <v>4492</v>
      </c>
      <c r="J96" s="180" t="s">
        <v>124</v>
      </c>
      <c r="K96" s="180" t="s">
        <v>224</v>
      </c>
      <c r="L96" s="175"/>
      <c r="M96" s="175"/>
      <c r="N96" s="176"/>
      <c r="O96" s="112"/>
      <c r="Q96">
        <v>46301</v>
      </c>
      <c r="R96" s="194" t="s">
        <v>263</v>
      </c>
    </row>
    <row r="97" spans="1:18" ht="15" thickBot="1">
      <c r="A97" s="107"/>
      <c r="B97" s="108"/>
      <c r="C97" s="107"/>
      <c r="D97" s="107"/>
      <c r="E97" s="177"/>
      <c r="F97" s="177"/>
      <c r="G97" s="177"/>
      <c r="H97" s="177"/>
      <c r="I97" s="177"/>
      <c r="J97" s="177"/>
      <c r="K97" s="177"/>
      <c r="L97" s="177"/>
      <c r="M97" s="177"/>
      <c r="N97" s="177"/>
      <c r="O97" s="108"/>
    </row>
    <row r="98" spans="1:18" ht="26.1" customHeight="1">
      <c r="A98" s="228" t="s">
        <v>162</v>
      </c>
      <c r="B98" s="229"/>
      <c r="C98" s="230"/>
      <c r="D98" s="103" t="s">
        <v>155</v>
      </c>
      <c r="E98" s="168">
        <v>0.33333333333333331</v>
      </c>
      <c r="F98" s="169">
        <v>0.375</v>
      </c>
      <c r="G98" s="169">
        <v>0.41666666666666669</v>
      </c>
      <c r="H98" s="169">
        <v>0.45833333333333331</v>
      </c>
      <c r="I98" s="169">
        <v>0.5</v>
      </c>
      <c r="J98" s="169">
        <v>0.54166666666666663</v>
      </c>
      <c r="K98" s="169">
        <v>0.58333333333333337</v>
      </c>
      <c r="L98" s="169">
        <v>0.625</v>
      </c>
      <c r="M98" s="169">
        <v>0.66666666666666663</v>
      </c>
      <c r="N98" s="170">
        <v>0.70833333333333337</v>
      </c>
      <c r="O98" s="196" t="s">
        <v>262</v>
      </c>
      <c r="P98" s="102" t="s">
        <v>156</v>
      </c>
      <c r="Q98">
        <v>46302</v>
      </c>
    </row>
    <row r="99" spans="1:18">
      <c r="A99" s="98">
        <v>1</v>
      </c>
      <c r="B99" s="113" t="s">
        <v>63</v>
      </c>
      <c r="C99" s="8" t="s">
        <v>21</v>
      </c>
      <c r="D99" s="109"/>
      <c r="E99" s="171"/>
      <c r="F99" s="172"/>
      <c r="G99" s="172"/>
      <c r="H99" s="172"/>
      <c r="I99" s="172"/>
      <c r="J99" s="172" t="s">
        <v>4492</v>
      </c>
      <c r="K99" s="172"/>
      <c r="L99" s="172"/>
      <c r="M99" s="172"/>
      <c r="N99" s="173"/>
      <c r="O99" s="111"/>
      <c r="Q99">
        <v>46302</v>
      </c>
    </row>
    <row r="100" spans="1:18">
      <c r="A100" s="98">
        <v>2</v>
      </c>
      <c r="B100" s="113" t="s">
        <v>65</v>
      </c>
      <c r="C100" s="8" t="s">
        <v>21</v>
      </c>
      <c r="D100" s="109"/>
      <c r="E100" s="171"/>
      <c r="F100" s="172"/>
      <c r="G100" s="172"/>
      <c r="H100" s="172"/>
      <c r="I100" s="172" t="s">
        <v>4492</v>
      </c>
      <c r="J100" s="172"/>
      <c r="K100" s="172"/>
      <c r="L100" s="172"/>
      <c r="M100" s="172"/>
      <c r="N100" s="173"/>
      <c r="O100" s="111"/>
      <c r="Q100">
        <v>46302</v>
      </c>
    </row>
    <row r="101" spans="1:18">
      <c r="A101" s="98">
        <v>3</v>
      </c>
      <c r="B101" s="113" t="s">
        <v>67</v>
      </c>
      <c r="C101" s="8" t="s">
        <v>21</v>
      </c>
      <c r="D101" s="109"/>
      <c r="E101" s="171"/>
      <c r="F101" s="172"/>
      <c r="G101" s="172"/>
      <c r="H101" s="172"/>
      <c r="I101" s="172"/>
      <c r="J101" s="172" t="s">
        <v>4492</v>
      </c>
      <c r="K101" s="172"/>
      <c r="L101" s="172"/>
      <c r="M101" s="172"/>
      <c r="N101" s="173"/>
      <c r="O101" s="111"/>
      <c r="Q101">
        <v>46302</v>
      </c>
    </row>
    <row r="102" spans="1:18">
      <c r="A102" s="98">
        <v>4</v>
      </c>
      <c r="B102" s="113" t="s">
        <v>69</v>
      </c>
      <c r="C102" s="9" t="s">
        <v>22</v>
      </c>
      <c r="D102" s="109"/>
      <c r="E102" s="171"/>
      <c r="F102" s="172"/>
      <c r="G102" s="179" t="s">
        <v>122</v>
      </c>
      <c r="H102" s="172"/>
      <c r="I102" s="172" t="s">
        <v>4492</v>
      </c>
      <c r="J102" s="179" t="s">
        <v>124</v>
      </c>
      <c r="K102" s="172"/>
      <c r="L102" s="172"/>
      <c r="M102" s="172"/>
      <c r="N102" s="173"/>
      <c r="O102" s="111"/>
      <c r="Q102">
        <v>46302</v>
      </c>
      <c r="R102" s="194" t="s">
        <v>257</v>
      </c>
    </row>
    <row r="103" spans="1:18">
      <c r="A103" s="98">
        <v>5</v>
      </c>
      <c r="B103" s="113" t="s">
        <v>71</v>
      </c>
      <c r="C103" s="9" t="s">
        <v>22</v>
      </c>
      <c r="D103" s="109"/>
      <c r="E103" s="171"/>
      <c r="F103" s="172"/>
      <c r="G103" s="184"/>
      <c r="H103" s="172"/>
      <c r="I103" s="172"/>
      <c r="J103" s="172" t="s">
        <v>4492</v>
      </c>
      <c r="K103" s="172"/>
      <c r="L103" s="172"/>
      <c r="M103" s="172"/>
      <c r="N103" s="195" t="s">
        <v>252</v>
      </c>
      <c r="O103" s="111"/>
      <c r="Q103">
        <v>46302</v>
      </c>
      <c r="R103" s="194" t="s">
        <v>267</v>
      </c>
    </row>
    <row r="104" spans="1:18">
      <c r="A104" s="98">
        <v>6</v>
      </c>
      <c r="B104" s="113" t="s">
        <v>73</v>
      </c>
      <c r="C104" s="10" t="s">
        <v>23</v>
      </c>
      <c r="D104" s="186" t="s">
        <v>57</v>
      </c>
      <c r="E104" s="171"/>
      <c r="F104" s="172"/>
      <c r="G104" s="172"/>
      <c r="H104" s="172"/>
      <c r="I104" s="172" t="s">
        <v>4492</v>
      </c>
      <c r="J104" s="172"/>
      <c r="K104" s="172"/>
      <c r="L104" s="172"/>
      <c r="M104" s="172"/>
      <c r="N104" s="173"/>
      <c r="O104" s="111"/>
      <c r="Q104">
        <v>46302</v>
      </c>
      <c r="R104" s="194" t="s">
        <v>254</v>
      </c>
    </row>
    <row r="105" spans="1:18">
      <c r="A105" s="98">
        <v>7</v>
      </c>
      <c r="B105" s="113" t="s">
        <v>75</v>
      </c>
      <c r="C105" s="10" t="s">
        <v>23</v>
      </c>
      <c r="D105" s="186" t="s">
        <v>57</v>
      </c>
      <c r="E105" s="171"/>
      <c r="F105" s="172"/>
      <c r="G105" s="172"/>
      <c r="H105" s="172"/>
      <c r="I105" s="172" t="s">
        <v>4492</v>
      </c>
      <c r="J105" s="172"/>
      <c r="K105" s="172"/>
      <c r="L105" s="172"/>
      <c r="M105" s="172"/>
      <c r="N105" s="173"/>
      <c r="O105" s="111"/>
      <c r="Q105">
        <v>46302</v>
      </c>
      <c r="R105" s="194" t="s">
        <v>254</v>
      </c>
    </row>
    <row r="106" spans="1:18">
      <c r="A106" s="98">
        <v>8</v>
      </c>
      <c r="B106" s="113" t="s">
        <v>77</v>
      </c>
      <c r="C106" s="10" t="s">
        <v>23</v>
      </c>
      <c r="D106" s="186" t="s">
        <v>57</v>
      </c>
      <c r="E106" s="171"/>
      <c r="F106" s="172"/>
      <c r="G106" s="172"/>
      <c r="H106" s="172"/>
      <c r="I106" s="172" t="s">
        <v>4492</v>
      </c>
      <c r="J106" s="172"/>
      <c r="K106" s="172"/>
      <c r="L106" s="172"/>
      <c r="M106" s="172"/>
      <c r="N106" s="173"/>
      <c r="O106" s="111"/>
      <c r="Q106">
        <v>46302</v>
      </c>
      <c r="R106" s="194" t="s">
        <v>254</v>
      </c>
    </row>
    <row r="107" spans="1:18">
      <c r="A107" s="98">
        <v>9</v>
      </c>
      <c r="B107" s="113" t="s">
        <v>79</v>
      </c>
      <c r="C107" s="10" t="s">
        <v>23</v>
      </c>
      <c r="D107" s="109"/>
      <c r="E107" s="171"/>
      <c r="F107" s="172"/>
      <c r="G107" s="172"/>
      <c r="H107" s="172"/>
      <c r="I107" s="172" t="s">
        <v>4492</v>
      </c>
      <c r="J107" s="172"/>
      <c r="K107" s="184"/>
      <c r="L107" s="172"/>
      <c r="M107" s="172"/>
      <c r="N107" s="173"/>
      <c r="O107" s="111"/>
      <c r="Q107">
        <v>46302</v>
      </c>
    </row>
    <row r="108" spans="1:18">
      <c r="A108" s="98">
        <v>10</v>
      </c>
      <c r="B108" s="113" t="s">
        <v>81</v>
      </c>
      <c r="C108" s="10" t="s">
        <v>23</v>
      </c>
      <c r="D108" s="109"/>
      <c r="E108" s="171"/>
      <c r="F108" s="172"/>
      <c r="G108" s="179" t="s">
        <v>122</v>
      </c>
      <c r="H108" s="172"/>
      <c r="I108" s="172" t="s">
        <v>4492</v>
      </c>
      <c r="J108" s="179" t="s">
        <v>124</v>
      </c>
      <c r="K108" s="179" t="s">
        <v>224</v>
      </c>
      <c r="L108" s="172"/>
      <c r="M108" s="172"/>
      <c r="N108" s="195" t="s">
        <v>252</v>
      </c>
      <c r="O108" s="111"/>
      <c r="Q108">
        <v>46302</v>
      </c>
      <c r="R108" s="194" t="s">
        <v>264</v>
      </c>
    </row>
    <row r="109" spans="1:18">
      <c r="A109" s="98">
        <v>11</v>
      </c>
      <c r="B109" s="114" t="s">
        <v>83</v>
      </c>
      <c r="C109" s="10" t="s">
        <v>23</v>
      </c>
      <c r="D109" s="109"/>
      <c r="E109" s="171" t="s">
        <v>4434</v>
      </c>
      <c r="F109" s="172" t="s">
        <v>4434</v>
      </c>
      <c r="G109" s="172" t="s">
        <v>4434</v>
      </c>
      <c r="H109" s="172" t="s">
        <v>4434</v>
      </c>
      <c r="I109" s="172" t="s">
        <v>4434</v>
      </c>
      <c r="J109" s="172" t="s">
        <v>4434</v>
      </c>
      <c r="K109" s="172" t="s">
        <v>4434</v>
      </c>
      <c r="L109" s="172" t="s">
        <v>4434</v>
      </c>
      <c r="M109" s="172" t="s">
        <v>4434</v>
      </c>
      <c r="N109" s="173" t="s">
        <v>4434</v>
      </c>
      <c r="O109" s="111"/>
      <c r="Q109">
        <v>46302</v>
      </c>
    </row>
    <row r="110" spans="1:18">
      <c r="A110" s="98">
        <v>12</v>
      </c>
      <c r="B110" s="114" t="s">
        <v>85</v>
      </c>
      <c r="C110" s="10" t="s">
        <v>23</v>
      </c>
      <c r="D110" s="109"/>
      <c r="E110" s="171" t="s">
        <v>4434</v>
      </c>
      <c r="F110" s="172" t="s">
        <v>4434</v>
      </c>
      <c r="G110" s="172" t="s">
        <v>4434</v>
      </c>
      <c r="H110" s="172" t="s">
        <v>4434</v>
      </c>
      <c r="I110" s="172" t="s">
        <v>4434</v>
      </c>
      <c r="J110" s="172" t="s">
        <v>4434</v>
      </c>
      <c r="K110" s="172" t="s">
        <v>4434</v>
      </c>
      <c r="L110" s="172" t="s">
        <v>4434</v>
      </c>
      <c r="M110" s="172" t="s">
        <v>4434</v>
      </c>
      <c r="N110" s="173" t="s">
        <v>4434</v>
      </c>
      <c r="O110" s="111"/>
      <c r="Q110">
        <v>46302</v>
      </c>
    </row>
    <row r="111" spans="1:18" ht="15" thickBot="1">
      <c r="A111" s="99">
        <v>13</v>
      </c>
      <c r="B111" s="115" t="s">
        <v>87</v>
      </c>
      <c r="C111" s="100" t="s">
        <v>23</v>
      </c>
      <c r="D111" s="110"/>
      <c r="E111" s="174"/>
      <c r="F111" s="175"/>
      <c r="G111" s="180" t="s">
        <v>122</v>
      </c>
      <c r="H111" s="175"/>
      <c r="I111" s="175" t="s">
        <v>4492</v>
      </c>
      <c r="J111" s="180" t="s">
        <v>124</v>
      </c>
      <c r="K111" s="180" t="s">
        <v>226</v>
      </c>
      <c r="L111" s="175"/>
      <c r="M111" s="175"/>
      <c r="N111" s="176"/>
      <c r="O111" s="112"/>
      <c r="Q111">
        <v>46302</v>
      </c>
      <c r="R111" s="194" t="s">
        <v>259</v>
      </c>
    </row>
    <row r="112" spans="1:18" ht="15" thickBot="1">
      <c r="A112" s="107"/>
      <c r="B112" s="108"/>
      <c r="C112" s="107"/>
      <c r="D112" s="107"/>
      <c r="E112" s="177"/>
      <c r="F112" s="177"/>
      <c r="G112" s="177"/>
      <c r="H112" s="177"/>
      <c r="I112" s="177"/>
      <c r="J112" s="177"/>
      <c r="K112" s="177"/>
      <c r="L112" s="177"/>
      <c r="M112" s="177"/>
      <c r="N112" s="177"/>
      <c r="O112" s="108"/>
    </row>
    <row r="113" spans="1:18" ht="26.1" customHeight="1">
      <c r="A113" s="228" t="s">
        <v>163</v>
      </c>
      <c r="B113" s="229"/>
      <c r="C113" s="230"/>
      <c r="D113" s="103" t="s">
        <v>155</v>
      </c>
      <c r="E113" s="168">
        <v>0.33333333333333331</v>
      </c>
      <c r="F113" s="169">
        <v>0.375</v>
      </c>
      <c r="G113" s="169">
        <v>0.41666666666666669</v>
      </c>
      <c r="H113" s="169">
        <v>0.45833333333333331</v>
      </c>
      <c r="I113" s="169">
        <v>0.5</v>
      </c>
      <c r="J113" s="169">
        <v>0.54166666666666663</v>
      </c>
      <c r="K113" s="169">
        <v>0.58333333333333337</v>
      </c>
      <c r="L113" s="169">
        <v>0.625</v>
      </c>
      <c r="M113" s="169">
        <v>0.66666666666666663</v>
      </c>
      <c r="N113" s="170">
        <v>0.70833333333333337</v>
      </c>
      <c r="O113" s="196" t="s">
        <v>262</v>
      </c>
      <c r="P113" s="102" t="s">
        <v>156</v>
      </c>
      <c r="Q113">
        <v>46303</v>
      </c>
    </row>
    <row r="114" spans="1:18">
      <c r="A114" s="98">
        <v>1</v>
      </c>
      <c r="B114" s="113" t="s">
        <v>63</v>
      </c>
      <c r="C114" s="8" t="s">
        <v>21</v>
      </c>
      <c r="D114" s="109"/>
      <c r="E114" s="171"/>
      <c r="F114" s="172"/>
      <c r="G114" s="172"/>
      <c r="H114" s="172"/>
      <c r="I114" s="172"/>
      <c r="J114" s="172" t="s">
        <v>4492</v>
      </c>
      <c r="K114" s="172"/>
      <c r="L114" s="172"/>
      <c r="M114" s="172"/>
      <c r="N114" s="173"/>
      <c r="O114" s="111"/>
      <c r="Q114">
        <v>46303</v>
      </c>
    </row>
    <row r="115" spans="1:18">
      <c r="A115" s="98">
        <v>2</v>
      </c>
      <c r="B115" s="113" t="s">
        <v>65</v>
      </c>
      <c r="C115" s="8" t="s">
        <v>21</v>
      </c>
      <c r="D115" s="109"/>
      <c r="E115" s="171"/>
      <c r="F115" s="172"/>
      <c r="G115" s="172"/>
      <c r="H115" s="172"/>
      <c r="I115" s="172" t="s">
        <v>4492</v>
      </c>
      <c r="J115" s="172"/>
      <c r="K115" s="172"/>
      <c r="L115" s="172"/>
      <c r="M115" s="172"/>
      <c r="N115" s="173"/>
      <c r="O115" s="111"/>
      <c r="Q115">
        <v>46303</v>
      </c>
    </row>
    <row r="116" spans="1:18">
      <c r="A116" s="98">
        <v>3</v>
      </c>
      <c r="B116" s="113" t="s">
        <v>67</v>
      </c>
      <c r="C116" s="8" t="s">
        <v>21</v>
      </c>
      <c r="D116" s="109"/>
      <c r="E116" s="171"/>
      <c r="F116" s="172"/>
      <c r="G116" s="172"/>
      <c r="H116" s="172"/>
      <c r="I116" s="172"/>
      <c r="J116" s="172" t="s">
        <v>4492</v>
      </c>
      <c r="K116" s="172"/>
      <c r="L116" s="172"/>
      <c r="M116" s="172"/>
      <c r="N116" s="173"/>
      <c r="O116" s="111"/>
      <c r="Q116">
        <v>46303</v>
      </c>
    </row>
    <row r="117" spans="1:18">
      <c r="A117" s="98">
        <v>4</v>
      </c>
      <c r="B117" s="114" t="s">
        <v>69</v>
      </c>
      <c r="C117" s="9" t="s">
        <v>22</v>
      </c>
      <c r="D117" s="109"/>
      <c r="E117" s="171" t="s">
        <v>4434</v>
      </c>
      <c r="F117" s="172" t="s">
        <v>4434</v>
      </c>
      <c r="G117" s="172" t="s">
        <v>4434</v>
      </c>
      <c r="H117" s="172" t="s">
        <v>4434</v>
      </c>
      <c r="I117" s="172" t="s">
        <v>4434</v>
      </c>
      <c r="J117" s="172" t="s">
        <v>4434</v>
      </c>
      <c r="K117" s="172" t="s">
        <v>4434</v>
      </c>
      <c r="L117" s="172" t="s">
        <v>4434</v>
      </c>
      <c r="M117" s="172" t="s">
        <v>4434</v>
      </c>
      <c r="N117" s="173" t="s">
        <v>4434</v>
      </c>
      <c r="O117" s="111"/>
      <c r="Q117">
        <v>46303</v>
      </c>
    </row>
    <row r="118" spans="1:18">
      <c r="A118" s="98">
        <v>5</v>
      </c>
      <c r="B118" s="113" t="s">
        <v>71</v>
      </c>
      <c r="C118" s="9" t="s">
        <v>22</v>
      </c>
      <c r="D118" s="109"/>
      <c r="E118" s="171"/>
      <c r="F118" s="172"/>
      <c r="G118" s="179" t="s">
        <v>122</v>
      </c>
      <c r="H118" s="172"/>
      <c r="I118" s="172"/>
      <c r="J118" s="172" t="s">
        <v>4492</v>
      </c>
      <c r="K118" s="172"/>
      <c r="L118" s="172"/>
      <c r="M118" s="172"/>
      <c r="N118" s="173"/>
      <c r="O118" s="111"/>
      <c r="Q118">
        <v>46303</v>
      </c>
      <c r="R118" s="194" t="s">
        <v>255</v>
      </c>
    </row>
    <row r="119" spans="1:18">
      <c r="A119" s="98">
        <v>6</v>
      </c>
      <c r="B119" s="114" t="s">
        <v>73</v>
      </c>
      <c r="C119" s="10" t="s">
        <v>23</v>
      </c>
      <c r="D119" s="109"/>
      <c r="E119" s="171" t="s">
        <v>4434</v>
      </c>
      <c r="F119" s="172" t="s">
        <v>4434</v>
      </c>
      <c r="G119" s="172" t="s">
        <v>4434</v>
      </c>
      <c r="H119" s="172" t="s">
        <v>4434</v>
      </c>
      <c r="I119" s="172" t="s">
        <v>4434</v>
      </c>
      <c r="J119" s="172" t="s">
        <v>4434</v>
      </c>
      <c r="K119" s="172" t="s">
        <v>4434</v>
      </c>
      <c r="L119" s="172" t="s">
        <v>4434</v>
      </c>
      <c r="M119" s="172" t="s">
        <v>4434</v>
      </c>
      <c r="N119" s="173" t="s">
        <v>4434</v>
      </c>
      <c r="O119" s="111"/>
      <c r="Q119">
        <v>46303</v>
      </c>
    </row>
    <row r="120" spans="1:18">
      <c r="A120" s="98">
        <v>7</v>
      </c>
      <c r="B120" s="113" t="s">
        <v>75</v>
      </c>
      <c r="C120" s="10" t="s">
        <v>23</v>
      </c>
      <c r="D120" s="186" t="s">
        <v>57</v>
      </c>
      <c r="E120" s="171"/>
      <c r="F120" s="172"/>
      <c r="G120" s="172"/>
      <c r="H120" s="172"/>
      <c r="I120" s="172" t="s">
        <v>4492</v>
      </c>
      <c r="J120" s="172"/>
      <c r="K120" s="172"/>
      <c r="L120" s="172"/>
      <c r="M120" s="172"/>
      <c r="N120" s="173"/>
      <c r="O120" s="111"/>
      <c r="Q120">
        <v>46303</v>
      </c>
      <c r="R120" s="194" t="s">
        <v>254</v>
      </c>
    </row>
    <row r="121" spans="1:18">
      <c r="A121" s="98">
        <v>8</v>
      </c>
      <c r="B121" s="113" t="s">
        <v>77</v>
      </c>
      <c r="C121" s="10" t="s">
        <v>23</v>
      </c>
      <c r="D121" s="186" t="s">
        <v>57</v>
      </c>
      <c r="E121" s="171"/>
      <c r="F121" s="172"/>
      <c r="G121" s="172"/>
      <c r="H121" s="172"/>
      <c r="I121" s="172" t="s">
        <v>4492</v>
      </c>
      <c r="J121" s="172"/>
      <c r="K121" s="172"/>
      <c r="L121" s="172"/>
      <c r="M121" s="172"/>
      <c r="N121" s="173"/>
      <c r="O121" s="111"/>
      <c r="Q121">
        <v>46303</v>
      </c>
      <c r="R121" s="194" t="s">
        <v>254</v>
      </c>
    </row>
    <row r="122" spans="1:18">
      <c r="A122" s="98">
        <v>9</v>
      </c>
      <c r="B122" s="113" t="s">
        <v>79</v>
      </c>
      <c r="C122" s="10" t="s">
        <v>23</v>
      </c>
      <c r="D122" s="192"/>
      <c r="E122" s="171"/>
      <c r="F122" s="172"/>
      <c r="G122" s="172"/>
      <c r="H122" s="172"/>
      <c r="I122" s="172" t="s">
        <v>4492</v>
      </c>
      <c r="J122" s="172"/>
      <c r="K122" s="184"/>
      <c r="L122" s="172"/>
      <c r="M122" s="172"/>
      <c r="N122" s="173"/>
      <c r="O122" s="111"/>
      <c r="Q122">
        <v>46303</v>
      </c>
    </row>
    <row r="123" spans="1:18">
      <c r="A123" s="98">
        <v>10</v>
      </c>
      <c r="B123" s="113" t="s">
        <v>81</v>
      </c>
      <c r="C123" s="10" t="s">
        <v>23</v>
      </c>
      <c r="D123" s="109"/>
      <c r="E123" s="171"/>
      <c r="F123" s="172"/>
      <c r="G123" s="184"/>
      <c r="H123" s="172"/>
      <c r="I123" s="172" t="s">
        <v>4492</v>
      </c>
      <c r="J123" s="179" t="s">
        <v>124</v>
      </c>
      <c r="K123" s="179" t="s">
        <v>224</v>
      </c>
      <c r="L123" s="172"/>
      <c r="M123" s="172"/>
      <c r="N123" s="195" t="s">
        <v>252</v>
      </c>
      <c r="O123" s="111"/>
      <c r="Q123">
        <v>46303</v>
      </c>
      <c r="R123" s="194" t="s">
        <v>268</v>
      </c>
    </row>
    <row r="124" spans="1:18">
      <c r="A124" s="98">
        <v>11</v>
      </c>
      <c r="B124" s="113" t="s">
        <v>83</v>
      </c>
      <c r="C124" s="10" t="s">
        <v>23</v>
      </c>
      <c r="D124" s="109"/>
      <c r="E124" s="171"/>
      <c r="F124" s="172"/>
      <c r="G124" s="179" t="s">
        <v>122</v>
      </c>
      <c r="H124" s="172"/>
      <c r="I124" s="172" t="s">
        <v>4492</v>
      </c>
      <c r="J124" s="179" t="s">
        <v>124</v>
      </c>
      <c r="K124" s="184"/>
      <c r="L124" s="172"/>
      <c r="M124" s="172"/>
      <c r="N124" s="195" t="s">
        <v>252</v>
      </c>
      <c r="O124" s="111"/>
      <c r="Q124">
        <v>46303</v>
      </c>
      <c r="R124" s="194" t="s">
        <v>260</v>
      </c>
    </row>
    <row r="125" spans="1:18">
      <c r="A125" s="98">
        <v>12</v>
      </c>
      <c r="B125" s="113" t="s">
        <v>85</v>
      </c>
      <c r="C125" s="10" t="s">
        <v>23</v>
      </c>
      <c r="D125" s="186" t="s">
        <v>57</v>
      </c>
      <c r="E125" s="171"/>
      <c r="F125" s="172"/>
      <c r="G125" s="184"/>
      <c r="H125" s="172"/>
      <c r="I125" s="172" t="s">
        <v>4492</v>
      </c>
      <c r="J125" s="184"/>
      <c r="K125" s="172"/>
      <c r="L125" s="172"/>
      <c r="M125" s="172"/>
      <c r="N125" s="173"/>
      <c r="O125" s="111"/>
      <c r="Q125">
        <v>46303</v>
      </c>
      <c r="R125" s="194" t="s">
        <v>254</v>
      </c>
    </row>
    <row r="126" spans="1:18" ht="15" thickBot="1">
      <c r="A126" s="99">
        <v>13</v>
      </c>
      <c r="B126" s="115" t="s">
        <v>87</v>
      </c>
      <c r="C126" s="100" t="s">
        <v>23</v>
      </c>
      <c r="D126" s="110"/>
      <c r="E126" s="174"/>
      <c r="F126" s="175"/>
      <c r="G126" s="180" t="s">
        <v>122</v>
      </c>
      <c r="H126" s="175"/>
      <c r="I126" s="175" t="s">
        <v>4492</v>
      </c>
      <c r="J126" s="180" t="s">
        <v>124</v>
      </c>
      <c r="K126" s="180" t="s">
        <v>226</v>
      </c>
      <c r="L126" s="175"/>
      <c r="M126" s="175"/>
      <c r="N126" s="176"/>
      <c r="O126" s="112"/>
      <c r="Q126">
        <v>46303</v>
      </c>
      <c r="R126" s="194" t="s">
        <v>259</v>
      </c>
    </row>
    <row r="127" spans="1:18" ht="15" thickBot="1">
      <c r="A127" s="107"/>
      <c r="B127" s="108"/>
      <c r="C127" s="107"/>
      <c r="D127" s="107"/>
      <c r="E127" s="177"/>
      <c r="F127" s="177"/>
      <c r="G127" s="177"/>
      <c r="H127" s="177"/>
      <c r="I127" s="177"/>
      <c r="J127" s="177"/>
      <c r="K127" s="177"/>
      <c r="L127" s="177"/>
      <c r="M127" s="177"/>
      <c r="N127" s="177"/>
      <c r="O127" s="108"/>
    </row>
    <row r="128" spans="1:18" ht="26.1" customHeight="1">
      <c r="A128" s="228" t="s">
        <v>164</v>
      </c>
      <c r="B128" s="229"/>
      <c r="C128" s="230"/>
      <c r="D128" s="103" t="s">
        <v>155</v>
      </c>
      <c r="E128" s="168">
        <v>0.33333333333333331</v>
      </c>
      <c r="F128" s="169">
        <v>0.375</v>
      </c>
      <c r="G128" s="169">
        <v>0.41666666666666669</v>
      </c>
      <c r="H128" s="169">
        <v>0.45833333333333331</v>
      </c>
      <c r="I128" s="169">
        <v>0.5</v>
      </c>
      <c r="J128" s="169">
        <v>0.54166666666666663</v>
      </c>
      <c r="K128" s="169">
        <v>0.58333333333333337</v>
      </c>
      <c r="L128" s="169">
        <v>0.625</v>
      </c>
      <c r="M128" s="169">
        <v>0.66666666666666663</v>
      </c>
      <c r="N128" s="170">
        <v>0.70833333333333337</v>
      </c>
      <c r="O128" s="196" t="s">
        <v>262</v>
      </c>
      <c r="P128" s="102" t="s">
        <v>156</v>
      </c>
      <c r="Q128">
        <v>46304</v>
      </c>
    </row>
    <row r="129" spans="1:18">
      <c r="A129" s="98">
        <v>1</v>
      </c>
      <c r="B129" s="113" t="s">
        <v>63</v>
      </c>
      <c r="C129" s="8" t="s">
        <v>21</v>
      </c>
      <c r="D129" s="109"/>
      <c r="E129" s="171"/>
      <c r="F129" s="172"/>
      <c r="G129" s="172"/>
      <c r="H129" s="172"/>
      <c r="I129" s="172"/>
      <c r="J129" s="172" t="s">
        <v>4492</v>
      </c>
      <c r="K129" s="172"/>
      <c r="L129" s="172"/>
      <c r="M129" s="172"/>
      <c r="N129" s="173"/>
      <c r="O129" s="111"/>
      <c r="Q129">
        <v>46304</v>
      </c>
    </row>
    <row r="130" spans="1:18">
      <c r="A130" s="98">
        <v>2</v>
      </c>
      <c r="B130" s="114" t="s">
        <v>65</v>
      </c>
      <c r="C130" s="8" t="s">
        <v>21</v>
      </c>
      <c r="D130" s="109"/>
      <c r="E130" s="171" t="s">
        <v>4434</v>
      </c>
      <c r="F130" s="172" t="s">
        <v>4434</v>
      </c>
      <c r="G130" s="172" t="s">
        <v>4434</v>
      </c>
      <c r="H130" s="172" t="s">
        <v>4434</v>
      </c>
      <c r="I130" s="172" t="s">
        <v>4434</v>
      </c>
      <c r="J130" s="172" t="s">
        <v>4434</v>
      </c>
      <c r="K130" s="172" t="s">
        <v>4434</v>
      </c>
      <c r="L130" s="172" t="s">
        <v>4434</v>
      </c>
      <c r="M130" s="172" t="s">
        <v>4434</v>
      </c>
      <c r="N130" s="173" t="s">
        <v>4434</v>
      </c>
      <c r="O130" s="111"/>
      <c r="Q130">
        <v>46304</v>
      </c>
    </row>
    <row r="131" spans="1:18">
      <c r="A131" s="98">
        <v>3</v>
      </c>
      <c r="B131" s="113" t="s">
        <v>67</v>
      </c>
      <c r="C131" s="8" t="s">
        <v>21</v>
      </c>
      <c r="D131" s="109"/>
      <c r="E131" s="171"/>
      <c r="F131" s="172"/>
      <c r="G131" s="172"/>
      <c r="H131" s="172"/>
      <c r="I131" s="172"/>
      <c r="J131" s="172" t="s">
        <v>4492</v>
      </c>
      <c r="K131" s="172"/>
      <c r="L131" s="172"/>
      <c r="M131" s="172"/>
      <c r="N131" s="173"/>
      <c r="O131" s="111"/>
      <c r="Q131">
        <v>46304</v>
      </c>
    </row>
    <row r="132" spans="1:18">
      <c r="A132" s="98">
        <v>4</v>
      </c>
      <c r="B132" s="113" t="s">
        <v>69</v>
      </c>
      <c r="C132" s="9" t="s">
        <v>22</v>
      </c>
      <c r="D132" s="109"/>
      <c r="E132" s="171"/>
      <c r="F132" s="172"/>
      <c r="G132" s="179" t="s">
        <v>122</v>
      </c>
      <c r="H132" s="172"/>
      <c r="I132" s="172" t="s">
        <v>4492</v>
      </c>
      <c r="J132" s="184"/>
      <c r="K132" s="172"/>
      <c r="L132" s="172"/>
      <c r="M132" s="172"/>
      <c r="N132" s="173"/>
      <c r="O132" s="111"/>
      <c r="Q132">
        <v>46304</v>
      </c>
      <c r="R132" s="194" t="s">
        <v>255</v>
      </c>
    </row>
    <row r="133" spans="1:18">
      <c r="A133" s="98">
        <v>5</v>
      </c>
      <c r="B133" s="113" t="s">
        <v>71</v>
      </c>
      <c r="C133" s="9" t="s">
        <v>22</v>
      </c>
      <c r="D133" s="109"/>
      <c r="E133" s="171"/>
      <c r="F133" s="172"/>
      <c r="G133" s="172"/>
      <c r="H133" s="172"/>
      <c r="I133" s="172"/>
      <c r="J133" s="172" t="s">
        <v>4492</v>
      </c>
      <c r="K133" s="172"/>
      <c r="L133" s="172"/>
      <c r="M133" s="172"/>
      <c r="N133" s="173"/>
      <c r="O133" s="111"/>
      <c r="Q133">
        <v>46304</v>
      </c>
    </row>
    <row r="134" spans="1:18">
      <c r="A134" s="98">
        <v>6</v>
      </c>
      <c r="B134" s="113" t="s">
        <v>73</v>
      </c>
      <c r="C134" s="10" t="s">
        <v>23</v>
      </c>
      <c r="D134" s="186" t="s">
        <v>57</v>
      </c>
      <c r="E134" s="171"/>
      <c r="F134" s="172"/>
      <c r="G134" s="172"/>
      <c r="H134" s="172"/>
      <c r="I134" s="172" t="s">
        <v>4492</v>
      </c>
      <c r="J134" s="172"/>
      <c r="K134" s="172"/>
      <c r="L134" s="172"/>
      <c r="M134" s="172"/>
      <c r="N134" s="173"/>
      <c r="O134" s="111"/>
      <c r="Q134">
        <v>46304</v>
      </c>
      <c r="R134" s="194" t="s">
        <v>254</v>
      </c>
    </row>
    <row r="135" spans="1:18">
      <c r="A135" s="98">
        <v>7</v>
      </c>
      <c r="B135" s="114" t="s">
        <v>75</v>
      </c>
      <c r="C135" s="10" t="s">
        <v>23</v>
      </c>
      <c r="D135" s="109"/>
      <c r="E135" s="171" t="s">
        <v>4434</v>
      </c>
      <c r="F135" s="172" t="s">
        <v>4434</v>
      </c>
      <c r="G135" s="172" t="s">
        <v>4434</v>
      </c>
      <c r="H135" s="172" t="s">
        <v>4434</v>
      </c>
      <c r="I135" s="172" t="s">
        <v>4434</v>
      </c>
      <c r="J135" s="172" t="s">
        <v>4434</v>
      </c>
      <c r="K135" s="172" t="s">
        <v>4434</v>
      </c>
      <c r="L135" s="172" t="s">
        <v>4434</v>
      </c>
      <c r="M135" s="172" t="s">
        <v>4434</v>
      </c>
      <c r="N135" s="173" t="s">
        <v>4434</v>
      </c>
      <c r="O135" s="111"/>
      <c r="Q135">
        <v>46304</v>
      </c>
    </row>
    <row r="136" spans="1:18">
      <c r="A136" s="98">
        <v>8</v>
      </c>
      <c r="B136" s="113" t="s">
        <v>77</v>
      </c>
      <c r="C136" s="10" t="s">
        <v>23</v>
      </c>
      <c r="D136" s="109"/>
      <c r="E136" s="171"/>
      <c r="F136" s="172"/>
      <c r="G136" s="172"/>
      <c r="H136" s="172"/>
      <c r="I136" s="172" t="s">
        <v>4492</v>
      </c>
      <c r="J136" s="172"/>
      <c r="K136" s="172"/>
      <c r="L136" s="172"/>
      <c r="M136" s="172"/>
      <c r="N136" s="173"/>
      <c r="O136" s="111"/>
      <c r="Q136">
        <v>46304</v>
      </c>
    </row>
    <row r="137" spans="1:18">
      <c r="A137" s="98">
        <v>9</v>
      </c>
      <c r="B137" s="113" t="s">
        <v>79</v>
      </c>
      <c r="C137" s="10" t="s">
        <v>23</v>
      </c>
      <c r="D137" s="186" t="s">
        <v>57</v>
      </c>
      <c r="E137" s="171"/>
      <c r="F137" s="172"/>
      <c r="G137" s="172"/>
      <c r="H137" s="172"/>
      <c r="I137" s="172" t="s">
        <v>4492</v>
      </c>
      <c r="J137" s="172"/>
      <c r="K137" s="184"/>
      <c r="L137" s="172"/>
      <c r="M137" s="172"/>
      <c r="N137" s="173"/>
      <c r="O137" s="111"/>
      <c r="Q137">
        <v>46304</v>
      </c>
      <c r="R137" s="194" t="s">
        <v>254</v>
      </c>
    </row>
    <row r="138" spans="1:18">
      <c r="A138" s="98">
        <v>10</v>
      </c>
      <c r="B138" s="113" t="s">
        <v>81</v>
      </c>
      <c r="C138" s="10" t="s">
        <v>23</v>
      </c>
      <c r="D138" s="109"/>
      <c r="E138" s="171"/>
      <c r="F138" s="172"/>
      <c r="G138" s="179" t="s">
        <v>122</v>
      </c>
      <c r="H138" s="172"/>
      <c r="I138" s="172" t="s">
        <v>4492</v>
      </c>
      <c r="J138" s="179" t="s">
        <v>124</v>
      </c>
      <c r="K138" s="184"/>
      <c r="L138" s="172"/>
      <c r="M138" s="172"/>
      <c r="N138" s="195" t="s">
        <v>252</v>
      </c>
      <c r="O138" s="111"/>
      <c r="Q138">
        <v>46304</v>
      </c>
      <c r="R138" s="194" t="s">
        <v>260</v>
      </c>
    </row>
    <row r="139" spans="1:18">
      <c r="A139" s="98">
        <v>11</v>
      </c>
      <c r="B139" s="113" t="s">
        <v>83</v>
      </c>
      <c r="C139" s="10" t="s">
        <v>23</v>
      </c>
      <c r="D139" s="109"/>
      <c r="E139" s="171"/>
      <c r="F139" s="172"/>
      <c r="G139" s="184"/>
      <c r="H139" s="172"/>
      <c r="I139" s="172" t="s">
        <v>4492</v>
      </c>
      <c r="J139" s="179" t="s">
        <v>124</v>
      </c>
      <c r="K139" s="179" t="s">
        <v>226</v>
      </c>
      <c r="L139" s="172"/>
      <c r="M139" s="172"/>
      <c r="N139" s="195" t="s">
        <v>252</v>
      </c>
      <c r="O139" s="111"/>
      <c r="Q139">
        <v>46304</v>
      </c>
      <c r="R139" s="194" t="s">
        <v>270</v>
      </c>
    </row>
    <row r="140" spans="1:18">
      <c r="A140" s="98">
        <v>12</v>
      </c>
      <c r="B140" s="113" t="s">
        <v>85</v>
      </c>
      <c r="C140" s="10" t="s">
        <v>23</v>
      </c>
      <c r="D140" s="192"/>
      <c r="E140" s="171"/>
      <c r="F140" s="172"/>
      <c r="G140" s="179" t="s">
        <v>122</v>
      </c>
      <c r="H140" s="172"/>
      <c r="I140" s="172" t="s">
        <v>4492</v>
      </c>
      <c r="J140" s="179" t="s">
        <v>124</v>
      </c>
      <c r="K140" s="179" t="s">
        <v>224</v>
      </c>
      <c r="L140" s="172"/>
      <c r="M140" s="172"/>
      <c r="N140" s="173"/>
      <c r="O140" s="111"/>
      <c r="Q140">
        <v>46304</v>
      </c>
      <c r="R140" s="194" t="s">
        <v>263</v>
      </c>
    </row>
    <row r="141" spans="1:18" ht="15" thickBot="1">
      <c r="A141" s="99">
        <v>13</v>
      </c>
      <c r="B141" s="115" t="s">
        <v>87</v>
      </c>
      <c r="C141" s="100" t="s">
        <v>23</v>
      </c>
      <c r="D141" s="187" t="s">
        <v>57</v>
      </c>
      <c r="E141" s="174"/>
      <c r="F141" s="175"/>
      <c r="G141" s="175"/>
      <c r="H141" s="175"/>
      <c r="I141" s="175" t="s">
        <v>4492</v>
      </c>
      <c r="J141" s="185"/>
      <c r="K141" s="175"/>
      <c r="L141" s="175"/>
      <c r="M141" s="175"/>
      <c r="N141" s="176"/>
      <c r="O141" s="112"/>
      <c r="Q141">
        <v>46304</v>
      </c>
      <c r="R141" s="194" t="s">
        <v>254</v>
      </c>
    </row>
    <row r="142" spans="1:18" ht="15" thickBot="1">
      <c r="A142" s="107"/>
      <c r="B142" s="108"/>
      <c r="C142" s="107"/>
      <c r="D142" s="107"/>
      <c r="E142" s="177"/>
      <c r="F142" s="177"/>
      <c r="G142" s="177"/>
      <c r="H142" s="177"/>
      <c r="I142" s="177"/>
      <c r="J142" s="177"/>
      <c r="K142" s="177"/>
      <c r="L142" s="177"/>
      <c r="M142" s="177"/>
      <c r="N142" s="177"/>
      <c r="O142" s="108"/>
    </row>
    <row r="143" spans="1:18" ht="26.1" customHeight="1">
      <c r="A143" s="222" t="s">
        <v>165</v>
      </c>
      <c r="B143" s="223"/>
      <c r="C143" s="224"/>
      <c r="D143" s="103" t="s">
        <v>155</v>
      </c>
      <c r="E143" s="168">
        <v>0.33333333333333331</v>
      </c>
      <c r="F143" s="169">
        <v>0.375</v>
      </c>
      <c r="G143" s="169">
        <v>0.41666666666666669</v>
      </c>
      <c r="H143" s="169">
        <v>0.45833333333333331</v>
      </c>
      <c r="I143" s="169">
        <v>0.5</v>
      </c>
      <c r="J143" s="169">
        <v>0.54166666666666663</v>
      </c>
      <c r="K143" s="169">
        <v>0.58333333333333337</v>
      </c>
      <c r="L143" s="169">
        <v>0.625</v>
      </c>
      <c r="M143" s="169">
        <v>0.66666666666666663</v>
      </c>
      <c r="N143" s="170">
        <v>0.70833333333333337</v>
      </c>
      <c r="O143" s="178" t="s">
        <v>228</v>
      </c>
      <c r="P143" s="102" t="s">
        <v>156</v>
      </c>
      <c r="Q143">
        <v>46305</v>
      </c>
    </row>
    <row r="144" spans="1:18">
      <c r="A144" s="98">
        <v>1</v>
      </c>
      <c r="B144" s="114" t="s">
        <v>63</v>
      </c>
      <c r="C144" s="8" t="s">
        <v>21</v>
      </c>
      <c r="D144" s="109"/>
      <c r="E144" s="171" t="s">
        <v>4434</v>
      </c>
      <c r="F144" s="172" t="s">
        <v>4434</v>
      </c>
      <c r="G144" s="172" t="s">
        <v>4434</v>
      </c>
      <c r="H144" s="172" t="s">
        <v>4434</v>
      </c>
      <c r="I144" s="172" t="s">
        <v>4434</v>
      </c>
      <c r="J144" s="172" t="s">
        <v>4434</v>
      </c>
      <c r="K144" s="172" t="s">
        <v>4434</v>
      </c>
      <c r="L144" s="172" t="s">
        <v>4434</v>
      </c>
      <c r="M144" s="172" t="s">
        <v>4434</v>
      </c>
      <c r="N144" s="173" t="s">
        <v>4434</v>
      </c>
      <c r="O144" s="111"/>
      <c r="Q144">
        <v>46305</v>
      </c>
    </row>
    <row r="145" spans="1:17">
      <c r="A145" s="98">
        <v>2</v>
      </c>
      <c r="B145" s="114" t="s">
        <v>65</v>
      </c>
      <c r="C145" s="8" t="s">
        <v>21</v>
      </c>
      <c r="D145" s="109"/>
      <c r="E145" s="171" t="s">
        <v>4434</v>
      </c>
      <c r="F145" s="172" t="s">
        <v>4434</v>
      </c>
      <c r="G145" s="172" t="s">
        <v>4434</v>
      </c>
      <c r="H145" s="172" t="s">
        <v>4434</v>
      </c>
      <c r="I145" s="172" t="s">
        <v>4434</v>
      </c>
      <c r="J145" s="172" t="s">
        <v>4434</v>
      </c>
      <c r="K145" s="172" t="s">
        <v>4434</v>
      </c>
      <c r="L145" s="172" t="s">
        <v>4434</v>
      </c>
      <c r="M145" s="172" t="s">
        <v>4434</v>
      </c>
      <c r="N145" s="173" t="s">
        <v>4434</v>
      </c>
      <c r="O145" s="111"/>
      <c r="Q145">
        <v>46305</v>
      </c>
    </row>
    <row r="146" spans="1:17">
      <c r="A146" s="98">
        <v>3</v>
      </c>
      <c r="B146" s="114" t="s">
        <v>67</v>
      </c>
      <c r="C146" s="8" t="s">
        <v>21</v>
      </c>
      <c r="D146" s="109"/>
      <c r="E146" s="171" t="s">
        <v>4434</v>
      </c>
      <c r="F146" s="172" t="s">
        <v>4434</v>
      </c>
      <c r="G146" s="172" t="s">
        <v>4434</v>
      </c>
      <c r="H146" s="172" t="s">
        <v>4434</v>
      </c>
      <c r="I146" s="172" t="s">
        <v>4434</v>
      </c>
      <c r="J146" s="172" t="s">
        <v>4434</v>
      </c>
      <c r="K146" s="172" t="s">
        <v>4434</v>
      </c>
      <c r="L146" s="172" t="s">
        <v>4434</v>
      </c>
      <c r="M146" s="172" t="s">
        <v>4434</v>
      </c>
      <c r="N146" s="173" t="s">
        <v>4434</v>
      </c>
      <c r="O146" s="111"/>
      <c r="Q146">
        <v>46305</v>
      </c>
    </row>
    <row r="147" spans="1:17">
      <c r="A147" s="98">
        <v>4</v>
      </c>
      <c r="B147" s="114" t="s">
        <v>69</v>
      </c>
      <c r="C147" s="9" t="s">
        <v>22</v>
      </c>
      <c r="D147" s="109"/>
      <c r="E147" s="171" t="s">
        <v>4434</v>
      </c>
      <c r="F147" s="172" t="s">
        <v>4434</v>
      </c>
      <c r="G147" s="172" t="s">
        <v>4434</v>
      </c>
      <c r="H147" s="172" t="s">
        <v>4434</v>
      </c>
      <c r="I147" s="172" t="s">
        <v>4434</v>
      </c>
      <c r="J147" s="172" t="s">
        <v>4434</v>
      </c>
      <c r="K147" s="172" t="s">
        <v>4434</v>
      </c>
      <c r="L147" s="172" t="s">
        <v>4434</v>
      </c>
      <c r="M147" s="172" t="s">
        <v>4434</v>
      </c>
      <c r="N147" s="173" t="s">
        <v>4434</v>
      </c>
      <c r="O147" s="111"/>
      <c r="Q147">
        <v>46305</v>
      </c>
    </row>
    <row r="148" spans="1:17">
      <c r="A148" s="98">
        <v>5</v>
      </c>
      <c r="B148" s="114" t="s">
        <v>71</v>
      </c>
      <c r="C148" s="9" t="s">
        <v>22</v>
      </c>
      <c r="D148" s="109"/>
      <c r="E148" s="171" t="s">
        <v>4434</v>
      </c>
      <c r="F148" s="172" t="s">
        <v>4434</v>
      </c>
      <c r="G148" s="172" t="s">
        <v>4434</v>
      </c>
      <c r="H148" s="172" t="s">
        <v>4434</v>
      </c>
      <c r="I148" s="172" t="s">
        <v>4434</v>
      </c>
      <c r="J148" s="172" t="s">
        <v>4434</v>
      </c>
      <c r="K148" s="172" t="s">
        <v>4434</v>
      </c>
      <c r="L148" s="172" t="s">
        <v>4434</v>
      </c>
      <c r="M148" s="172" t="s">
        <v>4434</v>
      </c>
      <c r="N148" s="173" t="s">
        <v>4434</v>
      </c>
      <c r="O148" s="111"/>
      <c r="Q148">
        <v>46305</v>
      </c>
    </row>
    <row r="149" spans="1:17">
      <c r="A149" s="98">
        <v>6</v>
      </c>
      <c r="B149" s="114" t="s">
        <v>73</v>
      </c>
      <c r="C149" s="10" t="s">
        <v>23</v>
      </c>
      <c r="D149" s="109"/>
      <c r="E149" s="171" t="s">
        <v>4434</v>
      </c>
      <c r="F149" s="172" t="s">
        <v>4434</v>
      </c>
      <c r="G149" s="172" t="s">
        <v>4434</v>
      </c>
      <c r="H149" s="172" t="s">
        <v>4434</v>
      </c>
      <c r="I149" s="172" t="s">
        <v>4434</v>
      </c>
      <c r="J149" s="172" t="s">
        <v>4434</v>
      </c>
      <c r="K149" s="172" t="s">
        <v>4434</v>
      </c>
      <c r="L149" s="172" t="s">
        <v>4434</v>
      </c>
      <c r="M149" s="172" t="s">
        <v>4434</v>
      </c>
      <c r="N149" s="173" t="s">
        <v>4434</v>
      </c>
      <c r="O149" s="111"/>
      <c r="Q149">
        <v>46305</v>
      </c>
    </row>
    <row r="150" spans="1:17">
      <c r="A150" s="98">
        <v>7</v>
      </c>
      <c r="B150" s="114" t="s">
        <v>75</v>
      </c>
      <c r="C150" s="10" t="s">
        <v>23</v>
      </c>
      <c r="D150" s="109"/>
      <c r="E150" s="171" t="s">
        <v>4434</v>
      </c>
      <c r="F150" s="172" t="s">
        <v>4434</v>
      </c>
      <c r="G150" s="172" t="s">
        <v>4434</v>
      </c>
      <c r="H150" s="172" t="s">
        <v>4434</v>
      </c>
      <c r="I150" s="172" t="s">
        <v>4434</v>
      </c>
      <c r="J150" s="172" t="s">
        <v>4434</v>
      </c>
      <c r="K150" s="172" t="s">
        <v>4434</v>
      </c>
      <c r="L150" s="172" t="s">
        <v>4434</v>
      </c>
      <c r="M150" s="172" t="s">
        <v>4434</v>
      </c>
      <c r="N150" s="173" t="s">
        <v>4434</v>
      </c>
      <c r="O150" s="111"/>
      <c r="Q150">
        <v>46305</v>
      </c>
    </row>
    <row r="151" spans="1:17">
      <c r="A151" s="98">
        <v>8</v>
      </c>
      <c r="B151" s="114" t="s">
        <v>77</v>
      </c>
      <c r="C151" s="10" t="s">
        <v>23</v>
      </c>
      <c r="D151" s="109"/>
      <c r="E151" s="171" t="s">
        <v>4434</v>
      </c>
      <c r="F151" s="172" t="s">
        <v>4434</v>
      </c>
      <c r="G151" s="172" t="s">
        <v>4434</v>
      </c>
      <c r="H151" s="172" t="s">
        <v>4434</v>
      </c>
      <c r="I151" s="172" t="s">
        <v>4434</v>
      </c>
      <c r="J151" s="172" t="s">
        <v>4434</v>
      </c>
      <c r="K151" s="172" t="s">
        <v>4434</v>
      </c>
      <c r="L151" s="172" t="s">
        <v>4434</v>
      </c>
      <c r="M151" s="172" t="s">
        <v>4434</v>
      </c>
      <c r="N151" s="173" t="s">
        <v>4434</v>
      </c>
      <c r="O151" s="111"/>
      <c r="Q151">
        <v>46305</v>
      </c>
    </row>
    <row r="152" spans="1:17">
      <c r="A152" s="98">
        <v>9</v>
      </c>
      <c r="B152" s="114" t="s">
        <v>79</v>
      </c>
      <c r="C152" s="10" t="s">
        <v>23</v>
      </c>
      <c r="D152" s="109"/>
      <c r="E152" s="171" t="s">
        <v>4434</v>
      </c>
      <c r="F152" s="172" t="s">
        <v>4434</v>
      </c>
      <c r="G152" s="172" t="s">
        <v>4434</v>
      </c>
      <c r="H152" s="172" t="s">
        <v>4434</v>
      </c>
      <c r="I152" s="172" t="s">
        <v>4434</v>
      </c>
      <c r="J152" s="172" t="s">
        <v>4434</v>
      </c>
      <c r="K152" s="172" t="s">
        <v>4434</v>
      </c>
      <c r="L152" s="172" t="s">
        <v>4434</v>
      </c>
      <c r="M152" s="172" t="s">
        <v>4434</v>
      </c>
      <c r="N152" s="173" t="s">
        <v>4434</v>
      </c>
      <c r="O152" s="111"/>
      <c r="Q152">
        <v>46305</v>
      </c>
    </row>
    <row r="153" spans="1:17">
      <c r="A153" s="98">
        <v>10</v>
      </c>
      <c r="B153" s="114" t="s">
        <v>81</v>
      </c>
      <c r="C153" s="10" t="s">
        <v>23</v>
      </c>
      <c r="D153" s="109"/>
      <c r="E153" s="171" t="s">
        <v>4434</v>
      </c>
      <c r="F153" s="172" t="s">
        <v>4434</v>
      </c>
      <c r="G153" s="172" t="s">
        <v>4434</v>
      </c>
      <c r="H153" s="172" t="s">
        <v>4434</v>
      </c>
      <c r="I153" s="172" t="s">
        <v>4434</v>
      </c>
      <c r="J153" s="172" t="s">
        <v>4434</v>
      </c>
      <c r="K153" s="172" t="s">
        <v>4434</v>
      </c>
      <c r="L153" s="172" t="s">
        <v>4434</v>
      </c>
      <c r="M153" s="172" t="s">
        <v>4434</v>
      </c>
      <c r="N153" s="173" t="s">
        <v>4434</v>
      </c>
      <c r="O153" s="111"/>
      <c r="Q153">
        <v>46305</v>
      </c>
    </row>
    <row r="154" spans="1:17">
      <c r="A154" s="98">
        <v>11</v>
      </c>
      <c r="B154" s="114" t="s">
        <v>83</v>
      </c>
      <c r="C154" s="10" t="s">
        <v>23</v>
      </c>
      <c r="D154" s="109"/>
      <c r="E154" s="171" t="s">
        <v>4434</v>
      </c>
      <c r="F154" s="172" t="s">
        <v>4434</v>
      </c>
      <c r="G154" s="172" t="s">
        <v>4434</v>
      </c>
      <c r="H154" s="172" t="s">
        <v>4434</v>
      </c>
      <c r="I154" s="172" t="s">
        <v>4434</v>
      </c>
      <c r="J154" s="172" t="s">
        <v>4434</v>
      </c>
      <c r="K154" s="172" t="s">
        <v>4434</v>
      </c>
      <c r="L154" s="172" t="s">
        <v>4434</v>
      </c>
      <c r="M154" s="172" t="s">
        <v>4434</v>
      </c>
      <c r="N154" s="173" t="s">
        <v>4434</v>
      </c>
      <c r="O154" s="111"/>
      <c r="Q154">
        <v>46305</v>
      </c>
    </row>
    <row r="155" spans="1:17">
      <c r="A155" s="98">
        <v>12</v>
      </c>
      <c r="B155" s="114" t="s">
        <v>85</v>
      </c>
      <c r="C155" s="10" t="s">
        <v>23</v>
      </c>
      <c r="D155" s="109"/>
      <c r="E155" s="171" t="s">
        <v>4434</v>
      </c>
      <c r="F155" s="172" t="s">
        <v>4434</v>
      </c>
      <c r="G155" s="172" t="s">
        <v>4434</v>
      </c>
      <c r="H155" s="172" t="s">
        <v>4434</v>
      </c>
      <c r="I155" s="172" t="s">
        <v>4434</v>
      </c>
      <c r="J155" s="172" t="s">
        <v>4434</v>
      </c>
      <c r="K155" s="172" t="s">
        <v>4434</v>
      </c>
      <c r="L155" s="172" t="s">
        <v>4434</v>
      </c>
      <c r="M155" s="172" t="s">
        <v>4434</v>
      </c>
      <c r="N155" s="173" t="s">
        <v>4434</v>
      </c>
      <c r="O155" s="111"/>
      <c r="Q155">
        <v>46305</v>
      </c>
    </row>
    <row r="156" spans="1:17" ht="15" thickBot="1">
      <c r="A156" s="99">
        <v>13</v>
      </c>
      <c r="B156" s="116" t="s">
        <v>87</v>
      </c>
      <c r="C156" s="100" t="s">
        <v>23</v>
      </c>
      <c r="D156" s="110"/>
      <c r="E156" s="174" t="s">
        <v>4434</v>
      </c>
      <c r="F156" s="175" t="s">
        <v>4434</v>
      </c>
      <c r="G156" s="175" t="s">
        <v>4434</v>
      </c>
      <c r="H156" s="175" t="s">
        <v>4434</v>
      </c>
      <c r="I156" s="175" t="s">
        <v>4434</v>
      </c>
      <c r="J156" s="175" t="s">
        <v>4434</v>
      </c>
      <c r="K156" s="175" t="s">
        <v>4434</v>
      </c>
      <c r="L156" s="175" t="s">
        <v>4434</v>
      </c>
      <c r="M156" s="175" t="s">
        <v>4434</v>
      </c>
      <c r="N156" s="176" t="s">
        <v>4434</v>
      </c>
      <c r="O156" s="112"/>
      <c r="Q156">
        <v>46305</v>
      </c>
    </row>
    <row r="157" spans="1:17" ht="15" thickBot="1">
      <c r="A157" s="107"/>
      <c r="B157" s="108"/>
      <c r="C157" s="107"/>
      <c r="D157" s="107"/>
      <c r="E157" s="177"/>
      <c r="F157" s="177"/>
      <c r="G157" s="177"/>
      <c r="H157" s="177"/>
      <c r="I157" s="177"/>
      <c r="J157" s="177"/>
      <c r="K157" s="177"/>
      <c r="L157" s="177"/>
      <c r="M157" s="177"/>
      <c r="N157" s="177"/>
      <c r="O157" s="108"/>
    </row>
    <row r="158" spans="1:17" ht="26.1" customHeight="1">
      <c r="A158" s="225" t="s">
        <v>166</v>
      </c>
      <c r="B158" s="226"/>
      <c r="C158" s="227"/>
      <c r="D158" s="103" t="s">
        <v>155</v>
      </c>
      <c r="E158" s="168">
        <v>0.33333333333333331</v>
      </c>
      <c r="F158" s="169">
        <v>0.375</v>
      </c>
      <c r="G158" s="169">
        <v>0.41666666666666669</v>
      </c>
      <c r="H158" s="169">
        <v>0.45833333333333331</v>
      </c>
      <c r="I158" s="169">
        <v>0.5</v>
      </c>
      <c r="J158" s="169">
        <v>0.54166666666666663</v>
      </c>
      <c r="K158" s="169">
        <v>0.58333333333333337</v>
      </c>
      <c r="L158" s="169">
        <v>0.625</v>
      </c>
      <c r="M158" s="169">
        <v>0.66666666666666663</v>
      </c>
      <c r="N158" s="170">
        <v>0.70833333333333337</v>
      </c>
      <c r="O158" s="178" t="s">
        <v>228</v>
      </c>
      <c r="P158" s="102" t="s">
        <v>156</v>
      </c>
      <c r="Q158">
        <v>46306</v>
      </c>
    </row>
    <row r="159" spans="1:17">
      <c r="A159" s="98">
        <v>1</v>
      </c>
      <c r="B159" s="114" t="s">
        <v>63</v>
      </c>
      <c r="C159" s="8" t="s">
        <v>21</v>
      </c>
      <c r="D159" s="109"/>
      <c r="E159" s="171" t="s">
        <v>4434</v>
      </c>
      <c r="F159" s="172" t="s">
        <v>4434</v>
      </c>
      <c r="G159" s="172" t="s">
        <v>4434</v>
      </c>
      <c r="H159" s="172" t="s">
        <v>4434</v>
      </c>
      <c r="I159" s="172" t="s">
        <v>4434</v>
      </c>
      <c r="J159" s="172" t="s">
        <v>4434</v>
      </c>
      <c r="K159" s="172" t="s">
        <v>4434</v>
      </c>
      <c r="L159" s="172" t="s">
        <v>4434</v>
      </c>
      <c r="M159" s="172" t="s">
        <v>4434</v>
      </c>
      <c r="N159" s="173" t="s">
        <v>4434</v>
      </c>
      <c r="O159" s="111"/>
      <c r="Q159">
        <v>46306</v>
      </c>
    </row>
    <row r="160" spans="1:17">
      <c r="A160" s="98">
        <v>2</v>
      </c>
      <c r="B160" s="114" t="s">
        <v>65</v>
      </c>
      <c r="C160" s="8" t="s">
        <v>21</v>
      </c>
      <c r="D160" s="109"/>
      <c r="E160" s="171" t="s">
        <v>4434</v>
      </c>
      <c r="F160" s="172" t="s">
        <v>4434</v>
      </c>
      <c r="G160" s="172" t="s">
        <v>4434</v>
      </c>
      <c r="H160" s="172" t="s">
        <v>4434</v>
      </c>
      <c r="I160" s="172" t="s">
        <v>4434</v>
      </c>
      <c r="J160" s="172" t="s">
        <v>4434</v>
      </c>
      <c r="K160" s="172" t="s">
        <v>4434</v>
      </c>
      <c r="L160" s="172" t="s">
        <v>4434</v>
      </c>
      <c r="M160" s="172" t="s">
        <v>4434</v>
      </c>
      <c r="N160" s="173" t="s">
        <v>4434</v>
      </c>
      <c r="O160" s="111"/>
      <c r="Q160">
        <v>46306</v>
      </c>
    </row>
    <row r="161" spans="1:17">
      <c r="A161" s="98">
        <v>3</v>
      </c>
      <c r="B161" s="114" t="s">
        <v>67</v>
      </c>
      <c r="C161" s="8" t="s">
        <v>21</v>
      </c>
      <c r="D161" s="109"/>
      <c r="E161" s="171" t="s">
        <v>4434</v>
      </c>
      <c r="F161" s="172" t="s">
        <v>4434</v>
      </c>
      <c r="G161" s="172" t="s">
        <v>4434</v>
      </c>
      <c r="H161" s="172" t="s">
        <v>4434</v>
      </c>
      <c r="I161" s="172" t="s">
        <v>4434</v>
      </c>
      <c r="J161" s="172" t="s">
        <v>4434</v>
      </c>
      <c r="K161" s="172" t="s">
        <v>4434</v>
      </c>
      <c r="L161" s="172" t="s">
        <v>4434</v>
      </c>
      <c r="M161" s="172" t="s">
        <v>4434</v>
      </c>
      <c r="N161" s="173" t="s">
        <v>4434</v>
      </c>
      <c r="O161" s="111"/>
      <c r="Q161">
        <v>46306</v>
      </c>
    </row>
    <row r="162" spans="1:17">
      <c r="A162" s="98">
        <v>4</v>
      </c>
      <c r="B162" s="114" t="s">
        <v>69</v>
      </c>
      <c r="C162" s="9" t="s">
        <v>22</v>
      </c>
      <c r="D162" s="109"/>
      <c r="E162" s="171" t="s">
        <v>4434</v>
      </c>
      <c r="F162" s="172" t="s">
        <v>4434</v>
      </c>
      <c r="G162" s="172" t="s">
        <v>4434</v>
      </c>
      <c r="H162" s="172" t="s">
        <v>4434</v>
      </c>
      <c r="I162" s="172" t="s">
        <v>4434</v>
      </c>
      <c r="J162" s="172" t="s">
        <v>4434</v>
      </c>
      <c r="K162" s="172" t="s">
        <v>4434</v>
      </c>
      <c r="L162" s="172" t="s">
        <v>4434</v>
      </c>
      <c r="M162" s="172" t="s">
        <v>4434</v>
      </c>
      <c r="N162" s="173" t="s">
        <v>4434</v>
      </c>
      <c r="O162" s="111"/>
      <c r="Q162">
        <v>46306</v>
      </c>
    </row>
    <row r="163" spans="1:17">
      <c r="A163" s="98">
        <v>5</v>
      </c>
      <c r="B163" s="114" t="s">
        <v>71</v>
      </c>
      <c r="C163" s="9" t="s">
        <v>22</v>
      </c>
      <c r="D163" s="109"/>
      <c r="E163" s="171" t="s">
        <v>4434</v>
      </c>
      <c r="F163" s="172" t="s">
        <v>4434</v>
      </c>
      <c r="G163" s="172" t="s">
        <v>4434</v>
      </c>
      <c r="H163" s="172" t="s">
        <v>4434</v>
      </c>
      <c r="I163" s="172" t="s">
        <v>4434</v>
      </c>
      <c r="J163" s="172" t="s">
        <v>4434</v>
      </c>
      <c r="K163" s="172" t="s">
        <v>4434</v>
      </c>
      <c r="L163" s="172" t="s">
        <v>4434</v>
      </c>
      <c r="M163" s="172" t="s">
        <v>4434</v>
      </c>
      <c r="N163" s="173" t="s">
        <v>4434</v>
      </c>
      <c r="O163" s="111"/>
      <c r="Q163">
        <v>46306</v>
      </c>
    </row>
    <row r="164" spans="1:17">
      <c r="A164" s="98">
        <v>6</v>
      </c>
      <c r="B164" s="114" t="s">
        <v>73</v>
      </c>
      <c r="C164" s="10" t="s">
        <v>23</v>
      </c>
      <c r="D164" s="109"/>
      <c r="E164" s="171" t="s">
        <v>4434</v>
      </c>
      <c r="F164" s="172" t="s">
        <v>4434</v>
      </c>
      <c r="G164" s="172" t="s">
        <v>4434</v>
      </c>
      <c r="H164" s="172" t="s">
        <v>4434</v>
      </c>
      <c r="I164" s="172" t="s">
        <v>4434</v>
      </c>
      <c r="J164" s="172" t="s">
        <v>4434</v>
      </c>
      <c r="K164" s="172" t="s">
        <v>4434</v>
      </c>
      <c r="L164" s="172" t="s">
        <v>4434</v>
      </c>
      <c r="M164" s="172" t="s">
        <v>4434</v>
      </c>
      <c r="N164" s="173" t="s">
        <v>4434</v>
      </c>
      <c r="O164" s="111"/>
      <c r="Q164">
        <v>46306</v>
      </c>
    </row>
    <row r="165" spans="1:17">
      <c r="A165" s="98">
        <v>7</v>
      </c>
      <c r="B165" s="114" t="s">
        <v>75</v>
      </c>
      <c r="C165" s="10" t="s">
        <v>23</v>
      </c>
      <c r="D165" s="109"/>
      <c r="E165" s="171" t="s">
        <v>4434</v>
      </c>
      <c r="F165" s="172" t="s">
        <v>4434</v>
      </c>
      <c r="G165" s="172" t="s">
        <v>4434</v>
      </c>
      <c r="H165" s="172" t="s">
        <v>4434</v>
      </c>
      <c r="I165" s="172" t="s">
        <v>4434</v>
      </c>
      <c r="J165" s="172" t="s">
        <v>4434</v>
      </c>
      <c r="K165" s="172" t="s">
        <v>4434</v>
      </c>
      <c r="L165" s="172" t="s">
        <v>4434</v>
      </c>
      <c r="M165" s="172" t="s">
        <v>4434</v>
      </c>
      <c r="N165" s="173" t="s">
        <v>4434</v>
      </c>
      <c r="O165" s="111"/>
      <c r="Q165">
        <v>46306</v>
      </c>
    </row>
    <row r="166" spans="1:17">
      <c r="A166" s="98">
        <v>8</v>
      </c>
      <c r="B166" s="114" t="s">
        <v>77</v>
      </c>
      <c r="C166" s="10" t="s">
        <v>23</v>
      </c>
      <c r="D166" s="109"/>
      <c r="E166" s="171" t="s">
        <v>4434</v>
      </c>
      <c r="F166" s="172" t="s">
        <v>4434</v>
      </c>
      <c r="G166" s="172" t="s">
        <v>4434</v>
      </c>
      <c r="H166" s="172" t="s">
        <v>4434</v>
      </c>
      <c r="I166" s="172" t="s">
        <v>4434</v>
      </c>
      <c r="J166" s="172" t="s">
        <v>4434</v>
      </c>
      <c r="K166" s="172" t="s">
        <v>4434</v>
      </c>
      <c r="L166" s="172" t="s">
        <v>4434</v>
      </c>
      <c r="M166" s="172" t="s">
        <v>4434</v>
      </c>
      <c r="N166" s="173" t="s">
        <v>4434</v>
      </c>
      <c r="O166" s="111"/>
      <c r="Q166">
        <v>46306</v>
      </c>
    </row>
    <row r="167" spans="1:17">
      <c r="A167" s="98">
        <v>9</v>
      </c>
      <c r="B167" s="114" t="s">
        <v>79</v>
      </c>
      <c r="C167" s="10" t="s">
        <v>23</v>
      </c>
      <c r="D167" s="109"/>
      <c r="E167" s="171" t="s">
        <v>4434</v>
      </c>
      <c r="F167" s="172" t="s">
        <v>4434</v>
      </c>
      <c r="G167" s="172" t="s">
        <v>4434</v>
      </c>
      <c r="H167" s="172" t="s">
        <v>4434</v>
      </c>
      <c r="I167" s="172" t="s">
        <v>4434</v>
      </c>
      <c r="J167" s="172" t="s">
        <v>4434</v>
      </c>
      <c r="K167" s="172" t="s">
        <v>4434</v>
      </c>
      <c r="L167" s="172" t="s">
        <v>4434</v>
      </c>
      <c r="M167" s="172" t="s">
        <v>4434</v>
      </c>
      <c r="N167" s="173" t="s">
        <v>4434</v>
      </c>
      <c r="O167" s="111"/>
      <c r="Q167">
        <v>46306</v>
      </c>
    </row>
    <row r="168" spans="1:17">
      <c r="A168" s="98">
        <v>10</v>
      </c>
      <c r="B168" s="114" t="s">
        <v>81</v>
      </c>
      <c r="C168" s="10" t="s">
        <v>23</v>
      </c>
      <c r="D168" s="109"/>
      <c r="E168" s="171" t="s">
        <v>4434</v>
      </c>
      <c r="F168" s="172" t="s">
        <v>4434</v>
      </c>
      <c r="G168" s="172" t="s">
        <v>4434</v>
      </c>
      <c r="H168" s="172" t="s">
        <v>4434</v>
      </c>
      <c r="I168" s="172" t="s">
        <v>4434</v>
      </c>
      <c r="J168" s="172" t="s">
        <v>4434</v>
      </c>
      <c r="K168" s="172" t="s">
        <v>4434</v>
      </c>
      <c r="L168" s="172" t="s">
        <v>4434</v>
      </c>
      <c r="M168" s="172" t="s">
        <v>4434</v>
      </c>
      <c r="N168" s="173" t="s">
        <v>4434</v>
      </c>
      <c r="O168" s="111"/>
      <c r="Q168">
        <v>46306</v>
      </c>
    </row>
    <row r="169" spans="1:17">
      <c r="A169" s="98">
        <v>11</v>
      </c>
      <c r="B169" s="114" t="s">
        <v>83</v>
      </c>
      <c r="C169" s="10" t="s">
        <v>23</v>
      </c>
      <c r="D169" s="109"/>
      <c r="E169" s="171" t="s">
        <v>4434</v>
      </c>
      <c r="F169" s="172" t="s">
        <v>4434</v>
      </c>
      <c r="G169" s="172" t="s">
        <v>4434</v>
      </c>
      <c r="H169" s="172" t="s">
        <v>4434</v>
      </c>
      <c r="I169" s="172" t="s">
        <v>4434</v>
      </c>
      <c r="J169" s="172" t="s">
        <v>4434</v>
      </c>
      <c r="K169" s="172" t="s">
        <v>4434</v>
      </c>
      <c r="L169" s="172" t="s">
        <v>4434</v>
      </c>
      <c r="M169" s="172" t="s">
        <v>4434</v>
      </c>
      <c r="N169" s="173" t="s">
        <v>4434</v>
      </c>
      <c r="O169" s="111"/>
      <c r="Q169">
        <v>46306</v>
      </c>
    </row>
    <row r="170" spans="1:17">
      <c r="A170" s="98">
        <v>12</v>
      </c>
      <c r="B170" s="114" t="s">
        <v>85</v>
      </c>
      <c r="C170" s="10" t="s">
        <v>23</v>
      </c>
      <c r="D170" s="109"/>
      <c r="E170" s="171" t="s">
        <v>4434</v>
      </c>
      <c r="F170" s="172" t="s">
        <v>4434</v>
      </c>
      <c r="G170" s="172" t="s">
        <v>4434</v>
      </c>
      <c r="H170" s="172" t="s">
        <v>4434</v>
      </c>
      <c r="I170" s="172" t="s">
        <v>4434</v>
      </c>
      <c r="J170" s="172" t="s">
        <v>4434</v>
      </c>
      <c r="K170" s="172" t="s">
        <v>4434</v>
      </c>
      <c r="L170" s="172" t="s">
        <v>4434</v>
      </c>
      <c r="M170" s="172" t="s">
        <v>4434</v>
      </c>
      <c r="N170" s="173" t="s">
        <v>4434</v>
      </c>
      <c r="O170" s="111"/>
      <c r="Q170">
        <v>46306</v>
      </c>
    </row>
    <row r="171" spans="1:17" ht="15" thickBot="1">
      <c r="A171" s="99">
        <v>13</v>
      </c>
      <c r="B171" s="116" t="s">
        <v>87</v>
      </c>
      <c r="C171" s="100" t="s">
        <v>23</v>
      </c>
      <c r="D171" s="110"/>
      <c r="E171" s="174" t="s">
        <v>4434</v>
      </c>
      <c r="F171" s="175" t="s">
        <v>4434</v>
      </c>
      <c r="G171" s="175" t="s">
        <v>4434</v>
      </c>
      <c r="H171" s="175" t="s">
        <v>4434</v>
      </c>
      <c r="I171" s="175" t="s">
        <v>4434</v>
      </c>
      <c r="J171" s="175" t="s">
        <v>4434</v>
      </c>
      <c r="K171" s="175" t="s">
        <v>4434</v>
      </c>
      <c r="L171" s="175" t="s">
        <v>4434</v>
      </c>
      <c r="M171" s="175" t="s">
        <v>4434</v>
      </c>
      <c r="N171" s="176" t="s">
        <v>4434</v>
      </c>
      <c r="O171" s="112"/>
      <c r="Q171">
        <v>46306</v>
      </c>
    </row>
    <row r="172" spans="1:17" ht="15" thickBot="1">
      <c r="A172" s="107"/>
      <c r="B172" s="108"/>
      <c r="C172" s="107"/>
      <c r="D172" s="107"/>
      <c r="E172" s="177"/>
      <c r="F172" s="177"/>
      <c r="G172" s="177"/>
      <c r="H172" s="177"/>
      <c r="I172" s="177"/>
      <c r="J172" s="177"/>
      <c r="K172" s="177"/>
      <c r="L172" s="177"/>
      <c r="M172" s="177"/>
      <c r="N172" s="177"/>
      <c r="O172" s="108"/>
    </row>
    <row r="173" spans="1:17" ht="26.1" customHeight="1">
      <c r="A173" s="225" t="s">
        <v>167</v>
      </c>
      <c r="B173" s="226"/>
      <c r="C173" s="227"/>
      <c r="D173" s="103" t="s">
        <v>155</v>
      </c>
      <c r="E173" s="168">
        <v>0.33333333333333331</v>
      </c>
      <c r="F173" s="169">
        <v>0.375</v>
      </c>
      <c r="G173" s="169">
        <v>0.41666666666666669</v>
      </c>
      <c r="H173" s="169">
        <v>0.45833333333333331</v>
      </c>
      <c r="I173" s="169">
        <v>0.5</v>
      </c>
      <c r="J173" s="169">
        <v>0.54166666666666663</v>
      </c>
      <c r="K173" s="169">
        <v>0.58333333333333337</v>
      </c>
      <c r="L173" s="169">
        <v>0.625</v>
      </c>
      <c r="M173" s="169">
        <v>0.66666666666666663</v>
      </c>
      <c r="N173" s="170">
        <v>0.70833333333333337</v>
      </c>
      <c r="O173" s="178" t="s">
        <v>228</v>
      </c>
      <c r="P173" s="102" t="s">
        <v>156</v>
      </c>
      <c r="Q173">
        <v>46307</v>
      </c>
    </row>
    <row r="174" spans="1:17">
      <c r="A174" s="98">
        <v>1</v>
      </c>
      <c r="B174" s="114" t="s">
        <v>63</v>
      </c>
      <c r="C174" s="8" t="s">
        <v>21</v>
      </c>
      <c r="D174" s="109"/>
      <c r="E174" s="171" t="s">
        <v>187</v>
      </c>
      <c r="F174" s="172" t="s">
        <v>187</v>
      </c>
      <c r="G174" s="172" t="s">
        <v>187</v>
      </c>
      <c r="H174" s="172" t="s">
        <v>187</v>
      </c>
      <c r="I174" s="172" t="s">
        <v>187</v>
      </c>
      <c r="J174" s="172" t="s">
        <v>187</v>
      </c>
      <c r="K174" s="172" t="s">
        <v>187</v>
      </c>
      <c r="L174" s="172" t="s">
        <v>187</v>
      </c>
      <c r="M174" s="172" t="s">
        <v>187</v>
      </c>
      <c r="N174" s="173" t="s">
        <v>187</v>
      </c>
      <c r="O174" s="111"/>
      <c r="Q174">
        <v>46307</v>
      </c>
    </row>
    <row r="175" spans="1:17">
      <c r="A175" s="98">
        <v>2</v>
      </c>
      <c r="B175" s="114" t="s">
        <v>65</v>
      </c>
      <c r="C175" s="8" t="s">
        <v>21</v>
      </c>
      <c r="D175" s="109"/>
      <c r="E175" s="171" t="s">
        <v>187</v>
      </c>
      <c r="F175" s="172" t="s">
        <v>187</v>
      </c>
      <c r="G175" s="172" t="s">
        <v>187</v>
      </c>
      <c r="H175" s="172" t="s">
        <v>187</v>
      </c>
      <c r="I175" s="172" t="s">
        <v>187</v>
      </c>
      <c r="J175" s="172" t="s">
        <v>187</v>
      </c>
      <c r="K175" s="172" t="s">
        <v>187</v>
      </c>
      <c r="L175" s="172" t="s">
        <v>187</v>
      </c>
      <c r="M175" s="172" t="s">
        <v>187</v>
      </c>
      <c r="N175" s="173" t="s">
        <v>187</v>
      </c>
      <c r="O175" s="111"/>
      <c r="Q175">
        <v>46307</v>
      </c>
    </row>
    <row r="176" spans="1:17">
      <c r="A176" s="98">
        <v>3</v>
      </c>
      <c r="B176" s="114" t="s">
        <v>67</v>
      </c>
      <c r="C176" s="8" t="s">
        <v>21</v>
      </c>
      <c r="D176" s="109"/>
      <c r="E176" s="171" t="s">
        <v>187</v>
      </c>
      <c r="F176" s="172" t="s">
        <v>187</v>
      </c>
      <c r="G176" s="172" t="s">
        <v>187</v>
      </c>
      <c r="H176" s="172" t="s">
        <v>187</v>
      </c>
      <c r="I176" s="172" t="s">
        <v>187</v>
      </c>
      <c r="J176" s="172" t="s">
        <v>187</v>
      </c>
      <c r="K176" s="172" t="s">
        <v>187</v>
      </c>
      <c r="L176" s="172" t="s">
        <v>187</v>
      </c>
      <c r="M176" s="172" t="s">
        <v>187</v>
      </c>
      <c r="N176" s="173" t="s">
        <v>187</v>
      </c>
      <c r="O176" s="111"/>
      <c r="Q176">
        <v>46307</v>
      </c>
    </row>
    <row r="177" spans="1:17">
      <c r="A177" s="98">
        <v>4</v>
      </c>
      <c r="B177" s="114" t="s">
        <v>69</v>
      </c>
      <c r="C177" s="9" t="s">
        <v>22</v>
      </c>
      <c r="D177" s="109"/>
      <c r="E177" s="171" t="s">
        <v>187</v>
      </c>
      <c r="F177" s="172" t="s">
        <v>187</v>
      </c>
      <c r="G177" s="172" t="s">
        <v>187</v>
      </c>
      <c r="H177" s="172" t="s">
        <v>187</v>
      </c>
      <c r="I177" s="172" t="s">
        <v>187</v>
      </c>
      <c r="J177" s="172" t="s">
        <v>187</v>
      </c>
      <c r="K177" s="172" t="s">
        <v>187</v>
      </c>
      <c r="L177" s="172" t="s">
        <v>187</v>
      </c>
      <c r="M177" s="172" t="s">
        <v>187</v>
      </c>
      <c r="N177" s="173" t="s">
        <v>187</v>
      </c>
      <c r="O177" s="111"/>
      <c r="Q177">
        <v>46307</v>
      </c>
    </row>
    <row r="178" spans="1:17">
      <c r="A178" s="98">
        <v>5</v>
      </c>
      <c r="B178" s="114" t="s">
        <v>71</v>
      </c>
      <c r="C178" s="9" t="s">
        <v>22</v>
      </c>
      <c r="D178" s="109"/>
      <c r="E178" s="171" t="s">
        <v>187</v>
      </c>
      <c r="F178" s="172" t="s">
        <v>187</v>
      </c>
      <c r="G178" s="172" t="s">
        <v>187</v>
      </c>
      <c r="H178" s="172" t="s">
        <v>187</v>
      </c>
      <c r="I178" s="172" t="s">
        <v>187</v>
      </c>
      <c r="J178" s="172" t="s">
        <v>187</v>
      </c>
      <c r="K178" s="172" t="s">
        <v>187</v>
      </c>
      <c r="L178" s="172" t="s">
        <v>187</v>
      </c>
      <c r="M178" s="172" t="s">
        <v>187</v>
      </c>
      <c r="N178" s="173" t="s">
        <v>187</v>
      </c>
      <c r="O178" s="111"/>
      <c r="Q178">
        <v>46307</v>
      </c>
    </row>
    <row r="179" spans="1:17">
      <c r="A179" s="98">
        <v>6</v>
      </c>
      <c r="B179" s="114" t="s">
        <v>73</v>
      </c>
      <c r="C179" s="10" t="s">
        <v>23</v>
      </c>
      <c r="D179" s="109"/>
      <c r="E179" s="171" t="s">
        <v>187</v>
      </c>
      <c r="F179" s="172" t="s">
        <v>187</v>
      </c>
      <c r="G179" s="172" t="s">
        <v>187</v>
      </c>
      <c r="H179" s="172" t="s">
        <v>187</v>
      </c>
      <c r="I179" s="172" t="s">
        <v>187</v>
      </c>
      <c r="J179" s="172" t="s">
        <v>187</v>
      </c>
      <c r="K179" s="172" t="s">
        <v>187</v>
      </c>
      <c r="L179" s="172" t="s">
        <v>187</v>
      </c>
      <c r="M179" s="172" t="s">
        <v>187</v>
      </c>
      <c r="N179" s="173" t="s">
        <v>187</v>
      </c>
      <c r="O179" s="111"/>
      <c r="Q179">
        <v>46307</v>
      </c>
    </row>
    <row r="180" spans="1:17">
      <c r="A180" s="98">
        <v>7</v>
      </c>
      <c r="B180" s="114" t="s">
        <v>75</v>
      </c>
      <c r="C180" s="10" t="s">
        <v>23</v>
      </c>
      <c r="D180" s="109"/>
      <c r="E180" s="171" t="s">
        <v>187</v>
      </c>
      <c r="F180" s="172" t="s">
        <v>187</v>
      </c>
      <c r="G180" s="172" t="s">
        <v>187</v>
      </c>
      <c r="H180" s="172" t="s">
        <v>187</v>
      </c>
      <c r="I180" s="172" t="s">
        <v>187</v>
      </c>
      <c r="J180" s="172" t="s">
        <v>187</v>
      </c>
      <c r="K180" s="172" t="s">
        <v>187</v>
      </c>
      <c r="L180" s="172" t="s">
        <v>187</v>
      </c>
      <c r="M180" s="172" t="s">
        <v>187</v>
      </c>
      <c r="N180" s="173" t="s">
        <v>187</v>
      </c>
      <c r="O180" s="111"/>
      <c r="Q180">
        <v>46307</v>
      </c>
    </row>
    <row r="181" spans="1:17">
      <c r="A181" s="98">
        <v>8</v>
      </c>
      <c r="B181" s="114" t="s">
        <v>77</v>
      </c>
      <c r="C181" s="10" t="s">
        <v>23</v>
      </c>
      <c r="D181" s="109"/>
      <c r="E181" s="171" t="s">
        <v>187</v>
      </c>
      <c r="F181" s="172" t="s">
        <v>187</v>
      </c>
      <c r="G181" s="172" t="s">
        <v>187</v>
      </c>
      <c r="H181" s="172" t="s">
        <v>187</v>
      </c>
      <c r="I181" s="172" t="s">
        <v>187</v>
      </c>
      <c r="J181" s="172" t="s">
        <v>187</v>
      </c>
      <c r="K181" s="172" t="s">
        <v>187</v>
      </c>
      <c r="L181" s="172" t="s">
        <v>187</v>
      </c>
      <c r="M181" s="172" t="s">
        <v>187</v>
      </c>
      <c r="N181" s="173" t="s">
        <v>187</v>
      </c>
      <c r="O181" s="111"/>
      <c r="Q181">
        <v>46307</v>
      </c>
    </row>
    <row r="182" spans="1:17">
      <c r="A182" s="98">
        <v>9</v>
      </c>
      <c r="B182" s="114" t="s">
        <v>79</v>
      </c>
      <c r="C182" s="10" t="s">
        <v>23</v>
      </c>
      <c r="D182" s="109"/>
      <c r="E182" s="171" t="s">
        <v>187</v>
      </c>
      <c r="F182" s="172" t="s">
        <v>187</v>
      </c>
      <c r="G182" s="172" t="s">
        <v>187</v>
      </c>
      <c r="H182" s="172" t="s">
        <v>187</v>
      </c>
      <c r="I182" s="172" t="s">
        <v>187</v>
      </c>
      <c r="J182" s="172" t="s">
        <v>187</v>
      </c>
      <c r="K182" s="172" t="s">
        <v>187</v>
      </c>
      <c r="L182" s="172" t="s">
        <v>187</v>
      </c>
      <c r="M182" s="172" t="s">
        <v>187</v>
      </c>
      <c r="N182" s="173" t="s">
        <v>187</v>
      </c>
      <c r="O182" s="111"/>
      <c r="Q182">
        <v>46307</v>
      </c>
    </row>
    <row r="183" spans="1:17">
      <c r="A183" s="98">
        <v>10</v>
      </c>
      <c r="B183" s="114" t="s">
        <v>81</v>
      </c>
      <c r="C183" s="10" t="s">
        <v>23</v>
      </c>
      <c r="D183" s="109"/>
      <c r="E183" s="171" t="s">
        <v>187</v>
      </c>
      <c r="F183" s="172" t="s">
        <v>187</v>
      </c>
      <c r="G183" s="172" t="s">
        <v>187</v>
      </c>
      <c r="H183" s="172" t="s">
        <v>187</v>
      </c>
      <c r="I183" s="172" t="s">
        <v>187</v>
      </c>
      <c r="J183" s="172" t="s">
        <v>187</v>
      </c>
      <c r="K183" s="172" t="s">
        <v>187</v>
      </c>
      <c r="L183" s="172" t="s">
        <v>187</v>
      </c>
      <c r="M183" s="172" t="s">
        <v>187</v>
      </c>
      <c r="N183" s="173" t="s">
        <v>187</v>
      </c>
      <c r="O183" s="111"/>
      <c r="Q183">
        <v>46307</v>
      </c>
    </row>
    <row r="184" spans="1:17">
      <c r="A184" s="98">
        <v>11</v>
      </c>
      <c r="B184" s="114" t="s">
        <v>83</v>
      </c>
      <c r="C184" s="10" t="s">
        <v>23</v>
      </c>
      <c r="D184" s="109"/>
      <c r="E184" s="171" t="s">
        <v>187</v>
      </c>
      <c r="F184" s="172" t="s">
        <v>187</v>
      </c>
      <c r="G184" s="172" t="s">
        <v>187</v>
      </c>
      <c r="H184" s="172" t="s">
        <v>187</v>
      </c>
      <c r="I184" s="172" t="s">
        <v>187</v>
      </c>
      <c r="J184" s="172" t="s">
        <v>187</v>
      </c>
      <c r="K184" s="172" t="s">
        <v>187</v>
      </c>
      <c r="L184" s="172" t="s">
        <v>187</v>
      </c>
      <c r="M184" s="172" t="s">
        <v>187</v>
      </c>
      <c r="N184" s="173" t="s">
        <v>187</v>
      </c>
      <c r="O184" s="111"/>
      <c r="Q184">
        <v>46307</v>
      </c>
    </row>
    <row r="185" spans="1:17">
      <c r="A185" s="98">
        <v>12</v>
      </c>
      <c r="B185" s="114" t="s">
        <v>85</v>
      </c>
      <c r="C185" s="10" t="s">
        <v>23</v>
      </c>
      <c r="D185" s="109"/>
      <c r="E185" s="171" t="s">
        <v>187</v>
      </c>
      <c r="F185" s="172" t="s">
        <v>187</v>
      </c>
      <c r="G185" s="172" t="s">
        <v>187</v>
      </c>
      <c r="H185" s="172" t="s">
        <v>187</v>
      </c>
      <c r="I185" s="172" t="s">
        <v>187</v>
      </c>
      <c r="J185" s="172" t="s">
        <v>187</v>
      </c>
      <c r="K185" s="172" t="s">
        <v>187</v>
      </c>
      <c r="L185" s="172" t="s">
        <v>187</v>
      </c>
      <c r="M185" s="172" t="s">
        <v>187</v>
      </c>
      <c r="N185" s="173" t="s">
        <v>187</v>
      </c>
      <c r="O185" s="111"/>
      <c r="Q185">
        <v>46307</v>
      </c>
    </row>
    <row r="186" spans="1:17" ht="15" thickBot="1">
      <c r="A186" s="99">
        <v>13</v>
      </c>
      <c r="B186" s="116" t="s">
        <v>87</v>
      </c>
      <c r="C186" s="100" t="s">
        <v>23</v>
      </c>
      <c r="D186" s="110"/>
      <c r="E186" s="174" t="s">
        <v>187</v>
      </c>
      <c r="F186" s="175" t="s">
        <v>187</v>
      </c>
      <c r="G186" s="175" t="s">
        <v>187</v>
      </c>
      <c r="H186" s="175" t="s">
        <v>187</v>
      </c>
      <c r="I186" s="175" t="s">
        <v>187</v>
      </c>
      <c r="J186" s="175" t="s">
        <v>187</v>
      </c>
      <c r="K186" s="175" t="s">
        <v>187</v>
      </c>
      <c r="L186" s="175" t="s">
        <v>187</v>
      </c>
      <c r="M186" s="175" t="s">
        <v>187</v>
      </c>
      <c r="N186" s="176" t="s">
        <v>187</v>
      </c>
      <c r="O186" s="112"/>
      <c r="Q186">
        <v>46307</v>
      </c>
    </row>
    <row r="187" spans="1:17" ht="15" thickBot="1">
      <c r="A187" s="107"/>
      <c r="B187" s="108"/>
      <c r="C187" s="107"/>
      <c r="D187" s="107"/>
      <c r="E187" s="177"/>
      <c r="F187" s="177"/>
      <c r="G187" s="177"/>
      <c r="H187" s="177"/>
      <c r="I187" s="177"/>
      <c r="J187" s="177"/>
      <c r="K187" s="177"/>
      <c r="L187" s="177"/>
      <c r="M187" s="177"/>
      <c r="N187" s="177"/>
      <c r="O187" s="108"/>
    </row>
    <row r="188" spans="1:17" ht="26.1" customHeight="1">
      <c r="A188" s="228" t="s">
        <v>168</v>
      </c>
      <c r="B188" s="229"/>
      <c r="C188" s="230"/>
      <c r="D188" s="103" t="s">
        <v>155</v>
      </c>
      <c r="E188" s="168">
        <v>0.33333333333333331</v>
      </c>
      <c r="F188" s="169">
        <v>0.375</v>
      </c>
      <c r="G188" s="169">
        <v>0.41666666666666669</v>
      </c>
      <c r="H188" s="169">
        <v>0.45833333333333331</v>
      </c>
      <c r="I188" s="169">
        <v>0.5</v>
      </c>
      <c r="J188" s="169">
        <v>0.54166666666666663</v>
      </c>
      <c r="K188" s="169">
        <v>0.58333333333333337</v>
      </c>
      <c r="L188" s="169">
        <v>0.625</v>
      </c>
      <c r="M188" s="169">
        <v>0.66666666666666663</v>
      </c>
      <c r="N188" s="170">
        <v>0.70833333333333337</v>
      </c>
      <c r="O188" s="196" t="s">
        <v>262</v>
      </c>
      <c r="P188" s="102" t="s">
        <v>156</v>
      </c>
      <c r="Q188">
        <v>46308</v>
      </c>
    </row>
    <row r="189" spans="1:17">
      <c r="A189" s="98">
        <v>1</v>
      </c>
      <c r="B189" s="113" t="s">
        <v>63</v>
      </c>
      <c r="C189" s="8" t="s">
        <v>21</v>
      </c>
      <c r="D189" s="109"/>
      <c r="E189" s="171"/>
      <c r="F189" s="172"/>
      <c r="G189" s="172"/>
      <c r="H189" s="172"/>
      <c r="I189" s="172"/>
      <c r="J189" s="172" t="s">
        <v>4492</v>
      </c>
      <c r="K189" s="172"/>
      <c r="L189" s="172"/>
      <c r="M189" s="172"/>
      <c r="N189" s="173"/>
      <c r="O189" s="111"/>
      <c r="Q189">
        <v>46308</v>
      </c>
    </row>
    <row r="190" spans="1:17">
      <c r="A190" s="98">
        <v>2</v>
      </c>
      <c r="B190" s="113" t="s">
        <v>65</v>
      </c>
      <c r="C190" s="8" t="s">
        <v>21</v>
      </c>
      <c r="D190" s="109"/>
      <c r="E190" s="171"/>
      <c r="F190" s="172"/>
      <c r="G190" s="172"/>
      <c r="H190" s="172"/>
      <c r="I190" s="172" t="s">
        <v>4492</v>
      </c>
      <c r="J190" s="172"/>
      <c r="K190" s="172"/>
      <c r="L190" s="172"/>
      <c r="M190" s="172"/>
      <c r="N190" s="173"/>
      <c r="O190" s="111"/>
      <c r="Q190">
        <v>46308</v>
      </c>
    </row>
    <row r="191" spans="1:17">
      <c r="A191" s="98">
        <v>3</v>
      </c>
      <c r="B191" s="113" t="s">
        <v>67</v>
      </c>
      <c r="C191" s="8" t="s">
        <v>21</v>
      </c>
      <c r="D191" s="109"/>
      <c r="E191" s="171"/>
      <c r="F191" s="172"/>
      <c r="G191" s="172"/>
      <c r="H191" s="172"/>
      <c r="I191" s="172"/>
      <c r="J191" s="172" t="s">
        <v>4492</v>
      </c>
      <c r="K191" s="172"/>
      <c r="L191" s="172"/>
      <c r="M191" s="172"/>
      <c r="N191" s="173"/>
      <c r="O191" s="111"/>
      <c r="Q191">
        <v>46308</v>
      </c>
    </row>
    <row r="192" spans="1:17">
      <c r="A192" s="98">
        <v>4</v>
      </c>
      <c r="B192" s="114" t="s">
        <v>69</v>
      </c>
      <c r="C192" s="9" t="s">
        <v>22</v>
      </c>
      <c r="D192" s="109"/>
      <c r="E192" s="171" t="s">
        <v>4434</v>
      </c>
      <c r="F192" s="172" t="s">
        <v>4434</v>
      </c>
      <c r="G192" s="172" t="s">
        <v>4434</v>
      </c>
      <c r="H192" s="172" t="s">
        <v>4434</v>
      </c>
      <c r="I192" s="172" t="s">
        <v>4434</v>
      </c>
      <c r="J192" s="172" t="s">
        <v>4434</v>
      </c>
      <c r="K192" s="172" t="s">
        <v>4434</v>
      </c>
      <c r="L192" s="172" t="s">
        <v>4434</v>
      </c>
      <c r="M192" s="172" t="s">
        <v>4434</v>
      </c>
      <c r="N192" s="173" t="s">
        <v>4434</v>
      </c>
      <c r="O192" s="111"/>
      <c r="Q192">
        <v>46308</v>
      </c>
    </row>
    <row r="193" spans="1:18">
      <c r="A193" s="98">
        <v>5</v>
      </c>
      <c r="B193" s="113" t="s">
        <v>71</v>
      </c>
      <c r="C193" s="9" t="s">
        <v>22</v>
      </c>
      <c r="D193" s="109"/>
      <c r="E193" s="171"/>
      <c r="F193" s="172"/>
      <c r="G193" s="179" t="s">
        <v>122</v>
      </c>
      <c r="H193" s="172"/>
      <c r="I193" s="172"/>
      <c r="J193" s="172" t="s">
        <v>4492</v>
      </c>
      <c r="K193" s="172"/>
      <c r="L193" s="172"/>
      <c r="M193" s="172"/>
      <c r="N193" s="195" t="s">
        <v>252</v>
      </c>
      <c r="O193" s="111"/>
      <c r="Q193">
        <v>46308</v>
      </c>
      <c r="R193" s="194" t="s">
        <v>266</v>
      </c>
    </row>
    <row r="194" spans="1:18">
      <c r="A194" s="98">
        <v>6</v>
      </c>
      <c r="B194" s="114" t="s">
        <v>73</v>
      </c>
      <c r="C194" s="10" t="s">
        <v>23</v>
      </c>
      <c r="D194" s="109"/>
      <c r="E194" s="171" t="s">
        <v>4434</v>
      </c>
      <c r="F194" s="172" t="s">
        <v>4434</v>
      </c>
      <c r="G194" s="172" t="s">
        <v>4434</v>
      </c>
      <c r="H194" s="172" t="s">
        <v>4434</v>
      </c>
      <c r="I194" s="172" t="s">
        <v>4434</v>
      </c>
      <c r="J194" s="172" t="s">
        <v>4434</v>
      </c>
      <c r="K194" s="172" t="s">
        <v>4434</v>
      </c>
      <c r="L194" s="172" t="s">
        <v>4434</v>
      </c>
      <c r="M194" s="172" t="s">
        <v>4434</v>
      </c>
      <c r="N194" s="173" t="s">
        <v>4434</v>
      </c>
      <c r="O194" s="111"/>
      <c r="Q194">
        <v>46308</v>
      </c>
    </row>
    <row r="195" spans="1:18">
      <c r="A195" s="98">
        <v>7</v>
      </c>
      <c r="B195" s="113" t="s">
        <v>75</v>
      </c>
      <c r="C195" s="10" t="s">
        <v>23</v>
      </c>
      <c r="D195" s="186" t="s">
        <v>57</v>
      </c>
      <c r="E195" s="171"/>
      <c r="F195" s="172"/>
      <c r="G195" s="172"/>
      <c r="H195" s="172"/>
      <c r="I195" s="172" t="s">
        <v>4492</v>
      </c>
      <c r="J195" s="172"/>
      <c r="K195" s="172"/>
      <c r="L195" s="172"/>
      <c r="M195" s="172"/>
      <c r="N195" s="173"/>
      <c r="O195" s="111"/>
      <c r="Q195">
        <v>46308</v>
      </c>
      <c r="R195" s="194" t="s">
        <v>254</v>
      </c>
    </row>
    <row r="196" spans="1:18">
      <c r="A196" s="98">
        <v>8</v>
      </c>
      <c r="B196" s="113" t="s">
        <v>77</v>
      </c>
      <c r="C196" s="10" t="s">
        <v>23</v>
      </c>
      <c r="D196" s="186" t="s">
        <v>57</v>
      </c>
      <c r="E196" s="171"/>
      <c r="F196" s="172"/>
      <c r="G196" s="172"/>
      <c r="H196" s="172"/>
      <c r="I196" s="172" t="s">
        <v>4492</v>
      </c>
      <c r="J196" s="172"/>
      <c r="K196" s="172"/>
      <c r="L196" s="172"/>
      <c r="M196" s="172"/>
      <c r="N196" s="173"/>
      <c r="O196" s="111"/>
      <c r="Q196">
        <v>46308</v>
      </c>
      <c r="R196" s="194" t="s">
        <v>254</v>
      </c>
    </row>
    <row r="197" spans="1:18">
      <c r="A197" s="98">
        <v>9</v>
      </c>
      <c r="B197" s="113" t="s">
        <v>79</v>
      </c>
      <c r="C197" s="10" t="s">
        <v>23</v>
      </c>
      <c r="D197" s="186" t="s">
        <v>57</v>
      </c>
      <c r="E197" s="171"/>
      <c r="F197" s="172"/>
      <c r="G197" s="172"/>
      <c r="H197" s="172"/>
      <c r="I197" s="172" t="s">
        <v>4492</v>
      </c>
      <c r="J197" s="172"/>
      <c r="K197" s="184"/>
      <c r="L197" s="172"/>
      <c r="M197" s="172"/>
      <c r="N197" s="173"/>
      <c r="O197" s="111"/>
      <c r="Q197">
        <v>46308</v>
      </c>
      <c r="R197" s="194" t="s">
        <v>254</v>
      </c>
    </row>
    <row r="198" spans="1:18">
      <c r="A198" s="98">
        <v>10</v>
      </c>
      <c r="B198" s="114" t="s">
        <v>81</v>
      </c>
      <c r="C198" s="10" t="s">
        <v>23</v>
      </c>
      <c r="D198" s="109"/>
      <c r="E198" s="171" t="s">
        <v>4434</v>
      </c>
      <c r="F198" s="172" t="s">
        <v>4434</v>
      </c>
      <c r="G198" s="172" t="s">
        <v>4434</v>
      </c>
      <c r="H198" s="172" t="s">
        <v>4434</v>
      </c>
      <c r="I198" s="172" t="s">
        <v>4434</v>
      </c>
      <c r="J198" s="172" t="s">
        <v>4434</v>
      </c>
      <c r="K198" s="172" t="s">
        <v>4434</v>
      </c>
      <c r="L198" s="172" t="s">
        <v>4434</v>
      </c>
      <c r="M198" s="172" t="s">
        <v>4434</v>
      </c>
      <c r="N198" s="173" t="s">
        <v>4434</v>
      </c>
      <c r="O198" s="111"/>
      <c r="Q198">
        <v>46308</v>
      </c>
    </row>
    <row r="199" spans="1:18">
      <c r="A199" s="98">
        <v>11</v>
      </c>
      <c r="B199" s="113" t="s">
        <v>83</v>
      </c>
      <c r="C199" s="10" t="s">
        <v>23</v>
      </c>
      <c r="D199" s="109"/>
      <c r="E199" s="171"/>
      <c r="F199" s="172"/>
      <c r="G199" s="184"/>
      <c r="H199" s="172"/>
      <c r="I199" s="172" t="s">
        <v>4492</v>
      </c>
      <c r="J199" s="179" t="s">
        <v>124</v>
      </c>
      <c r="K199" s="179" t="s">
        <v>224</v>
      </c>
      <c r="L199" s="172"/>
      <c r="M199" s="172"/>
      <c r="N199" s="195" t="s">
        <v>252</v>
      </c>
      <c r="O199" s="111"/>
      <c r="Q199">
        <v>46308</v>
      </c>
      <c r="R199" s="194" t="s">
        <v>268</v>
      </c>
    </row>
    <row r="200" spans="1:18">
      <c r="A200" s="98">
        <v>12</v>
      </c>
      <c r="B200" s="113" t="s">
        <v>85</v>
      </c>
      <c r="C200" s="10" t="s">
        <v>23</v>
      </c>
      <c r="D200" s="109"/>
      <c r="E200" s="171"/>
      <c r="F200" s="172"/>
      <c r="G200" s="179" t="s">
        <v>122</v>
      </c>
      <c r="H200" s="172"/>
      <c r="I200" s="172" t="s">
        <v>4492</v>
      </c>
      <c r="J200" s="179" t="s">
        <v>124</v>
      </c>
      <c r="K200" s="179" t="s">
        <v>226</v>
      </c>
      <c r="L200" s="172"/>
      <c r="M200" s="172"/>
      <c r="N200" s="173"/>
      <c r="O200" s="111"/>
      <c r="Q200">
        <v>46308</v>
      </c>
      <c r="R200" s="194" t="s">
        <v>259</v>
      </c>
    </row>
    <row r="201" spans="1:18" ht="15" thickBot="1">
      <c r="A201" s="99">
        <v>13</v>
      </c>
      <c r="B201" s="115" t="s">
        <v>87</v>
      </c>
      <c r="C201" s="100" t="s">
        <v>23</v>
      </c>
      <c r="D201" s="110"/>
      <c r="E201" s="174"/>
      <c r="F201" s="175"/>
      <c r="G201" s="180" t="s">
        <v>122</v>
      </c>
      <c r="H201" s="175"/>
      <c r="I201" s="175" t="s">
        <v>4492</v>
      </c>
      <c r="J201" s="180" t="s">
        <v>124</v>
      </c>
      <c r="K201" s="185"/>
      <c r="L201" s="175"/>
      <c r="M201" s="175"/>
      <c r="N201" s="176"/>
      <c r="O201" s="112"/>
      <c r="Q201">
        <v>46308</v>
      </c>
      <c r="R201" s="194" t="s">
        <v>257</v>
      </c>
    </row>
    <row r="202" spans="1:18" ht="15" thickBot="1">
      <c r="A202" s="107"/>
      <c r="B202" s="108"/>
      <c r="C202" s="107"/>
      <c r="D202" s="107"/>
      <c r="E202" s="177"/>
      <c r="F202" s="177"/>
      <c r="G202" s="177"/>
      <c r="H202" s="177"/>
      <c r="I202" s="177"/>
      <c r="J202" s="177"/>
      <c r="K202" s="177"/>
      <c r="L202" s="177"/>
      <c r="M202" s="177"/>
      <c r="N202" s="177"/>
      <c r="O202" s="108"/>
    </row>
    <row r="203" spans="1:18" ht="26.1" customHeight="1">
      <c r="A203" s="228" t="s">
        <v>169</v>
      </c>
      <c r="B203" s="229"/>
      <c r="C203" s="230"/>
      <c r="D203" s="103" t="s">
        <v>155</v>
      </c>
      <c r="E203" s="168">
        <v>0.33333333333333331</v>
      </c>
      <c r="F203" s="169">
        <v>0.375</v>
      </c>
      <c r="G203" s="169">
        <v>0.41666666666666669</v>
      </c>
      <c r="H203" s="169">
        <v>0.45833333333333331</v>
      </c>
      <c r="I203" s="169">
        <v>0.5</v>
      </c>
      <c r="J203" s="169">
        <v>0.54166666666666663</v>
      </c>
      <c r="K203" s="169">
        <v>0.58333333333333337</v>
      </c>
      <c r="L203" s="169">
        <v>0.625</v>
      </c>
      <c r="M203" s="169">
        <v>0.66666666666666663</v>
      </c>
      <c r="N203" s="170">
        <v>0.70833333333333337</v>
      </c>
      <c r="O203" s="196" t="s">
        <v>262</v>
      </c>
      <c r="P203" s="102" t="s">
        <v>156</v>
      </c>
      <c r="Q203">
        <v>46309</v>
      </c>
    </row>
    <row r="204" spans="1:18">
      <c r="A204" s="98">
        <v>1</v>
      </c>
      <c r="B204" s="113" t="s">
        <v>63</v>
      </c>
      <c r="C204" s="8" t="s">
        <v>21</v>
      </c>
      <c r="D204" s="109"/>
      <c r="E204" s="171"/>
      <c r="F204" s="172"/>
      <c r="G204" s="172"/>
      <c r="H204" s="172"/>
      <c r="I204" s="172"/>
      <c r="J204" s="172" t="s">
        <v>4492</v>
      </c>
      <c r="K204" s="172"/>
      <c r="L204" s="172"/>
      <c r="M204" s="172"/>
      <c r="N204" s="173"/>
      <c r="O204" s="111"/>
      <c r="Q204">
        <v>46309</v>
      </c>
    </row>
    <row r="205" spans="1:18">
      <c r="A205" s="98">
        <v>2</v>
      </c>
      <c r="B205" s="113" t="s">
        <v>65</v>
      </c>
      <c r="C205" s="8" t="s">
        <v>21</v>
      </c>
      <c r="D205" s="109"/>
      <c r="E205" s="171"/>
      <c r="F205" s="172"/>
      <c r="G205" s="172"/>
      <c r="H205" s="172"/>
      <c r="I205" s="172" t="s">
        <v>4492</v>
      </c>
      <c r="J205" s="172"/>
      <c r="K205" s="172"/>
      <c r="L205" s="172"/>
      <c r="M205" s="172"/>
      <c r="N205" s="173"/>
      <c r="O205" s="111"/>
      <c r="Q205">
        <v>46309</v>
      </c>
    </row>
    <row r="206" spans="1:18">
      <c r="A206" s="98">
        <v>3</v>
      </c>
      <c r="B206" s="113" t="s">
        <v>67</v>
      </c>
      <c r="C206" s="8" t="s">
        <v>21</v>
      </c>
      <c r="D206" s="109"/>
      <c r="E206" s="171"/>
      <c r="F206" s="172"/>
      <c r="G206" s="172"/>
      <c r="H206" s="172"/>
      <c r="I206" s="172"/>
      <c r="J206" s="172" t="s">
        <v>4492</v>
      </c>
      <c r="K206" s="172"/>
      <c r="L206" s="172"/>
      <c r="M206" s="172"/>
      <c r="N206" s="173"/>
      <c r="O206" s="111"/>
      <c r="Q206">
        <v>46309</v>
      </c>
    </row>
    <row r="207" spans="1:18">
      <c r="A207" s="98">
        <v>4</v>
      </c>
      <c r="B207" s="113" t="s">
        <v>69</v>
      </c>
      <c r="C207" s="9" t="s">
        <v>22</v>
      </c>
      <c r="D207" s="109"/>
      <c r="E207" s="171"/>
      <c r="F207" s="172"/>
      <c r="G207" s="179" t="s">
        <v>122</v>
      </c>
      <c r="H207" s="172"/>
      <c r="I207" s="172" t="s">
        <v>4492</v>
      </c>
      <c r="J207" s="179" t="s">
        <v>124</v>
      </c>
      <c r="K207" s="172"/>
      <c r="L207" s="172"/>
      <c r="M207" s="172"/>
      <c r="N207" s="173"/>
      <c r="O207" s="111"/>
      <c r="Q207">
        <v>46309</v>
      </c>
      <c r="R207" s="194" t="s">
        <v>257</v>
      </c>
    </row>
    <row r="208" spans="1:18">
      <c r="A208" s="98">
        <v>5</v>
      </c>
      <c r="B208" s="113" t="s">
        <v>71</v>
      </c>
      <c r="C208" s="9" t="s">
        <v>22</v>
      </c>
      <c r="D208" s="109"/>
      <c r="E208" s="171"/>
      <c r="F208" s="172"/>
      <c r="G208" s="172"/>
      <c r="H208" s="172"/>
      <c r="I208" s="172"/>
      <c r="J208" s="172" t="s">
        <v>4492</v>
      </c>
      <c r="K208" s="172"/>
      <c r="L208" s="172"/>
      <c r="M208" s="172"/>
      <c r="N208" s="195" t="s">
        <v>252</v>
      </c>
      <c r="O208" s="111"/>
      <c r="Q208">
        <v>46309</v>
      </c>
      <c r="R208" s="194" t="s">
        <v>267</v>
      </c>
    </row>
    <row r="209" spans="1:18">
      <c r="A209" s="98">
        <v>6</v>
      </c>
      <c r="B209" s="113" t="s">
        <v>73</v>
      </c>
      <c r="C209" s="10" t="s">
        <v>23</v>
      </c>
      <c r="D209" s="186" t="s">
        <v>57</v>
      </c>
      <c r="E209" s="171"/>
      <c r="F209" s="172"/>
      <c r="G209" s="172"/>
      <c r="H209" s="172"/>
      <c r="I209" s="172" t="s">
        <v>4492</v>
      </c>
      <c r="J209" s="172"/>
      <c r="K209" s="172"/>
      <c r="L209" s="172"/>
      <c r="M209" s="172"/>
      <c r="N209" s="173"/>
      <c r="O209" s="111"/>
      <c r="Q209">
        <v>46309</v>
      </c>
      <c r="R209" s="194" t="s">
        <v>254</v>
      </c>
    </row>
    <row r="210" spans="1:18">
      <c r="A210" s="98">
        <v>7</v>
      </c>
      <c r="B210" s="113" t="s">
        <v>75</v>
      </c>
      <c r="C210" s="10" t="s">
        <v>23</v>
      </c>
      <c r="D210" s="186" t="s">
        <v>57</v>
      </c>
      <c r="E210" s="171"/>
      <c r="F210" s="172"/>
      <c r="G210" s="172"/>
      <c r="H210" s="172"/>
      <c r="I210" s="172" t="s">
        <v>4492</v>
      </c>
      <c r="J210" s="172"/>
      <c r="K210" s="172"/>
      <c r="L210" s="172"/>
      <c r="M210" s="172"/>
      <c r="N210" s="173"/>
      <c r="O210" s="111"/>
      <c r="Q210">
        <v>46309</v>
      </c>
      <c r="R210" s="194" t="s">
        <v>254</v>
      </c>
    </row>
    <row r="211" spans="1:18">
      <c r="A211" s="98">
        <v>8</v>
      </c>
      <c r="B211" s="113" t="s">
        <v>77</v>
      </c>
      <c r="C211" s="10" t="s">
        <v>23</v>
      </c>
      <c r="D211" s="192"/>
      <c r="E211" s="171"/>
      <c r="F211" s="172"/>
      <c r="G211" s="172"/>
      <c r="H211" s="172"/>
      <c r="I211" s="172" t="s">
        <v>4492</v>
      </c>
      <c r="J211" s="172"/>
      <c r="K211" s="172"/>
      <c r="L211" s="172"/>
      <c r="M211" s="172"/>
      <c r="N211" s="173"/>
      <c r="O211" s="111"/>
      <c r="Q211">
        <v>46309</v>
      </c>
    </row>
    <row r="212" spans="1:18">
      <c r="A212" s="98">
        <v>9</v>
      </c>
      <c r="B212" s="113" t="s">
        <v>79</v>
      </c>
      <c r="C212" s="10" t="s">
        <v>23</v>
      </c>
      <c r="D212" s="186" t="s">
        <v>57</v>
      </c>
      <c r="E212" s="171"/>
      <c r="F212" s="172"/>
      <c r="G212" s="172"/>
      <c r="H212" s="172"/>
      <c r="I212" s="172" t="s">
        <v>4492</v>
      </c>
      <c r="J212" s="172"/>
      <c r="K212" s="184"/>
      <c r="L212" s="172"/>
      <c r="M212" s="172"/>
      <c r="N212" s="173"/>
      <c r="O212" s="111"/>
      <c r="Q212">
        <v>46309</v>
      </c>
      <c r="R212" s="194" t="s">
        <v>254</v>
      </c>
    </row>
    <row r="213" spans="1:18">
      <c r="A213" s="98">
        <v>10</v>
      </c>
      <c r="B213" s="113" t="s">
        <v>81</v>
      </c>
      <c r="C213" s="10" t="s">
        <v>23</v>
      </c>
      <c r="D213" s="109"/>
      <c r="E213" s="171"/>
      <c r="F213" s="172"/>
      <c r="G213" s="179" t="s">
        <v>122</v>
      </c>
      <c r="H213" s="172"/>
      <c r="I213" s="172" t="s">
        <v>4492</v>
      </c>
      <c r="J213" s="179" t="s">
        <v>124</v>
      </c>
      <c r="K213" s="179" t="s">
        <v>226</v>
      </c>
      <c r="L213" s="172"/>
      <c r="M213" s="172"/>
      <c r="N213" s="195" t="s">
        <v>252</v>
      </c>
      <c r="O213" s="111"/>
      <c r="Q213">
        <v>46309</v>
      </c>
      <c r="R213" s="194" t="s">
        <v>261</v>
      </c>
    </row>
    <row r="214" spans="1:18">
      <c r="A214" s="98">
        <v>11</v>
      </c>
      <c r="B214" s="114" t="s">
        <v>83</v>
      </c>
      <c r="C214" s="10" t="s">
        <v>23</v>
      </c>
      <c r="D214" s="109"/>
      <c r="E214" s="171" t="s">
        <v>4434</v>
      </c>
      <c r="F214" s="172" t="s">
        <v>4434</v>
      </c>
      <c r="G214" s="172" t="s">
        <v>4434</v>
      </c>
      <c r="H214" s="172" t="s">
        <v>4434</v>
      </c>
      <c r="I214" s="172" t="s">
        <v>4434</v>
      </c>
      <c r="J214" s="172" t="s">
        <v>4434</v>
      </c>
      <c r="K214" s="172" t="s">
        <v>4434</v>
      </c>
      <c r="L214" s="172" t="s">
        <v>4434</v>
      </c>
      <c r="M214" s="172" t="s">
        <v>4434</v>
      </c>
      <c r="N214" s="173" t="s">
        <v>4434</v>
      </c>
      <c r="O214" s="111"/>
      <c r="Q214">
        <v>46309</v>
      </c>
    </row>
    <row r="215" spans="1:18">
      <c r="A215" s="98">
        <v>12</v>
      </c>
      <c r="B215" s="114" t="s">
        <v>85</v>
      </c>
      <c r="C215" s="10" t="s">
        <v>23</v>
      </c>
      <c r="D215" s="109"/>
      <c r="E215" s="171" t="s">
        <v>4434</v>
      </c>
      <c r="F215" s="172" t="s">
        <v>4434</v>
      </c>
      <c r="G215" s="172" t="s">
        <v>4434</v>
      </c>
      <c r="H215" s="172" t="s">
        <v>4434</v>
      </c>
      <c r="I215" s="172" t="s">
        <v>4434</v>
      </c>
      <c r="J215" s="172" t="s">
        <v>4434</v>
      </c>
      <c r="K215" s="172" t="s">
        <v>4434</v>
      </c>
      <c r="L215" s="172" t="s">
        <v>4434</v>
      </c>
      <c r="M215" s="172" t="s">
        <v>4434</v>
      </c>
      <c r="N215" s="173" t="s">
        <v>4434</v>
      </c>
      <c r="O215" s="111"/>
      <c r="Q215">
        <v>46309</v>
      </c>
    </row>
    <row r="216" spans="1:18" ht="15" thickBot="1">
      <c r="A216" s="99">
        <v>13</v>
      </c>
      <c r="B216" s="115" t="s">
        <v>87</v>
      </c>
      <c r="C216" s="100" t="s">
        <v>23</v>
      </c>
      <c r="D216" s="110"/>
      <c r="E216" s="174"/>
      <c r="F216" s="175"/>
      <c r="G216" s="180" t="s">
        <v>122</v>
      </c>
      <c r="H216" s="175"/>
      <c r="I216" s="175" t="s">
        <v>4492</v>
      </c>
      <c r="J216" s="180" t="s">
        <v>124</v>
      </c>
      <c r="K216" s="180" t="s">
        <v>224</v>
      </c>
      <c r="L216" s="175"/>
      <c r="M216" s="175"/>
      <c r="N216" s="176"/>
      <c r="O216" s="112"/>
      <c r="Q216">
        <v>46309</v>
      </c>
      <c r="R216" s="194" t="s">
        <v>263</v>
      </c>
    </row>
    <row r="217" spans="1:18" ht="15" thickBot="1">
      <c r="A217" s="107"/>
      <c r="B217" s="108"/>
      <c r="C217" s="107"/>
      <c r="D217" s="107"/>
      <c r="E217" s="177"/>
      <c r="F217" s="177"/>
      <c r="G217" s="177"/>
      <c r="H217" s="177"/>
      <c r="I217" s="177"/>
      <c r="J217" s="177"/>
      <c r="K217" s="177"/>
      <c r="L217" s="177"/>
      <c r="M217" s="177"/>
      <c r="N217" s="177"/>
      <c r="O217" s="108"/>
    </row>
    <row r="218" spans="1:18" ht="26.1" customHeight="1">
      <c r="A218" s="228" t="s">
        <v>170</v>
      </c>
      <c r="B218" s="229"/>
      <c r="C218" s="230"/>
      <c r="D218" s="103" t="s">
        <v>155</v>
      </c>
      <c r="E218" s="168">
        <v>0.33333333333333331</v>
      </c>
      <c r="F218" s="169">
        <v>0.375</v>
      </c>
      <c r="G218" s="169">
        <v>0.41666666666666669</v>
      </c>
      <c r="H218" s="169">
        <v>0.45833333333333331</v>
      </c>
      <c r="I218" s="169">
        <v>0.5</v>
      </c>
      <c r="J218" s="169">
        <v>0.54166666666666663</v>
      </c>
      <c r="K218" s="169">
        <v>0.58333333333333337</v>
      </c>
      <c r="L218" s="169">
        <v>0.625</v>
      </c>
      <c r="M218" s="169">
        <v>0.66666666666666663</v>
      </c>
      <c r="N218" s="170">
        <v>0.70833333333333337</v>
      </c>
      <c r="O218" s="196" t="s">
        <v>262</v>
      </c>
      <c r="P218" s="102" t="s">
        <v>156</v>
      </c>
      <c r="Q218">
        <v>46310</v>
      </c>
    </row>
    <row r="219" spans="1:18">
      <c r="A219" s="98">
        <v>1</v>
      </c>
      <c r="B219" s="113" t="s">
        <v>63</v>
      </c>
      <c r="C219" s="8" t="s">
        <v>21</v>
      </c>
      <c r="D219" s="109"/>
      <c r="E219" s="171"/>
      <c r="F219" s="172"/>
      <c r="G219" s="172"/>
      <c r="H219" s="172"/>
      <c r="I219" s="172"/>
      <c r="J219" s="172" t="s">
        <v>4492</v>
      </c>
      <c r="K219" s="172"/>
      <c r="L219" s="172"/>
      <c r="M219" s="172"/>
      <c r="N219" s="173"/>
      <c r="O219" s="111"/>
      <c r="Q219">
        <v>46310</v>
      </c>
    </row>
    <row r="220" spans="1:18">
      <c r="A220" s="98">
        <v>2</v>
      </c>
      <c r="B220" s="113" t="s">
        <v>65</v>
      </c>
      <c r="C220" s="8" t="s">
        <v>21</v>
      </c>
      <c r="D220" s="109"/>
      <c r="E220" s="171"/>
      <c r="F220" s="172"/>
      <c r="G220" s="172"/>
      <c r="H220" s="172"/>
      <c r="I220" s="172" t="s">
        <v>4492</v>
      </c>
      <c r="J220" s="172"/>
      <c r="K220" s="172"/>
      <c r="L220" s="172"/>
      <c r="M220" s="172"/>
      <c r="N220" s="173"/>
      <c r="O220" s="111"/>
      <c r="Q220">
        <v>46310</v>
      </c>
    </row>
    <row r="221" spans="1:18">
      <c r="A221" s="98">
        <v>3</v>
      </c>
      <c r="B221" s="113" t="s">
        <v>67</v>
      </c>
      <c r="C221" s="8" t="s">
        <v>21</v>
      </c>
      <c r="D221" s="109"/>
      <c r="E221" s="171"/>
      <c r="F221" s="172"/>
      <c r="G221" s="172"/>
      <c r="H221" s="172"/>
      <c r="I221" s="172"/>
      <c r="J221" s="172" t="s">
        <v>4492</v>
      </c>
      <c r="K221" s="172"/>
      <c r="L221" s="172"/>
      <c r="M221" s="172"/>
      <c r="N221" s="173"/>
      <c r="O221" s="111"/>
      <c r="Q221">
        <v>46310</v>
      </c>
    </row>
    <row r="222" spans="1:18">
      <c r="A222" s="98">
        <v>4</v>
      </c>
      <c r="B222" s="114" t="s">
        <v>69</v>
      </c>
      <c r="C222" s="9" t="s">
        <v>22</v>
      </c>
      <c r="D222" s="109"/>
      <c r="E222" s="171" t="s">
        <v>4434</v>
      </c>
      <c r="F222" s="172" t="s">
        <v>4434</v>
      </c>
      <c r="G222" s="172" t="s">
        <v>4434</v>
      </c>
      <c r="H222" s="172" t="s">
        <v>4434</v>
      </c>
      <c r="I222" s="172" t="s">
        <v>4434</v>
      </c>
      <c r="J222" s="172" t="s">
        <v>4434</v>
      </c>
      <c r="K222" s="172" t="s">
        <v>4434</v>
      </c>
      <c r="L222" s="172" t="s">
        <v>4434</v>
      </c>
      <c r="M222" s="172" t="s">
        <v>4434</v>
      </c>
      <c r="N222" s="173" t="s">
        <v>4434</v>
      </c>
      <c r="O222" s="111"/>
      <c r="Q222">
        <v>46310</v>
      </c>
    </row>
    <row r="223" spans="1:18">
      <c r="A223" s="98">
        <v>5</v>
      </c>
      <c r="B223" s="113" t="s">
        <v>71</v>
      </c>
      <c r="C223" s="9" t="s">
        <v>22</v>
      </c>
      <c r="D223" s="109"/>
      <c r="E223" s="171"/>
      <c r="F223" s="172"/>
      <c r="G223" s="179" t="s">
        <v>122</v>
      </c>
      <c r="H223" s="172"/>
      <c r="I223" s="172"/>
      <c r="J223" s="172" t="s">
        <v>4492</v>
      </c>
      <c r="K223" s="172"/>
      <c r="L223" s="172"/>
      <c r="M223" s="172"/>
      <c r="N223" s="173"/>
      <c r="O223" s="111"/>
      <c r="Q223">
        <v>46310</v>
      </c>
      <c r="R223" s="194" t="s">
        <v>255</v>
      </c>
    </row>
    <row r="224" spans="1:18">
      <c r="A224" s="98">
        <v>6</v>
      </c>
      <c r="B224" s="114" t="s">
        <v>73</v>
      </c>
      <c r="C224" s="10" t="s">
        <v>23</v>
      </c>
      <c r="D224" s="109"/>
      <c r="E224" s="171" t="s">
        <v>4434</v>
      </c>
      <c r="F224" s="172" t="s">
        <v>4434</v>
      </c>
      <c r="G224" s="172" t="s">
        <v>4434</v>
      </c>
      <c r="H224" s="172" t="s">
        <v>4434</v>
      </c>
      <c r="I224" s="172" t="s">
        <v>4434</v>
      </c>
      <c r="J224" s="172" t="s">
        <v>4434</v>
      </c>
      <c r="K224" s="172" t="s">
        <v>4434</v>
      </c>
      <c r="L224" s="172" t="s">
        <v>4434</v>
      </c>
      <c r="M224" s="172" t="s">
        <v>4434</v>
      </c>
      <c r="N224" s="173" t="s">
        <v>4434</v>
      </c>
      <c r="O224" s="111"/>
      <c r="Q224">
        <v>46310</v>
      </c>
    </row>
    <row r="225" spans="1:18">
      <c r="A225" s="98">
        <v>7</v>
      </c>
      <c r="B225" s="113" t="s">
        <v>75</v>
      </c>
      <c r="C225" s="10" t="s">
        <v>23</v>
      </c>
      <c r="D225" s="186" t="s">
        <v>57</v>
      </c>
      <c r="E225" s="171"/>
      <c r="F225" s="172"/>
      <c r="G225" s="172"/>
      <c r="H225" s="172"/>
      <c r="I225" s="172" t="s">
        <v>4492</v>
      </c>
      <c r="J225" s="172"/>
      <c r="K225" s="172"/>
      <c r="L225" s="172"/>
      <c r="M225" s="172"/>
      <c r="N225" s="173"/>
      <c r="O225" s="111"/>
      <c r="Q225">
        <v>46310</v>
      </c>
      <c r="R225" s="194" t="s">
        <v>254</v>
      </c>
    </row>
    <row r="226" spans="1:18">
      <c r="A226" s="98">
        <v>8</v>
      </c>
      <c r="B226" s="113" t="s">
        <v>77</v>
      </c>
      <c r="C226" s="10" t="s">
        <v>23</v>
      </c>
      <c r="D226" s="186" t="s">
        <v>57</v>
      </c>
      <c r="E226" s="171"/>
      <c r="F226" s="172"/>
      <c r="G226" s="172"/>
      <c r="H226" s="172"/>
      <c r="I226" s="172" t="s">
        <v>4492</v>
      </c>
      <c r="J226" s="172"/>
      <c r="K226" s="172"/>
      <c r="L226" s="172"/>
      <c r="M226" s="172"/>
      <c r="N226" s="173"/>
      <c r="O226" s="111"/>
      <c r="Q226">
        <v>46310</v>
      </c>
      <c r="R226" s="194" t="s">
        <v>254</v>
      </c>
    </row>
    <row r="227" spans="1:18">
      <c r="A227" s="98">
        <v>9</v>
      </c>
      <c r="B227" s="113" t="s">
        <v>79</v>
      </c>
      <c r="C227" s="10" t="s">
        <v>23</v>
      </c>
      <c r="D227" s="192"/>
      <c r="E227" s="171"/>
      <c r="F227" s="172"/>
      <c r="G227" s="172"/>
      <c r="H227" s="172"/>
      <c r="I227" s="172" t="s">
        <v>4492</v>
      </c>
      <c r="J227" s="172"/>
      <c r="K227" s="184"/>
      <c r="L227" s="172"/>
      <c r="M227" s="172"/>
      <c r="N227" s="173"/>
      <c r="O227" s="111"/>
      <c r="Q227">
        <v>46310</v>
      </c>
    </row>
    <row r="228" spans="1:18">
      <c r="A228" s="98">
        <v>10</v>
      </c>
      <c r="B228" s="113" t="s">
        <v>81</v>
      </c>
      <c r="C228" s="10" t="s">
        <v>23</v>
      </c>
      <c r="D228" s="109"/>
      <c r="E228" s="171"/>
      <c r="F228" s="172"/>
      <c r="G228" s="179" t="s">
        <v>122</v>
      </c>
      <c r="H228" s="172"/>
      <c r="I228" s="172" t="s">
        <v>4492</v>
      </c>
      <c r="J228" s="179" t="s">
        <v>124</v>
      </c>
      <c r="K228" s="184"/>
      <c r="L228" s="172"/>
      <c r="M228" s="172"/>
      <c r="N228" s="195" t="s">
        <v>252</v>
      </c>
      <c r="O228" s="111"/>
      <c r="Q228">
        <v>46310</v>
      </c>
      <c r="R228" s="194" t="s">
        <v>260</v>
      </c>
    </row>
    <row r="229" spans="1:18">
      <c r="A229" s="98">
        <v>11</v>
      </c>
      <c r="B229" s="113" t="s">
        <v>83</v>
      </c>
      <c r="C229" s="10" t="s">
        <v>23</v>
      </c>
      <c r="D229" s="109"/>
      <c r="E229" s="171"/>
      <c r="F229" s="172"/>
      <c r="G229" s="179" t="s">
        <v>122</v>
      </c>
      <c r="H229" s="172"/>
      <c r="I229" s="172" t="s">
        <v>4492</v>
      </c>
      <c r="J229" s="179" t="s">
        <v>124</v>
      </c>
      <c r="K229" s="179" t="s">
        <v>224</v>
      </c>
      <c r="L229" s="172"/>
      <c r="M229" s="172"/>
      <c r="N229" s="195" t="s">
        <v>252</v>
      </c>
      <c r="O229" s="111"/>
      <c r="Q229">
        <v>46310</v>
      </c>
      <c r="R229" s="194" t="s">
        <v>264</v>
      </c>
    </row>
    <row r="230" spans="1:18">
      <c r="A230" s="98">
        <v>12</v>
      </c>
      <c r="B230" s="113" t="s">
        <v>85</v>
      </c>
      <c r="C230" s="10" t="s">
        <v>23</v>
      </c>
      <c r="D230" s="186" t="s">
        <v>57</v>
      </c>
      <c r="E230" s="171"/>
      <c r="F230" s="172"/>
      <c r="G230" s="184"/>
      <c r="H230" s="172"/>
      <c r="I230" s="172" t="s">
        <v>4492</v>
      </c>
      <c r="J230" s="184"/>
      <c r="K230" s="184"/>
      <c r="L230" s="172"/>
      <c r="M230" s="172"/>
      <c r="N230" s="173"/>
      <c r="O230" s="111"/>
      <c r="Q230">
        <v>46310</v>
      </c>
      <c r="R230" s="194" t="s">
        <v>254</v>
      </c>
    </row>
    <row r="231" spans="1:18" ht="15" thickBot="1">
      <c r="A231" s="99">
        <v>13</v>
      </c>
      <c r="B231" s="115" t="s">
        <v>87</v>
      </c>
      <c r="C231" s="100" t="s">
        <v>23</v>
      </c>
      <c r="D231" s="193"/>
      <c r="E231" s="174"/>
      <c r="F231" s="175"/>
      <c r="G231" s="175"/>
      <c r="H231" s="175"/>
      <c r="I231" s="175" t="s">
        <v>4492</v>
      </c>
      <c r="J231" s="180" t="s">
        <v>124</v>
      </c>
      <c r="K231" s="180" t="s">
        <v>226</v>
      </c>
      <c r="L231" s="175"/>
      <c r="M231" s="175"/>
      <c r="N231" s="176"/>
      <c r="O231" s="112"/>
      <c r="Q231">
        <v>46310</v>
      </c>
      <c r="R231" s="194" t="s">
        <v>269</v>
      </c>
    </row>
    <row r="232" spans="1:18" ht="15" thickBot="1">
      <c r="A232" s="107"/>
      <c r="B232" s="108"/>
      <c r="C232" s="107"/>
      <c r="D232" s="107"/>
      <c r="E232" s="177"/>
      <c r="F232" s="177"/>
      <c r="G232" s="177"/>
      <c r="H232" s="177"/>
      <c r="I232" s="177"/>
      <c r="J232" s="177"/>
      <c r="K232" s="177"/>
      <c r="L232" s="177"/>
      <c r="M232" s="177"/>
      <c r="N232" s="177"/>
      <c r="O232" s="108"/>
    </row>
    <row r="233" spans="1:18" ht="26.1" customHeight="1">
      <c r="A233" s="228" t="s">
        <v>171</v>
      </c>
      <c r="B233" s="229"/>
      <c r="C233" s="230"/>
      <c r="D233" s="103" t="s">
        <v>155</v>
      </c>
      <c r="E233" s="168">
        <v>0.33333333333333331</v>
      </c>
      <c r="F233" s="169">
        <v>0.375</v>
      </c>
      <c r="G233" s="169">
        <v>0.41666666666666669</v>
      </c>
      <c r="H233" s="169">
        <v>0.45833333333333331</v>
      </c>
      <c r="I233" s="169">
        <v>0.5</v>
      </c>
      <c r="J233" s="169">
        <v>0.54166666666666663</v>
      </c>
      <c r="K233" s="169">
        <v>0.58333333333333337</v>
      </c>
      <c r="L233" s="169">
        <v>0.625</v>
      </c>
      <c r="M233" s="169">
        <v>0.66666666666666663</v>
      </c>
      <c r="N233" s="170">
        <v>0.70833333333333337</v>
      </c>
      <c r="O233" s="196" t="s">
        <v>262</v>
      </c>
      <c r="P233" s="102" t="s">
        <v>156</v>
      </c>
      <c r="Q233">
        <v>46311</v>
      </c>
    </row>
    <row r="234" spans="1:18">
      <c r="A234" s="98">
        <v>1</v>
      </c>
      <c r="B234" s="113" t="s">
        <v>63</v>
      </c>
      <c r="C234" s="8" t="s">
        <v>21</v>
      </c>
      <c r="D234" s="109"/>
      <c r="E234" s="171"/>
      <c r="F234" s="172"/>
      <c r="G234" s="172"/>
      <c r="H234" s="172"/>
      <c r="I234" s="172"/>
      <c r="J234" s="172" t="s">
        <v>4492</v>
      </c>
      <c r="K234" s="172"/>
      <c r="L234" s="172"/>
      <c r="M234" s="172"/>
      <c r="N234" s="173"/>
      <c r="O234" s="111"/>
      <c r="Q234">
        <v>46311</v>
      </c>
    </row>
    <row r="235" spans="1:18">
      <c r="A235" s="98">
        <v>2</v>
      </c>
      <c r="B235" s="114" t="s">
        <v>65</v>
      </c>
      <c r="C235" s="8" t="s">
        <v>21</v>
      </c>
      <c r="D235" s="109"/>
      <c r="E235" s="171" t="s">
        <v>4434</v>
      </c>
      <c r="F235" s="172" t="s">
        <v>4434</v>
      </c>
      <c r="G235" s="172" t="s">
        <v>4434</v>
      </c>
      <c r="H235" s="172" t="s">
        <v>4434</v>
      </c>
      <c r="I235" s="172" t="s">
        <v>4434</v>
      </c>
      <c r="J235" s="172" t="s">
        <v>4434</v>
      </c>
      <c r="K235" s="172" t="s">
        <v>4434</v>
      </c>
      <c r="L235" s="172" t="s">
        <v>4434</v>
      </c>
      <c r="M235" s="172" t="s">
        <v>4434</v>
      </c>
      <c r="N235" s="173" t="s">
        <v>4434</v>
      </c>
      <c r="O235" s="111"/>
      <c r="Q235">
        <v>46311</v>
      </c>
    </row>
    <row r="236" spans="1:18">
      <c r="A236" s="98">
        <v>3</v>
      </c>
      <c r="B236" s="113" t="s">
        <v>67</v>
      </c>
      <c r="C236" s="8" t="s">
        <v>21</v>
      </c>
      <c r="D236" s="109"/>
      <c r="E236" s="171"/>
      <c r="F236" s="172"/>
      <c r="G236" s="172"/>
      <c r="H236" s="172"/>
      <c r="I236" s="172"/>
      <c r="J236" s="172" t="s">
        <v>4492</v>
      </c>
      <c r="K236" s="172"/>
      <c r="L236" s="172"/>
      <c r="M236" s="172"/>
      <c r="N236" s="173"/>
      <c r="O236" s="111"/>
      <c r="Q236">
        <v>46311</v>
      </c>
    </row>
    <row r="237" spans="1:18">
      <c r="A237" s="98">
        <v>4</v>
      </c>
      <c r="B237" s="113" t="s">
        <v>69</v>
      </c>
      <c r="C237" s="9" t="s">
        <v>22</v>
      </c>
      <c r="D237" s="109"/>
      <c r="E237" s="171"/>
      <c r="F237" s="172"/>
      <c r="G237" s="179" t="s">
        <v>122</v>
      </c>
      <c r="H237" s="172"/>
      <c r="I237" s="172" t="s">
        <v>4492</v>
      </c>
      <c r="J237" s="179" t="s">
        <v>124</v>
      </c>
      <c r="K237" s="172"/>
      <c r="L237" s="172"/>
      <c r="M237" s="172"/>
      <c r="N237" s="173"/>
      <c r="O237" s="111"/>
      <c r="Q237">
        <v>46311</v>
      </c>
      <c r="R237" s="194" t="s">
        <v>257</v>
      </c>
    </row>
    <row r="238" spans="1:18">
      <c r="A238" s="98">
        <v>5</v>
      </c>
      <c r="B238" s="113" t="s">
        <v>71</v>
      </c>
      <c r="C238" s="9" t="s">
        <v>22</v>
      </c>
      <c r="D238" s="109"/>
      <c r="E238" s="171"/>
      <c r="F238" s="172"/>
      <c r="G238" s="172"/>
      <c r="H238" s="172"/>
      <c r="I238" s="172"/>
      <c r="J238" s="172" t="s">
        <v>4492</v>
      </c>
      <c r="K238" s="172"/>
      <c r="L238" s="172"/>
      <c r="M238" s="172"/>
      <c r="N238" s="173"/>
      <c r="O238" s="111"/>
      <c r="Q238">
        <v>46311</v>
      </c>
    </row>
    <row r="239" spans="1:18">
      <c r="A239" s="98">
        <v>6</v>
      </c>
      <c r="B239" s="113" t="s">
        <v>73</v>
      </c>
      <c r="C239" s="10" t="s">
        <v>23</v>
      </c>
      <c r="D239" s="186" t="s">
        <v>57</v>
      </c>
      <c r="E239" s="171"/>
      <c r="F239" s="172"/>
      <c r="G239" s="172"/>
      <c r="H239" s="172"/>
      <c r="I239" s="172" t="s">
        <v>4492</v>
      </c>
      <c r="J239" s="172"/>
      <c r="K239" s="172"/>
      <c r="L239" s="172"/>
      <c r="M239" s="172"/>
      <c r="N239" s="173"/>
      <c r="O239" s="111"/>
      <c r="Q239">
        <v>46311</v>
      </c>
      <c r="R239" s="194" t="s">
        <v>254</v>
      </c>
    </row>
    <row r="240" spans="1:18">
      <c r="A240" s="98">
        <v>7</v>
      </c>
      <c r="B240" s="114" t="s">
        <v>75</v>
      </c>
      <c r="C240" s="10" t="s">
        <v>23</v>
      </c>
      <c r="D240" s="109"/>
      <c r="E240" s="171" t="s">
        <v>4434</v>
      </c>
      <c r="F240" s="172" t="s">
        <v>4434</v>
      </c>
      <c r="G240" s="172" t="s">
        <v>4434</v>
      </c>
      <c r="H240" s="172" t="s">
        <v>4434</v>
      </c>
      <c r="I240" s="172" t="s">
        <v>4434</v>
      </c>
      <c r="J240" s="172" t="s">
        <v>4434</v>
      </c>
      <c r="K240" s="172" t="s">
        <v>4434</v>
      </c>
      <c r="L240" s="172" t="s">
        <v>4434</v>
      </c>
      <c r="M240" s="172" t="s">
        <v>4434</v>
      </c>
      <c r="N240" s="173" t="s">
        <v>4434</v>
      </c>
      <c r="O240" s="111"/>
      <c r="Q240">
        <v>46311</v>
      </c>
    </row>
    <row r="241" spans="1:18">
      <c r="A241" s="98">
        <v>8</v>
      </c>
      <c r="B241" s="113" t="s">
        <v>77</v>
      </c>
      <c r="C241" s="10" t="s">
        <v>23</v>
      </c>
      <c r="D241" s="109"/>
      <c r="E241" s="171"/>
      <c r="F241" s="172"/>
      <c r="G241" s="172"/>
      <c r="H241" s="172"/>
      <c r="I241" s="172" t="s">
        <v>4492</v>
      </c>
      <c r="J241" s="172"/>
      <c r="K241" s="172"/>
      <c r="L241" s="172"/>
      <c r="M241" s="172"/>
      <c r="N241" s="173"/>
      <c r="O241" s="111"/>
      <c r="Q241">
        <v>46311</v>
      </c>
    </row>
    <row r="242" spans="1:18">
      <c r="A242" s="98">
        <v>9</v>
      </c>
      <c r="B242" s="113" t="s">
        <v>79</v>
      </c>
      <c r="C242" s="10" t="s">
        <v>23</v>
      </c>
      <c r="D242" s="109"/>
      <c r="E242" s="171"/>
      <c r="F242" s="172"/>
      <c r="G242" s="172"/>
      <c r="H242" s="172"/>
      <c r="I242" s="172" t="s">
        <v>4492</v>
      </c>
      <c r="J242" s="172"/>
      <c r="K242" s="184"/>
      <c r="L242" s="172"/>
      <c r="M242" s="172"/>
      <c r="N242" s="173"/>
      <c r="O242" s="111"/>
      <c r="Q242">
        <v>46311</v>
      </c>
    </row>
    <row r="243" spans="1:18">
      <c r="A243" s="98">
        <v>10</v>
      </c>
      <c r="B243" s="113" t="s">
        <v>81</v>
      </c>
      <c r="C243" s="10" t="s">
        <v>23</v>
      </c>
      <c r="D243" s="109"/>
      <c r="E243" s="171"/>
      <c r="F243" s="172"/>
      <c r="G243" s="179" t="s">
        <v>122</v>
      </c>
      <c r="H243" s="172"/>
      <c r="I243" s="172" t="s">
        <v>4492</v>
      </c>
      <c r="J243" s="179" t="s">
        <v>124</v>
      </c>
      <c r="K243" s="179" t="s">
        <v>224</v>
      </c>
      <c r="L243" s="172"/>
      <c r="M243" s="172"/>
      <c r="N243" s="195" t="s">
        <v>252</v>
      </c>
      <c r="O243" s="111"/>
      <c r="Q243">
        <v>46311</v>
      </c>
      <c r="R243" s="194" t="s">
        <v>264</v>
      </c>
    </row>
    <row r="244" spans="1:18">
      <c r="A244" s="98">
        <v>11</v>
      </c>
      <c r="B244" s="113" t="s">
        <v>83</v>
      </c>
      <c r="C244" s="10" t="s">
        <v>23</v>
      </c>
      <c r="D244" s="109"/>
      <c r="E244" s="171"/>
      <c r="F244" s="172"/>
      <c r="G244" s="179" t="s">
        <v>122</v>
      </c>
      <c r="H244" s="172"/>
      <c r="I244" s="172" t="s">
        <v>4492</v>
      </c>
      <c r="J244" s="179" t="s">
        <v>124</v>
      </c>
      <c r="K244" s="179" t="s">
        <v>226</v>
      </c>
      <c r="L244" s="172"/>
      <c r="M244" s="172"/>
      <c r="N244" s="195" t="s">
        <v>252</v>
      </c>
      <c r="O244" s="111"/>
      <c r="Q244">
        <v>46311</v>
      </c>
      <c r="R244" s="194" t="s">
        <v>261</v>
      </c>
    </row>
    <row r="245" spans="1:18">
      <c r="A245" s="98">
        <v>12</v>
      </c>
      <c r="B245" s="113" t="s">
        <v>85</v>
      </c>
      <c r="C245" s="10" t="s">
        <v>23</v>
      </c>
      <c r="D245" s="186" t="s">
        <v>57</v>
      </c>
      <c r="E245" s="171"/>
      <c r="F245" s="172"/>
      <c r="G245" s="172"/>
      <c r="H245" s="172"/>
      <c r="I245" s="172" t="s">
        <v>4492</v>
      </c>
      <c r="J245" s="184"/>
      <c r="K245" s="172"/>
      <c r="L245" s="172"/>
      <c r="M245" s="172"/>
      <c r="N245" s="173"/>
      <c r="O245" s="111"/>
      <c r="Q245">
        <v>46311</v>
      </c>
      <c r="R245" s="194" t="s">
        <v>254</v>
      </c>
    </row>
    <row r="246" spans="1:18" ht="15" thickBot="1">
      <c r="A246" s="99">
        <v>13</v>
      </c>
      <c r="B246" s="115" t="s">
        <v>87</v>
      </c>
      <c r="C246" s="100" t="s">
        <v>23</v>
      </c>
      <c r="D246" s="187" t="s">
        <v>57</v>
      </c>
      <c r="E246" s="174"/>
      <c r="F246" s="175"/>
      <c r="G246" s="175"/>
      <c r="H246" s="175"/>
      <c r="I246" s="175" t="s">
        <v>4492</v>
      </c>
      <c r="J246" s="175"/>
      <c r="K246" s="185"/>
      <c r="L246" s="175"/>
      <c r="M246" s="175"/>
      <c r="N246" s="176"/>
      <c r="O246" s="112"/>
      <c r="Q246">
        <v>46311</v>
      </c>
      <c r="R246" s="194" t="s">
        <v>254</v>
      </c>
    </row>
    <row r="247" spans="1:18" ht="15" thickBot="1">
      <c r="A247" s="107"/>
      <c r="B247" s="108"/>
      <c r="C247" s="107"/>
      <c r="D247" s="107"/>
      <c r="E247" s="177"/>
      <c r="F247" s="177"/>
      <c r="G247" s="177"/>
      <c r="H247" s="177"/>
      <c r="I247" s="177"/>
      <c r="J247" s="177"/>
      <c r="K247" s="177"/>
      <c r="L247" s="177"/>
      <c r="M247" s="177"/>
      <c r="N247" s="177"/>
      <c r="O247" s="108"/>
    </row>
    <row r="248" spans="1:18" ht="26.1" customHeight="1">
      <c r="A248" s="222" t="s">
        <v>172</v>
      </c>
      <c r="B248" s="223"/>
      <c r="C248" s="224"/>
      <c r="D248" s="103" t="s">
        <v>155</v>
      </c>
      <c r="E248" s="168">
        <v>0.33333333333333331</v>
      </c>
      <c r="F248" s="169">
        <v>0.375</v>
      </c>
      <c r="G248" s="169">
        <v>0.41666666666666669</v>
      </c>
      <c r="H248" s="169">
        <v>0.45833333333333331</v>
      </c>
      <c r="I248" s="169">
        <v>0.5</v>
      </c>
      <c r="J248" s="169">
        <v>0.54166666666666663</v>
      </c>
      <c r="K248" s="169">
        <v>0.58333333333333337</v>
      </c>
      <c r="L248" s="169">
        <v>0.625</v>
      </c>
      <c r="M248" s="169">
        <v>0.66666666666666663</v>
      </c>
      <c r="N248" s="170">
        <v>0.70833333333333337</v>
      </c>
      <c r="O248" s="178" t="s">
        <v>228</v>
      </c>
      <c r="P248" s="102" t="s">
        <v>156</v>
      </c>
      <c r="Q248">
        <v>46312</v>
      </c>
    </row>
    <row r="249" spans="1:18">
      <c r="A249" s="98">
        <v>1</v>
      </c>
      <c r="B249" s="114" t="s">
        <v>63</v>
      </c>
      <c r="C249" s="8" t="s">
        <v>21</v>
      </c>
      <c r="D249" s="109"/>
      <c r="E249" s="171" t="s">
        <v>4434</v>
      </c>
      <c r="F249" s="172" t="s">
        <v>4434</v>
      </c>
      <c r="G249" s="172" t="s">
        <v>4434</v>
      </c>
      <c r="H249" s="172" t="s">
        <v>4434</v>
      </c>
      <c r="I249" s="172" t="s">
        <v>4434</v>
      </c>
      <c r="J249" s="172" t="s">
        <v>4434</v>
      </c>
      <c r="K249" s="172" t="s">
        <v>4434</v>
      </c>
      <c r="L249" s="172" t="s">
        <v>4434</v>
      </c>
      <c r="M249" s="172" t="s">
        <v>4434</v>
      </c>
      <c r="N249" s="173" t="s">
        <v>4434</v>
      </c>
      <c r="O249" s="111"/>
      <c r="Q249">
        <v>46312</v>
      </c>
    </row>
    <row r="250" spans="1:18">
      <c r="A250" s="98">
        <v>2</v>
      </c>
      <c r="B250" s="114" t="s">
        <v>65</v>
      </c>
      <c r="C250" s="8" t="s">
        <v>21</v>
      </c>
      <c r="D250" s="109"/>
      <c r="E250" s="171" t="s">
        <v>4434</v>
      </c>
      <c r="F250" s="172" t="s">
        <v>4434</v>
      </c>
      <c r="G250" s="172" t="s">
        <v>4434</v>
      </c>
      <c r="H250" s="172" t="s">
        <v>4434</v>
      </c>
      <c r="I250" s="172" t="s">
        <v>4434</v>
      </c>
      <c r="J250" s="172" t="s">
        <v>4434</v>
      </c>
      <c r="K250" s="172" t="s">
        <v>4434</v>
      </c>
      <c r="L250" s="172" t="s">
        <v>4434</v>
      </c>
      <c r="M250" s="172" t="s">
        <v>4434</v>
      </c>
      <c r="N250" s="173" t="s">
        <v>4434</v>
      </c>
      <c r="O250" s="111"/>
      <c r="Q250">
        <v>46312</v>
      </c>
    </row>
    <row r="251" spans="1:18">
      <c r="A251" s="98">
        <v>3</v>
      </c>
      <c r="B251" s="114" t="s">
        <v>67</v>
      </c>
      <c r="C251" s="8" t="s">
        <v>21</v>
      </c>
      <c r="D251" s="109"/>
      <c r="E251" s="171" t="s">
        <v>4434</v>
      </c>
      <c r="F251" s="172" t="s">
        <v>4434</v>
      </c>
      <c r="G251" s="172" t="s">
        <v>4434</v>
      </c>
      <c r="H251" s="172" t="s">
        <v>4434</v>
      </c>
      <c r="I251" s="172" t="s">
        <v>4434</v>
      </c>
      <c r="J251" s="172" t="s">
        <v>4434</v>
      </c>
      <c r="K251" s="172" t="s">
        <v>4434</v>
      </c>
      <c r="L251" s="172" t="s">
        <v>4434</v>
      </c>
      <c r="M251" s="172" t="s">
        <v>4434</v>
      </c>
      <c r="N251" s="173" t="s">
        <v>4434</v>
      </c>
      <c r="O251" s="111"/>
      <c r="Q251">
        <v>46312</v>
      </c>
    </row>
    <row r="252" spans="1:18">
      <c r="A252" s="98">
        <v>4</v>
      </c>
      <c r="B252" s="114" t="s">
        <v>69</v>
      </c>
      <c r="C252" s="9" t="s">
        <v>22</v>
      </c>
      <c r="D252" s="109"/>
      <c r="E252" s="171" t="s">
        <v>4434</v>
      </c>
      <c r="F252" s="172" t="s">
        <v>4434</v>
      </c>
      <c r="G252" s="172" t="s">
        <v>4434</v>
      </c>
      <c r="H252" s="172" t="s">
        <v>4434</v>
      </c>
      <c r="I252" s="172" t="s">
        <v>4434</v>
      </c>
      <c r="J252" s="172" t="s">
        <v>4434</v>
      </c>
      <c r="K252" s="172" t="s">
        <v>4434</v>
      </c>
      <c r="L252" s="172" t="s">
        <v>4434</v>
      </c>
      <c r="M252" s="172" t="s">
        <v>4434</v>
      </c>
      <c r="N252" s="173" t="s">
        <v>4434</v>
      </c>
      <c r="O252" s="111"/>
      <c r="Q252">
        <v>46312</v>
      </c>
    </row>
    <row r="253" spans="1:18">
      <c r="A253" s="98">
        <v>5</v>
      </c>
      <c r="B253" s="114" t="s">
        <v>71</v>
      </c>
      <c r="C253" s="9" t="s">
        <v>22</v>
      </c>
      <c r="D253" s="109"/>
      <c r="E253" s="171" t="s">
        <v>4434</v>
      </c>
      <c r="F253" s="172" t="s">
        <v>4434</v>
      </c>
      <c r="G253" s="172" t="s">
        <v>4434</v>
      </c>
      <c r="H253" s="172" t="s">
        <v>4434</v>
      </c>
      <c r="I253" s="172" t="s">
        <v>4434</v>
      </c>
      <c r="J253" s="172" t="s">
        <v>4434</v>
      </c>
      <c r="K253" s="172" t="s">
        <v>4434</v>
      </c>
      <c r="L253" s="172" t="s">
        <v>4434</v>
      </c>
      <c r="M253" s="172" t="s">
        <v>4434</v>
      </c>
      <c r="N253" s="173" t="s">
        <v>4434</v>
      </c>
      <c r="O253" s="111"/>
      <c r="Q253">
        <v>46312</v>
      </c>
    </row>
    <row r="254" spans="1:18">
      <c r="A254" s="98">
        <v>6</v>
      </c>
      <c r="B254" s="114" t="s">
        <v>73</v>
      </c>
      <c r="C254" s="10" t="s">
        <v>23</v>
      </c>
      <c r="D254" s="109"/>
      <c r="E254" s="171" t="s">
        <v>4434</v>
      </c>
      <c r="F254" s="172" t="s">
        <v>4434</v>
      </c>
      <c r="G254" s="172" t="s">
        <v>4434</v>
      </c>
      <c r="H254" s="172" t="s">
        <v>4434</v>
      </c>
      <c r="I254" s="172" t="s">
        <v>4434</v>
      </c>
      <c r="J254" s="172" t="s">
        <v>4434</v>
      </c>
      <c r="K254" s="172" t="s">
        <v>4434</v>
      </c>
      <c r="L254" s="172" t="s">
        <v>4434</v>
      </c>
      <c r="M254" s="172" t="s">
        <v>4434</v>
      </c>
      <c r="N254" s="173" t="s">
        <v>4434</v>
      </c>
      <c r="O254" s="111"/>
      <c r="Q254">
        <v>46312</v>
      </c>
    </row>
    <row r="255" spans="1:18">
      <c r="A255" s="98">
        <v>7</v>
      </c>
      <c r="B255" s="114" t="s">
        <v>75</v>
      </c>
      <c r="C255" s="10" t="s">
        <v>23</v>
      </c>
      <c r="D255" s="109"/>
      <c r="E255" s="171" t="s">
        <v>4434</v>
      </c>
      <c r="F255" s="172" t="s">
        <v>4434</v>
      </c>
      <c r="G255" s="172" t="s">
        <v>4434</v>
      </c>
      <c r="H255" s="172" t="s">
        <v>4434</v>
      </c>
      <c r="I255" s="172" t="s">
        <v>4434</v>
      </c>
      <c r="J255" s="172" t="s">
        <v>4434</v>
      </c>
      <c r="K255" s="172" t="s">
        <v>4434</v>
      </c>
      <c r="L255" s="172" t="s">
        <v>4434</v>
      </c>
      <c r="M255" s="172" t="s">
        <v>4434</v>
      </c>
      <c r="N255" s="173" t="s">
        <v>4434</v>
      </c>
      <c r="O255" s="111"/>
      <c r="Q255">
        <v>46312</v>
      </c>
    </row>
    <row r="256" spans="1:18">
      <c r="A256" s="98">
        <v>8</v>
      </c>
      <c r="B256" s="114" t="s">
        <v>77</v>
      </c>
      <c r="C256" s="10" t="s">
        <v>23</v>
      </c>
      <c r="D256" s="109"/>
      <c r="E256" s="171" t="s">
        <v>4434</v>
      </c>
      <c r="F256" s="172" t="s">
        <v>4434</v>
      </c>
      <c r="G256" s="172" t="s">
        <v>4434</v>
      </c>
      <c r="H256" s="172" t="s">
        <v>4434</v>
      </c>
      <c r="I256" s="172" t="s">
        <v>4434</v>
      </c>
      <c r="J256" s="172" t="s">
        <v>4434</v>
      </c>
      <c r="K256" s="172" t="s">
        <v>4434</v>
      </c>
      <c r="L256" s="172" t="s">
        <v>4434</v>
      </c>
      <c r="M256" s="172" t="s">
        <v>4434</v>
      </c>
      <c r="N256" s="173" t="s">
        <v>4434</v>
      </c>
      <c r="O256" s="111"/>
      <c r="Q256">
        <v>46312</v>
      </c>
    </row>
    <row r="257" spans="1:17">
      <c r="A257" s="98">
        <v>9</v>
      </c>
      <c r="B257" s="114" t="s">
        <v>79</v>
      </c>
      <c r="C257" s="10" t="s">
        <v>23</v>
      </c>
      <c r="D257" s="109"/>
      <c r="E257" s="171" t="s">
        <v>4434</v>
      </c>
      <c r="F257" s="172" t="s">
        <v>4434</v>
      </c>
      <c r="G257" s="172" t="s">
        <v>4434</v>
      </c>
      <c r="H257" s="172" t="s">
        <v>4434</v>
      </c>
      <c r="I257" s="172" t="s">
        <v>4434</v>
      </c>
      <c r="J257" s="172" t="s">
        <v>4434</v>
      </c>
      <c r="K257" s="172" t="s">
        <v>4434</v>
      </c>
      <c r="L257" s="172" t="s">
        <v>4434</v>
      </c>
      <c r="M257" s="172" t="s">
        <v>4434</v>
      </c>
      <c r="N257" s="173" t="s">
        <v>4434</v>
      </c>
      <c r="O257" s="111"/>
      <c r="Q257">
        <v>46312</v>
      </c>
    </row>
    <row r="258" spans="1:17">
      <c r="A258" s="98">
        <v>10</v>
      </c>
      <c r="B258" s="114" t="s">
        <v>81</v>
      </c>
      <c r="C258" s="10" t="s">
        <v>23</v>
      </c>
      <c r="D258" s="109"/>
      <c r="E258" s="171" t="s">
        <v>4434</v>
      </c>
      <c r="F258" s="172" t="s">
        <v>4434</v>
      </c>
      <c r="G258" s="172" t="s">
        <v>4434</v>
      </c>
      <c r="H258" s="172" t="s">
        <v>4434</v>
      </c>
      <c r="I258" s="172" t="s">
        <v>4434</v>
      </c>
      <c r="J258" s="172" t="s">
        <v>4434</v>
      </c>
      <c r="K258" s="172" t="s">
        <v>4434</v>
      </c>
      <c r="L258" s="172" t="s">
        <v>4434</v>
      </c>
      <c r="M258" s="172" t="s">
        <v>4434</v>
      </c>
      <c r="N258" s="173" t="s">
        <v>4434</v>
      </c>
      <c r="O258" s="111"/>
      <c r="Q258">
        <v>46312</v>
      </c>
    </row>
    <row r="259" spans="1:17">
      <c r="A259" s="98">
        <v>11</v>
      </c>
      <c r="B259" s="114" t="s">
        <v>83</v>
      </c>
      <c r="C259" s="10" t="s">
        <v>23</v>
      </c>
      <c r="D259" s="109"/>
      <c r="E259" s="171" t="s">
        <v>4434</v>
      </c>
      <c r="F259" s="172" t="s">
        <v>4434</v>
      </c>
      <c r="G259" s="172" t="s">
        <v>4434</v>
      </c>
      <c r="H259" s="172" t="s">
        <v>4434</v>
      </c>
      <c r="I259" s="172" t="s">
        <v>4434</v>
      </c>
      <c r="J259" s="172" t="s">
        <v>4434</v>
      </c>
      <c r="K259" s="172" t="s">
        <v>4434</v>
      </c>
      <c r="L259" s="172" t="s">
        <v>4434</v>
      </c>
      <c r="M259" s="172" t="s">
        <v>4434</v>
      </c>
      <c r="N259" s="173" t="s">
        <v>4434</v>
      </c>
      <c r="O259" s="111"/>
      <c r="Q259">
        <v>46312</v>
      </c>
    </row>
    <row r="260" spans="1:17">
      <c r="A260" s="98">
        <v>12</v>
      </c>
      <c r="B260" s="114" t="s">
        <v>85</v>
      </c>
      <c r="C260" s="10" t="s">
        <v>23</v>
      </c>
      <c r="D260" s="109"/>
      <c r="E260" s="171" t="s">
        <v>4434</v>
      </c>
      <c r="F260" s="172" t="s">
        <v>4434</v>
      </c>
      <c r="G260" s="172" t="s">
        <v>4434</v>
      </c>
      <c r="H260" s="172" t="s">
        <v>4434</v>
      </c>
      <c r="I260" s="172" t="s">
        <v>4434</v>
      </c>
      <c r="J260" s="172" t="s">
        <v>4434</v>
      </c>
      <c r="K260" s="172" t="s">
        <v>4434</v>
      </c>
      <c r="L260" s="172" t="s">
        <v>4434</v>
      </c>
      <c r="M260" s="172" t="s">
        <v>4434</v>
      </c>
      <c r="N260" s="173" t="s">
        <v>4434</v>
      </c>
      <c r="O260" s="111"/>
      <c r="Q260">
        <v>46312</v>
      </c>
    </row>
    <row r="261" spans="1:17" ht="15" thickBot="1">
      <c r="A261" s="99">
        <v>13</v>
      </c>
      <c r="B261" s="116" t="s">
        <v>87</v>
      </c>
      <c r="C261" s="100" t="s">
        <v>23</v>
      </c>
      <c r="D261" s="110"/>
      <c r="E261" s="174" t="s">
        <v>4434</v>
      </c>
      <c r="F261" s="175" t="s">
        <v>4434</v>
      </c>
      <c r="G261" s="175" t="s">
        <v>4434</v>
      </c>
      <c r="H261" s="175" t="s">
        <v>4434</v>
      </c>
      <c r="I261" s="175" t="s">
        <v>4434</v>
      </c>
      <c r="J261" s="175" t="s">
        <v>4434</v>
      </c>
      <c r="K261" s="175" t="s">
        <v>4434</v>
      </c>
      <c r="L261" s="175" t="s">
        <v>4434</v>
      </c>
      <c r="M261" s="175" t="s">
        <v>4434</v>
      </c>
      <c r="N261" s="176" t="s">
        <v>4434</v>
      </c>
      <c r="O261" s="112"/>
      <c r="Q261">
        <v>46312</v>
      </c>
    </row>
    <row r="262" spans="1:17" ht="15" thickBot="1">
      <c r="A262" s="107"/>
      <c r="B262" s="108"/>
      <c r="C262" s="107"/>
      <c r="D262" s="107"/>
      <c r="E262" s="177"/>
      <c r="F262" s="177"/>
      <c r="G262" s="177"/>
      <c r="H262" s="177"/>
      <c r="I262" s="177"/>
      <c r="J262" s="177"/>
      <c r="K262" s="177"/>
      <c r="L262" s="177"/>
      <c r="M262" s="177"/>
      <c r="N262" s="177"/>
      <c r="O262" s="108"/>
    </row>
    <row r="263" spans="1:17" ht="26.1" customHeight="1">
      <c r="A263" s="225" t="s">
        <v>173</v>
      </c>
      <c r="B263" s="226"/>
      <c r="C263" s="227"/>
      <c r="D263" s="103" t="s">
        <v>155</v>
      </c>
      <c r="E263" s="168">
        <v>0.33333333333333331</v>
      </c>
      <c r="F263" s="169">
        <v>0.375</v>
      </c>
      <c r="G263" s="169">
        <v>0.41666666666666669</v>
      </c>
      <c r="H263" s="169">
        <v>0.45833333333333331</v>
      </c>
      <c r="I263" s="169">
        <v>0.5</v>
      </c>
      <c r="J263" s="169">
        <v>0.54166666666666663</v>
      </c>
      <c r="K263" s="169">
        <v>0.58333333333333337</v>
      </c>
      <c r="L263" s="169">
        <v>0.625</v>
      </c>
      <c r="M263" s="169">
        <v>0.66666666666666663</v>
      </c>
      <c r="N263" s="170">
        <v>0.70833333333333337</v>
      </c>
      <c r="O263" s="178" t="s">
        <v>228</v>
      </c>
      <c r="P263" s="102" t="s">
        <v>156</v>
      </c>
      <c r="Q263">
        <v>46313</v>
      </c>
    </row>
    <row r="264" spans="1:17">
      <c r="A264" s="98">
        <v>1</v>
      </c>
      <c r="B264" s="114" t="s">
        <v>63</v>
      </c>
      <c r="C264" s="8" t="s">
        <v>21</v>
      </c>
      <c r="D264" s="109"/>
      <c r="E264" s="171" t="s">
        <v>4434</v>
      </c>
      <c r="F264" s="172" t="s">
        <v>4434</v>
      </c>
      <c r="G264" s="172" t="s">
        <v>4434</v>
      </c>
      <c r="H264" s="172" t="s">
        <v>4434</v>
      </c>
      <c r="I264" s="172" t="s">
        <v>4434</v>
      </c>
      <c r="J264" s="172" t="s">
        <v>4434</v>
      </c>
      <c r="K264" s="172" t="s">
        <v>4434</v>
      </c>
      <c r="L264" s="172" t="s">
        <v>4434</v>
      </c>
      <c r="M264" s="172" t="s">
        <v>4434</v>
      </c>
      <c r="N264" s="173" t="s">
        <v>4434</v>
      </c>
      <c r="O264" s="111"/>
      <c r="Q264">
        <v>46313</v>
      </c>
    </row>
    <row r="265" spans="1:17">
      <c r="A265" s="98">
        <v>2</v>
      </c>
      <c r="B265" s="114" t="s">
        <v>65</v>
      </c>
      <c r="C265" s="8" t="s">
        <v>21</v>
      </c>
      <c r="D265" s="109"/>
      <c r="E265" s="171" t="s">
        <v>4434</v>
      </c>
      <c r="F265" s="172" t="s">
        <v>4434</v>
      </c>
      <c r="G265" s="172" t="s">
        <v>4434</v>
      </c>
      <c r="H265" s="172" t="s">
        <v>4434</v>
      </c>
      <c r="I265" s="172" t="s">
        <v>4434</v>
      </c>
      <c r="J265" s="172" t="s">
        <v>4434</v>
      </c>
      <c r="K265" s="172" t="s">
        <v>4434</v>
      </c>
      <c r="L265" s="172" t="s">
        <v>4434</v>
      </c>
      <c r="M265" s="172" t="s">
        <v>4434</v>
      </c>
      <c r="N265" s="173" t="s">
        <v>4434</v>
      </c>
      <c r="O265" s="111"/>
      <c r="Q265">
        <v>46313</v>
      </c>
    </row>
    <row r="266" spans="1:17">
      <c r="A266" s="98">
        <v>3</v>
      </c>
      <c r="B266" s="114" t="s">
        <v>67</v>
      </c>
      <c r="C266" s="8" t="s">
        <v>21</v>
      </c>
      <c r="D266" s="109"/>
      <c r="E266" s="171" t="s">
        <v>4434</v>
      </c>
      <c r="F266" s="172" t="s">
        <v>4434</v>
      </c>
      <c r="G266" s="172" t="s">
        <v>4434</v>
      </c>
      <c r="H266" s="172" t="s">
        <v>4434</v>
      </c>
      <c r="I266" s="172" t="s">
        <v>4434</v>
      </c>
      <c r="J266" s="172" t="s">
        <v>4434</v>
      </c>
      <c r="K266" s="172" t="s">
        <v>4434</v>
      </c>
      <c r="L266" s="172" t="s">
        <v>4434</v>
      </c>
      <c r="M266" s="172" t="s">
        <v>4434</v>
      </c>
      <c r="N266" s="173" t="s">
        <v>4434</v>
      </c>
      <c r="O266" s="111"/>
      <c r="Q266">
        <v>46313</v>
      </c>
    </row>
    <row r="267" spans="1:17">
      <c r="A267" s="98">
        <v>4</v>
      </c>
      <c r="B267" s="114" t="s">
        <v>69</v>
      </c>
      <c r="C267" s="9" t="s">
        <v>22</v>
      </c>
      <c r="D267" s="109"/>
      <c r="E267" s="171" t="s">
        <v>4434</v>
      </c>
      <c r="F267" s="172" t="s">
        <v>4434</v>
      </c>
      <c r="G267" s="172" t="s">
        <v>4434</v>
      </c>
      <c r="H267" s="172" t="s">
        <v>4434</v>
      </c>
      <c r="I267" s="172" t="s">
        <v>4434</v>
      </c>
      <c r="J267" s="172" t="s">
        <v>4434</v>
      </c>
      <c r="K267" s="172" t="s">
        <v>4434</v>
      </c>
      <c r="L267" s="172" t="s">
        <v>4434</v>
      </c>
      <c r="M267" s="172" t="s">
        <v>4434</v>
      </c>
      <c r="N267" s="173" t="s">
        <v>4434</v>
      </c>
      <c r="O267" s="111"/>
      <c r="Q267">
        <v>46313</v>
      </c>
    </row>
    <row r="268" spans="1:17">
      <c r="A268" s="98">
        <v>5</v>
      </c>
      <c r="B268" s="114" t="s">
        <v>71</v>
      </c>
      <c r="C268" s="9" t="s">
        <v>22</v>
      </c>
      <c r="D268" s="109"/>
      <c r="E268" s="171" t="s">
        <v>4434</v>
      </c>
      <c r="F268" s="172" t="s">
        <v>4434</v>
      </c>
      <c r="G268" s="172" t="s">
        <v>4434</v>
      </c>
      <c r="H268" s="172" t="s">
        <v>4434</v>
      </c>
      <c r="I268" s="172" t="s">
        <v>4434</v>
      </c>
      <c r="J268" s="172" t="s">
        <v>4434</v>
      </c>
      <c r="K268" s="172" t="s">
        <v>4434</v>
      </c>
      <c r="L268" s="172" t="s">
        <v>4434</v>
      </c>
      <c r="M268" s="172" t="s">
        <v>4434</v>
      </c>
      <c r="N268" s="173" t="s">
        <v>4434</v>
      </c>
      <c r="O268" s="111"/>
      <c r="Q268">
        <v>46313</v>
      </c>
    </row>
    <row r="269" spans="1:17">
      <c r="A269" s="98">
        <v>6</v>
      </c>
      <c r="B269" s="114" t="s">
        <v>73</v>
      </c>
      <c r="C269" s="10" t="s">
        <v>23</v>
      </c>
      <c r="D269" s="109"/>
      <c r="E269" s="171" t="s">
        <v>4434</v>
      </c>
      <c r="F269" s="172" t="s">
        <v>4434</v>
      </c>
      <c r="G269" s="172" t="s">
        <v>4434</v>
      </c>
      <c r="H269" s="172" t="s">
        <v>4434</v>
      </c>
      <c r="I269" s="172" t="s">
        <v>4434</v>
      </c>
      <c r="J269" s="172" t="s">
        <v>4434</v>
      </c>
      <c r="K269" s="172" t="s">
        <v>4434</v>
      </c>
      <c r="L269" s="172" t="s">
        <v>4434</v>
      </c>
      <c r="M269" s="172" t="s">
        <v>4434</v>
      </c>
      <c r="N269" s="173" t="s">
        <v>4434</v>
      </c>
      <c r="O269" s="111"/>
      <c r="Q269">
        <v>46313</v>
      </c>
    </row>
    <row r="270" spans="1:17">
      <c r="A270" s="98">
        <v>7</v>
      </c>
      <c r="B270" s="114" t="s">
        <v>75</v>
      </c>
      <c r="C270" s="10" t="s">
        <v>23</v>
      </c>
      <c r="D270" s="109"/>
      <c r="E270" s="171" t="s">
        <v>4434</v>
      </c>
      <c r="F270" s="172" t="s">
        <v>4434</v>
      </c>
      <c r="G270" s="172" t="s">
        <v>4434</v>
      </c>
      <c r="H270" s="172" t="s">
        <v>4434</v>
      </c>
      <c r="I270" s="172" t="s">
        <v>4434</v>
      </c>
      <c r="J270" s="172" t="s">
        <v>4434</v>
      </c>
      <c r="K270" s="172" t="s">
        <v>4434</v>
      </c>
      <c r="L270" s="172" t="s">
        <v>4434</v>
      </c>
      <c r="M270" s="172" t="s">
        <v>4434</v>
      </c>
      <c r="N270" s="173" t="s">
        <v>4434</v>
      </c>
      <c r="O270" s="111"/>
      <c r="Q270">
        <v>46313</v>
      </c>
    </row>
    <row r="271" spans="1:17">
      <c r="A271" s="98">
        <v>8</v>
      </c>
      <c r="B271" s="114" t="s">
        <v>77</v>
      </c>
      <c r="C271" s="10" t="s">
        <v>23</v>
      </c>
      <c r="D271" s="109"/>
      <c r="E271" s="171" t="s">
        <v>4434</v>
      </c>
      <c r="F271" s="172" t="s">
        <v>4434</v>
      </c>
      <c r="G271" s="172" t="s">
        <v>4434</v>
      </c>
      <c r="H271" s="172" t="s">
        <v>4434</v>
      </c>
      <c r="I271" s="172" t="s">
        <v>4434</v>
      </c>
      <c r="J271" s="172" t="s">
        <v>4434</v>
      </c>
      <c r="K271" s="172" t="s">
        <v>4434</v>
      </c>
      <c r="L271" s="172" t="s">
        <v>4434</v>
      </c>
      <c r="M271" s="172" t="s">
        <v>4434</v>
      </c>
      <c r="N271" s="173" t="s">
        <v>4434</v>
      </c>
      <c r="O271" s="111"/>
      <c r="Q271">
        <v>46313</v>
      </c>
    </row>
    <row r="272" spans="1:17">
      <c r="A272" s="98">
        <v>9</v>
      </c>
      <c r="B272" s="114" t="s">
        <v>79</v>
      </c>
      <c r="C272" s="10" t="s">
        <v>23</v>
      </c>
      <c r="D272" s="109"/>
      <c r="E272" s="171" t="s">
        <v>4434</v>
      </c>
      <c r="F272" s="172" t="s">
        <v>4434</v>
      </c>
      <c r="G272" s="172" t="s">
        <v>4434</v>
      </c>
      <c r="H272" s="172" t="s">
        <v>4434</v>
      </c>
      <c r="I272" s="172" t="s">
        <v>4434</v>
      </c>
      <c r="J272" s="172" t="s">
        <v>4434</v>
      </c>
      <c r="K272" s="172" t="s">
        <v>4434</v>
      </c>
      <c r="L272" s="172" t="s">
        <v>4434</v>
      </c>
      <c r="M272" s="172" t="s">
        <v>4434</v>
      </c>
      <c r="N272" s="173" t="s">
        <v>4434</v>
      </c>
      <c r="O272" s="111"/>
      <c r="Q272">
        <v>46313</v>
      </c>
    </row>
    <row r="273" spans="1:18">
      <c r="A273" s="98">
        <v>10</v>
      </c>
      <c r="B273" s="114" t="s">
        <v>81</v>
      </c>
      <c r="C273" s="10" t="s">
        <v>23</v>
      </c>
      <c r="D273" s="109"/>
      <c r="E273" s="171" t="s">
        <v>4434</v>
      </c>
      <c r="F273" s="172" t="s">
        <v>4434</v>
      </c>
      <c r="G273" s="172" t="s">
        <v>4434</v>
      </c>
      <c r="H273" s="172" t="s">
        <v>4434</v>
      </c>
      <c r="I273" s="172" t="s">
        <v>4434</v>
      </c>
      <c r="J273" s="172" t="s">
        <v>4434</v>
      </c>
      <c r="K273" s="172" t="s">
        <v>4434</v>
      </c>
      <c r="L273" s="172" t="s">
        <v>4434</v>
      </c>
      <c r="M273" s="172" t="s">
        <v>4434</v>
      </c>
      <c r="N273" s="173" t="s">
        <v>4434</v>
      </c>
      <c r="O273" s="111"/>
      <c r="Q273">
        <v>46313</v>
      </c>
    </row>
    <row r="274" spans="1:18">
      <c r="A274" s="98">
        <v>11</v>
      </c>
      <c r="B274" s="114" t="s">
        <v>83</v>
      </c>
      <c r="C274" s="10" t="s">
        <v>23</v>
      </c>
      <c r="D274" s="109"/>
      <c r="E274" s="171" t="s">
        <v>4434</v>
      </c>
      <c r="F274" s="172" t="s">
        <v>4434</v>
      </c>
      <c r="G274" s="172" t="s">
        <v>4434</v>
      </c>
      <c r="H274" s="172" t="s">
        <v>4434</v>
      </c>
      <c r="I274" s="172" t="s">
        <v>4434</v>
      </c>
      <c r="J274" s="172" t="s">
        <v>4434</v>
      </c>
      <c r="K274" s="172" t="s">
        <v>4434</v>
      </c>
      <c r="L274" s="172" t="s">
        <v>4434</v>
      </c>
      <c r="M274" s="172" t="s">
        <v>4434</v>
      </c>
      <c r="N274" s="173" t="s">
        <v>4434</v>
      </c>
      <c r="O274" s="111"/>
      <c r="Q274">
        <v>46313</v>
      </c>
    </row>
    <row r="275" spans="1:18">
      <c r="A275" s="98">
        <v>12</v>
      </c>
      <c r="B275" s="114" t="s">
        <v>85</v>
      </c>
      <c r="C275" s="10" t="s">
        <v>23</v>
      </c>
      <c r="D275" s="109"/>
      <c r="E275" s="171" t="s">
        <v>4434</v>
      </c>
      <c r="F275" s="172" t="s">
        <v>4434</v>
      </c>
      <c r="G275" s="172" t="s">
        <v>4434</v>
      </c>
      <c r="H275" s="172" t="s">
        <v>4434</v>
      </c>
      <c r="I275" s="172" t="s">
        <v>4434</v>
      </c>
      <c r="J275" s="172" t="s">
        <v>4434</v>
      </c>
      <c r="K275" s="172" t="s">
        <v>4434</v>
      </c>
      <c r="L275" s="172" t="s">
        <v>4434</v>
      </c>
      <c r="M275" s="172" t="s">
        <v>4434</v>
      </c>
      <c r="N275" s="173" t="s">
        <v>4434</v>
      </c>
      <c r="O275" s="111"/>
      <c r="Q275">
        <v>46313</v>
      </c>
    </row>
    <row r="276" spans="1:18" ht="15" thickBot="1">
      <c r="A276" s="99">
        <v>13</v>
      </c>
      <c r="B276" s="116" t="s">
        <v>87</v>
      </c>
      <c r="C276" s="100" t="s">
        <v>23</v>
      </c>
      <c r="D276" s="110"/>
      <c r="E276" s="174" t="s">
        <v>4434</v>
      </c>
      <c r="F276" s="175" t="s">
        <v>4434</v>
      </c>
      <c r="G276" s="175" t="s">
        <v>4434</v>
      </c>
      <c r="H276" s="175" t="s">
        <v>4434</v>
      </c>
      <c r="I276" s="175" t="s">
        <v>4434</v>
      </c>
      <c r="J276" s="175" t="s">
        <v>4434</v>
      </c>
      <c r="K276" s="175" t="s">
        <v>4434</v>
      </c>
      <c r="L276" s="175" t="s">
        <v>4434</v>
      </c>
      <c r="M276" s="175" t="s">
        <v>4434</v>
      </c>
      <c r="N276" s="176" t="s">
        <v>4434</v>
      </c>
      <c r="O276" s="112"/>
      <c r="Q276">
        <v>46313</v>
      </c>
    </row>
    <row r="277" spans="1:18" ht="15" thickBot="1">
      <c r="A277" s="107"/>
      <c r="B277" s="108"/>
      <c r="C277" s="107"/>
      <c r="D277" s="107"/>
      <c r="E277" s="177"/>
      <c r="F277" s="177"/>
      <c r="G277" s="177"/>
      <c r="H277" s="177"/>
      <c r="I277" s="177"/>
      <c r="J277" s="177"/>
      <c r="K277" s="177"/>
      <c r="L277" s="177"/>
      <c r="M277" s="177"/>
      <c r="N277" s="177"/>
      <c r="O277" s="108"/>
    </row>
    <row r="278" spans="1:18" ht="26.1" customHeight="1">
      <c r="A278" s="228" t="s">
        <v>174</v>
      </c>
      <c r="B278" s="229"/>
      <c r="C278" s="230"/>
      <c r="D278" s="103" t="s">
        <v>155</v>
      </c>
      <c r="E278" s="168">
        <v>0.33333333333333331</v>
      </c>
      <c r="F278" s="169">
        <v>0.375</v>
      </c>
      <c r="G278" s="169">
        <v>0.41666666666666669</v>
      </c>
      <c r="H278" s="169">
        <v>0.45833333333333331</v>
      </c>
      <c r="I278" s="169">
        <v>0.5</v>
      </c>
      <c r="J278" s="169">
        <v>0.54166666666666663</v>
      </c>
      <c r="K278" s="169">
        <v>0.58333333333333337</v>
      </c>
      <c r="L278" s="169">
        <v>0.625</v>
      </c>
      <c r="M278" s="169">
        <v>0.66666666666666663</v>
      </c>
      <c r="N278" s="170">
        <v>0.70833333333333337</v>
      </c>
      <c r="O278" s="196" t="s">
        <v>262</v>
      </c>
      <c r="P278" s="102" t="s">
        <v>156</v>
      </c>
      <c r="Q278">
        <v>46314</v>
      </c>
    </row>
    <row r="279" spans="1:18">
      <c r="A279" s="98">
        <v>1</v>
      </c>
      <c r="B279" s="113" t="s">
        <v>63</v>
      </c>
      <c r="C279" s="8" t="s">
        <v>21</v>
      </c>
      <c r="D279" s="109"/>
      <c r="E279" s="171"/>
      <c r="F279" s="172"/>
      <c r="G279" s="172"/>
      <c r="H279" s="172"/>
      <c r="I279" s="172"/>
      <c r="J279" s="172" t="s">
        <v>4492</v>
      </c>
      <c r="K279" s="172"/>
      <c r="L279" s="172"/>
      <c r="M279" s="172"/>
      <c r="N279" s="173"/>
      <c r="O279" s="111"/>
      <c r="Q279">
        <v>46314</v>
      </c>
    </row>
    <row r="280" spans="1:18">
      <c r="A280" s="98">
        <v>2</v>
      </c>
      <c r="B280" s="114" t="s">
        <v>65</v>
      </c>
      <c r="C280" s="8" t="s">
        <v>21</v>
      </c>
      <c r="D280" s="109"/>
      <c r="E280" s="171" t="s">
        <v>4434</v>
      </c>
      <c r="F280" s="172" t="s">
        <v>4434</v>
      </c>
      <c r="G280" s="172" t="s">
        <v>4434</v>
      </c>
      <c r="H280" s="172" t="s">
        <v>4434</v>
      </c>
      <c r="I280" s="172" t="s">
        <v>4434</v>
      </c>
      <c r="J280" s="172" t="s">
        <v>4434</v>
      </c>
      <c r="K280" s="172" t="s">
        <v>4434</v>
      </c>
      <c r="L280" s="172" t="s">
        <v>4434</v>
      </c>
      <c r="M280" s="172" t="s">
        <v>4434</v>
      </c>
      <c r="N280" s="173" t="s">
        <v>4434</v>
      </c>
      <c r="O280" s="111"/>
      <c r="Q280">
        <v>46314</v>
      </c>
    </row>
    <row r="281" spans="1:18">
      <c r="A281" s="98">
        <v>3</v>
      </c>
      <c r="B281" s="113" t="s">
        <v>67</v>
      </c>
      <c r="C281" s="8" t="s">
        <v>21</v>
      </c>
      <c r="D281" s="109"/>
      <c r="E281" s="171"/>
      <c r="F281" s="172"/>
      <c r="G281" s="172"/>
      <c r="H281" s="172"/>
      <c r="I281" s="172"/>
      <c r="J281" s="172" t="s">
        <v>4492</v>
      </c>
      <c r="K281" s="172"/>
      <c r="L281" s="172"/>
      <c r="M281" s="172"/>
      <c r="N281" s="173"/>
      <c r="O281" s="111"/>
      <c r="Q281">
        <v>46314</v>
      </c>
    </row>
    <row r="282" spans="1:18">
      <c r="A282" s="98">
        <v>4</v>
      </c>
      <c r="B282" s="113" t="s">
        <v>69</v>
      </c>
      <c r="C282" s="9" t="s">
        <v>22</v>
      </c>
      <c r="D282" s="109"/>
      <c r="E282" s="171"/>
      <c r="F282" s="172"/>
      <c r="G282" s="179" t="s">
        <v>122</v>
      </c>
      <c r="H282" s="172"/>
      <c r="I282" s="172" t="s">
        <v>4492</v>
      </c>
      <c r="J282" s="179" t="s">
        <v>124</v>
      </c>
      <c r="K282" s="172"/>
      <c r="L282" s="172"/>
      <c r="M282" s="172"/>
      <c r="N282" s="173"/>
      <c r="O282" s="111"/>
      <c r="Q282">
        <v>46314</v>
      </c>
      <c r="R282" s="194" t="s">
        <v>257</v>
      </c>
    </row>
    <row r="283" spans="1:18">
      <c r="A283" s="98">
        <v>5</v>
      </c>
      <c r="B283" s="113" t="s">
        <v>71</v>
      </c>
      <c r="C283" s="9" t="s">
        <v>22</v>
      </c>
      <c r="D283" s="109"/>
      <c r="E283" s="171"/>
      <c r="F283" s="172"/>
      <c r="G283" s="172"/>
      <c r="H283" s="172"/>
      <c r="I283" s="172"/>
      <c r="J283" s="172" t="s">
        <v>4492</v>
      </c>
      <c r="K283" s="172"/>
      <c r="L283" s="172"/>
      <c r="M283" s="172"/>
      <c r="N283" s="173"/>
      <c r="O283" s="111"/>
      <c r="Q283">
        <v>46314</v>
      </c>
    </row>
    <row r="284" spans="1:18">
      <c r="A284" s="98">
        <v>6</v>
      </c>
      <c r="B284" s="113" t="s">
        <v>73</v>
      </c>
      <c r="C284" s="10" t="s">
        <v>23</v>
      </c>
      <c r="D284" s="186" t="s">
        <v>57</v>
      </c>
      <c r="E284" s="171"/>
      <c r="F284" s="172"/>
      <c r="G284" s="172"/>
      <c r="H284" s="172"/>
      <c r="I284" s="172" t="s">
        <v>4492</v>
      </c>
      <c r="J284" s="172"/>
      <c r="K284" s="172"/>
      <c r="L284" s="172"/>
      <c r="M284" s="172"/>
      <c r="N284" s="173"/>
      <c r="O284" s="111"/>
      <c r="Q284">
        <v>46314</v>
      </c>
      <c r="R284" s="194" t="s">
        <v>254</v>
      </c>
    </row>
    <row r="285" spans="1:18">
      <c r="A285" s="98">
        <v>7</v>
      </c>
      <c r="B285" s="113" t="s">
        <v>75</v>
      </c>
      <c r="C285" s="10" t="s">
        <v>23</v>
      </c>
      <c r="D285" s="109"/>
      <c r="E285" s="171"/>
      <c r="F285" s="172"/>
      <c r="G285" s="172"/>
      <c r="H285" s="172"/>
      <c r="I285" s="172" t="s">
        <v>4492</v>
      </c>
      <c r="J285" s="172"/>
      <c r="K285" s="172"/>
      <c r="L285" s="172"/>
      <c r="M285" s="172"/>
      <c r="N285" s="173"/>
      <c r="O285" s="111"/>
      <c r="Q285">
        <v>46314</v>
      </c>
    </row>
    <row r="286" spans="1:18">
      <c r="A286" s="98">
        <v>8</v>
      </c>
      <c r="B286" s="113" t="s">
        <v>77</v>
      </c>
      <c r="C286" s="10" t="s">
        <v>23</v>
      </c>
      <c r="D286" s="109"/>
      <c r="E286" s="171"/>
      <c r="F286" s="172"/>
      <c r="G286" s="172"/>
      <c r="H286" s="172"/>
      <c r="I286" s="172" t="s">
        <v>4492</v>
      </c>
      <c r="J286" s="172"/>
      <c r="K286" s="172"/>
      <c r="L286" s="172"/>
      <c r="M286" s="172"/>
      <c r="N286" s="173"/>
      <c r="O286" s="111"/>
      <c r="Q286">
        <v>46314</v>
      </c>
    </row>
    <row r="287" spans="1:18">
      <c r="A287" s="98">
        <v>9</v>
      </c>
      <c r="B287" s="113" t="s">
        <v>79</v>
      </c>
      <c r="C287" s="10" t="s">
        <v>23</v>
      </c>
      <c r="D287" s="109"/>
      <c r="E287" s="171"/>
      <c r="F287" s="172"/>
      <c r="G287" s="172"/>
      <c r="H287" s="172"/>
      <c r="I287" s="172" t="s">
        <v>4492</v>
      </c>
      <c r="J287" s="172"/>
      <c r="K287" s="184"/>
      <c r="L287" s="172"/>
      <c r="M287" s="172"/>
      <c r="N287" s="173"/>
      <c r="O287" s="111"/>
      <c r="Q287">
        <v>46314</v>
      </c>
    </row>
    <row r="288" spans="1:18">
      <c r="A288" s="98">
        <v>10</v>
      </c>
      <c r="B288" s="113" t="s">
        <v>81</v>
      </c>
      <c r="C288" s="10" t="s">
        <v>23</v>
      </c>
      <c r="D288" s="109"/>
      <c r="E288" s="171"/>
      <c r="F288" s="172"/>
      <c r="G288" s="179" t="s">
        <v>122</v>
      </c>
      <c r="H288" s="172"/>
      <c r="I288" s="172" t="s">
        <v>4492</v>
      </c>
      <c r="J288" s="179" t="s">
        <v>124</v>
      </c>
      <c r="K288" s="179" t="s">
        <v>226</v>
      </c>
      <c r="L288" s="172"/>
      <c r="M288" s="172"/>
      <c r="N288" s="195" t="s">
        <v>252</v>
      </c>
      <c r="O288" s="111"/>
      <c r="Q288">
        <v>46314</v>
      </c>
      <c r="R288" s="194" t="s">
        <v>261</v>
      </c>
    </row>
    <row r="289" spans="1:18">
      <c r="A289" s="98">
        <v>11</v>
      </c>
      <c r="B289" s="113" t="s">
        <v>83</v>
      </c>
      <c r="C289" s="10" t="s">
        <v>23</v>
      </c>
      <c r="D289" s="109"/>
      <c r="E289" s="171"/>
      <c r="F289" s="172"/>
      <c r="G289" s="179" t="s">
        <v>122</v>
      </c>
      <c r="H289" s="172"/>
      <c r="I289" s="172" t="s">
        <v>4492</v>
      </c>
      <c r="J289" s="179" t="s">
        <v>124</v>
      </c>
      <c r="K289" s="179" t="s">
        <v>224</v>
      </c>
      <c r="L289" s="172"/>
      <c r="M289" s="172"/>
      <c r="N289" s="195" t="s">
        <v>252</v>
      </c>
      <c r="O289" s="111"/>
      <c r="Q289">
        <v>46314</v>
      </c>
      <c r="R289" s="194" t="s">
        <v>264</v>
      </c>
    </row>
    <row r="290" spans="1:18">
      <c r="A290" s="98">
        <v>12</v>
      </c>
      <c r="B290" s="113" t="s">
        <v>85</v>
      </c>
      <c r="C290" s="10" t="s">
        <v>23</v>
      </c>
      <c r="D290" s="186" t="s">
        <v>57</v>
      </c>
      <c r="E290" s="171"/>
      <c r="F290" s="172"/>
      <c r="G290" s="184"/>
      <c r="H290" s="172"/>
      <c r="I290" s="172" t="s">
        <v>4492</v>
      </c>
      <c r="J290" s="172"/>
      <c r="K290" s="184"/>
      <c r="L290" s="172"/>
      <c r="M290" s="172"/>
      <c r="N290" s="173"/>
      <c r="O290" s="111"/>
      <c r="Q290">
        <v>46314</v>
      </c>
      <c r="R290" s="194" t="s">
        <v>254</v>
      </c>
    </row>
    <row r="291" spans="1:18" ht="15" thickBot="1">
      <c r="A291" s="99">
        <v>13</v>
      </c>
      <c r="B291" s="115" t="s">
        <v>87</v>
      </c>
      <c r="C291" s="100" t="s">
        <v>23</v>
      </c>
      <c r="D291" s="187" t="s">
        <v>57</v>
      </c>
      <c r="E291" s="174"/>
      <c r="F291" s="175"/>
      <c r="G291" s="185"/>
      <c r="H291" s="175"/>
      <c r="I291" s="175" t="s">
        <v>4492</v>
      </c>
      <c r="J291" s="185"/>
      <c r="K291" s="175"/>
      <c r="L291" s="175"/>
      <c r="M291" s="175"/>
      <c r="N291" s="176"/>
      <c r="O291" s="112"/>
      <c r="Q291">
        <v>46314</v>
      </c>
      <c r="R291" s="194" t="s">
        <v>254</v>
      </c>
    </row>
    <row r="292" spans="1:18" ht="15" thickBot="1">
      <c r="A292" s="107"/>
      <c r="B292" s="108"/>
      <c r="C292" s="107"/>
      <c r="D292" s="107"/>
      <c r="E292" s="177"/>
      <c r="F292" s="177"/>
      <c r="G292" s="177"/>
      <c r="H292" s="177"/>
      <c r="I292" s="177"/>
      <c r="J292" s="177"/>
      <c r="K292" s="177"/>
      <c r="L292" s="177"/>
      <c r="M292" s="177"/>
      <c r="N292" s="177"/>
      <c r="O292" s="108"/>
    </row>
    <row r="293" spans="1:18" ht="26.1" customHeight="1">
      <c r="A293" s="228" t="s">
        <v>175</v>
      </c>
      <c r="B293" s="229"/>
      <c r="C293" s="230"/>
      <c r="D293" s="103" t="s">
        <v>155</v>
      </c>
      <c r="E293" s="168">
        <v>0.33333333333333331</v>
      </c>
      <c r="F293" s="169">
        <v>0.375</v>
      </c>
      <c r="G293" s="169">
        <v>0.41666666666666669</v>
      </c>
      <c r="H293" s="169">
        <v>0.45833333333333331</v>
      </c>
      <c r="I293" s="169">
        <v>0.5</v>
      </c>
      <c r="J293" s="169">
        <v>0.54166666666666663</v>
      </c>
      <c r="K293" s="169">
        <v>0.58333333333333337</v>
      </c>
      <c r="L293" s="169">
        <v>0.625</v>
      </c>
      <c r="M293" s="169">
        <v>0.66666666666666663</v>
      </c>
      <c r="N293" s="170">
        <v>0.70833333333333337</v>
      </c>
      <c r="O293" s="196" t="s">
        <v>262</v>
      </c>
      <c r="P293" s="102" t="s">
        <v>156</v>
      </c>
      <c r="Q293">
        <v>46315</v>
      </c>
    </row>
    <row r="294" spans="1:18">
      <c r="A294" s="98">
        <v>1</v>
      </c>
      <c r="B294" s="113" t="s">
        <v>63</v>
      </c>
      <c r="C294" s="8" t="s">
        <v>21</v>
      </c>
      <c r="D294" s="109"/>
      <c r="E294" s="171"/>
      <c r="F294" s="172"/>
      <c r="G294" s="172"/>
      <c r="H294" s="172"/>
      <c r="I294" s="172"/>
      <c r="J294" s="172" t="s">
        <v>4492</v>
      </c>
      <c r="K294" s="172"/>
      <c r="L294" s="172"/>
      <c r="M294" s="172"/>
      <c r="N294" s="173"/>
      <c r="O294" s="111"/>
      <c r="Q294">
        <v>46315</v>
      </c>
    </row>
    <row r="295" spans="1:18">
      <c r="A295" s="98">
        <v>2</v>
      </c>
      <c r="B295" s="113" t="s">
        <v>65</v>
      </c>
      <c r="C295" s="8" t="s">
        <v>21</v>
      </c>
      <c r="D295" s="109"/>
      <c r="E295" s="171"/>
      <c r="F295" s="172"/>
      <c r="G295" s="172"/>
      <c r="H295" s="172"/>
      <c r="I295" s="172" t="s">
        <v>4492</v>
      </c>
      <c r="J295" s="172"/>
      <c r="K295" s="172"/>
      <c r="L295" s="172"/>
      <c r="M295" s="172"/>
      <c r="N295" s="173"/>
      <c r="O295" s="111"/>
      <c r="Q295">
        <v>46315</v>
      </c>
    </row>
    <row r="296" spans="1:18">
      <c r="A296" s="98">
        <v>3</v>
      </c>
      <c r="B296" s="113" t="s">
        <v>67</v>
      </c>
      <c r="C296" s="8" t="s">
        <v>21</v>
      </c>
      <c r="D296" s="109"/>
      <c r="E296" s="171"/>
      <c r="F296" s="172"/>
      <c r="G296" s="172"/>
      <c r="H296" s="172"/>
      <c r="I296" s="172"/>
      <c r="J296" s="172" t="s">
        <v>4492</v>
      </c>
      <c r="K296" s="172"/>
      <c r="L296" s="172"/>
      <c r="M296" s="172"/>
      <c r="N296" s="173"/>
      <c r="O296" s="111"/>
      <c r="Q296">
        <v>46315</v>
      </c>
    </row>
    <row r="297" spans="1:18">
      <c r="A297" s="98">
        <v>4</v>
      </c>
      <c r="B297" s="114" t="s">
        <v>69</v>
      </c>
      <c r="C297" s="9" t="s">
        <v>22</v>
      </c>
      <c r="D297" s="109"/>
      <c r="E297" s="171" t="s">
        <v>4434</v>
      </c>
      <c r="F297" s="172" t="s">
        <v>4434</v>
      </c>
      <c r="G297" s="172" t="s">
        <v>4434</v>
      </c>
      <c r="H297" s="172" t="s">
        <v>4434</v>
      </c>
      <c r="I297" s="172" t="s">
        <v>4434</v>
      </c>
      <c r="J297" s="172" t="s">
        <v>4434</v>
      </c>
      <c r="K297" s="172" t="s">
        <v>4434</v>
      </c>
      <c r="L297" s="172" t="s">
        <v>4434</v>
      </c>
      <c r="M297" s="172" t="s">
        <v>4434</v>
      </c>
      <c r="N297" s="173" t="s">
        <v>4434</v>
      </c>
      <c r="O297" s="111"/>
      <c r="Q297">
        <v>46315</v>
      </c>
    </row>
    <row r="298" spans="1:18">
      <c r="A298" s="98">
        <v>5</v>
      </c>
      <c r="B298" s="113" t="s">
        <v>71</v>
      </c>
      <c r="C298" s="9" t="s">
        <v>22</v>
      </c>
      <c r="D298" s="109"/>
      <c r="E298" s="171"/>
      <c r="F298" s="172"/>
      <c r="G298" s="179" t="s">
        <v>122</v>
      </c>
      <c r="H298" s="172"/>
      <c r="I298" s="172"/>
      <c r="J298" s="172" t="s">
        <v>4492</v>
      </c>
      <c r="K298" s="172"/>
      <c r="L298" s="172"/>
      <c r="M298" s="172"/>
      <c r="N298" s="195" t="s">
        <v>252</v>
      </c>
      <c r="O298" s="111"/>
      <c r="Q298">
        <v>46315</v>
      </c>
      <c r="R298" s="194" t="s">
        <v>266</v>
      </c>
    </row>
    <row r="299" spans="1:18">
      <c r="A299" s="98">
        <v>6</v>
      </c>
      <c r="B299" s="114" t="s">
        <v>73</v>
      </c>
      <c r="C299" s="10" t="s">
        <v>23</v>
      </c>
      <c r="D299" s="109"/>
      <c r="E299" s="171" t="s">
        <v>4434</v>
      </c>
      <c r="F299" s="172" t="s">
        <v>4434</v>
      </c>
      <c r="G299" s="172" t="s">
        <v>4434</v>
      </c>
      <c r="H299" s="172" t="s">
        <v>4434</v>
      </c>
      <c r="I299" s="172" t="s">
        <v>4434</v>
      </c>
      <c r="J299" s="172" t="s">
        <v>4434</v>
      </c>
      <c r="K299" s="172" t="s">
        <v>4434</v>
      </c>
      <c r="L299" s="172" t="s">
        <v>4434</v>
      </c>
      <c r="M299" s="172" t="s">
        <v>4434</v>
      </c>
      <c r="N299" s="173" t="s">
        <v>4434</v>
      </c>
      <c r="O299" s="111"/>
      <c r="Q299">
        <v>46315</v>
      </c>
    </row>
    <row r="300" spans="1:18">
      <c r="A300" s="98">
        <v>7</v>
      </c>
      <c r="B300" s="113" t="s">
        <v>75</v>
      </c>
      <c r="C300" s="10" t="s">
        <v>23</v>
      </c>
      <c r="D300" s="186" t="s">
        <v>57</v>
      </c>
      <c r="E300" s="171"/>
      <c r="F300" s="172"/>
      <c r="G300" s="172"/>
      <c r="H300" s="172"/>
      <c r="I300" s="172" t="s">
        <v>4492</v>
      </c>
      <c r="J300" s="172"/>
      <c r="K300" s="172"/>
      <c r="L300" s="172"/>
      <c r="M300" s="172"/>
      <c r="N300" s="173"/>
      <c r="O300" s="111"/>
      <c r="Q300">
        <v>46315</v>
      </c>
      <c r="R300" s="194" t="s">
        <v>254</v>
      </c>
    </row>
    <row r="301" spans="1:18">
      <c r="A301" s="98">
        <v>8</v>
      </c>
      <c r="B301" s="113" t="s">
        <v>77</v>
      </c>
      <c r="C301" s="10" t="s">
        <v>23</v>
      </c>
      <c r="D301" s="186" t="s">
        <v>57</v>
      </c>
      <c r="E301" s="171"/>
      <c r="F301" s="172"/>
      <c r="G301" s="172"/>
      <c r="H301" s="172"/>
      <c r="I301" s="172" t="s">
        <v>4492</v>
      </c>
      <c r="J301" s="172"/>
      <c r="K301" s="172"/>
      <c r="L301" s="172"/>
      <c r="M301" s="172"/>
      <c r="N301" s="173"/>
      <c r="O301" s="111"/>
      <c r="Q301">
        <v>46315</v>
      </c>
      <c r="R301" s="194" t="s">
        <v>254</v>
      </c>
    </row>
    <row r="302" spans="1:18">
      <c r="A302" s="98">
        <v>9</v>
      </c>
      <c r="B302" s="113" t="s">
        <v>79</v>
      </c>
      <c r="C302" s="10" t="s">
        <v>23</v>
      </c>
      <c r="D302" s="186" t="s">
        <v>57</v>
      </c>
      <c r="E302" s="171"/>
      <c r="F302" s="172"/>
      <c r="G302" s="172"/>
      <c r="H302" s="172"/>
      <c r="I302" s="172" t="s">
        <v>4492</v>
      </c>
      <c r="J302" s="172"/>
      <c r="K302" s="184"/>
      <c r="L302" s="172"/>
      <c r="M302" s="172"/>
      <c r="N302" s="173"/>
      <c r="O302" s="111"/>
      <c r="Q302">
        <v>46315</v>
      </c>
      <c r="R302" s="194" t="s">
        <v>254</v>
      </c>
    </row>
    <row r="303" spans="1:18">
      <c r="A303" s="98">
        <v>10</v>
      </c>
      <c r="B303" s="114" t="s">
        <v>81</v>
      </c>
      <c r="C303" s="10" t="s">
        <v>23</v>
      </c>
      <c r="D303" s="109"/>
      <c r="E303" s="171" t="s">
        <v>4434</v>
      </c>
      <c r="F303" s="172" t="s">
        <v>4434</v>
      </c>
      <c r="G303" s="172" t="s">
        <v>4434</v>
      </c>
      <c r="H303" s="172" t="s">
        <v>4434</v>
      </c>
      <c r="I303" s="172" t="s">
        <v>4434</v>
      </c>
      <c r="J303" s="172" t="s">
        <v>4434</v>
      </c>
      <c r="K303" s="172" t="s">
        <v>4434</v>
      </c>
      <c r="L303" s="172" t="s">
        <v>4434</v>
      </c>
      <c r="M303" s="172" t="s">
        <v>4434</v>
      </c>
      <c r="N303" s="173" t="s">
        <v>4434</v>
      </c>
      <c r="O303" s="111"/>
      <c r="Q303">
        <v>46315</v>
      </c>
    </row>
    <row r="304" spans="1:18">
      <c r="A304" s="98">
        <v>11</v>
      </c>
      <c r="B304" s="113" t="s">
        <v>83</v>
      </c>
      <c r="C304" s="10" t="s">
        <v>23</v>
      </c>
      <c r="D304" s="109"/>
      <c r="E304" s="171"/>
      <c r="F304" s="172"/>
      <c r="G304" s="184"/>
      <c r="H304" s="172"/>
      <c r="I304" s="172" t="s">
        <v>4492</v>
      </c>
      <c r="J304" s="179" t="s">
        <v>124</v>
      </c>
      <c r="K304" s="184"/>
      <c r="L304" s="172"/>
      <c r="M304" s="172"/>
      <c r="N304" s="195" t="s">
        <v>252</v>
      </c>
      <c r="O304" s="111"/>
      <c r="Q304">
        <v>46315</v>
      </c>
      <c r="R304" s="194" t="s">
        <v>265</v>
      </c>
    </row>
    <row r="305" spans="1:18">
      <c r="A305" s="98">
        <v>12</v>
      </c>
      <c r="B305" s="113" t="s">
        <v>85</v>
      </c>
      <c r="C305" s="10" t="s">
        <v>23</v>
      </c>
      <c r="D305" s="109"/>
      <c r="E305" s="171"/>
      <c r="F305" s="172"/>
      <c r="G305" s="179" t="s">
        <v>122</v>
      </c>
      <c r="H305" s="172"/>
      <c r="I305" s="172" t="s">
        <v>4492</v>
      </c>
      <c r="J305" s="179" t="s">
        <v>124</v>
      </c>
      <c r="K305" s="179" t="s">
        <v>224</v>
      </c>
      <c r="L305" s="172"/>
      <c r="M305" s="172"/>
      <c r="N305" s="173"/>
      <c r="O305" s="111"/>
      <c r="Q305">
        <v>46315</v>
      </c>
      <c r="R305" s="194" t="s">
        <v>263</v>
      </c>
    </row>
    <row r="306" spans="1:18" ht="15" thickBot="1">
      <c r="A306" s="99">
        <v>13</v>
      </c>
      <c r="B306" s="115" t="s">
        <v>87</v>
      </c>
      <c r="C306" s="100" t="s">
        <v>23</v>
      </c>
      <c r="D306" s="110"/>
      <c r="E306" s="174"/>
      <c r="F306" s="175"/>
      <c r="G306" s="180" t="s">
        <v>122</v>
      </c>
      <c r="H306" s="175"/>
      <c r="I306" s="175" t="s">
        <v>4492</v>
      </c>
      <c r="J306" s="180" t="s">
        <v>124</v>
      </c>
      <c r="K306" s="180" t="s">
        <v>226</v>
      </c>
      <c r="L306" s="175"/>
      <c r="M306" s="175"/>
      <c r="N306" s="176"/>
      <c r="O306" s="112"/>
      <c r="Q306">
        <v>46315</v>
      </c>
      <c r="R306" s="194" t="s">
        <v>259</v>
      </c>
    </row>
    <row r="307" spans="1:18" ht="15" thickBot="1">
      <c r="A307" s="107"/>
      <c r="B307" s="108"/>
      <c r="C307" s="107"/>
      <c r="D307" s="107"/>
      <c r="E307" s="177"/>
      <c r="F307" s="177"/>
      <c r="G307" s="177"/>
      <c r="H307" s="177"/>
      <c r="I307" s="177"/>
      <c r="J307" s="177"/>
      <c r="K307" s="177"/>
      <c r="L307" s="177"/>
      <c r="M307" s="177"/>
      <c r="N307" s="177"/>
      <c r="O307" s="108"/>
    </row>
    <row r="308" spans="1:18" ht="26.1" customHeight="1">
      <c r="A308" s="228" t="s">
        <v>176</v>
      </c>
      <c r="B308" s="229"/>
      <c r="C308" s="230"/>
      <c r="D308" s="103" t="s">
        <v>155</v>
      </c>
      <c r="E308" s="168">
        <v>0.33333333333333331</v>
      </c>
      <c r="F308" s="169">
        <v>0.375</v>
      </c>
      <c r="G308" s="169">
        <v>0.41666666666666669</v>
      </c>
      <c r="H308" s="169">
        <v>0.45833333333333331</v>
      </c>
      <c r="I308" s="169">
        <v>0.5</v>
      </c>
      <c r="J308" s="169">
        <v>0.54166666666666663</v>
      </c>
      <c r="K308" s="169">
        <v>0.58333333333333337</v>
      </c>
      <c r="L308" s="169">
        <v>0.625</v>
      </c>
      <c r="M308" s="169">
        <v>0.66666666666666663</v>
      </c>
      <c r="N308" s="170">
        <v>0.70833333333333337</v>
      </c>
      <c r="O308" s="196" t="s">
        <v>262</v>
      </c>
      <c r="P308" s="102" t="s">
        <v>156</v>
      </c>
      <c r="Q308">
        <v>46316</v>
      </c>
    </row>
    <row r="309" spans="1:18">
      <c r="A309" s="98">
        <v>1</v>
      </c>
      <c r="B309" s="113" t="s">
        <v>63</v>
      </c>
      <c r="C309" s="8" t="s">
        <v>21</v>
      </c>
      <c r="D309" s="109"/>
      <c r="E309" s="171"/>
      <c r="F309" s="172"/>
      <c r="G309" s="172"/>
      <c r="H309" s="172"/>
      <c r="I309" s="172"/>
      <c r="J309" s="172" t="s">
        <v>4492</v>
      </c>
      <c r="K309" s="172"/>
      <c r="L309" s="172"/>
      <c r="M309" s="172"/>
      <c r="N309" s="173"/>
      <c r="O309" s="111"/>
      <c r="Q309">
        <v>46316</v>
      </c>
    </row>
    <row r="310" spans="1:18">
      <c r="A310" s="98">
        <v>2</v>
      </c>
      <c r="B310" s="113" t="s">
        <v>65</v>
      </c>
      <c r="C310" s="8" t="s">
        <v>21</v>
      </c>
      <c r="D310" s="109"/>
      <c r="E310" s="171"/>
      <c r="F310" s="172"/>
      <c r="G310" s="172"/>
      <c r="H310" s="172"/>
      <c r="I310" s="172" t="s">
        <v>4492</v>
      </c>
      <c r="J310" s="172"/>
      <c r="K310" s="172"/>
      <c r="L310" s="172"/>
      <c r="M310" s="172"/>
      <c r="N310" s="173"/>
      <c r="O310" s="111"/>
      <c r="Q310">
        <v>46316</v>
      </c>
    </row>
    <row r="311" spans="1:18">
      <c r="A311" s="98">
        <v>3</v>
      </c>
      <c r="B311" s="113" t="s">
        <v>67</v>
      </c>
      <c r="C311" s="8" t="s">
        <v>21</v>
      </c>
      <c r="D311" s="109"/>
      <c r="E311" s="171"/>
      <c r="F311" s="172"/>
      <c r="G311" s="172"/>
      <c r="H311" s="172"/>
      <c r="I311" s="172"/>
      <c r="J311" s="172" t="s">
        <v>4492</v>
      </c>
      <c r="K311" s="172"/>
      <c r="L311" s="172"/>
      <c r="M311" s="172"/>
      <c r="N311" s="173"/>
      <c r="O311" s="111"/>
      <c r="Q311">
        <v>46316</v>
      </c>
    </row>
    <row r="312" spans="1:18">
      <c r="A312" s="98">
        <v>4</v>
      </c>
      <c r="B312" s="113" t="s">
        <v>69</v>
      </c>
      <c r="C312" s="9" t="s">
        <v>22</v>
      </c>
      <c r="D312" s="109"/>
      <c r="E312" s="171"/>
      <c r="F312" s="172"/>
      <c r="G312" s="179" t="s">
        <v>122</v>
      </c>
      <c r="H312" s="172"/>
      <c r="I312" s="172" t="s">
        <v>4492</v>
      </c>
      <c r="J312" s="179" t="s">
        <v>124</v>
      </c>
      <c r="K312" s="172"/>
      <c r="L312" s="172"/>
      <c r="M312" s="172"/>
      <c r="N312" s="173"/>
      <c r="O312" s="111"/>
      <c r="Q312">
        <v>46316</v>
      </c>
      <c r="R312" s="194" t="s">
        <v>257</v>
      </c>
    </row>
    <row r="313" spans="1:18">
      <c r="A313" s="98">
        <v>5</v>
      </c>
      <c r="B313" s="113" t="s">
        <v>71</v>
      </c>
      <c r="C313" s="9" t="s">
        <v>22</v>
      </c>
      <c r="D313" s="109"/>
      <c r="E313" s="171"/>
      <c r="F313" s="172"/>
      <c r="G313" s="172"/>
      <c r="H313" s="172"/>
      <c r="I313" s="172"/>
      <c r="J313" s="172" t="s">
        <v>4492</v>
      </c>
      <c r="K313" s="184"/>
      <c r="L313" s="172"/>
      <c r="M313" s="172"/>
      <c r="N313" s="195" t="s">
        <v>252</v>
      </c>
      <c r="O313" s="111"/>
      <c r="Q313">
        <v>46316</v>
      </c>
      <c r="R313" s="194" t="s">
        <v>267</v>
      </c>
    </row>
    <row r="314" spans="1:18">
      <c r="A314" s="98">
        <v>6</v>
      </c>
      <c r="B314" s="113" t="s">
        <v>73</v>
      </c>
      <c r="C314" s="10" t="s">
        <v>23</v>
      </c>
      <c r="D314" s="186" t="s">
        <v>57</v>
      </c>
      <c r="E314" s="171"/>
      <c r="F314" s="172"/>
      <c r="G314" s="172"/>
      <c r="H314" s="172"/>
      <c r="I314" s="172" t="s">
        <v>4492</v>
      </c>
      <c r="J314" s="172"/>
      <c r="K314" s="172"/>
      <c r="L314" s="172"/>
      <c r="M314" s="172"/>
      <c r="N314" s="173"/>
      <c r="O314" s="111"/>
      <c r="Q314">
        <v>46316</v>
      </c>
      <c r="R314" s="194" t="s">
        <v>254</v>
      </c>
    </row>
    <row r="315" spans="1:18">
      <c r="A315" s="98">
        <v>7</v>
      </c>
      <c r="B315" s="113" t="s">
        <v>75</v>
      </c>
      <c r="C315" s="10" t="s">
        <v>23</v>
      </c>
      <c r="D315" s="109"/>
      <c r="E315" s="171"/>
      <c r="F315" s="172"/>
      <c r="G315" s="172"/>
      <c r="H315" s="172"/>
      <c r="I315" s="172" t="s">
        <v>4492</v>
      </c>
      <c r="J315" s="172"/>
      <c r="K315" s="172"/>
      <c r="L315" s="172"/>
      <c r="M315" s="172"/>
      <c r="N315" s="173"/>
      <c r="O315" s="111"/>
      <c r="Q315">
        <v>46316</v>
      </c>
    </row>
    <row r="316" spans="1:18">
      <c r="A316" s="98">
        <v>8</v>
      </c>
      <c r="B316" s="113" t="s">
        <v>77</v>
      </c>
      <c r="C316" s="10" t="s">
        <v>23</v>
      </c>
      <c r="D316" s="186" t="s">
        <v>57</v>
      </c>
      <c r="E316" s="171"/>
      <c r="F316" s="172"/>
      <c r="G316" s="172"/>
      <c r="H316" s="172"/>
      <c r="I316" s="172" t="s">
        <v>4492</v>
      </c>
      <c r="J316" s="172"/>
      <c r="K316" s="172"/>
      <c r="L316" s="172"/>
      <c r="M316" s="172"/>
      <c r="N316" s="173"/>
      <c r="O316" s="111"/>
      <c r="Q316">
        <v>46316</v>
      </c>
      <c r="R316" s="194" t="s">
        <v>254</v>
      </c>
    </row>
    <row r="317" spans="1:18">
      <c r="A317" s="98">
        <v>9</v>
      </c>
      <c r="B317" s="113" t="s">
        <v>79</v>
      </c>
      <c r="C317" s="10" t="s">
        <v>23</v>
      </c>
      <c r="D317" s="186" t="s">
        <v>57</v>
      </c>
      <c r="E317" s="171"/>
      <c r="F317" s="172"/>
      <c r="G317" s="172"/>
      <c r="H317" s="172"/>
      <c r="I317" s="172" t="s">
        <v>4492</v>
      </c>
      <c r="J317" s="172"/>
      <c r="K317" s="184"/>
      <c r="L317" s="172"/>
      <c r="M317" s="172"/>
      <c r="N317" s="173"/>
      <c r="O317" s="111"/>
      <c r="Q317">
        <v>46316</v>
      </c>
      <c r="R317" s="194" t="s">
        <v>254</v>
      </c>
    </row>
    <row r="318" spans="1:18">
      <c r="A318" s="98">
        <v>10</v>
      </c>
      <c r="B318" s="113" t="s">
        <v>81</v>
      </c>
      <c r="C318" s="10" t="s">
        <v>23</v>
      </c>
      <c r="D318" s="109"/>
      <c r="E318" s="171"/>
      <c r="F318" s="172"/>
      <c r="G318" s="179" t="s">
        <v>122</v>
      </c>
      <c r="H318" s="172"/>
      <c r="I318" s="172" t="s">
        <v>4492</v>
      </c>
      <c r="J318" s="179" t="s">
        <v>124</v>
      </c>
      <c r="K318" s="179" t="s">
        <v>226</v>
      </c>
      <c r="L318" s="172"/>
      <c r="M318" s="172"/>
      <c r="N318" s="195" t="s">
        <v>252</v>
      </c>
      <c r="O318" s="111"/>
      <c r="Q318">
        <v>46316</v>
      </c>
      <c r="R318" s="194" t="s">
        <v>261</v>
      </c>
    </row>
    <row r="319" spans="1:18">
      <c r="A319" s="98">
        <v>11</v>
      </c>
      <c r="B319" s="114" t="s">
        <v>83</v>
      </c>
      <c r="C319" s="10" t="s">
        <v>23</v>
      </c>
      <c r="D319" s="109"/>
      <c r="E319" s="171" t="s">
        <v>4434</v>
      </c>
      <c r="F319" s="172" t="s">
        <v>4434</v>
      </c>
      <c r="G319" s="172" t="s">
        <v>4434</v>
      </c>
      <c r="H319" s="172" t="s">
        <v>4434</v>
      </c>
      <c r="I319" s="172" t="s">
        <v>4434</v>
      </c>
      <c r="J319" s="172" t="s">
        <v>4434</v>
      </c>
      <c r="K319" s="172" t="s">
        <v>4434</v>
      </c>
      <c r="L319" s="172" t="s">
        <v>4434</v>
      </c>
      <c r="M319" s="172" t="s">
        <v>4434</v>
      </c>
      <c r="N319" s="173" t="s">
        <v>4434</v>
      </c>
      <c r="O319" s="111"/>
      <c r="Q319">
        <v>46316</v>
      </c>
    </row>
    <row r="320" spans="1:18">
      <c r="A320" s="98">
        <v>12</v>
      </c>
      <c r="B320" s="114" t="s">
        <v>85</v>
      </c>
      <c r="C320" s="10" t="s">
        <v>23</v>
      </c>
      <c r="D320" s="109"/>
      <c r="E320" s="171" t="s">
        <v>4434</v>
      </c>
      <c r="F320" s="172" t="s">
        <v>4434</v>
      </c>
      <c r="G320" s="172" t="s">
        <v>4434</v>
      </c>
      <c r="H320" s="172" t="s">
        <v>4434</v>
      </c>
      <c r="I320" s="172" t="s">
        <v>4434</v>
      </c>
      <c r="J320" s="172" t="s">
        <v>4434</v>
      </c>
      <c r="K320" s="172" t="s">
        <v>4434</v>
      </c>
      <c r="L320" s="172" t="s">
        <v>4434</v>
      </c>
      <c r="M320" s="172" t="s">
        <v>4434</v>
      </c>
      <c r="N320" s="173" t="s">
        <v>4434</v>
      </c>
      <c r="O320" s="111"/>
      <c r="Q320">
        <v>46316</v>
      </c>
    </row>
    <row r="321" spans="1:18" ht="15" thickBot="1">
      <c r="A321" s="99">
        <v>13</v>
      </c>
      <c r="B321" s="115" t="s">
        <v>87</v>
      </c>
      <c r="C321" s="100" t="s">
        <v>23</v>
      </c>
      <c r="D321" s="110"/>
      <c r="E321" s="174"/>
      <c r="F321" s="175"/>
      <c r="G321" s="180" t="s">
        <v>122</v>
      </c>
      <c r="H321" s="175"/>
      <c r="I321" s="175" t="s">
        <v>4492</v>
      </c>
      <c r="J321" s="180" t="s">
        <v>124</v>
      </c>
      <c r="K321" s="180" t="s">
        <v>224</v>
      </c>
      <c r="L321" s="175"/>
      <c r="M321" s="175"/>
      <c r="N321" s="176"/>
      <c r="O321" s="112"/>
      <c r="Q321">
        <v>46316</v>
      </c>
      <c r="R321" s="194" t="s">
        <v>263</v>
      </c>
    </row>
    <row r="322" spans="1:18" ht="15" thickBot="1">
      <c r="A322" s="107"/>
      <c r="B322" s="108"/>
      <c r="C322" s="107"/>
      <c r="D322" s="107"/>
      <c r="E322" s="177"/>
      <c r="F322" s="177"/>
      <c r="G322" s="177"/>
      <c r="H322" s="177"/>
      <c r="I322" s="177"/>
      <c r="J322" s="177"/>
      <c r="K322" s="177"/>
      <c r="L322" s="177"/>
      <c r="M322" s="177"/>
      <c r="N322" s="177"/>
      <c r="O322" s="108"/>
    </row>
    <row r="323" spans="1:18" ht="26.1" customHeight="1">
      <c r="A323" s="228" t="s">
        <v>177</v>
      </c>
      <c r="B323" s="229"/>
      <c r="C323" s="230"/>
      <c r="D323" s="103" t="s">
        <v>155</v>
      </c>
      <c r="E323" s="168">
        <v>0.33333333333333331</v>
      </c>
      <c r="F323" s="169">
        <v>0.375</v>
      </c>
      <c r="G323" s="169">
        <v>0.41666666666666669</v>
      </c>
      <c r="H323" s="169">
        <v>0.45833333333333331</v>
      </c>
      <c r="I323" s="169">
        <v>0.5</v>
      </c>
      <c r="J323" s="169">
        <v>0.54166666666666663</v>
      </c>
      <c r="K323" s="169">
        <v>0.58333333333333337</v>
      </c>
      <c r="L323" s="169">
        <v>0.625</v>
      </c>
      <c r="M323" s="169">
        <v>0.66666666666666663</v>
      </c>
      <c r="N323" s="170">
        <v>0.70833333333333337</v>
      </c>
      <c r="O323" s="196" t="s">
        <v>262</v>
      </c>
      <c r="P323" s="102" t="s">
        <v>156</v>
      </c>
      <c r="Q323">
        <v>46317</v>
      </c>
    </row>
    <row r="324" spans="1:18">
      <c r="A324" s="98">
        <v>1</v>
      </c>
      <c r="B324" s="113" t="s">
        <v>63</v>
      </c>
      <c r="C324" s="8" t="s">
        <v>21</v>
      </c>
      <c r="D324" s="109"/>
      <c r="E324" s="171"/>
      <c r="F324" s="172"/>
      <c r="G324" s="172"/>
      <c r="H324" s="172"/>
      <c r="I324" s="172"/>
      <c r="J324" s="172" t="s">
        <v>4492</v>
      </c>
      <c r="K324" s="172"/>
      <c r="L324" s="172"/>
      <c r="M324" s="172"/>
      <c r="N324" s="173"/>
      <c r="O324" s="111"/>
      <c r="Q324">
        <v>46317</v>
      </c>
    </row>
    <row r="325" spans="1:18">
      <c r="A325" s="98">
        <v>2</v>
      </c>
      <c r="B325" s="113" t="s">
        <v>65</v>
      </c>
      <c r="C325" s="8" t="s">
        <v>21</v>
      </c>
      <c r="D325" s="109"/>
      <c r="E325" s="171"/>
      <c r="F325" s="172"/>
      <c r="G325" s="172"/>
      <c r="H325" s="172"/>
      <c r="I325" s="172" t="s">
        <v>4492</v>
      </c>
      <c r="J325" s="172"/>
      <c r="K325" s="172"/>
      <c r="L325" s="172"/>
      <c r="M325" s="172"/>
      <c r="N325" s="173"/>
      <c r="O325" s="111"/>
      <c r="Q325">
        <v>46317</v>
      </c>
    </row>
    <row r="326" spans="1:18">
      <c r="A326" s="98">
        <v>3</v>
      </c>
      <c r="B326" s="113" t="s">
        <v>67</v>
      </c>
      <c r="C326" s="8" t="s">
        <v>21</v>
      </c>
      <c r="D326" s="109"/>
      <c r="E326" s="171"/>
      <c r="F326" s="172"/>
      <c r="G326" s="172"/>
      <c r="H326" s="172"/>
      <c r="I326" s="172"/>
      <c r="J326" s="172" t="s">
        <v>4492</v>
      </c>
      <c r="K326" s="172"/>
      <c r="L326" s="172"/>
      <c r="M326" s="172"/>
      <c r="N326" s="173"/>
      <c r="O326" s="111"/>
      <c r="Q326">
        <v>46317</v>
      </c>
    </row>
    <row r="327" spans="1:18">
      <c r="A327" s="98">
        <v>4</v>
      </c>
      <c r="B327" s="114" t="s">
        <v>69</v>
      </c>
      <c r="C327" s="9" t="s">
        <v>22</v>
      </c>
      <c r="D327" s="109"/>
      <c r="E327" s="171" t="s">
        <v>4434</v>
      </c>
      <c r="F327" s="172" t="s">
        <v>4434</v>
      </c>
      <c r="G327" s="172" t="s">
        <v>4434</v>
      </c>
      <c r="H327" s="172" t="s">
        <v>4434</v>
      </c>
      <c r="I327" s="172" t="s">
        <v>4434</v>
      </c>
      <c r="J327" s="172" t="s">
        <v>4434</v>
      </c>
      <c r="K327" s="172" t="s">
        <v>4434</v>
      </c>
      <c r="L327" s="172" t="s">
        <v>4434</v>
      </c>
      <c r="M327" s="172" t="s">
        <v>4434</v>
      </c>
      <c r="N327" s="173" t="s">
        <v>4434</v>
      </c>
      <c r="O327" s="111"/>
      <c r="Q327">
        <v>46317</v>
      </c>
    </row>
    <row r="328" spans="1:18">
      <c r="A328" s="98">
        <v>5</v>
      </c>
      <c r="B328" s="113" t="s">
        <v>71</v>
      </c>
      <c r="C328" s="9" t="s">
        <v>22</v>
      </c>
      <c r="D328" s="109"/>
      <c r="E328" s="171"/>
      <c r="F328" s="172"/>
      <c r="G328" s="179" t="s">
        <v>122</v>
      </c>
      <c r="H328" s="172"/>
      <c r="I328" s="172"/>
      <c r="J328" s="172" t="s">
        <v>4492</v>
      </c>
      <c r="K328" s="172"/>
      <c r="L328" s="172"/>
      <c r="M328" s="172"/>
      <c r="N328" s="173"/>
      <c r="O328" s="111"/>
      <c r="Q328">
        <v>46317</v>
      </c>
      <c r="R328" s="194" t="s">
        <v>255</v>
      </c>
    </row>
    <row r="329" spans="1:18">
      <c r="A329" s="98">
        <v>6</v>
      </c>
      <c r="B329" s="114" t="s">
        <v>73</v>
      </c>
      <c r="C329" s="10" t="s">
        <v>23</v>
      </c>
      <c r="D329" s="109"/>
      <c r="E329" s="171" t="s">
        <v>4434</v>
      </c>
      <c r="F329" s="172" t="s">
        <v>4434</v>
      </c>
      <c r="G329" s="172" t="s">
        <v>4434</v>
      </c>
      <c r="H329" s="172" t="s">
        <v>4434</v>
      </c>
      <c r="I329" s="172" t="s">
        <v>4434</v>
      </c>
      <c r="J329" s="172" t="s">
        <v>4434</v>
      </c>
      <c r="K329" s="172" t="s">
        <v>4434</v>
      </c>
      <c r="L329" s="172" t="s">
        <v>4434</v>
      </c>
      <c r="M329" s="172" t="s">
        <v>4434</v>
      </c>
      <c r="N329" s="173" t="s">
        <v>4434</v>
      </c>
      <c r="O329" s="111"/>
      <c r="Q329">
        <v>46317</v>
      </c>
    </row>
    <row r="330" spans="1:18">
      <c r="A330" s="98">
        <v>7</v>
      </c>
      <c r="B330" s="113" t="s">
        <v>75</v>
      </c>
      <c r="C330" s="10" t="s">
        <v>23</v>
      </c>
      <c r="D330" s="186" t="s">
        <v>57</v>
      </c>
      <c r="E330" s="171"/>
      <c r="F330" s="172"/>
      <c r="G330" s="172"/>
      <c r="H330" s="172"/>
      <c r="I330" s="172" t="s">
        <v>4492</v>
      </c>
      <c r="J330" s="172"/>
      <c r="K330" s="172"/>
      <c r="L330" s="172"/>
      <c r="M330" s="172"/>
      <c r="N330" s="173"/>
      <c r="O330" s="111"/>
      <c r="Q330">
        <v>46317</v>
      </c>
      <c r="R330" s="194" t="s">
        <v>254</v>
      </c>
    </row>
    <row r="331" spans="1:18">
      <c r="A331" s="98">
        <v>8</v>
      </c>
      <c r="B331" s="113" t="s">
        <v>77</v>
      </c>
      <c r="C331" s="10" t="s">
        <v>23</v>
      </c>
      <c r="D331" s="186" t="s">
        <v>57</v>
      </c>
      <c r="E331" s="171"/>
      <c r="F331" s="172"/>
      <c r="G331" s="172"/>
      <c r="H331" s="172"/>
      <c r="I331" s="172" t="s">
        <v>4492</v>
      </c>
      <c r="J331" s="172"/>
      <c r="K331" s="172"/>
      <c r="L331" s="172"/>
      <c r="M331" s="172"/>
      <c r="N331" s="173"/>
      <c r="O331" s="111"/>
      <c r="Q331">
        <v>46317</v>
      </c>
      <c r="R331" s="194" t="s">
        <v>254</v>
      </c>
    </row>
    <row r="332" spans="1:18">
      <c r="A332" s="98">
        <v>9</v>
      </c>
      <c r="B332" s="113" t="s">
        <v>79</v>
      </c>
      <c r="C332" s="10" t="s">
        <v>23</v>
      </c>
      <c r="D332" s="192"/>
      <c r="E332" s="171"/>
      <c r="F332" s="172"/>
      <c r="G332" s="172"/>
      <c r="H332" s="172"/>
      <c r="I332" s="172" t="s">
        <v>4492</v>
      </c>
      <c r="J332" s="172"/>
      <c r="K332" s="184"/>
      <c r="L332" s="172"/>
      <c r="M332" s="172"/>
      <c r="N332" s="173"/>
      <c r="O332" s="111"/>
      <c r="Q332">
        <v>46317</v>
      </c>
    </row>
    <row r="333" spans="1:18">
      <c r="A333" s="98">
        <v>10</v>
      </c>
      <c r="B333" s="113" t="s">
        <v>81</v>
      </c>
      <c r="C333" s="10" t="s">
        <v>23</v>
      </c>
      <c r="D333" s="109"/>
      <c r="E333" s="171"/>
      <c r="F333" s="172"/>
      <c r="G333" s="172"/>
      <c r="H333" s="172"/>
      <c r="I333" s="172" t="s">
        <v>4492</v>
      </c>
      <c r="J333" s="179" t="s">
        <v>124</v>
      </c>
      <c r="K333" s="179" t="s">
        <v>224</v>
      </c>
      <c r="L333" s="172"/>
      <c r="M333" s="172"/>
      <c r="N333" s="195" t="s">
        <v>252</v>
      </c>
      <c r="O333" s="111"/>
      <c r="Q333">
        <v>46317</v>
      </c>
      <c r="R333" s="194" t="s">
        <v>268</v>
      </c>
    </row>
    <row r="334" spans="1:18">
      <c r="A334" s="98">
        <v>11</v>
      </c>
      <c r="B334" s="113" t="s">
        <v>83</v>
      </c>
      <c r="C334" s="10" t="s">
        <v>23</v>
      </c>
      <c r="D334" s="109"/>
      <c r="E334" s="171"/>
      <c r="F334" s="172"/>
      <c r="G334" s="179" t="s">
        <v>122</v>
      </c>
      <c r="H334" s="172"/>
      <c r="I334" s="172" t="s">
        <v>4492</v>
      </c>
      <c r="J334" s="179" t="s">
        <v>124</v>
      </c>
      <c r="K334" s="184"/>
      <c r="L334" s="172"/>
      <c r="M334" s="172"/>
      <c r="N334" s="195" t="s">
        <v>252</v>
      </c>
      <c r="O334" s="111"/>
      <c r="Q334">
        <v>46317</v>
      </c>
      <c r="R334" s="194" t="s">
        <v>260</v>
      </c>
    </row>
    <row r="335" spans="1:18">
      <c r="A335" s="98">
        <v>12</v>
      </c>
      <c r="B335" s="113" t="s">
        <v>85</v>
      </c>
      <c r="C335" s="10" t="s">
        <v>23</v>
      </c>
      <c r="D335" s="192"/>
      <c r="E335" s="171"/>
      <c r="F335" s="172"/>
      <c r="G335" s="179" t="s">
        <v>122</v>
      </c>
      <c r="H335" s="172"/>
      <c r="I335" s="172" t="s">
        <v>4492</v>
      </c>
      <c r="J335" s="179" t="s">
        <v>124</v>
      </c>
      <c r="K335" s="179" t="s">
        <v>226</v>
      </c>
      <c r="L335" s="172"/>
      <c r="M335" s="172"/>
      <c r="N335" s="173"/>
      <c r="O335" s="111"/>
      <c r="Q335">
        <v>46317</v>
      </c>
      <c r="R335" s="194" t="s">
        <v>259</v>
      </c>
    </row>
    <row r="336" spans="1:18" ht="15" thickBot="1">
      <c r="A336" s="99">
        <v>13</v>
      </c>
      <c r="B336" s="115" t="s">
        <v>87</v>
      </c>
      <c r="C336" s="100" t="s">
        <v>23</v>
      </c>
      <c r="D336" s="187" t="s">
        <v>57</v>
      </c>
      <c r="E336" s="174"/>
      <c r="F336" s="175"/>
      <c r="G336" s="185"/>
      <c r="H336" s="175"/>
      <c r="I336" s="175" t="s">
        <v>4492</v>
      </c>
      <c r="J336" s="185"/>
      <c r="K336" s="185"/>
      <c r="L336" s="175"/>
      <c r="M336" s="175"/>
      <c r="N336" s="176"/>
      <c r="O336" s="112"/>
      <c r="Q336">
        <v>46317</v>
      </c>
      <c r="R336" s="194" t="s">
        <v>254</v>
      </c>
    </row>
    <row r="337" spans="1:18" ht="15" thickBot="1">
      <c r="A337" s="107"/>
      <c r="B337" s="108"/>
      <c r="C337" s="107"/>
      <c r="D337" s="107"/>
      <c r="E337" s="177"/>
      <c r="F337" s="177"/>
      <c r="G337" s="177"/>
      <c r="H337" s="177"/>
      <c r="I337" s="177"/>
      <c r="J337" s="177"/>
      <c r="K337" s="177"/>
      <c r="L337" s="177"/>
      <c r="M337" s="177"/>
      <c r="N337" s="177"/>
      <c r="O337" s="108"/>
    </row>
    <row r="338" spans="1:18" ht="26.1" customHeight="1">
      <c r="A338" s="228" t="s">
        <v>178</v>
      </c>
      <c r="B338" s="229"/>
      <c r="C338" s="230"/>
      <c r="D338" s="103" t="s">
        <v>155</v>
      </c>
      <c r="E338" s="168">
        <v>0.33333333333333331</v>
      </c>
      <c r="F338" s="169">
        <v>0.375</v>
      </c>
      <c r="G338" s="169">
        <v>0.41666666666666669</v>
      </c>
      <c r="H338" s="169">
        <v>0.45833333333333331</v>
      </c>
      <c r="I338" s="169">
        <v>0.5</v>
      </c>
      <c r="J338" s="169">
        <v>0.54166666666666663</v>
      </c>
      <c r="K338" s="169">
        <v>0.58333333333333337</v>
      </c>
      <c r="L338" s="169">
        <v>0.625</v>
      </c>
      <c r="M338" s="169">
        <v>0.66666666666666663</v>
      </c>
      <c r="N338" s="170">
        <v>0.70833333333333337</v>
      </c>
      <c r="O338" s="196" t="s">
        <v>262</v>
      </c>
      <c r="P338" s="102" t="s">
        <v>156</v>
      </c>
      <c r="Q338">
        <v>46318</v>
      </c>
    </row>
    <row r="339" spans="1:18">
      <c r="A339" s="98">
        <v>1</v>
      </c>
      <c r="B339" s="113" t="s">
        <v>63</v>
      </c>
      <c r="C339" s="8" t="s">
        <v>21</v>
      </c>
      <c r="D339" s="109"/>
      <c r="E339" s="171"/>
      <c r="F339" s="172"/>
      <c r="G339" s="172"/>
      <c r="H339" s="172"/>
      <c r="I339" s="172"/>
      <c r="J339" s="172" t="s">
        <v>4492</v>
      </c>
      <c r="K339" s="172"/>
      <c r="L339" s="172"/>
      <c r="M339" s="172"/>
      <c r="N339" s="173"/>
      <c r="O339" s="111"/>
      <c r="Q339">
        <v>46318</v>
      </c>
    </row>
    <row r="340" spans="1:18">
      <c r="A340" s="98">
        <v>2</v>
      </c>
      <c r="B340" s="114" t="s">
        <v>65</v>
      </c>
      <c r="C340" s="8" t="s">
        <v>21</v>
      </c>
      <c r="D340" s="109"/>
      <c r="E340" s="171" t="s">
        <v>4434</v>
      </c>
      <c r="F340" s="172" t="s">
        <v>4434</v>
      </c>
      <c r="G340" s="172" t="s">
        <v>4434</v>
      </c>
      <c r="H340" s="172" t="s">
        <v>4434</v>
      </c>
      <c r="I340" s="172" t="s">
        <v>4434</v>
      </c>
      <c r="J340" s="172" t="s">
        <v>4434</v>
      </c>
      <c r="K340" s="172" t="s">
        <v>4434</v>
      </c>
      <c r="L340" s="172" t="s">
        <v>4434</v>
      </c>
      <c r="M340" s="172" t="s">
        <v>4434</v>
      </c>
      <c r="N340" s="173" t="s">
        <v>4434</v>
      </c>
      <c r="O340" s="111"/>
      <c r="Q340">
        <v>46318</v>
      </c>
    </row>
    <row r="341" spans="1:18">
      <c r="A341" s="98">
        <v>3</v>
      </c>
      <c r="B341" s="113" t="s">
        <v>67</v>
      </c>
      <c r="C341" s="8" t="s">
        <v>21</v>
      </c>
      <c r="D341" s="109"/>
      <c r="E341" s="171"/>
      <c r="F341" s="172"/>
      <c r="G341" s="172"/>
      <c r="H341" s="172"/>
      <c r="I341" s="172"/>
      <c r="J341" s="172" t="s">
        <v>4492</v>
      </c>
      <c r="K341" s="172"/>
      <c r="L341" s="172"/>
      <c r="M341" s="172"/>
      <c r="N341" s="173"/>
      <c r="O341" s="111"/>
      <c r="Q341">
        <v>46318</v>
      </c>
    </row>
    <row r="342" spans="1:18">
      <c r="A342" s="98">
        <v>4</v>
      </c>
      <c r="B342" s="113" t="s">
        <v>69</v>
      </c>
      <c r="C342" s="9" t="s">
        <v>22</v>
      </c>
      <c r="D342" s="109"/>
      <c r="E342" s="171"/>
      <c r="F342" s="172"/>
      <c r="G342" s="179" t="s">
        <v>122</v>
      </c>
      <c r="H342" s="172"/>
      <c r="I342" s="172" t="s">
        <v>4492</v>
      </c>
      <c r="J342" s="179" t="s">
        <v>124</v>
      </c>
      <c r="K342" s="172"/>
      <c r="L342" s="172"/>
      <c r="M342" s="172"/>
      <c r="N342" s="173"/>
      <c r="O342" s="111"/>
      <c r="Q342">
        <v>46318</v>
      </c>
      <c r="R342" s="194" t="s">
        <v>257</v>
      </c>
    </row>
    <row r="343" spans="1:18">
      <c r="A343" s="98">
        <v>5</v>
      </c>
      <c r="B343" s="113" t="s">
        <v>71</v>
      </c>
      <c r="C343" s="9" t="s">
        <v>22</v>
      </c>
      <c r="D343" s="109"/>
      <c r="E343" s="171"/>
      <c r="F343" s="172"/>
      <c r="G343" s="172"/>
      <c r="H343" s="172"/>
      <c r="I343" s="172"/>
      <c r="J343" s="172" t="s">
        <v>4492</v>
      </c>
      <c r="K343" s="172"/>
      <c r="L343" s="172"/>
      <c r="M343" s="172"/>
      <c r="N343" s="173"/>
      <c r="O343" s="111"/>
      <c r="Q343">
        <v>46318</v>
      </c>
    </row>
    <row r="344" spans="1:18">
      <c r="A344" s="98">
        <v>6</v>
      </c>
      <c r="B344" s="113" t="s">
        <v>73</v>
      </c>
      <c r="C344" s="10" t="s">
        <v>23</v>
      </c>
      <c r="D344" s="186" t="s">
        <v>57</v>
      </c>
      <c r="E344" s="171"/>
      <c r="F344" s="172"/>
      <c r="G344" s="172"/>
      <c r="H344" s="172"/>
      <c r="I344" s="172" t="s">
        <v>4492</v>
      </c>
      <c r="J344" s="172"/>
      <c r="K344" s="172"/>
      <c r="L344" s="172"/>
      <c r="M344" s="172"/>
      <c r="N344" s="173"/>
      <c r="O344" s="111"/>
      <c r="Q344">
        <v>46318</v>
      </c>
      <c r="R344" s="194" t="s">
        <v>254</v>
      </c>
    </row>
    <row r="345" spans="1:18">
      <c r="A345" s="98">
        <v>7</v>
      </c>
      <c r="B345" s="114" t="s">
        <v>75</v>
      </c>
      <c r="C345" s="10" t="s">
        <v>23</v>
      </c>
      <c r="D345" s="109"/>
      <c r="E345" s="171" t="s">
        <v>4434</v>
      </c>
      <c r="F345" s="172" t="s">
        <v>4434</v>
      </c>
      <c r="G345" s="172" t="s">
        <v>4434</v>
      </c>
      <c r="H345" s="172" t="s">
        <v>4434</v>
      </c>
      <c r="I345" s="172" t="s">
        <v>4434</v>
      </c>
      <c r="J345" s="172" t="s">
        <v>4434</v>
      </c>
      <c r="K345" s="172" t="s">
        <v>4434</v>
      </c>
      <c r="L345" s="172" t="s">
        <v>4434</v>
      </c>
      <c r="M345" s="172" t="s">
        <v>4434</v>
      </c>
      <c r="N345" s="173" t="s">
        <v>4434</v>
      </c>
      <c r="O345" s="111"/>
      <c r="Q345">
        <v>46318</v>
      </c>
    </row>
    <row r="346" spans="1:18">
      <c r="A346" s="98">
        <v>8</v>
      </c>
      <c r="B346" s="113" t="s">
        <v>77</v>
      </c>
      <c r="C346" s="10" t="s">
        <v>23</v>
      </c>
      <c r="D346" s="109"/>
      <c r="E346" s="171"/>
      <c r="F346" s="172"/>
      <c r="G346" s="172"/>
      <c r="H346" s="172"/>
      <c r="I346" s="172" t="s">
        <v>4492</v>
      </c>
      <c r="J346" s="172"/>
      <c r="K346" s="172"/>
      <c r="L346" s="172"/>
      <c r="M346" s="172"/>
      <c r="N346" s="173"/>
      <c r="O346" s="111"/>
      <c r="Q346">
        <v>46318</v>
      </c>
    </row>
    <row r="347" spans="1:18">
      <c r="A347" s="98">
        <v>9</v>
      </c>
      <c r="B347" s="113" t="s">
        <v>79</v>
      </c>
      <c r="C347" s="10" t="s">
        <v>23</v>
      </c>
      <c r="D347" s="109"/>
      <c r="E347" s="171"/>
      <c r="F347" s="172"/>
      <c r="G347" s="172"/>
      <c r="H347" s="172"/>
      <c r="I347" s="172" t="s">
        <v>4492</v>
      </c>
      <c r="J347" s="172"/>
      <c r="K347" s="184"/>
      <c r="L347" s="172"/>
      <c r="M347" s="172"/>
      <c r="N347" s="173"/>
      <c r="O347" s="111"/>
      <c r="Q347">
        <v>46318</v>
      </c>
    </row>
    <row r="348" spans="1:18">
      <c r="A348" s="98">
        <v>10</v>
      </c>
      <c r="B348" s="113" t="s">
        <v>81</v>
      </c>
      <c r="C348" s="10" t="s">
        <v>23</v>
      </c>
      <c r="D348" s="109"/>
      <c r="E348" s="171"/>
      <c r="F348" s="172"/>
      <c r="G348" s="179" t="s">
        <v>122</v>
      </c>
      <c r="H348" s="172"/>
      <c r="I348" s="172" t="s">
        <v>4492</v>
      </c>
      <c r="J348" s="179" t="s">
        <v>124</v>
      </c>
      <c r="K348" s="179" t="s">
        <v>224</v>
      </c>
      <c r="L348" s="172"/>
      <c r="M348" s="172"/>
      <c r="N348" s="195" t="s">
        <v>252</v>
      </c>
      <c r="O348" s="111"/>
      <c r="Q348">
        <v>46318</v>
      </c>
      <c r="R348" s="194" t="s">
        <v>264</v>
      </c>
    </row>
    <row r="349" spans="1:18">
      <c r="A349" s="98">
        <v>11</v>
      </c>
      <c r="B349" s="113" t="s">
        <v>83</v>
      </c>
      <c r="C349" s="10" t="s">
        <v>23</v>
      </c>
      <c r="D349" s="109"/>
      <c r="E349" s="171"/>
      <c r="F349" s="172"/>
      <c r="G349" s="179" t="s">
        <v>122</v>
      </c>
      <c r="H349" s="172"/>
      <c r="I349" s="172" t="s">
        <v>4492</v>
      </c>
      <c r="J349" s="179" t="s">
        <v>124</v>
      </c>
      <c r="K349" s="179" t="s">
        <v>226</v>
      </c>
      <c r="L349" s="172"/>
      <c r="M349" s="172"/>
      <c r="N349" s="195" t="s">
        <v>252</v>
      </c>
      <c r="O349" s="111"/>
      <c r="Q349">
        <v>46318</v>
      </c>
      <c r="R349" s="194" t="s">
        <v>261</v>
      </c>
    </row>
    <row r="350" spans="1:18">
      <c r="A350" s="98">
        <v>12</v>
      </c>
      <c r="B350" s="113" t="s">
        <v>85</v>
      </c>
      <c r="C350" s="10" t="s">
        <v>23</v>
      </c>
      <c r="D350" s="186" t="s">
        <v>57</v>
      </c>
      <c r="E350" s="171"/>
      <c r="F350" s="172"/>
      <c r="G350" s="172"/>
      <c r="H350" s="172"/>
      <c r="I350" s="172" t="s">
        <v>4492</v>
      </c>
      <c r="J350" s="184"/>
      <c r="K350" s="172"/>
      <c r="L350" s="172"/>
      <c r="M350" s="172"/>
      <c r="N350" s="173"/>
      <c r="O350" s="111"/>
      <c r="Q350">
        <v>46318</v>
      </c>
      <c r="R350" s="194" t="s">
        <v>254</v>
      </c>
    </row>
    <row r="351" spans="1:18" ht="15" thickBot="1">
      <c r="A351" s="99">
        <v>13</v>
      </c>
      <c r="B351" s="115" t="s">
        <v>87</v>
      </c>
      <c r="C351" s="100" t="s">
        <v>23</v>
      </c>
      <c r="D351" s="187" t="s">
        <v>57</v>
      </c>
      <c r="E351" s="174"/>
      <c r="F351" s="175"/>
      <c r="G351" s="185"/>
      <c r="H351" s="175"/>
      <c r="I351" s="175" t="s">
        <v>4492</v>
      </c>
      <c r="J351" s="185"/>
      <c r="K351" s="175"/>
      <c r="L351" s="175"/>
      <c r="M351" s="175"/>
      <c r="N351" s="176"/>
      <c r="O351" s="112"/>
      <c r="Q351">
        <v>46318</v>
      </c>
      <c r="R351" s="194" t="s">
        <v>254</v>
      </c>
    </row>
    <row r="352" spans="1:18" ht="15" thickBot="1">
      <c r="A352" s="107"/>
      <c r="B352" s="108"/>
      <c r="C352" s="107"/>
      <c r="D352" s="107"/>
      <c r="E352" s="177"/>
      <c r="F352" s="177"/>
      <c r="G352" s="177"/>
      <c r="H352" s="177"/>
      <c r="I352" s="177"/>
      <c r="J352" s="177"/>
      <c r="K352" s="177"/>
      <c r="L352" s="177"/>
      <c r="M352" s="177"/>
      <c r="N352" s="177"/>
      <c r="O352" s="108"/>
    </row>
    <row r="353" spans="1:17" ht="26.1" customHeight="1">
      <c r="A353" s="222" t="s">
        <v>179</v>
      </c>
      <c r="B353" s="223"/>
      <c r="C353" s="224"/>
      <c r="D353" s="103" t="s">
        <v>155</v>
      </c>
      <c r="E353" s="168">
        <v>0.33333333333333331</v>
      </c>
      <c r="F353" s="169">
        <v>0.375</v>
      </c>
      <c r="G353" s="169">
        <v>0.41666666666666669</v>
      </c>
      <c r="H353" s="169">
        <v>0.45833333333333331</v>
      </c>
      <c r="I353" s="169">
        <v>0.5</v>
      </c>
      <c r="J353" s="169">
        <v>0.54166666666666663</v>
      </c>
      <c r="K353" s="169">
        <v>0.58333333333333337</v>
      </c>
      <c r="L353" s="169">
        <v>0.625</v>
      </c>
      <c r="M353" s="169">
        <v>0.66666666666666663</v>
      </c>
      <c r="N353" s="170">
        <v>0.70833333333333337</v>
      </c>
      <c r="O353" s="178" t="s">
        <v>228</v>
      </c>
      <c r="P353" s="102" t="s">
        <v>156</v>
      </c>
      <c r="Q353">
        <v>46319</v>
      </c>
    </row>
    <row r="354" spans="1:17">
      <c r="A354" s="98">
        <v>1</v>
      </c>
      <c r="B354" s="114" t="s">
        <v>63</v>
      </c>
      <c r="C354" s="8" t="s">
        <v>21</v>
      </c>
      <c r="D354" s="109"/>
      <c r="E354" s="171" t="s">
        <v>4434</v>
      </c>
      <c r="F354" s="172" t="s">
        <v>4434</v>
      </c>
      <c r="G354" s="172" t="s">
        <v>4434</v>
      </c>
      <c r="H354" s="172" t="s">
        <v>4434</v>
      </c>
      <c r="I354" s="172" t="s">
        <v>4434</v>
      </c>
      <c r="J354" s="172" t="s">
        <v>4434</v>
      </c>
      <c r="K354" s="172" t="s">
        <v>4434</v>
      </c>
      <c r="L354" s="172" t="s">
        <v>4434</v>
      </c>
      <c r="M354" s="172" t="s">
        <v>4434</v>
      </c>
      <c r="N354" s="173" t="s">
        <v>4434</v>
      </c>
      <c r="O354" s="111"/>
      <c r="Q354">
        <v>46319</v>
      </c>
    </row>
    <row r="355" spans="1:17">
      <c r="A355" s="98">
        <v>2</v>
      </c>
      <c r="B355" s="114" t="s">
        <v>65</v>
      </c>
      <c r="C355" s="8" t="s">
        <v>21</v>
      </c>
      <c r="D355" s="109"/>
      <c r="E355" s="171" t="s">
        <v>4434</v>
      </c>
      <c r="F355" s="172" t="s">
        <v>4434</v>
      </c>
      <c r="G355" s="172" t="s">
        <v>4434</v>
      </c>
      <c r="H355" s="172" t="s">
        <v>4434</v>
      </c>
      <c r="I355" s="172" t="s">
        <v>4434</v>
      </c>
      <c r="J355" s="172" t="s">
        <v>4434</v>
      </c>
      <c r="K355" s="172" t="s">
        <v>4434</v>
      </c>
      <c r="L355" s="172" t="s">
        <v>4434</v>
      </c>
      <c r="M355" s="172" t="s">
        <v>4434</v>
      </c>
      <c r="N355" s="173" t="s">
        <v>4434</v>
      </c>
      <c r="O355" s="111"/>
      <c r="Q355">
        <v>46319</v>
      </c>
    </row>
    <row r="356" spans="1:17">
      <c r="A356" s="98">
        <v>3</v>
      </c>
      <c r="B356" s="114" t="s">
        <v>67</v>
      </c>
      <c r="C356" s="8" t="s">
        <v>21</v>
      </c>
      <c r="D356" s="109"/>
      <c r="E356" s="171" t="s">
        <v>4434</v>
      </c>
      <c r="F356" s="172" t="s">
        <v>4434</v>
      </c>
      <c r="G356" s="172" t="s">
        <v>4434</v>
      </c>
      <c r="H356" s="172" t="s">
        <v>4434</v>
      </c>
      <c r="I356" s="172" t="s">
        <v>4434</v>
      </c>
      <c r="J356" s="172" t="s">
        <v>4434</v>
      </c>
      <c r="K356" s="172" t="s">
        <v>4434</v>
      </c>
      <c r="L356" s="172" t="s">
        <v>4434</v>
      </c>
      <c r="M356" s="172" t="s">
        <v>4434</v>
      </c>
      <c r="N356" s="173" t="s">
        <v>4434</v>
      </c>
      <c r="O356" s="111"/>
      <c r="Q356">
        <v>46319</v>
      </c>
    </row>
    <row r="357" spans="1:17">
      <c r="A357" s="98">
        <v>4</v>
      </c>
      <c r="B357" s="114" t="s">
        <v>69</v>
      </c>
      <c r="C357" s="9" t="s">
        <v>22</v>
      </c>
      <c r="D357" s="109"/>
      <c r="E357" s="171" t="s">
        <v>4434</v>
      </c>
      <c r="F357" s="172" t="s">
        <v>4434</v>
      </c>
      <c r="G357" s="172" t="s">
        <v>4434</v>
      </c>
      <c r="H357" s="172" t="s">
        <v>4434</v>
      </c>
      <c r="I357" s="172" t="s">
        <v>4434</v>
      </c>
      <c r="J357" s="172" t="s">
        <v>4434</v>
      </c>
      <c r="K357" s="172" t="s">
        <v>4434</v>
      </c>
      <c r="L357" s="172" t="s">
        <v>4434</v>
      </c>
      <c r="M357" s="172" t="s">
        <v>4434</v>
      </c>
      <c r="N357" s="173" t="s">
        <v>4434</v>
      </c>
      <c r="O357" s="111"/>
      <c r="Q357">
        <v>46319</v>
      </c>
    </row>
    <row r="358" spans="1:17">
      <c r="A358" s="98">
        <v>5</v>
      </c>
      <c r="B358" s="114" t="s">
        <v>71</v>
      </c>
      <c r="C358" s="9" t="s">
        <v>22</v>
      </c>
      <c r="D358" s="109"/>
      <c r="E358" s="171" t="s">
        <v>4434</v>
      </c>
      <c r="F358" s="172" t="s">
        <v>4434</v>
      </c>
      <c r="G358" s="172" t="s">
        <v>4434</v>
      </c>
      <c r="H358" s="172" t="s">
        <v>4434</v>
      </c>
      <c r="I358" s="172" t="s">
        <v>4434</v>
      </c>
      <c r="J358" s="172" t="s">
        <v>4434</v>
      </c>
      <c r="K358" s="172" t="s">
        <v>4434</v>
      </c>
      <c r="L358" s="172" t="s">
        <v>4434</v>
      </c>
      <c r="M358" s="172" t="s">
        <v>4434</v>
      </c>
      <c r="N358" s="173" t="s">
        <v>4434</v>
      </c>
      <c r="O358" s="111"/>
      <c r="Q358">
        <v>46319</v>
      </c>
    </row>
    <row r="359" spans="1:17">
      <c r="A359" s="98">
        <v>6</v>
      </c>
      <c r="B359" s="114" t="s">
        <v>73</v>
      </c>
      <c r="C359" s="10" t="s">
        <v>23</v>
      </c>
      <c r="D359" s="109"/>
      <c r="E359" s="171" t="s">
        <v>4434</v>
      </c>
      <c r="F359" s="172" t="s">
        <v>4434</v>
      </c>
      <c r="G359" s="172" t="s">
        <v>4434</v>
      </c>
      <c r="H359" s="172" t="s">
        <v>4434</v>
      </c>
      <c r="I359" s="172" t="s">
        <v>4434</v>
      </c>
      <c r="J359" s="172" t="s">
        <v>4434</v>
      </c>
      <c r="K359" s="172" t="s">
        <v>4434</v>
      </c>
      <c r="L359" s="172" t="s">
        <v>4434</v>
      </c>
      <c r="M359" s="172" t="s">
        <v>4434</v>
      </c>
      <c r="N359" s="173" t="s">
        <v>4434</v>
      </c>
      <c r="O359" s="111"/>
      <c r="Q359">
        <v>46319</v>
      </c>
    </row>
    <row r="360" spans="1:17">
      <c r="A360" s="98">
        <v>7</v>
      </c>
      <c r="B360" s="114" t="s">
        <v>75</v>
      </c>
      <c r="C360" s="10" t="s">
        <v>23</v>
      </c>
      <c r="D360" s="109"/>
      <c r="E360" s="171" t="s">
        <v>4434</v>
      </c>
      <c r="F360" s="172" t="s">
        <v>4434</v>
      </c>
      <c r="G360" s="172" t="s">
        <v>4434</v>
      </c>
      <c r="H360" s="172" t="s">
        <v>4434</v>
      </c>
      <c r="I360" s="172" t="s">
        <v>4434</v>
      </c>
      <c r="J360" s="172" t="s">
        <v>4434</v>
      </c>
      <c r="K360" s="172" t="s">
        <v>4434</v>
      </c>
      <c r="L360" s="172" t="s">
        <v>4434</v>
      </c>
      <c r="M360" s="172" t="s">
        <v>4434</v>
      </c>
      <c r="N360" s="173" t="s">
        <v>4434</v>
      </c>
      <c r="O360" s="111"/>
      <c r="Q360">
        <v>46319</v>
      </c>
    </row>
    <row r="361" spans="1:17">
      <c r="A361" s="98">
        <v>8</v>
      </c>
      <c r="B361" s="114" t="s">
        <v>77</v>
      </c>
      <c r="C361" s="10" t="s">
        <v>23</v>
      </c>
      <c r="D361" s="109"/>
      <c r="E361" s="171" t="s">
        <v>4434</v>
      </c>
      <c r="F361" s="172" t="s">
        <v>4434</v>
      </c>
      <c r="G361" s="172" t="s">
        <v>4434</v>
      </c>
      <c r="H361" s="172" t="s">
        <v>4434</v>
      </c>
      <c r="I361" s="172" t="s">
        <v>4434</v>
      </c>
      <c r="J361" s="172" t="s">
        <v>4434</v>
      </c>
      <c r="K361" s="172" t="s">
        <v>4434</v>
      </c>
      <c r="L361" s="172" t="s">
        <v>4434</v>
      </c>
      <c r="M361" s="172" t="s">
        <v>4434</v>
      </c>
      <c r="N361" s="173" t="s">
        <v>4434</v>
      </c>
      <c r="O361" s="111"/>
      <c r="Q361">
        <v>46319</v>
      </c>
    </row>
    <row r="362" spans="1:17">
      <c r="A362" s="98">
        <v>9</v>
      </c>
      <c r="B362" s="114" t="s">
        <v>79</v>
      </c>
      <c r="C362" s="10" t="s">
        <v>23</v>
      </c>
      <c r="D362" s="109"/>
      <c r="E362" s="171" t="s">
        <v>4434</v>
      </c>
      <c r="F362" s="172" t="s">
        <v>4434</v>
      </c>
      <c r="G362" s="172" t="s">
        <v>4434</v>
      </c>
      <c r="H362" s="172" t="s">
        <v>4434</v>
      </c>
      <c r="I362" s="172" t="s">
        <v>4434</v>
      </c>
      <c r="J362" s="172" t="s">
        <v>4434</v>
      </c>
      <c r="K362" s="172" t="s">
        <v>4434</v>
      </c>
      <c r="L362" s="172" t="s">
        <v>4434</v>
      </c>
      <c r="M362" s="172" t="s">
        <v>4434</v>
      </c>
      <c r="N362" s="173" t="s">
        <v>4434</v>
      </c>
      <c r="O362" s="111"/>
      <c r="Q362">
        <v>46319</v>
      </c>
    </row>
    <row r="363" spans="1:17">
      <c r="A363" s="98">
        <v>10</v>
      </c>
      <c r="B363" s="114" t="s">
        <v>81</v>
      </c>
      <c r="C363" s="10" t="s">
        <v>23</v>
      </c>
      <c r="D363" s="109"/>
      <c r="E363" s="171" t="s">
        <v>4434</v>
      </c>
      <c r="F363" s="172" t="s">
        <v>4434</v>
      </c>
      <c r="G363" s="172" t="s">
        <v>4434</v>
      </c>
      <c r="H363" s="172" t="s">
        <v>4434</v>
      </c>
      <c r="I363" s="172" t="s">
        <v>4434</v>
      </c>
      <c r="J363" s="172" t="s">
        <v>4434</v>
      </c>
      <c r="K363" s="172" t="s">
        <v>4434</v>
      </c>
      <c r="L363" s="172" t="s">
        <v>4434</v>
      </c>
      <c r="M363" s="172" t="s">
        <v>4434</v>
      </c>
      <c r="N363" s="173" t="s">
        <v>4434</v>
      </c>
      <c r="O363" s="111"/>
      <c r="Q363">
        <v>46319</v>
      </c>
    </row>
    <row r="364" spans="1:17">
      <c r="A364" s="98">
        <v>11</v>
      </c>
      <c r="B364" s="114" t="s">
        <v>83</v>
      </c>
      <c r="C364" s="10" t="s">
        <v>23</v>
      </c>
      <c r="D364" s="109"/>
      <c r="E364" s="171" t="s">
        <v>4434</v>
      </c>
      <c r="F364" s="172" t="s">
        <v>4434</v>
      </c>
      <c r="G364" s="172" t="s">
        <v>4434</v>
      </c>
      <c r="H364" s="172" t="s">
        <v>4434</v>
      </c>
      <c r="I364" s="172" t="s">
        <v>4434</v>
      </c>
      <c r="J364" s="172" t="s">
        <v>4434</v>
      </c>
      <c r="K364" s="172" t="s">
        <v>4434</v>
      </c>
      <c r="L364" s="172" t="s">
        <v>4434</v>
      </c>
      <c r="M364" s="172" t="s">
        <v>4434</v>
      </c>
      <c r="N364" s="173" t="s">
        <v>4434</v>
      </c>
      <c r="O364" s="111"/>
      <c r="Q364">
        <v>46319</v>
      </c>
    </row>
    <row r="365" spans="1:17">
      <c r="A365" s="98">
        <v>12</v>
      </c>
      <c r="B365" s="114" t="s">
        <v>85</v>
      </c>
      <c r="C365" s="10" t="s">
        <v>23</v>
      </c>
      <c r="D365" s="109"/>
      <c r="E365" s="171" t="s">
        <v>4434</v>
      </c>
      <c r="F365" s="172" t="s">
        <v>4434</v>
      </c>
      <c r="G365" s="172" t="s">
        <v>4434</v>
      </c>
      <c r="H365" s="172" t="s">
        <v>4434</v>
      </c>
      <c r="I365" s="172" t="s">
        <v>4434</v>
      </c>
      <c r="J365" s="172" t="s">
        <v>4434</v>
      </c>
      <c r="K365" s="172" t="s">
        <v>4434</v>
      </c>
      <c r="L365" s="172" t="s">
        <v>4434</v>
      </c>
      <c r="M365" s="172" t="s">
        <v>4434</v>
      </c>
      <c r="N365" s="173" t="s">
        <v>4434</v>
      </c>
      <c r="O365" s="111"/>
      <c r="Q365">
        <v>46319</v>
      </c>
    </row>
    <row r="366" spans="1:17" ht="15" thickBot="1">
      <c r="A366" s="99">
        <v>13</v>
      </c>
      <c r="B366" s="116" t="s">
        <v>87</v>
      </c>
      <c r="C366" s="100" t="s">
        <v>23</v>
      </c>
      <c r="D366" s="110"/>
      <c r="E366" s="174" t="s">
        <v>4434</v>
      </c>
      <c r="F366" s="175" t="s">
        <v>4434</v>
      </c>
      <c r="G366" s="175" t="s">
        <v>4434</v>
      </c>
      <c r="H366" s="175" t="s">
        <v>4434</v>
      </c>
      <c r="I366" s="175" t="s">
        <v>4434</v>
      </c>
      <c r="J366" s="175" t="s">
        <v>4434</v>
      </c>
      <c r="K366" s="175" t="s">
        <v>4434</v>
      </c>
      <c r="L366" s="175" t="s">
        <v>4434</v>
      </c>
      <c r="M366" s="175" t="s">
        <v>4434</v>
      </c>
      <c r="N366" s="176" t="s">
        <v>4434</v>
      </c>
      <c r="O366" s="112"/>
      <c r="Q366">
        <v>46319</v>
      </c>
    </row>
    <row r="367" spans="1:17" ht="15" thickBot="1">
      <c r="A367" s="107"/>
      <c r="B367" s="108"/>
      <c r="C367" s="107"/>
      <c r="D367" s="107"/>
      <c r="E367" s="177"/>
      <c r="F367" s="177"/>
      <c r="G367" s="177"/>
      <c r="H367" s="177"/>
      <c r="I367" s="177"/>
      <c r="J367" s="177"/>
      <c r="K367" s="177"/>
      <c r="L367" s="177"/>
      <c r="M367" s="177"/>
      <c r="N367" s="177"/>
      <c r="O367" s="108"/>
    </row>
    <row r="368" spans="1:17" ht="26.1" customHeight="1">
      <c r="A368" s="225" t="s">
        <v>180</v>
      </c>
      <c r="B368" s="226"/>
      <c r="C368" s="227"/>
      <c r="D368" s="103" t="s">
        <v>155</v>
      </c>
      <c r="E368" s="168">
        <v>0.33333333333333331</v>
      </c>
      <c r="F368" s="169">
        <v>0.375</v>
      </c>
      <c r="G368" s="169">
        <v>0.41666666666666669</v>
      </c>
      <c r="H368" s="169">
        <v>0.45833333333333331</v>
      </c>
      <c r="I368" s="169">
        <v>0.5</v>
      </c>
      <c r="J368" s="169">
        <v>0.54166666666666663</v>
      </c>
      <c r="K368" s="169">
        <v>0.58333333333333337</v>
      </c>
      <c r="L368" s="169">
        <v>0.625</v>
      </c>
      <c r="M368" s="169">
        <v>0.66666666666666663</v>
      </c>
      <c r="N368" s="170">
        <v>0.70833333333333337</v>
      </c>
      <c r="O368" s="178" t="s">
        <v>228</v>
      </c>
      <c r="P368" s="102" t="s">
        <v>156</v>
      </c>
      <c r="Q368">
        <v>46320</v>
      </c>
    </row>
    <row r="369" spans="1:17">
      <c r="A369" s="98">
        <v>1</v>
      </c>
      <c r="B369" s="114" t="s">
        <v>63</v>
      </c>
      <c r="C369" s="8" t="s">
        <v>21</v>
      </c>
      <c r="D369" s="109"/>
      <c r="E369" s="171" t="s">
        <v>4434</v>
      </c>
      <c r="F369" s="172" t="s">
        <v>4434</v>
      </c>
      <c r="G369" s="172" t="s">
        <v>4434</v>
      </c>
      <c r="H369" s="172" t="s">
        <v>4434</v>
      </c>
      <c r="I369" s="172" t="s">
        <v>4434</v>
      </c>
      <c r="J369" s="172" t="s">
        <v>4434</v>
      </c>
      <c r="K369" s="172" t="s">
        <v>4434</v>
      </c>
      <c r="L369" s="172" t="s">
        <v>4434</v>
      </c>
      <c r="M369" s="172" t="s">
        <v>4434</v>
      </c>
      <c r="N369" s="173" t="s">
        <v>4434</v>
      </c>
      <c r="O369" s="111"/>
      <c r="Q369">
        <v>46320</v>
      </c>
    </row>
    <row r="370" spans="1:17">
      <c r="A370" s="98">
        <v>2</v>
      </c>
      <c r="B370" s="114" t="s">
        <v>65</v>
      </c>
      <c r="C370" s="8" t="s">
        <v>21</v>
      </c>
      <c r="D370" s="109"/>
      <c r="E370" s="171" t="s">
        <v>4434</v>
      </c>
      <c r="F370" s="172" t="s">
        <v>4434</v>
      </c>
      <c r="G370" s="172" t="s">
        <v>4434</v>
      </c>
      <c r="H370" s="172" t="s">
        <v>4434</v>
      </c>
      <c r="I370" s="172" t="s">
        <v>4434</v>
      </c>
      <c r="J370" s="172" t="s">
        <v>4434</v>
      </c>
      <c r="K370" s="172" t="s">
        <v>4434</v>
      </c>
      <c r="L370" s="172" t="s">
        <v>4434</v>
      </c>
      <c r="M370" s="172" t="s">
        <v>4434</v>
      </c>
      <c r="N370" s="173" t="s">
        <v>4434</v>
      </c>
      <c r="O370" s="111"/>
      <c r="Q370">
        <v>46320</v>
      </c>
    </row>
    <row r="371" spans="1:17">
      <c r="A371" s="98">
        <v>3</v>
      </c>
      <c r="B371" s="114" t="s">
        <v>67</v>
      </c>
      <c r="C371" s="8" t="s">
        <v>21</v>
      </c>
      <c r="D371" s="109"/>
      <c r="E371" s="171" t="s">
        <v>4434</v>
      </c>
      <c r="F371" s="172" t="s">
        <v>4434</v>
      </c>
      <c r="G371" s="172" t="s">
        <v>4434</v>
      </c>
      <c r="H371" s="172" t="s">
        <v>4434</v>
      </c>
      <c r="I371" s="172" t="s">
        <v>4434</v>
      </c>
      <c r="J371" s="172" t="s">
        <v>4434</v>
      </c>
      <c r="K371" s="172" t="s">
        <v>4434</v>
      </c>
      <c r="L371" s="172" t="s">
        <v>4434</v>
      </c>
      <c r="M371" s="172" t="s">
        <v>4434</v>
      </c>
      <c r="N371" s="173" t="s">
        <v>4434</v>
      </c>
      <c r="O371" s="111"/>
      <c r="Q371">
        <v>46320</v>
      </c>
    </row>
    <row r="372" spans="1:17">
      <c r="A372" s="98">
        <v>4</v>
      </c>
      <c r="B372" s="114" t="s">
        <v>69</v>
      </c>
      <c r="C372" s="9" t="s">
        <v>22</v>
      </c>
      <c r="D372" s="109"/>
      <c r="E372" s="171" t="s">
        <v>4434</v>
      </c>
      <c r="F372" s="172" t="s">
        <v>4434</v>
      </c>
      <c r="G372" s="172" t="s">
        <v>4434</v>
      </c>
      <c r="H372" s="172" t="s">
        <v>4434</v>
      </c>
      <c r="I372" s="172" t="s">
        <v>4434</v>
      </c>
      <c r="J372" s="172" t="s">
        <v>4434</v>
      </c>
      <c r="K372" s="172" t="s">
        <v>4434</v>
      </c>
      <c r="L372" s="172" t="s">
        <v>4434</v>
      </c>
      <c r="M372" s="172" t="s">
        <v>4434</v>
      </c>
      <c r="N372" s="173" t="s">
        <v>4434</v>
      </c>
      <c r="O372" s="111"/>
      <c r="Q372">
        <v>46320</v>
      </c>
    </row>
    <row r="373" spans="1:17">
      <c r="A373" s="98">
        <v>5</v>
      </c>
      <c r="B373" s="114" t="s">
        <v>71</v>
      </c>
      <c r="C373" s="9" t="s">
        <v>22</v>
      </c>
      <c r="D373" s="109"/>
      <c r="E373" s="171" t="s">
        <v>4434</v>
      </c>
      <c r="F373" s="172" t="s">
        <v>4434</v>
      </c>
      <c r="G373" s="172" t="s">
        <v>4434</v>
      </c>
      <c r="H373" s="172" t="s">
        <v>4434</v>
      </c>
      <c r="I373" s="172" t="s">
        <v>4434</v>
      </c>
      <c r="J373" s="172" t="s">
        <v>4434</v>
      </c>
      <c r="K373" s="172" t="s">
        <v>4434</v>
      </c>
      <c r="L373" s="172" t="s">
        <v>4434</v>
      </c>
      <c r="M373" s="172" t="s">
        <v>4434</v>
      </c>
      <c r="N373" s="173" t="s">
        <v>4434</v>
      </c>
      <c r="O373" s="111"/>
      <c r="Q373">
        <v>46320</v>
      </c>
    </row>
    <row r="374" spans="1:17">
      <c r="A374" s="98">
        <v>6</v>
      </c>
      <c r="B374" s="114" t="s">
        <v>73</v>
      </c>
      <c r="C374" s="10" t="s">
        <v>23</v>
      </c>
      <c r="D374" s="109"/>
      <c r="E374" s="171" t="s">
        <v>4434</v>
      </c>
      <c r="F374" s="172" t="s">
        <v>4434</v>
      </c>
      <c r="G374" s="172" t="s">
        <v>4434</v>
      </c>
      <c r="H374" s="172" t="s">
        <v>4434</v>
      </c>
      <c r="I374" s="172" t="s">
        <v>4434</v>
      </c>
      <c r="J374" s="172" t="s">
        <v>4434</v>
      </c>
      <c r="K374" s="172" t="s">
        <v>4434</v>
      </c>
      <c r="L374" s="172" t="s">
        <v>4434</v>
      </c>
      <c r="M374" s="172" t="s">
        <v>4434</v>
      </c>
      <c r="N374" s="173" t="s">
        <v>4434</v>
      </c>
      <c r="O374" s="111"/>
      <c r="Q374">
        <v>46320</v>
      </c>
    </row>
    <row r="375" spans="1:17">
      <c r="A375" s="98">
        <v>7</v>
      </c>
      <c r="B375" s="114" t="s">
        <v>75</v>
      </c>
      <c r="C375" s="10" t="s">
        <v>23</v>
      </c>
      <c r="D375" s="109"/>
      <c r="E375" s="171" t="s">
        <v>4434</v>
      </c>
      <c r="F375" s="172" t="s">
        <v>4434</v>
      </c>
      <c r="G375" s="172" t="s">
        <v>4434</v>
      </c>
      <c r="H375" s="172" t="s">
        <v>4434</v>
      </c>
      <c r="I375" s="172" t="s">
        <v>4434</v>
      </c>
      <c r="J375" s="172" t="s">
        <v>4434</v>
      </c>
      <c r="K375" s="172" t="s">
        <v>4434</v>
      </c>
      <c r="L375" s="172" t="s">
        <v>4434</v>
      </c>
      <c r="M375" s="172" t="s">
        <v>4434</v>
      </c>
      <c r="N375" s="173" t="s">
        <v>4434</v>
      </c>
      <c r="O375" s="111"/>
      <c r="Q375">
        <v>46320</v>
      </c>
    </row>
    <row r="376" spans="1:17">
      <c r="A376" s="98">
        <v>8</v>
      </c>
      <c r="B376" s="114" t="s">
        <v>77</v>
      </c>
      <c r="C376" s="10" t="s">
        <v>23</v>
      </c>
      <c r="D376" s="109"/>
      <c r="E376" s="171" t="s">
        <v>4434</v>
      </c>
      <c r="F376" s="172" t="s">
        <v>4434</v>
      </c>
      <c r="G376" s="172" t="s">
        <v>4434</v>
      </c>
      <c r="H376" s="172" t="s">
        <v>4434</v>
      </c>
      <c r="I376" s="172" t="s">
        <v>4434</v>
      </c>
      <c r="J376" s="172" t="s">
        <v>4434</v>
      </c>
      <c r="K376" s="172" t="s">
        <v>4434</v>
      </c>
      <c r="L376" s="172" t="s">
        <v>4434</v>
      </c>
      <c r="M376" s="172" t="s">
        <v>4434</v>
      </c>
      <c r="N376" s="173" t="s">
        <v>4434</v>
      </c>
      <c r="O376" s="111"/>
      <c r="Q376">
        <v>46320</v>
      </c>
    </row>
    <row r="377" spans="1:17">
      <c r="A377" s="98">
        <v>9</v>
      </c>
      <c r="B377" s="114" t="s">
        <v>79</v>
      </c>
      <c r="C377" s="10" t="s">
        <v>23</v>
      </c>
      <c r="D377" s="109"/>
      <c r="E377" s="171" t="s">
        <v>4434</v>
      </c>
      <c r="F377" s="172" t="s">
        <v>4434</v>
      </c>
      <c r="G377" s="172" t="s">
        <v>4434</v>
      </c>
      <c r="H377" s="172" t="s">
        <v>4434</v>
      </c>
      <c r="I377" s="172" t="s">
        <v>4434</v>
      </c>
      <c r="J377" s="172" t="s">
        <v>4434</v>
      </c>
      <c r="K377" s="172" t="s">
        <v>4434</v>
      </c>
      <c r="L377" s="172" t="s">
        <v>4434</v>
      </c>
      <c r="M377" s="172" t="s">
        <v>4434</v>
      </c>
      <c r="N377" s="173" t="s">
        <v>4434</v>
      </c>
      <c r="O377" s="111"/>
      <c r="Q377">
        <v>46320</v>
      </c>
    </row>
    <row r="378" spans="1:17">
      <c r="A378" s="98">
        <v>10</v>
      </c>
      <c r="B378" s="114" t="s">
        <v>81</v>
      </c>
      <c r="C378" s="10" t="s">
        <v>23</v>
      </c>
      <c r="D378" s="109"/>
      <c r="E378" s="171" t="s">
        <v>4434</v>
      </c>
      <c r="F378" s="172" t="s">
        <v>4434</v>
      </c>
      <c r="G378" s="172" t="s">
        <v>4434</v>
      </c>
      <c r="H378" s="172" t="s">
        <v>4434</v>
      </c>
      <c r="I378" s="172" t="s">
        <v>4434</v>
      </c>
      <c r="J378" s="172" t="s">
        <v>4434</v>
      </c>
      <c r="K378" s="172" t="s">
        <v>4434</v>
      </c>
      <c r="L378" s="172" t="s">
        <v>4434</v>
      </c>
      <c r="M378" s="172" t="s">
        <v>4434</v>
      </c>
      <c r="N378" s="173" t="s">
        <v>4434</v>
      </c>
      <c r="O378" s="111"/>
      <c r="Q378">
        <v>46320</v>
      </c>
    </row>
    <row r="379" spans="1:17">
      <c r="A379" s="98">
        <v>11</v>
      </c>
      <c r="B379" s="114" t="s">
        <v>83</v>
      </c>
      <c r="C379" s="10" t="s">
        <v>23</v>
      </c>
      <c r="D379" s="109"/>
      <c r="E379" s="171" t="s">
        <v>4434</v>
      </c>
      <c r="F379" s="172" t="s">
        <v>4434</v>
      </c>
      <c r="G379" s="172" t="s">
        <v>4434</v>
      </c>
      <c r="H379" s="172" t="s">
        <v>4434</v>
      </c>
      <c r="I379" s="172" t="s">
        <v>4434</v>
      </c>
      <c r="J379" s="172" t="s">
        <v>4434</v>
      </c>
      <c r="K379" s="172" t="s">
        <v>4434</v>
      </c>
      <c r="L379" s="172" t="s">
        <v>4434</v>
      </c>
      <c r="M379" s="172" t="s">
        <v>4434</v>
      </c>
      <c r="N379" s="173" t="s">
        <v>4434</v>
      </c>
      <c r="O379" s="111"/>
      <c r="Q379">
        <v>46320</v>
      </c>
    </row>
    <row r="380" spans="1:17">
      <c r="A380" s="98">
        <v>12</v>
      </c>
      <c r="B380" s="114" t="s">
        <v>85</v>
      </c>
      <c r="C380" s="10" t="s">
        <v>23</v>
      </c>
      <c r="D380" s="109"/>
      <c r="E380" s="171" t="s">
        <v>4434</v>
      </c>
      <c r="F380" s="172" t="s">
        <v>4434</v>
      </c>
      <c r="G380" s="172" t="s">
        <v>4434</v>
      </c>
      <c r="H380" s="172" t="s">
        <v>4434</v>
      </c>
      <c r="I380" s="172" t="s">
        <v>4434</v>
      </c>
      <c r="J380" s="172" t="s">
        <v>4434</v>
      </c>
      <c r="K380" s="172" t="s">
        <v>4434</v>
      </c>
      <c r="L380" s="172" t="s">
        <v>4434</v>
      </c>
      <c r="M380" s="172" t="s">
        <v>4434</v>
      </c>
      <c r="N380" s="173" t="s">
        <v>4434</v>
      </c>
      <c r="O380" s="111"/>
      <c r="Q380">
        <v>46320</v>
      </c>
    </row>
    <row r="381" spans="1:17" ht="15" thickBot="1">
      <c r="A381" s="99">
        <v>13</v>
      </c>
      <c r="B381" s="116" t="s">
        <v>87</v>
      </c>
      <c r="C381" s="100" t="s">
        <v>23</v>
      </c>
      <c r="D381" s="110"/>
      <c r="E381" s="174" t="s">
        <v>4434</v>
      </c>
      <c r="F381" s="175" t="s">
        <v>4434</v>
      </c>
      <c r="G381" s="175" t="s">
        <v>4434</v>
      </c>
      <c r="H381" s="175" t="s">
        <v>4434</v>
      </c>
      <c r="I381" s="175" t="s">
        <v>4434</v>
      </c>
      <c r="J381" s="175" t="s">
        <v>4434</v>
      </c>
      <c r="K381" s="175" t="s">
        <v>4434</v>
      </c>
      <c r="L381" s="175" t="s">
        <v>4434</v>
      </c>
      <c r="M381" s="175" t="s">
        <v>4434</v>
      </c>
      <c r="N381" s="176" t="s">
        <v>4434</v>
      </c>
      <c r="O381" s="112"/>
      <c r="Q381">
        <v>46320</v>
      </c>
    </row>
    <row r="382" spans="1:17" ht="15" thickBot="1">
      <c r="A382" s="107"/>
      <c r="B382" s="108"/>
      <c r="C382" s="107"/>
      <c r="D382" s="107"/>
      <c r="E382" s="177"/>
      <c r="F382" s="177"/>
      <c r="G382" s="177"/>
      <c r="H382" s="177"/>
      <c r="I382" s="177"/>
      <c r="J382" s="177"/>
      <c r="K382" s="177"/>
      <c r="L382" s="177"/>
      <c r="M382" s="177"/>
      <c r="N382" s="177"/>
      <c r="O382" s="108"/>
    </row>
    <row r="383" spans="1:17" ht="26.1" customHeight="1">
      <c r="A383" s="228" t="s">
        <v>181</v>
      </c>
      <c r="B383" s="229"/>
      <c r="C383" s="230"/>
      <c r="D383" s="103" t="s">
        <v>155</v>
      </c>
      <c r="E383" s="168">
        <v>0.33333333333333331</v>
      </c>
      <c r="F383" s="169">
        <v>0.375</v>
      </c>
      <c r="G383" s="169">
        <v>0.41666666666666669</v>
      </c>
      <c r="H383" s="169">
        <v>0.45833333333333331</v>
      </c>
      <c r="I383" s="169">
        <v>0.5</v>
      </c>
      <c r="J383" s="169">
        <v>0.54166666666666663</v>
      </c>
      <c r="K383" s="169">
        <v>0.58333333333333337</v>
      </c>
      <c r="L383" s="169">
        <v>0.625</v>
      </c>
      <c r="M383" s="169">
        <v>0.66666666666666663</v>
      </c>
      <c r="N383" s="170">
        <v>0.70833333333333337</v>
      </c>
      <c r="O383" s="196" t="s">
        <v>262</v>
      </c>
      <c r="P383" s="102" t="s">
        <v>156</v>
      </c>
      <c r="Q383">
        <v>46321</v>
      </c>
    </row>
    <row r="384" spans="1:17">
      <c r="A384" s="98">
        <v>1</v>
      </c>
      <c r="B384" s="113" t="s">
        <v>63</v>
      </c>
      <c r="C384" s="8" t="s">
        <v>21</v>
      </c>
      <c r="D384" s="109"/>
      <c r="E384" s="171"/>
      <c r="F384" s="172"/>
      <c r="G384" s="172"/>
      <c r="H384" s="172"/>
      <c r="I384" s="172"/>
      <c r="J384" s="172" t="s">
        <v>4492</v>
      </c>
      <c r="K384" s="172"/>
      <c r="L384" s="172"/>
      <c r="M384" s="172"/>
      <c r="N384" s="173"/>
      <c r="O384" s="111"/>
      <c r="Q384">
        <v>46321</v>
      </c>
    </row>
    <row r="385" spans="1:18">
      <c r="A385" s="98">
        <v>2</v>
      </c>
      <c r="B385" s="114" t="s">
        <v>65</v>
      </c>
      <c r="C385" s="8" t="s">
        <v>21</v>
      </c>
      <c r="D385" s="109"/>
      <c r="E385" s="171" t="s">
        <v>4434</v>
      </c>
      <c r="F385" s="172" t="s">
        <v>4434</v>
      </c>
      <c r="G385" s="172" t="s">
        <v>4434</v>
      </c>
      <c r="H385" s="172" t="s">
        <v>4434</v>
      </c>
      <c r="I385" s="172" t="s">
        <v>4434</v>
      </c>
      <c r="J385" s="172" t="s">
        <v>4434</v>
      </c>
      <c r="K385" s="172" t="s">
        <v>4434</v>
      </c>
      <c r="L385" s="172" t="s">
        <v>4434</v>
      </c>
      <c r="M385" s="172" t="s">
        <v>4434</v>
      </c>
      <c r="N385" s="173" t="s">
        <v>4434</v>
      </c>
      <c r="O385" s="111"/>
      <c r="Q385">
        <v>46321</v>
      </c>
    </row>
    <row r="386" spans="1:18">
      <c r="A386" s="98">
        <v>3</v>
      </c>
      <c r="B386" s="113" t="s">
        <v>67</v>
      </c>
      <c r="C386" s="8" t="s">
        <v>21</v>
      </c>
      <c r="D386" s="109"/>
      <c r="E386" s="171"/>
      <c r="F386" s="172"/>
      <c r="G386" s="172"/>
      <c r="H386" s="172"/>
      <c r="I386" s="172"/>
      <c r="J386" s="172" t="s">
        <v>4492</v>
      </c>
      <c r="K386" s="172"/>
      <c r="L386" s="172"/>
      <c r="M386" s="172"/>
      <c r="N386" s="173"/>
      <c r="O386" s="111"/>
      <c r="Q386">
        <v>46321</v>
      </c>
    </row>
    <row r="387" spans="1:18">
      <c r="A387" s="98">
        <v>4</v>
      </c>
      <c r="B387" s="113" t="s">
        <v>69</v>
      </c>
      <c r="C387" s="9" t="s">
        <v>22</v>
      </c>
      <c r="D387" s="109"/>
      <c r="E387" s="171"/>
      <c r="F387" s="172"/>
      <c r="G387" s="184"/>
      <c r="H387" s="172"/>
      <c r="I387" s="172" t="s">
        <v>4492</v>
      </c>
      <c r="J387" s="179" t="s">
        <v>124</v>
      </c>
      <c r="K387" s="172"/>
      <c r="L387" s="172"/>
      <c r="M387" s="172"/>
      <c r="N387" s="173"/>
      <c r="O387" s="111"/>
      <c r="Q387">
        <v>46321</v>
      </c>
      <c r="R387" s="194" t="s">
        <v>256</v>
      </c>
    </row>
    <row r="388" spans="1:18">
      <c r="A388" s="98">
        <v>5</v>
      </c>
      <c r="B388" s="113" t="s">
        <v>71</v>
      </c>
      <c r="C388" s="9" t="s">
        <v>22</v>
      </c>
      <c r="D388" s="109"/>
      <c r="E388" s="171"/>
      <c r="F388" s="172"/>
      <c r="G388" s="179" t="s">
        <v>122</v>
      </c>
      <c r="H388" s="172"/>
      <c r="I388" s="172"/>
      <c r="J388" s="172" t="s">
        <v>4492</v>
      </c>
      <c r="K388" s="172"/>
      <c r="L388" s="172"/>
      <c r="M388" s="172"/>
      <c r="N388" s="173"/>
      <c r="O388" s="111"/>
      <c r="Q388">
        <v>46321</v>
      </c>
      <c r="R388" s="194" t="s">
        <v>255</v>
      </c>
    </row>
    <row r="389" spans="1:18">
      <c r="A389" s="98">
        <v>6</v>
      </c>
      <c r="B389" s="113" t="s">
        <v>73</v>
      </c>
      <c r="C389" s="10" t="s">
        <v>23</v>
      </c>
      <c r="D389" s="186" t="s">
        <v>57</v>
      </c>
      <c r="E389" s="171"/>
      <c r="F389" s="172"/>
      <c r="G389" s="172"/>
      <c r="H389" s="172"/>
      <c r="I389" s="172" t="s">
        <v>4492</v>
      </c>
      <c r="J389" s="172"/>
      <c r="K389" s="172"/>
      <c r="L389" s="172"/>
      <c r="M389" s="172"/>
      <c r="N389" s="173"/>
      <c r="O389" s="111"/>
      <c r="Q389">
        <v>46321</v>
      </c>
      <c r="R389" s="194" t="s">
        <v>254</v>
      </c>
    </row>
    <row r="390" spans="1:18">
      <c r="A390" s="98">
        <v>7</v>
      </c>
      <c r="B390" s="113" t="s">
        <v>75</v>
      </c>
      <c r="C390" s="10" t="s">
        <v>23</v>
      </c>
      <c r="D390" s="109"/>
      <c r="E390" s="171"/>
      <c r="F390" s="172"/>
      <c r="G390" s="172"/>
      <c r="H390" s="172"/>
      <c r="I390" s="172" t="s">
        <v>4492</v>
      </c>
      <c r="J390" s="172"/>
      <c r="K390" s="172"/>
      <c r="L390" s="172"/>
      <c r="M390" s="172"/>
      <c r="N390" s="173"/>
      <c r="O390" s="111"/>
      <c r="Q390">
        <v>46321</v>
      </c>
    </row>
    <row r="391" spans="1:18">
      <c r="A391" s="98">
        <v>8</v>
      </c>
      <c r="B391" s="113" t="s">
        <v>77</v>
      </c>
      <c r="C391" s="10" t="s">
        <v>23</v>
      </c>
      <c r="D391" s="192"/>
      <c r="E391" s="171"/>
      <c r="F391" s="172"/>
      <c r="G391" s="172"/>
      <c r="H391" s="172"/>
      <c r="I391" s="172" t="s">
        <v>4492</v>
      </c>
      <c r="J391" s="172"/>
      <c r="K391" s="172"/>
      <c r="L391" s="172"/>
      <c r="M391" s="172"/>
      <c r="N391" s="173"/>
      <c r="O391" s="111"/>
      <c r="Q391">
        <v>46321</v>
      </c>
    </row>
    <row r="392" spans="1:18">
      <c r="A392" s="98">
        <v>9</v>
      </c>
      <c r="B392" s="113" t="s">
        <v>79</v>
      </c>
      <c r="C392" s="10" t="s">
        <v>23</v>
      </c>
      <c r="D392" s="109"/>
      <c r="E392" s="171"/>
      <c r="F392" s="172"/>
      <c r="G392" s="172"/>
      <c r="H392" s="172"/>
      <c r="I392" s="172" t="s">
        <v>4492</v>
      </c>
      <c r="J392" s="172"/>
      <c r="K392" s="184"/>
      <c r="L392" s="172"/>
      <c r="M392" s="172"/>
      <c r="N392" s="173"/>
      <c r="O392" s="111"/>
      <c r="Q392">
        <v>46321</v>
      </c>
    </row>
    <row r="393" spans="1:18">
      <c r="A393" s="98">
        <v>10</v>
      </c>
      <c r="B393" s="113" t="s">
        <v>81</v>
      </c>
      <c r="C393" s="10" t="s">
        <v>23</v>
      </c>
      <c r="D393" s="109"/>
      <c r="E393" s="171"/>
      <c r="F393" s="172"/>
      <c r="G393" s="179" t="s">
        <v>122</v>
      </c>
      <c r="H393" s="172"/>
      <c r="I393" s="172" t="s">
        <v>4492</v>
      </c>
      <c r="J393" s="179" t="s">
        <v>124</v>
      </c>
      <c r="K393" s="179" t="s">
        <v>226</v>
      </c>
      <c r="L393" s="172"/>
      <c r="M393" s="172"/>
      <c r="N393" s="195" t="s">
        <v>252</v>
      </c>
      <c r="O393" s="111"/>
      <c r="Q393">
        <v>46321</v>
      </c>
      <c r="R393" s="194" t="s">
        <v>261</v>
      </c>
    </row>
    <row r="394" spans="1:18">
      <c r="A394" s="98">
        <v>11</v>
      </c>
      <c r="B394" s="113" t="s">
        <v>83</v>
      </c>
      <c r="C394" s="10" t="s">
        <v>23</v>
      </c>
      <c r="D394" s="109"/>
      <c r="E394" s="171"/>
      <c r="F394" s="172"/>
      <c r="G394" s="179" t="s">
        <v>122</v>
      </c>
      <c r="H394" s="172"/>
      <c r="I394" s="172" t="s">
        <v>4492</v>
      </c>
      <c r="J394" s="179" t="s">
        <v>124</v>
      </c>
      <c r="K394" s="179" t="s">
        <v>224</v>
      </c>
      <c r="L394" s="172"/>
      <c r="M394" s="172"/>
      <c r="N394" s="195" t="s">
        <v>252</v>
      </c>
      <c r="O394" s="111"/>
      <c r="Q394">
        <v>46321</v>
      </c>
      <c r="R394" s="194" t="s">
        <v>264</v>
      </c>
    </row>
    <row r="395" spans="1:18">
      <c r="A395" s="98">
        <v>12</v>
      </c>
      <c r="B395" s="113" t="s">
        <v>85</v>
      </c>
      <c r="C395" s="10" t="s">
        <v>23</v>
      </c>
      <c r="D395" s="186" t="s">
        <v>57</v>
      </c>
      <c r="E395" s="171"/>
      <c r="F395" s="172"/>
      <c r="G395" s="184"/>
      <c r="H395" s="172"/>
      <c r="I395" s="172" t="s">
        <v>4492</v>
      </c>
      <c r="J395" s="184"/>
      <c r="K395" s="172"/>
      <c r="L395" s="172"/>
      <c r="M395" s="172"/>
      <c r="N395" s="173"/>
      <c r="O395" s="111"/>
      <c r="Q395">
        <v>46321</v>
      </c>
      <c r="R395" s="194" t="s">
        <v>254</v>
      </c>
    </row>
    <row r="396" spans="1:18" ht="15" thickBot="1">
      <c r="A396" s="99">
        <v>13</v>
      </c>
      <c r="B396" s="115" t="s">
        <v>87</v>
      </c>
      <c r="C396" s="100" t="s">
        <v>23</v>
      </c>
      <c r="D396" s="187" t="s">
        <v>57</v>
      </c>
      <c r="E396" s="174"/>
      <c r="F396" s="175"/>
      <c r="G396" s="175"/>
      <c r="H396" s="175"/>
      <c r="I396" s="175" t="s">
        <v>4492</v>
      </c>
      <c r="J396" s="185"/>
      <c r="K396" s="175"/>
      <c r="L396" s="175"/>
      <c r="M396" s="175"/>
      <c r="N396" s="176"/>
      <c r="O396" s="112"/>
      <c r="Q396">
        <v>46321</v>
      </c>
      <c r="R396" s="194" t="s">
        <v>254</v>
      </c>
    </row>
    <row r="397" spans="1:18" ht="15" thickBot="1">
      <c r="A397" s="107"/>
      <c r="B397" s="108"/>
      <c r="C397" s="107"/>
      <c r="D397" s="107"/>
      <c r="E397" s="177"/>
      <c r="F397" s="177"/>
      <c r="G397" s="177"/>
      <c r="H397" s="177"/>
      <c r="I397" s="177"/>
      <c r="J397" s="177"/>
      <c r="K397" s="177"/>
      <c r="L397" s="177"/>
      <c r="M397" s="177"/>
      <c r="N397" s="177"/>
      <c r="O397" s="108"/>
    </row>
    <row r="398" spans="1:18" ht="26.1" customHeight="1">
      <c r="A398" s="228" t="s">
        <v>182</v>
      </c>
      <c r="B398" s="229"/>
      <c r="C398" s="230"/>
      <c r="D398" s="103" t="s">
        <v>155</v>
      </c>
      <c r="E398" s="168">
        <v>0.33333333333333331</v>
      </c>
      <c r="F398" s="169">
        <v>0.375</v>
      </c>
      <c r="G398" s="169">
        <v>0.41666666666666669</v>
      </c>
      <c r="H398" s="169">
        <v>0.45833333333333331</v>
      </c>
      <c r="I398" s="169">
        <v>0.5</v>
      </c>
      <c r="J398" s="169">
        <v>0.54166666666666663</v>
      </c>
      <c r="K398" s="169">
        <v>0.58333333333333337</v>
      </c>
      <c r="L398" s="169">
        <v>0.625</v>
      </c>
      <c r="M398" s="169">
        <v>0.66666666666666663</v>
      </c>
      <c r="N398" s="170">
        <v>0.70833333333333337</v>
      </c>
      <c r="O398" s="196" t="s">
        <v>262</v>
      </c>
      <c r="P398" s="102" t="s">
        <v>156</v>
      </c>
      <c r="Q398">
        <v>46322</v>
      </c>
    </row>
    <row r="399" spans="1:18">
      <c r="A399" s="98">
        <v>1</v>
      </c>
      <c r="B399" s="113" t="s">
        <v>63</v>
      </c>
      <c r="C399" s="8" t="s">
        <v>21</v>
      </c>
      <c r="D399" s="109"/>
      <c r="E399" s="171"/>
      <c r="F399" s="172"/>
      <c r="G399" s="172"/>
      <c r="H399" s="172"/>
      <c r="I399" s="172"/>
      <c r="J399" s="172" t="s">
        <v>4492</v>
      </c>
      <c r="K399" s="172"/>
      <c r="L399" s="172"/>
      <c r="M399" s="172"/>
      <c r="N399" s="173"/>
      <c r="O399" s="111"/>
      <c r="Q399">
        <v>46322</v>
      </c>
    </row>
    <row r="400" spans="1:18">
      <c r="A400" s="98">
        <v>2</v>
      </c>
      <c r="B400" s="113" t="s">
        <v>65</v>
      </c>
      <c r="C400" s="8" t="s">
        <v>21</v>
      </c>
      <c r="D400" s="109"/>
      <c r="E400" s="171"/>
      <c r="F400" s="172"/>
      <c r="G400" s="172"/>
      <c r="H400" s="172"/>
      <c r="I400" s="172" t="s">
        <v>4492</v>
      </c>
      <c r="J400" s="172"/>
      <c r="K400" s="172"/>
      <c r="L400" s="172"/>
      <c r="M400" s="172"/>
      <c r="N400" s="173"/>
      <c r="O400" s="111"/>
      <c r="Q400">
        <v>46322</v>
      </c>
    </row>
    <row r="401" spans="1:18">
      <c r="A401" s="98">
        <v>3</v>
      </c>
      <c r="B401" s="113" t="s">
        <v>67</v>
      </c>
      <c r="C401" s="8" t="s">
        <v>21</v>
      </c>
      <c r="D401" s="109"/>
      <c r="E401" s="171"/>
      <c r="F401" s="172"/>
      <c r="G401" s="172"/>
      <c r="H401" s="172"/>
      <c r="I401" s="172"/>
      <c r="J401" s="172" t="s">
        <v>4492</v>
      </c>
      <c r="K401" s="172"/>
      <c r="L401" s="172"/>
      <c r="M401" s="172"/>
      <c r="N401" s="173"/>
      <c r="O401" s="111"/>
      <c r="Q401">
        <v>46322</v>
      </c>
    </row>
    <row r="402" spans="1:18">
      <c r="A402" s="98">
        <v>4</v>
      </c>
      <c r="B402" s="114" t="s">
        <v>69</v>
      </c>
      <c r="C402" s="9" t="s">
        <v>22</v>
      </c>
      <c r="D402" s="109"/>
      <c r="E402" s="171" t="s">
        <v>4434</v>
      </c>
      <c r="F402" s="172" t="s">
        <v>4434</v>
      </c>
      <c r="G402" s="172" t="s">
        <v>4434</v>
      </c>
      <c r="H402" s="172" t="s">
        <v>4434</v>
      </c>
      <c r="I402" s="172" t="s">
        <v>4434</v>
      </c>
      <c r="J402" s="172" t="s">
        <v>4434</v>
      </c>
      <c r="K402" s="172" t="s">
        <v>4434</v>
      </c>
      <c r="L402" s="172" t="s">
        <v>4434</v>
      </c>
      <c r="M402" s="172" t="s">
        <v>4434</v>
      </c>
      <c r="N402" s="173" t="s">
        <v>4434</v>
      </c>
      <c r="O402" s="111"/>
      <c r="Q402">
        <v>46322</v>
      </c>
    </row>
    <row r="403" spans="1:18">
      <c r="A403" s="98">
        <v>5</v>
      </c>
      <c r="B403" s="113" t="s">
        <v>71</v>
      </c>
      <c r="C403" s="9" t="s">
        <v>22</v>
      </c>
      <c r="D403" s="109"/>
      <c r="E403" s="171"/>
      <c r="F403" s="172"/>
      <c r="G403" s="179" t="s">
        <v>122</v>
      </c>
      <c r="H403" s="172"/>
      <c r="I403" s="172"/>
      <c r="J403" s="172" t="s">
        <v>4492</v>
      </c>
      <c r="K403" s="172"/>
      <c r="L403" s="172"/>
      <c r="M403" s="172"/>
      <c r="N403" s="195" t="s">
        <v>252</v>
      </c>
      <c r="O403" s="111"/>
      <c r="Q403">
        <v>46322</v>
      </c>
      <c r="R403" s="194" t="s">
        <v>266</v>
      </c>
    </row>
    <row r="404" spans="1:18">
      <c r="A404" s="98">
        <v>6</v>
      </c>
      <c r="B404" s="114" t="s">
        <v>73</v>
      </c>
      <c r="C404" s="10" t="s">
        <v>23</v>
      </c>
      <c r="D404" s="109"/>
      <c r="E404" s="171" t="s">
        <v>4434</v>
      </c>
      <c r="F404" s="172" t="s">
        <v>4434</v>
      </c>
      <c r="G404" s="172" t="s">
        <v>4434</v>
      </c>
      <c r="H404" s="172" t="s">
        <v>4434</v>
      </c>
      <c r="I404" s="172" t="s">
        <v>4434</v>
      </c>
      <c r="J404" s="172" t="s">
        <v>4434</v>
      </c>
      <c r="K404" s="172" t="s">
        <v>4434</v>
      </c>
      <c r="L404" s="172" t="s">
        <v>4434</v>
      </c>
      <c r="M404" s="172" t="s">
        <v>4434</v>
      </c>
      <c r="N404" s="173" t="s">
        <v>4434</v>
      </c>
      <c r="O404" s="111"/>
      <c r="Q404">
        <v>46322</v>
      </c>
    </row>
    <row r="405" spans="1:18">
      <c r="A405" s="98">
        <v>7</v>
      </c>
      <c r="B405" s="113" t="s">
        <v>75</v>
      </c>
      <c r="C405" s="10" t="s">
        <v>23</v>
      </c>
      <c r="D405" s="186" t="s">
        <v>57</v>
      </c>
      <c r="E405" s="171"/>
      <c r="F405" s="172"/>
      <c r="G405" s="172"/>
      <c r="H405" s="172"/>
      <c r="I405" s="172" t="s">
        <v>4492</v>
      </c>
      <c r="J405" s="172"/>
      <c r="K405" s="172"/>
      <c r="L405" s="172"/>
      <c r="M405" s="172"/>
      <c r="N405" s="173"/>
      <c r="O405" s="111"/>
      <c r="Q405">
        <v>46322</v>
      </c>
      <c r="R405" s="194" t="s">
        <v>254</v>
      </c>
    </row>
    <row r="406" spans="1:18">
      <c r="A406" s="98">
        <v>8</v>
      </c>
      <c r="B406" s="113" t="s">
        <v>77</v>
      </c>
      <c r="C406" s="10" t="s">
        <v>23</v>
      </c>
      <c r="D406" s="186" t="s">
        <v>57</v>
      </c>
      <c r="E406" s="171"/>
      <c r="F406" s="172"/>
      <c r="G406" s="172"/>
      <c r="H406" s="172"/>
      <c r="I406" s="172" t="s">
        <v>4492</v>
      </c>
      <c r="J406" s="172"/>
      <c r="K406" s="172"/>
      <c r="L406" s="172"/>
      <c r="M406" s="172"/>
      <c r="N406" s="173"/>
      <c r="O406" s="111"/>
      <c r="Q406">
        <v>46322</v>
      </c>
      <c r="R406" s="194" t="s">
        <v>254</v>
      </c>
    </row>
    <row r="407" spans="1:18">
      <c r="A407" s="98">
        <v>9</v>
      </c>
      <c r="B407" s="113" t="s">
        <v>79</v>
      </c>
      <c r="C407" s="10" t="s">
        <v>23</v>
      </c>
      <c r="D407" s="186" t="s">
        <v>57</v>
      </c>
      <c r="E407" s="171"/>
      <c r="F407" s="172"/>
      <c r="G407" s="172"/>
      <c r="H407" s="172"/>
      <c r="I407" s="172" t="s">
        <v>4492</v>
      </c>
      <c r="J407" s="172"/>
      <c r="K407" s="184"/>
      <c r="L407" s="172"/>
      <c r="M407" s="172"/>
      <c r="N407" s="173"/>
      <c r="O407" s="111"/>
      <c r="Q407">
        <v>46322</v>
      </c>
      <c r="R407" s="194" t="s">
        <v>254</v>
      </c>
    </row>
    <row r="408" spans="1:18">
      <c r="A408" s="98">
        <v>10</v>
      </c>
      <c r="B408" s="114" t="s">
        <v>81</v>
      </c>
      <c r="C408" s="10" t="s">
        <v>23</v>
      </c>
      <c r="D408" s="109"/>
      <c r="E408" s="171" t="s">
        <v>4434</v>
      </c>
      <c r="F408" s="172" t="s">
        <v>4434</v>
      </c>
      <c r="G408" s="172" t="s">
        <v>4434</v>
      </c>
      <c r="H408" s="172" t="s">
        <v>4434</v>
      </c>
      <c r="I408" s="172" t="s">
        <v>4434</v>
      </c>
      <c r="J408" s="172" t="s">
        <v>4434</v>
      </c>
      <c r="K408" s="172" t="s">
        <v>4434</v>
      </c>
      <c r="L408" s="172" t="s">
        <v>4434</v>
      </c>
      <c r="M408" s="172" t="s">
        <v>4434</v>
      </c>
      <c r="N408" s="173" t="s">
        <v>4434</v>
      </c>
      <c r="O408" s="111"/>
      <c r="Q408">
        <v>46322</v>
      </c>
    </row>
    <row r="409" spans="1:18">
      <c r="A409" s="98">
        <v>11</v>
      </c>
      <c r="B409" s="113" t="s">
        <v>83</v>
      </c>
      <c r="C409" s="10" t="s">
        <v>23</v>
      </c>
      <c r="D409" s="109"/>
      <c r="E409" s="171"/>
      <c r="F409" s="172"/>
      <c r="G409" s="184"/>
      <c r="H409" s="172"/>
      <c r="I409" s="172" t="s">
        <v>4492</v>
      </c>
      <c r="J409" s="179" t="s">
        <v>124</v>
      </c>
      <c r="K409" s="184"/>
      <c r="L409" s="172"/>
      <c r="M409" s="172"/>
      <c r="N409" s="195" t="s">
        <v>252</v>
      </c>
      <c r="O409" s="111"/>
      <c r="Q409">
        <v>46322</v>
      </c>
      <c r="R409" s="194" t="s">
        <v>265</v>
      </c>
    </row>
    <row r="410" spans="1:18">
      <c r="A410" s="98">
        <v>12</v>
      </c>
      <c r="B410" s="113" t="s">
        <v>85</v>
      </c>
      <c r="C410" s="10" t="s">
        <v>23</v>
      </c>
      <c r="D410" s="109"/>
      <c r="E410" s="171"/>
      <c r="F410" s="172"/>
      <c r="G410" s="179" t="s">
        <v>122</v>
      </c>
      <c r="H410" s="172"/>
      <c r="I410" s="172" t="s">
        <v>4492</v>
      </c>
      <c r="J410" s="179" t="s">
        <v>124</v>
      </c>
      <c r="K410" s="179" t="s">
        <v>224</v>
      </c>
      <c r="L410" s="172"/>
      <c r="M410" s="172"/>
      <c r="N410" s="173"/>
      <c r="O410" s="111"/>
      <c r="Q410">
        <v>46322</v>
      </c>
      <c r="R410" s="194" t="s">
        <v>263</v>
      </c>
    </row>
    <row r="411" spans="1:18" ht="15" thickBot="1">
      <c r="A411" s="99">
        <v>13</v>
      </c>
      <c r="B411" s="115" t="s">
        <v>87</v>
      </c>
      <c r="C411" s="100" t="s">
        <v>23</v>
      </c>
      <c r="D411" s="110"/>
      <c r="E411" s="174"/>
      <c r="F411" s="175"/>
      <c r="G411" s="180" t="s">
        <v>122</v>
      </c>
      <c r="H411" s="175"/>
      <c r="I411" s="175" t="s">
        <v>4492</v>
      </c>
      <c r="J411" s="180" t="s">
        <v>124</v>
      </c>
      <c r="K411" s="180" t="s">
        <v>226</v>
      </c>
      <c r="L411" s="175"/>
      <c r="M411" s="175"/>
      <c r="N411" s="176"/>
      <c r="O411" s="112"/>
      <c r="Q411">
        <v>46322</v>
      </c>
      <c r="R411" s="194" t="s">
        <v>259</v>
      </c>
    </row>
    <row r="412" spans="1:18" ht="15" thickBot="1">
      <c r="A412" s="107"/>
      <c r="B412" s="108"/>
      <c r="C412" s="107"/>
      <c r="D412" s="107"/>
      <c r="E412" s="177"/>
      <c r="F412" s="177"/>
      <c r="G412" s="177"/>
      <c r="H412" s="177"/>
      <c r="I412" s="177"/>
      <c r="J412" s="177"/>
      <c r="K412" s="177"/>
      <c r="L412" s="177"/>
      <c r="M412" s="177"/>
      <c r="N412" s="177"/>
      <c r="O412" s="108"/>
    </row>
    <row r="413" spans="1:18" ht="26.1" customHeight="1">
      <c r="A413" s="228" t="s">
        <v>183</v>
      </c>
      <c r="B413" s="229"/>
      <c r="C413" s="230"/>
      <c r="D413" s="103" t="s">
        <v>155</v>
      </c>
      <c r="E413" s="168">
        <v>0.33333333333333331</v>
      </c>
      <c r="F413" s="169">
        <v>0.375</v>
      </c>
      <c r="G413" s="169">
        <v>0.41666666666666669</v>
      </c>
      <c r="H413" s="169">
        <v>0.45833333333333331</v>
      </c>
      <c r="I413" s="169">
        <v>0.5</v>
      </c>
      <c r="J413" s="169">
        <v>0.54166666666666663</v>
      </c>
      <c r="K413" s="169">
        <v>0.58333333333333337</v>
      </c>
      <c r="L413" s="169">
        <v>0.625</v>
      </c>
      <c r="M413" s="169">
        <v>0.66666666666666663</v>
      </c>
      <c r="N413" s="170">
        <v>0.70833333333333337</v>
      </c>
      <c r="O413" s="196" t="s">
        <v>262</v>
      </c>
      <c r="P413" s="102" t="s">
        <v>156</v>
      </c>
      <c r="Q413">
        <v>46323</v>
      </c>
    </row>
    <row r="414" spans="1:18">
      <c r="A414" s="98">
        <v>1</v>
      </c>
      <c r="B414" s="113" t="s">
        <v>63</v>
      </c>
      <c r="C414" s="8" t="s">
        <v>21</v>
      </c>
      <c r="D414" s="109"/>
      <c r="E414" s="171"/>
      <c r="F414" s="172"/>
      <c r="G414" s="172"/>
      <c r="H414" s="172"/>
      <c r="I414" s="172"/>
      <c r="J414" s="172" t="s">
        <v>4492</v>
      </c>
      <c r="K414" s="172"/>
      <c r="L414" s="172"/>
      <c r="M414" s="172"/>
      <c r="N414" s="173"/>
      <c r="O414" s="111"/>
      <c r="Q414">
        <v>46323</v>
      </c>
    </row>
    <row r="415" spans="1:18">
      <c r="A415" s="98">
        <v>2</v>
      </c>
      <c r="B415" s="113" t="s">
        <v>65</v>
      </c>
      <c r="C415" s="8" t="s">
        <v>21</v>
      </c>
      <c r="D415" s="109"/>
      <c r="E415" s="171"/>
      <c r="F415" s="172"/>
      <c r="G415" s="172"/>
      <c r="H415" s="172"/>
      <c r="I415" s="172" t="s">
        <v>4492</v>
      </c>
      <c r="J415" s="172"/>
      <c r="K415" s="172"/>
      <c r="L415" s="172"/>
      <c r="M415" s="172"/>
      <c r="N415" s="173"/>
      <c r="O415" s="111"/>
      <c r="Q415">
        <v>46323</v>
      </c>
    </row>
    <row r="416" spans="1:18">
      <c r="A416" s="98">
        <v>3</v>
      </c>
      <c r="B416" s="113" t="s">
        <v>67</v>
      </c>
      <c r="C416" s="8" t="s">
        <v>21</v>
      </c>
      <c r="D416" s="109"/>
      <c r="E416" s="171"/>
      <c r="F416" s="172"/>
      <c r="G416" s="172"/>
      <c r="H416" s="172"/>
      <c r="I416" s="172"/>
      <c r="J416" s="172" t="s">
        <v>4492</v>
      </c>
      <c r="K416" s="172"/>
      <c r="L416" s="172"/>
      <c r="M416" s="172"/>
      <c r="N416" s="173"/>
      <c r="O416" s="111"/>
      <c r="Q416">
        <v>46323</v>
      </c>
    </row>
    <row r="417" spans="1:18">
      <c r="A417" s="98">
        <v>4</v>
      </c>
      <c r="B417" s="113" t="s">
        <v>69</v>
      </c>
      <c r="C417" s="9" t="s">
        <v>22</v>
      </c>
      <c r="D417" s="109"/>
      <c r="E417" s="171"/>
      <c r="F417" s="172"/>
      <c r="G417" s="179" t="s">
        <v>122</v>
      </c>
      <c r="H417" s="172"/>
      <c r="I417" s="172" t="s">
        <v>4492</v>
      </c>
      <c r="J417" s="179" t="s">
        <v>124</v>
      </c>
      <c r="K417" s="172"/>
      <c r="L417" s="172"/>
      <c r="M417" s="172"/>
      <c r="N417" s="173"/>
      <c r="O417" s="111"/>
      <c r="Q417">
        <v>46323</v>
      </c>
      <c r="R417" s="194" t="s">
        <v>257</v>
      </c>
    </row>
    <row r="418" spans="1:18">
      <c r="A418" s="98">
        <v>5</v>
      </c>
      <c r="B418" s="113" t="s">
        <v>71</v>
      </c>
      <c r="C418" s="9" t="s">
        <v>22</v>
      </c>
      <c r="D418" s="109"/>
      <c r="E418" s="171"/>
      <c r="F418" s="172"/>
      <c r="G418" s="172"/>
      <c r="H418" s="172"/>
      <c r="I418" s="172"/>
      <c r="J418" s="172" t="s">
        <v>4492</v>
      </c>
      <c r="K418" s="172"/>
      <c r="L418" s="172"/>
      <c r="M418" s="172"/>
      <c r="N418" s="195" t="s">
        <v>252</v>
      </c>
      <c r="O418" s="111"/>
      <c r="Q418">
        <v>46323</v>
      </c>
      <c r="R418" s="194" t="s">
        <v>267</v>
      </c>
    </row>
    <row r="419" spans="1:18">
      <c r="A419" s="98">
        <v>6</v>
      </c>
      <c r="B419" s="113" t="s">
        <v>73</v>
      </c>
      <c r="C419" s="10" t="s">
        <v>23</v>
      </c>
      <c r="D419" s="186" t="s">
        <v>57</v>
      </c>
      <c r="E419" s="171"/>
      <c r="F419" s="172"/>
      <c r="G419" s="172"/>
      <c r="H419" s="172"/>
      <c r="I419" s="172" t="s">
        <v>4492</v>
      </c>
      <c r="J419" s="172"/>
      <c r="K419" s="172"/>
      <c r="L419" s="172"/>
      <c r="M419" s="172"/>
      <c r="N419" s="173"/>
      <c r="O419" s="111"/>
      <c r="Q419">
        <v>46323</v>
      </c>
      <c r="R419" s="194" t="s">
        <v>254</v>
      </c>
    </row>
    <row r="420" spans="1:18">
      <c r="A420" s="98">
        <v>7</v>
      </c>
      <c r="B420" s="113" t="s">
        <v>75</v>
      </c>
      <c r="C420" s="10" t="s">
        <v>23</v>
      </c>
      <c r="D420" s="186" t="s">
        <v>57</v>
      </c>
      <c r="E420" s="171"/>
      <c r="F420" s="172"/>
      <c r="G420" s="172"/>
      <c r="H420" s="172"/>
      <c r="I420" s="172" t="s">
        <v>4492</v>
      </c>
      <c r="J420" s="172"/>
      <c r="K420" s="172"/>
      <c r="L420" s="172"/>
      <c r="M420" s="172"/>
      <c r="N420" s="173"/>
      <c r="O420" s="111"/>
      <c r="Q420">
        <v>46323</v>
      </c>
      <c r="R420" s="194" t="s">
        <v>254</v>
      </c>
    </row>
    <row r="421" spans="1:18">
      <c r="A421" s="98">
        <v>8</v>
      </c>
      <c r="B421" s="113" t="s">
        <v>77</v>
      </c>
      <c r="C421" s="10" t="s">
        <v>23</v>
      </c>
      <c r="D421" s="192"/>
      <c r="E421" s="171"/>
      <c r="F421" s="172"/>
      <c r="G421" s="172"/>
      <c r="H421" s="172"/>
      <c r="I421" s="172" t="s">
        <v>4492</v>
      </c>
      <c r="J421" s="172"/>
      <c r="K421" s="172"/>
      <c r="L421" s="172"/>
      <c r="M421" s="172"/>
      <c r="N421" s="173"/>
      <c r="O421" s="111"/>
      <c r="Q421">
        <v>46323</v>
      </c>
    </row>
    <row r="422" spans="1:18">
      <c r="A422" s="98">
        <v>9</v>
      </c>
      <c r="B422" s="113" t="s">
        <v>79</v>
      </c>
      <c r="C422" s="10" t="s">
        <v>23</v>
      </c>
      <c r="D422" s="186" t="s">
        <v>57</v>
      </c>
      <c r="E422" s="171"/>
      <c r="F422" s="172"/>
      <c r="G422" s="172"/>
      <c r="H422" s="172"/>
      <c r="I422" s="172" t="s">
        <v>4492</v>
      </c>
      <c r="J422" s="172"/>
      <c r="K422" s="184"/>
      <c r="L422" s="172"/>
      <c r="M422" s="172"/>
      <c r="N422" s="173"/>
      <c r="O422" s="111"/>
      <c r="Q422">
        <v>46323</v>
      </c>
      <c r="R422" s="194" t="s">
        <v>254</v>
      </c>
    </row>
    <row r="423" spans="1:18">
      <c r="A423" s="98">
        <v>10</v>
      </c>
      <c r="B423" s="113" t="s">
        <v>81</v>
      </c>
      <c r="C423" s="10" t="s">
        <v>23</v>
      </c>
      <c r="D423" s="109"/>
      <c r="E423" s="171"/>
      <c r="F423" s="172"/>
      <c r="G423" s="179" t="s">
        <v>122</v>
      </c>
      <c r="H423" s="172"/>
      <c r="I423" s="172" t="s">
        <v>4492</v>
      </c>
      <c r="J423" s="179" t="s">
        <v>124</v>
      </c>
      <c r="K423" s="179" t="s">
        <v>226</v>
      </c>
      <c r="L423" s="172"/>
      <c r="M423" s="172"/>
      <c r="N423" s="195" t="s">
        <v>252</v>
      </c>
      <c r="O423" s="111"/>
      <c r="Q423">
        <v>46323</v>
      </c>
      <c r="R423" s="194" t="s">
        <v>261</v>
      </c>
    </row>
    <row r="424" spans="1:18">
      <c r="A424" s="98">
        <v>11</v>
      </c>
      <c r="B424" s="114" t="s">
        <v>83</v>
      </c>
      <c r="C424" s="10" t="s">
        <v>23</v>
      </c>
      <c r="D424" s="109"/>
      <c r="E424" s="171" t="s">
        <v>4434</v>
      </c>
      <c r="F424" s="172" t="s">
        <v>4434</v>
      </c>
      <c r="G424" s="172" t="s">
        <v>4434</v>
      </c>
      <c r="H424" s="172" t="s">
        <v>4434</v>
      </c>
      <c r="I424" s="172" t="s">
        <v>4434</v>
      </c>
      <c r="J424" s="172" t="s">
        <v>4434</v>
      </c>
      <c r="K424" s="172" t="s">
        <v>4434</v>
      </c>
      <c r="L424" s="172" t="s">
        <v>4434</v>
      </c>
      <c r="M424" s="172" t="s">
        <v>4434</v>
      </c>
      <c r="N424" s="173" t="s">
        <v>4434</v>
      </c>
      <c r="O424" s="111"/>
      <c r="Q424">
        <v>46323</v>
      </c>
    </row>
    <row r="425" spans="1:18">
      <c r="A425" s="98">
        <v>12</v>
      </c>
      <c r="B425" s="114" t="s">
        <v>85</v>
      </c>
      <c r="C425" s="10" t="s">
        <v>23</v>
      </c>
      <c r="D425" s="109"/>
      <c r="E425" s="171" t="s">
        <v>4434</v>
      </c>
      <c r="F425" s="172" t="s">
        <v>4434</v>
      </c>
      <c r="G425" s="172" t="s">
        <v>4434</v>
      </c>
      <c r="H425" s="172" t="s">
        <v>4434</v>
      </c>
      <c r="I425" s="172" t="s">
        <v>4434</v>
      </c>
      <c r="J425" s="172" t="s">
        <v>4434</v>
      </c>
      <c r="K425" s="172" t="s">
        <v>4434</v>
      </c>
      <c r="L425" s="172" t="s">
        <v>4434</v>
      </c>
      <c r="M425" s="172" t="s">
        <v>4434</v>
      </c>
      <c r="N425" s="173" t="s">
        <v>4434</v>
      </c>
      <c r="O425" s="111"/>
      <c r="Q425">
        <v>46323</v>
      </c>
    </row>
    <row r="426" spans="1:18" ht="15" thickBot="1">
      <c r="A426" s="99">
        <v>13</v>
      </c>
      <c r="B426" s="115" t="s">
        <v>87</v>
      </c>
      <c r="C426" s="100" t="s">
        <v>23</v>
      </c>
      <c r="D426" s="110"/>
      <c r="E426" s="174"/>
      <c r="F426" s="175"/>
      <c r="G426" s="180" t="s">
        <v>122</v>
      </c>
      <c r="H426" s="175"/>
      <c r="I426" s="175" t="s">
        <v>4492</v>
      </c>
      <c r="J426" s="180" t="s">
        <v>124</v>
      </c>
      <c r="K426" s="180" t="s">
        <v>224</v>
      </c>
      <c r="L426" s="175"/>
      <c r="M426" s="175"/>
      <c r="N426" s="176"/>
      <c r="O426" s="112"/>
      <c r="Q426">
        <v>46323</v>
      </c>
      <c r="R426" s="194" t="s">
        <v>263</v>
      </c>
    </row>
    <row r="427" spans="1:18" ht="15" thickBot="1">
      <c r="A427" s="107"/>
      <c r="B427" s="108"/>
      <c r="C427" s="107"/>
      <c r="D427" s="107"/>
      <c r="E427" s="177"/>
      <c r="F427" s="177"/>
      <c r="G427" s="177"/>
      <c r="H427" s="177"/>
      <c r="I427" s="177"/>
      <c r="J427" s="177"/>
      <c r="K427" s="177"/>
      <c r="L427" s="177"/>
      <c r="M427" s="177"/>
      <c r="N427" s="177"/>
      <c r="O427" s="108"/>
    </row>
    <row r="428" spans="1:18" ht="26.1" customHeight="1">
      <c r="A428" s="228" t="s">
        <v>184</v>
      </c>
      <c r="B428" s="229"/>
      <c r="C428" s="230"/>
      <c r="D428" s="103" t="s">
        <v>155</v>
      </c>
      <c r="E428" s="168">
        <v>0.33333333333333331</v>
      </c>
      <c r="F428" s="169">
        <v>0.375</v>
      </c>
      <c r="G428" s="169">
        <v>0.41666666666666669</v>
      </c>
      <c r="H428" s="169">
        <v>0.45833333333333331</v>
      </c>
      <c r="I428" s="169">
        <v>0.5</v>
      </c>
      <c r="J428" s="169">
        <v>0.54166666666666663</v>
      </c>
      <c r="K428" s="169">
        <v>0.58333333333333337</v>
      </c>
      <c r="L428" s="169">
        <v>0.625</v>
      </c>
      <c r="M428" s="169">
        <v>0.66666666666666663</v>
      </c>
      <c r="N428" s="170">
        <v>0.70833333333333337</v>
      </c>
      <c r="O428" s="196" t="s">
        <v>262</v>
      </c>
      <c r="P428" s="102" t="s">
        <v>156</v>
      </c>
      <c r="Q428">
        <v>46324</v>
      </c>
    </row>
    <row r="429" spans="1:18">
      <c r="A429" s="98">
        <v>1</v>
      </c>
      <c r="B429" s="113" t="s">
        <v>63</v>
      </c>
      <c r="C429" s="8" t="s">
        <v>21</v>
      </c>
      <c r="D429" s="109"/>
      <c r="E429" s="171"/>
      <c r="F429" s="172"/>
      <c r="G429" s="172"/>
      <c r="H429" s="172"/>
      <c r="I429" s="172"/>
      <c r="J429" s="172" t="s">
        <v>4492</v>
      </c>
      <c r="K429" s="172"/>
      <c r="L429" s="172"/>
      <c r="M429" s="172"/>
      <c r="N429" s="173"/>
      <c r="O429" s="111"/>
      <c r="Q429">
        <v>46324</v>
      </c>
    </row>
    <row r="430" spans="1:18">
      <c r="A430" s="98">
        <v>2</v>
      </c>
      <c r="B430" s="113" t="s">
        <v>65</v>
      </c>
      <c r="C430" s="8" t="s">
        <v>21</v>
      </c>
      <c r="D430" s="109"/>
      <c r="E430" s="171"/>
      <c r="F430" s="172"/>
      <c r="G430" s="172"/>
      <c r="H430" s="172"/>
      <c r="I430" s="172" t="s">
        <v>4492</v>
      </c>
      <c r="J430" s="172"/>
      <c r="K430" s="172"/>
      <c r="L430" s="172"/>
      <c r="M430" s="172"/>
      <c r="N430" s="173"/>
      <c r="O430" s="111"/>
      <c r="Q430">
        <v>46324</v>
      </c>
    </row>
    <row r="431" spans="1:18">
      <c r="A431" s="98">
        <v>3</v>
      </c>
      <c r="B431" s="113" t="s">
        <v>67</v>
      </c>
      <c r="C431" s="8" t="s">
        <v>21</v>
      </c>
      <c r="D431" s="109"/>
      <c r="E431" s="171"/>
      <c r="F431" s="172"/>
      <c r="G431" s="172"/>
      <c r="H431" s="172"/>
      <c r="I431" s="172"/>
      <c r="J431" s="172" t="s">
        <v>4492</v>
      </c>
      <c r="K431" s="172"/>
      <c r="L431" s="172"/>
      <c r="M431" s="172"/>
      <c r="N431" s="173"/>
      <c r="O431" s="111"/>
      <c r="Q431">
        <v>46324</v>
      </c>
    </row>
    <row r="432" spans="1:18">
      <c r="A432" s="98">
        <v>4</v>
      </c>
      <c r="B432" s="114" t="s">
        <v>69</v>
      </c>
      <c r="C432" s="9" t="s">
        <v>22</v>
      </c>
      <c r="D432" s="109"/>
      <c r="E432" s="171" t="s">
        <v>4434</v>
      </c>
      <c r="F432" s="172" t="s">
        <v>4434</v>
      </c>
      <c r="G432" s="172" t="s">
        <v>4434</v>
      </c>
      <c r="H432" s="172" t="s">
        <v>4434</v>
      </c>
      <c r="I432" s="172" t="s">
        <v>4434</v>
      </c>
      <c r="J432" s="172" t="s">
        <v>4434</v>
      </c>
      <c r="K432" s="172" t="s">
        <v>4434</v>
      </c>
      <c r="L432" s="172" t="s">
        <v>4434</v>
      </c>
      <c r="M432" s="172" t="s">
        <v>4434</v>
      </c>
      <c r="N432" s="173" t="s">
        <v>4434</v>
      </c>
      <c r="O432" s="111"/>
      <c r="Q432">
        <v>46324</v>
      </c>
    </row>
    <row r="433" spans="1:18">
      <c r="A433" s="98">
        <v>5</v>
      </c>
      <c r="B433" s="113" t="s">
        <v>71</v>
      </c>
      <c r="C433" s="9" t="s">
        <v>22</v>
      </c>
      <c r="D433" s="109"/>
      <c r="E433" s="171"/>
      <c r="F433" s="172"/>
      <c r="G433" s="179" t="s">
        <v>122</v>
      </c>
      <c r="H433" s="172"/>
      <c r="I433" s="172"/>
      <c r="J433" s="172" t="s">
        <v>4492</v>
      </c>
      <c r="K433" s="172"/>
      <c r="L433" s="172"/>
      <c r="M433" s="172"/>
      <c r="N433" s="173"/>
      <c r="O433" s="111"/>
      <c r="Q433">
        <v>46324</v>
      </c>
      <c r="R433" s="194" t="s">
        <v>255</v>
      </c>
    </row>
    <row r="434" spans="1:18">
      <c r="A434" s="98">
        <v>6</v>
      </c>
      <c r="B434" s="114" t="s">
        <v>73</v>
      </c>
      <c r="C434" s="10" t="s">
        <v>23</v>
      </c>
      <c r="D434" s="109"/>
      <c r="E434" s="171" t="s">
        <v>4434</v>
      </c>
      <c r="F434" s="172" t="s">
        <v>4434</v>
      </c>
      <c r="G434" s="172" t="s">
        <v>4434</v>
      </c>
      <c r="H434" s="172" t="s">
        <v>4434</v>
      </c>
      <c r="I434" s="172" t="s">
        <v>4434</v>
      </c>
      <c r="J434" s="172" t="s">
        <v>4434</v>
      </c>
      <c r="K434" s="172" t="s">
        <v>4434</v>
      </c>
      <c r="L434" s="172" t="s">
        <v>4434</v>
      </c>
      <c r="M434" s="172" t="s">
        <v>4434</v>
      </c>
      <c r="N434" s="173" t="s">
        <v>4434</v>
      </c>
      <c r="O434" s="111"/>
      <c r="Q434">
        <v>46324</v>
      </c>
    </row>
    <row r="435" spans="1:18">
      <c r="A435" s="98">
        <v>7</v>
      </c>
      <c r="B435" s="113" t="s">
        <v>75</v>
      </c>
      <c r="C435" s="10" t="s">
        <v>23</v>
      </c>
      <c r="D435" s="192"/>
      <c r="E435" s="171"/>
      <c r="F435" s="172"/>
      <c r="G435" s="172"/>
      <c r="H435" s="172"/>
      <c r="I435" s="172" t="s">
        <v>4492</v>
      </c>
      <c r="J435" s="172"/>
      <c r="K435" s="172"/>
      <c r="L435" s="172"/>
      <c r="M435" s="172"/>
      <c r="N435" s="173"/>
      <c r="O435" s="111"/>
      <c r="Q435">
        <v>46324</v>
      </c>
    </row>
    <row r="436" spans="1:18">
      <c r="A436" s="98">
        <v>8</v>
      </c>
      <c r="B436" s="113" t="s">
        <v>77</v>
      </c>
      <c r="C436" s="10" t="s">
        <v>23</v>
      </c>
      <c r="D436" s="186" t="s">
        <v>57</v>
      </c>
      <c r="E436" s="171"/>
      <c r="F436" s="172"/>
      <c r="G436" s="172"/>
      <c r="H436" s="172"/>
      <c r="I436" s="172" t="s">
        <v>4492</v>
      </c>
      <c r="J436" s="172"/>
      <c r="K436" s="172"/>
      <c r="L436" s="172"/>
      <c r="M436" s="172"/>
      <c r="N436" s="173"/>
      <c r="O436" s="111"/>
      <c r="Q436">
        <v>46324</v>
      </c>
      <c r="R436" s="194" t="s">
        <v>254</v>
      </c>
    </row>
    <row r="437" spans="1:18">
      <c r="A437" s="98">
        <v>9</v>
      </c>
      <c r="B437" s="113" t="s">
        <v>79</v>
      </c>
      <c r="C437" s="10" t="s">
        <v>23</v>
      </c>
      <c r="D437" s="186" t="s">
        <v>57</v>
      </c>
      <c r="E437" s="171"/>
      <c r="F437" s="172"/>
      <c r="G437" s="172"/>
      <c r="H437" s="172"/>
      <c r="I437" s="172" t="s">
        <v>4492</v>
      </c>
      <c r="J437" s="172"/>
      <c r="K437" s="184"/>
      <c r="L437" s="172"/>
      <c r="M437" s="172"/>
      <c r="N437" s="173"/>
      <c r="O437" s="111"/>
      <c r="Q437">
        <v>46324</v>
      </c>
      <c r="R437" s="194" t="s">
        <v>254</v>
      </c>
    </row>
    <row r="438" spans="1:18">
      <c r="A438" s="98">
        <v>10</v>
      </c>
      <c r="B438" s="113" t="s">
        <v>81</v>
      </c>
      <c r="C438" s="10" t="s">
        <v>23</v>
      </c>
      <c r="D438" s="109"/>
      <c r="E438" s="171"/>
      <c r="F438" s="172"/>
      <c r="G438" s="172"/>
      <c r="H438" s="172"/>
      <c r="I438" s="172" t="s">
        <v>4492</v>
      </c>
      <c r="J438" s="179" t="s">
        <v>124</v>
      </c>
      <c r="K438" s="184"/>
      <c r="L438" s="172"/>
      <c r="M438" s="172"/>
      <c r="N438" s="195" t="s">
        <v>252</v>
      </c>
      <c r="O438" s="111"/>
      <c r="Q438">
        <v>46324</v>
      </c>
      <c r="R438" s="194" t="s">
        <v>265</v>
      </c>
    </row>
    <row r="439" spans="1:18">
      <c r="A439" s="98">
        <v>11</v>
      </c>
      <c r="B439" s="113" t="s">
        <v>83</v>
      </c>
      <c r="C439" s="10" t="s">
        <v>23</v>
      </c>
      <c r="D439" s="109"/>
      <c r="E439" s="171"/>
      <c r="F439" s="172"/>
      <c r="G439" s="179" t="s">
        <v>122</v>
      </c>
      <c r="H439" s="172"/>
      <c r="I439" s="172" t="s">
        <v>4492</v>
      </c>
      <c r="J439" s="179" t="s">
        <v>124</v>
      </c>
      <c r="K439" s="179" t="s">
        <v>226</v>
      </c>
      <c r="L439" s="172"/>
      <c r="M439" s="172"/>
      <c r="N439" s="195" t="s">
        <v>252</v>
      </c>
      <c r="O439" s="111"/>
      <c r="Q439">
        <v>46324</v>
      </c>
      <c r="R439" s="194" t="s">
        <v>261</v>
      </c>
    </row>
    <row r="440" spans="1:18">
      <c r="A440" s="98">
        <v>12</v>
      </c>
      <c r="B440" s="113" t="s">
        <v>85</v>
      </c>
      <c r="C440" s="10" t="s">
        <v>23</v>
      </c>
      <c r="D440" s="186" t="s">
        <v>57</v>
      </c>
      <c r="E440" s="171"/>
      <c r="F440" s="172"/>
      <c r="G440" s="184"/>
      <c r="H440" s="172"/>
      <c r="I440" s="172" t="s">
        <v>4492</v>
      </c>
      <c r="J440" s="184"/>
      <c r="K440" s="172"/>
      <c r="L440" s="172"/>
      <c r="M440" s="172"/>
      <c r="N440" s="173"/>
      <c r="O440" s="111"/>
      <c r="Q440">
        <v>46324</v>
      </c>
      <c r="R440" s="194" t="s">
        <v>254</v>
      </c>
    </row>
    <row r="441" spans="1:18" ht="15" thickBot="1">
      <c r="A441" s="99">
        <v>13</v>
      </c>
      <c r="B441" s="115" t="s">
        <v>87</v>
      </c>
      <c r="C441" s="100" t="s">
        <v>23</v>
      </c>
      <c r="D441" s="110"/>
      <c r="E441" s="174"/>
      <c r="F441" s="175"/>
      <c r="G441" s="180" t="s">
        <v>122</v>
      </c>
      <c r="H441" s="175"/>
      <c r="I441" s="175" t="s">
        <v>4492</v>
      </c>
      <c r="J441" s="180" t="s">
        <v>124</v>
      </c>
      <c r="K441" s="180" t="s">
        <v>224</v>
      </c>
      <c r="L441" s="175"/>
      <c r="M441" s="175"/>
      <c r="N441" s="176"/>
      <c r="O441" s="112"/>
      <c r="Q441">
        <v>46324</v>
      </c>
      <c r="R441" s="194" t="s">
        <v>263</v>
      </c>
    </row>
    <row r="442" spans="1:18" ht="15" thickBot="1">
      <c r="A442" s="107"/>
      <c r="B442" s="108"/>
      <c r="C442" s="107"/>
      <c r="D442" s="107"/>
      <c r="E442" s="177"/>
      <c r="F442" s="177"/>
      <c r="G442" s="177"/>
      <c r="H442" s="177"/>
      <c r="I442" s="177"/>
      <c r="J442" s="177"/>
      <c r="K442" s="177"/>
      <c r="L442" s="177"/>
      <c r="M442" s="177"/>
      <c r="N442" s="177"/>
      <c r="O442" s="108"/>
    </row>
    <row r="443" spans="1:18" ht="26.1" customHeight="1">
      <c r="A443" s="228" t="s">
        <v>185</v>
      </c>
      <c r="B443" s="229"/>
      <c r="C443" s="230"/>
      <c r="D443" s="103" t="s">
        <v>155</v>
      </c>
      <c r="E443" s="168">
        <v>0.33333333333333331</v>
      </c>
      <c r="F443" s="169">
        <v>0.375</v>
      </c>
      <c r="G443" s="169">
        <v>0.41666666666666669</v>
      </c>
      <c r="H443" s="169">
        <v>0.45833333333333331</v>
      </c>
      <c r="I443" s="169">
        <v>0.5</v>
      </c>
      <c r="J443" s="169">
        <v>0.54166666666666663</v>
      </c>
      <c r="K443" s="169">
        <v>0.58333333333333337</v>
      </c>
      <c r="L443" s="169">
        <v>0.625</v>
      </c>
      <c r="M443" s="169">
        <v>0.66666666666666663</v>
      </c>
      <c r="N443" s="170">
        <v>0.70833333333333337</v>
      </c>
      <c r="O443" s="196" t="s">
        <v>262</v>
      </c>
      <c r="P443" s="102" t="s">
        <v>156</v>
      </c>
      <c r="Q443">
        <v>46325</v>
      </c>
    </row>
    <row r="444" spans="1:18">
      <c r="A444" s="98">
        <v>1</v>
      </c>
      <c r="B444" s="113" t="s">
        <v>63</v>
      </c>
      <c r="C444" s="8" t="s">
        <v>21</v>
      </c>
      <c r="D444" s="109"/>
      <c r="E444" s="171"/>
      <c r="F444" s="172"/>
      <c r="G444" s="172"/>
      <c r="H444" s="172"/>
      <c r="I444" s="172"/>
      <c r="J444" s="172" t="s">
        <v>4492</v>
      </c>
      <c r="K444" s="172"/>
      <c r="L444" s="172"/>
      <c r="M444" s="172"/>
      <c r="N444" s="173"/>
      <c r="O444" s="111"/>
      <c r="Q444">
        <v>46325</v>
      </c>
    </row>
    <row r="445" spans="1:18">
      <c r="A445" s="98">
        <v>2</v>
      </c>
      <c r="B445" s="114" t="s">
        <v>65</v>
      </c>
      <c r="C445" s="8" t="s">
        <v>21</v>
      </c>
      <c r="D445" s="109"/>
      <c r="E445" s="171" t="s">
        <v>4434</v>
      </c>
      <c r="F445" s="172" t="s">
        <v>4434</v>
      </c>
      <c r="G445" s="172" t="s">
        <v>4434</v>
      </c>
      <c r="H445" s="172" t="s">
        <v>4434</v>
      </c>
      <c r="I445" s="172" t="s">
        <v>4434</v>
      </c>
      <c r="J445" s="172" t="s">
        <v>4434</v>
      </c>
      <c r="K445" s="172" t="s">
        <v>4434</v>
      </c>
      <c r="L445" s="172" t="s">
        <v>4434</v>
      </c>
      <c r="M445" s="172" t="s">
        <v>4434</v>
      </c>
      <c r="N445" s="173" t="s">
        <v>4434</v>
      </c>
      <c r="O445" s="111"/>
      <c r="Q445">
        <v>46325</v>
      </c>
    </row>
    <row r="446" spans="1:18">
      <c r="A446" s="98">
        <v>3</v>
      </c>
      <c r="B446" s="113" t="s">
        <v>67</v>
      </c>
      <c r="C446" s="8" t="s">
        <v>21</v>
      </c>
      <c r="D446" s="109"/>
      <c r="E446" s="171"/>
      <c r="F446" s="172"/>
      <c r="G446" s="172"/>
      <c r="H446" s="172"/>
      <c r="I446" s="172"/>
      <c r="J446" s="172" t="s">
        <v>4492</v>
      </c>
      <c r="K446" s="172"/>
      <c r="L446" s="172"/>
      <c r="M446" s="172"/>
      <c r="N446" s="173"/>
      <c r="O446" s="111"/>
      <c r="Q446">
        <v>46325</v>
      </c>
    </row>
    <row r="447" spans="1:18">
      <c r="A447" s="98">
        <v>4</v>
      </c>
      <c r="B447" s="113" t="s">
        <v>69</v>
      </c>
      <c r="C447" s="9" t="s">
        <v>22</v>
      </c>
      <c r="D447" s="109"/>
      <c r="E447" s="171"/>
      <c r="F447" s="172"/>
      <c r="G447" s="179" t="s">
        <v>122</v>
      </c>
      <c r="H447" s="172"/>
      <c r="I447" s="172" t="s">
        <v>4492</v>
      </c>
      <c r="J447" s="179" t="s">
        <v>124</v>
      </c>
      <c r="K447" s="172"/>
      <c r="L447" s="172"/>
      <c r="M447" s="172"/>
      <c r="N447" s="173"/>
      <c r="O447" s="111"/>
      <c r="Q447">
        <v>46325</v>
      </c>
      <c r="R447" s="194" t="s">
        <v>257</v>
      </c>
    </row>
    <row r="448" spans="1:18">
      <c r="A448" s="98">
        <v>5</v>
      </c>
      <c r="B448" s="113" t="s">
        <v>71</v>
      </c>
      <c r="C448" s="9" t="s">
        <v>22</v>
      </c>
      <c r="D448" s="109"/>
      <c r="E448" s="171"/>
      <c r="F448" s="172"/>
      <c r="G448" s="172"/>
      <c r="H448" s="172"/>
      <c r="I448" s="172"/>
      <c r="J448" s="172" t="s">
        <v>4492</v>
      </c>
      <c r="K448" s="172"/>
      <c r="L448" s="172"/>
      <c r="M448" s="172"/>
      <c r="N448" s="173"/>
      <c r="O448" s="111"/>
      <c r="Q448">
        <v>46325</v>
      </c>
    </row>
    <row r="449" spans="1:18">
      <c r="A449" s="98">
        <v>6</v>
      </c>
      <c r="B449" s="113" t="s">
        <v>73</v>
      </c>
      <c r="C449" s="10" t="s">
        <v>23</v>
      </c>
      <c r="D449" s="186" t="s">
        <v>57</v>
      </c>
      <c r="E449" s="171"/>
      <c r="F449" s="172"/>
      <c r="G449" s="172"/>
      <c r="H449" s="172"/>
      <c r="I449" s="172" t="s">
        <v>4492</v>
      </c>
      <c r="J449" s="172"/>
      <c r="K449" s="172"/>
      <c r="L449" s="172"/>
      <c r="M449" s="172"/>
      <c r="N449" s="173"/>
      <c r="O449" s="111"/>
      <c r="Q449">
        <v>46325</v>
      </c>
      <c r="R449" s="194" t="s">
        <v>254</v>
      </c>
    </row>
    <row r="450" spans="1:18">
      <c r="A450" s="98">
        <v>7</v>
      </c>
      <c r="B450" s="114" t="s">
        <v>75</v>
      </c>
      <c r="C450" s="10" t="s">
        <v>23</v>
      </c>
      <c r="D450" s="109"/>
      <c r="E450" s="171" t="s">
        <v>4434</v>
      </c>
      <c r="F450" s="172" t="s">
        <v>4434</v>
      </c>
      <c r="G450" s="172" t="s">
        <v>4434</v>
      </c>
      <c r="H450" s="172" t="s">
        <v>4434</v>
      </c>
      <c r="I450" s="172" t="s">
        <v>4434</v>
      </c>
      <c r="J450" s="172" t="s">
        <v>4434</v>
      </c>
      <c r="K450" s="172" t="s">
        <v>4434</v>
      </c>
      <c r="L450" s="172" t="s">
        <v>4434</v>
      </c>
      <c r="M450" s="172" t="s">
        <v>4434</v>
      </c>
      <c r="N450" s="173" t="s">
        <v>4434</v>
      </c>
      <c r="O450" s="111"/>
      <c r="Q450">
        <v>46325</v>
      </c>
    </row>
    <row r="451" spans="1:18">
      <c r="A451" s="98">
        <v>8</v>
      </c>
      <c r="B451" s="113" t="s">
        <v>77</v>
      </c>
      <c r="C451" s="10" t="s">
        <v>23</v>
      </c>
      <c r="D451" s="109"/>
      <c r="E451" s="171"/>
      <c r="F451" s="172"/>
      <c r="G451" s="172"/>
      <c r="H451" s="172"/>
      <c r="I451" s="172" t="s">
        <v>4492</v>
      </c>
      <c r="J451" s="172"/>
      <c r="K451" s="172"/>
      <c r="L451" s="172"/>
      <c r="M451" s="172"/>
      <c r="N451" s="173"/>
      <c r="O451" s="111"/>
      <c r="Q451">
        <v>46325</v>
      </c>
    </row>
    <row r="452" spans="1:18">
      <c r="A452" s="98">
        <v>9</v>
      </c>
      <c r="B452" s="113" t="s">
        <v>79</v>
      </c>
      <c r="C452" s="10" t="s">
        <v>23</v>
      </c>
      <c r="D452" s="109"/>
      <c r="E452" s="171"/>
      <c r="F452" s="172"/>
      <c r="G452" s="172"/>
      <c r="H452" s="172"/>
      <c r="I452" s="172" t="s">
        <v>4492</v>
      </c>
      <c r="J452" s="172"/>
      <c r="K452" s="184"/>
      <c r="L452" s="172"/>
      <c r="M452" s="172"/>
      <c r="N452" s="173"/>
      <c r="O452" s="111"/>
      <c r="Q452">
        <v>46325</v>
      </c>
    </row>
    <row r="453" spans="1:18">
      <c r="A453" s="98">
        <v>10</v>
      </c>
      <c r="B453" s="113" t="s">
        <v>81</v>
      </c>
      <c r="C453" s="10" t="s">
        <v>23</v>
      </c>
      <c r="D453" s="109"/>
      <c r="E453" s="171"/>
      <c r="F453" s="172"/>
      <c r="G453" s="179" t="s">
        <v>122</v>
      </c>
      <c r="H453" s="172"/>
      <c r="I453" s="172" t="s">
        <v>4492</v>
      </c>
      <c r="J453" s="179" t="s">
        <v>124</v>
      </c>
      <c r="K453" s="179" t="s">
        <v>226</v>
      </c>
      <c r="L453" s="172"/>
      <c r="M453" s="172"/>
      <c r="N453" s="195" t="s">
        <v>252</v>
      </c>
      <c r="O453" s="111"/>
      <c r="Q453">
        <v>46325</v>
      </c>
      <c r="R453" s="194" t="s">
        <v>261</v>
      </c>
    </row>
    <row r="454" spans="1:18">
      <c r="A454" s="98">
        <v>11</v>
      </c>
      <c r="B454" s="113" t="s">
        <v>83</v>
      </c>
      <c r="C454" s="10" t="s">
        <v>23</v>
      </c>
      <c r="D454" s="109"/>
      <c r="E454" s="171"/>
      <c r="F454" s="172"/>
      <c r="G454" s="179" t="s">
        <v>122</v>
      </c>
      <c r="H454" s="172"/>
      <c r="I454" s="172" t="s">
        <v>4492</v>
      </c>
      <c r="J454" s="179" t="s">
        <v>124</v>
      </c>
      <c r="K454" s="179" t="s">
        <v>224</v>
      </c>
      <c r="L454" s="172"/>
      <c r="M454" s="172"/>
      <c r="N454" s="195" t="s">
        <v>252</v>
      </c>
      <c r="O454" s="111"/>
      <c r="Q454">
        <v>46325</v>
      </c>
      <c r="R454" s="194" t="s">
        <v>264</v>
      </c>
    </row>
    <row r="455" spans="1:18">
      <c r="A455" s="98">
        <v>12</v>
      </c>
      <c r="B455" s="113" t="s">
        <v>85</v>
      </c>
      <c r="C455" s="10" t="s">
        <v>23</v>
      </c>
      <c r="D455" s="186" t="s">
        <v>57</v>
      </c>
      <c r="E455" s="171"/>
      <c r="F455" s="172"/>
      <c r="G455" s="184"/>
      <c r="H455" s="172"/>
      <c r="I455" s="172" t="s">
        <v>4492</v>
      </c>
      <c r="J455" s="184"/>
      <c r="K455" s="184"/>
      <c r="L455" s="172"/>
      <c r="M455" s="172"/>
      <c r="N455" s="173"/>
      <c r="O455" s="111"/>
      <c r="Q455">
        <v>46325</v>
      </c>
      <c r="R455" s="194" t="s">
        <v>254</v>
      </c>
    </row>
    <row r="456" spans="1:18" ht="15" thickBot="1">
      <c r="A456" s="99">
        <v>13</v>
      </c>
      <c r="B456" s="115" t="s">
        <v>87</v>
      </c>
      <c r="C456" s="100" t="s">
        <v>23</v>
      </c>
      <c r="D456" s="187" t="s">
        <v>57</v>
      </c>
      <c r="E456" s="174"/>
      <c r="F456" s="175"/>
      <c r="G456" s="175"/>
      <c r="H456" s="175"/>
      <c r="I456" s="175" t="s">
        <v>4492</v>
      </c>
      <c r="J456" s="175"/>
      <c r="K456" s="185"/>
      <c r="L456" s="175"/>
      <c r="M456" s="175"/>
      <c r="N456" s="176"/>
      <c r="O456" s="112"/>
      <c r="Q456">
        <v>46325</v>
      </c>
      <c r="R456" s="194" t="s">
        <v>254</v>
      </c>
    </row>
    <row r="457" spans="1:18" ht="15" thickBot="1">
      <c r="A457" s="107"/>
      <c r="B457" s="108"/>
      <c r="C457" s="107"/>
      <c r="D457" s="107"/>
      <c r="E457" s="177"/>
      <c r="F457" s="177"/>
      <c r="G457" s="177"/>
      <c r="H457" s="177"/>
      <c r="I457" s="177"/>
      <c r="J457" s="177"/>
      <c r="K457" s="177"/>
      <c r="L457" s="177"/>
      <c r="M457" s="177"/>
      <c r="N457" s="177"/>
      <c r="O457" s="108"/>
    </row>
    <row r="458" spans="1:18" ht="26.1" customHeight="1">
      <c r="A458" s="222" t="s">
        <v>186</v>
      </c>
      <c r="B458" s="223"/>
      <c r="C458" s="224"/>
      <c r="D458" s="103" t="s">
        <v>155</v>
      </c>
      <c r="E458" s="168">
        <v>0.33333333333333331</v>
      </c>
      <c r="F458" s="169">
        <v>0.375</v>
      </c>
      <c r="G458" s="169">
        <v>0.41666666666666669</v>
      </c>
      <c r="H458" s="169">
        <v>0.45833333333333331</v>
      </c>
      <c r="I458" s="169">
        <v>0.5</v>
      </c>
      <c r="J458" s="169">
        <v>0.54166666666666663</v>
      </c>
      <c r="K458" s="169">
        <v>0.58333333333333337</v>
      </c>
      <c r="L458" s="169">
        <v>0.625</v>
      </c>
      <c r="M458" s="169">
        <v>0.66666666666666663</v>
      </c>
      <c r="N458" s="170">
        <v>0.70833333333333337</v>
      </c>
      <c r="O458" s="178" t="s">
        <v>228</v>
      </c>
      <c r="P458" s="102" t="s">
        <v>156</v>
      </c>
      <c r="Q458">
        <v>46326</v>
      </c>
    </row>
    <row r="459" spans="1:18">
      <c r="A459" s="98">
        <v>1</v>
      </c>
      <c r="B459" s="114" t="s">
        <v>63</v>
      </c>
      <c r="C459" s="8" t="s">
        <v>21</v>
      </c>
      <c r="D459" s="109"/>
      <c r="E459" s="171" t="s">
        <v>4434</v>
      </c>
      <c r="F459" s="172" t="s">
        <v>4434</v>
      </c>
      <c r="G459" s="172" t="s">
        <v>4434</v>
      </c>
      <c r="H459" s="172" t="s">
        <v>4434</v>
      </c>
      <c r="I459" s="172" t="s">
        <v>4434</v>
      </c>
      <c r="J459" s="172" t="s">
        <v>4434</v>
      </c>
      <c r="K459" s="172" t="s">
        <v>4434</v>
      </c>
      <c r="L459" s="172" t="s">
        <v>4434</v>
      </c>
      <c r="M459" s="172" t="s">
        <v>4434</v>
      </c>
      <c r="N459" s="173" t="s">
        <v>4434</v>
      </c>
      <c r="O459" s="111"/>
      <c r="Q459">
        <v>46326</v>
      </c>
    </row>
    <row r="460" spans="1:18">
      <c r="A460" s="98">
        <v>2</v>
      </c>
      <c r="B460" s="114" t="s">
        <v>65</v>
      </c>
      <c r="C460" s="8" t="s">
        <v>21</v>
      </c>
      <c r="D460" s="109"/>
      <c r="E460" s="171" t="s">
        <v>4434</v>
      </c>
      <c r="F460" s="172" t="s">
        <v>4434</v>
      </c>
      <c r="G460" s="172" t="s">
        <v>4434</v>
      </c>
      <c r="H460" s="172" t="s">
        <v>4434</v>
      </c>
      <c r="I460" s="172" t="s">
        <v>4434</v>
      </c>
      <c r="J460" s="172" t="s">
        <v>4434</v>
      </c>
      <c r="K460" s="172" t="s">
        <v>4434</v>
      </c>
      <c r="L460" s="172" t="s">
        <v>4434</v>
      </c>
      <c r="M460" s="172" t="s">
        <v>4434</v>
      </c>
      <c r="N460" s="173" t="s">
        <v>4434</v>
      </c>
      <c r="O460" s="111"/>
      <c r="Q460">
        <v>46326</v>
      </c>
    </row>
    <row r="461" spans="1:18">
      <c r="A461" s="98">
        <v>3</v>
      </c>
      <c r="B461" s="114" t="s">
        <v>67</v>
      </c>
      <c r="C461" s="8" t="s">
        <v>21</v>
      </c>
      <c r="D461" s="109"/>
      <c r="E461" s="171" t="s">
        <v>4434</v>
      </c>
      <c r="F461" s="172" t="s">
        <v>4434</v>
      </c>
      <c r="G461" s="172" t="s">
        <v>4434</v>
      </c>
      <c r="H461" s="172" t="s">
        <v>4434</v>
      </c>
      <c r="I461" s="172" t="s">
        <v>4434</v>
      </c>
      <c r="J461" s="172" t="s">
        <v>4434</v>
      </c>
      <c r="K461" s="172" t="s">
        <v>4434</v>
      </c>
      <c r="L461" s="172" t="s">
        <v>4434</v>
      </c>
      <c r="M461" s="172" t="s">
        <v>4434</v>
      </c>
      <c r="N461" s="173" t="s">
        <v>4434</v>
      </c>
      <c r="O461" s="111"/>
      <c r="Q461">
        <v>46326</v>
      </c>
    </row>
    <row r="462" spans="1:18">
      <c r="A462" s="98">
        <v>4</v>
      </c>
      <c r="B462" s="114" t="s">
        <v>69</v>
      </c>
      <c r="C462" s="9" t="s">
        <v>22</v>
      </c>
      <c r="D462" s="109"/>
      <c r="E462" s="171" t="s">
        <v>4434</v>
      </c>
      <c r="F462" s="172" t="s">
        <v>4434</v>
      </c>
      <c r="G462" s="172" t="s">
        <v>4434</v>
      </c>
      <c r="H462" s="172" t="s">
        <v>4434</v>
      </c>
      <c r="I462" s="172" t="s">
        <v>4434</v>
      </c>
      <c r="J462" s="172" t="s">
        <v>4434</v>
      </c>
      <c r="K462" s="172" t="s">
        <v>4434</v>
      </c>
      <c r="L462" s="172" t="s">
        <v>4434</v>
      </c>
      <c r="M462" s="172" t="s">
        <v>4434</v>
      </c>
      <c r="N462" s="173" t="s">
        <v>4434</v>
      </c>
      <c r="O462" s="111"/>
      <c r="Q462">
        <v>46326</v>
      </c>
    </row>
    <row r="463" spans="1:18">
      <c r="A463" s="98">
        <v>5</v>
      </c>
      <c r="B463" s="114" t="s">
        <v>71</v>
      </c>
      <c r="C463" s="9" t="s">
        <v>22</v>
      </c>
      <c r="D463" s="109"/>
      <c r="E463" s="171" t="s">
        <v>4434</v>
      </c>
      <c r="F463" s="172" t="s">
        <v>4434</v>
      </c>
      <c r="G463" s="172" t="s">
        <v>4434</v>
      </c>
      <c r="H463" s="172" t="s">
        <v>4434</v>
      </c>
      <c r="I463" s="172" t="s">
        <v>4434</v>
      </c>
      <c r="J463" s="172" t="s">
        <v>4434</v>
      </c>
      <c r="K463" s="172" t="s">
        <v>4434</v>
      </c>
      <c r="L463" s="172" t="s">
        <v>4434</v>
      </c>
      <c r="M463" s="172" t="s">
        <v>4434</v>
      </c>
      <c r="N463" s="173" t="s">
        <v>4434</v>
      </c>
      <c r="O463" s="111"/>
      <c r="Q463">
        <v>46326</v>
      </c>
    </row>
    <row r="464" spans="1:18">
      <c r="A464" s="98">
        <v>6</v>
      </c>
      <c r="B464" s="114" t="s">
        <v>73</v>
      </c>
      <c r="C464" s="10" t="s">
        <v>23</v>
      </c>
      <c r="D464" s="109"/>
      <c r="E464" s="171" t="s">
        <v>4434</v>
      </c>
      <c r="F464" s="172" t="s">
        <v>4434</v>
      </c>
      <c r="G464" s="172" t="s">
        <v>4434</v>
      </c>
      <c r="H464" s="172" t="s">
        <v>4434</v>
      </c>
      <c r="I464" s="172" t="s">
        <v>4434</v>
      </c>
      <c r="J464" s="172" t="s">
        <v>4434</v>
      </c>
      <c r="K464" s="172" t="s">
        <v>4434</v>
      </c>
      <c r="L464" s="172" t="s">
        <v>4434</v>
      </c>
      <c r="M464" s="172" t="s">
        <v>4434</v>
      </c>
      <c r="N464" s="173" t="s">
        <v>4434</v>
      </c>
      <c r="O464" s="111"/>
      <c r="Q464">
        <v>46326</v>
      </c>
    </row>
    <row r="465" spans="1:17">
      <c r="A465" s="98">
        <v>7</v>
      </c>
      <c r="B465" s="114" t="s">
        <v>75</v>
      </c>
      <c r="C465" s="10" t="s">
        <v>23</v>
      </c>
      <c r="D465" s="109"/>
      <c r="E465" s="171" t="s">
        <v>4434</v>
      </c>
      <c r="F465" s="172" t="s">
        <v>4434</v>
      </c>
      <c r="G465" s="172" t="s">
        <v>4434</v>
      </c>
      <c r="H465" s="172" t="s">
        <v>4434</v>
      </c>
      <c r="I465" s="172" t="s">
        <v>4434</v>
      </c>
      <c r="J465" s="172" t="s">
        <v>4434</v>
      </c>
      <c r="K465" s="172" t="s">
        <v>4434</v>
      </c>
      <c r="L465" s="172" t="s">
        <v>4434</v>
      </c>
      <c r="M465" s="172" t="s">
        <v>4434</v>
      </c>
      <c r="N465" s="173" t="s">
        <v>4434</v>
      </c>
      <c r="O465" s="111"/>
      <c r="Q465">
        <v>46326</v>
      </c>
    </row>
    <row r="466" spans="1:17">
      <c r="A466" s="98">
        <v>8</v>
      </c>
      <c r="B466" s="114" t="s">
        <v>77</v>
      </c>
      <c r="C466" s="10" t="s">
        <v>23</v>
      </c>
      <c r="D466" s="109"/>
      <c r="E466" s="171" t="s">
        <v>4434</v>
      </c>
      <c r="F466" s="172" t="s">
        <v>4434</v>
      </c>
      <c r="G466" s="172" t="s">
        <v>4434</v>
      </c>
      <c r="H466" s="172" t="s">
        <v>4434</v>
      </c>
      <c r="I466" s="172" t="s">
        <v>4434</v>
      </c>
      <c r="J466" s="172" t="s">
        <v>4434</v>
      </c>
      <c r="K466" s="172" t="s">
        <v>4434</v>
      </c>
      <c r="L466" s="172" t="s">
        <v>4434</v>
      </c>
      <c r="M466" s="172" t="s">
        <v>4434</v>
      </c>
      <c r="N466" s="173" t="s">
        <v>4434</v>
      </c>
      <c r="O466" s="111"/>
      <c r="Q466">
        <v>46326</v>
      </c>
    </row>
    <row r="467" spans="1:17">
      <c r="A467" s="98">
        <v>9</v>
      </c>
      <c r="B467" s="114" t="s">
        <v>79</v>
      </c>
      <c r="C467" s="10" t="s">
        <v>23</v>
      </c>
      <c r="D467" s="109"/>
      <c r="E467" s="171" t="s">
        <v>4434</v>
      </c>
      <c r="F467" s="172" t="s">
        <v>4434</v>
      </c>
      <c r="G467" s="172" t="s">
        <v>4434</v>
      </c>
      <c r="H467" s="172" t="s">
        <v>4434</v>
      </c>
      <c r="I467" s="172" t="s">
        <v>4434</v>
      </c>
      <c r="J467" s="172" t="s">
        <v>4434</v>
      </c>
      <c r="K467" s="172" t="s">
        <v>4434</v>
      </c>
      <c r="L467" s="172" t="s">
        <v>4434</v>
      </c>
      <c r="M467" s="172" t="s">
        <v>4434</v>
      </c>
      <c r="N467" s="173" t="s">
        <v>4434</v>
      </c>
      <c r="O467" s="111"/>
      <c r="Q467">
        <v>46326</v>
      </c>
    </row>
    <row r="468" spans="1:17">
      <c r="A468" s="98">
        <v>10</v>
      </c>
      <c r="B468" s="114" t="s">
        <v>81</v>
      </c>
      <c r="C468" s="10" t="s">
        <v>23</v>
      </c>
      <c r="D468" s="109"/>
      <c r="E468" s="171" t="s">
        <v>4434</v>
      </c>
      <c r="F468" s="172" t="s">
        <v>4434</v>
      </c>
      <c r="G468" s="172" t="s">
        <v>4434</v>
      </c>
      <c r="H468" s="172" t="s">
        <v>4434</v>
      </c>
      <c r="I468" s="172" t="s">
        <v>4434</v>
      </c>
      <c r="J468" s="172" t="s">
        <v>4434</v>
      </c>
      <c r="K468" s="172" t="s">
        <v>4434</v>
      </c>
      <c r="L468" s="172" t="s">
        <v>4434</v>
      </c>
      <c r="M468" s="172" t="s">
        <v>4434</v>
      </c>
      <c r="N468" s="173" t="s">
        <v>4434</v>
      </c>
      <c r="O468" s="111"/>
      <c r="Q468">
        <v>46326</v>
      </c>
    </row>
    <row r="469" spans="1:17">
      <c r="A469" s="98">
        <v>11</v>
      </c>
      <c r="B469" s="114" t="s">
        <v>83</v>
      </c>
      <c r="C469" s="10" t="s">
        <v>23</v>
      </c>
      <c r="D469" s="109"/>
      <c r="E469" s="171" t="s">
        <v>4434</v>
      </c>
      <c r="F469" s="172" t="s">
        <v>4434</v>
      </c>
      <c r="G469" s="172" t="s">
        <v>4434</v>
      </c>
      <c r="H469" s="172" t="s">
        <v>4434</v>
      </c>
      <c r="I469" s="172" t="s">
        <v>4434</v>
      </c>
      <c r="J469" s="172" t="s">
        <v>4434</v>
      </c>
      <c r="K469" s="172" t="s">
        <v>4434</v>
      </c>
      <c r="L469" s="172" t="s">
        <v>4434</v>
      </c>
      <c r="M469" s="172" t="s">
        <v>4434</v>
      </c>
      <c r="N469" s="173" t="s">
        <v>4434</v>
      </c>
      <c r="O469" s="111"/>
      <c r="Q469">
        <v>46326</v>
      </c>
    </row>
    <row r="470" spans="1:17">
      <c r="A470" s="98">
        <v>12</v>
      </c>
      <c r="B470" s="114" t="s">
        <v>85</v>
      </c>
      <c r="C470" s="10" t="s">
        <v>23</v>
      </c>
      <c r="D470" s="109"/>
      <c r="E470" s="171" t="s">
        <v>4434</v>
      </c>
      <c r="F470" s="172" t="s">
        <v>4434</v>
      </c>
      <c r="G470" s="172" t="s">
        <v>4434</v>
      </c>
      <c r="H470" s="172" t="s">
        <v>4434</v>
      </c>
      <c r="I470" s="172" t="s">
        <v>4434</v>
      </c>
      <c r="J470" s="172" t="s">
        <v>4434</v>
      </c>
      <c r="K470" s="172" t="s">
        <v>4434</v>
      </c>
      <c r="L470" s="172" t="s">
        <v>4434</v>
      </c>
      <c r="M470" s="172" t="s">
        <v>4434</v>
      </c>
      <c r="N470" s="173" t="s">
        <v>4434</v>
      </c>
      <c r="O470" s="111"/>
      <c r="Q470">
        <v>46326</v>
      </c>
    </row>
    <row r="471" spans="1:17" ht="15" thickBot="1">
      <c r="A471" s="99">
        <v>13</v>
      </c>
      <c r="B471" s="116" t="s">
        <v>87</v>
      </c>
      <c r="C471" s="100" t="s">
        <v>23</v>
      </c>
      <c r="D471" s="110"/>
      <c r="E471" s="174" t="s">
        <v>4434</v>
      </c>
      <c r="F471" s="175" t="s">
        <v>4434</v>
      </c>
      <c r="G471" s="175" t="s">
        <v>4434</v>
      </c>
      <c r="H471" s="175" t="s">
        <v>4434</v>
      </c>
      <c r="I471" s="175" t="s">
        <v>4434</v>
      </c>
      <c r="J471" s="175" t="s">
        <v>4434</v>
      </c>
      <c r="K471" s="175" t="s">
        <v>4434</v>
      </c>
      <c r="L471" s="175" t="s">
        <v>4434</v>
      </c>
      <c r="M471" s="175" t="s">
        <v>4434</v>
      </c>
      <c r="N471" s="176" t="s">
        <v>4434</v>
      </c>
      <c r="O471" s="112"/>
      <c r="Q471">
        <v>46326</v>
      </c>
    </row>
  </sheetData>
  <mergeCells count="31">
    <mergeCell ref="A173:C173"/>
    <mergeCell ref="A8:C8"/>
    <mergeCell ref="A23:C23"/>
    <mergeCell ref="A38:C38"/>
    <mergeCell ref="A53:C53"/>
    <mergeCell ref="A68:C68"/>
    <mergeCell ref="A83:C83"/>
    <mergeCell ref="A98:C98"/>
    <mergeCell ref="A113:C113"/>
    <mergeCell ref="A128:C128"/>
    <mergeCell ref="A143:C143"/>
    <mergeCell ref="A158:C158"/>
    <mergeCell ref="A353:C353"/>
    <mergeCell ref="A188:C188"/>
    <mergeCell ref="A203:C203"/>
    <mergeCell ref="A218:C218"/>
    <mergeCell ref="A233:C233"/>
    <mergeCell ref="A248:C248"/>
    <mergeCell ref="A263:C263"/>
    <mergeCell ref="A278:C278"/>
    <mergeCell ref="A293:C293"/>
    <mergeCell ref="A308:C308"/>
    <mergeCell ref="A323:C323"/>
    <mergeCell ref="A338:C338"/>
    <mergeCell ref="A458:C458"/>
    <mergeCell ref="A368:C368"/>
    <mergeCell ref="A383:C383"/>
    <mergeCell ref="A398:C398"/>
    <mergeCell ref="A413:C413"/>
    <mergeCell ref="A428:C428"/>
    <mergeCell ref="A443:C443"/>
  </mergeCells>
  <phoneticPr fontId="1"/>
  <conditionalFormatting sqref="D8:D471">
    <cfRule type="cellIs" dxfId="12" priority="4" stopIfTrue="1" operator="equal">
      <formula>"○"</formula>
    </cfRule>
  </conditionalFormatting>
  <conditionalFormatting sqref="E8:N471">
    <cfRule type="cellIs" dxfId="11" priority="15" stopIfTrue="1" operator="equal">
      <formula>"-"</formula>
    </cfRule>
    <cfRule type="cellIs" dxfId="10" priority="6" stopIfTrue="1" operator="equal">
      <formula>"祝"</formula>
    </cfRule>
    <cfRule type="cellIs" dxfId="9" priority="7" stopIfTrue="1" operator="equal">
      <formula>"休"</formula>
    </cfRule>
    <cfRule type="cellIs" dxfId="8" priority="8" stopIfTrue="1" operator="equal">
      <formula>"振"</formula>
    </cfRule>
    <cfRule type="expression" dxfId="7" priority="9" stopIfTrue="1">
      <formula>OR(E8="受領仕分け",LEFT(E8,6)="受領仕分け/")</formula>
    </cfRule>
    <cfRule type="expression" dxfId="6" priority="10" stopIfTrue="1">
      <formula>OR(E8="受領",LEFT(E8,3)="受領/")</formula>
    </cfRule>
    <cfRule type="expression" dxfId="5" priority="11" stopIfTrue="1">
      <formula>OR(E8="通勤発送",LEFT(E8,5)="通勤発送/")</formula>
    </cfRule>
    <cfRule type="expression" dxfId="4" priority="12" stopIfTrue="1">
      <formula>OR(E8="扶発送",LEFT(E8,4)="扶発送/")</formula>
    </cfRule>
    <cfRule type="expression" dxfId="3" priority="13" stopIfTrue="1">
      <formula>OR(E8="住・給与発送",LEFT(E8,7)="住・給与発送/")</formula>
    </cfRule>
    <cfRule type="expression" dxfId="2" priority="14" stopIfTrue="1">
      <formula>OR(E8="発送準備",LEFT(E8,5)="発送準備/")</formula>
    </cfRule>
  </conditionalFormatting>
  <dataValidations count="1">
    <dataValidation type="list" allowBlank="1" showInputMessage="1" showErrorMessage="1" sqref="D9:D21 D24:D36 D39:D51 D54:D66 D69:D81 D84:D96 D99:D111 D114:D126 D129:D141 D144:D156 D159:D171 D174:D186 D189:D201 D204:D216 D219:D231 D234:D246 D249:D261 D264:D276 D279:D291 D294:D306 D309:D321 D324:D336 D339:D351 D354:D366 D369:D381 D384:D396 D399:D411 D414:D426 D429:D441 D444:D456 D459:D471" xr:uid="{0900E14D-AB32-4C96-A2FC-ADDC42EE1415}">
      <formula1>"○"</formula1>
    </dataValidation>
  </dataValidations>
  <hyperlinks>
    <hyperlink ref="A1" location="'表紙'!A1" display="◀ 表紙へ" xr:uid="{C76D20C8-D7B5-4671-959E-B370E381FE17}"/>
    <hyperlink ref="C2" location="'⑤月間_2026年10月'!A1" display="▶ 元の月間シフト（2026年10月）へ" xr:uid="{293E655F-D77A-40CA-B01A-BECB5FA58C7D}"/>
    <hyperlink ref="P8" location="⑥タイム_2026年10月!A7" display="▲" xr:uid="{D70909D0-C38E-49BC-A905-342C2398E0F8}"/>
    <hyperlink ref="D4" location="'⑥タイム_2026年10月'!A8" display="1" xr:uid="{BD37C8F0-DB09-422F-ABF6-0531A2ADD84A}"/>
    <hyperlink ref="P23" location="'⑥タイム_2026年10月'!A7" display="▲" xr:uid="{07BCD5F8-692E-4BA9-8D72-3731AFA35A9B}"/>
    <hyperlink ref="E4" location="'⑥タイム_2026年10月'!A23" display="2" xr:uid="{090E34F0-40D5-417F-913D-318379844063}"/>
    <hyperlink ref="P38" location="'⑥タイム_2026年10月'!A7" display="▲" xr:uid="{AF0A3E3E-E148-4DC6-94CC-84A20DC04441}"/>
    <hyperlink ref="F4" location="'⑥タイム_2026年10月'!A38" display="3" xr:uid="{2F45A6D7-495F-48ED-ABFF-61B9DCFB83DD}"/>
    <hyperlink ref="P53" location="'⑥タイム_2026年10月'!A7" display="▲" xr:uid="{2FDCF38C-5393-4DF1-B27B-05B1E874856B}"/>
    <hyperlink ref="G4" location="'⑥タイム_2026年10月'!A53" display="4" xr:uid="{0B79F037-9AC9-45C4-BCE7-A8F120207CE9}"/>
    <hyperlink ref="P68" location="'⑥タイム_2026年10月'!A7" display="▲" xr:uid="{78179910-62D0-4CC1-AEBD-36B983F24002}"/>
    <hyperlink ref="H4" location="'⑥タイム_2026年10月'!A68" display="5" xr:uid="{AE6EDBD8-F84A-40F2-9CCC-190FB0613C52}"/>
    <hyperlink ref="P83" location="'⑥タイム_2026年10月'!A7" display="▲" xr:uid="{C2435F64-0BDE-4FEC-8F5A-393424576724}"/>
    <hyperlink ref="I4" location="'⑥タイム_2026年10月'!A83" display="6" xr:uid="{981B1BC8-45A2-471A-80F2-CCFFC8FA5851}"/>
    <hyperlink ref="P98" location="'⑥タイム_2026年10月'!A7" display="▲" xr:uid="{0D13C3CB-3C58-454A-A439-43EB54A4E4F1}"/>
    <hyperlink ref="J4" location="'⑥タイム_2026年10月'!A98" display="7" xr:uid="{D1075F5E-A00E-4578-9CA3-B21FF4374DB9}"/>
    <hyperlink ref="P113" location="'⑥タイム_2026年10月'!A7" display="▲" xr:uid="{EADD2E0E-2C8F-4365-A0E6-3AEF3102201A}"/>
    <hyperlink ref="K4" location="'⑥タイム_2026年10月'!A113" display="8" xr:uid="{D0ED7220-7862-47EE-A753-F3BDC615484D}"/>
    <hyperlink ref="P128" location="'⑥タイム_2026年10月'!A7" display="▲" xr:uid="{D021B5F6-4AED-4EDF-A74D-371B61A327CF}"/>
    <hyperlink ref="L4" location="'⑥タイム_2026年10月'!A128" display="9" xr:uid="{34A17370-17E8-4B5F-80A8-A06F1CDCD924}"/>
    <hyperlink ref="P143" location="'⑥タイム_2026年10月'!A7" display="▲" xr:uid="{AC27BBB4-79EE-4B73-908D-50E8FEED5145}"/>
    <hyperlink ref="M4" location="'⑥タイム_2026年10月'!A143" display="10" xr:uid="{848E434D-8C99-4EB0-BA33-BBDEEB510346}"/>
    <hyperlink ref="P158" location="'⑥タイム_2026年10月'!A7" display="▲" xr:uid="{2AE1439F-B741-4F16-8F72-4EBFA0E8005E}"/>
    <hyperlink ref="N4" location="'⑥タイム_2026年10月'!A158" display="11" xr:uid="{699440A7-51FA-428F-8CFA-4B90312B60C8}"/>
    <hyperlink ref="P173" location="'⑥タイム_2026年10月'!A7" display="▲" xr:uid="{202AC3E8-D5EA-41F0-B22F-DD375B35688B}"/>
    <hyperlink ref="D5" location="'⑥タイム_2026年10月'!A173" display="12" xr:uid="{DC4A67F9-1D20-4F4C-A86C-1685F9700EB9}"/>
    <hyperlink ref="P188" location="'⑥タイム_2026年10月'!A7" display="▲" xr:uid="{FAAAB8B5-8A3D-4BD4-B2A3-1006EBA88CCB}"/>
    <hyperlink ref="E5" location="'⑥タイム_2026年10月'!A188" display="13" xr:uid="{46F67809-E599-46B5-903F-ADC5EA15B1B1}"/>
    <hyperlink ref="P203" location="'⑥タイム_2026年10月'!A7" display="▲" xr:uid="{EA4C60E8-7A08-42BD-8574-B2F62744C790}"/>
    <hyperlink ref="F5" location="'⑥タイム_2026年10月'!A203" display="14" xr:uid="{7F71DF83-29A5-418B-9826-2535EF4AFF1D}"/>
    <hyperlink ref="P218" location="'⑥タイム_2026年10月'!A7" display="▲" xr:uid="{07425851-A440-4782-9160-C0898B9E30A3}"/>
    <hyperlink ref="G5" location="'⑥タイム_2026年10月'!A218" display="15" xr:uid="{E605EFEC-CF3B-4955-BD90-CB839DAF9EDD}"/>
    <hyperlink ref="P233" location="'⑥タイム_2026年10月'!A7" display="▲" xr:uid="{62430FE1-CF31-4068-B862-E741C4C1F7C7}"/>
    <hyperlink ref="H5" location="'⑥タイム_2026年10月'!A233" display="16" xr:uid="{EF9B95A5-D0D7-4DD6-A680-F55770D42928}"/>
    <hyperlink ref="P248" location="'⑥タイム_2026年10月'!A7" display="▲" xr:uid="{CF6EBFDD-08F1-4FB3-9E50-F5255AFAEF7A}"/>
    <hyperlink ref="I5" location="'⑥タイム_2026年10月'!A248" display="17" xr:uid="{3E864BBE-0EDE-485B-86C7-3485D9CC430C}"/>
    <hyperlink ref="P263" location="'⑥タイム_2026年10月'!A7" display="▲" xr:uid="{FB0F2247-01C8-45A2-8704-B9EC42FA9593}"/>
    <hyperlink ref="J5" location="'⑥タイム_2026年10月'!A263" display="18" xr:uid="{D0441E29-6124-495F-BA56-EBEB1E83AC3E}"/>
    <hyperlink ref="P278" location="'⑥タイム_2026年10月'!A7" display="▲" xr:uid="{F63009C4-1F7B-4818-89C7-C483C150854C}"/>
    <hyperlink ref="K5" location="'⑥タイム_2026年10月'!A278" display="19" xr:uid="{4901CF4F-643F-4F98-94A8-FA99F543F9FD}"/>
    <hyperlink ref="P293" location="'⑥タイム_2026年10月'!A7" display="▲" xr:uid="{DA01BA8D-03E9-494C-93A8-BFD4B54F2FC8}"/>
    <hyperlink ref="L5" location="'⑥タイム_2026年10月'!A293" display="20" xr:uid="{42946E01-B369-44CF-B6BC-7FE8E6861449}"/>
    <hyperlink ref="P308" location="'⑥タイム_2026年10月'!A7" display="▲" xr:uid="{4C4B37D3-9DC2-457A-B16C-385F5FB58066}"/>
    <hyperlink ref="M5" location="'⑥タイム_2026年10月'!A308" display="21" xr:uid="{B08567A2-1916-45BE-A610-45F3D52C47A4}"/>
    <hyperlink ref="P323" location="'⑥タイム_2026年10月'!A7" display="▲" xr:uid="{54F827DF-97B9-4AF1-9578-80DBEC89E85E}"/>
    <hyperlink ref="N5" location="'⑥タイム_2026年10月'!A323" display="22" xr:uid="{62D7683D-AF84-486B-9A5B-198872225E15}"/>
    <hyperlink ref="P338" location="'⑥タイム_2026年10月'!A7" display="▲" xr:uid="{DD6BDEFE-799B-4278-A183-0D9E3AEEF016}"/>
    <hyperlink ref="D6" location="'⑥タイム_2026年10月'!A338" display="23" xr:uid="{4FFF6CB4-49B1-45FF-A977-3A8503C102D9}"/>
    <hyperlink ref="P353" location="'⑥タイム_2026年10月'!A7" display="▲" xr:uid="{5D1DE3B3-A1B9-4600-AD3C-FBBE5F4FB194}"/>
    <hyperlink ref="E6" location="'⑥タイム_2026年10月'!A353" display="24" xr:uid="{A4BB113D-86DF-45E6-932A-43EE147D4351}"/>
    <hyperlink ref="P368" location="'⑥タイム_2026年10月'!A7" display="▲" xr:uid="{16594AA4-EFC3-4FDE-8716-09339F4D4740}"/>
    <hyperlink ref="F6" location="'⑥タイム_2026年10月'!A368" display="25" xr:uid="{37E9420D-C5B0-452A-929A-1413300F8BA9}"/>
    <hyperlink ref="P383" location="'⑥タイム_2026年10月'!A7" display="▲" xr:uid="{A5DF6F92-723A-4388-B3E4-EEA172B76137}"/>
    <hyperlink ref="G6" location="'⑥タイム_2026年10月'!A383" display="26" xr:uid="{95E4A8DE-2D2A-4CCE-96C3-ECDAD209FA22}"/>
    <hyperlink ref="P398" location="'⑥タイム_2026年10月'!A7" display="▲" xr:uid="{3E3A03E6-9745-4681-8C83-188B46D42CF5}"/>
    <hyperlink ref="H6" location="'⑥タイム_2026年10月'!A398" display="27" xr:uid="{F229494A-3EF8-47C2-90C8-9D23C123ACA6}"/>
    <hyperlink ref="P413" location="'⑥タイム_2026年10月'!A7" display="▲" xr:uid="{A60BD20B-8E2C-4D81-AB60-8C58C6A064F0}"/>
    <hyperlink ref="I6" location="'⑥タイム_2026年10月'!A413" display="28" xr:uid="{42493D34-B10F-46E9-BF0E-5B738436D43B}"/>
    <hyperlink ref="P428" location="'⑥タイム_2026年10月'!A7" display="▲" xr:uid="{479C38A2-7301-4737-894D-6B763F3D5E7E}"/>
    <hyperlink ref="J6" location="'⑥タイム_2026年10月'!A428" display="29" xr:uid="{B3B4FCCA-4D83-4AFD-8E5D-D42F0E9B45FB}"/>
    <hyperlink ref="P443" location="'⑥タイム_2026年10月'!A7" display="▲" xr:uid="{F9461C29-4D3B-4DCB-9F28-23E6C030CE00}"/>
    <hyperlink ref="K6" location="'⑥タイム_2026年10月'!A443" display="30" xr:uid="{EF056631-879F-4CA0-83BA-298C72117A84}"/>
    <hyperlink ref="P458" location="'⑥タイム_2026年10月'!A7" display="▲" xr:uid="{B72FCD85-A788-4C54-BF5D-50D13FF0A709}"/>
    <hyperlink ref="L6" location="'⑥タイム_2026年10月'!A458" display="31" xr:uid="{252CFFB2-FCE4-469E-B724-5D60B4231FCC}"/>
  </hyperlinks>
  <pageMargins left="0.7" right="0.7" top="0.75" bottom="0.75" header="0.3" footer="0.3"/>
  <pageSetup paperSize="9" scale="55" fitToHeight="0" orientation="portrait" r:id="rId1"/>
  <headerFooter>
    <oddHeader>&amp;Cタイム_2026年10月</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F476A-7113-40CE-BFED-30B4680BA0A3}">
  <sheetPr codeName="Sheet8">
    <tabColor rgb="FF00B050"/>
  </sheetPr>
  <dimension ref="A1:L46"/>
  <sheetViews>
    <sheetView showGridLines="0" workbookViewId="0">
      <pane xSplit="4" ySplit="5" topLeftCell="E6" activePane="bottomRight" state="frozen"/>
      <selection pane="topRight" activeCell="E1" sqref="E1"/>
      <selection pane="bottomLeft" activeCell="A6" sqref="A6"/>
      <selection pane="bottomRight"/>
    </sheetView>
  </sheetViews>
  <sheetFormatPr defaultRowHeight="14.25"/>
  <cols>
    <col min="1" max="1" width="4.625" customWidth="1"/>
    <col min="2" max="2" width="14.625" customWidth="1"/>
    <col min="3" max="4" width="6.625" customWidth="1"/>
    <col min="5" max="12" width="11.625" customWidth="1"/>
  </cols>
  <sheetData>
    <row r="1" spans="1:12" ht="30" customHeight="1">
      <c r="A1" s="2" t="s">
        <v>188</v>
      </c>
      <c r="C1" s="181" t="s">
        <v>243</v>
      </c>
    </row>
    <row r="2" spans="1:12">
      <c r="A2" s="96" t="s">
        <v>235</v>
      </c>
      <c r="C2" s="2" t="s">
        <v>229</v>
      </c>
    </row>
    <row r="3" spans="1:12">
      <c r="A3" s="96">
        <v>18</v>
      </c>
      <c r="C3" s="18" t="s">
        <v>4503</v>
      </c>
    </row>
    <row r="4" spans="1:12" ht="6" customHeight="1">
      <c r="E4" s="197"/>
      <c r="F4" s="198"/>
      <c r="G4" s="197"/>
      <c r="H4" s="199"/>
      <c r="I4" s="200"/>
      <c r="J4" s="201"/>
      <c r="K4" s="202"/>
      <c r="L4" s="188" t="s">
        <v>245</v>
      </c>
    </row>
    <row r="5" spans="1:12" ht="30" customHeight="1">
      <c r="A5" s="5" t="s">
        <v>48</v>
      </c>
      <c r="B5" s="5" t="s">
        <v>49</v>
      </c>
      <c r="C5" s="5" t="s">
        <v>4497</v>
      </c>
      <c r="D5" s="5" t="s">
        <v>96</v>
      </c>
      <c r="E5" s="5" t="s">
        <v>238</v>
      </c>
      <c r="F5" s="5" t="s">
        <v>122</v>
      </c>
      <c r="G5" s="5" t="s">
        <v>124</v>
      </c>
      <c r="H5" s="5" t="s">
        <v>224</v>
      </c>
      <c r="I5" s="5" t="s">
        <v>225</v>
      </c>
      <c r="J5" s="5" t="s">
        <v>226</v>
      </c>
      <c r="K5" s="5" t="s">
        <v>252</v>
      </c>
      <c r="L5" s="5" t="s">
        <v>244</v>
      </c>
    </row>
    <row r="6" spans="1:12">
      <c r="A6" s="11">
        <v>1</v>
      </c>
      <c r="B6" s="153" t="s">
        <v>63</v>
      </c>
      <c r="C6" s="8" t="s">
        <v>21</v>
      </c>
      <c r="D6" s="11">
        <v>20</v>
      </c>
      <c r="E6" s="182" t="s">
        <v>130</v>
      </c>
      <c r="F6" s="182" t="s">
        <v>130</v>
      </c>
      <c r="G6" s="182" t="s">
        <v>130</v>
      </c>
      <c r="H6" s="182" t="s">
        <v>130</v>
      </c>
      <c r="I6" s="182" t="s">
        <v>130</v>
      </c>
      <c r="J6" s="182" t="s">
        <v>130</v>
      </c>
      <c r="K6" s="182" t="s">
        <v>130</v>
      </c>
      <c r="L6" s="183">
        <v>0</v>
      </c>
    </row>
    <row r="7" spans="1:12">
      <c r="A7" s="11">
        <v>2</v>
      </c>
      <c r="B7" s="153" t="s">
        <v>65</v>
      </c>
      <c r="C7" s="8" t="s">
        <v>21</v>
      </c>
      <c r="D7" s="11">
        <v>13</v>
      </c>
      <c r="E7" s="182" t="s">
        <v>130</v>
      </c>
      <c r="F7" s="182" t="s">
        <v>130</v>
      </c>
      <c r="G7" s="182" t="s">
        <v>130</v>
      </c>
      <c r="H7" s="182" t="s">
        <v>130</v>
      </c>
      <c r="I7" s="182" t="s">
        <v>130</v>
      </c>
      <c r="J7" s="182" t="s">
        <v>130</v>
      </c>
      <c r="K7" s="182" t="s">
        <v>130</v>
      </c>
      <c r="L7" s="183">
        <v>0</v>
      </c>
    </row>
    <row r="8" spans="1:12">
      <c r="A8" s="11">
        <v>3</v>
      </c>
      <c r="B8" s="153" t="s">
        <v>67</v>
      </c>
      <c r="C8" s="8" t="s">
        <v>21</v>
      </c>
      <c r="D8" s="11">
        <v>21</v>
      </c>
      <c r="E8" s="182" t="s">
        <v>130</v>
      </c>
      <c r="F8" s="182" t="s">
        <v>130</v>
      </c>
      <c r="G8" s="182" t="s">
        <v>130</v>
      </c>
      <c r="H8" s="182" t="s">
        <v>130</v>
      </c>
      <c r="I8" s="182" t="s">
        <v>130</v>
      </c>
      <c r="J8" s="182" t="s">
        <v>130</v>
      </c>
      <c r="K8" s="182" t="s">
        <v>130</v>
      </c>
      <c r="L8" s="183">
        <v>0</v>
      </c>
    </row>
    <row r="9" spans="1:12">
      <c r="A9" s="11">
        <v>4</v>
      </c>
      <c r="B9" s="153" t="s">
        <v>69</v>
      </c>
      <c r="C9" s="9" t="s">
        <v>22</v>
      </c>
      <c r="D9" s="11">
        <v>12</v>
      </c>
      <c r="E9" s="182" t="s">
        <v>130</v>
      </c>
      <c r="F9" s="11">
        <v>10</v>
      </c>
      <c r="G9" s="11">
        <v>10</v>
      </c>
      <c r="H9" s="182" t="s">
        <v>130</v>
      </c>
      <c r="I9" s="182" t="s">
        <v>130</v>
      </c>
      <c r="J9" s="11">
        <v>0</v>
      </c>
      <c r="K9" s="11">
        <v>0</v>
      </c>
      <c r="L9" s="183">
        <v>20</v>
      </c>
    </row>
    <row r="10" spans="1:12">
      <c r="A10" s="11">
        <v>5</v>
      </c>
      <c r="B10" s="153" t="s">
        <v>71</v>
      </c>
      <c r="C10" s="9" t="s">
        <v>22</v>
      </c>
      <c r="D10" s="11">
        <v>21</v>
      </c>
      <c r="E10" s="182" t="s">
        <v>130</v>
      </c>
      <c r="F10" s="11">
        <v>11</v>
      </c>
      <c r="G10" s="11">
        <v>0</v>
      </c>
      <c r="H10" s="11">
        <v>0</v>
      </c>
      <c r="I10" s="182" t="s">
        <v>130</v>
      </c>
      <c r="J10" s="11">
        <v>0</v>
      </c>
      <c r="K10" s="11">
        <v>8</v>
      </c>
      <c r="L10" s="183">
        <v>19</v>
      </c>
    </row>
    <row r="11" spans="1:12">
      <c r="A11" s="11">
        <v>6</v>
      </c>
      <c r="B11" s="153" t="s">
        <v>73</v>
      </c>
      <c r="C11" s="10" t="s">
        <v>23</v>
      </c>
      <c r="D11" s="11">
        <v>12</v>
      </c>
      <c r="E11" s="11">
        <v>11</v>
      </c>
      <c r="F11" s="182" t="s">
        <v>130</v>
      </c>
      <c r="G11" s="182" t="s">
        <v>130</v>
      </c>
      <c r="H11" s="182" t="s">
        <v>130</v>
      </c>
      <c r="I11" s="182" t="s">
        <v>130</v>
      </c>
      <c r="J11" s="182" t="s">
        <v>130</v>
      </c>
      <c r="K11" s="182" t="s">
        <v>130</v>
      </c>
      <c r="L11" s="183">
        <v>0</v>
      </c>
    </row>
    <row r="12" spans="1:12">
      <c r="A12" s="11">
        <v>7</v>
      </c>
      <c r="B12" s="153" t="s">
        <v>75</v>
      </c>
      <c r="C12" s="10" t="s">
        <v>23</v>
      </c>
      <c r="D12" s="11">
        <v>16</v>
      </c>
      <c r="E12" s="11">
        <v>11</v>
      </c>
      <c r="F12" s="182" t="s">
        <v>130</v>
      </c>
      <c r="G12" s="182" t="s">
        <v>130</v>
      </c>
      <c r="H12" s="182" t="s">
        <v>130</v>
      </c>
      <c r="I12" s="182" t="s">
        <v>130</v>
      </c>
      <c r="J12" s="182" t="s">
        <v>130</v>
      </c>
      <c r="K12" s="182" t="s">
        <v>130</v>
      </c>
      <c r="L12" s="183">
        <v>0</v>
      </c>
    </row>
    <row r="13" spans="1:12">
      <c r="A13" s="11">
        <v>8</v>
      </c>
      <c r="B13" s="153" t="s">
        <v>77</v>
      </c>
      <c r="C13" s="10" t="s">
        <v>23</v>
      </c>
      <c r="D13" s="11">
        <v>21</v>
      </c>
      <c r="E13" s="11">
        <v>11</v>
      </c>
      <c r="F13" s="182" t="s">
        <v>130</v>
      </c>
      <c r="G13" s="182" t="s">
        <v>130</v>
      </c>
      <c r="H13" s="182" t="s">
        <v>130</v>
      </c>
      <c r="I13" s="182" t="s">
        <v>130</v>
      </c>
      <c r="J13" s="182" t="s">
        <v>130</v>
      </c>
      <c r="K13" s="182" t="s">
        <v>130</v>
      </c>
      <c r="L13" s="183">
        <v>0</v>
      </c>
    </row>
    <row r="14" spans="1:12">
      <c r="A14" s="11">
        <v>9</v>
      </c>
      <c r="B14" s="153" t="s">
        <v>79</v>
      </c>
      <c r="C14" s="10" t="s">
        <v>23</v>
      </c>
      <c r="D14" s="11">
        <v>21</v>
      </c>
      <c r="E14" s="11">
        <v>11</v>
      </c>
      <c r="F14" s="182" t="s">
        <v>130</v>
      </c>
      <c r="G14" s="182" t="s">
        <v>130</v>
      </c>
      <c r="H14" s="182" t="s">
        <v>130</v>
      </c>
      <c r="I14" s="182" t="s">
        <v>130</v>
      </c>
      <c r="J14" s="182" t="s">
        <v>130</v>
      </c>
      <c r="K14" s="182" t="s">
        <v>130</v>
      </c>
      <c r="L14" s="183">
        <v>0</v>
      </c>
    </row>
    <row r="15" spans="1:12">
      <c r="A15" s="11">
        <v>10</v>
      </c>
      <c r="B15" s="153" t="s">
        <v>81</v>
      </c>
      <c r="C15" s="10" t="s">
        <v>23</v>
      </c>
      <c r="D15" s="11">
        <v>17</v>
      </c>
      <c r="E15" s="182" t="s">
        <v>130</v>
      </c>
      <c r="F15" s="11">
        <v>13</v>
      </c>
      <c r="G15" s="11">
        <v>17</v>
      </c>
      <c r="H15" s="11">
        <v>5</v>
      </c>
      <c r="I15" s="182" t="s">
        <v>130</v>
      </c>
      <c r="J15" s="11">
        <v>8</v>
      </c>
      <c r="K15" s="11">
        <v>17</v>
      </c>
      <c r="L15" s="183">
        <v>60</v>
      </c>
    </row>
    <row r="16" spans="1:12">
      <c r="A16" s="11">
        <v>11</v>
      </c>
      <c r="B16" s="153" t="s">
        <v>83</v>
      </c>
      <c r="C16" s="10" t="s">
        <v>23</v>
      </c>
      <c r="D16" s="11">
        <v>17</v>
      </c>
      <c r="E16" s="182" t="s">
        <v>130</v>
      </c>
      <c r="F16" s="11">
        <v>12</v>
      </c>
      <c r="G16" s="11">
        <v>17</v>
      </c>
      <c r="H16" s="11">
        <v>6</v>
      </c>
      <c r="I16" s="182" t="s">
        <v>130</v>
      </c>
      <c r="J16" s="11">
        <v>5</v>
      </c>
      <c r="K16" s="11">
        <v>17</v>
      </c>
      <c r="L16" s="183">
        <v>57</v>
      </c>
    </row>
    <row r="17" spans="1:12">
      <c r="A17" s="11">
        <v>12</v>
      </c>
      <c r="B17" s="153" t="s">
        <v>85</v>
      </c>
      <c r="C17" s="10" t="s">
        <v>23</v>
      </c>
      <c r="D17" s="11">
        <v>17</v>
      </c>
      <c r="E17" s="11">
        <v>10</v>
      </c>
      <c r="F17" s="11">
        <v>6</v>
      </c>
      <c r="G17" s="11">
        <v>7</v>
      </c>
      <c r="H17" s="11">
        <v>4</v>
      </c>
      <c r="I17" s="182" t="s">
        <v>130</v>
      </c>
      <c r="J17" s="11">
        <v>3</v>
      </c>
      <c r="K17" s="11">
        <v>0</v>
      </c>
      <c r="L17" s="183">
        <v>20</v>
      </c>
    </row>
    <row r="18" spans="1:12">
      <c r="A18" s="11">
        <v>13</v>
      </c>
      <c r="B18" s="153" t="s">
        <v>87</v>
      </c>
      <c r="C18" s="10" t="s">
        <v>23</v>
      </c>
      <c r="D18" s="11">
        <v>21</v>
      </c>
      <c r="E18" s="11">
        <v>9</v>
      </c>
      <c r="F18" s="11">
        <v>11</v>
      </c>
      <c r="G18" s="11">
        <v>12</v>
      </c>
      <c r="H18" s="11">
        <v>6</v>
      </c>
      <c r="I18" s="182" t="s">
        <v>130</v>
      </c>
      <c r="J18" s="11">
        <v>5</v>
      </c>
      <c r="K18" s="11">
        <v>0</v>
      </c>
      <c r="L18" s="183">
        <v>34</v>
      </c>
    </row>
    <row r="20" spans="1:12">
      <c r="B20" s="97" t="s">
        <v>230</v>
      </c>
      <c r="C20" s="97"/>
      <c r="D20" s="97"/>
      <c r="E20" s="11">
        <f t="shared" ref="E20:K20" si="0">IF(COUNT(E6:E18)=0,"－",MAX(E6:E18))</f>
        <v>11</v>
      </c>
      <c r="F20" s="11">
        <f t="shared" si="0"/>
        <v>13</v>
      </c>
      <c r="G20" s="11">
        <f t="shared" si="0"/>
        <v>17</v>
      </c>
      <c r="H20" s="11">
        <f t="shared" si="0"/>
        <v>6</v>
      </c>
      <c r="I20" s="11" t="str">
        <f t="shared" si="0"/>
        <v>－</v>
      </c>
      <c r="J20" s="11">
        <f t="shared" si="0"/>
        <v>8</v>
      </c>
      <c r="K20" s="11">
        <f t="shared" si="0"/>
        <v>17</v>
      </c>
    </row>
    <row r="21" spans="1:12">
      <c r="B21" s="97" t="s">
        <v>231</v>
      </c>
      <c r="C21" s="97"/>
      <c r="D21" s="97"/>
      <c r="E21" s="11">
        <f t="shared" ref="E21:K21" si="1">IF(COUNT(E6:E18)=0,"－",MIN(E6:E18))</f>
        <v>9</v>
      </c>
      <c r="F21" s="11">
        <f t="shared" si="1"/>
        <v>6</v>
      </c>
      <c r="G21" s="11">
        <f t="shared" si="1"/>
        <v>0</v>
      </c>
      <c r="H21" s="11">
        <f t="shared" si="1"/>
        <v>0</v>
      </c>
      <c r="I21" s="11" t="str">
        <f t="shared" si="1"/>
        <v>－</v>
      </c>
      <c r="J21" s="11">
        <f t="shared" si="1"/>
        <v>0</v>
      </c>
      <c r="K21" s="11">
        <f t="shared" si="1"/>
        <v>0</v>
      </c>
    </row>
    <row r="22" spans="1:12">
      <c r="B22" s="183" t="s">
        <v>232</v>
      </c>
      <c r="C22" s="183"/>
      <c r="D22" s="183"/>
      <c r="E22" s="82">
        <f t="shared" ref="E22:K22" si="2">IF(ISNUMBER(E20),E20-E21,"－")</f>
        <v>2</v>
      </c>
      <c r="F22" s="82">
        <f t="shared" si="2"/>
        <v>7</v>
      </c>
      <c r="G22" s="82">
        <f t="shared" si="2"/>
        <v>17</v>
      </c>
      <c r="H22" s="82">
        <f t="shared" si="2"/>
        <v>6</v>
      </c>
      <c r="I22" s="82" t="str">
        <f t="shared" si="2"/>
        <v>－</v>
      </c>
      <c r="J22" s="82">
        <f t="shared" si="2"/>
        <v>8</v>
      </c>
      <c r="K22" s="82">
        <f t="shared" si="2"/>
        <v>17</v>
      </c>
    </row>
    <row r="23" spans="1:12">
      <c r="B23" s="18" t="s">
        <v>233</v>
      </c>
    </row>
    <row r="25" spans="1:12">
      <c r="B25" s="4" t="s">
        <v>234</v>
      </c>
    </row>
    <row r="26" spans="1:12">
      <c r="B26" s="203" t="s">
        <v>271</v>
      </c>
    </row>
    <row r="27" spans="1:12">
      <c r="B27" s="203" t="s">
        <v>272</v>
      </c>
    </row>
    <row r="28" spans="1:12">
      <c r="B28" s="203" t="s">
        <v>273</v>
      </c>
    </row>
    <row r="29" spans="1:12">
      <c r="B29" s="203" t="s">
        <v>274</v>
      </c>
    </row>
    <row r="30" spans="1:12">
      <c r="B30" s="203" t="s">
        <v>275</v>
      </c>
    </row>
    <row r="31" spans="1:12">
      <c r="B31" s="203" t="s">
        <v>276</v>
      </c>
    </row>
    <row r="32" spans="1:12">
      <c r="B32" s="203" t="s">
        <v>277</v>
      </c>
    </row>
    <row r="33" spans="2:2">
      <c r="B33" s="203" t="s">
        <v>278</v>
      </c>
    </row>
    <row r="34" spans="2:2">
      <c r="B34" s="203" t="s">
        <v>279</v>
      </c>
    </row>
    <row r="35" spans="2:2">
      <c r="B35" s="203" t="s">
        <v>280</v>
      </c>
    </row>
    <row r="36" spans="2:2">
      <c r="B36" s="203" t="s">
        <v>281</v>
      </c>
    </row>
    <row r="37" spans="2:2">
      <c r="B37" s="203" t="s">
        <v>282</v>
      </c>
    </row>
    <row r="38" spans="2:2">
      <c r="B38" s="203" t="s">
        <v>283</v>
      </c>
    </row>
    <row r="39" spans="2:2">
      <c r="B39" s="203" t="s">
        <v>284</v>
      </c>
    </row>
    <row r="40" spans="2:2">
      <c r="B40" s="203" t="s">
        <v>285</v>
      </c>
    </row>
    <row r="41" spans="2:2">
      <c r="B41" s="203" t="s">
        <v>286</v>
      </c>
    </row>
    <row r="42" spans="2:2">
      <c r="B42" s="203" t="s">
        <v>287</v>
      </c>
    </row>
    <row r="43" spans="2:2">
      <c r="B43" s="203" t="s">
        <v>288</v>
      </c>
    </row>
    <row r="44" spans="2:2">
      <c r="B44" s="203" t="s">
        <v>289</v>
      </c>
    </row>
    <row r="45" spans="2:2">
      <c r="B45" s="203" t="s">
        <v>290</v>
      </c>
    </row>
    <row r="46" spans="2:2">
      <c r="B46" s="203" t="s">
        <v>291</v>
      </c>
    </row>
  </sheetData>
  <phoneticPr fontId="1"/>
  <conditionalFormatting sqref="E22:K22">
    <cfRule type="expression" dxfId="1" priority="1" stopIfTrue="1">
      <formula>AND(ISNUMBER(E22),E22&gt;=2)</formula>
    </cfRule>
    <cfRule type="expression" dxfId="0" priority="2" stopIfTrue="1">
      <formula>AND(ISNUMBER(E22),E22&lt;=1)</formula>
    </cfRule>
  </conditionalFormatting>
  <conditionalFormatting sqref="E6:K18">
    <cfRule type="dataBar" priority="3">
      <dataBar>
        <cfvo type="min"/>
        <cfvo type="max"/>
        <color rgb="FF63BE7B"/>
      </dataBar>
      <extLst>
        <ext xmlns:x14="http://schemas.microsoft.com/office/spreadsheetml/2009/9/main" uri="{B025F937-C7B1-47D3-B67F-A62EFF666E3E}">
          <x14:id>{F2194C50-3049-411C-908A-05AF1DF16DEA}</x14:id>
        </ext>
      </extLst>
    </cfRule>
  </conditionalFormatting>
  <hyperlinks>
    <hyperlink ref="A1" location="'表紙'!A1" display="◀ 表紙へ" xr:uid="{F6318F03-374D-4D21-A1E9-45478CD7D9C0}"/>
    <hyperlink ref="C2" location="'⑥タイム_2026年10月'!A1" display="◀ ⑥ タイムシフト（2026年10月）へ" xr:uid="{B4DF4D94-E46C-4C64-99EE-A5F9B8B86210}"/>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F2194C50-3049-411C-908A-05AF1DF16DEA}">
            <x14:dataBar minLength="0" maxLength="100" negativeBarColorSameAsPositive="1" axisPosition="none">
              <x14:cfvo type="min"/>
              <x14:cfvo type="max"/>
            </x14:dataBar>
          </x14:cfRule>
          <xm:sqref>E6:K18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4FC63-BDE1-49A8-A6F7-F885A7C2801B}">
  <sheetPr>
    <tabColor rgb="FF808080"/>
  </sheetPr>
  <dimension ref="A1:G4156"/>
  <sheetViews>
    <sheetView showGridLines="0" workbookViewId="0"/>
  </sheetViews>
  <sheetFormatPr defaultRowHeight="14.25"/>
  <cols>
    <col min="1" max="1" width="18.625" style="231" customWidth="1"/>
    <col min="2" max="2" width="34.625" style="237" customWidth="1"/>
    <col min="3" max="3" width="9.625" style="231" customWidth="1"/>
    <col min="4" max="4" width="20.625" style="231" customWidth="1"/>
    <col min="5" max="5" width="26.625" style="231" customWidth="1"/>
    <col min="6" max="6" width="14.625" style="231" customWidth="1"/>
    <col min="7" max="7" width="70.625" style="231" customWidth="1"/>
    <col min="8" max="16384" width="9" style="231"/>
  </cols>
  <sheetData>
    <row r="1" spans="1:7" ht="19.5">
      <c r="A1" s="204" t="s">
        <v>293</v>
      </c>
    </row>
    <row r="2" spans="1:7">
      <c r="A2" s="205" t="s">
        <v>4504</v>
      </c>
    </row>
    <row r="4" spans="1:7" ht="17.25" thickBot="1">
      <c r="A4" s="206" t="s">
        <v>294</v>
      </c>
      <c r="B4" s="238"/>
      <c r="C4" s="232"/>
      <c r="D4" s="232"/>
      <c r="E4" s="232"/>
      <c r="F4" s="232"/>
      <c r="G4" s="232"/>
    </row>
    <row r="5" spans="1:7">
      <c r="A5" s="208" t="s">
        <v>295</v>
      </c>
      <c r="B5" s="207" t="s">
        <v>296</v>
      </c>
      <c r="C5" s="208" t="s">
        <v>297</v>
      </c>
      <c r="D5" s="208" t="s">
        <v>298</v>
      </c>
      <c r="E5" s="208" t="s">
        <v>299</v>
      </c>
      <c r="F5" s="208" t="s">
        <v>300</v>
      </c>
      <c r="G5" s="208" t="s">
        <v>301</v>
      </c>
    </row>
    <row r="6" spans="1:7">
      <c r="A6" s="234" t="s">
        <v>302</v>
      </c>
      <c r="B6" s="233" t="s">
        <v>303</v>
      </c>
      <c r="C6" s="234" t="s">
        <v>304</v>
      </c>
      <c r="D6" s="234" t="s">
        <v>305</v>
      </c>
      <c r="E6" s="234" t="s">
        <v>306</v>
      </c>
      <c r="F6" s="234" t="s">
        <v>307</v>
      </c>
      <c r="G6" s="234" t="s">
        <v>308</v>
      </c>
    </row>
    <row r="7" spans="1:7">
      <c r="A7" s="234" t="s">
        <v>302</v>
      </c>
      <c r="B7" s="233" t="s">
        <v>309</v>
      </c>
      <c r="C7" s="234" t="s">
        <v>310</v>
      </c>
      <c r="D7" s="234" t="s">
        <v>311</v>
      </c>
      <c r="E7" s="234" t="s">
        <v>312</v>
      </c>
      <c r="F7" s="234" t="s">
        <v>307</v>
      </c>
      <c r="G7" s="234" t="s">
        <v>313</v>
      </c>
    </row>
    <row r="8" spans="1:7">
      <c r="A8" s="234" t="s">
        <v>302</v>
      </c>
      <c r="B8" s="233" t="s">
        <v>314</v>
      </c>
      <c r="C8" s="234" t="s">
        <v>315</v>
      </c>
      <c r="D8" s="234" t="s">
        <v>316</v>
      </c>
      <c r="E8" s="234" t="s">
        <v>317</v>
      </c>
      <c r="F8" s="234" t="s">
        <v>307</v>
      </c>
      <c r="G8" s="234" t="s">
        <v>318</v>
      </c>
    </row>
    <row r="9" spans="1:7">
      <c r="A9" s="234" t="s">
        <v>302</v>
      </c>
      <c r="B9" s="233" t="s">
        <v>319</v>
      </c>
      <c r="C9" s="234" t="s">
        <v>320</v>
      </c>
      <c r="D9" s="234" t="s">
        <v>321</v>
      </c>
      <c r="E9" s="234" t="s">
        <v>322</v>
      </c>
      <c r="F9" s="234" t="s">
        <v>307</v>
      </c>
      <c r="G9" s="234" t="s">
        <v>323</v>
      </c>
    </row>
    <row r="10" spans="1:7">
      <c r="A10" s="234" t="s">
        <v>302</v>
      </c>
      <c r="B10" s="233" t="s">
        <v>324</v>
      </c>
      <c r="C10" s="234" t="s">
        <v>325</v>
      </c>
      <c r="D10" s="234" t="s">
        <v>326</v>
      </c>
      <c r="E10" s="234" t="s">
        <v>327</v>
      </c>
      <c r="F10" s="234" t="s">
        <v>307</v>
      </c>
      <c r="G10" s="234" t="s">
        <v>328</v>
      </c>
    </row>
    <row r="11" spans="1:7">
      <c r="A11" s="234" t="s">
        <v>302</v>
      </c>
      <c r="B11" s="233" t="s">
        <v>329</v>
      </c>
      <c r="C11" s="234" t="s">
        <v>330</v>
      </c>
      <c r="D11" s="234" t="s">
        <v>331</v>
      </c>
      <c r="E11" s="234" t="s">
        <v>332</v>
      </c>
      <c r="F11" s="234" t="s">
        <v>307</v>
      </c>
      <c r="G11" s="234" t="s">
        <v>333</v>
      </c>
    </row>
    <row r="12" spans="1:7">
      <c r="A12" s="234" t="s">
        <v>302</v>
      </c>
      <c r="B12" s="233" t="s">
        <v>334</v>
      </c>
      <c r="C12" s="234" t="s">
        <v>335</v>
      </c>
      <c r="D12" s="234" t="s">
        <v>336</v>
      </c>
      <c r="E12" s="234" t="s">
        <v>337</v>
      </c>
      <c r="F12" s="234" t="s">
        <v>338</v>
      </c>
      <c r="G12" s="234" t="s">
        <v>339</v>
      </c>
    </row>
    <row r="13" spans="1:7">
      <c r="A13" s="234" t="s">
        <v>302</v>
      </c>
      <c r="B13" s="233" t="s">
        <v>340</v>
      </c>
      <c r="C13" s="234" t="s">
        <v>341</v>
      </c>
      <c r="D13" s="234" t="s">
        <v>342</v>
      </c>
      <c r="E13" s="234" t="s">
        <v>343</v>
      </c>
      <c r="F13" s="234" t="s">
        <v>338</v>
      </c>
      <c r="G13" s="234" t="s">
        <v>344</v>
      </c>
    </row>
    <row r="14" spans="1:7">
      <c r="A14" s="234" t="s">
        <v>302</v>
      </c>
      <c r="B14" s="233" t="s">
        <v>345</v>
      </c>
      <c r="C14" s="234" t="s">
        <v>346</v>
      </c>
      <c r="D14" s="234" t="s">
        <v>347</v>
      </c>
      <c r="E14" s="234" t="s">
        <v>348</v>
      </c>
      <c r="F14" s="234" t="s">
        <v>338</v>
      </c>
      <c r="G14" s="234" t="s">
        <v>349</v>
      </c>
    </row>
    <row r="15" spans="1:7">
      <c r="A15" s="234" t="s">
        <v>350</v>
      </c>
      <c r="B15" s="233" t="s">
        <v>351</v>
      </c>
      <c r="C15" s="234" t="s">
        <v>352</v>
      </c>
      <c r="D15" s="234" t="s">
        <v>353</v>
      </c>
      <c r="E15" s="234" t="s">
        <v>312</v>
      </c>
      <c r="F15" s="234" t="s">
        <v>307</v>
      </c>
      <c r="G15" s="234" t="s">
        <v>313</v>
      </c>
    </row>
    <row r="16" spans="1:7">
      <c r="A16" s="234" t="s">
        <v>354</v>
      </c>
      <c r="B16" s="233" t="s">
        <v>355</v>
      </c>
      <c r="C16" s="234" t="s">
        <v>356</v>
      </c>
      <c r="D16" s="234" t="s">
        <v>353</v>
      </c>
      <c r="E16" s="234" t="s">
        <v>317</v>
      </c>
      <c r="F16" s="234" t="s">
        <v>307</v>
      </c>
      <c r="G16" s="234" t="s">
        <v>318</v>
      </c>
    </row>
    <row r="17" spans="1:7">
      <c r="A17" s="234" t="s">
        <v>357</v>
      </c>
      <c r="B17" s="233" t="s">
        <v>358</v>
      </c>
      <c r="C17" s="234" t="s">
        <v>359</v>
      </c>
      <c r="D17" s="234" t="s">
        <v>360</v>
      </c>
      <c r="E17" s="234" t="s">
        <v>322</v>
      </c>
      <c r="F17" s="234" t="s">
        <v>307</v>
      </c>
      <c r="G17" s="234" t="s">
        <v>323</v>
      </c>
    </row>
    <row r="18" spans="1:7">
      <c r="A18" s="234" t="s">
        <v>357</v>
      </c>
      <c r="B18" s="233" t="s">
        <v>361</v>
      </c>
      <c r="C18" s="234" t="s">
        <v>362</v>
      </c>
      <c r="D18" s="234" t="s">
        <v>363</v>
      </c>
      <c r="E18" s="234" t="s">
        <v>364</v>
      </c>
      <c r="F18" s="234" t="s">
        <v>365</v>
      </c>
      <c r="G18" s="234" t="s">
        <v>366</v>
      </c>
    </row>
    <row r="19" spans="1:7">
      <c r="A19" s="234" t="s">
        <v>367</v>
      </c>
      <c r="B19" s="233" t="s">
        <v>368</v>
      </c>
      <c r="C19" s="234" t="s">
        <v>369</v>
      </c>
      <c r="D19" s="234" t="s">
        <v>370</v>
      </c>
      <c r="E19" s="234" t="s">
        <v>371</v>
      </c>
      <c r="F19" s="234" t="s">
        <v>372</v>
      </c>
      <c r="G19" s="234" t="s">
        <v>373</v>
      </c>
    </row>
    <row r="20" spans="1:7">
      <c r="A20" s="234" t="s">
        <v>367</v>
      </c>
      <c r="B20" s="233" t="s">
        <v>374</v>
      </c>
      <c r="C20" s="234" t="s">
        <v>375</v>
      </c>
      <c r="D20" s="234" t="s">
        <v>353</v>
      </c>
      <c r="E20" s="234" t="s">
        <v>327</v>
      </c>
      <c r="F20" s="234" t="s">
        <v>307</v>
      </c>
      <c r="G20" s="234" t="s">
        <v>328</v>
      </c>
    </row>
    <row r="21" spans="1:7">
      <c r="A21" s="234" t="s">
        <v>376</v>
      </c>
      <c r="B21" s="233" t="s">
        <v>377</v>
      </c>
      <c r="C21" s="234" t="s">
        <v>378</v>
      </c>
      <c r="D21" s="234" t="s">
        <v>379</v>
      </c>
      <c r="E21" s="234" t="s">
        <v>380</v>
      </c>
      <c r="F21" s="234" t="s">
        <v>381</v>
      </c>
      <c r="G21" s="234" t="s">
        <v>382</v>
      </c>
    </row>
    <row r="22" spans="1:7">
      <c r="A22" s="234" t="s">
        <v>376</v>
      </c>
      <c r="B22" s="233" t="s">
        <v>383</v>
      </c>
      <c r="C22" s="234" t="s">
        <v>384</v>
      </c>
      <c r="D22" s="234" t="s">
        <v>385</v>
      </c>
      <c r="E22" s="234" t="s">
        <v>386</v>
      </c>
      <c r="F22" s="234" t="s">
        <v>381</v>
      </c>
      <c r="G22" s="234" t="s">
        <v>387</v>
      </c>
    </row>
    <row r="23" spans="1:7">
      <c r="A23" s="234" t="s">
        <v>235</v>
      </c>
      <c r="B23" s="233" t="s">
        <v>388</v>
      </c>
      <c r="C23" s="234" t="s">
        <v>389</v>
      </c>
      <c r="D23" s="234" t="s">
        <v>360</v>
      </c>
      <c r="E23" s="234" t="s">
        <v>390</v>
      </c>
      <c r="F23" s="234" t="s">
        <v>381</v>
      </c>
      <c r="G23" s="234" t="s">
        <v>391</v>
      </c>
    </row>
    <row r="24" spans="1:7">
      <c r="A24" s="234" t="s">
        <v>235</v>
      </c>
      <c r="B24" s="233" t="s">
        <v>392</v>
      </c>
      <c r="C24" s="234" t="s">
        <v>393</v>
      </c>
      <c r="D24" s="234" t="s">
        <v>394</v>
      </c>
      <c r="E24" s="234" t="s">
        <v>395</v>
      </c>
      <c r="F24" s="234" t="s">
        <v>338</v>
      </c>
      <c r="G24" s="234" t="s">
        <v>396</v>
      </c>
    </row>
    <row r="25" spans="1:7">
      <c r="A25" s="234" t="s">
        <v>235</v>
      </c>
      <c r="B25" s="233" t="s">
        <v>397</v>
      </c>
      <c r="C25" s="234" t="s">
        <v>393</v>
      </c>
      <c r="D25" s="234" t="s">
        <v>398</v>
      </c>
      <c r="E25" s="234" t="s">
        <v>399</v>
      </c>
      <c r="F25" s="234" t="s">
        <v>338</v>
      </c>
      <c r="G25" s="234" t="s">
        <v>400</v>
      </c>
    </row>
    <row r="26" spans="1:7">
      <c r="A26" s="234" t="s">
        <v>235</v>
      </c>
      <c r="B26" s="233" t="s">
        <v>401</v>
      </c>
      <c r="C26" s="234" t="s">
        <v>402</v>
      </c>
      <c r="D26" s="234" t="s">
        <v>403</v>
      </c>
      <c r="E26" s="234" t="s">
        <v>404</v>
      </c>
      <c r="F26" s="234" t="s">
        <v>338</v>
      </c>
      <c r="G26" s="234" t="s">
        <v>405</v>
      </c>
    </row>
    <row r="27" spans="1:7">
      <c r="A27" s="234" t="s">
        <v>406</v>
      </c>
      <c r="B27" s="233" t="s">
        <v>407</v>
      </c>
      <c r="C27" s="234" t="s">
        <v>408</v>
      </c>
      <c r="D27" s="234" t="s">
        <v>360</v>
      </c>
      <c r="E27" s="234" t="s">
        <v>409</v>
      </c>
      <c r="F27" s="234" t="s">
        <v>338</v>
      </c>
      <c r="G27" s="234" t="s">
        <v>410</v>
      </c>
    </row>
    <row r="28" spans="1:7">
      <c r="A28" s="234" t="s">
        <v>406</v>
      </c>
      <c r="B28" s="233" t="s">
        <v>411</v>
      </c>
      <c r="C28" s="234" t="s">
        <v>412</v>
      </c>
      <c r="D28" s="234" t="s">
        <v>363</v>
      </c>
      <c r="E28" s="234" t="s">
        <v>395</v>
      </c>
      <c r="F28" s="234" t="s">
        <v>338</v>
      </c>
      <c r="G28" s="234" t="s">
        <v>396</v>
      </c>
    </row>
    <row r="29" spans="1:7">
      <c r="A29" s="234" t="s">
        <v>406</v>
      </c>
      <c r="B29" s="233" t="s">
        <v>413</v>
      </c>
      <c r="C29" s="234" t="s">
        <v>414</v>
      </c>
      <c r="D29" s="234" t="s">
        <v>415</v>
      </c>
      <c r="E29" s="234" t="s">
        <v>404</v>
      </c>
      <c r="F29" s="234" t="s">
        <v>338</v>
      </c>
      <c r="G29" s="234" t="s">
        <v>405</v>
      </c>
    </row>
    <row r="30" spans="1:7">
      <c r="A30" s="205" t="s">
        <v>416</v>
      </c>
    </row>
    <row r="32" spans="1:7" ht="17.25" thickBot="1">
      <c r="A32" s="206" t="s">
        <v>417</v>
      </c>
      <c r="B32" s="238"/>
      <c r="C32" s="232"/>
      <c r="D32" s="232"/>
      <c r="E32" s="232"/>
      <c r="F32" s="232"/>
      <c r="G32" s="232"/>
    </row>
    <row r="33" spans="1:7">
      <c r="A33" s="208" t="s">
        <v>418</v>
      </c>
      <c r="B33" s="207" t="s">
        <v>419</v>
      </c>
      <c r="C33" s="208" t="s">
        <v>420</v>
      </c>
      <c r="D33" s="208" t="s">
        <v>301</v>
      </c>
    </row>
    <row r="34" spans="1:7" ht="71.25">
      <c r="A34" s="234" t="s">
        <v>421</v>
      </c>
      <c r="B34" s="233" t="s">
        <v>422</v>
      </c>
      <c r="C34" s="234" t="s">
        <v>423</v>
      </c>
      <c r="D34" s="234" t="s">
        <v>424</v>
      </c>
    </row>
    <row r="36" spans="1:7" ht="17.25" thickBot="1">
      <c r="A36" s="206" t="s">
        <v>425</v>
      </c>
      <c r="B36" s="238"/>
      <c r="C36" s="232"/>
      <c r="D36" s="232"/>
      <c r="E36" s="232"/>
      <c r="F36" s="232"/>
      <c r="G36" s="232"/>
    </row>
    <row r="37" spans="1:7">
      <c r="A37" s="208" t="s">
        <v>426</v>
      </c>
      <c r="B37" s="207" t="s">
        <v>197</v>
      </c>
      <c r="C37" s="208" t="s">
        <v>427</v>
      </c>
      <c r="D37" s="208" t="s">
        <v>428</v>
      </c>
    </row>
    <row r="38" spans="1:7" ht="28.5">
      <c r="A38" s="210" t="s">
        <v>429</v>
      </c>
      <c r="B38" s="233" t="s">
        <v>430</v>
      </c>
      <c r="C38" s="234" t="s">
        <v>431</v>
      </c>
      <c r="D38" s="234" t="s">
        <v>432</v>
      </c>
    </row>
    <row r="39" spans="1:7" ht="28.5">
      <c r="A39" s="210" t="s">
        <v>372</v>
      </c>
      <c r="B39" s="233" t="s">
        <v>433</v>
      </c>
      <c r="C39" s="234" t="s">
        <v>4437</v>
      </c>
      <c r="D39" s="234" t="s">
        <v>434</v>
      </c>
    </row>
    <row r="40" spans="1:7" ht="28.5">
      <c r="A40" s="210" t="s">
        <v>381</v>
      </c>
      <c r="B40" s="233" t="s">
        <v>433</v>
      </c>
      <c r="C40" s="234" t="s">
        <v>4438</v>
      </c>
      <c r="D40" s="234" t="s">
        <v>435</v>
      </c>
    </row>
    <row r="41" spans="1:7" ht="28.5">
      <c r="A41" s="210" t="s">
        <v>307</v>
      </c>
      <c r="B41" s="233" t="s">
        <v>433</v>
      </c>
      <c r="C41" s="234" t="s">
        <v>436</v>
      </c>
      <c r="D41" s="234" t="s">
        <v>437</v>
      </c>
    </row>
    <row r="42" spans="1:7" ht="28.5">
      <c r="A42" s="210" t="s">
        <v>365</v>
      </c>
      <c r="B42" s="233" t="s">
        <v>433</v>
      </c>
      <c r="C42" s="234" t="s">
        <v>438</v>
      </c>
      <c r="D42" s="234" t="s">
        <v>439</v>
      </c>
    </row>
    <row r="43" spans="1:7" ht="28.5">
      <c r="A43" s="210" t="s">
        <v>338</v>
      </c>
      <c r="B43" s="233" t="s">
        <v>433</v>
      </c>
      <c r="C43" s="234" t="s">
        <v>440</v>
      </c>
      <c r="D43" s="234" t="s">
        <v>441</v>
      </c>
    </row>
    <row r="45" spans="1:7" ht="17.25" thickBot="1">
      <c r="A45" s="206" t="s">
        <v>442</v>
      </c>
      <c r="B45" s="238"/>
      <c r="C45" s="232"/>
      <c r="D45" s="232"/>
      <c r="E45" s="232"/>
      <c r="F45" s="232"/>
      <c r="G45" s="232"/>
    </row>
    <row r="46" spans="1:7" ht="18" customHeight="1">
      <c r="A46" s="235" t="s">
        <v>443</v>
      </c>
      <c r="B46" s="235"/>
      <c r="C46" s="235"/>
      <c r="D46" s="235"/>
      <c r="E46" s="235"/>
      <c r="F46" s="235"/>
      <c r="G46" s="235"/>
    </row>
    <row r="47" spans="1:7" ht="18" customHeight="1">
      <c r="A47" s="236" t="s">
        <v>444</v>
      </c>
      <c r="B47" s="236"/>
      <c r="C47" s="236"/>
      <c r="D47" s="236"/>
      <c r="E47" s="236"/>
      <c r="F47" s="236"/>
      <c r="G47" s="236"/>
    </row>
    <row r="48" spans="1:7" ht="30" customHeight="1">
      <c r="A48" s="236" t="s">
        <v>445</v>
      </c>
      <c r="B48" s="236"/>
      <c r="C48" s="236"/>
      <c r="D48" s="236"/>
      <c r="E48" s="236"/>
      <c r="F48" s="236"/>
      <c r="G48" s="236"/>
    </row>
    <row r="49" spans="1:7" ht="30" customHeight="1">
      <c r="A49" s="236" t="s">
        <v>446</v>
      </c>
      <c r="B49" s="236"/>
      <c r="C49" s="236"/>
      <c r="D49" s="236"/>
      <c r="E49" s="236"/>
      <c r="F49" s="236"/>
      <c r="G49" s="236"/>
    </row>
    <row r="50" spans="1:7" ht="18" customHeight="1">
      <c r="A50" s="236" t="s">
        <v>447</v>
      </c>
      <c r="B50" s="236"/>
      <c r="C50" s="236"/>
      <c r="D50" s="236"/>
      <c r="E50" s="236"/>
      <c r="F50" s="236"/>
      <c r="G50" s="236"/>
    </row>
    <row r="51" spans="1:7" ht="18" customHeight="1">
      <c r="A51" s="236" t="s">
        <v>448</v>
      </c>
      <c r="B51" s="236"/>
      <c r="C51" s="236"/>
      <c r="D51" s="236"/>
      <c r="E51" s="236"/>
      <c r="F51" s="236"/>
      <c r="G51" s="236"/>
    </row>
    <row r="53" spans="1:7" ht="17.25" thickBot="1">
      <c r="A53" s="206" t="s">
        <v>449</v>
      </c>
      <c r="B53" s="238"/>
      <c r="C53" s="232"/>
      <c r="D53" s="232"/>
      <c r="E53" s="232"/>
      <c r="F53" s="232"/>
      <c r="G53" s="232"/>
    </row>
    <row r="54" spans="1:7">
      <c r="A54" s="209" t="s">
        <v>450</v>
      </c>
      <c r="B54" s="239" t="s">
        <v>451</v>
      </c>
      <c r="C54" s="209"/>
      <c r="D54" s="209"/>
      <c r="E54" s="209"/>
      <c r="F54" s="209"/>
      <c r="G54" s="209"/>
    </row>
    <row r="55" spans="1:7">
      <c r="A55" s="211" t="s">
        <v>452</v>
      </c>
      <c r="B55" s="240" t="s">
        <v>453</v>
      </c>
    </row>
    <row r="56" spans="1:7">
      <c r="A56" s="211" t="s">
        <v>454</v>
      </c>
      <c r="B56" s="240" t="s">
        <v>455</v>
      </c>
    </row>
    <row r="57" spans="1:7">
      <c r="A57" s="211" t="s">
        <v>456</v>
      </c>
      <c r="B57" s="241" t="s">
        <v>457</v>
      </c>
    </row>
    <row r="58" spans="1:7">
      <c r="A58" s="211" t="s">
        <v>458</v>
      </c>
      <c r="B58" s="241" t="s">
        <v>459</v>
      </c>
    </row>
    <row r="59" spans="1:7">
      <c r="A59" s="211" t="s">
        <v>460</v>
      </c>
      <c r="B59" s="240" t="s">
        <v>461</v>
      </c>
    </row>
    <row r="60" spans="1:7">
      <c r="A60" s="211" t="s">
        <v>462</v>
      </c>
      <c r="B60" s="240" t="s">
        <v>463</v>
      </c>
    </row>
    <row r="61" spans="1:7">
      <c r="A61" s="211" t="s">
        <v>464</v>
      </c>
      <c r="B61" s="240" t="s">
        <v>465</v>
      </c>
    </row>
    <row r="62" spans="1:7">
      <c r="A62" s="211" t="s">
        <v>466</v>
      </c>
      <c r="B62" s="240" t="s">
        <v>467</v>
      </c>
    </row>
    <row r="63" spans="1:7">
      <c r="A63" s="211" t="s">
        <v>468</v>
      </c>
      <c r="B63" s="240" t="s">
        <v>469</v>
      </c>
    </row>
    <row r="64" spans="1:7">
      <c r="A64" s="211" t="s">
        <v>470</v>
      </c>
      <c r="B64" s="240" t="s">
        <v>471</v>
      </c>
    </row>
    <row r="65" spans="1:7">
      <c r="A65" s="211" t="s">
        <v>472</v>
      </c>
      <c r="B65" s="240" t="s">
        <v>473</v>
      </c>
    </row>
    <row r="66" spans="1:7">
      <c r="A66" s="211" t="s">
        <v>474</v>
      </c>
      <c r="B66" s="240" t="s">
        <v>475</v>
      </c>
    </row>
    <row r="68" spans="1:7">
      <c r="A68" s="209" t="s">
        <v>476</v>
      </c>
      <c r="B68" s="239" t="s">
        <v>4439</v>
      </c>
      <c r="C68" s="209"/>
      <c r="D68" s="209"/>
      <c r="E68" s="209"/>
      <c r="F68" s="209"/>
      <c r="G68" s="209"/>
    </row>
    <row r="69" spans="1:7">
      <c r="A69" s="211" t="s">
        <v>452</v>
      </c>
      <c r="B69" s="240" t="s">
        <v>453</v>
      </c>
    </row>
    <row r="70" spans="1:7">
      <c r="A70" s="211" t="s">
        <v>454</v>
      </c>
      <c r="B70" s="241" t="s">
        <v>477</v>
      </c>
    </row>
    <row r="71" spans="1:7">
      <c r="A71" s="211" t="s">
        <v>456</v>
      </c>
      <c r="B71" s="241" t="s">
        <v>478</v>
      </c>
    </row>
    <row r="72" spans="1:7">
      <c r="A72" s="211" t="s">
        <v>458</v>
      </c>
      <c r="B72" s="241" t="s">
        <v>477</v>
      </c>
    </row>
    <row r="73" spans="1:7">
      <c r="A73" s="211" t="s">
        <v>460</v>
      </c>
      <c r="B73" s="240" t="s">
        <v>455</v>
      </c>
    </row>
    <row r="74" spans="1:7">
      <c r="A74" s="211" t="s">
        <v>462</v>
      </c>
      <c r="B74" s="241" t="s">
        <v>479</v>
      </c>
    </row>
    <row r="75" spans="1:7">
      <c r="A75" s="211" t="s">
        <v>464</v>
      </c>
      <c r="B75" s="240" t="s">
        <v>480</v>
      </c>
    </row>
    <row r="76" spans="1:7">
      <c r="A76" s="211" t="s">
        <v>466</v>
      </c>
      <c r="B76" s="241" t="s">
        <v>481</v>
      </c>
    </row>
    <row r="77" spans="1:7">
      <c r="A77" s="211" t="s">
        <v>468</v>
      </c>
      <c r="B77" s="240" t="s">
        <v>482</v>
      </c>
    </row>
    <row r="78" spans="1:7">
      <c r="A78" s="211" t="s">
        <v>470</v>
      </c>
      <c r="B78" s="240" t="s">
        <v>483</v>
      </c>
    </row>
    <row r="79" spans="1:7">
      <c r="A79" s="211" t="s">
        <v>472</v>
      </c>
      <c r="B79" s="240" t="s">
        <v>484</v>
      </c>
    </row>
    <row r="80" spans="1:7">
      <c r="A80" s="211" t="s">
        <v>474</v>
      </c>
      <c r="B80" s="240" t="s">
        <v>485</v>
      </c>
    </row>
    <row r="81" spans="1:2">
      <c r="A81" s="211" t="s">
        <v>486</v>
      </c>
      <c r="B81" s="240" t="s">
        <v>487</v>
      </c>
    </row>
    <row r="82" spans="1:2">
      <c r="A82" s="211" t="s">
        <v>488</v>
      </c>
      <c r="B82" s="240" t="s">
        <v>455</v>
      </c>
    </row>
    <row r="83" spans="1:2">
      <c r="A83" s="211" t="s">
        <v>489</v>
      </c>
      <c r="B83" s="241" t="s">
        <v>490</v>
      </c>
    </row>
    <row r="84" spans="1:2">
      <c r="A84" s="211" t="s">
        <v>491</v>
      </c>
      <c r="B84" s="241" t="s">
        <v>492</v>
      </c>
    </row>
    <row r="85" spans="1:2">
      <c r="A85" s="211" t="s">
        <v>493</v>
      </c>
      <c r="B85" s="240" t="s">
        <v>494</v>
      </c>
    </row>
    <row r="86" spans="1:2">
      <c r="A86" s="211" t="s">
        <v>495</v>
      </c>
      <c r="B86" s="240" t="s">
        <v>496</v>
      </c>
    </row>
    <row r="87" spans="1:2">
      <c r="A87" s="211" t="s">
        <v>497</v>
      </c>
      <c r="B87" s="240" t="s">
        <v>498</v>
      </c>
    </row>
    <row r="88" spans="1:2">
      <c r="A88" s="211" t="s">
        <v>499</v>
      </c>
      <c r="B88" s="240" t="s">
        <v>500</v>
      </c>
    </row>
    <row r="89" spans="1:2">
      <c r="A89" s="211" t="s">
        <v>501</v>
      </c>
      <c r="B89" s="240" t="s">
        <v>4505</v>
      </c>
    </row>
    <row r="90" spans="1:2">
      <c r="A90" s="211" t="s">
        <v>502</v>
      </c>
      <c r="B90" s="240" t="s">
        <v>503</v>
      </c>
    </row>
    <row r="91" spans="1:2">
      <c r="A91" s="211" t="s">
        <v>504</v>
      </c>
      <c r="B91" s="240" t="s">
        <v>505</v>
      </c>
    </row>
    <row r="92" spans="1:2">
      <c r="A92" s="211" t="s">
        <v>506</v>
      </c>
      <c r="B92" s="240" t="s">
        <v>507</v>
      </c>
    </row>
    <row r="93" spans="1:2">
      <c r="A93" s="211" t="s">
        <v>508</v>
      </c>
      <c r="B93" s="240" t="s">
        <v>509</v>
      </c>
    </row>
    <row r="94" spans="1:2">
      <c r="A94" s="211" t="s">
        <v>510</v>
      </c>
      <c r="B94" s="240" t="s">
        <v>511</v>
      </c>
    </row>
    <row r="95" spans="1:2">
      <c r="A95" s="211" t="s">
        <v>512</v>
      </c>
      <c r="B95" s="240" t="s">
        <v>513</v>
      </c>
    </row>
    <row r="96" spans="1:2">
      <c r="A96" s="211" t="s">
        <v>514</v>
      </c>
      <c r="B96" s="240" t="s">
        <v>515</v>
      </c>
    </row>
    <row r="97" spans="1:2">
      <c r="A97" s="211" t="s">
        <v>516</v>
      </c>
      <c r="B97" s="240" t="s">
        <v>517</v>
      </c>
    </row>
    <row r="98" spans="1:2">
      <c r="A98" s="211" t="s">
        <v>518</v>
      </c>
      <c r="B98" s="240" t="s">
        <v>519</v>
      </c>
    </row>
    <row r="99" spans="1:2">
      <c r="A99" s="211" t="s">
        <v>520</v>
      </c>
      <c r="B99" s="240" t="s">
        <v>521</v>
      </c>
    </row>
    <row r="100" spans="1:2">
      <c r="A100" s="211" t="s">
        <v>522</v>
      </c>
      <c r="B100" s="240" t="s">
        <v>523</v>
      </c>
    </row>
    <row r="101" spans="1:2">
      <c r="A101" s="211" t="s">
        <v>524</v>
      </c>
      <c r="B101" s="240" t="s">
        <v>455</v>
      </c>
    </row>
    <row r="102" spans="1:2">
      <c r="A102" s="211" t="s">
        <v>525</v>
      </c>
      <c r="B102" s="241" t="s">
        <v>526</v>
      </c>
    </row>
    <row r="103" spans="1:2">
      <c r="A103" s="211" t="s">
        <v>527</v>
      </c>
      <c r="B103" s="240" t="s">
        <v>528</v>
      </c>
    </row>
    <row r="104" spans="1:2">
      <c r="A104" s="211" t="s">
        <v>529</v>
      </c>
      <c r="B104" s="240" t="s">
        <v>530</v>
      </c>
    </row>
    <row r="105" spans="1:2">
      <c r="A105" s="211" t="s">
        <v>531</v>
      </c>
      <c r="B105" s="240" t="s">
        <v>532</v>
      </c>
    </row>
    <row r="106" spans="1:2">
      <c r="A106" s="211" t="s">
        <v>533</v>
      </c>
      <c r="B106" s="240" t="s">
        <v>4506</v>
      </c>
    </row>
    <row r="107" spans="1:2">
      <c r="A107" s="211" t="s">
        <v>534</v>
      </c>
      <c r="B107" s="240" t="s">
        <v>535</v>
      </c>
    </row>
    <row r="108" spans="1:2">
      <c r="A108" s="211" t="s">
        <v>536</v>
      </c>
      <c r="B108" s="240" t="s">
        <v>537</v>
      </c>
    </row>
    <row r="109" spans="1:2">
      <c r="A109" s="211" t="s">
        <v>538</v>
      </c>
      <c r="B109" s="240" t="s">
        <v>539</v>
      </c>
    </row>
    <row r="110" spans="1:2">
      <c r="A110" s="211" t="s">
        <v>540</v>
      </c>
      <c r="B110" s="240" t="s">
        <v>541</v>
      </c>
    </row>
    <row r="111" spans="1:2">
      <c r="A111" s="211" t="s">
        <v>542</v>
      </c>
      <c r="B111" s="240" t="s">
        <v>543</v>
      </c>
    </row>
    <row r="112" spans="1:2">
      <c r="A112" s="211" t="s">
        <v>544</v>
      </c>
      <c r="B112" s="240" t="s">
        <v>545</v>
      </c>
    </row>
    <row r="113" spans="1:2">
      <c r="A113" s="211" t="s">
        <v>546</v>
      </c>
      <c r="B113" s="240" t="s">
        <v>547</v>
      </c>
    </row>
    <row r="114" spans="1:2">
      <c r="A114" s="211" t="s">
        <v>548</v>
      </c>
      <c r="B114" s="240" t="s">
        <v>549</v>
      </c>
    </row>
    <row r="115" spans="1:2">
      <c r="A115" s="211" t="s">
        <v>550</v>
      </c>
      <c r="B115" s="240" t="s">
        <v>551</v>
      </c>
    </row>
    <row r="116" spans="1:2">
      <c r="A116" s="211" t="s">
        <v>552</v>
      </c>
      <c r="B116" s="240" t="s">
        <v>553</v>
      </c>
    </row>
    <row r="117" spans="1:2">
      <c r="A117" s="211" t="s">
        <v>554</v>
      </c>
      <c r="B117" s="240" t="s">
        <v>455</v>
      </c>
    </row>
    <row r="118" spans="1:2">
      <c r="A118" s="211" t="s">
        <v>555</v>
      </c>
      <c r="B118" s="241" t="s">
        <v>556</v>
      </c>
    </row>
    <row r="119" spans="1:2">
      <c r="A119" s="211" t="s">
        <v>557</v>
      </c>
      <c r="B119" s="240" t="s">
        <v>558</v>
      </c>
    </row>
    <row r="120" spans="1:2">
      <c r="A120" s="211" t="s">
        <v>559</v>
      </c>
      <c r="B120" s="240" t="s">
        <v>560</v>
      </c>
    </row>
    <row r="121" spans="1:2">
      <c r="A121" s="211" t="s">
        <v>561</v>
      </c>
      <c r="B121" s="240" t="s">
        <v>562</v>
      </c>
    </row>
    <row r="122" spans="1:2">
      <c r="A122" s="211" t="s">
        <v>563</v>
      </c>
      <c r="B122" s="240" t="s">
        <v>564</v>
      </c>
    </row>
    <row r="123" spans="1:2">
      <c r="A123" s="211" t="s">
        <v>565</v>
      </c>
      <c r="B123" s="240" t="s">
        <v>566</v>
      </c>
    </row>
    <row r="124" spans="1:2">
      <c r="A124" s="211" t="s">
        <v>567</v>
      </c>
      <c r="B124" s="240" t="s">
        <v>568</v>
      </c>
    </row>
    <row r="125" spans="1:2">
      <c r="A125" s="211" t="s">
        <v>569</v>
      </c>
      <c r="B125" s="240" t="s">
        <v>570</v>
      </c>
    </row>
    <row r="126" spans="1:2">
      <c r="A126" s="211" t="s">
        <v>571</v>
      </c>
      <c r="B126" s="240" t="s">
        <v>572</v>
      </c>
    </row>
    <row r="127" spans="1:2">
      <c r="A127" s="211" t="s">
        <v>573</v>
      </c>
      <c r="B127" s="240" t="s">
        <v>574</v>
      </c>
    </row>
    <row r="128" spans="1:2">
      <c r="A128" s="211" t="s">
        <v>575</v>
      </c>
      <c r="B128" s="240" t="s">
        <v>455</v>
      </c>
    </row>
    <row r="129" spans="1:2">
      <c r="A129" s="211" t="s">
        <v>576</v>
      </c>
      <c r="B129" s="241" t="s">
        <v>577</v>
      </c>
    </row>
    <row r="130" spans="1:2">
      <c r="A130" s="211" t="s">
        <v>578</v>
      </c>
      <c r="B130" s="240" t="s">
        <v>579</v>
      </c>
    </row>
    <row r="131" spans="1:2">
      <c r="A131" s="211" t="s">
        <v>580</v>
      </c>
      <c r="B131" s="240" t="s">
        <v>581</v>
      </c>
    </row>
    <row r="132" spans="1:2">
      <c r="A132" s="211" t="s">
        <v>582</v>
      </c>
      <c r="B132" s="240" t="s">
        <v>583</v>
      </c>
    </row>
    <row r="133" spans="1:2">
      <c r="A133" s="211" t="s">
        <v>584</v>
      </c>
      <c r="B133" s="240" t="s">
        <v>455</v>
      </c>
    </row>
    <row r="134" spans="1:2">
      <c r="A134" s="211" t="s">
        <v>585</v>
      </c>
      <c r="B134" s="240" t="s">
        <v>586</v>
      </c>
    </row>
    <row r="135" spans="1:2">
      <c r="A135" s="211" t="s">
        <v>587</v>
      </c>
      <c r="B135" s="240" t="s">
        <v>455</v>
      </c>
    </row>
    <row r="136" spans="1:2">
      <c r="A136" s="211" t="s">
        <v>588</v>
      </c>
      <c r="B136" s="241" t="s">
        <v>589</v>
      </c>
    </row>
    <row r="137" spans="1:2">
      <c r="A137" s="211" t="s">
        <v>590</v>
      </c>
      <c r="B137" s="240" t="s">
        <v>591</v>
      </c>
    </row>
    <row r="138" spans="1:2">
      <c r="A138" s="211" t="s">
        <v>592</v>
      </c>
      <c r="B138" s="240" t="s">
        <v>593</v>
      </c>
    </row>
    <row r="139" spans="1:2">
      <c r="A139" s="211" t="s">
        <v>594</v>
      </c>
      <c r="B139" s="240" t="s">
        <v>595</v>
      </c>
    </row>
    <row r="140" spans="1:2">
      <c r="A140" s="211" t="s">
        <v>596</v>
      </c>
      <c r="B140" s="240" t="s">
        <v>597</v>
      </c>
    </row>
    <row r="141" spans="1:2">
      <c r="A141" s="211" t="s">
        <v>598</v>
      </c>
      <c r="B141" s="240" t="s">
        <v>599</v>
      </c>
    </row>
    <row r="142" spans="1:2">
      <c r="A142" s="211" t="s">
        <v>600</v>
      </c>
      <c r="B142" s="240" t="s">
        <v>601</v>
      </c>
    </row>
    <row r="143" spans="1:2">
      <c r="A143" s="211" t="s">
        <v>602</v>
      </c>
      <c r="B143" s="240" t="s">
        <v>455</v>
      </c>
    </row>
    <row r="144" spans="1:2">
      <c r="A144" s="211" t="s">
        <v>603</v>
      </c>
      <c r="B144" s="240" t="s">
        <v>604</v>
      </c>
    </row>
    <row r="145" spans="1:2">
      <c r="A145" s="211" t="s">
        <v>605</v>
      </c>
      <c r="B145" s="240" t="s">
        <v>455</v>
      </c>
    </row>
    <row r="146" spans="1:2">
      <c r="A146" s="211" t="s">
        <v>606</v>
      </c>
      <c r="B146" s="241" t="s">
        <v>477</v>
      </c>
    </row>
    <row r="147" spans="1:2">
      <c r="A147" s="211" t="s">
        <v>607</v>
      </c>
      <c r="B147" s="241" t="s">
        <v>608</v>
      </c>
    </row>
    <row r="148" spans="1:2">
      <c r="A148" s="211" t="s">
        <v>609</v>
      </c>
      <c r="B148" s="241" t="s">
        <v>477</v>
      </c>
    </row>
    <row r="149" spans="1:2">
      <c r="A149" s="211" t="s">
        <v>610</v>
      </c>
      <c r="B149" s="240" t="s">
        <v>611</v>
      </c>
    </row>
    <row r="150" spans="1:2">
      <c r="A150" s="211" t="s">
        <v>612</v>
      </c>
      <c r="B150" s="240" t="s">
        <v>613</v>
      </c>
    </row>
    <row r="151" spans="1:2">
      <c r="A151" s="211" t="s">
        <v>614</v>
      </c>
      <c r="B151" s="240" t="s">
        <v>615</v>
      </c>
    </row>
    <row r="152" spans="1:2">
      <c r="A152" s="211" t="s">
        <v>616</v>
      </c>
      <c r="B152" s="240" t="s">
        <v>617</v>
      </c>
    </row>
    <row r="153" spans="1:2">
      <c r="A153" s="211" t="s">
        <v>618</v>
      </c>
      <c r="B153" s="240" t="s">
        <v>619</v>
      </c>
    </row>
    <row r="154" spans="1:2">
      <c r="A154" s="211" t="s">
        <v>620</v>
      </c>
      <c r="B154" s="240" t="s">
        <v>621</v>
      </c>
    </row>
    <row r="155" spans="1:2">
      <c r="A155" s="211" t="s">
        <v>622</v>
      </c>
      <c r="B155" s="240" t="s">
        <v>623</v>
      </c>
    </row>
    <row r="156" spans="1:2">
      <c r="A156" s="211" t="s">
        <v>624</v>
      </c>
      <c r="B156" s="240" t="s">
        <v>625</v>
      </c>
    </row>
    <row r="157" spans="1:2">
      <c r="A157" s="211" t="s">
        <v>626</v>
      </c>
      <c r="B157" s="240" t="s">
        <v>455</v>
      </c>
    </row>
    <row r="158" spans="1:2">
      <c r="A158" s="211" t="s">
        <v>627</v>
      </c>
      <c r="B158" s="240" t="s">
        <v>628</v>
      </c>
    </row>
    <row r="159" spans="1:2">
      <c r="A159" s="211" t="s">
        <v>629</v>
      </c>
      <c r="B159" s="240" t="s">
        <v>630</v>
      </c>
    </row>
    <row r="160" spans="1:2">
      <c r="A160" s="211" t="s">
        <v>631</v>
      </c>
      <c r="B160" s="240" t="s">
        <v>632</v>
      </c>
    </row>
    <row r="161" spans="1:2">
      <c r="A161" s="211" t="s">
        <v>633</v>
      </c>
      <c r="B161" s="240" t="s">
        <v>634</v>
      </c>
    </row>
    <row r="162" spans="1:2">
      <c r="A162" s="211" t="s">
        <v>635</v>
      </c>
      <c r="B162" s="240" t="s">
        <v>636</v>
      </c>
    </row>
    <row r="163" spans="1:2">
      <c r="A163" s="211" t="s">
        <v>637</v>
      </c>
      <c r="B163" s="240" t="s">
        <v>638</v>
      </c>
    </row>
    <row r="164" spans="1:2">
      <c r="A164" s="211" t="s">
        <v>639</v>
      </c>
      <c r="B164" s="240" t="s">
        <v>455</v>
      </c>
    </row>
    <row r="165" spans="1:2">
      <c r="A165" s="211" t="s">
        <v>640</v>
      </c>
      <c r="B165" s="240" t="s">
        <v>641</v>
      </c>
    </row>
    <row r="166" spans="1:2">
      <c r="A166" s="211" t="s">
        <v>642</v>
      </c>
      <c r="B166" s="240" t="s">
        <v>643</v>
      </c>
    </row>
    <row r="167" spans="1:2">
      <c r="A167" s="211" t="s">
        <v>644</v>
      </c>
      <c r="B167" s="240" t="s">
        <v>645</v>
      </c>
    </row>
    <row r="168" spans="1:2">
      <c r="A168" s="211" t="s">
        <v>646</v>
      </c>
      <c r="B168" s="240" t="s">
        <v>647</v>
      </c>
    </row>
    <row r="169" spans="1:2">
      <c r="A169" s="211" t="s">
        <v>648</v>
      </c>
      <c r="B169" s="240" t="s">
        <v>649</v>
      </c>
    </row>
    <row r="170" spans="1:2">
      <c r="A170" s="211" t="s">
        <v>650</v>
      </c>
      <c r="B170" s="240" t="s">
        <v>651</v>
      </c>
    </row>
    <row r="171" spans="1:2">
      <c r="A171" s="211" t="s">
        <v>652</v>
      </c>
      <c r="B171" s="240" t="s">
        <v>473</v>
      </c>
    </row>
    <row r="172" spans="1:2">
      <c r="A172" s="211" t="s">
        <v>653</v>
      </c>
      <c r="B172" s="240" t="s">
        <v>654</v>
      </c>
    </row>
    <row r="173" spans="1:2">
      <c r="A173" s="211" t="s">
        <v>655</v>
      </c>
      <c r="B173" s="240" t="s">
        <v>656</v>
      </c>
    </row>
    <row r="174" spans="1:2">
      <c r="A174" s="211" t="s">
        <v>657</v>
      </c>
      <c r="B174" s="240" t="s">
        <v>658</v>
      </c>
    </row>
    <row r="175" spans="1:2">
      <c r="A175" s="211" t="s">
        <v>659</v>
      </c>
      <c r="B175" s="240" t="s">
        <v>660</v>
      </c>
    </row>
    <row r="176" spans="1:2">
      <c r="A176" s="211" t="s">
        <v>661</v>
      </c>
      <c r="B176" s="240" t="s">
        <v>455</v>
      </c>
    </row>
    <row r="177" spans="1:2">
      <c r="A177" s="211" t="s">
        <v>662</v>
      </c>
      <c r="B177" s="240" t="s">
        <v>663</v>
      </c>
    </row>
    <row r="178" spans="1:2">
      <c r="A178" s="211" t="s">
        <v>664</v>
      </c>
      <c r="B178" s="240" t="s">
        <v>665</v>
      </c>
    </row>
    <row r="179" spans="1:2">
      <c r="A179" s="211" t="s">
        <v>666</v>
      </c>
      <c r="B179" s="240" t="s">
        <v>667</v>
      </c>
    </row>
    <row r="180" spans="1:2">
      <c r="A180" s="211" t="s">
        <v>668</v>
      </c>
      <c r="B180" s="240" t="s">
        <v>669</v>
      </c>
    </row>
    <row r="181" spans="1:2">
      <c r="A181" s="211" t="s">
        <v>670</v>
      </c>
      <c r="B181" s="240" t="s">
        <v>473</v>
      </c>
    </row>
    <row r="182" spans="1:2">
      <c r="A182" s="211" t="s">
        <v>671</v>
      </c>
      <c r="B182" s="240" t="s">
        <v>455</v>
      </c>
    </row>
    <row r="183" spans="1:2">
      <c r="A183" s="211" t="s">
        <v>672</v>
      </c>
      <c r="B183" s="240" t="s">
        <v>4507</v>
      </c>
    </row>
    <row r="184" spans="1:2">
      <c r="A184" s="211" t="s">
        <v>673</v>
      </c>
      <c r="B184" s="240" t="s">
        <v>674</v>
      </c>
    </row>
    <row r="185" spans="1:2">
      <c r="A185" s="211" t="s">
        <v>675</v>
      </c>
      <c r="B185" s="240" t="s">
        <v>676</v>
      </c>
    </row>
    <row r="186" spans="1:2">
      <c r="A186" s="211" t="s">
        <v>677</v>
      </c>
      <c r="B186" s="240" t="s">
        <v>678</v>
      </c>
    </row>
    <row r="187" spans="1:2">
      <c r="A187" s="211" t="s">
        <v>679</v>
      </c>
      <c r="B187" s="240" t="s">
        <v>680</v>
      </c>
    </row>
    <row r="188" spans="1:2">
      <c r="A188" s="211" t="s">
        <v>681</v>
      </c>
      <c r="B188" s="240" t="s">
        <v>682</v>
      </c>
    </row>
    <row r="189" spans="1:2">
      <c r="A189" s="211" t="s">
        <v>683</v>
      </c>
      <c r="B189" s="240" t="s">
        <v>684</v>
      </c>
    </row>
    <row r="190" spans="1:2">
      <c r="A190" s="211" t="s">
        <v>685</v>
      </c>
      <c r="B190" s="240" t="s">
        <v>686</v>
      </c>
    </row>
    <row r="191" spans="1:2">
      <c r="A191" s="211" t="s">
        <v>687</v>
      </c>
      <c r="B191" s="240" t="s">
        <v>688</v>
      </c>
    </row>
    <row r="192" spans="1:2">
      <c r="A192" s="211" t="s">
        <v>689</v>
      </c>
      <c r="B192" s="240" t="s">
        <v>690</v>
      </c>
    </row>
    <row r="193" spans="1:2">
      <c r="A193" s="211" t="s">
        <v>691</v>
      </c>
      <c r="B193" s="240" t="s">
        <v>4508</v>
      </c>
    </row>
    <row r="194" spans="1:2">
      <c r="A194" s="211" t="s">
        <v>692</v>
      </c>
      <c r="B194" s="240" t="s">
        <v>693</v>
      </c>
    </row>
    <row r="195" spans="1:2">
      <c r="A195" s="211" t="s">
        <v>694</v>
      </c>
      <c r="B195" s="240" t="s">
        <v>695</v>
      </c>
    </row>
    <row r="196" spans="1:2">
      <c r="A196" s="211" t="s">
        <v>696</v>
      </c>
      <c r="B196" s="240" t="s">
        <v>697</v>
      </c>
    </row>
    <row r="197" spans="1:2">
      <c r="A197" s="211" t="s">
        <v>698</v>
      </c>
      <c r="B197" s="240" t="s">
        <v>699</v>
      </c>
    </row>
    <row r="198" spans="1:2">
      <c r="A198" s="211" t="s">
        <v>700</v>
      </c>
      <c r="B198" s="240" t="s">
        <v>701</v>
      </c>
    </row>
    <row r="199" spans="1:2">
      <c r="A199" s="211" t="s">
        <v>702</v>
      </c>
      <c r="B199" s="240" t="s">
        <v>703</v>
      </c>
    </row>
    <row r="200" spans="1:2">
      <c r="A200" s="211" t="s">
        <v>704</v>
      </c>
      <c r="B200" s="240" t="s">
        <v>651</v>
      </c>
    </row>
    <row r="201" spans="1:2">
      <c r="A201" s="211" t="s">
        <v>705</v>
      </c>
      <c r="B201" s="240" t="s">
        <v>473</v>
      </c>
    </row>
    <row r="202" spans="1:2">
      <c r="A202" s="211" t="s">
        <v>706</v>
      </c>
      <c r="B202" s="240" t="s">
        <v>455</v>
      </c>
    </row>
    <row r="203" spans="1:2">
      <c r="A203" s="211" t="s">
        <v>707</v>
      </c>
      <c r="B203" s="240" t="s">
        <v>708</v>
      </c>
    </row>
    <row r="204" spans="1:2">
      <c r="A204" s="211" t="s">
        <v>709</v>
      </c>
      <c r="B204" s="240" t="s">
        <v>710</v>
      </c>
    </row>
    <row r="205" spans="1:2">
      <c r="A205" s="211" t="s">
        <v>711</v>
      </c>
      <c r="B205" s="240" t="s">
        <v>712</v>
      </c>
    </row>
    <row r="206" spans="1:2">
      <c r="A206" s="211" t="s">
        <v>713</v>
      </c>
      <c r="B206" s="240" t="s">
        <v>714</v>
      </c>
    </row>
    <row r="207" spans="1:2">
      <c r="A207" s="211" t="s">
        <v>715</v>
      </c>
      <c r="B207" s="240" t="s">
        <v>716</v>
      </c>
    </row>
    <row r="208" spans="1:2">
      <c r="A208" s="211" t="s">
        <v>717</v>
      </c>
      <c r="B208" s="240" t="s">
        <v>718</v>
      </c>
    </row>
    <row r="209" spans="1:2">
      <c r="A209" s="211" t="s">
        <v>719</v>
      </c>
      <c r="B209" s="240" t="s">
        <v>720</v>
      </c>
    </row>
    <row r="210" spans="1:2">
      <c r="A210" s="211" t="s">
        <v>721</v>
      </c>
      <c r="B210" s="240" t="s">
        <v>722</v>
      </c>
    </row>
    <row r="211" spans="1:2">
      <c r="A211" s="211" t="s">
        <v>723</v>
      </c>
      <c r="B211" s="240" t="s">
        <v>724</v>
      </c>
    </row>
    <row r="212" spans="1:2">
      <c r="A212" s="211" t="s">
        <v>725</v>
      </c>
      <c r="B212" s="240" t="s">
        <v>726</v>
      </c>
    </row>
    <row r="213" spans="1:2">
      <c r="A213" s="211" t="s">
        <v>727</v>
      </c>
      <c r="B213" s="240" t="s">
        <v>728</v>
      </c>
    </row>
    <row r="214" spans="1:2">
      <c r="A214" s="211" t="s">
        <v>729</v>
      </c>
      <c r="B214" s="240" t="s">
        <v>697</v>
      </c>
    </row>
    <row r="215" spans="1:2">
      <c r="A215" s="211" t="s">
        <v>730</v>
      </c>
      <c r="B215" s="240" t="s">
        <v>731</v>
      </c>
    </row>
    <row r="216" spans="1:2">
      <c r="A216" s="211" t="s">
        <v>732</v>
      </c>
      <c r="B216" s="240" t="s">
        <v>733</v>
      </c>
    </row>
    <row r="217" spans="1:2">
      <c r="A217" s="211" t="s">
        <v>734</v>
      </c>
      <c r="B217" s="240" t="s">
        <v>735</v>
      </c>
    </row>
    <row r="218" spans="1:2">
      <c r="A218" s="211" t="s">
        <v>736</v>
      </c>
      <c r="B218" s="240" t="s">
        <v>737</v>
      </c>
    </row>
    <row r="219" spans="1:2">
      <c r="A219" s="211" t="s">
        <v>738</v>
      </c>
      <c r="B219" s="240" t="s">
        <v>473</v>
      </c>
    </row>
    <row r="220" spans="1:2">
      <c r="A220" s="211" t="s">
        <v>739</v>
      </c>
      <c r="B220" s="240" t="s">
        <v>455</v>
      </c>
    </row>
    <row r="221" spans="1:2">
      <c r="A221" s="211" t="s">
        <v>740</v>
      </c>
      <c r="B221" s="240" t="s">
        <v>741</v>
      </c>
    </row>
    <row r="222" spans="1:2">
      <c r="A222" s="211" t="s">
        <v>742</v>
      </c>
      <c r="B222" s="240" t="s">
        <v>743</v>
      </c>
    </row>
    <row r="223" spans="1:2">
      <c r="A223" s="211" t="s">
        <v>744</v>
      </c>
      <c r="B223" s="240" t="s">
        <v>745</v>
      </c>
    </row>
    <row r="224" spans="1:2">
      <c r="A224" s="211" t="s">
        <v>746</v>
      </c>
      <c r="B224" s="240" t="s">
        <v>747</v>
      </c>
    </row>
    <row r="225" spans="1:2">
      <c r="A225" s="211" t="s">
        <v>748</v>
      </c>
      <c r="B225" s="240" t="s">
        <v>749</v>
      </c>
    </row>
    <row r="226" spans="1:2">
      <c r="A226" s="211" t="s">
        <v>750</v>
      </c>
      <c r="B226" s="240" t="s">
        <v>751</v>
      </c>
    </row>
    <row r="227" spans="1:2">
      <c r="A227" s="211" t="s">
        <v>752</v>
      </c>
      <c r="B227" s="240" t="s">
        <v>455</v>
      </c>
    </row>
    <row r="228" spans="1:2">
      <c r="A228" s="211" t="s">
        <v>753</v>
      </c>
      <c r="B228" s="240" t="s">
        <v>754</v>
      </c>
    </row>
    <row r="229" spans="1:2">
      <c r="A229" s="211" t="s">
        <v>755</v>
      </c>
      <c r="B229" s="240" t="s">
        <v>756</v>
      </c>
    </row>
    <row r="230" spans="1:2">
      <c r="A230" s="211" t="s">
        <v>757</v>
      </c>
      <c r="B230" s="240" t="s">
        <v>758</v>
      </c>
    </row>
    <row r="231" spans="1:2">
      <c r="A231" s="211" t="s">
        <v>759</v>
      </c>
      <c r="B231" s="240" t="s">
        <v>760</v>
      </c>
    </row>
    <row r="232" spans="1:2">
      <c r="A232" s="211" t="s">
        <v>761</v>
      </c>
      <c r="B232" s="240" t="s">
        <v>762</v>
      </c>
    </row>
    <row r="233" spans="1:2">
      <c r="A233" s="211" t="s">
        <v>763</v>
      </c>
      <c r="B233" s="240" t="s">
        <v>764</v>
      </c>
    </row>
    <row r="234" spans="1:2">
      <c r="A234" s="211" t="s">
        <v>765</v>
      </c>
      <c r="B234" s="240" t="s">
        <v>766</v>
      </c>
    </row>
    <row r="235" spans="1:2">
      <c r="A235" s="211" t="s">
        <v>767</v>
      </c>
      <c r="B235" s="240" t="s">
        <v>686</v>
      </c>
    </row>
    <row r="236" spans="1:2">
      <c r="A236" s="211" t="s">
        <v>768</v>
      </c>
      <c r="B236" s="240" t="s">
        <v>697</v>
      </c>
    </row>
    <row r="237" spans="1:2">
      <c r="A237" s="211" t="s">
        <v>769</v>
      </c>
      <c r="B237" s="240" t="s">
        <v>770</v>
      </c>
    </row>
    <row r="238" spans="1:2">
      <c r="A238" s="211" t="s">
        <v>771</v>
      </c>
      <c r="B238" s="240" t="s">
        <v>772</v>
      </c>
    </row>
    <row r="239" spans="1:2">
      <c r="A239" s="211" t="s">
        <v>773</v>
      </c>
      <c r="B239" s="240" t="s">
        <v>774</v>
      </c>
    </row>
    <row r="240" spans="1:2">
      <c r="A240" s="211" t="s">
        <v>775</v>
      </c>
      <c r="B240" s="240" t="s">
        <v>776</v>
      </c>
    </row>
    <row r="241" spans="1:2">
      <c r="A241" s="211" t="s">
        <v>777</v>
      </c>
      <c r="B241" s="240" t="s">
        <v>778</v>
      </c>
    </row>
    <row r="242" spans="1:2">
      <c r="A242" s="211" t="s">
        <v>779</v>
      </c>
      <c r="B242" s="240" t="s">
        <v>667</v>
      </c>
    </row>
    <row r="243" spans="1:2">
      <c r="A243" s="211" t="s">
        <v>780</v>
      </c>
      <c r="B243" s="240" t="s">
        <v>781</v>
      </c>
    </row>
    <row r="244" spans="1:2">
      <c r="A244" s="211" t="s">
        <v>782</v>
      </c>
      <c r="B244" s="240" t="s">
        <v>473</v>
      </c>
    </row>
    <row r="245" spans="1:2">
      <c r="A245" s="211" t="s">
        <v>783</v>
      </c>
      <c r="B245" s="240" t="s">
        <v>784</v>
      </c>
    </row>
    <row r="246" spans="1:2">
      <c r="A246" s="211" t="s">
        <v>785</v>
      </c>
      <c r="B246" s="240" t="s">
        <v>786</v>
      </c>
    </row>
    <row r="247" spans="1:2">
      <c r="A247" s="211" t="s">
        <v>787</v>
      </c>
      <c r="B247" s="240" t="s">
        <v>788</v>
      </c>
    </row>
    <row r="248" spans="1:2">
      <c r="A248" s="211" t="s">
        <v>789</v>
      </c>
      <c r="B248" s="240" t="s">
        <v>790</v>
      </c>
    </row>
    <row r="249" spans="1:2">
      <c r="A249" s="211" t="s">
        <v>791</v>
      </c>
      <c r="B249" s="240" t="s">
        <v>792</v>
      </c>
    </row>
    <row r="250" spans="1:2">
      <c r="A250" s="211" t="s">
        <v>793</v>
      </c>
      <c r="B250" s="240" t="s">
        <v>794</v>
      </c>
    </row>
    <row r="251" spans="1:2">
      <c r="A251" s="211" t="s">
        <v>795</v>
      </c>
      <c r="B251" s="240" t="s">
        <v>796</v>
      </c>
    </row>
    <row r="252" spans="1:2">
      <c r="A252" s="211" t="s">
        <v>797</v>
      </c>
      <c r="B252" s="240" t="s">
        <v>455</v>
      </c>
    </row>
    <row r="253" spans="1:2">
      <c r="A253" s="211" t="s">
        <v>798</v>
      </c>
      <c r="B253" s="240" t="s">
        <v>799</v>
      </c>
    </row>
    <row r="254" spans="1:2">
      <c r="A254" s="211" t="s">
        <v>800</v>
      </c>
      <c r="B254" s="240" t="s">
        <v>801</v>
      </c>
    </row>
    <row r="255" spans="1:2">
      <c r="A255" s="211" t="s">
        <v>802</v>
      </c>
      <c r="B255" s="240" t="s">
        <v>455</v>
      </c>
    </row>
    <row r="256" spans="1:2">
      <c r="A256" s="211" t="s">
        <v>803</v>
      </c>
      <c r="B256" s="240" t="s">
        <v>804</v>
      </c>
    </row>
    <row r="257" spans="1:2">
      <c r="A257" s="211" t="s">
        <v>805</v>
      </c>
      <c r="B257" s="240" t="s">
        <v>806</v>
      </c>
    </row>
    <row r="258" spans="1:2">
      <c r="A258" s="211" t="s">
        <v>807</v>
      </c>
      <c r="B258" s="240" t="s">
        <v>808</v>
      </c>
    </row>
    <row r="259" spans="1:2">
      <c r="A259" s="211" t="s">
        <v>809</v>
      </c>
      <c r="B259" s="240" t="s">
        <v>810</v>
      </c>
    </row>
    <row r="260" spans="1:2">
      <c r="A260" s="211" t="s">
        <v>811</v>
      </c>
      <c r="B260" s="240" t="s">
        <v>812</v>
      </c>
    </row>
    <row r="261" spans="1:2">
      <c r="A261" s="211" t="s">
        <v>813</v>
      </c>
      <c r="B261" s="240" t="s">
        <v>814</v>
      </c>
    </row>
    <row r="262" spans="1:2">
      <c r="A262" s="211" t="s">
        <v>815</v>
      </c>
      <c r="B262" s="240" t="s">
        <v>816</v>
      </c>
    </row>
    <row r="263" spans="1:2">
      <c r="A263" s="211" t="s">
        <v>817</v>
      </c>
      <c r="B263" s="240" t="s">
        <v>455</v>
      </c>
    </row>
    <row r="264" spans="1:2">
      <c r="A264" s="211" t="s">
        <v>818</v>
      </c>
      <c r="B264" s="240" t="s">
        <v>819</v>
      </c>
    </row>
    <row r="265" spans="1:2">
      <c r="A265" s="211" t="s">
        <v>820</v>
      </c>
      <c r="B265" s="240" t="s">
        <v>821</v>
      </c>
    </row>
    <row r="266" spans="1:2">
      <c r="A266" s="211" t="s">
        <v>822</v>
      </c>
      <c r="B266" s="240" t="s">
        <v>823</v>
      </c>
    </row>
    <row r="267" spans="1:2">
      <c r="A267" s="211" t="s">
        <v>824</v>
      </c>
      <c r="B267" s="240" t="s">
        <v>4509</v>
      </c>
    </row>
    <row r="268" spans="1:2">
      <c r="A268" s="211" t="s">
        <v>825</v>
      </c>
      <c r="B268" s="240" t="s">
        <v>826</v>
      </c>
    </row>
    <row r="269" spans="1:2">
      <c r="A269" s="211" t="s">
        <v>827</v>
      </c>
      <c r="B269" s="240" t="s">
        <v>828</v>
      </c>
    </row>
    <row r="270" spans="1:2">
      <c r="A270" s="211" t="s">
        <v>829</v>
      </c>
      <c r="B270" s="240" t="s">
        <v>830</v>
      </c>
    </row>
    <row r="271" spans="1:2">
      <c r="A271" s="211" t="s">
        <v>831</v>
      </c>
      <c r="B271" s="240" t="s">
        <v>832</v>
      </c>
    </row>
    <row r="272" spans="1:2">
      <c r="A272" s="211" t="s">
        <v>833</v>
      </c>
      <c r="B272" s="240" t="s">
        <v>834</v>
      </c>
    </row>
    <row r="273" spans="1:2">
      <c r="A273" s="211" t="s">
        <v>835</v>
      </c>
      <c r="B273" s="240" t="s">
        <v>836</v>
      </c>
    </row>
    <row r="274" spans="1:2">
      <c r="A274" s="211" t="s">
        <v>837</v>
      </c>
      <c r="B274" s="240" t="s">
        <v>838</v>
      </c>
    </row>
    <row r="275" spans="1:2">
      <c r="A275" s="211" t="s">
        <v>839</v>
      </c>
      <c r="B275" s="240" t="s">
        <v>840</v>
      </c>
    </row>
    <row r="276" spans="1:2">
      <c r="A276" s="211" t="s">
        <v>841</v>
      </c>
      <c r="B276" s="240" t="s">
        <v>842</v>
      </c>
    </row>
    <row r="277" spans="1:2">
      <c r="A277" s="211" t="s">
        <v>843</v>
      </c>
      <c r="B277" s="240" t="s">
        <v>830</v>
      </c>
    </row>
    <row r="278" spans="1:2">
      <c r="A278" s="211" t="s">
        <v>844</v>
      </c>
      <c r="B278" s="240" t="s">
        <v>832</v>
      </c>
    </row>
    <row r="279" spans="1:2">
      <c r="A279" s="211" t="s">
        <v>845</v>
      </c>
      <c r="B279" s="240" t="s">
        <v>455</v>
      </c>
    </row>
    <row r="280" spans="1:2">
      <c r="A280" s="211" t="s">
        <v>846</v>
      </c>
      <c r="B280" s="240" t="s">
        <v>847</v>
      </c>
    </row>
    <row r="281" spans="1:2">
      <c r="A281" s="211" t="s">
        <v>848</v>
      </c>
      <c r="B281" s="240" t="s">
        <v>849</v>
      </c>
    </row>
    <row r="282" spans="1:2">
      <c r="A282" s="211" t="s">
        <v>850</v>
      </c>
      <c r="B282" s="240" t="s">
        <v>851</v>
      </c>
    </row>
    <row r="283" spans="1:2">
      <c r="A283" s="211" t="s">
        <v>852</v>
      </c>
      <c r="B283" s="240" t="s">
        <v>853</v>
      </c>
    </row>
    <row r="284" spans="1:2">
      <c r="A284" s="211" t="s">
        <v>854</v>
      </c>
      <c r="B284" s="240" t="s">
        <v>855</v>
      </c>
    </row>
    <row r="285" spans="1:2">
      <c r="A285" s="211" t="s">
        <v>856</v>
      </c>
      <c r="B285" s="240" t="s">
        <v>857</v>
      </c>
    </row>
    <row r="286" spans="1:2">
      <c r="A286" s="211" t="s">
        <v>858</v>
      </c>
      <c r="B286" s="240" t="s">
        <v>859</v>
      </c>
    </row>
    <row r="287" spans="1:2">
      <c r="A287" s="211" t="s">
        <v>860</v>
      </c>
      <c r="B287" s="240" t="s">
        <v>861</v>
      </c>
    </row>
    <row r="288" spans="1:2">
      <c r="A288" s="211" t="s">
        <v>862</v>
      </c>
      <c r="B288" s="240" t="s">
        <v>863</v>
      </c>
    </row>
    <row r="289" spans="1:2">
      <c r="A289" s="211" t="s">
        <v>864</v>
      </c>
      <c r="B289" s="240" t="s">
        <v>697</v>
      </c>
    </row>
    <row r="290" spans="1:2">
      <c r="A290" s="211" t="s">
        <v>865</v>
      </c>
      <c r="B290" s="240" t="s">
        <v>866</v>
      </c>
    </row>
    <row r="291" spans="1:2">
      <c r="A291" s="211" t="s">
        <v>867</v>
      </c>
      <c r="B291" s="240" t="s">
        <v>868</v>
      </c>
    </row>
    <row r="292" spans="1:2">
      <c r="A292" s="211" t="s">
        <v>869</v>
      </c>
      <c r="B292" s="240" t="s">
        <v>870</v>
      </c>
    </row>
    <row r="293" spans="1:2">
      <c r="A293" s="211" t="s">
        <v>871</v>
      </c>
      <c r="B293" s="240" t="s">
        <v>872</v>
      </c>
    </row>
    <row r="294" spans="1:2">
      <c r="A294" s="211" t="s">
        <v>873</v>
      </c>
      <c r="B294" s="240" t="s">
        <v>874</v>
      </c>
    </row>
    <row r="295" spans="1:2">
      <c r="A295" s="211" t="s">
        <v>875</v>
      </c>
      <c r="B295" s="240" t="s">
        <v>876</v>
      </c>
    </row>
    <row r="296" spans="1:2">
      <c r="A296" s="211" t="s">
        <v>877</v>
      </c>
      <c r="B296" s="240" t="s">
        <v>878</v>
      </c>
    </row>
    <row r="297" spans="1:2">
      <c r="A297" s="211" t="s">
        <v>879</v>
      </c>
      <c r="B297" s="240" t="s">
        <v>880</v>
      </c>
    </row>
    <row r="298" spans="1:2">
      <c r="A298" s="211" t="s">
        <v>881</v>
      </c>
      <c r="B298" s="240" t="s">
        <v>882</v>
      </c>
    </row>
    <row r="299" spans="1:2">
      <c r="A299" s="211" t="s">
        <v>883</v>
      </c>
      <c r="B299" s="240" t="s">
        <v>884</v>
      </c>
    </row>
    <row r="300" spans="1:2">
      <c r="A300" s="211" t="s">
        <v>885</v>
      </c>
      <c r="B300" s="240" t="s">
        <v>886</v>
      </c>
    </row>
    <row r="301" spans="1:2">
      <c r="A301" s="211" t="s">
        <v>887</v>
      </c>
      <c r="B301" s="240" t="s">
        <v>686</v>
      </c>
    </row>
    <row r="302" spans="1:2">
      <c r="A302" s="211" t="s">
        <v>888</v>
      </c>
      <c r="B302" s="240" t="s">
        <v>889</v>
      </c>
    </row>
    <row r="303" spans="1:2">
      <c r="A303" s="211" t="s">
        <v>890</v>
      </c>
      <c r="B303" s="240" t="s">
        <v>832</v>
      </c>
    </row>
    <row r="304" spans="1:2">
      <c r="A304" s="211" t="s">
        <v>891</v>
      </c>
      <c r="B304" s="240" t="s">
        <v>892</v>
      </c>
    </row>
    <row r="305" spans="1:2">
      <c r="A305" s="211" t="s">
        <v>893</v>
      </c>
      <c r="B305" s="240" t="s">
        <v>894</v>
      </c>
    </row>
    <row r="306" spans="1:2">
      <c r="A306" s="211" t="s">
        <v>895</v>
      </c>
      <c r="B306" s="240" t="s">
        <v>896</v>
      </c>
    </row>
    <row r="307" spans="1:2">
      <c r="A307" s="211" t="s">
        <v>897</v>
      </c>
      <c r="B307" s="240" t="s">
        <v>898</v>
      </c>
    </row>
    <row r="308" spans="1:2">
      <c r="A308" s="211" t="s">
        <v>899</v>
      </c>
      <c r="B308" s="240" t="s">
        <v>900</v>
      </c>
    </row>
    <row r="309" spans="1:2">
      <c r="A309" s="211" t="s">
        <v>901</v>
      </c>
      <c r="B309" s="240" t="s">
        <v>894</v>
      </c>
    </row>
    <row r="310" spans="1:2">
      <c r="A310" s="211" t="s">
        <v>902</v>
      </c>
      <c r="B310" s="240" t="s">
        <v>896</v>
      </c>
    </row>
    <row r="311" spans="1:2">
      <c r="A311" s="211" t="s">
        <v>903</v>
      </c>
      <c r="B311" s="240" t="s">
        <v>898</v>
      </c>
    </row>
    <row r="312" spans="1:2">
      <c r="A312" s="211" t="s">
        <v>904</v>
      </c>
      <c r="B312" s="240" t="s">
        <v>905</v>
      </c>
    </row>
    <row r="313" spans="1:2">
      <c r="A313" s="211" t="s">
        <v>906</v>
      </c>
      <c r="B313" s="240" t="s">
        <v>907</v>
      </c>
    </row>
    <row r="314" spans="1:2">
      <c r="A314" s="211" t="s">
        <v>908</v>
      </c>
      <c r="B314" s="240" t="s">
        <v>909</v>
      </c>
    </row>
    <row r="315" spans="1:2">
      <c r="A315" s="211" t="s">
        <v>910</v>
      </c>
      <c r="B315" s="240" t="s">
        <v>911</v>
      </c>
    </row>
    <row r="316" spans="1:2">
      <c r="A316" s="211" t="s">
        <v>912</v>
      </c>
      <c r="B316" s="240" t="s">
        <v>913</v>
      </c>
    </row>
    <row r="317" spans="1:2">
      <c r="A317" s="211" t="s">
        <v>914</v>
      </c>
      <c r="B317" s="240" t="s">
        <v>898</v>
      </c>
    </row>
    <row r="318" spans="1:2">
      <c r="A318" s="211" t="s">
        <v>915</v>
      </c>
      <c r="B318" s="240" t="s">
        <v>916</v>
      </c>
    </row>
    <row r="319" spans="1:2">
      <c r="A319" s="211" t="s">
        <v>917</v>
      </c>
      <c r="B319" s="240" t="s">
        <v>455</v>
      </c>
    </row>
    <row r="320" spans="1:2">
      <c r="A320" s="211" t="s">
        <v>918</v>
      </c>
      <c r="B320" s="240" t="s">
        <v>919</v>
      </c>
    </row>
    <row r="321" spans="1:2">
      <c r="A321" s="211" t="s">
        <v>920</v>
      </c>
      <c r="B321" s="240" t="s">
        <v>921</v>
      </c>
    </row>
    <row r="322" spans="1:2">
      <c r="A322" s="211" t="s">
        <v>922</v>
      </c>
      <c r="B322" s="240" t="s">
        <v>923</v>
      </c>
    </row>
    <row r="323" spans="1:2">
      <c r="A323" s="211" t="s">
        <v>924</v>
      </c>
      <c r="B323" s="240" t="s">
        <v>925</v>
      </c>
    </row>
    <row r="324" spans="1:2">
      <c r="A324" s="211" t="s">
        <v>926</v>
      </c>
      <c r="B324" s="240" t="s">
        <v>927</v>
      </c>
    </row>
    <row r="325" spans="1:2">
      <c r="A325" s="211" t="s">
        <v>928</v>
      </c>
      <c r="B325" s="240" t="s">
        <v>929</v>
      </c>
    </row>
    <row r="326" spans="1:2">
      <c r="A326" s="211" t="s">
        <v>930</v>
      </c>
      <c r="B326" s="240" t="s">
        <v>931</v>
      </c>
    </row>
    <row r="327" spans="1:2">
      <c r="A327" s="211" t="s">
        <v>932</v>
      </c>
      <c r="B327" s="240" t="s">
        <v>933</v>
      </c>
    </row>
    <row r="328" spans="1:2">
      <c r="A328" s="211" t="s">
        <v>934</v>
      </c>
      <c r="B328" s="240" t="s">
        <v>935</v>
      </c>
    </row>
    <row r="329" spans="1:2">
      <c r="A329" s="211" t="s">
        <v>936</v>
      </c>
      <c r="B329" s="240" t="s">
        <v>937</v>
      </c>
    </row>
    <row r="330" spans="1:2">
      <c r="A330" s="211" t="s">
        <v>938</v>
      </c>
      <c r="B330" s="240" t="s">
        <v>939</v>
      </c>
    </row>
    <row r="331" spans="1:2">
      <c r="A331" s="211" t="s">
        <v>940</v>
      </c>
      <c r="B331" s="240" t="s">
        <v>941</v>
      </c>
    </row>
    <row r="332" spans="1:2">
      <c r="A332" s="211" t="s">
        <v>942</v>
      </c>
      <c r="B332" s="240" t="s">
        <v>943</v>
      </c>
    </row>
    <row r="333" spans="1:2">
      <c r="A333" s="211" t="s">
        <v>944</v>
      </c>
      <c r="B333" s="240" t="s">
        <v>945</v>
      </c>
    </row>
    <row r="334" spans="1:2">
      <c r="A334" s="211" t="s">
        <v>946</v>
      </c>
      <c r="B334" s="240" t="s">
        <v>947</v>
      </c>
    </row>
    <row r="335" spans="1:2">
      <c r="A335" s="211" t="s">
        <v>948</v>
      </c>
      <c r="B335" s="240" t="s">
        <v>949</v>
      </c>
    </row>
    <row r="336" spans="1:2">
      <c r="A336" s="211" t="s">
        <v>950</v>
      </c>
      <c r="B336" s="240" t="s">
        <v>884</v>
      </c>
    </row>
    <row r="337" spans="1:2">
      <c r="A337" s="211" t="s">
        <v>951</v>
      </c>
      <c r="B337" s="240" t="s">
        <v>952</v>
      </c>
    </row>
    <row r="338" spans="1:2">
      <c r="A338" s="211" t="s">
        <v>953</v>
      </c>
      <c r="B338" s="240" t="s">
        <v>954</v>
      </c>
    </row>
    <row r="339" spans="1:2">
      <c r="A339" s="211" t="s">
        <v>955</v>
      </c>
      <c r="B339" s="240" t="s">
        <v>956</v>
      </c>
    </row>
    <row r="340" spans="1:2">
      <c r="A340" s="211" t="s">
        <v>957</v>
      </c>
      <c r="B340" s="240" t="s">
        <v>686</v>
      </c>
    </row>
    <row r="341" spans="1:2">
      <c r="A341" s="211" t="s">
        <v>958</v>
      </c>
      <c r="B341" s="240" t="s">
        <v>959</v>
      </c>
    </row>
    <row r="342" spans="1:2">
      <c r="A342" s="211" t="s">
        <v>960</v>
      </c>
      <c r="B342" s="240" t="s">
        <v>961</v>
      </c>
    </row>
    <row r="343" spans="1:2">
      <c r="A343" s="211" t="s">
        <v>962</v>
      </c>
      <c r="B343" s="240" t="s">
        <v>963</v>
      </c>
    </row>
    <row r="344" spans="1:2">
      <c r="A344" s="211" t="s">
        <v>964</v>
      </c>
      <c r="B344" s="240" t="s">
        <v>965</v>
      </c>
    </row>
    <row r="345" spans="1:2">
      <c r="A345" s="211" t="s">
        <v>966</v>
      </c>
      <c r="B345" s="240" t="s">
        <v>967</v>
      </c>
    </row>
    <row r="346" spans="1:2">
      <c r="A346" s="211" t="s">
        <v>968</v>
      </c>
      <c r="B346" s="240" t="s">
        <v>969</v>
      </c>
    </row>
    <row r="347" spans="1:2">
      <c r="A347" s="211" t="s">
        <v>970</v>
      </c>
      <c r="B347" s="240" t="s">
        <v>971</v>
      </c>
    </row>
    <row r="348" spans="1:2">
      <c r="A348" s="211" t="s">
        <v>972</v>
      </c>
      <c r="B348" s="240" t="s">
        <v>973</v>
      </c>
    </row>
    <row r="349" spans="1:2">
      <c r="A349" s="211" t="s">
        <v>974</v>
      </c>
      <c r="B349" s="240" t="s">
        <v>975</v>
      </c>
    </row>
    <row r="350" spans="1:2">
      <c r="A350" s="211" t="s">
        <v>976</v>
      </c>
      <c r="B350" s="240" t="s">
        <v>977</v>
      </c>
    </row>
    <row r="351" spans="1:2">
      <c r="A351" s="211" t="s">
        <v>978</v>
      </c>
      <c r="B351" s="240" t="s">
        <v>979</v>
      </c>
    </row>
    <row r="352" spans="1:2">
      <c r="A352" s="211" t="s">
        <v>980</v>
      </c>
      <c r="B352" s="240" t="s">
        <v>981</v>
      </c>
    </row>
    <row r="353" spans="1:2">
      <c r="A353" s="211" t="s">
        <v>982</v>
      </c>
      <c r="B353" s="240" t="s">
        <v>983</v>
      </c>
    </row>
    <row r="354" spans="1:2">
      <c r="A354" s="211" t="s">
        <v>984</v>
      </c>
      <c r="B354" s="240" t="s">
        <v>985</v>
      </c>
    </row>
    <row r="355" spans="1:2">
      <c r="A355" s="211" t="s">
        <v>986</v>
      </c>
      <c r="B355" s="240" t="s">
        <v>686</v>
      </c>
    </row>
    <row r="356" spans="1:2">
      <c r="A356" s="211" t="s">
        <v>987</v>
      </c>
      <c r="B356" s="240" t="s">
        <v>988</v>
      </c>
    </row>
    <row r="357" spans="1:2">
      <c r="A357" s="211" t="s">
        <v>989</v>
      </c>
      <c r="B357" s="240" t="s">
        <v>990</v>
      </c>
    </row>
    <row r="358" spans="1:2">
      <c r="A358" s="211" t="s">
        <v>991</v>
      </c>
      <c r="B358" s="240" t="s">
        <v>992</v>
      </c>
    </row>
    <row r="359" spans="1:2">
      <c r="A359" s="211" t="s">
        <v>993</v>
      </c>
      <c r="B359" s="240" t="s">
        <v>455</v>
      </c>
    </row>
    <row r="360" spans="1:2">
      <c r="A360" s="211" t="s">
        <v>994</v>
      </c>
      <c r="B360" s="240" t="s">
        <v>995</v>
      </c>
    </row>
    <row r="361" spans="1:2">
      <c r="A361" s="211" t="s">
        <v>996</v>
      </c>
      <c r="B361" s="240" t="s">
        <v>997</v>
      </c>
    </row>
    <row r="362" spans="1:2">
      <c r="A362" s="211" t="s">
        <v>998</v>
      </c>
      <c r="B362" s="240" t="s">
        <v>999</v>
      </c>
    </row>
    <row r="363" spans="1:2">
      <c r="A363" s="211" t="s">
        <v>1000</v>
      </c>
      <c r="B363" s="240" t="s">
        <v>907</v>
      </c>
    </row>
    <row r="364" spans="1:2">
      <c r="A364" s="211" t="s">
        <v>1001</v>
      </c>
      <c r="B364" s="240" t="s">
        <v>1002</v>
      </c>
    </row>
    <row r="365" spans="1:2">
      <c r="A365" s="211" t="s">
        <v>1003</v>
      </c>
      <c r="B365" s="240" t="s">
        <v>1004</v>
      </c>
    </row>
    <row r="366" spans="1:2">
      <c r="A366" s="211" t="s">
        <v>1005</v>
      </c>
      <c r="B366" s="240" t="s">
        <v>898</v>
      </c>
    </row>
    <row r="367" spans="1:2">
      <c r="A367" s="211" t="s">
        <v>1006</v>
      </c>
      <c r="B367" s="240" t="s">
        <v>1007</v>
      </c>
    </row>
    <row r="368" spans="1:2">
      <c r="A368" s="211" t="s">
        <v>1008</v>
      </c>
      <c r="B368" s="240" t="s">
        <v>1009</v>
      </c>
    </row>
    <row r="369" spans="1:2">
      <c r="A369" s="211" t="s">
        <v>1010</v>
      </c>
      <c r="B369" s="240" t="s">
        <v>927</v>
      </c>
    </row>
    <row r="370" spans="1:2">
      <c r="A370" s="211" t="s">
        <v>1011</v>
      </c>
      <c r="B370" s="240" t="s">
        <v>1012</v>
      </c>
    </row>
    <row r="371" spans="1:2">
      <c r="A371" s="211" t="s">
        <v>1013</v>
      </c>
      <c r="B371" s="240" t="s">
        <v>1014</v>
      </c>
    </row>
    <row r="372" spans="1:2">
      <c r="A372" s="211" t="s">
        <v>1015</v>
      </c>
      <c r="B372" s="240" t="s">
        <v>1016</v>
      </c>
    </row>
    <row r="373" spans="1:2">
      <c r="A373" s="211" t="s">
        <v>1017</v>
      </c>
      <c r="B373" s="240" t="s">
        <v>1018</v>
      </c>
    </row>
    <row r="374" spans="1:2">
      <c r="A374" s="211" t="s">
        <v>1019</v>
      </c>
      <c r="B374" s="240" t="s">
        <v>1020</v>
      </c>
    </row>
    <row r="375" spans="1:2">
      <c r="A375" s="211" t="s">
        <v>1021</v>
      </c>
      <c r="B375" s="240" t="s">
        <v>1022</v>
      </c>
    </row>
    <row r="376" spans="1:2">
      <c r="A376" s="211" t="s">
        <v>1023</v>
      </c>
      <c r="B376" s="240" t="s">
        <v>1024</v>
      </c>
    </row>
    <row r="377" spans="1:2">
      <c r="A377" s="211" t="s">
        <v>1025</v>
      </c>
      <c r="B377" s="240" t="s">
        <v>686</v>
      </c>
    </row>
    <row r="378" spans="1:2">
      <c r="A378" s="211" t="s">
        <v>1026</v>
      </c>
      <c r="B378" s="240" t="s">
        <v>990</v>
      </c>
    </row>
    <row r="379" spans="1:2">
      <c r="A379" s="211" t="s">
        <v>1027</v>
      </c>
      <c r="B379" s="240" t="s">
        <v>992</v>
      </c>
    </row>
    <row r="380" spans="1:2">
      <c r="A380" s="211" t="s">
        <v>1028</v>
      </c>
      <c r="B380" s="240" t="s">
        <v>455</v>
      </c>
    </row>
    <row r="381" spans="1:2">
      <c r="A381" s="211" t="s">
        <v>1029</v>
      </c>
      <c r="B381" s="240" t="s">
        <v>1030</v>
      </c>
    </row>
    <row r="382" spans="1:2">
      <c r="A382" s="211" t="s">
        <v>1031</v>
      </c>
      <c r="B382" s="240" t="s">
        <v>1032</v>
      </c>
    </row>
    <row r="383" spans="1:2">
      <c r="A383" s="211" t="s">
        <v>1033</v>
      </c>
      <c r="B383" s="240" t="s">
        <v>1034</v>
      </c>
    </row>
    <row r="384" spans="1:2">
      <c r="A384" s="211" t="s">
        <v>1035</v>
      </c>
      <c r="B384" s="240" t="s">
        <v>1036</v>
      </c>
    </row>
    <row r="385" spans="1:2">
      <c r="A385" s="211" t="s">
        <v>1037</v>
      </c>
      <c r="B385" s="240" t="s">
        <v>1038</v>
      </c>
    </row>
    <row r="386" spans="1:2">
      <c r="A386" s="211" t="s">
        <v>1039</v>
      </c>
      <c r="B386" s="240" t="s">
        <v>1040</v>
      </c>
    </row>
    <row r="387" spans="1:2">
      <c r="A387" s="211" t="s">
        <v>1041</v>
      </c>
      <c r="B387" s="240" t="s">
        <v>1042</v>
      </c>
    </row>
    <row r="388" spans="1:2">
      <c r="A388" s="211" t="s">
        <v>1043</v>
      </c>
      <c r="B388" s="240" t="s">
        <v>1044</v>
      </c>
    </row>
    <row r="389" spans="1:2">
      <c r="A389" s="211" t="s">
        <v>1045</v>
      </c>
      <c r="B389" s="240" t="s">
        <v>1046</v>
      </c>
    </row>
    <row r="390" spans="1:2">
      <c r="A390" s="211" t="s">
        <v>1047</v>
      </c>
      <c r="B390" s="240" t="s">
        <v>699</v>
      </c>
    </row>
    <row r="391" spans="1:2">
      <c r="A391" s="211" t="s">
        <v>1048</v>
      </c>
      <c r="B391" s="240" t="s">
        <v>1049</v>
      </c>
    </row>
    <row r="392" spans="1:2">
      <c r="A392" s="211" t="s">
        <v>1050</v>
      </c>
      <c r="B392" s="240" t="s">
        <v>927</v>
      </c>
    </row>
    <row r="393" spans="1:2">
      <c r="A393" s="211" t="s">
        <v>1051</v>
      </c>
      <c r="B393" s="240" t="s">
        <v>1052</v>
      </c>
    </row>
    <row r="394" spans="1:2">
      <c r="A394" s="211" t="s">
        <v>1053</v>
      </c>
      <c r="B394" s="240" t="s">
        <v>992</v>
      </c>
    </row>
    <row r="395" spans="1:2">
      <c r="A395" s="211" t="s">
        <v>1054</v>
      </c>
      <c r="B395" s="240" t="s">
        <v>1055</v>
      </c>
    </row>
    <row r="396" spans="1:2">
      <c r="A396" s="211" t="s">
        <v>1056</v>
      </c>
      <c r="B396" s="240" t="s">
        <v>1057</v>
      </c>
    </row>
    <row r="397" spans="1:2">
      <c r="A397" s="211" t="s">
        <v>1058</v>
      </c>
      <c r="B397" s="240" t="s">
        <v>1059</v>
      </c>
    </row>
    <row r="398" spans="1:2">
      <c r="A398" s="211" t="s">
        <v>1060</v>
      </c>
      <c r="B398" s="240" t="s">
        <v>1061</v>
      </c>
    </row>
    <row r="399" spans="1:2">
      <c r="A399" s="211" t="s">
        <v>1062</v>
      </c>
      <c r="B399" s="240" t="s">
        <v>1063</v>
      </c>
    </row>
    <row r="400" spans="1:2">
      <c r="A400" s="211" t="s">
        <v>1064</v>
      </c>
      <c r="B400" s="240" t="s">
        <v>1065</v>
      </c>
    </row>
    <row r="401" spans="1:2">
      <c r="A401" s="211" t="s">
        <v>1066</v>
      </c>
      <c r="B401" s="240" t="s">
        <v>1067</v>
      </c>
    </row>
    <row r="402" spans="1:2">
      <c r="A402" s="211" t="s">
        <v>1068</v>
      </c>
      <c r="B402" s="240" t="s">
        <v>455</v>
      </c>
    </row>
    <row r="403" spans="1:2">
      <c r="A403" s="211" t="s">
        <v>1069</v>
      </c>
      <c r="B403" s="240" t="s">
        <v>1070</v>
      </c>
    </row>
    <row r="404" spans="1:2">
      <c r="A404" s="211" t="s">
        <v>1071</v>
      </c>
      <c r="B404" s="240" t="s">
        <v>1072</v>
      </c>
    </row>
    <row r="405" spans="1:2">
      <c r="A405" s="211" t="s">
        <v>1073</v>
      </c>
      <c r="B405" s="240" t="s">
        <v>1074</v>
      </c>
    </row>
    <row r="406" spans="1:2">
      <c r="A406" s="211" t="s">
        <v>1075</v>
      </c>
      <c r="B406" s="240" t="s">
        <v>1076</v>
      </c>
    </row>
    <row r="407" spans="1:2">
      <c r="A407" s="211" t="s">
        <v>1077</v>
      </c>
      <c r="B407" s="240" t="s">
        <v>1078</v>
      </c>
    </row>
    <row r="408" spans="1:2">
      <c r="A408" s="211" t="s">
        <v>1079</v>
      </c>
      <c r="B408" s="240" t="s">
        <v>898</v>
      </c>
    </row>
    <row r="409" spans="1:2">
      <c r="A409" s="211" t="s">
        <v>1080</v>
      </c>
      <c r="B409" s="240" t="s">
        <v>1081</v>
      </c>
    </row>
    <row r="410" spans="1:2">
      <c r="A410" s="211" t="s">
        <v>1082</v>
      </c>
      <c r="B410" s="240" t="s">
        <v>4510</v>
      </c>
    </row>
    <row r="411" spans="1:2">
      <c r="A411" s="211" t="s">
        <v>1083</v>
      </c>
      <c r="B411" s="240" t="s">
        <v>1084</v>
      </c>
    </row>
    <row r="412" spans="1:2">
      <c r="A412" s="211" t="s">
        <v>1085</v>
      </c>
      <c r="B412" s="240" t="s">
        <v>1086</v>
      </c>
    </row>
    <row r="413" spans="1:2">
      <c r="A413" s="211" t="s">
        <v>1087</v>
      </c>
      <c r="B413" s="240" t="s">
        <v>1088</v>
      </c>
    </row>
    <row r="414" spans="1:2">
      <c r="A414" s="211" t="s">
        <v>1089</v>
      </c>
      <c r="B414" s="240" t="s">
        <v>1090</v>
      </c>
    </row>
    <row r="415" spans="1:2">
      <c r="A415" s="211" t="s">
        <v>1091</v>
      </c>
      <c r="B415" s="240" t="s">
        <v>1092</v>
      </c>
    </row>
    <row r="416" spans="1:2">
      <c r="A416" s="211" t="s">
        <v>1093</v>
      </c>
      <c r="B416" s="240" t="s">
        <v>1094</v>
      </c>
    </row>
    <row r="417" spans="1:2">
      <c r="A417" s="211" t="s">
        <v>1095</v>
      </c>
      <c r="B417" s="240" t="s">
        <v>697</v>
      </c>
    </row>
    <row r="418" spans="1:2">
      <c r="A418" s="211" t="s">
        <v>1096</v>
      </c>
      <c r="B418" s="240" t="s">
        <v>699</v>
      </c>
    </row>
    <row r="419" spans="1:2">
      <c r="A419" s="211" t="s">
        <v>1097</v>
      </c>
      <c r="B419" s="240" t="s">
        <v>455</v>
      </c>
    </row>
    <row r="420" spans="1:2">
      <c r="A420" s="211" t="s">
        <v>1098</v>
      </c>
      <c r="B420" s="240" t="s">
        <v>1099</v>
      </c>
    </row>
    <row r="421" spans="1:2">
      <c r="A421" s="211" t="s">
        <v>1100</v>
      </c>
      <c r="B421" s="240" t="s">
        <v>1101</v>
      </c>
    </row>
    <row r="422" spans="1:2">
      <c r="A422" s="211" t="s">
        <v>1102</v>
      </c>
      <c r="B422" s="240" t="s">
        <v>1103</v>
      </c>
    </row>
    <row r="423" spans="1:2">
      <c r="A423" s="211" t="s">
        <v>1104</v>
      </c>
      <c r="B423" s="240" t="s">
        <v>1105</v>
      </c>
    </row>
    <row r="424" spans="1:2">
      <c r="A424" s="211" t="s">
        <v>1106</v>
      </c>
      <c r="B424" s="240" t="s">
        <v>678</v>
      </c>
    </row>
    <row r="425" spans="1:2">
      <c r="A425" s="211" t="s">
        <v>1107</v>
      </c>
      <c r="B425" s="240" t="s">
        <v>1108</v>
      </c>
    </row>
    <row r="426" spans="1:2">
      <c r="A426" s="211" t="s">
        <v>1109</v>
      </c>
      <c r="B426" s="240" t="s">
        <v>1110</v>
      </c>
    </row>
    <row r="427" spans="1:2">
      <c r="A427" s="211" t="s">
        <v>1111</v>
      </c>
      <c r="B427" s="240" t="s">
        <v>1112</v>
      </c>
    </row>
    <row r="428" spans="1:2">
      <c r="A428" s="211" t="s">
        <v>1113</v>
      </c>
      <c r="B428" s="240" t="s">
        <v>1114</v>
      </c>
    </row>
    <row r="429" spans="1:2">
      <c r="A429" s="211" t="s">
        <v>1115</v>
      </c>
      <c r="B429" s="240" t="s">
        <v>1116</v>
      </c>
    </row>
    <row r="430" spans="1:2">
      <c r="A430" s="211" t="s">
        <v>1117</v>
      </c>
      <c r="B430" s="240" t="s">
        <v>1118</v>
      </c>
    </row>
    <row r="431" spans="1:2">
      <c r="A431" s="211" t="s">
        <v>1119</v>
      </c>
      <c r="B431" s="240" t="s">
        <v>1120</v>
      </c>
    </row>
    <row r="432" spans="1:2">
      <c r="A432" s="211" t="s">
        <v>1121</v>
      </c>
      <c r="B432" s="240" t="s">
        <v>690</v>
      </c>
    </row>
    <row r="433" spans="1:2">
      <c r="A433" s="211" t="s">
        <v>1122</v>
      </c>
      <c r="B433" s="240" t="s">
        <v>1123</v>
      </c>
    </row>
    <row r="434" spans="1:2">
      <c r="A434" s="211" t="s">
        <v>1124</v>
      </c>
      <c r="B434" s="240" t="s">
        <v>1125</v>
      </c>
    </row>
    <row r="435" spans="1:2">
      <c r="A435" s="211" t="s">
        <v>1126</v>
      </c>
      <c r="B435" s="240" t="s">
        <v>1127</v>
      </c>
    </row>
    <row r="436" spans="1:2">
      <c r="A436" s="211" t="s">
        <v>1128</v>
      </c>
      <c r="B436" s="240" t="s">
        <v>1129</v>
      </c>
    </row>
    <row r="437" spans="1:2">
      <c r="A437" s="211" t="s">
        <v>1130</v>
      </c>
      <c r="B437" s="240" t="s">
        <v>1131</v>
      </c>
    </row>
    <row r="438" spans="1:2">
      <c r="A438" s="211" t="s">
        <v>1132</v>
      </c>
      <c r="B438" s="240" t="s">
        <v>1133</v>
      </c>
    </row>
    <row r="439" spans="1:2">
      <c r="A439" s="211" t="s">
        <v>1134</v>
      </c>
      <c r="B439" s="240" t="s">
        <v>1135</v>
      </c>
    </row>
    <row r="440" spans="1:2">
      <c r="A440" s="211" t="s">
        <v>1136</v>
      </c>
      <c r="B440" s="240" t="s">
        <v>1137</v>
      </c>
    </row>
    <row r="441" spans="1:2">
      <c r="A441" s="211" t="s">
        <v>1138</v>
      </c>
      <c r="B441" s="240" t="s">
        <v>1139</v>
      </c>
    </row>
    <row r="442" spans="1:2">
      <c r="A442" s="211" t="s">
        <v>1140</v>
      </c>
      <c r="B442" s="240" t="s">
        <v>907</v>
      </c>
    </row>
    <row r="443" spans="1:2">
      <c r="A443" s="211" t="s">
        <v>1141</v>
      </c>
      <c r="B443" s="240" t="s">
        <v>898</v>
      </c>
    </row>
    <row r="444" spans="1:2">
      <c r="A444" s="211" t="s">
        <v>1142</v>
      </c>
      <c r="B444" s="240" t="s">
        <v>1143</v>
      </c>
    </row>
    <row r="445" spans="1:2">
      <c r="A445" s="211" t="s">
        <v>1144</v>
      </c>
      <c r="B445" s="240" t="s">
        <v>455</v>
      </c>
    </row>
    <row r="446" spans="1:2">
      <c r="A446" s="211" t="s">
        <v>1145</v>
      </c>
      <c r="B446" s="240" t="s">
        <v>4511</v>
      </c>
    </row>
    <row r="447" spans="1:2">
      <c r="A447" s="211" t="s">
        <v>1146</v>
      </c>
      <c r="B447" s="240" t="s">
        <v>1147</v>
      </c>
    </row>
    <row r="448" spans="1:2">
      <c r="A448" s="211" t="s">
        <v>1148</v>
      </c>
      <c r="B448" s="240" t="s">
        <v>455</v>
      </c>
    </row>
    <row r="449" spans="1:2">
      <c r="A449" s="211" t="s">
        <v>1149</v>
      </c>
      <c r="B449" s="240" t="s">
        <v>1150</v>
      </c>
    </row>
    <row r="450" spans="1:2">
      <c r="A450" s="211" t="s">
        <v>1151</v>
      </c>
      <c r="B450" s="240" t="s">
        <v>1152</v>
      </c>
    </row>
    <row r="451" spans="1:2">
      <c r="A451" s="211" t="s">
        <v>1153</v>
      </c>
      <c r="B451" s="240" t="s">
        <v>1154</v>
      </c>
    </row>
    <row r="452" spans="1:2">
      <c r="A452" s="211" t="s">
        <v>1155</v>
      </c>
      <c r="B452" s="240" t="s">
        <v>1156</v>
      </c>
    </row>
    <row r="453" spans="1:2">
      <c r="A453" s="211" t="s">
        <v>1157</v>
      </c>
      <c r="B453" s="240" t="s">
        <v>1158</v>
      </c>
    </row>
    <row r="454" spans="1:2">
      <c r="A454" s="211" t="s">
        <v>1159</v>
      </c>
      <c r="B454" s="240" t="s">
        <v>1160</v>
      </c>
    </row>
    <row r="455" spans="1:2">
      <c r="A455" s="211" t="s">
        <v>1161</v>
      </c>
      <c r="B455" s="240" t="s">
        <v>1162</v>
      </c>
    </row>
    <row r="456" spans="1:2">
      <c r="A456" s="211" t="s">
        <v>1163</v>
      </c>
      <c r="B456" s="240" t="s">
        <v>1164</v>
      </c>
    </row>
    <row r="457" spans="1:2">
      <c r="A457" s="211" t="s">
        <v>1165</v>
      </c>
      <c r="B457" s="240" t="s">
        <v>1166</v>
      </c>
    </row>
    <row r="458" spans="1:2">
      <c r="A458" s="211" t="s">
        <v>1167</v>
      </c>
      <c r="B458" s="240" t="s">
        <v>1168</v>
      </c>
    </row>
    <row r="459" spans="1:2">
      <c r="A459" s="211" t="s">
        <v>1169</v>
      </c>
      <c r="B459" s="240" t="s">
        <v>1170</v>
      </c>
    </row>
    <row r="460" spans="1:2">
      <c r="A460" s="211" t="s">
        <v>1171</v>
      </c>
      <c r="B460" s="240" t="s">
        <v>1172</v>
      </c>
    </row>
    <row r="461" spans="1:2">
      <c r="A461" s="211" t="s">
        <v>1173</v>
      </c>
      <c r="B461" s="240" t="s">
        <v>1174</v>
      </c>
    </row>
    <row r="462" spans="1:2">
      <c r="A462" s="211" t="s">
        <v>1175</v>
      </c>
      <c r="B462" s="240" t="s">
        <v>1176</v>
      </c>
    </row>
    <row r="463" spans="1:2">
      <c r="A463" s="211" t="s">
        <v>1177</v>
      </c>
      <c r="B463" s="240" t="s">
        <v>455</v>
      </c>
    </row>
    <row r="464" spans="1:2">
      <c r="A464" s="211" t="s">
        <v>1178</v>
      </c>
      <c r="B464" s="240" t="s">
        <v>1179</v>
      </c>
    </row>
    <row r="465" spans="1:2">
      <c r="A465" s="211" t="s">
        <v>1180</v>
      </c>
      <c r="B465" s="240" t="s">
        <v>1181</v>
      </c>
    </row>
    <row r="466" spans="1:2">
      <c r="A466" s="211" t="s">
        <v>1182</v>
      </c>
      <c r="B466" s="240" t="s">
        <v>1183</v>
      </c>
    </row>
    <row r="467" spans="1:2">
      <c r="A467" s="211" t="s">
        <v>1184</v>
      </c>
      <c r="B467" s="240" t="s">
        <v>1185</v>
      </c>
    </row>
    <row r="468" spans="1:2">
      <c r="A468" s="211" t="s">
        <v>1186</v>
      </c>
      <c r="B468" s="240" t="s">
        <v>1187</v>
      </c>
    </row>
    <row r="469" spans="1:2">
      <c r="A469" s="211" t="s">
        <v>1188</v>
      </c>
      <c r="B469" s="240" t="s">
        <v>1189</v>
      </c>
    </row>
    <row r="470" spans="1:2">
      <c r="A470" s="211" t="s">
        <v>1190</v>
      </c>
      <c r="B470" s="240" t="s">
        <v>1191</v>
      </c>
    </row>
    <row r="471" spans="1:2">
      <c r="A471" s="211" t="s">
        <v>1192</v>
      </c>
      <c r="B471" s="240" t="s">
        <v>1193</v>
      </c>
    </row>
    <row r="472" spans="1:2">
      <c r="A472" s="211" t="s">
        <v>1194</v>
      </c>
      <c r="B472" s="240" t="s">
        <v>1195</v>
      </c>
    </row>
    <row r="473" spans="1:2">
      <c r="A473" s="211" t="s">
        <v>1196</v>
      </c>
      <c r="B473" s="240" t="s">
        <v>1197</v>
      </c>
    </row>
    <row r="474" spans="1:2">
      <c r="A474" s="211" t="s">
        <v>1198</v>
      </c>
      <c r="B474" s="240" t="s">
        <v>1199</v>
      </c>
    </row>
    <row r="475" spans="1:2">
      <c r="A475" s="211" t="s">
        <v>1200</v>
      </c>
      <c r="B475" s="240" t="s">
        <v>898</v>
      </c>
    </row>
    <row r="476" spans="1:2">
      <c r="A476" s="211" t="s">
        <v>1201</v>
      </c>
      <c r="B476" s="240" t="s">
        <v>1202</v>
      </c>
    </row>
    <row r="477" spans="1:2">
      <c r="A477" s="211" t="s">
        <v>1203</v>
      </c>
      <c r="B477" s="240" t="s">
        <v>1204</v>
      </c>
    </row>
    <row r="478" spans="1:2">
      <c r="A478" s="211" t="s">
        <v>1205</v>
      </c>
      <c r="B478" s="240" t="s">
        <v>455</v>
      </c>
    </row>
    <row r="479" spans="1:2">
      <c r="A479" s="211" t="s">
        <v>1206</v>
      </c>
      <c r="B479" s="240" t="s">
        <v>1207</v>
      </c>
    </row>
    <row r="480" spans="1:2">
      <c r="A480" s="211" t="s">
        <v>1208</v>
      </c>
      <c r="B480" s="240" t="s">
        <v>1209</v>
      </c>
    </row>
    <row r="481" spans="1:2">
      <c r="A481" s="211" t="s">
        <v>1210</v>
      </c>
      <c r="B481" s="240" t="s">
        <v>1211</v>
      </c>
    </row>
    <row r="482" spans="1:2">
      <c r="A482" s="211" t="s">
        <v>1212</v>
      </c>
      <c r="B482" s="240" t="s">
        <v>1168</v>
      </c>
    </row>
    <row r="483" spans="1:2">
      <c r="A483" s="211" t="s">
        <v>1213</v>
      </c>
      <c r="B483" s="240" t="s">
        <v>1214</v>
      </c>
    </row>
    <row r="484" spans="1:2">
      <c r="A484" s="211" t="s">
        <v>1215</v>
      </c>
      <c r="B484" s="240" t="s">
        <v>1216</v>
      </c>
    </row>
    <row r="485" spans="1:2">
      <c r="A485" s="211" t="s">
        <v>1217</v>
      </c>
      <c r="B485" s="240" t="s">
        <v>1218</v>
      </c>
    </row>
    <row r="486" spans="1:2">
      <c r="A486" s="211" t="s">
        <v>1219</v>
      </c>
      <c r="B486" s="240" t="s">
        <v>1220</v>
      </c>
    </row>
    <row r="487" spans="1:2">
      <c r="A487" s="211" t="s">
        <v>1221</v>
      </c>
      <c r="B487" s="240" t="s">
        <v>1222</v>
      </c>
    </row>
    <row r="488" spans="1:2">
      <c r="A488" s="211" t="s">
        <v>1223</v>
      </c>
      <c r="B488" s="240" t="s">
        <v>1224</v>
      </c>
    </row>
    <row r="489" spans="1:2">
      <c r="A489" s="211" t="s">
        <v>1225</v>
      </c>
      <c r="B489" s="240" t="s">
        <v>1226</v>
      </c>
    </row>
    <row r="490" spans="1:2">
      <c r="A490" s="211" t="s">
        <v>1227</v>
      </c>
      <c r="B490" s="240" t="s">
        <v>473</v>
      </c>
    </row>
    <row r="491" spans="1:2">
      <c r="A491" s="211" t="s">
        <v>1228</v>
      </c>
      <c r="B491" s="240" t="s">
        <v>475</v>
      </c>
    </row>
    <row r="492" spans="1:2">
      <c r="A492" s="211" t="s">
        <v>1229</v>
      </c>
      <c r="B492" s="240" t="s">
        <v>455</v>
      </c>
    </row>
    <row r="493" spans="1:2">
      <c r="A493" s="211" t="s">
        <v>1230</v>
      </c>
      <c r="B493" s="241" t="s">
        <v>477</v>
      </c>
    </row>
    <row r="494" spans="1:2">
      <c r="A494" s="211" t="s">
        <v>1231</v>
      </c>
      <c r="B494" s="241" t="s">
        <v>1232</v>
      </c>
    </row>
    <row r="495" spans="1:2">
      <c r="A495" s="211" t="s">
        <v>1233</v>
      </c>
      <c r="B495" s="241" t="s">
        <v>477</v>
      </c>
    </row>
    <row r="496" spans="1:2">
      <c r="A496" s="211" t="s">
        <v>1234</v>
      </c>
      <c r="B496" s="240" t="s">
        <v>1235</v>
      </c>
    </row>
    <row r="497" spans="1:2">
      <c r="A497" s="211" t="s">
        <v>1236</v>
      </c>
      <c r="B497" s="240" t="s">
        <v>1237</v>
      </c>
    </row>
    <row r="498" spans="1:2">
      <c r="A498" s="211" t="s">
        <v>1238</v>
      </c>
      <c r="B498" s="240" t="s">
        <v>1239</v>
      </c>
    </row>
    <row r="499" spans="1:2">
      <c r="A499" s="211" t="s">
        <v>1240</v>
      </c>
      <c r="B499" s="240" t="s">
        <v>1241</v>
      </c>
    </row>
    <row r="500" spans="1:2">
      <c r="A500" s="211" t="s">
        <v>1242</v>
      </c>
      <c r="B500" s="240" t="s">
        <v>1243</v>
      </c>
    </row>
    <row r="501" spans="1:2">
      <c r="A501" s="211" t="s">
        <v>1244</v>
      </c>
      <c r="B501" s="240" t="s">
        <v>741</v>
      </c>
    </row>
    <row r="502" spans="1:2">
      <c r="A502" s="211" t="s">
        <v>1245</v>
      </c>
      <c r="B502" s="240" t="s">
        <v>1246</v>
      </c>
    </row>
    <row r="503" spans="1:2">
      <c r="A503" s="211" t="s">
        <v>1247</v>
      </c>
      <c r="B503" s="240" t="s">
        <v>1248</v>
      </c>
    </row>
    <row r="504" spans="1:2">
      <c r="A504" s="211" t="s">
        <v>1249</v>
      </c>
      <c r="B504" s="240" t="s">
        <v>1250</v>
      </c>
    </row>
    <row r="505" spans="1:2">
      <c r="A505" s="211" t="s">
        <v>1251</v>
      </c>
      <c r="B505" s="240" t="s">
        <v>1252</v>
      </c>
    </row>
    <row r="506" spans="1:2">
      <c r="A506" s="211" t="s">
        <v>1253</v>
      </c>
      <c r="B506" s="240" t="s">
        <v>1254</v>
      </c>
    </row>
    <row r="507" spans="1:2">
      <c r="A507" s="211" t="s">
        <v>1255</v>
      </c>
      <c r="B507" s="240" t="s">
        <v>1256</v>
      </c>
    </row>
    <row r="508" spans="1:2">
      <c r="A508" s="211" t="s">
        <v>1257</v>
      </c>
      <c r="B508" s="240" t="s">
        <v>1258</v>
      </c>
    </row>
    <row r="509" spans="1:2">
      <c r="A509" s="211" t="s">
        <v>1259</v>
      </c>
      <c r="B509" s="240" t="s">
        <v>898</v>
      </c>
    </row>
    <row r="510" spans="1:2">
      <c r="A510" s="211" t="s">
        <v>1260</v>
      </c>
      <c r="B510" s="240" t="s">
        <v>1261</v>
      </c>
    </row>
    <row r="511" spans="1:2">
      <c r="A511" s="211" t="s">
        <v>1262</v>
      </c>
      <c r="B511" s="240" t="s">
        <v>1263</v>
      </c>
    </row>
    <row r="512" spans="1:2">
      <c r="A512" s="211" t="s">
        <v>1264</v>
      </c>
      <c r="B512" s="240" t="s">
        <v>1265</v>
      </c>
    </row>
    <row r="513" spans="1:2">
      <c r="A513" s="211" t="s">
        <v>1266</v>
      </c>
      <c r="B513" s="240" t="s">
        <v>1267</v>
      </c>
    </row>
    <row r="514" spans="1:2">
      <c r="A514" s="211" t="s">
        <v>1268</v>
      </c>
      <c r="B514" s="240" t="s">
        <v>1269</v>
      </c>
    </row>
    <row r="515" spans="1:2">
      <c r="A515" s="211" t="s">
        <v>1270</v>
      </c>
      <c r="B515" s="240" t="s">
        <v>1271</v>
      </c>
    </row>
    <row r="516" spans="1:2">
      <c r="A516" s="211" t="s">
        <v>1272</v>
      </c>
      <c r="B516" s="240" t="s">
        <v>1273</v>
      </c>
    </row>
    <row r="517" spans="1:2">
      <c r="A517" s="211" t="s">
        <v>1274</v>
      </c>
      <c r="B517" s="240" t="s">
        <v>1275</v>
      </c>
    </row>
    <row r="518" spans="1:2">
      <c r="A518" s="211" t="s">
        <v>1276</v>
      </c>
      <c r="B518" s="240" t="s">
        <v>1277</v>
      </c>
    </row>
    <row r="519" spans="1:2">
      <c r="A519" s="211" t="s">
        <v>1278</v>
      </c>
      <c r="B519" s="240" t="s">
        <v>1279</v>
      </c>
    </row>
    <row r="520" spans="1:2">
      <c r="A520" s="211" t="s">
        <v>1280</v>
      </c>
      <c r="B520" s="240" t="s">
        <v>1281</v>
      </c>
    </row>
    <row r="521" spans="1:2">
      <c r="A521" s="211" t="s">
        <v>1282</v>
      </c>
      <c r="B521" s="240" t="s">
        <v>697</v>
      </c>
    </row>
    <row r="522" spans="1:2">
      <c r="A522" s="211" t="s">
        <v>1283</v>
      </c>
      <c r="B522" s="240" t="s">
        <v>1284</v>
      </c>
    </row>
    <row r="523" spans="1:2">
      <c r="A523" s="211" t="s">
        <v>1285</v>
      </c>
      <c r="B523" s="240" t="s">
        <v>1286</v>
      </c>
    </row>
    <row r="524" spans="1:2">
      <c r="A524" s="211" t="s">
        <v>1287</v>
      </c>
      <c r="B524" s="240" t="s">
        <v>1288</v>
      </c>
    </row>
    <row r="525" spans="1:2">
      <c r="A525" s="211" t="s">
        <v>1289</v>
      </c>
      <c r="B525" s="240" t="s">
        <v>1290</v>
      </c>
    </row>
    <row r="526" spans="1:2">
      <c r="A526" s="211" t="s">
        <v>1291</v>
      </c>
      <c r="B526" s="240" t="s">
        <v>1292</v>
      </c>
    </row>
    <row r="527" spans="1:2">
      <c r="A527" s="211" t="s">
        <v>1293</v>
      </c>
      <c r="B527" s="240" t="s">
        <v>1294</v>
      </c>
    </row>
    <row r="528" spans="1:2">
      <c r="A528" s="211" t="s">
        <v>1295</v>
      </c>
      <c r="B528" s="240" t="s">
        <v>697</v>
      </c>
    </row>
    <row r="529" spans="1:2">
      <c r="A529" s="211" t="s">
        <v>1296</v>
      </c>
      <c r="B529" s="240" t="s">
        <v>1297</v>
      </c>
    </row>
    <row r="530" spans="1:2">
      <c r="A530" s="211" t="s">
        <v>1298</v>
      </c>
      <c r="B530" s="240" t="s">
        <v>1299</v>
      </c>
    </row>
    <row r="531" spans="1:2">
      <c r="A531" s="211" t="s">
        <v>1300</v>
      </c>
      <c r="B531" s="240" t="s">
        <v>1301</v>
      </c>
    </row>
    <row r="532" spans="1:2">
      <c r="A532" s="211" t="s">
        <v>1302</v>
      </c>
      <c r="B532" s="240" t="s">
        <v>1303</v>
      </c>
    </row>
    <row r="533" spans="1:2">
      <c r="A533" s="211" t="s">
        <v>1304</v>
      </c>
      <c r="B533" s="240" t="s">
        <v>1305</v>
      </c>
    </row>
    <row r="534" spans="1:2">
      <c r="A534" s="211" t="s">
        <v>1306</v>
      </c>
      <c r="B534" s="240" t="s">
        <v>1214</v>
      </c>
    </row>
    <row r="535" spans="1:2">
      <c r="A535" s="211" t="s">
        <v>1307</v>
      </c>
      <c r="B535" s="240" t="s">
        <v>475</v>
      </c>
    </row>
    <row r="536" spans="1:2">
      <c r="A536" s="211" t="s">
        <v>1308</v>
      </c>
      <c r="B536" s="240" t="s">
        <v>455</v>
      </c>
    </row>
    <row r="537" spans="1:2">
      <c r="A537" s="211" t="s">
        <v>1309</v>
      </c>
      <c r="B537" s="241" t="s">
        <v>477</v>
      </c>
    </row>
    <row r="538" spans="1:2">
      <c r="A538" s="211" t="s">
        <v>1310</v>
      </c>
      <c r="B538" s="241" t="s">
        <v>1311</v>
      </c>
    </row>
    <row r="539" spans="1:2">
      <c r="A539" s="211" t="s">
        <v>1312</v>
      </c>
      <c r="B539" s="241" t="s">
        <v>1313</v>
      </c>
    </row>
    <row r="540" spans="1:2">
      <c r="A540" s="211" t="s">
        <v>1314</v>
      </c>
      <c r="B540" s="241" t="s">
        <v>1315</v>
      </c>
    </row>
    <row r="541" spans="1:2">
      <c r="A541" s="211" t="s">
        <v>1316</v>
      </c>
      <c r="B541" s="241" t="s">
        <v>477</v>
      </c>
    </row>
    <row r="542" spans="1:2">
      <c r="A542" s="211" t="s">
        <v>1317</v>
      </c>
      <c r="B542" s="240" t="s">
        <v>1318</v>
      </c>
    </row>
    <row r="543" spans="1:2">
      <c r="A543" s="211" t="s">
        <v>1319</v>
      </c>
      <c r="B543" s="240" t="s">
        <v>1320</v>
      </c>
    </row>
    <row r="544" spans="1:2">
      <c r="A544" s="211" t="s">
        <v>1321</v>
      </c>
      <c r="B544" s="240" t="s">
        <v>1322</v>
      </c>
    </row>
    <row r="545" spans="1:2">
      <c r="A545" s="211" t="s">
        <v>1323</v>
      </c>
      <c r="B545" s="240" t="s">
        <v>4440</v>
      </c>
    </row>
    <row r="546" spans="1:2">
      <c r="A546" s="211" t="s">
        <v>1324</v>
      </c>
      <c r="B546" s="240" t="s">
        <v>1325</v>
      </c>
    </row>
    <row r="547" spans="1:2">
      <c r="A547" s="211" t="s">
        <v>1326</v>
      </c>
      <c r="B547" s="240" t="s">
        <v>1327</v>
      </c>
    </row>
    <row r="548" spans="1:2">
      <c r="A548" s="211" t="s">
        <v>1328</v>
      </c>
      <c r="B548" s="240" t="s">
        <v>1329</v>
      </c>
    </row>
    <row r="549" spans="1:2">
      <c r="A549" s="211" t="s">
        <v>1330</v>
      </c>
      <c r="B549" s="240" t="s">
        <v>1331</v>
      </c>
    </row>
    <row r="550" spans="1:2">
      <c r="A550" s="211" t="s">
        <v>1332</v>
      </c>
      <c r="B550" s="240" t="s">
        <v>4441</v>
      </c>
    </row>
    <row r="551" spans="1:2">
      <c r="A551" s="211" t="s">
        <v>1333</v>
      </c>
      <c r="B551" s="240" t="s">
        <v>4442</v>
      </c>
    </row>
    <row r="552" spans="1:2">
      <c r="A552" s="211" t="s">
        <v>1334</v>
      </c>
      <c r="B552" s="240" t="s">
        <v>4443</v>
      </c>
    </row>
    <row r="553" spans="1:2">
      <c r="A553" s="211" t="s">
        <v>1335</v>
      </c>
      <c r="B553" s="240" t="s">
        <v>697</v>
      </c>
    </row>
    <row r="554" spans="1:2">
      <c r="A554" s="211" t="s">
        <v>1336</v>
      </c>
      <c r="B554" s="240" t="s">
        <v>473</v>
      </c>
    </row>
    <row r="555" spans="1:2">
      <c r="A555" s="211" t="s">
        <v>1337</v>
      </c>
      <c r="B555" s="240" t="s">
        <v>1338</v>
      </c>
    </row>
    <row r="556" spans="1:2">
      <c r="A556" s="211" t="s">
        <v>1339</v>
      </c>
      <c r="B556" s="240" t="s">
        <v>1340</v>
      </c>
    </row>
    <row r="557" spans="1:2">
      <c r="A557" s="211" t="s">
        <v>1341</v>
      </c>
      <c r="B557" s="240" t="s">
        <v>1342</v>
      </c>
    </row>
    <row r="558" spans="1:2">
      <c r="A558" s="211" t="s">
        <v>1343</v>
      </c>
      <c r="B558" s="240" t="s">
        <v>1344</v>
      </c>
    </row>
    <row r="559" spans="1:2">
      <c r="A559" s="211" t="s">
        <v>1345</v>
      </c>
      <c r="B559" s="240" t="s">
        <v>1346</v>
      </c>
    </row>
    <row r="560" spans="1:2">
      <c r="A560" s="211" t="s">
        <v>1347</v>
      </c>
      <c r="B560" s="240" t="s">
        <v>4444</v>
      </c>
    </row>
    <row r="561" spans="1:2">
      <c r="A561" s="211" t="s">
        <v>1348</v>
      </c>
      <c r="B561" s="240" t="s">
        <v>990</v>
      </c>
    </row>
    <row r="562" spans="1:2">
      <c r="A562" s="211" t="s">
        <v>1349</v>
      </c>
      <c r="B562" s="240" t="s">
        <v>1350</v>
      </c>
    </row>
    <row r="563" spans="1:2">
      <c r="A563" s="211" t="s">
        <v>1351</v>
      </c>
      <c r="B563" s="240" t="s">
        <v>1352</v>
      </c>
    </row>
    <row r="564" spans="1:2">
      <c r="A564" s="211" t="s">
        <v>1353</v>
      </c>
      <c r="B564" s="240" t="s">
        <v>697</v>
      </c>
    </row>
    <row r="565" spans="1:2">
      <c r="A565" s="211" t="s">
        <v>1354</v>
      </c>
      <c r="B565" s="240" t="s">
        <v>1355</v>
      </c>
    </row>
    <row r="566" spans="1:2">
      <c r="A566" s="211" t="s">
        <v>1356</v>
      </c>
      <c r="B566" s="240" t="s">
        <v>1357</v>
      </c>
    </row>
    <row r="567" spans="1:2">
      <c r="A567" s="211" t="s">
        <v>1358</v>
      </c>
      <c r="B567" s="240" t="s">
        <v>1359</v>
      </c>
    </row>
    <row r="568" spans="1:2">
      <c r="A568" s="211" t="s">
        <v>1360</v>
      </c>
      <c r="B568" s="240" t="s">
        <v>1361</v>
      </c>
    </row>
    <row r="569" spans="1:2">
      <c r="A569" s="211" t="s">
        <v>1362</v>
      </c>
      <c r="B569" s="240" t="s">
        <v>455</v>
      </c>
    </row>
    <row r="570" spans="1:2">
      <c r="A570" s="211" t="s">
        <v>1363</v>
      </c>
      <c r="B570" s="240" t="s">
        <v>1364</v>
      </c>
    </row>
    <row r="571" spans="1:2">
      <c r="A571" s="211" t="s">
        <v>1365</v>
      </c>
      <c r="B571" s="240" t="s">
        <v>1366</v>
      </c>
    </row>
    <row r="572" spans="1:2">
      <c r="A572" s="211" t="s">
        <v>1367</v>
      </c>
      <c r="B572" s="240" t="s">
        <v>1368</v>
      </c>
    </row>
    <row r="573" spans="1:2">
      <c r="A573" s="211" t="s">
        <v>1369</v>
      </c>
      <c r="B573" s="240" t="s">
        <v>1370</v>
      </c>
    </row>
    <row r="574" spans="1:2">
      <c r="A574" s="211" t="s">
        <v>1371</v>
      </c>
      <c r="B574" s="240" t="s">
        <v>1372</v>
      </c>
    </row>
    <row r="575" spans="1:2">
      <c r="A575" s="211" t="s">
        <v>1373</v>
      </c>
      <c r="B575" s="240" t="s">
        <v>1361</v>
      </c>
    </row>
    <row r="576" spans="1:2">
      <c r="A576" s="211" t="s">
        <v>1374</v>
      </c>
      <c r="B576" s="240" t="s">
        <v>455</v>
      </c>
    </row>
    <row r="577" spans="1:2">
      <c r="A577" s="211" t="s">
        <v>1375</v>
      </c>
      <c r="B577" s="241" t="s">
        <v>1376</v>
      </c>
    </row>
    <row r="578" spans="1:2">
      <c r="A578" s="211" t="s">
        <v>1377</v>
      </c>
      <c r="B578" s="240" t="s">
        <v>1378</v>
      </c>
    </row>
    <row r="579" spans="1:2">
      <c r="A579" s="211" t="s">
        <v>1379</v>
      </c>
      <c r="B579" s="240" t="s">
        <v>1380</v>
      </c>
    </row>
    <row r="580" spans="1:2">
      <c r="A580" s="211" t="s">
        <v>1381</v>
      </c>
      <c r="B580" s="240" t="s">
        <v>1382</v>
      </c>
    </row>
    <row r="581" spans="1:2">
      <c r="A581" s="211" t="s">
        <v>1383</v>
      </c>
      <c r="B581" s="240" t="s">
        <v>1384</v>
      </c>
    </row>
    <row r="582" spans="1:2">
      <c r="A582" s="211" t="s">
        <v>1385</v>
      </c>
      <c r="B582" s="240" t="s">
        <v>1386</v>
      </c>
    </row>
    <row r="583" spans="1:2">
      <c r="A583" s="211" t="s">
        <v>1387</v>
      </c>
      <c r="B583" s="240" t="s">
        <v>1388</v>
      </c>
    </row>
    <row r="584" spans="1:2">
      <c r="A584" s="211" t="s">
        <v>1389</v>
      </c>
      <c r="B584" s="240" t="s">
        <v>1390</v>
      </c>
    </row>
    <row r="585" spans="1:2">
      <c r="A585" s="211" t="s">
        <v>1391</v>
      </c>
      <c r="B585" s="240" t="s">
        <v>1392</v>
      </c>
    </row>
    <row r="586" spans="1:2">
      <c r="A586" s="211" t="s">
        <v>1393</v>
      </c>
      <c r="B586" s="240" t="s">
        <v>1394</v>
      </c>
    </row>
    <row r="587" spans="1:2">
      <c r="A587" s="211" t="s">
        <v>1395</v>
      </c>
      <c r="B587" s="240" t="s">
        <v>1396</v>
      </c>
    </row>
    <row r="588" spans="1:2">
      <c r="A588" s="211" t="s">
        <v>1397</v>
      </c>
      <c r="B588" s="240" t="s">
        <v>1398</v>
      </c>
    </row>
    <row r="589" spans="1:2">
      <c r="A589" s="211" t="s">
        <v>1399</v>
      </c>
      <c r="B589" s="240" t="s">
        <v>1400</v>
      </c>
    </row>
    <row r="590" spans="1:2">
      <c r="A590" s="211" t="s">
        <v>1401</v>
      </c>
      <c r="B590" s="240" t="s">
        <v>1402</v>
      </c>
    </row>
    <row r="591" spans="1:2">
      <c r="A591" s="211" t="s">
        <v>1403</v>
      </c>
      <c r="B591" s="240" t="s">
        <v>1404</v>
      </c>
    </row>
    <row r="592" spans="1:2">
      <c r="A592" s="211" t="s">
        <v>1405</v>
      </c>
      <c r="B592" s="240" t="s">
        <v>1406</v>
      </c>
    </row>
    <row r="593" spans="1:2">
      <c r="A593" s="211" t="s">
        <v>1407</v>
      </c>
      <c r="B593" s="240" t="s">
        <v>686</v>
      </c>
    </row>
    <row r="594" spans="1:2">
      <c r="A594" s="211" t="s">
        <v>1408</v>
      </c>
      <c r="B594" s="240" t="s">
        <v>697</v>
      </c>
    </row>
    <row r="595" spans="1:2">
      <c r="A595" s="211" t="s">
        <v>1409</v>
      </c>
      <c r="B595" s="240" t="s">
        <v>832</v>
      </c>
    </row>
    <row r="596" spans="1:2">
      <c r="A596" s="211" t="s">
        <v>1410</v>
      </c>
      <c r="B596" s="240" t="s">
        <v>1411</v>
      </c>
    </row>
    <row r="597" spans="1:2">
      <c r="A597" s="211" t="s">
        <v>1412</v>
      </c>
      <c r="B597" s="240" t="s">
        <v>1361</v>
      </c>
    </row>
    <row r="598" spans="1:2">
      <c r="A598" s="211" t="s">
        <v>1413</v>
      </c>
      <c r="B598" s="240" t="s">
        <v>455</v>
      </c>
    </row>
    <row r="599" spans="1:2">
      <c r="A599" s="211" t="s">
        <v>1414</v>
      </c>
      <c r="B599" s="241" t="s">
        <v>1415</v>
      </c>
    </row>
    <row r="600" spans="1:2">
      <c r="A600" s="211" t="s">
        <v>1416</v>
      </c>
      <c r="B600" s="240" t="s">
        <v>1417</v>
      </c>
    </row>
    <row r="601" spans="1:2">
      <c r="A601" s="211" t="s">
        <v>1418</v>
      </c>
      <c r="B601" s="240" t="s">
        <v>1419</v>
      </c>
    </row>
    <row r="602" spans="1:2">
      <c r="A602" s="211" t="s">
        <v>1420</v>
      </c>
      <c r="B602" s="240" t="s">
        <v>1421</v>
      </c>
    </row>
    <row r="603" spans="1:2">
      <c r="A603" s="211" t="s">
        <v>1422</v>
      </c>
      <c r="B603" s="240" t="s">
        <v>1423</v>
      </c>
    </row>
    <row r="604" spans="1:2">
      <c r="A604" s="211" t="s">
        <v>1424</v>
      </c>
      <c r="B604" s="240" t="s">
        <v>1425</v>
      </c>
    </row>
    <row r="605" spans="1:2">
      <c r="A605" s="211" t="s">
        <v>1426</v>
      </c>
      <c r="B605" s="240" t="s">
        <v>832</v>
      </c>
    </row>
    <row r="606" spans="1:2">
      <c r="A606" s="211" t="s">
        <v>1427</v>
      </c>
      <c r="B606" s="240" t="s">
        <v>1361</v>
      </c>
    </row>
    <row r="607" spans="1:2">
      <c r="A607" s="211" t="s">
        <v>1428</v>
      </c>
      <c r="B607" s="240" t="s">
        <v>455</v>
      </c>
    </row>
    <row r="608" spans="1:2">
      <c r="A608" s="211" t="s">
        <v>1429</v>
      </c>
      <c r="B608" s="241" t="s">
        <v>1430</v>
      </c>
    </row>
    <row r="609" spans="1:2">
      <c r="A609" s="211" t="s">
        <v>1431</v>
      </c>
      <c r="B609" s="240" t="s">
        <v>1432</v>
      </c>
    </row>
    <row r="610" spans="1:2">
      <c r="A610" s="211" t="s">
        <v>1433</v>
      </c>
      <c r="B610" s="240" t="s">
        <v>1434</v>
      </c>
    </row>
    <row r="611" spans="1:2">
      <c r="A611" s="211" t="s">
        <v>1435</v>
      </c>
      <c r="B611" s="240" t="s">
        <v>1436</v>
      </c>
    </row>
    <row r="612" spans="1:2">
      <c r="A612" s="211" t="s">
        <v>1437</v>
      </c>
      <c r="B612" s="240" t="s">
        <v>1361</v>
      </c>
    </row>
    <row r="613" spans="1:2">
      <c r="A613" s="211" t="s">
        <v>1438</v>
      </c>
      <c r="B613" s="240" t="s">
        <v>455</v>
      </c>
    </row>
    <row r="614" spans="1:2">
      <c r="A614" s="211" t="s">
        <v>1439</v>
      </c>
      <c r="B614" s="241" t="s">
        <v>1440</v>
      </c>
    </row>
    <row r="615" spans="1:2">
      <c r="A615" s="211" t="s">
        <v>1441</v>
      </c>
      <c r="B615" s="240" t="s">
        <v>1442</v>
      </c>
    </row>
    <row r="616" spans="1:2">
      <c r="A616" s="211" t="s">
        <v>1443</v>
      </c>
      <c r="B616" s="240" t="s">
        <v>1444</v>
      </c>
    </row>
    <row r="617" spans="1:2">
      <c r="A617" s="211" t="s">
        <v>1445</v>
      </c>
      <c r="B617" s="240" t="s">
        <v>1446</v>
      </c>
    </row>
    <row r="618" spans="1:2">
      <c r="A618" s="211" t="s">
        <v>1447</v>
      </c>
      <c r="B618" s="240" t="s">
        <v>1448</v>
      </c>
    </row>
    <row r="619" spans="1:2">
      <c r="A619" s="211" t="s">
        <v>1449</v>
      </c>
      <c r="B619" s="240" t="s">
        <v>1450</v>
      </c>
    </row>
    <row r="620" spans="1:2">
      <c r="A620" s="211" t="s">
        <v>1451</v>
      </c>
      <c r="B620" s="240" t="s">
        <v>1452</v>
      </c>
    </row>
    <row r="621" spans="1:2">
      <c r="A621" s="211" t="s">
        <v>1453</v>
      </c>
      <c r="B621" s="240" t="s">
        <v>1454</v>
      </c>
    </row>
    <row r="622" spans="1:2">
      <c r="A622" s="211" t="s">
        <v>1455</v>
      </c>
      <c r="B622" s="240" t="s">
        <v>473</v>
      </c>
    </row>
    <row r="623" spans="1:2">
      <c r="A623" s="211" t="s">
        <v>1456</v>
      </c>
      <c r="B623" s="240" t="s">
        <v>475</v>
      </c>
    </row>
    <row r="624" spans="1:2">
      <c r="A624" s="211" t="s">
        <v>1457</v>
      </c>
      <c r="B624" s="240" t="s">
        <v>455</v>
      </c>
    </row>
    <row r="625" spans="1:2">
      <c r="A625" s="211" t="s">
        <v>1458</v>
      </c>
      <c r="B625" s="241" t="s">
        <v>4445</v>
      </c>
    </row>
    <row r="626" spans="1:2">
      <c r="A626" s="211" t="s">
        <v>1459</v>
      </c>
      <c r="B626" s="240" t="s">
        <v>1460</v>
      </c>
    </row>
    <row r="627" spans="1:2">
      <c r="A627" s="211" t="s">
        <v>1461</v>
      </c>
      <c r="B627" s="240" t="s">
        <v>1462</v>
      </c>
    </row>
    <row r="628" spans="1:2">
      <c r="A628" s="211" t="s">
        <v>1463</v>
      </c>
      <c r="B628" s="240" t="s">
        <v>1361</v>
      </c>
    </row>
    <row r="629" spans="1:2">
      <c r="A629" s="211" t="s">
        <v>1464</v>
      </c>
      <c r="B629" s="240" t="s">
        <v>455</v>
      </c>
    </row>
    <row r="630" spans="1:2">
      <c r="A630" s="211" t="s">
        <v>1465</v>
      </c>
      <c r="B630" s="240" t="s">
        <v>1466</v>
      </c>
    </row>
    <row r="631" spans="1:2">
      <c r="A631" s="211" t="s">
        <v>1467</v>
      </c>
      <c r="B631" s="240" t="s">
        <v>1468</v>
      </c>
    </row>
    <row r="632" spans="1:2">
      <c r="A632" s="211" t="s">
        <v>1469</v>
      </c>
      <c r="B632" s="240" t="s">
        <v>1361</v>
      </c>
    </row>
    <row r="633" spans="1:2">
      <c r="A633" s="211" t="s">
        <v>1470</v>
      </c>
      <c r="B633" s="240" t="s">
        <v>455</v>
      </c>
    </row>
    <row r="634" spans="1:2">
      <c r="A634" s="211" t="s">
        <v>1471</v>
      </c>
      <c r="B634" s="240" t="s">
        <v>1472</v>
      </c>
    </row>
    <row r="635" spans="1:2">
      <c r="A635" s="211" t="s">
        <v>1473</v>
      </c>
      <c r="B635" s="240" t="s">
        <v>1474</v>
      </c>
    </row>
    <row r="636" spans="1:2">
      <c r="A636" s="211" t="s">
        <v>1475</v>
      </c>
      <c r="B636" s="240" t="s">
        <v>1361</v>
      </c>
    </row>
    <row r="637" spans="1:2">
      <c r="A637" s="211" t="s">
        <v>1476</v>
      </c>
      <c r="B637" s="240" t="s">
        <v>455</v>
      </c>
    </row>
    <row r="638" spans="1:2">
      <c r="A638" s="211" t="s">
        <v>1477</v>
      </c>
      <c r="B638" s="241" t="s">
        <v>1478</v>
      </c>
    </row>
    <row r="639" spans="1:2">
      <c r="A639" s="211" t="s">
        <v>1479</v>
      </c>
      <c r="B639" s="240" t="s">
        <v>1480</v>
      </c>
    </row>
    <row r="640" spans="1:2">
      <c r="A640" s="211" t="s">
        <v>1481</v>
      </c>
      <c r="B640" s="240" t="s">
        <v>1482</v>
      </c>
    </row>
    <row r="641" spans="1:2">
      <c r="A641" s="211" t="s">
        <v>1483</v>
      </c>
      <c r="B641" s="240" t="s">
        <v>1382</v>
      </c>
    </row>
    <row r="642" spans="1:2">
      <c r="A642" s="211" t="s">
        <v>1484</v>
      </c>
      <c r="B642" s="240" t="s">
        <v>1384</v>
      </c>
    </row>
    <row r="643" spans="1:2">
      <c r="A643" s="211" t="s">
        <v>1485</v>
      </c>
      <c r="B643" s="240" t="s">
        <v>1486</v>
      </c>
    </row>
    <row r="644" spans="1:2">
      <c r="A644" s="211" t="s">
        <v>1487</v>
      </c>
      <c r="B644" s="240" t="s">
        <v>1488</v>
      </c>
    </row>
    <row r="645" spans="1:2">
      <c r="A645" s="211" t="s">
        <v>1489</v>
      </c>
      <c r="B645" s="240" t="s">
        <v>1490</v>
      </c>
    </row>
    <row r="646" spans="1:2">
      <c r="A646" s="211" t="s">
        <v>1491</v>
      </c>
      <c r="B646" s="240" t="s">
        <v>1492</v>
      </c>
    </row>
    <row r="647" spans="1:2">
      <c r="A647" s="211" t="s">
        <v>1493</v>
      </c>
      <c r="B647" s="240" t="s">
        <v>1494</v>
      </c>
    </row>
    <row r="648" spans="1:2">
      <c r="A648" s="211" t="s">
        <v>1495</v>
      </c>
      <c r="B648" s="240" t="s">
        <v>1496</v>
      </c>
    </row>
    <row r="649" spans="1:2">
      <c r="A649" s="211" t="s">
        <v>1497</v>
      </c>
      <c r="B649" s="240" t="s">
        <v>1498</v>
      </c>
    </row>
    <row r="650" spans="1:2">
      <c r="A650" s="211" t="s">
        <v>1499</v>
      </c>
      <c r="B650" s="240" t="s">
        <v>1361</v>
      </c>
    </row>
    <row r="651" spans="1:2">
      <c r="A651" s="211" t="s">
        <v>1500</v>
      </c>
      <c r="B651" s="240" t="s">
        <v>455</v>
      </c>
    </row>
    <row r="652" spans="1:2">
      <c r="A652" s="211" t="s">
        <v>1501</v>
      </c>
      <c r="B652" s="240" t="s">
        <v>1502</v>
      </c>
    </row>
    <row r="653" spans="1:2">
      <c r="A653" s="211" t="s">
        <v>1503</v>
      </c>
      <c r="B653" s="240" t="s">
        <v>1504</v>
      </c>
    </row>
    <row r="654" spans="1:2">
      <c r="A654" s="211" t="s">
        <v>1505</v>
      </c>
      <c r="B654" s="240" t="s">
        <v>1506</v>
      </c>
    </row>
    <row r="655" spans="1:2">
      <c r="A655" s="211" t="s">
        <v>1507</v>
      </c>
      <c r="B655" s="240" t="s">
        <v>1508</v>
      </c>
    </row>
    <row r="656" spans="1:2">
      <c r="A656" s="211" t="s">
        <v>1509</v>
      </c>
      <c r="B656" s="240" t="s">
        <v>1510</v>
      </c>
    </row>
    <row r="657" spans="1:2">
      <c r="A657" s="211" t="s">
        <v>1511</v>
      </c>
      <c r="B657" s="240" t="s">
        <v>1512</v>
      </c>
    </row>
    <row r="658" spans="1:2">
      <c r="A658" s="211" t="s">
        <v>1513</v>
      </c>
      <c r="B658" s="240" t="s">
        <v>1514</v>
      </c>
    </row>
    <row r="659" spans="1:2">
      <c r="A659" s="211" t="s">
        <v>1515</v>
      </c>
      <c r="B659" s="240" t="s">
        <v>1361</v>
      </c>
    </row>
    <row r="660" spans="1:2">
      <c r="A660" s="211" t="s">
        <v>1516</v>
      </c>
      <c r="B660" s="240" t="s">
        <v>455</v>
      </c>
    </row>
    <row r="661" spans="1:2">
      <c r="A661" s="211" t="s">
        <v>1517</v>
      </c>
      <c r="B661" s="241" t="s">
        <v>1518</v>
      </c>
    </row>
    <row r="662" spans="1:2">
      <c r="A662" s="211" t="s">
        <v>1519</v>
      </c>
      <c r="B662" s="240" t="s">
        <v>1520</v>
      </c>
    </row>
    <row r="663" spans="1:2">
      <c r="A663" s="211" t="s">
        <v>1521</v>
      </c>
      <c r="B663" s="240" t="s">
        <v>1522</v>
      </c>
    </row>
    <row r="664" spans="1:2">
      <c r="A664" s="211" t="s">
        <v>1523</v>
      </c>
      <c r="B664" s="240" t="s">
        <v>1524</v>
      </c>
    </row>
    <row r="665" spans="1:2">
      <c r="A665" s="211" t="s">
        <v>1525</v>
      </c>
      <c r="B665" s="240" t="s">
        <v>1526</v>
      </c>
    </row>
    <row r="666" spans="1:2">
      <c r="A666" s="211" t="s">
        <v>1527</v>
      </c>
      <c r="B666" s="240" t="s">
        <v>1528</v>
      </c>
    </row>
    <row r="667" spans="1:2">
      <c r="A667" s="211" t="s">
        <v>1529</v>
      </c>
      <c r="B667" s="240" t="s">
        <v>1530</v>
      </c>
    </row>
    <row r="668" spans="1:2">
      <c r="A668" s="211" t="s">
        <v>1531</v>
      </c>
      <c r="B668" s="240" t="s">
        <v>1532</v>
      </c>
    </row>
    <row r="669" spans="1:2">
      <c r="A669" s="211" t="s">
        <v>1533</v>
      </c>
      <c r="B669" s="240" t="s">
        <v>1534</v>
      </c>
    </row>
    <row r="670" spans="1:2">
      <c r="A670" s="211" t="s">
        <v>1535</v>
      </c>
      <c r="B670" s="240" t="s">
        <v>1536</v>
      </c>
    </row>
    <row r="671" spans="1:2">
      <c r="A671" s="211" t="s">
        <v>1537</v>
      </c>
      <c r="B671" s="240" t="s">
        <v>697</v>
      </c>
    </row>
    <row r="672" spans="1:2">
      <c r="A672" s="211" t="s">
        <v>1538</v>
      </c>
      <c r="B672" s="240" t="s">
        <v>1539</v>
      </c>
    </row>
    <row r="673" spans="1:2">
      <c r="A673" s="211" t="s">
        <v>1540</v>
      </c>
      <c r="B673" s="240" t="s">
        <v>1541</v>
      </c>
    </row>
    <row r="674" spans="1:2">
      <c r="A674" s="211" t="s">
        <v>1542</v>
      </c>
      <c r="B674" s="240" t="s">
        <v>473</v>
      </c>
    </row>
    <row r="675" spans="1:2">
      <c r="A675" s="211" t="s">
        <v>1543</v>
      </c>
      <c r="B675" s="240" t="s">
        <v>1361</v>
      </c>
    </row>
    <row r="676" spans="1:2">
      <c r="A676" s="211" t="s">
        <v>1544</v>
      </c>
      <c r="B676" s="240" t="s">
        <v>455</v>
      </c>
    </row>
    <row r="677" spans="1:2">
      <c r="A677" s="211" t="s">
        <v>1545</v>
      </c>
      <c r="B677" s="241" t="s">
        <v>1546</v>
      </c>
    </row>
    <row r="678" spans="1:2">
      <c r="A678" s="211" t="s">
        <v>1547</v>
      </c>
      <c r="B678" s="240" t="s">
        <v>1548</v>
      </c>
    </row>
    <row r="679" spans="1:2">
      <c r="A679" s="211" t="s">
        <v>1549</v>
      </c>
      <c r="B679" s="240" t="s">
        <v>1550</v>
      </c>
    </row>
    <row r="680" spans="1:2">
      <c r="A680" s="211" t="s">
        <v>1551</v>
      </c>
      <c r="B680" s="240" t="s">
        <v>1552</v>
      </c>
    </row>
    <row r="681" spans="1:2">
      <c r="A681" s="211" t="s">
        <v>1553</v>
      </c>
      <c r="B681" s="240" t="s">
        <v>1554</v>
      </c>
    </row>
    <row r="682" spans="1:2">
      <c r="A682" s="211" t="s">
        <v>1555</v>
      </c>
      <c r="B682" s="240" t="s">
        <v>1556</v>
      </c>
    </row>
    <row r="683" spans="1:2">
      <c r="A683" s="211" t="s">
        <v>1557</v>
      </c>
      <c r="B683" s="240" t="s">
        <v>1361</v>
      </c>
    </row>
    <row r="684" spans="1:2">
      <c r="A684" s="211" t="s">
        <v>1558</v>
      </c>
      <c r="B684" s="240" t="s">
        <v>455</v>
      </c>
    </row>
    <row r="685" spans="1:2">
      <c r="A685" s="211" t="s">
        <v>1559</v>
      </c>
      <c r="B685" s="241" t="s">
        <v>1560</v>
      </c>
    </row>
    <row r="686" spans="1:2">
      <c r="A686" s="211" t="s">
        <v>1561</v>
      </c>
      <c r="B686" s="240" t="s">
        <v>1562</v>
      </c>
    </row>
    <row r="687" spans="1:2">
      <c r="A687" s="211" t="s">
        <v>1563</v>
      </c>
      <c r="B687" s="240" t="s">
        <v>1564</v>
      </c>
    </row>
    <row r="688" spans="1:2">
      <c r="A688" s="211" t="s">
        <v>1565</v>
      </c>
      <c r="B688" s="240" t="s">
        <v>1566</v>
      </c>
    </row>
    <row r="689" spans="1:2">
      <c r="A689" s="211" t="s">
        <v>1567</v>
      </c>
      <c r="B689" s="240" t="s">
        <v>1568</v>
      </c>
    </row>
    <row r="690" spans="1:2">
      <c r="A690" s="211" t="s">
        <v>1569</v>
      </c>
      <c r="B690" s="240" t="s">
        <v>1570</v>
      </c>
    </row>
    <row r="691" spans="1:2">
      <c r="A691" s="211" t="s">
        <v>1571</v>
      </c>
      <c r="B691" s="240" t="s">
        <v>1572</v>
      </c>
    </row>
    <row r="692" spans="1:2">
      <c r="A692" s="211" t="s">
        <v>1573</v>
      </c>
      <c r="B692" s="240" t="s">
        <v>1361</v>
      </c>
    </row>
    <row r="693" spans="1:2">
      <c r="A693" s="211" t="s">
        <v>1574</v>
      </c>
      <c r="B693" s="240" t="s">
        <v>455</v>
      </c>
    </row>
    <row r="694" spans="1:2">
      <c r="A694" s="211" t="s">
        <v>1575</v>
      </c>
      <c r="B694" s="241" t="s">
        <v>477</v>
      </c>
    </row>
    <row r="695" spans="1:2">
      <c r="A695" s="211" t="s">
        <v>1576</v>
      </c>
      <c r="B695" s="241" t="s">
        <v>1577</v>
      </c>
    </row>
    <row r="696" spans="1:2">
      <c r="A696" s="211" t="s">
        <v>1578</v>
      </c>
      <c r="B696" s="241" t="s">
        <v>477</v>
      </c>
    </row>
    <row r="697" spans="1:2">
      <c r="A697" s="211" t="s">
        <v>1579</v>
      </c>
      <c r="B697" s="240" t="s">
        <v>1580</v>
      </c>
    </row>
    <row r="698" spans="1:2">
      <c r="A698" s="211" t="s">
        <v>1581</v>
      </c>
      <c r="B698" s="240" t="s">
        <v>1582</v>
      </c>
    </row>
    <row r="699" spans="1:2">
      <c r="A699" s="211" t="s">
        <v>1583</v>
      </c>
      <c r="B699" s="240" t="s">
        <v>1181</v>
      </c>
    </row>
    <row r="700" spans="1:2">
      <c r="A700" s="211" t="s">
        <v>1584</v>
      </c>
      <c r="B700" s="240" t="s">
        <v>1585</v>
      </c>
    </row>
    <row r="701" spans="1:2">
      <c r="A701" s="211" t="s">
        <v>1586</v>
      </c>
      <c r="B701" s="240" t="s">
        <v>1587</v>
      </c>
    </row>
    <row r="702" spans="1:2">
      <c r="A702" s="211" t="s">
        <v>1588</v>
      </c>
      <c r="B702" s="240" t="s">
        <v>1361</v>
      </c>
    </row>
    <row r="703" spans="1:2">
      <c r="A703" s="211" t="s">
        <v>1589</v>
      </c>
      <c r="B703" s="240" t="s">
        <v>455</v>
      </c>
    </row>
    <row r="704" spans="1:2">
      <c r="A704" s="211" t="s">
        <v>1590</v>
      </c>
      <c r="B704" s="240" t="s">
        <v>1591</v>
      </c>
    </row>
    <row r="705" spans="1:2">
      <c r="A705" s="211" t="s">
        <v>1592</v>
      </c>
      <c r="B705" s="240" t="s">
        <v>1593</v>
      </c>
    </row>
    <row r="706" spans="1:2">
      <c r="A706" s="211" t="s">
        <v>1594</v>
      </c>
      <c r="B706" s="240" t="s">
        <v>1595</v>
      </c>
    </row>
    <row r="707" spans="1:2">
      <c r="A707" s="211" t="s">
        <v>1596</v>
      </c>
      <c r="B707" s="240" t="s">
        <v>1597</v>
      </c>
    </row>
    <row r="708" spans="1:2">
      <c r="A708" s="211" t="s">
        <v>1598</v>
      </c>
      <c r="B708" s="240" t="s">
        <v>473</v>
      </c>
    </row>
    <row r="709" spans="1:2">
      <c r="A709" s="211" t="s">
        <v>1599</v>
      </c>
      <c r="B709" s="240" t="s">
        <v>1600</v>
      </c>
    </row>
    <row r="710" spans="1:2">
      <c r="A710" s="211" t="s">
        <v>1601</v>
      </c>
      <c r="B710" s="240" t="s">
        <v>1361</v>
      </c>
    </row>
    <row r="711" spans="1:2">
      <c r="A711" s="211" t="s">
        <v>1602</v>
      </c>
      <c r="B711" s="240" t="s">
        <v>455</v>
      </c>
    </row>
    <row r="712" spans="1:2">
      <c r="A712" s="211" t="s">
        <v>1603</v>
      </c>
      <c r="B712" s="240" t="s">
        <v>1604</v>
      </c>
    </row>
    <row r="713" spans="1:2">
      <c r="A713" s="211" t="s">
        <v>1605</v>
      </c>
      <c r="B713" s="240" t="s">
        <v>1606</v>
      </c>
    </row>
    <row r="714" spans="1:2">
      <c r="A714" s="211" t="s">
        <v>1607</v>
      </c>
      <c r="B714" s="240" t="s">
        <v>1608</v>
      </c>
    </row>
    <row r="715" spans="1:2">
      <c r="A715" s="211" t="s">
        <v>1609</v>
      </c>
      <c r="B715" s="240" t="s">
        <v>1610</v>
      </c>
    </row>
    <row r="716" spans="1:2">
      <c r="A716" s="211" t="s">
        <v>1611</v>
      </c>
      <c r="B716" s="240" t="s">
        <v>1612</v>
      </c>
    </row>
    <row r="717" spans="1:2">
      <c r="A717" s="211" t="s">
        <v>1613</v>
      </c>
      <c r="B717" s="240" t="s">
        <v>1614</v>
      </c>
    </row>
    <row r="718" spans="1:2">
      <c r="A718" s="211" t="s">
        <v>1615</v>
      </c>
      <c r="B718" s="240" t="s">
        <v>699</v>
      </c>
    </row>
    <row r="719" spans="1:2">
      <c r="A719" s="211" t="s">
        <v>1616</v>
      </c>
      <c r="B719" s="240" t="s">
        <v>1617</v>
      </c>
    </row>
    <row r="720" spans="1:2">
      <c r="A720" s="211" t="s">
        <v>1618</v>
      </c>
      <c r="B720" s="240" t="s">
        <v>1619</v>
      </c>
    </row>
    <row r="721" spans="1:2">
      <c r="A721" s="211" t="s">
        <v>1620</v>
      </c>
      <c r="B721" s="240" t="s">
        <v>1361</v>
      </c>
    </row>
    <row r="722" spans="1:2">
      <c r="A722" s="211" t="s">
        <v>1621</v>
      </c>
      <c r="B722" s="240" t="s">
        <v>455</v>
      </c>
    </row>
    <row r="723" spans="1:2">
      <c r="A723" s="211" t="s">
        <v>1622</v>
      </c>
      <c r="B723" s="240" t="s">
        <v>1623</v>
      </c>
    </row>
    <row r="724" spans="1:2">
      <c r="A724" s="211" t="s">
        <v>1624</v>
      </c>
      <c r="B724" s="240" t="s">
        <v>1625</v>
      </c>
    </row>
    <row r="725" spans="1:2">
      <c r="A725" s="211" t="s">
        <v>1626</v>
      </c>
      <c r="B725" s="240" t="s">
        <v>1608</v>
      </c>
    </row>
    <row r="726" spans="1:2">
      <c r="A726" s="211" t="s">
        <v>1627</v>
      </c>
      <c r="B726" s="240" t="s">
        <v>1628</v>
      </c>
    </row>
    <row r="727" spans="1:2">
      <c r="A727" s="211" t="s">
        <v>1629</v>
      </c>
      <c r="B727" s="240" t="s">
        <v>1610</v>
      </c>
    </row>
    <row r="728" spans="1:2">
      <c r="A728" s="211" t="s">
        <v>1630</v>
      </c>
      <c r="B728" s="240" t="s">
        <v>1631</v>
      </c>
    </row>
    <row r="729" spans="1:2">
      <c r="A729" s="211" t="s">
        <v>1632</v>
      </c>
      <c r="B729" s="240" t="s">
        <v>1633</v>
      </c>
    </row>
    <row r="730" spans="1:2">
      <c r="A730" s="211" t="s">
        <v>1634</v>
      </c>
      <c r="B730" s="240" t="s">
        <v>1635</v>
      </c>
    </row>
    <row r="731" spans="1:2">
      <c r="A731" s="211" t="s">
        <v>1636</v>
      </c>
      <c r="B731" s="240" t="s">
        <v>697</v>
      </c>
    </row>
    <row r="732" spans="1:2">
      <c r="A732" s="211" t="s">
        <v>1637</v>
      </c>
      <c r="B732" s="240" t="s">
        <v>699</v>
      </c>
    </row>
    <row r="733" spans="1:2">
      <c r="A733" s="211" t="s">
        <v>1638</v>
      </c>
      <c r="B733" s="240" t="s">
        <v>1361</v>
      </c>
    </row>
    <row r="734" spans="1:2">
      <c r="A734" s="211" t="s">
        <v>1639</v>
      </c>
      <c r="B734" s="240" t="s">
        <v>455</v>
      </c>
    </row>
    <row r="735" spans="1:2">
      <c r="A735" s="211" t="s">
        <v>1640</v>
      </c>
      <c r="B735" s="240" t="s">
        <v>1641</v>
      </c>
    </row>
    <row r="736" spans="1:2">
      <c r="A736" s="211" t="s">
        <v>1642</v>
      </c>
      <c r="B736" s="240" t="s">
        <v>1643</v>
      </c>
    </row>
    <row r="737" spans="1:2">
      <c r="A737" s="211" t="s">
        <v>1644</v>
      </c>
      <c r="B737" s="240" t="s">
        <v>1645</v>
      </c>
    </row>
    <row r="738" spans="1:2">
      <c r="A738" s="211" t="s">
        <v>1646</v>
      </c>
      <c r="B738" s="240" t="s">
        <v>1647</v>
      </c>
    </row>
    <row r="739" spans="1:2">
      <c r="A739" s="211" t="s">
        <v>1648</v>
      </c>
      <c r="B739" s="240" t="s">
        <v>832</v>
      </c>
    </row>
    <row r="740" spans="1:2">
      <c r="A740" s="211" t="s">
        <v>1649</v>
      </c>
      <c r="B740" s="240" t="s">
        <v>1361</v>
      </c>
    </row>
    <row r="741" spans="1:2">
      <c r="A741" s="211" t="s">
        <v>1650</v>
      </c>
      <c r="B741" s="240" t="s">
        <v>455</v>
      </c>
    </row>
    <row r="742" spans="1:2">
      <c r="A742" s="211" t="s">
        <v>1651</v>
      </c>
      <c r="B742" s="240" t="s">
        <v>1652</v>
      </c>
    </row>
    <row r="743" spans="1:2">
      <c r="A743" s="211" t="s">
        <v>1653</v>
      </c>
      <c r="B743" s="240" t="s">
        <v>1654</v>
      </c>
    </row>
    <row r="744" spans="1:2">
      <c r="A744" s="211" t="s">
        <v>1655</v>
      </c>
      <c r="B744" s="240" t="s">
        <v>1656</v>
      </c>
    </row>
    <row r="745" spans="1:2">
      <c r="A745" s="211" t="s">
        <v>1657</v>
      </c>
      <c r="B745" s="240" t="s">
        <v>1608</v>
      </c>
    </row>
    <row r="746" spans="1:2">
      <c r="A746" s="211" t="s">
        <v>1658</v>
      </c>
      <c r="B746" s="240" t="s">
        <v>1659</v>
      </c>
    </row>
    <row r="747" spans="1:2">
      <c r="A747" s="211" t="s">
        <v>1660</v>
      </c>
      <c r="B747" s="240" t="s">
        <v>1661</v>
      </c>
    </row>
    <row r="748" spans="1:2">
      <c r="A748" s="211" t="s">
        <v>1662</v>
      </c>
      <c r="B748" s="240" t="s">
        <v>1663</v>
      </c>
    </row>
    <row r="749" spans="1:2">
      <c r="A749" s="211" t="s">
        <v>1664</v>
      </c>
      <c r="B749" s="240" t="s">
        <v>1665</v>
      </c>
    </row>
    <row r="750" spans="1:2">
      <c r="A750" s="211" t="s">
        <v>1666</v>
      </c>
      <c r="B750" s="240" t="s">
        <v>1667</v>
      </c>
    </row>
    <row r="751" spans="1:2">
      <c r="A751" s="211" t="s">
        <v>1668</v>
      </c>
      <c r="B751" s="240" t="s">
        <v>697</v>
      </c>
    </row>
    <row r="752" spans="1:2">
      <c r="A752" s="211" t="s">
        <v>1669</v>
      </c>
      <c r="B752" s="240" t="s">
        <v>699</v>
      </c>
    </row>
    <row r="753" spans="1:2">
      <c r="A753" s="211" t="s">
        <v>1670</v>
      </c>
      <c r="B753" s="240" t="s">
        <v>1671</v>
      </c>
    </row>
    <row r="754" spans="1:2">
      <c r="A754" s="211" t="s">
        <v>1672</v>
      </c>
      <c r="B754" s="240" t="s">
        <v>1361</v>
      </c>
    </row>
    <row r="755" spans="1:2">
      <c r="A755" s="211" t="s">
        <v>1673</v>
      </c>
      <c r="B755" s="240" t="s">
        <v>455</v>
      </c>
    </row>
    <row r="756" spans="1:2">
      <c r="A756" s="211" t="s">
        <v>1674</v>
      </c>
      <c r="B756" s="240" t="s">
        <v>1675</v>
      </c>
    </row>
    <row r="757" spans="1:2">
      <c r="A757" s="211" t="s">
        <v>1676</v>
      </c>
      <c r="B757" s="240" t="s">
        <v>1677</v>
      </c>
    </row>
    <row r="758" spans="1:2">
      <c r="A758" s="211" t="s">
        <v>1678</v>
      </c>
      <c r="B758" s="240" t="s">
        <v>1361</v>
      </c>
    </row>
    <row r="759" spans="1:2">
      <c r="A759" s="211" t="s">
        <v>1679</v>
      </c>
      <c r="B759" s="240" t="s">
        <v>455</v>
      </c>
    </row>
    <row r="760" spans="1:2">
      <c r="A760" s="211" t="s">
        <v>1680</v>
      </c>
      <c r="B760" s="241" t="s">
        <v>1681</v>
      </c>
    </row>
    <row r="761" spans="1:2">
      <c r="A761" s="211" t="s">
        <v>1682</v>
      </c>
      <c r="B761" s="240" t="s">
        <v>1683</v>
      </c>
    </row>
    <row r="762" spans="1:2">
      <c r="A762" s="211" t="s">
        <v>1684</v>
      </c>
      <c r="B762" s="240" t="s">
        <v>1685</v>
      </c>
    </row>
    <row r="763" spans="1:2">
      <c r="A763" s="211" t="s">
        <v>1686</v>
      </c>
      <c r="B763" s="240" t="s">
        <v>1608</v>
      </c>
    </row>
    <row r="764" spans="1:2">
      <c r="A764" s="211" t="s">
        <v>1687</v>
      </c>
      <c r="B764" s="240" t="s">
        <v>1688</v>
      </c>
    </row>
    <row r="765" spans="1:2">
      <c r="A765" s="211" t="s">
        <v>1689</v>
      </c>
      <c r="B765" s="240" t="s">
        <v>1610</v>
      </c>
    </row>
    <row r="766" spans="1:2">
      <c r="A766" s="211" t="s">
        <v>1690</v>
      </c>
      <c r="B766" s="240" t="s">
        <v>1691</v>
      </c>
    </row>
    <row r="767" spans="1:2">
      <c r="A767" s="211" t="s">
        <v>1692</v>
      </c>
      <c r="B767" s="240" t="s">
        <v>1693</v>
      </c>
    </row>
    <row r="768" spans="1:2">
      <c r="A768" s="211" t="s">
        <v>1694</v>
      </c>
      <c r="B768" s="240" t="s">
        <v>1695</v>
      </c>
    </row>
    <row r="769" spans="1:2">
      <c r="A769" s="211" t="s">
        <v>1696</v>
      </c>
      <c r="B769" s="240" t="s">
        <v>1697</v>
      </c>
    </row>
    <row r="770" spans="1:2">
      <c r="A770" s="211" t="s">
        <v>1698</v>
      </c>
      <c r="B770" s="240" t="s">
        <v>1699</v>
      </c>
    </row>
    <row r="771" spans="1:2">
      <c r="A771" s="211" t="s">
        <v>1700</v>
      </c>
      <c r="B771" s="240" t="s">
        <v>697</v>
      </c>
    </row>
    <row r="772" spans="1:2">
      <c r="A772" s="211" t="s">
        <v>1701</v>
      </c>
      <c r="B772" s="240" t="s">
        <v>699</v>
      </c>
    </row>
    <row r="773" spans="1:2">
      <c r="A773" s="211" t="s">
        <v>1702</v>
      </c>
      <c r="B773" s="240" t="s">
        <v>475</v>
      </c>
    </row>
    <row r="774" spans="1:2">
      <c r="A774" s="211" t="s">
        <v>1703</v>
      </c>
      <c r="B774" s="240" t="s">
        <v>455</v>
      </c>
    </row>
    <row r="775" spans="1:2">
      <c r="A775" s="211" t="s">
        <v>1704</v>
      </c>
      <c r="B775" s="241" t="s">
        <v>1705</v>
      </c>
    </row>
    <row r="776" spans="1:2">
      <c r="A776" s="211" t="s">
        <v>1706</v>
      </c>
      <c r="B776" s="240" t="s">
        <v>1707</v>
      </c>
    </row>
    <row r="777" spans="1:2">
      <c r="A777" s="211" t="s">
        <v>1708</v>
      </c>
      <c r="B777" s="240" t="s">
        <v>1709</v>
      </c>
    </row>
    <row r="778" spans="1:2">
      <c r="A778" s="211" t="s">
        <v>1710</v>
      </c>
      <c r="B778" s="240" t="s">
        <v>1608</v>
      </c>
    </row>
    <row r="779" spans="1:2">
      <c r="A779" s="211" t="s">
        <v>1711</v>
      </c>
      <c r="B779" s="240" t="s">
        <v>1610</v>
      </c>
    </row>
    <row r="780" spans="1:2">
      <c r="A780" s="211" t="s">
        <v>1712</v>
      </c>
      <c r="B780" s="240" t="s">
        <v>1691</v>
      </c>
    </row>
    <row r="781" spans="1:2">
      <c r="A781" s="211" t="s">
        <v>1713</v>
      </c>
      <c r="B781" s="240" t="s">
        <v>1714</v>
      </c>
    </row>
    <row r="782" spans="1:2">
      <c r="A782" s="211" t="s">
        <v>1715</v>
      </c>
      <c r="B782" s="240" t="s">
        <v>1716</v>
      </c>
    </row>
    <row r="783" spans="1:2">
      <c r="A783" s="211" t="s">
        <v>1717</v>
      </c>
      <c r="B783" s="240" t="s">
        <v>697</v>
      </c>
    </row>
    <row r="784" spans="1:2">
      <c r="A784" s="211" t="s">
        <v>1718</v>
      </c>
      <c r="B784" s="240" t="s">
        <v>699</v>
      </c>
    </row>
    <row r="785" spans="1:2">
      <c r="A785" s="211" t="s">
        <v>1719</v>
      </c>
      <c r="B785" s="240" t="s">
        <v>1720</v>
      </c>
    </row>
    <row r="786" spans="1:2">
      <c r="A786" s="211" t="s">
        <v>1721</v>
      </c>
      <c r="B786" s="240" t="s">
        <v>1361</v>
      </c>
    </row>
    <row r="787" spans="1:2">
      <c r="A787" s="211" t="s">
        <v>1722</v>
      </c>
      <c r="B787" s="240" t="s">
        <v>455</v>
      </c>
    </row>
    <row r="788" spans="1:2">
      <c r="A788" s="211" t="s">
        <v>1723</v>
      </c>
      <c r="B788" s="241" t="s">
        <v>1724</v>
      </c>
    </row>
    <row r="789" spans="1:2">
      <c r="A789" s="211" t="s">
        <v>1725</v>
      </c>
      <c r="B789" s="240" t="s">
        <v>1726</v>
      </c>
    </row>
    <row r="790" spans="1:2">
      <c r="A790" s="211" t="s">
        <v>1727</v>
      </c>
      <c r="B790" s="240" t="s">
        <v>1728</v>
      </c>
    </row>
    <row r="791" spans="1:2">
      <c r="A791" s="211" t="s">
        <v>1729</v>
      </c>
      <c r="B791" s="240" t="s">
        <v>1730</v>
      </c>
    </row>
    <row r="792" spans="1:2">
      <c r="A792" s="211" t="s">
        <v>1731</v>
      </c>
      <c r="B792" s="240" t="s">
        <v>1732</v>
      </c>
    </row>
    <row r="793" spans="1:2">
      <c r="A793" s="211" t="s">
        <v>1733</v>
      </c>
      <c r="B793" s="240" t="s">
        <v>1734</v>
      </c>
    </row>
    <row r="794" spans="1:2">
      <c r="A794" s="211" t="s">
        <v>1735</v>
      </c>
      <c r="B794" s="240" t="s">
        <v>1736</v>
      </c>
    </row>
    <row r="795" spans="1:2">
      <c r="A795" s="211" t="s">
        <v>1737</v>
      </c>
      <c r="B795" s="240" t="s">
        <v>1738</v>
      </c>
    </row>
    <row r="796" spans="1:2">
      <c r="A796" s="211" t="s">
        <v>1739</v>
      </c>
      <c r="B796" s="240" t="s">
        <v>1610</v>
      </c>
    </row>
    <row r="797" spans="1:2">
      <c r="A797" s="211" t="s">
        <v>1740</v>
      </c>
      <c r="B797" s="240" t="s">
        <v>1741</v>
      </c>
    </row>
    <row r="798" spans="1:2">
      <c r="A798" s="211" t="s">
        <v>1742</v>
      </c>
      <c r="B798" s="240" t="s">
        <v>1693</v>
      </c>
    </row>
    <row r="799" spans="1:2">
      <c r="A799" s="211" t="s">
        <v>1743</v>
      </c>
      <c r="B799" s="240" t="s">
        <v>1744</v>
      </c>
    </row>
    <row r="800" spans="1:2">
      <c r="A800" s="211" t="s">
        <v>1745</v>
      </c>
      <c r="B800" s="240" t="s">
        <v>1746</v>
      </c>
    </row>
    <row r="801" spans="1:2">
      <c r="A801" s="211" t="s">
        <v>1747</v>
      </c>
      <c r="B801" s="240" t="s">
        <v>1748</v>
      </c>
    </row>
    <row r="802" spans="1:2">
      <c r="A802" s="211" t="s">
        <v>1749</v>
      </c>
      <c r="B802" s="240" t="s">
        <v>1750</v>
      </c>
    </row>
    <row r="803" spans="1:2">
      <c r="A803" s="211" t="s">
        <v>1751</v>
      </c>
      <c r="B803" s="240" t="s">
        <v>1752</v>
      </c>
    </row>
    <row r="804" spans="1:2">
      <c r="A804" s="211" t="s">
        <v>1753</v>
      </c>
      <c r="B804" s="240" t="s">
        <v>1754</v>
      </c>
    </row>
    <row r="805" spans="1:2">
      <c r="A805" s="211" t="s">
        <v>1755</v>
      </c>
      <c r="B805" s="240" t="s">
        <v>1756</v>
      </c>
    </row>
    <row r="806" spans="1:2">
      <c r="A806" s="211" t="s">
        <v>1757</v>
      </c>
      <c r="B806" s="240" t="s">
        <v>1094</v>
      </c>
    </row>
    <row r="807" spans="1:2">
      <c r="A807" s="211" t="s">
        <v>1758</v>
      </c>
      <c r="B807" s="240" t="s">
        <v>1759</v>
      </c>
    </row>
    <row r="808" spans="1:2">
      <c r="A808" s="211" t="s">
        <v>1760</v>
      </c>
      <c r="B808" s="240" t="s">
        <v>1761</v>
      </c>
    </row>
    <row r="809" spans="1:2">
      <c r="A809" s="211" t="s">
        <v>1762</v>
      </c>
      <c r="B809" s="240" t="s">
        <v>1763</v>
      </c>
    </row>
    <row r="810" spans="1:2">
      <c r="A810" s="211" t="s">
        <v>1764</v>
      </c>
      <c r="B810" s="240" t="s">
        <v>697</v>
      </c>
    </row>
    <row r="811" spans="1:2">
      <c r="A811" s="211" t="s">
        <v>1765</v>
      </c>
      <c r="B811" s="240" t="s">
        <v>699</v>
      </c>
    </row>
    <row r="812" spans="1:2">
      <c r="A812" s="211" t="s">
        <v>1766</v>
      </c>
      <c r="B812" s="240" t="s">
        <v>475</v>
      </c>
    </row>
    <row r="813" spans="1:2">
      <c r="A813" s="211" t="s">
        <v>1767</v>
      </c>
      <c r="B813" s="240" t="s">
        <v>455</v>
      </c>
    </row>
    <row r="814" spans="1:2">
      <c r="A814" s="211" t="s">
        <v>1768</v>
      </c>
      <c r="B814" s="241" t="s">
        <v>1769</v>
      </c>
    </row>
    <row r="815" spans="1:2">
      <c r="A815" s="211" t="s">
        <v>1770</v>
      </c>
      <c r="B815" s="240" t="s">
        <v>1771</v>
      </c>
    </row>
    <row r="816" spans="1:2">
      <c r="A816" s="211" t="s">
        <v>1772</v>
      </c>
      <c r="B816" s="240" t="s">
        <v>1773</v>
      </c>
    </row>
    <row r="817" spans="1:2">
      <c r="A817" s="211" t="s">
        <v>1774</v>
      </c>
      <c r="B817" s="240" t="s">
        <v>1775</v>
      </c>
    </row>
    <row r="818" spans="1:2">
      <c r="A818" s="211" t="s">
        <v>1776</v>
      </c>
      <c r="B818" s="240" t="s">
        <v>667</v>
      </c>
    </row>
    <row r="819" spans="1:2">
      <c r="A819" s="211" t="s">
        <v>1777</v>
      </c>
      <c r="B819" s="240" t="s">
        <v>1778</v>
      </c>
    </row>
    <row r="820" spans="1:2">
      <c r="A820" s="211" t="s">
        <v>1779</v>
      </c>
      <c r="B820" s="240" t="s">
        <v>473</v>
      </c>
    </row>
    <row r="821" spans="1:2">
      <c r="A821" s="211" t="s">
        <v>1780</v>
      </c>
      <c r="B821" s="240" t="s">
        <v>1361</v>
      </c>
    </row>
    <row r="822" spans="1:2">
      <c r="A822" s="211" t="s">
        <v>1781</v>
      </c>
      <c r="B822" s="240" t="s">
        <v>455</v>
      </c>
    </row>
    <row r="823" spans="1:2">
      <c r="A823" s="211" t="s">
        <v>1782</v>
      </c>
      <c r="B823" s="241" t="s">
        <v>1783</v>
      </c>
    </row>
    <row r="824" spans="1:2">
      <c r="A824" s="211" t="s">
        <v>1784</v>
      </c>
      <c r="B824" s="240" t="s">
        <v>1785</v>
      </c>
    </row>
    <row r="825" spans="1:2">
      <c r="A825" s="211" t="s">
        <v>1786</v>
      </c>
      <c r="B825" s="240" t="s">
        <v>1787</v>
      </c>
    </row>
    <row r="826" spans="1:2">
      <c r="A826" s="211" t="s">
        <v>1788</v>
      </c>
      <c r="B826" s="240" t="s">
        <v>1789</v>
      </c>
    </row>
    <row r="827" spans="1:2">
      <c r="A827" s="211" t="s">
        <v>1790</v>
      </c>
      <c r="B827" s="240" t="s">
        <v>1791</v>
      </c>
    </row>
    <row r="828" spans="1:2">
      <c r="A828" s="211" t="s">
        <v>1792</v>
      </c>
      <c r="B828" s="240" t="s">
        <v>1793</v>
      </c>
    </row>
    <row r="829" spans="1:2">
      <c r="A829" s="211" t="s">
        <v>1794</v>
      </c>
      <c r="B829" s="240" t="s">
        <v>475</v>
      </c>
    </row>
    <row r="830" spans="1:2">
      <c r="A830" s="211" t="s">
        <v>1795</v>
      </c>
      <c r="B830" s="240" t="s">
        <v>455</v>
      </c>
    </row>
    <row r="831" spans="1:2">
      <c r="A831" s="211" t="s">
        <v>1796</v>
      </c>
      <c r="B831" s="241" t="s">
        <v>477</v>
      </c>
    </row>
    <row r="832" spans="1:2">
      <c r="A832" s="211" t="s">
        <v>1797</v>
      </c>
      <c r="B832" s="241" t="s">
        <v>1798</v>
      </c>
    </row>
    <row r="833" spans="1:2">
      <c r="A833" s="211" t="s">
        <v>1799</v>
      </c>
      <c r="B833" s="241" t="s">
        <v>4512</v>
      </c>
    </row>
    <row r="834" spans="1:2">
      <c r="A834" s="211" t="s">
        <v>1800</v>
      </c>
      <c r="B834" s="241" t="s">
        <v>1801</v>
      </c>
    </row>
    <row r="835" spans="1:2">
      <c r="A835" s="211" t="s">
        <v>1802</v>
      </c>
      <c r="B835" s="241" t="s">
        <v>477</v>
      </c>
    </row>
    <row r="836" spans="1:2">
      <c r="A836" s="211" t="s">
        <v>1803</v>
      </c>
      <c r="B836" s="240" t="s">
        <v>1804</v>
      </c>
    </row>
    <row r="837" spans="1:2">
      <c r="A837" s="211" t="s">
        <v>1805</v>
      </c>
      <c r="B837" s="240" t="s">
        <v>1806</v>
      </c>
    </row>
    <row r="838" spans="1:2">
      <c r="A838" s="211" t="s">
        <v>1807</v>
      </c>
      <c r="B838" s="240" t="s">
        <v>1808</v>
      </c>
    </row>
    <row r="839" spans="1:2">
      <c r="A839" s="211" t="s">
        <v>1809</v>
      </c>
      <c r="B839" s="240" t="s">
        <v>1810</v>
      </c>
    </row>
    <row r="840" spans="1:2">
      <c r="A840" s="211" t="s">
        <v>1811</v>
      </c>
      <c r="B840" s="240" t="s">
        <v>1812</v>
      </c>
    </row>
    <row r="841" spans="1:2">
      <c r="A841" s="211" t="s">
        <v>1813</v>
      </c>
      <c r="B841" s="240" t="s">
        <v>1814</v>
      </c>
    </row>
    <row r="842" spans="1:2">
      <c r="A842" s="211" t="s">
        <v>1815</v>
      </c>
      <c r="B842" s="240" t="s">
        <v>1816</v>
      </c>
    </row>
    <row r="843" spans="1:2">
      <c r="A843" s="211" t="s">
        <v>1817</v>
      </c>
      <c r="B843" s="240" t="s">
        <v>1818</v>
      </c>
    </row>
    <row r="844" spans="1:2">
      <c r="A844" s="211" t="s">
        <v>1819</v>
      </c>
      <c r="B844" s="240" t="s">
        <v>455</v>
      </c>
    </row>
    <row r="845" spans="1:2">
      <c r="A845" s="211" t="s">
        <v>1820</v>
      </c>
      <c r="B845" s="240" t="s">
        <v>1821</v>
      </c>
    </row>
    <row r="846" spans="1:2">
      <c r="A846" s="211" t="s">
        <v>1822</v>
      </c>
      <c r="B846" s="240" t="s">
        <v>1823</v>
      </c>
    </row>
    <row r="847" spans="1:2">
      <c r="A847" s="211" t="s">
        <v>1824</v>
      </c>
      <c r="B847" s="240" t="s">
        <v>1825</v>
      </c>
    </row>
    <row r="848" spans="1:2">
      <c r="A848" s="211" t="s">
        <v>1826</v>
      </c>
      <c r="B848" s="240" t="s">
        <v>1827</v>
      </c>
    </row>
    <row r="849" spans="1:2">
      <c r="A849" s="211" t="s">
        <v>1828</v>
      </c>
      <c r="B849" s="240" t="s">
        <v>1829</v>
      </c>
    </row>
    <row r="850" spans="1:2">
      <c r="A850" s="211" t="s">
        <v>1830</v>
      </c>
      <c r="B850" s="240" t="s">
        <v>1831</v>
      </c>
    </row>
    <row r="851" spans="1:2">
      <c r="A851" s="211" t="s">
        <v>1832</v>
      </c>
      <c r="B851" s="240" t="s">
        <v>4513</v>
      </c>
    </row>
    <row r="852" spans="1:2">
      <c r="A852" s="211" t="s">
        <v>1833</v>
      </c>
      <c r="B852" s="240" t="s">
        <v>1834</v>
      </c>
    </row>
    <row r="853" spans="1:2">
      <c r="A853" s="211" t="s">
        <v>1835</v>
      </c>
      <c r="B853" s="240" t="s">
        <v>1836</v>
      </c>
    </row>
    <row r="854" spans="1:2">
      <c r="A854" s="211" t="s">
        <v>1837</v>
      </c>
      <c r="B854" s="240" t="s">
        <v>1838</v>
      </c>
    </row>
    <row r="855" spans="1:2">
      <c r="A855" s="211" t="s">
        <v>1839</v>
      </c>
      <c r="B855" s="240" t="s">
        <v>1840</v>
      </c>
    </row>
    <row r="856" spans="1:2">
      <c r="A856" s="211" t="s">
        <v>1841</v>
      </c>
      <c r="B856" s="240" t="s">
        <v>1842</v>
      </c>
    </row>
    <row r="857" spans="1:2">
      <c r="A857" s="211" t="s">
        <v>1843</v>
      </c>
      <c r="B857" s="240" t="s">
        <v>1844</v>
      </c>
    </row>
    <row r="858" spans="1:2">
      <c r="A858" s="211" t="s">
        <v>1845</v>
      </c>
      <c r="B858" s="240" t="s">
        <v>1846</v>
      </c>
    </row>
    <row r="859" spans="1:2">
      <c r="A859" s="211" t="s">
        <v>1847</v>
      </c>
      <c r="B859" s="240" t="s">
        <v>1848</v>
      </c>
    </row>
    <row r="860" spans="1:2">
      <c r="A860" s="211" t="s">
        <v>1849</v>
      </c>
      <c r="B860" s="240" t="s">
        <v>1850</v>
      </c>
    </row>
    <row r="861" spans="1:2">
      <c r="A861" s="211" t="s">
        <v>1851</v>
      </c>
      <c r="B861" s="240" t="s">
        <v>1852</v>
      </c>
    </row>
    <row r="862" spans="1:2">
      <c r="A862" s="211" t="s">
        <v>1853</v>
      </c>
      <c r="B862" s="240" t="s">
        <v>1854</v>
      </c>
    </row>
    <row r="863" spans="1:2">
      <c r="A863" s="211" t="s">
        <v>1855</v>
      </c>
      <c r="B863" s="240" t="s">
        <v>697</v>
      </c>
    </row>
    <row r="864" spans="1:2">
      <c r="A864" s="211" t="s">
        <v>1856</v>
      </c>
      <c r="B864" s="240" t="s">
        <v>1857</v>
      </c>
    </row>
    <row r="865" spans="1:2">
      <c r="A865" s="211" t="s">
        <v>1858</v>
      </c>
      <c r="B865" s="240" t="s">
        <v>1859</v>
      </c>
    </row>
    <row r="866" spans="1:2">
      <c r="A866" s="211" t="s">
        <v>1860</v>
      </c>
      <c r="B866" s="240" t="s">
        <v>1861</v>
      </c>
    </row>
    <row r="867" spans="1:2">
      <c r="A867" s="211" t="s">
        <v>1862</v>
      </c>
      <c r="B867" s="240" t="s">
        <v>1863</v>
      </c>
    </row>
    <row r="868" spans="1:2">
      <c r="A868" s="211" t="s">
        <v>1864</v>
      </c>
      <c r="B868" s="240" t="s">
        <v>697</v>
      </c>
    </row>
    <row r="869" spans="1:2">
      <c r="A869" s="211" t="s">
        <v>1865</v>
      </c>
      <c r="B869" s="240" t="s">
        <v>1866</v>
      </c>
    </row>
    <row r="870" spans="1:2">
      <c r="A870" s="211" t="s">
        <v>1867</v>
      </c>
      <c r="B870" s="240" t="s">
        <v>1868</v>
      </c>
    </row>
    <row r="871" spans="1:2">
      <c r="A871" s="211" t="s">
        <v>1869</v>
      </c>
      <c r="B871" s="240" t="s">
        <v>1870</v>
      </c>
    </row>
    <row r="872" spans="1:2">
      <c r="A872" s="211" t="s">
        <v>1871</v>
      </c>
      <c r="B872" s="240" t="s">
        <v>697</v>
      </c>
    </row>
    <row r="873" spans="1:2">
      <c r="A873" s="211" t="s">
        <v>1872</v>
      </c>
      <c r="B873" s="240" t="s">
        <v>1357</v>
      </c>
    </row>
    <row r="874" spans="1:2">
      <c r="A874" s="211" t="s">
        <v>1873</v>
      </c>
      <c r="B874" s="240" t="s">
        <v>455</v>
      </c>
    </row>
    <row r="875" spans="1:2">
      <c r="A875" s="211" t="s">
        <v>1874</v>
      </c>
      <c r="B875" s="240" t="s">
        <v>1875</v>
      </c>
    </row>
    <row r="876" spans="1:2">
      <c r="A876" s="211" t="s">
        <v>1876</v>
      </c>
      <c r="B876" s="240" t="s">
        <v>4514</v>
      </c>
    </row>
    <row r="877" spans="1:2">
      <c r="A877" s="211" t="s">
        <v>1877</v>
      </c>
      <c r="B877" s="240" t="s">
        <v>1878</v>
      </c>
    </row>
    <row r="878" spans="1:2">
      <c r="A878" s="211" t="s">
        <v>1879</v>
      </c>
      <c r="B878" s="240" t="s">
        <v>1880</v>
      </c>
    </row>
    <row r="879" spans="1:2">
      <c r="A879" s="211" t="s">
        <v>1881</v>
      </c>
      <c r="B879" s="240" t="s">
        <v>832</v>
      </c>
    </row>
    <row r="880" spans="1:2">
      <c r="A880" s="211" t="s">
        <v>1882</v>
      </c>
      <c r="B880" s="240" t="s">
        <v>1883</v>
      </c>
    </row>
    <row r="881" spans="1:2">
      <c r="A881" s="211" t="s">
        <v>1884</v>
      </c>
      <c r="B881" s="240" t="s">
        <v>1885</v>
      </c>
    </row>
    <row r="882" spans="1:2">
      <c r="A882" s="211" t="s">
        <v>1886</v>
      </c>
      <c r="B882" s="240" t="s">
        <v>1887</v>
      </c>
    </row>
    <row r="883" spans="1:2">
      <c r="A883" s="211" t="s">
        <v>1888</v>
      </c>
      <c r="B883" s="240" t="s">
        <v>1889</v>
      </c>
    </row>
    <row r="884" spans="1:2">
      <c r="A884" s="211" t="s">
        <v>1890</v>
      </c>
      <c r="B884" s="240" t="s">
        <v>473</v>
      </c>
    </row>
    <row r="885" spans="1:2">
      <c r="A885" s="211" t="s">
        <v>1891</v>
      </c>
      <c r="B885" s="240" t="s">
        <v>1892</v>
      </c>
    </row>
    <row r="886" spans="1:2">
      <c r="A886" s="211" t="s">
        <v>1893</v>
      </c>
      <c r="B886" s="240" t="s">
        <v>1894</v>
      </c>
    </row>
    <row r="887" spans="1:2">
      <c r="A887" s="211" t="s">
        <v>1895</v>
      </c>
      <c r="B887" s="240" t="s">
        <v>1896</v>
      </c>
    </row>
    <row r="888" spans="1:2">
      <c r="A888" s="211" t="s">
        <v>1897</v>
      </c>
      <c r="B888" s="240" t="s">
        <v>1898</v>
      </c>
    </row>
    <row r="889" spans="1:2">
      <c r="A889" s="211" t="s">
        <v>1899</v>
      </c>
      <c r="B889" s="240" t="s">
        <v>1361</v>
      </c>
    </row>
    <row r="890" spans="1:2">
      <c r="A890" s="211" t="s">
        <v>1900</v>
      </c>
      <c r="B890" s="240" t="s">
        <v>455</v>
      </c>
    </row>
    <row r="891" spans="1:2">
      <c r="A891" s="211" t="s">
        <v>1901</v>
      </c>
      <c r="B891" s="240" t="s">
        <v>1902</v>
      </c>
    </row>
    <row r="892" spans="1:2">
      <c r="A892" s="211" t="s">
        <v>1903</v>
      </c>
      <c r="B892" s="240" t="s">
        <v>1904</v>
      </c>
    </row>
    <row r="893" spans="1:2">
      <c r="A893" s="211" t="s">
        <v>1905</v>
      </c>
      <c r="B893" s="240" t="s">
        <v>1906</v>
      </c>
    </row>
    <row r="894" spans="1:2">
      <c r="A894" s="211" t="s">
        <v>1907</v>
      </c>
      <c r="B894" s="240" t="s">
        <v>1908</v>
      </c>
    </row>
    <row r="895" spans="1:2">
      <c r="A895" s="211" t="s">
        <v>1909</v>
      </c>
      <c r="B895" s="240" t="s">
        <v>1910</v>
      </c>
    </row>
    <row r="896" spans="1:2">
      <c r="A896" s="211" t="s">
        <v>1911</v>
      </c>
      <c r="B896" s="240" t="s">
        <v>1912</v>
      </c>
    </row>
    <row r="897" spans="1:2">
      <c r="A897" s="211" t="s">
        <v>1913</v>
      </c>
      <c r="B897" s="240" t="s">
        <v>1361</v>
      </c>
    </row>
    <row r="898" spans="1:2">
      <c r="A898" s="211" t="s">
        <v>1914</v>
      </c>
      <c r="B898" s="240" t="s">
        <v>455</v>
      </c>
    </row>
    <row r="899" spans="1:2">
      <c r="A899" s="211" t="s">
        <v>1915</v>
      </c>
      <c r="B899" s="241" t="s">
        <v>1916</v>
      </c>
    </row>
    <row r="900" spans="1:2">
      <c r="A900" s="211" t="s">
        <v>1917</v>
      </c>
      <c r="B900" s="240" t="s">
        <v>1918</v>
      </c>
    </row>
    <row r="901" spans="1:2">
      <c r="A901" s="211" t="s">
        <v>1919</v>
      </c>
      <c r="B901" s="240" t="s">
        <v>1920</v>
      </c>
    </row>
    <row r="902" spans="1:2">
      <c r="A902" s="211" t="s">
        <v>1921</v>
      </c>
      <c r="B902" s="240" t="s">
        <v>1922</v>
      </c>
    </row>
    <row r="903" spans="1:2">
      <c r="A903" s="211" t="s">
        <v>1923</v>
      </c>
      <c r="B903" s="240" t="s">
        <v>1924</v>
      </c>
    </row>
    <row r="904" spans="1:2">
      <c r="A904" s="211" t="s">
        <v>1925</v>
      </c>
      <c r="B904" s="240" t="s">
        <v>1926</v>
      </c>
    </row>
    <row r="905" spans="1:2">
      <c r="A905" s="211" t="s">
        <v>1927</v>
      </c>
      <c r="B905" s="240" t="s">
        <v>1928</v>
      </c>
    </row>
    <row r="906" spans="1:2">
      <c r="A906" s="211" t="s">
        <v>1929</v>
      </c>
      <c r="B906" s="240" t="s">
        <v>1930</v>
      </c>
    </row>
    <row r="907" spans="1:2">
      <c r="A907" s="211" t="s">
        <v>1931</v>
      </c>
      <c r="B907" s="240" t="s">
        <v>1932</v>
      </c>
    </row>
    <row r="908" spans="1:2">
      <c r="A908" s="211" t="s">
        <v>1933</v>
      </c>
      <c r="B908" s="240" t="s">
        <v>1934</v>
      </c>
    </row>
    <row r="909" spans="1:2">
      <c r="A909" s="211" t="s">
        <v>1935</v>
      </c>
      <c r="B909" s="240" t="s">
        <v>1936</v>
      </c>
    </row>
    <row r="910" spans="1:2">
      <c r="A910" s="211" t="s">
        <v>1937</v>
      </c>
      <c r="B910" s="240" t="s">
        <v>985</v>
      </c>
    </row>
    <row r="911" spans="1:2">
      <c r="A911" s="211" t="s">
        <v>1938</v>
      </c>
      <c r="B911" s="240" t="s">
        <v>686</v>
      </c>
    </row>
    <row r="912" spans="1:2">
      <c r="A912" s="211" t="s">
        <v>1939</v>
      </c>
      <c r="B912" s="240" t="s">
        <v>697</v>
      </c>
    </row>
    <row r="913" spans="1:2">
      <c r="A913" s="211" t="s">
        <v>1940</v>
      </c>
      <c r="B913" s="240" t="s">
        <v>832</v>
      </c>
    </row>
    <row r="914" spans="1:2">
      <c r="A914" s="211" t="s">
        <v>1941</v>
      </c>
      <c r="B914" s="240" t="s">
        <v>1942</v>
      </c>
    </row>
    <row r="915" spans="1:2">
      <c r="A915" s="211" t="s">
        <v>1943</v>
      </c>
      <c r="B915" s="240" t="s">
        <v>1944</v>
      </c>
    </row>
    <row r="916" spans="1:2">
      <c r="A916" s="211" t="s">
        <v>1945</v>
      </c>
      <c r="B916" s="240" t="s">
        <v>1946</v>
      </c>
    </row>
    <row r="917" spans="1:2">
      <c r="A917" s="211" t="s">
        <v>1947</v>
      </c>
      <c r="B917" s="240" t="s">
        <v>697</v>
      </c>
    </row>
    <row r="918" spans="1:2">
      <c r="A918" s="211" t="s">
        <v>1948</v>
      </c>
      <c r="B918" s="240" t="s">
        <v>473</v>
      </c>
    </row>
    <row r="919" spans="1:2">
      <c r="A919" s="211" t="s">
        <v>1949</v>
      </c>
      <c r="B919" s="240" t="s">
        <v>1950</v>
      </c>
    </row>
    <row r="920" spans="1:2">
      <c r="A920" s="211" t="s">
        <v>1951</v>
      </c>
      <c r="B920" s="240" t="s">
        <v>1361</v>
      </c>
    </row>
    <row r="921" spans="1:2">
      <c r="A921" s="211" t="s">
        <v>1952</v>
      </c>
      <c r="B921" s="240" t="s">
        <v>455</v>
      </c>
    </row>
    <row r="922" spans="1:2">
      <c r="A922" s="211" t="s">
        <v>1953</v>
      </c>
      <c r="B922" s="240" t="s">
        <v>1954</v>
      </c>
    </row>
    <row r="923" spans="1:2">
      <c r="A923" s="211" t="s">
        <v>1955</v>
      </c>
      <c r="B923" s="240" t="s">
        <v>1956</v>
      </c>
    </row>
    <row r="924" spans="1:2">
      <c r="A924" s="211" t="s">
        <v>1957</v>
      </c>
      <c r="B924" s="240" t="s">
        <v>1958</v>
      </c>
    </row>
    <row r="925" spans="1:2">
      <c r="A925" s="211" t="s">
        <v>1959</v>
      </c>
      <c r="B925" s="240" t="s">
        <v>1361</v>
      </c>
    </row>
    <row r="926" spans="1:2">
      <c r="A926" s="211" t="s">
        <v>1960</v>
      </c>
      <c r="B926" s="240" t="s">
        <v>455</v>
      </c>
    </row>
    <row r="927" spans="1:2">
      <c r="A927" s="211" t="s">
        <v>1961</v>
      </c>
      <c r="B927" s="241" t="s">
        <v>477</v>
      </c>
    </row>
    <row r="928" spans="1:2">
      <c r="A928" s="211" t="s">
        <v>1962</v>
      </c>
      <c r="B928" s="241" t="s">
        <v>1963</v>
      </c>
    </row>
    <row r="929" spans="1:2">
      <c r="A929" s="211" t="s">
        <v>1964</v>
      </c>
      <c r="B929" s="241" t="s">
        <v>4515</v>
      </c>
    </row>
    <row r="930" spans="1:2">
      <c r="A930" s="211" t="s">
        <v>1965</v>
      </c>
      <c r="B930" s="241" t="s">
        <v>1966</v>
      </c>
    </row>
    <row r="931" spans="1:2">
      <c r="A931" s="211" t="s">
        <v>1967</v>
      </c>
      <c r="B931" s="241" t="s">
        <v>1968</v>
      </c>
    </row>
    <row r="932" spans="1:2">
      <c r="A932" s="211" t="s">
        <v>1969</v>
      </c>
      <c r="B932" s="241" t="s">
        <v>477</v>
      </c>
    </row>
    <row r="933" spans="1:2">
      <c r="A933" s="211" t="s">
        <v>1970</v>
      </c>
      <c r="B933" s="240" t="s">
        <v>1971</v>
      </c>
    </row>
    <row r="934" spans="1:2">
      <c r="A934" s="211" t="s">
        <v>1972</v>
      </c>
      <c r="B934" s="240" t="s">
        <v>1973</v>
      </c>
    </row>
    <row r="935" spans="1:2">
      <c r="A935" s="211" t="s">
        <v>1974</v>
      </c>
      <c r="B935" s="240" t="s">
        <v>1975</v>
      </c>
    </row>
    <row r="936" spans="1:2">
      <c r="A936" s="211" t="s">
        <v>1976</v>
      </c>
      <c r="B936" s="240" t="s">
        <v>1977</v>
      </c>
    </row>
    <row r="937" spans="1:2">
      <c r="A937" s="211" t="s">
        <v>1978</v>
      </c>
      <c r="B937" s="240" t="s">
        <v>1979</v>
      </c>
    </row>
    <row r="938" spans="1:2">
      <c r="A938" s="211" t="s">
        <v>1980</v>
      </c>
      <c r="B938" s="240" t="s">
        <v>1981</v>
      </c>
    </row>
    <row r="939" spans="1:2">
      <c r="A939" s="211" t="s">
        <v>1982</v>
      </c>
      <c r="B939" s="240" t="s">
        <v>1983</v>
      </c>
    </row>
    <row r="940" spans="1:2">
      <c r="A940" s="211" t="s">
        <v>1984</v>
      </c>
      <c r="B940" s="240" t="s">
        <v>455</v>
      </c>
    </row>
    <row r="941" spans="1:2">
      <c r="A941" s="211" t="s">
        <v>1985</v>
      </c>
      <c r="B941" s="240" t="s">
        <v>1986</v>
      </c>
    </row>
    <row r="942" spans="1:2">
      <c r="A942" s="211" t="s">
        <v>1987</v>
      </c>
      <c r="B942" s="240" t="s">
        <v>4516</v>
      </c>
    </row>
    <row r="943" spans="1:2">
      <c r="A943" s="211" t="s">
        <v>1988</v>
      </c>
      <c r="B943" s="240" t="s">
        <v>1989</v>
      </c>
    </row>
    <row r="944" spans="1:2">
      <c r="A944" s="211" t="s">
        <v>1990</v>
      </c>
      <c r="B944" s="240" t="s">
        <v>1991</v>
      </c>
    </row>
    <row r="945" spans="1:2">
      <c r="A945" s="211" t="s">
        <v>1992</v>
      </c>
      <c r="B945" s="240" t="s">
        <v>1993</v>
      </c>
    </row>
    <row r="946" spans="1:2">
      <c r="A946" s="211" t="s">
        <v>1994</v>
      </c>
      <c r="B946" s="240" t="s">
        <v>455</v>
      </c>
    </row>
    <row r="947" spans="1:2">
      <c r="A947" s="211" t="s">
        <v>1995</v>
      </c>
      <c r="B947" s="240" t="s">
        <v>1996</v>
      </c>
    </row>
    <row r="948" spans="1:2">
      <c r="A948" s="211" t="s">
        <v>1997</v>
      </c>
      <c r="B948" s="240" t="s">
        <v>1998</v>
      </c>
    </row>
    <row r="949" spans="1:2">
      <c r="A949" s="211" t="s">
        <v>1999</v>
      </c>
      <c r="B949" s="240" t="s">
        <v>2000</v>
      </c>
    </row>
    <row r="950" spans="1:2">
      <c r="A950" s="211" t="s">
        <v>2001</v>
      </c>
      <c r="B950" s="240" t="s">
        <v>2002</v>
      </c>
    </row>
    <row r="951" spans="1:2">
      <c r="A951" s="211" t="s">
        <v>2003</v>
      </c>
      <c r="B951" s="240" t="s">
        <v>2004</v>
      </c>
    </row>
    <row r="952" spans="1:2">
      <c r="A952" s="211" t="s">
        <v>2005</v>
      </c>
      <c r="B952" s="240" t="s">
        <v>455</v>
      </c>
    </row>
    <row r="953" spans="1:2">
      <c r="A953" s="211" t="s">
        <v>2006</v>
      </c>
      <c r="B953" s="240" t="s">
        <v>2007</v>
      </c>
    </row>
    <row r="954" spans="1:2">
      <c r="A954" s="211" t="s">
        <v>2008</v>
      </c>
      <c r="B954" s="240" t="s">
        <v>2009</v>
      </c>
    </row>
    <row r="955" spans="1:2">
      <c r="A955" s="211" t="s">
        <v>2010</v>
      </c>
      <c r="B955" s="240" t="s">
        <v>4517</v>
      </c>
    </row>
    <row r="956" spans="1:2">
      <c r="A956" s="211" t="s">
        <v>2011</v>
      </c>
      <c r="B956" s="240" t="s">
        <v>2012</v>
      </c>
    </row>
    <row r="957" spans="1:2">
      <c r="A957" s="211" t="s">
        <v>2013</v>
      </c>
      <c r="B957" s="240" t="s">
        <v>2014</v>
      </c>
    </row>
    <row r="958" spans="1:2">
      <c r="A958" s="211" t="s">
        <v>2015</v>
      </c>
      <c r="B958" s="240" t="s">
        <v>2016</v>
      </c>
    </row>
    <row r="959" spans="1:2">
      <c r="A959" s="211" t="s">
        <v>2017</v>
      </c>
      <c r="B959" s="240" t="s">
        <v>894</v>
      </c>
    </row>
    <row r="960" spans="1:2">
      <c r="A960" s="211" t="s">
        <v>2018</v>
      </c>
      <c r="B960" s="240" t="s">
        <v>896</v>
      </c>
    </row>
    <row r="961" spans="1:2">
      <c r="A961" s="211" t="s">
        <v>2019</v>
      </c>
      <c r="B961" s="240" t="s">
        <v>911</v>
      </c>
    </row>
    <row r="962" spans="1:2">
      <c r="A962" s="211" t="s">
        <v>2020</v>
      </c>
      <c r="B962" s="240" t="s">
        <v>898</v>
      </c>
    </row>
    <row r="963" spans="1:2">
      <c r="A963" s="211" t="s">
        <v>2021</v>
      </c>
      <c r="B963" s="240" t="s">
        <v>2022</v>
      </c>
    </row>
    <row r="964" spans="1:2">
      <c r="A964" s="211" t="s">
        <v>2023</v>
      </c>
      <c r="B964" s="240" t="s">
        <v>894</v>
      </c>
    </row>
    <row r="965" spans="1:2">
      <c r="A965" s="211" t="s">
        <v>2024</v>
      </c>
      <c r="B965" s="240" t="s">
        <v>896</v>
      </c>
    </row>
    <row r="966" spans="1:2">
      <c r="A966" s="211" t="s">
        <v>2025</v>
      </c>
      <c r="B966" s="240" t="s">
        <v>911</v>
      </c>
    </row>
    <row r="967" spans="1:2">
      <c r="A967" s="211" t="s">
        <v>2026</v>
      </c>
      <c r="B967" s="240" t="s">
        <v>913</v>
      </c>
    </row>
    <row r="968" spans="1:2">
      <c r="A968" s="211" t="s">
        <v>2027</v>
      </c>
      <c r="B968" s="240" t="s">
        <v>898</v>
      </c>
    </row>
    <row r="969" spans="1:2">
      <c r="A969" s="211" t="s">
        <v>2028</v>
      </c>
      <c r="B969" s="240" t="s">
        <v>2029</v>
      </c>
    </row>
    <row r="970" spans="1:2">
      <c r="A970" s="211" t="s">
        <v>2030</v>
      </c>
      <c r="B970" s="240" t="s">
        <v>2031</v>
      </c>
    </row>
    <row r="971" spans="1:2">
      <c r="A971" s="211" t="s">
        <v>2032</v>
      </c>
      <c r="B971" s="240" t="s">
        <v>832</v>
      </c>
    </row>
    <row r="972" spans="1:2">
      <c r="A972" s="211" t="s">
        <v>2033</v>
      </c>
      <c r="B972" s="240" t="s">
        <v>2034</v>
      </c>
    </row>
    <row r="973" spans="1:2">
      <c r="A973" s="211" t="s">
        <v>2035</v>
      </c>
      <c r="B973" s="240" t="s">
        <v>2036</v>
      </c>
    </row>
    <row r="974" spans="1:2">
      <c r="A974" s="211" t="s">
        <v>2037</v>
      </c>
      <c r="B974" s="240" t="s">
        <v>2038</v>
      </c>
    </row>
    <row r="975" spans="1:2">
      <c r="A975" s="211" t="s">
        <v>2039</v>
      </c>
      <c r="B975" s="240" t="s">
        <v>911</v>
      </c>
    </row>
    <row r="976" spans="1:2">
      <c r="A976" s="211" t="s">
        <v>2040</v>
      </c>
      <c r="B976" s="240" t="s">
        <v>898</v>
      </c>
    </row>
    <row r="977" spans="1:2">
      <c r="A977" s="211" t="s">
        <v>2041</v>
      </c>
      <c r="B977" s="240" t="s">
        <v>455</v>
      </c>
    </row>
    <row r="978" spans="1:2">
      <c r="A978" s="211" t="s">
        <v>2042</v>
      </c>
      <c r="B978" s="240" t="s">
        <v>2043</v>
      </c>
    </row>
    <row r="979" spans="1:2">
      <c r="A979" s="211" t="s">
        <v>2044</v>
      </c>
      <c r="B979" s="240" t="s">
        <v>2045</v>
      </c>
    </row>
    <row r="980" spans="1:2">
      <c r="A980" s="211" t="s">
        <v>2046</v>
      </c>
      <c r="B980" s="240" t="s">
        <v>2047</v>
      </c>
    </row>
    <row r="981" spans="1:2">
      <c r="A981" s="211" t="s">
        <v>2048</v>
      </c>
      <c r="B981" s="240" t="s">
        <v>2049</v>
      </c>
    </row>
    <row r="982" spans="1:2">
      <c r="A982" s="211" t="s">
        <v>2050</v>
      </c>
      <c r="B982" s="240" t="s">
        <v>2051</v>
      </c>
    </row>
    <row r="983" spans="1:2">
      <c r="A983" s="211" t="s">
        <v>2052</v>
      </c>
      <c r="B983" s="240" t="s">
        <v>2053</v>
      </c>
    </row>
    <row r="984" spans="1:2">
      <c r="A984" s="211" t="s">
        <v>2054</v>
      </c>
      <c r="B984" s="240" t="s">
        <v>455</v>
      </c>
    </row>
    <row r="985" spans="1:2">
      <c r="A985" s="211" t="s">
        <v>2055</v>
      </c>
      <c r="B985" s="240" t="s">
        <v>2056</v>
      </c>
    </row>
    <row r="986" spans="1:2">
      <c r="A986" s="211" t="s">
        <v>2057</v>
      </c>
      <c r="B986" s="240" t="s">
        <v>2058</v>
      </c>
    </row>
    <row r="987" spans="1:2">
      <c r="A987" s="211" t="s">
        <v>2059</v>
      </c>
      <c r="B987" s="240" t="s">
        <v>2060</v>
      </c>
    </row>
    <row r="988" spans="1:2">
      <c r="A988" s="211" t="s">
        <v>2061</v>
      </c>
      <c r="B988" s="240" t="s">
        <v>2062</v>
      </c>
    </row>
    <row r="989" spans="1:2">
      <c r="A989" s="211" t="s">
        <v>2063</v>
      </c>
      <c r="B989" s="240" t="s">
        <v>2064</v>
      </c>
    </row>
    <row r="990" spans="1:2">
      <c r="A990" s="211" t="s">
        <v>2065</v>
      </c>
      <c r="B990" s="240" t="s">
        <v>2066</v>
      </c>
    </row>
    <row r="991" spans="1:2">
      <c r="A991" s="211" t="s">
        <v>2067</v>
      </c>
      <c r="B991" s="240" t="s">
        <v>2068</v>
      </c>
    </row>
    <row r="992" spans="1:2">
      <c r="A992" s="211" t="s">
        <v>2069</v>
      </c>
      <c r="B992" s="240" t="s">
        <v>2070</v>
      </c>
    </row>
    <row r="993" spans="1:2">
      <c r="A993" s="211" t="s">
        <v>2071</v>
      </c>
      <c r="B993" s="240" t="s">
        <v>2072</v>
      </c>
    </row>
    <row r="994" spans="1:2">
      <c r="A994" s="211" t="s">
        <v>2073</v>
      </c>
      <c r="B994" s="240" t="s">
        <v>2074</v>
      </c>
    </row>
    <row r="995" spans="1:2">
      <c r="A995" s="211" t="s">
        <v>2075</v>
      </c>
      <c r="B995" s="240" t="s">
        <v>697</v>
      </c>
    </row>
    <row r="996" spans="1:2">
      <c r="A996" s="211" t="s">
        <v>2076</v>
      </c>
      <c r="B996" s="240" t="s">
        <v>2077</v>
      </c>
    </row>
    <row r="997" spans="1:2">
      <c r="A997" s="211" t="s">
        <v>2078</v>
      </c>
      <c r="B997" s="240" t="s">
        <v>2079</v>
      </c>
    </row>
    <row r="998" spans="1:2">
      <c r="A998" s="211" t="s">
        <v>2080</v>
      </c>
      <c r="B998" s="240" t="s">
        <v>2081</v>
      </c>
    </row>
    <row r="999" spans="1:2">
      <c r="A999" s="211" t="s">
        <v>2082</v>
      </c>
      <c r="B999" s="240" t="s">
        <v>2083</v>
      </c>
    </row>
    <row r="1000" spans="1:2">
      <c r="A1000" s="211" t="s">
        <v>2084</v>
      </c>
      <c r="B1000" s="240" t="s">
        <v>2085</v>
      </c>
    </row>
    <row r="1001" spans="1:2">
      <c r="A1001" s="211" t="s">
        <v>2086</v>
      </c>
      <c r="B1001" s="240" t="s">
        <v>2087</v>
      </c>
    </row>
    <row r="1002" spans="1:2">
      <c r="A1002" s="211" t="s">
        <v>2088</v>
      </c>
      <c r="B1002" s="240" t="s">
        <v>2089</v>
      </c>
    </row>
    <row r="1003" spans="1:2">
      <c r="A1003" s="211" t="s">
        <v>2090</v>
      </c>
      <c r="B1003" s="240" t="s">
        <v>992</v>
      </c>
    </row>
    <row r="1004" spans="1:2">
      <c r="A1004" s="211" t="s">
        <v>2091</v>
      </c>
      <c r="B1004" s="240" t="s">
        <v>2092</v>
      </c>
    </row>
    <row r="1005" spans="1:2">
      <c r="A1005" s="211" t="s">
        <v>2093</v>
      </c>
      <c r="B1005" s="240" t="s">
        <v>2094</v>
      </c>
    </row>
    <row r="1006" spans="1:2">
      <c r="A1006" s="211" t="s">
        <v>2095</v>
      </c>
      <c r="B1006" s="240" t="s">
        <v>455</v>
      </c>
    </row>
    <row r="1007" spans="1:2">
      <c r="A1007" s="211" t="s">
        <v>2096</v>
      </c>
      <c r="B1007" s="240" t="s">
        <v>2097</v>
      </c>
    </row>
    <row r="1008" spans="1:2">
      <c r="A1008" s="211" t="s">
        <v>2098</v>
      </c>
      <c r="B1008" s="240" t="s">
        <v>2099</v>
      </c>
    </row>
    <row r="1009" spans="1:2">
      <c r="A1009" s="211" t="s">
        <v>2100</v>
      </c>
      <c r="B1009" s="240" t="s">
        <v>2101</v>
      </c>
    </row>
    <row r="1010" spans="1:2">
      <c r="A1010" s="211" t="s">
        <v>2102</v>
      </c>
      <c r="B1010" s="240" t="s">
        <v>2103</v>
      </c>
    </row>
    <row r="1011" spans="1:2">
      <c r="A1011" s="211" t="s">
        <v>2104</v>
      </c>
      <c r="B1011" s="240" t="s">
        <v>2105</v>
      </c>
    </row>
    <row r="1012" spans="1:2">
      <c r="A1012" s="211" t="s">
        <v>2106</v>
      </c>
      <c r="B1012" s="240" t="s">
        <v>847</v>
      </c>
    </row>
    <row r="1013" spans="1:2">
      <c r="A1013" s="211" t="s">
        <v>2107</v>
      </c>
      <c r="B1013" s="240" t="s">
        <v>849</v>
      </c>
    </row>
    <row r="1014" spans="1:2">
      <c r="A1014" s="211" t="s">
        <v>2108</v>
      </c>
      <c r="B1014" s="240" t="s">
        <v>2109</v>
      </c>
    </row>
    <row r="1015" spans="1:2">
      <c r="A1015" s="211" t="s">
        <v>2110</v>
      </c>
      <c r="B1015" s="240" t="s">
        <v>2111</v>
      </c>
    </row>
    <row r="1016" spans="1:2">
      <c r="A1016" s="211" t="s">
        <v>2112</v>
      </c>
      <c r="B1016" s="240" t="s">
        <v>2113</v>
      </c>
    </row>
    <row r="1017" spans="1:2">
      <c r="A1017" s="211" t="s">
        <v>2114</v>
      </c>
      <c r="B1017" s="240" t="s">
        <v>2115</v>
      </c>
    </row>
    <row r="1018" spans="1:2">
      <c r="A1018" s="211" t="s">
        <v>2116</v>
      </c>
      <c r="B1018" s="240" t="s">
        <v>2117</v>
      </c>
    </row>
    <row r="1019" spans="1:2">
      <c r="A1019" s="211" t="s">
        <v>2118</v>
      </c>
      <c r="B1019" s="240" t="s">
        <v>2119</v>
      </c>
    </row>
    <row r="1020" spans="1:2">
      <c r="A1020" s="211" t="s">
        <v>2120</v>
      </c>
      <c r="B1020" s="240" t="s">
        <v>2121</v>
      </c>
    </row>
    <row r="1021" spans="1:2">
      <c r="A1021" s="211" t="s">
        <v>2122</v>
      </c>
      <c r="B1021" s="240" t="s">
        <v>2066</v>
      </c>
    </row>
    <row r="1022" spans="1:2">
      <c r="A1022" s="211" t="s">
        <v>2123</v>
      </c>
      <c r="B1022" s="240" t="s">
        <v>2124</v>
      </c>
    </row>
    <row r="1023" spans="1:2">
      <c r="A1023" s="211" t="s">
        <v>2125</v>
      </c>
      <c r="B1023" s="240" t="s">
        <v>2126</v>
      </c>
    </row>
    <row r="1024" spans="1:2">
      <c r="A1024" s="211" t="s">
        <v>2127</v>
      </c>
      <c r="B1024" s="240" t="s">
        <v>2128</v>
      </c>
    </row>
    <row r="1025" spans="1:2">
      <c r="A1025" s="211" t="s">
        <v>2129</v>
      </c>
      <c r="B1025" s="240" t="s">
        <v>697</v>
      </c>
    </row>
    <row r="1026" spans="1:2">
      <c r="A1026" s="211" t="s">
        <v>2130</v>
      </c>
      <c r="B1026" s="240" t="s">
        <v>832</v>
      </c>
    </row>
    <row r="1027" spans="1:2">
      <c r="A1027" s="211" t="s">
        <v>2131</v>
      </c>
      <c r="B1027" s="240" t="s">
        <v>2132</v>
      </c>
    </row>
    <row r="1028" spans="1:2">
      <c r="A1028" s="211" t="s">
        <v>2133</v>
      </c>
      <c r="B1028" s="240" t="s">
        <v>2134</v>
      </c>
    </row>
    <row r="1029" spans="1:2">
      <c r="A1029" s="211" t="s">
        <v>2135</v>
      </c>
      <c r="B1029" s="240" t="s">
        <v>2136</v>
      </c>
    </row>
    <row r="1030" spans="1:2">
      <c r="A1030" s="211" t="s">
        <v>2137</v>
      </c>
      <c r="B1030" s="240" t="s">
        <v>455</v>
      </c>
    </row>
    <row r="1031" spans="1:2">
      <c r="A1031" s="211" t="s">
        <v>2138</v>
      </c>
      <c r="B1031" s="240" t="s">
        <v>2139</v>
      </c>
    </row>
    <row r="1032" spans="1:2">
      <c r="A1032" s="211" t="s">
        <v>2140</v>
      </c>
      <c r="B1032" s="240" t="s">
        <v>2141</v>
      </c>
    </row>
    <row r="1033" spans="1:2">
      <c r="A1033" s="211" t="s">
        <v>2142</v>
      </c>
      <c r="B1033" s="240" t="s">
        <v>2143</v>
      </c>
    </row>
    <row r="1034" spans="1:2">
      <c r="A1034" s="211" t="s">
        <v>2144</v>
      </c>
      <c r="B1034" s="240" t="s">
        <v>2145</v>
      </c>
    </row>
    <row r="1035" spans="1:2">
      <c r="A1035" s="211" t="s">
        <v>2146</v>
      </c>
      <c r="B1035" s="240" t="s">
        <v>2147</v>
      </c>
    </row>
    <row r="1036" spans="1:2">
      <c r="A1036" s="211" t="s">
        <v>2148</v>
      </c>
      <c r="B1036" s="240" t="s">
        <v>2149</v>
      </c>
    </row>
    <row r="1037" spans="1:2">
      <c r="A1037" s="211" t="s">
        <v>2150</v>
      </c>
      <c r="B1037" s="240" t="s">
        <v>2151</v>
      </c>
    </row>
    <row r="1038" spans="1:2">
      <c r="A1038" s="211" t="s">
        <v>2152</v>
      </c>
      <c r="B1038" s="240" t="s">
        <v>2153</v>
      </c>
    </row>
    <row r="1039" spans="1:2">
      <c r="A1039" s="211" t="s">
        <v>2154</v>
      </c>
      <c r="B1039" s="240" t="s">
        <v>2155</v>
      </c>
    </row>
    <row r="1040" spans="1:2">
      <c r="A1040" s="211" t="s">
        <v>2156</v>
      </c>
      <c r="B1040" s="240" t="s">
        <v>2145</v>
      </c>
    </row>
    <row r="1041" spans="1:2">
      <c r="A1041" s="211" t="s">
        <v>2157</v>
      </c>
      <c r="B1041" s="240" t="s">
        <v>2158</v>
      </c>
    </row>
    <row r="1042" spans="1:2">
      <c r="A1042" s="211" t="s">
        <v>2159</v>
      </c>
      <c r="B1042" s="240" t="s">
        <v>2160</v>
      </c>
    </row>
    <row r="1043" spans="1:2">
      <c r="A1043" s="211" t="s">
        <v>2161</v>
      </c>
      <c r="B1043" s="240" t="s">
        <v>455</v>
      </c>
    </row>
    <row r="1044" spans="1:2">
      <c r="A1044" s="211" t="s">
        <v>2162</v>
      </c>
      <c r="B1044" s="240" t="s">
        <v>2163</v>
      </c>
    </row>
    <row r="1045" spans="1:2">
      <c r="A1045" s="211" t="s">
        <v>2164</v>
      </c>
      <c r="B1045" s="240" t="s">
        <v>2165</v>
      </c>
    </row>
    <row r="1046" spans="1:2">
      <c r="A1046" s="211" t="s">
        <v>2166</v>
      </c>
      <c r="B1046" s="240" t="s">
        <v>2167</v>
      </c>
    </row>
    <row r="1047" spans="1:2">
      <c r="A1047" s="211" t="s">
        <v>2168</v>
      </c>
      <c r="B1047" s="240" t="s">
        <v>2169</v>
      </c>
    </row>
    <row r="1048" spans="1:2">
      <c r="A1048" s="211" t="s">
        <v>2170</v>
      </c>
      <c r="B1048" s="240" t="s">
        <v>2171</v>
      </c>
    </row>
    <row r="1049" spans="1:2">
      <c r="A1049" s="211" t="s">
        <v>2172</v>
      </c>
      <c r="B1049" s="240" t="s">
        <v>2173</v>
      </c>
    </row>
    <row r="1050" spans="1:2">
      <c r="A1050" s="211" t="s">
        <v>2174</v>
      </c>
      <c r="B1050" s="240" t="s">
        <v>455</v>
      </c>
    </row>
    <row r="1051" spans="1:2">
      <c r="A1051" s="211" t="s">
        <v>2175</v>
      </c>
      <c r="B1051" s="240" t="s">
        <v>2176</v>
      </c>
    </row>
    <row r="1052" spans="1:2">
      <c r="A1052" s="211" t="s">
        <v>2177</v>
      </c>
      <c r="B1052" s="240" t="s">
        <v>2145</v>
      </c>
    </row>
    <row r="1053" spans="1:2">
      <c r="A1053" s="211" t="s">
        <v>2178</v>
      </c>
      <c r="B1053" s="240" t="s">
        <v>2179</v>
      </c>
    </row>
    <row r="1054" spans="1:2">
      <c r="A1054" s="211" t="s">
        <v>2180</v>
      </c>
      <c r="B1054" s="240" t="s">
        <v>2181</v>
      </c>
    </row>
    <row r="1055" spans="1:2">
      <c r="A1055" s="211" t="s">
        <v>2182</v>
      </c>
      <c r="B1055" s="240" t="s">
        <v>2153</v>
      </c>
    </row>
    <row r="1056" spans="1:2">
      <c r="A1056" s="211" t="s">
        <v>2183</v>
      </c>
      <c r="B1056" s="240" t="s">
        <v>455</v>
      </c>
    </row>
    <row r="1057" spans="1:2">
      <c r="A1057" s="211" t="s">
        <v>2184</v>
      </c>
      <c r="B1057" s="240" t="s">
        <v>2185</v>
      </c>
    </row>
    <row r="1058" spans="1:2">
      <c r="A1058" s="211" t="s">
        <v>2186</v>
      </c>
      <c r="B1058" s="240" t="s">
        <v>2187</v>
      </c>
    </row>
    <row r="1059" spans="1:2">
      <c r="A1059" s="211" t="s">
        <v>2188</v>
      </c>
      <c r="B1059" s="240" t="s">
        <v>1137</v>
      </c>
    </row>
    <row r="1060" spans="1:2">
      <c r="A1060" s="211" t="s">
        <v>2189</v>
      </c>
      <c r="B1060" s="240" t="s">
        <v>1139</v>
      </c>
    </row>
    <row r="1061" spans="1:2">
      <c r="A1061" s="211" t="s">
        <v>2190</v>
      </c>
      <c r="B1061" s="240" t="s">
        <v>907</v>
      </c>
    </row>
    <row r="1062" spans="1:2">
      <c r="A1062" s="211" t="s">
        <v>2191</v>
      </c>
      <c r="B1062" s="240" t="s">
        <v>898</v>
      </c>
    </row>
    <row r="1063" spans="1:2">
      <c r="A1063" s="211" t="s">
        <v>2192</v>
      </c>
      <c r="B1063" s="240" t="s">
        <v>2193</v>
      </c>
    </row>
    <row r="1064" spans="1:2">
      <c r="A1064" s="211" t="s">
        <v>2194</v>
      </c>
      <c r="B1064" s="240" t="s">
        <v>1137</v>
      </c>
    </row>
    <row r="1065" spans="1:2">
      <c r="A1065" s="211" t="s">
        <v>2195</v>
      </c>
      <c r="B1065" s="240" t="s">
        <v>1139</v>
      </c>
    </row>
    <row r="1066" spans="1:2">
      <c r="A1066" s="211" t="s">
        <v>2196</v>
      </c>
      <c r="B1066" s="240" t="s">
        <v>907</v>
      </c>
    </row>
    <row r="1067" spans="1:2">
      <c r="A1067" s="211" t="s">
        <v>2197</v>
      </c>
      <c r="B1067" s="240" t="s">
        <v>898</v>
      </c>
    </row>
    <row r="1068" spans="1:2">
      <c r="A1068" s="211" t="s">
        <v>2198</v>
      </c>
      <c r="B1068" s="240" t="s">
        <v>2199</v>
      </c>
    </row>
    <row r="1069" spans="1:2">
      <c r="A1069" s="211" t="s">
        <v>2200</v>
      </c>
      <c r="B1069" s="240" t="s">
        <v>2201</v>
      </c>
    </row>
    <row r="1070" spans="1:2">
      <c r="A1070" s="211" t="s">
        <v>2202</v>
      </c>
      <c r="B1070" s="240" t="s">
        <v>2203</v>
      </c>
    </row>
    <row r="1071" spans="1:2">
      <c r="A1071" s="211" t="s">
        <v>2204</v>
      </c>
      <c r="B1071" s="240" t="s">
        <v>1074</v>
      </c>
    </row>
    <row r="1072" spans="1:2">
      <c r="A1072" s="211" t="s">
        <v>2205</v>
      </c>
      <c r="B1072" s="240" t="s">
        <v>2206</v>
      </c>
    </row>
    <row r="1073" spans="1:2">
      <c r="A1073" s="211" t="s">
        <v>2207</v>
      </c>
      <c r="B1073" s="240" t="s">
        <v>898</v>
      </c>
    </row>
    <row r="1074" spans="1:2">
      <c r="A1074" s="211" t="s">
        <v>2208</v>
      </c>
      <c r="B1074" s="240" t="s">
        <v>475</v>
      </c>
    </row>
    <row r="1075" spans="1:2">
      <c r="A1075" s="211" t="s">
        <v>2209</v>
      </c>
      <c r="B1075" s="240" t="s">
        <v>455</v>
      </c>
    </row>
    <row r="1076" spans="1:2">
      <c r="A1076" s="211" t="s">
        <v>2210</v>
      </c>
      <c r="B1076" s="240" t="s">
        <v>2211</v>
      </c>
    </row>
    <row r="1077" spans="1:2">
      <c r="A1077" s="211" t="s">
        <v>2212</v>
      </c>
      <c r="B1077" s="240" t="s">
        <v>2213</v>
      </c>
    </row>
    <row r="1078" spans="1:2">
      <c r="A1078" s="211" t="s">
        <v>2214</v>
      </c>
      <c r="B1078" s="240" t="s">
        <v>2215</v>
      </c>
    </row>
    <row r="1079" spans="1:2">
      <c r="A1079" s="211" t="s">
        <v>2216</v>
      </c>
      <c r="B1079" s="240" t="s">
        <v>1361</v>
      </c>
    </row>
    <row r="1080" spans="1:2">
      <c r="A1080" s="211" t="s">
        <v>2217</v>
      </c>
      <c r="B1080" s="240" t="s">
        <v>455</v>
      </c>
    </row>
    <row r="1081" spans="1:2">
      <c r="A1081" s="211" t="s">
        <v>2218</v>
      </c>
      <c r="B1081" s="240" t="s">
        <v>2219</v>
      </c>
    </row>
    <row r="1082" spans="1:2">
      <c r="A1082" s="211" t="s">
        <v>2220</v>
      </c>
      <c r="B1082" s="240" t="s">
        <v>2221</v>
      </c>
    </row>
    <row r="1083" spans="1:2">
      <c r="A1083" s="211" t="s">
        <v>2222</v>
      </c>
      <c r="B1083" s="240" t="s">
        <v>1361</v>
      </c>
    </row>
    <row r="1084" spans="1:2">
      <c r="A1084" s="211" t="s">
        <v>2223</v>
      </c>
      <c r="B1084" s="240" t="s">
        <v>455</v>
      </c>
    </row>
    <row r="1085" spans="1:2">
      <c r="A1085" s="211" t="s">
        <v>2224</v>
      </c>
      <c r="B1085" s="241" t="s">
        <v>477</v>
      </c>
    </row>
    <row r="1086" spans="1:2">
      <c r="A1086" s="211" t="s">
        <v>2225</v>
      </c>
      <c r="B1086" s="241" t="s">
        <v>2226</v>
      </c>
    </row>
    <row r="1087" spans="1:2">
      <c r="A1087" s="211" t="s">
        <v>2227</v>
      </c>
      <c r="B1087" s="241" t="s">
        <v>477</v>
      </c>
    </row>
    <row r="1088" spans="1:2">
      <c r="A1088" s="211" t="s">
        <v>2228</v>
      </c>
      <c r="B1088" s="240" t="s">
        <v>2229</v>
      </c>
    </row>
    <row r="1089" spans="1:2">
      <c r="A1089" s="211" t="s">
        <v>2230</v>
      </c>
      <c r="B1089" s="240" t="s">
        <v>2231</v>
      </c>
    </row>
    <row r="1090" spans="1:2">
      <c r="A1090" s="211" t="s">
        <v>2232</v>
      </c>
      <c r="B1090" s="240" t="s">
        <v>1730</v>
      </c>
    </row>
    <row r="1091" spans="1:2">
      <c r="A1091" s="211" t="s">
        <v>2233</v>
      </c>
      <c r="B1091" s="240" t="s">
        <v>455</v>
      </c>
    </row>
    <row r="1092" spans="1:2">
      <c r="A1092" s="211" t="s">
        <v>2234</v>
      </c>
      <c r="B1092" s="240" t="s">
        <v>2235</v>
      </c>
    </row>
    <row r="1093" spans="1:2">
      <c r="A1093" s="211" t="s">
        <v>2236</v>
      </c>
      <c r="B1093" s="240" t="s">
        <v>4518</v>
      </c>
    </row>
    <row r="1094" spans="1:2">
      <c r="A1094" s="211" t="s">
        <v>2237</v>
      </c>
      <c r="B1094" s="240" t="s">
        <v>2238</v>
      </c>
    </row>
    <row r="1095" spans="1:2">
      <c r="A1095" s="211" t="s">
        <v>2239</v>
      </c>
      <c r="B1095" s="240" t="s">
        <v>2240</v>
      </c>
    </row>
    <row r="1096" spans="1:2">
      <c r="A1096" s="211" t="s">
        <v>2241</v>
      </c>
      <c r="B1096" s="240" t="s">
        <v>2242</v>
      </c>
    </row>
    <row r="1097" spans="1:2">
      <c r="A1097" s="211" t="s">
        <v>2243</v>
      </c>
      <c r="B1097" s="240" t="s">
        <v>2244</v>
      </c>
    </row>
    <row r="1098" spans="1:2">
      <c r="A1098" s="211" t="s">
        <v>2245</v>
      </c>
      <c r="B1098" s="240" t="s">
        <v>2246</v>
      </c>
    </row>
    <row r="1099" spans="1:2">
      <c r="A1099" s="211" t="s">
        <v>2247</v>
      </c>
      <c r="B1099" s="240" t="s">
        <v>2248</v>
      </c>
    </row>
    <row r="1100" spans="1:2">
      <c r="A1100" s="211" t="s">
        <v>2249</v>
      </c>
      <c r="B1100" s="240" t="s">
        <v>2250</v>
      </c>
    </row>
    <row r="1101" spans="1:2">
      <c r="A1101" s="211" t="s">
        <v>2251</v>
      </c>
      <c r="B1101" s="240" t="s">
        <v>2252</v>
      </c>
    </row>
    <row r="1102" spans="1:2">
      <c r="A1102" s="211" t="s">
        <v>2253</v>
      </c>
      <c r="B1102" s="240" t="s">
        <v>889</v>
      </c>
    </row>
    <row r="1103" spans="1:2">
      <c r="A1103" s="211" t="s">
        <v>2254</v>
      </c>
      <c r="B1103" s="240" t="s">
        <v>2255</v>
      </c>
    </row>
    <row r="1104" spans="1:2">
      <c r="A1104" s="211" t="s">
        <v>2256</v>
      </c>
      <c r="B1104" s="240" t="s">
        <v>2257</v>
      </c>
    </row>
    <row r="1105" spans="1:2">
      <c r="A1105" s="211" t="s">
        <v>2258</v>
      </c>
      <c r="B1105" s="240" t="s">
        <v>2259</v>
      </c>
    </row>
    <row r="1106" spans="1:2">
      <c r="A1106" s="211" t="s">
        <v>2260</v>
      </c>
      <c r="B1106" s="240" t="s">
        <v>2261</v>
      </c>
    </row>
    <row r="1107" spans="1:2">
      <c r="A1107" s="211" t="s">
        <v>2262</v>
      </c>
      <c r="B1107" s="240" t="s">
        <v>889</v>
      </c>
    </row>
    <row r="1108" spans="1:2">
      <c r="A1108" s="211" t="s">
        <v>2263</v>
      </c>
      <c r="B1108" s="240" t="s">
        <v>2264</v>
      </c>
    </row>
    <row r="1109" spans="1:2">
      <c r="A1109" s="211" t="s">
        <v>2265</v>
      </c>
      <c r="B1109" s="240" t="s">
        <v>2266</v>
      </c>
    </row>
    <row r="1110" spans="1:2">
      <c r="A1110" s="211" t="s">
        <v>2267</v>
      </c>
      <c r="B1110" s="240" t="s">
        <v>455</v>
      </c>
    </row>
    <row r="1111" spans="1:2">
      <c r="A1111" s="211" t="s">
        <v>2268</v>
      </c>
      <c r="B1111" s="240" t="s">
        <v>2269</v>
      </c>
    </row>
    <row r="1112" spans="1:2">
      <c r="A1112" s="211" t="s">
        <v>2270</v>
      </c>
      <c r="B1112" s="240" t="s">
        <v>2271</v>
      </c>
    </row>
    <row r="1113" spans="1:2">
      <c r="A1113" s="211" t="s">
        <v>2272</v>
      </c>
      <c r="B1113" s="240" t="s">
        <v>2273</v>
      </c>
    </row>
    <row r="1114" spans="1:2">
      <c r="A1114" s="211" t="s">
        <v>2274</v>
      </c>
      <c r="B1114" s="240" t="s">
        <v>2275</v>
      </c>
    </row>
    <row r="1115" spans="1:2">
      <c r="A1115" s="211" t="s">
        <v>2276</v>
      </c>
      <c r="B1115" s="240" t="s">
        <v>2277</v>
      </c>
    </row>
    <row r="1116" spans="1:2">
      <c r="A1116" s="211" t="s">
        <v>2278</v>
      </c>
      <c r="B1116" s="240" t="s">
        <v>4519</v>
      </c>
    </row>
    <row r="1117" spans="1:2">
      <c r="A1117" s="211" t="s">
        <v>2279</v>
      </c>
      <c r="B1117" s="240" t="s">
        <v>2280</v>
      </c>
    </row>
    <row r="1118" spans="1:2">
      <c r="A1118" s="211" t="s">
        <v>2281</v>
      </c>
      <c r="B1118" s="240" t="s">
        <v>2282</v>
      </c>
    </row>
    <row r="1119" spans="1:2">
      <c r="A1119" s="211" t="s">
        <v>2283</v>
      </c>
      <c r="B1119" s="240" t="s">
        <v>2284</v>
      </c>
    </row>
    <row r="1120" spans="1:2">
      <c r="A1120" s="211" t="s">
        <v>2285</v>
      </c>
      <c r="B1120" s="240" t="s">
        <v>2286</v>
      </c>
    </row>
    <row r="1121" spans="1:2">
      <c r="A1121" s="211" t="s">
        <v>2287</v>
      </c>
      <c r="B1121" s="240" t="s">
        <v>2288</v>
      </c>
    </row>
    <row r="1122" spans="1:2">
      <c r="A1122" s="211" t="s">
        <v>2289</v>
      </c>
      <c r="B1122" s="240" t="s">
        <v>2290</v>
      </c>
    </row>
    <row r="1123" spans="1:2">
      <c r="A1123" s="211" t="s">
        <v>2291</v>
      </c>
      <c r="B1123" s="240" t="s">
        <v>2292</v>
      </c>
    </row>
    <row r="1124" spans="1:2">
      <c r="A1124" s="211" t="s">
        <v>2293</v>
      </c>
      <c r="B1124" s="240" t="s">
        <v>2294</v>
      </c>
    </row>
    <row r="1125" spans="1:2">
      <c r="A1125" s="211" t="s">
        <v>2295</v>
      </c>
      <c r="B1125" s="240" t="s">
        <v>2250</v>
      </c>
    </row>
    <row r="1126" spans="1:2">
      <c r="A1126" s="211" t="s">
        <v>2296</v>
      </c>
      <c r="B1126" s="240" t="s">
        <v>2252</v>
      </c>
    </row>
    <row r="1127" spans="1:2">
      <c r="A1127" s="211" t="s">
        <v>2297</v>
      </c>
      <c r="B1127" s="240" t="s">
        <v>889</v>
      </c>
    </row>
    <row r="1128" spans="1:2">
      <c r="A1128" s="211" t="s">
        <v>2298</v>
      </c>
      <c r="B1128" s="240" t="s">
        <v>2299</v>
      </c>
    </row>
    <row r="1129" spans="1:2">
      <c r="A1129" s="211" t="s">
        <v>2300</v>
      </c>
      <c r="B1129" s="240" t="s">
        <v>2257</v>
      </c>
    </row>
    <row r="1130" spans="1:2">
      <c r="A1130" s="211" t="s">
        <v>2301</v>
      </c>
      <c r="B1130" s="240" t="s">
        <v>2259</v>
      </c>
    </row>
    <row r="1131" spans="1:2">
      <c r="A1131" s="211" t="s">
        <v>2302</v>
      </c>
      <c r="B1131" s="240" t="s">
        <v>889</v>
      </c>
    </row>
    <row r="1132" spans="1:2">
      <c r="A1132" s="211" t="s">
        <v>2303</v>
      </c>
      <c r="B1132" s="240" t="s">
        <v>2304</v>
      </c>
    </row>
    <row r="1133" spans="1:2">
      <c r="A1133" s="211" t="s">
        <v>2305</v>
      </c>
      <c r="B1133" s="240" t="s">
        <v>2306</v>
      </c>
    </row>
    <row r="1134" spans="1:2">
      <c r="A1134" s="211" t="s">
        <v>2307</v>
      </c>
      <c r="B1134" s="240" t="s">
        <v>4520</v>
      </c>
    </row>
    <row r="1135" spans="1:2">
      <c r="A1135" s="211" t="s">
        <v>2308</v>
      </c>
      <c r="B1135" s="240" t="s">
        <v>889</v>
      </c>
    </row>
    <row r="1136" spans="1:2">
      <c r="A1136" s="211" t="s">
        <v>2309</v>
      </c>
      <c r="B1136" s="240" t="s">
        <v>2310</v>
      </c>
    </row>
    <row r="1137" spans="1:2">
      <c r="A1137" s="211" t="s">
        <v>2311</v>
      </c>
      <c r="B1137" s="240" t="s">
        <v>2306</v>
      </c>
    </row>
    <row r="1138" spans="1:2">
      <c r="A1138" s="211" t="s">
        <v>2312</v>
      </c>
      <c r="B1138" s="240" t="s">
        <v>2313</v>
      </c>
    </row>
    <row r="1139" spans="1:2">
      <c r="A1139" s="211" t="s">
        <v>2314</v>
      </c>
      <c r="B1139" s="240" t="s">
        <v>889</v>
      </c>
    </row>
    <row r="1140" spans="1:2">
      <c r="A1140" s="211" t="s">
        <v>2315</v>
      </c>
      <c r="B1140" s="240" t="s">
        <v>2316</v>
      </c>
    </row>
    <row r="1141" spans="1:2">
      <c r="A1141" s="211" t="s">
        <v>2317</v>
      </c>
      <c r="B1141" s="240" t="s">
        <v>2318</v>
      </c>
    </row>
    <row r="1142" spans="1:2">
      <c r="A1142" s="211" t="s">
        <v>2319</v>
      </c>
      <c r="B1142" s="240" t="s">
        <v>2320</v>
      </c>
    </row>
    <row r="1143" spans="1:2">
      <c r="A1143" s="211" t="s">
        <v>2321</v>
      </c>
      <c r="B1143" s="240" t="s">
        <v>2322</v>
      </c>
    </row>
    <row r="1144" spans="1:2">
      <c r="A1144" s="211" t="s">
        <v>2323</v>
      </c>
      <c r="B1144" s="240" t="s">
        <v>2324</v>
      </c>
    </row>
    <row r="1145" spans="1:2">
      <c r="A1145" s="211" t="s">
        <v>2325</v>
      </c>
      <c r="B1145" s="240" t="s">
        <v>2326</v>
      </c>
    </row>
    <row r="1146" spans="1:2">
      <c r="A1146" s="211" t="s">
        <v>2327</v>
      </c>
      <c r="B1146" s="240" t="s">
        <v>2328</v>
      </c>
    </row>
    <row r="1147" spans="1:2">
      <c r="A1147" s="211" t="s">
        <v>2329</v>
      </c>
      <c r="B1147" s="240" t="s">
        <v>2330</v>
      </c>
    </row>
    <row r="1148" spans="1:2">
      <c r="A1148" s="211" t="s">
        <v>2331</v>
      </c>
      <c r="B1148" s="240" t="s">
        <v>2332</v>
      </c>
    </row>
    <row r="1149" spans="1:2">
      <c r="A1149" s="211" t="s">
        <v>2333</v>
      </c>
      <c r="B1149" s="240" t="s">
        <v>889</v>
      </c>
    </row>
    <row r="1150" spans="1:2">
      <c r="A1150" s="211" t="s">
        <v>2334</v>
      </c>
      <c r="B1150" s="240" t="s">
        <v>473</v>
      </c>
    </row>
    <row r="1151" spans="1:2">
      <c r="A1151" s="211" t="s">
        <v>2335</v>
      </c>
      <c r="B1151" s="240" t="s">
        <v>455</v>
      </c>
    </row>
    <row r="1152" spans="1:2">
      <c r="A1152" s="211" t="s">
        <v>2336</v>
      </c>
      <c r="B1152" s="240" t="s">
        <v>2337</v>
      </c>
    </row>
    <row r="1153" spans="1:2">
      <c r="A1153" s="211" t="s">
        <v>2338</v>
      </c>
      <c r="B1153" s="240" t="s">
        <v>2339</v>
      </c>
    </row>
    <row r="1154" spans="1:2">
      <c r="A1154" s="211" t="s">
        <v>2340</v>
      </c>
      <c r="B1154" s="240" t="s">
        <v>2341</v>
      </c>
    </row>
    <row r="1155" spans="1:2">
      <c r="A1155" s="211" t="s">
        <v>2342</v>
      </c>
      <c r="B1155" s="240" t="s">
        <v>473</v>
      </c>
    </row>
    <row r="1156" spans="1:2">
      <c r="A1156" s="211" t="s">
        <v>2343</v>
      </c>
      <c r="B1156" s="240" t="s">
        <v>2344</v>
      </c>
    </row>
    <row r="1157" spans="1:2">
      <c r="A1157" s="211" t="s">
        <v>2345</v>
      </c>
      <c r="B1157" s="240" t="s">
        <v>2346</v>
      </c>
    </row>
    <row r="1158" spans="1:2">
      <c r="A1158" s="211" t="s">
        <v>2347</v>
      </c>
      <c r="B1158" s="240" t="s">
        <v>2348</v>
      </c>
    </row>
    <row r="1159" spans="1:2">
      <c r="A1159" s="211" t="s">
        <v>2349</v>
      </c>
      <c r="B1159" s="240" t="s">
        <v>2350</v>
      </c>
    </row>
    <row r="1160" spans="1:2">
      <c r="A1160" s="211" t="s">
        <v>2351</v>
      </c>
      <c r="B1160" s="240" t="s">
        <v>2352</v>
      </c>
    </row>
    <row r="1161" spans="1:2">
      <c r="A1161" s="211" t="s">
        <v>2353</v>
      </c>
      <c r="B1161" s="240" t="s">
        <v>2354</v>
      </c>
    </row>
    <row r="1162" spans="1:2">
      <c r="A1162" s="211" t="s">
        <v>2355</v>
      </c>
      <c r="B1162" s="240" t="s">
        <v>2356</v>
      </c>
    </row>
    <row r="1163" spans="1:2">
      <c r="A1163" s="211" t="s">
        <v>2357</v>
      </c>
      <c r="B1163" s="240" t="s">
        <v>686</v>
      </c>
    </row>
    <row r="1164" spans="1:2">
      <c r="A1164" s="211" t="s">
        <v>2358</v>
      </c>
      <c r="B1164" s="240" t="s">
        <v>688</v>
      </c>
    </row>
    <row r="1165" spans="1:2">
      <c r="A1165" s="211" t="s">
        <v>2359</v>
      </c>
      <c r="B1165" s="240" t="s">
        <v>2360</v>
      </c>
    </row>
    <row r="1166" spans="1:2">
      <c r="A1166" s="211" t="s">
        <v>2361</v>
      </c>
      <c r="B1166" s="240" t="s">
        <v>992</v>
      </c>
    </row>
    <row r="1167" spans="1:2">
      <c r="A1167" s="211" t="s">
        <v>2362</v>
      </c>
      <c r="B1167" s="240" t="s">
        <v>475</v>
      </c>
    </row>
    <row r="1168" spans="1:2">
      <c r="A1168" s="211" t="s">
        <v>2363</v>
      </c>
      <c r="B1168" s="240" t="s">
        <v>455</v>
      </c>
    </row>
    <row r="1169" spans="1:2">
      <c r="A1169" s="211" t="s">
        <v>2364</v>
      </c>
      <c r="B1169" s="240" t="s">
        <v>2365</v>
      </c>
    </row>
    <row r="1170" spans="1:2">
      <c r="A1170" s="211" t="s">
        <v>2366</v>
      </c>
      <c r="B1170" s="240" t="s">
        <v>2367</v>
      </c>
    </row>
    <row r="1171" spans="1:2">
      <c r="A1171" s="211" t="s">
        <v>2368</v>
      </c>
      <c r="B1171" s="240" t="s">
        <v>894</v>
      </c>
    </row>
    <row r="1172" spans="1:2">
      <c r="A1172" s="211" t="s">
        <v>2369</v>
      </c>
      <c r="B1172" s="240" t="s">
        <v>896</v>
      </c>
    </row>
    <row r="1173" spans="1:2">
      <c r="A1173" s="211" t="s">
        <v>2370</v>
      </c>
      <c r="B1173" s="240" t="s">
        <v>911</v>
      </c>
    </row>
    <row r="1174" spans="1:2">
      <c r="A1174" s="211" t="s">
        <v>2371</v>
      </c>
      <c r="B1174" s="240" t="s">
        <v>907</v>
      </c>
    </row>
    <row r="1175" spans="1:2">
      <c r="A1175" s="211" t="s">
        <v>2372</v>
      </c>
      <c r="B1175" s="240" t="s">
        <v>898</v>
      </c>
    </row>
    <row r="1176" spans="1:2">
      <c r="A1176" s="211" t="s">
        <v>2373</v>
      </c>
      <c r="B1176" s="240" t="s">
        <v>475</v>
      </c>
    </row>
    <row r="1177" spans="1:2">
      <c r="A1177" s="211" t="s">
        <v>2374</v>
      </c>
      <c r="B1177" s="240" t="s">
        <v>455</v>
      </c>
    </row>
    <row r="1178" spans="1:2">
      <c r="A1178" s="211" t="s">
        <v>2375</v>
      </c>
      <c r="B1178" s="240" t="s">
        <v>2376</v>
      </c>
    </row>
    <row r="1179" spans="1:2">
      <c r="A1179" s="211" t="s">
        <v>2377</v>
      </c>
      <c r="B1179" s="240" t="s">
        <v>2378</v>
      </c>
    </row>
    <row r="1180" spans="1:2">
      <c r="A1180" s="211" t="s">
        <v>2379</v>
      </c>
      <c r="B1180" s="240" t="s">
        <v>1730</v>
      </c>
    </row>
    <row r="1181" spans="1:2">
      <c r="A1181" s="211" t="s">
        <v>2380</v>
      </c>
      <c r="B1181" s="240" t="s">
        <v>2381</v>
      </c>
    </row>
    <row r="1182" spans="1:2">
      <c r="A1182" s="211" t="s">
        <v>2382</v>
      </c>
      <c r="B1182" s="240" t="s">
        <v>2383</v>
      </c>
    </row>
    <row r="1183" spans="1:2">
      <c r="A1183" s="211" t="s">
        <v>2384</v>
      </c>
      <c r="B1183" s="240" t="s">
        <v>2385</v>
      </c>
    </row>
    <row r="1184" spans="1:2">
      <c r="A1184" s="211" t="s">
        <v>2386</v>
      </c>
      <c r="B1184" s="240" t="s">
        <v>2387</v>
      </c>
    </row>
    <row r="1185" spans="1:2">
      <c r="A1185" s="211" t="s">
        <v>2388</v>
      </c>
      <c r="B1185" s="240" t="s">
        <v>1635</v>
      </c>
    </row>
    <row r="1186" spans="1:2">
      <c r="A1186" s="211" t="s">
        <v>2389</v>
      </c>
      <c r="B1186" s="240" t="s">
        <v>697</v>
      </c>
    </row>
    <row r="1187" spans="1:2">
      <c r="A1187" s="211" t="s">
        <v>2390</v>
      </c>
      <c r="B1187" s="240" t="s">
        <v>699</v>
      </c>
    </row>
    <row r="1188" spans="1:2">
      <c r="A1188" s="211" t="s">
        <v>2391</v>
      </c>
      <c r="B1188" s="240" t="s">
        <v>1361</v>
      </c>
    </row>
    <row r="1189" spans="1:2">
      <c r="A1189" s="211" t="s">
        <v>2392</v>
      </c>
      <c r="B1189" s="240" t="s">
        <v>455</v>
      </c>
    </row>
    <row r="1190" spans="1:2">
      <c r="A1190" s="211" t="s">
        <v>2393</v>
      </c>
      <c r="B1190" s="241" t="s">
        <v>2394</v>
      </c>
    </row>
    <row r="1191" spans="1:2">
      <c r="A1191" s="211" t="s">
        <v>2395</v>
      </c>
      <c r="B1191" s="240" t="s">
        <v>2396</v>
      </c>
    </row>
    <row r="1192" spans="1:2">
      <c r="A1192" s="211" t="s">
        <v>2397</v>
      </c>
      <c r="B1192" s="240" t="s">
        <v>2398</v>
      </c>
    </row>
    <row r="1193" spans="1:2">
      <c r="A1193" s="211" t="s">
        <v>2399</v>
      </c>
      <c r="B1193" s="240" t="s">
        <v>475</v>
      </c>
    </row>
    <row r="1194" spans="1:2">
      <c r="A1194" s="211" t="s">
        <v>2400</v>
      </c>
      <c r="B1194" s="240" t="s">
        <v>455</v>
      </c>
    </row>
    <row r="1195" spans="1:2">
      <c r="A1195" s="211" t="s">
        <v>2401</v>
      </c>
      <c r="B1195" s="241" t="s">
        <v>477</v>
      </c>
    </row>
    <row r="1196" spans="1:2">
      <c r="A1196" s="211" t="s">
        <v>2402</v>
      </c>
      <c r="B1196" s="241" t="s">
        <v>2403</v>
      </c>
    </row>
    <row r="1197" spans="1:2">
      <c r="A1197" s="211" t="s">
        <v>2404</v>
      </c>
      <c r="B1197" s="241" t="s">
        <v>2405</v>
      </c>
    </row>
    <row r="1198" spans="1:2">
      <c r="A1198" s="211" t="s">
        <v>2406</v>
      </c>
      <c r="B1198" s="241" t="s">
        <v>2407</v>
      </c>
    </row>
    <row r="1199" spans="1:2">
      <c r="A1199" s="211" t="s">
        <v>2408</v>
      </c>
      <c r="B1199" s="241" t="s">
        <v>477</v>
      </c>
    </row>
    <row r="1200" spans="1:2">
      <c r="A1200" s="211" t="s">
        <v>2409</v>
      </c>
      <c r="B1200" s="240" t="s">
        <v>2410</v>
      </c>
    </row>
    <row r="1201" spans="1:2">
      <c r="A1201" s="211" t="s">
        <v>2411</v>
      </c>
      <c r="B1201" s="240" t="s">
        <v>2412</v>
      </c>
    </row>
    <row r="1202" spans="1:2">
      <c r="A1202" s="211" t="s">
        <v>2413</v>
      </c>
      <c r="B1202" s="240" t="s">
        <v>2414</v>
      </c>
    </row>
    <row r="1203" spans="1:2">
      <c r="A1203" s="211" t="s">
        <v>2415</v>
      </c>
      <c r="B1203" s="240" t="s">
        <v>2416</v>
      </c>
    </row>
    <row r="1204" spans="1:2">
      <c r="A1204" s="211" t="s">
        <v>2417</v>
      </c>
      <c r="B1204" s="240" t="s">
        <v>1730</v>
      </c>
    </row>
    <row r="1205" spans="1:2">
      <c r="A1205" s="211" t="s">
        <v>2418</v>
      </c>
      <c r="B1205" s="240" t="s">
        <v>2419</v>
      </c>
    </row>
    <row r="1206" spans="1:2">
      <c r="A1206" s="211" t="s">
        <v>2420</v>
      </c>
      <c r="B1206" s="240" t="s">
        <v>1610</v>
      </c>
    </row>
    <row r="1207" spans="1:2">
      <c r="A1207" s="211" t="s">
        <v>2421</v>
      </c>
      <c r="B1207" s="240" t="s">
        <v>1741</v>
      </c>
    </row>
    <row r="1208" spans="1:2">
      <c r="A1208" s="211" t="s">
        <v>2422</v>
      </c>
      <c r="B1208" s="240" t="s">
        <v>2423</v>
      </c>
    </row>
    <row r="1209" spans="1:2">
      <c r="A1209" s="211" t="s">
        <v>2424</v>
      </c>
      <c r="B1209" s="240" t="s">
        <v>2425</v>
      </c>
    </row>
    <row r="1210" spans="1:2">
      <c r="A1210" s="211" t="s">
        <v>2426</v>
      </c>
      <c r="B1210" s="240" t="s">
        <v>2427</v>
      </c>
    </row>
    <row r="1211" spans="1:2">
      <c r="A1211" s="211" t="s">
        <v>2428</v>
      </c>
      <c r="B1211" s="240" t="s">
        <v>2429</v>
      </c>
    </row>
    <row r="1212" spans="1:2">
      <c r="A1212" s="211" t="s">
        <v>2430</v>
      </c>
      <c r="B1212" s="240" t="s">
        <v>697</v>
      </c>
    </row>
    <row r="1213" spans="1:2">
      <c r="A1213" s="211" t="s">
        <v>2431</v>
      </c>
      <c r="B1213" s="240" t="s">
        <v>699</v>
      </c>
    </row>
    <row r="1214" spans="1:2">
      <c r="A1214" s="211" t="s">
        <v>2432</v>
      </c>
      <c r="B1214" s="240" t="s">
        <v>2433</v>
      </c>
    </row>
    <row r="1215" spans="1:2">
      <c r="A1215" s="211" t="s">
        <v>2434</v>
      </c>
      <c r="B1215" s="240" t="s">
        <v>1361</v>
      </c>
    </row>
    <row r="1216" spans="1:2">
      <c r="A1216" s="211" t="s">
        <v>2435</v>
      </c>
      <c r="B1216" s="240" t="s">
        <v>455</v>
      </c>
    </row>
    <row r="1217" spans="1:2">
      <c r="A1217" s="211" t="s">
        <v>2436</v>
      </c>
      <c r="B1217" s="240" t="s">
        <v>2437</v>
      </c>
    </row>
    <row r="1218" spans="1:2">
      <c r="A1218" s="211" t="s">
        <v>2438</v>
      </c>
      <c r="B1218" s="240" t="s">
        <v>2416</v>
      </c>
    </row>
    <row r="1219" spans="1:2">
      <c r="A1219" s="211" t="s">
        <v>2439</v>
      </c>
      <c r="B1219" s="240" t="s">
        <v>1730</v>
      </c>
    </row>
    <row r="1220" spans="1:2">
      <c r="A1220" s="211" t="s">
        <v>2440</v>
      </c>
      <c r="B1220" s="240" t="s">
        <v>2441</v>
      </c>
    </row>
    <row r="1221" spans="1:2">
      <c r="A1221" s="211" t="s">
        <v>2442</v>
      </c>
      <c r="B1221" s="240" t="s">
        <v>1610</v>
      </c>
    </row>
    <row r="1222" spans="1:2">
      <c r="A1222" s="211" t="s">
        <v>2443</v>
      </c>
      <c r="B1222" s="240" t="s">
        <v>1741</v>
      </c>
    </row>
    <row r="1223" spans="1:2">
      <c r="A1223" s="211" t="s">
        <v>2444</v>
      </c>
      <c r="B1223" s="240" t="s">
        <v>2445</v>
      </c>
    </row>
    <row r="1224" spans="1:2">
      <c r="A1224" s="211" t="s">
        <v>2446</v>
      </c>
      <c r="B1224" s="240" t="s">
        <v>2447</v>
      </c>
    </row>
    <row r="1225" spans="1:2">
      <c r="A1225" s="211" t="s">
        <v>2448</v>
      </c>
      <c r="B1225" s="240" t="s">
        <v>1635</v>
      </c>
    </row>
    <row r="1226" spans="1:2">
      <c r="A1226" s="211" t="s">
        <v>2449</v>
      </c>
      <c r="B1226" s="240" t="s">
        <v>697</v>
      </c>
    </row>
    <row r="1227" spans="1:2">
      <c r="A1227" s="211" t="s">
        <v>2450</v>
      </c>
      <c r="B1227" s="240" t="s">
        <v>699</v>
      </c>
    </row>
    <row r="1228" spans="1:2">
      <c r="A1228" s="211" t="s">
        <v>2451</v>
      </c>
      <c r="B1228" s="240" t="s">
        <v>1361</v>
      </c>
    </row>
    <row r="1229" spans="1:2">
      <c r="A1229" s="211" t="s">
        <v>2452</v>
      </c>
      <c r="B1229" s="240" t="s">
        <v>455</v>
      </c>
    </row>
    <row r="1230" spans="1:2">
      <c r="A1230" s="211" t="s">
        <v>2453</v>
      </c>
      <c r="B1230" s="241" t="s">
        <v>2454</v>
      </c>
    </row>
    <row r="1231" spans="1:2">
      <c r="A1231" s="211" t="s">
        <v>2455</v>
      </c>
      <c r="B1231" s="240" t="s">
        <v>2456</v>
      </c>
    </row>
    <row r="1232" spans="1:2">
      <c r="A1232" s="211" t="s">
        <v>2457</v>
      </c>
      <c r="B1232" s="240" t="s">
        <v>2458</v>
      </c>
    </row>
    <row r="1233" spans="1:2">
      <c r="A1233" s="211" t="s">
        <v>2459</v>
      </c>
      <c r="B1233" s="240" t="s">
        <v>1361</v>
      </c>
    </row>
    <row r="1234" spans="1:2">
      <c r="A1234" s="211" t="s">
        <v>2460</v>
      </c>
      <c r="B1234" s="240" t="s">
        <v>455</v>
      </c>
    </row>
    <row r="1235" spans="1:2">
      <c r="A1235" s="211" t="s">
        <v>2461</v>
      </c>
      <c r="B1235" s="240" t="s">
        <v>2462</v>
      </c>
    </row>
    <row r="1236" spans="1:2">
      <c r="A1236" s="211" t="s">
        <v>2463</v>
      </c>
      <c r="B1236" s="240" t="s">
        <v>2464</v>
      </c>
    </row>
    <row r="1237" spans="1:2">
      <c r="A1237" s="211" t="s">
        <v>2465</v>
      </c>
      <c r="B1237" s="240" t="s">
        <v>1361</v>
      </c>
    </row>
    <row r="1238" spans="1:2">
      <c r="A1238" s="211" t="s">
        <v>2466</v>
      </c>
      <c r="B1238" s="240" t="s">
        <v>455</v>
      </c>
    </row>
    <row r="1239" spans="1:2">
      <c r="A1239" s="211" t="s">
        <v>2467</v>
      </c>
      <c r="B1239" s="240" t="s">
        <v>2468</v>
      </c>
    </row>
    <row r="1240" spans="1:2">
      <c r="A1240" s="211" t="s">
        <v>2469</v>
      </c>
      <c r="B1240" s="240" t="s">
        <v>2470</v>
      </c>
    </row>
    <row r="1241" spans="1:2">
      <c r="A1241" s="211" t="s">
        <v>2471</v>
      </c>
      <c r="B1241" s="240" t="s">
        <v>1361</v>
      </c>
    </row>
    <row r="1242" spans="1:2">
      <c r="A1242" s="211" t="s">
        <v>2472</v>
      </c>
      <c r="B1242" s="240" t="s">
        <v>455</v>
      </c>
    </row>
    <row r="1243" spans="1:2">
      <c r="A1243" s="211" t="s">
        <v>2473</v>
      </c>
      <c r="B1243" s="241" t="s">
        <v>2474</v>
      </c>
    </row>
    <row r="1244" spans="1:2">
      <c r="A1244" s="211" t="s">
        <v>2475</v>
      </c>
      <c r="B1244" s="240" t="s">
        <v>2476</v>
      </c>
    </row>
    <row r="1245" spans="1:2">
      <c r="A1245" s="211" t="s">
        <v>2477</v>
      </c>
      <c r="B1245" s="240" t="s">
        <v>2478</v>
      </c>
    </row>
    <row r="1246" spans="1:2">
      <c r="A1246" s="211" t="s">
        <v>2479</v>
      </c>
      <c r="B1246" s="240" t="s">
        <v>1878</v>
      </c>
    </row>
    <row r="1247" spans="1:2">
      <c r="A1247" s="211" t="s">
        <v>2480</v>
      </c>
      <c r="B1247" s="240" t="s">
        <v>2481</v>
      </c>
    </row>
    <row r="1248" spans="1:2">
      <c r="A1248" s="211" t="s">
        <v>2482</v>
      </c>
      <c r="B1248" s="240" t="s">
        <v>2483</v>
      </c>
    </row>
    <row r="1249" spans="1:2">
      <c r="A1249" s="211" t="s">
        <v>2484</v>
      </c>
      <c r="B1249" s="240" t="s">
        <v>2485</v>
      </c>
    </row>
    <row r="1250" spans="1:2">
      <c r="A1250" s="211" t="s">
        <v>2486</v>
      </c>
      <c r="B1250" s="240" t="s">
        <v>697</v>
      </c>
    </row>
    <row r="1251" spans="1:2">
      <c r="A1251" s="211" t="s">
        <v>2487</v>
      </c>
      <c r="B1251" s="240" t="s">
        <v>832</v>
      </c>
    </row>
    <row r="1252" spans="1:2">
      <c r="A1252" s="211" t="s">
        <v>2488</v>
      </c>
      <c r="B1252" s="240" t="s">
        <v>1361</v>
      </c>
    </row>
    <row r="1253" spans="1:2">
      <c r="A1253" s="211" t="s">
        <v>2489</v>
      </c>
      <c r="B1253" s="240" t="s">
        <v>455</v>
      </c>
    </row>
    <row r="1254" spans="1:2">
      <c r="A1254" s="211" t="s">
        <v>2490</v>
      </c>
      <c r="B1254" s="241" t="s">
        <v>2491</v>
      </c>
    </row>
    <row r="1255" spans="1:2">
      <c r="A1255" s="211" t="s">
        <v>2492</v>
      </c>
      <c r="B1255" s="240" t="s">
        <v>2493</v>
      </c>
    </row>
    <row r="1256" spans="1:2">
      <c r="A1256" s="211" t="s">
        <v>2494</v>
      </c>
      <c r="B1256" s="240" t="s">
        <v>2495</v>
      </c>
    </row>
    <row r="1257" spans="1:2">
      <c r="A1257" s="211" t="s">
        <v>2496</v>
      </c>
      <c r="B1257" s="240" t="s">
        <v>1656</v>
      </c>
    </row>
    <row r="1258" spans="1:2">
      <c r="A1258" s="211" t="s">
        <v>2497</v>
      </c>
      <c r="B1258" s="240" t="s">
        <v>2498</v>
      </c>
    </row>
    <row r="1259" spans="1:2">
      <c r="A1259" s="211" t="s">
        <v>2499</v>
      </c>
      <c r="B1259" s="240" t="s">
        <v>2500</v>
      </c>
    </row>
    <row r="1260" spans="1:2">
      <c r="A1260" s="211" t="s">
        <v>2501</v>
      </c>
      <c r="B1260" s="240" t="s">
        <v>832</v>
      </c>
    </row>
    <row r="1261" spans="1:2">
      <c r="A1261" s="211" t="s">
        <v>2502</v>
      </c>
      <c r="B1261" s="240" t="s">
        <v>2503</v>
      </c>
    </row>
    <row r="1262" spans="1:2">
      <c r="A1262" s="211" t="s">
        <v>2504</v>
      </c>
      <c r="B1262" s="240" t="s">
        <v>1361</v>
      </c>
    </row>
    <row r="1263" spans="1:2">
      <c r="A1263" s="211" t="s">
        <v>2505</v>
      </c>
      <c r="B1263" s="240" t="s">
        <v>455</v>
      </c>
    </row>
    <row r="1264" spans="1:2">
      <c r="A1264" s="211" t="s">
        <v>2506</v>
      </c>
      <c r="B1264" s="241" t="s">
        <v>2507</v>
      </c>
    </row>
    <row r="1265" spans="1:2">
      <c r="A1265" s="211" t="s">
        <v>2508</v>
      </c>
      <c r="B1265" s="240" t="s">
        <v>4446</v>
      </c>
    </row>
    <row r="1266" spans="1:2">
      <c r="A1266" s="211" t="s">
        <v>2509</v>
      </c>
      <c r="B1266" s="240" t="s">
        <v>2510</v>
      </c>
    </row>
    <row r="1267" spans="1:2">
      <c r="A1267" s="211" t="s">
        <v>2511</v>
      </c>
      <c r="B1267" s="240" t="s">
        <v>2512</v>
      </c>
    </row>
    <row r="1268" spans="1:2">
      <c r="A1268" s="211" t="s">
        <v>2513</v>
      </c>
      <c r="B1268" s="240" t="s">
        <v>2514</v>
      </c>
    </row>
    <row r="1269" spans="1:2">
      <c r="A1269" s="211" t="s">
        <v>2515</v>
      </c>
      <c r="B1269" s="240" t="s">
        <v>2516</v>
      </c>
    </row>
    <row r="1270" spans="1:2">
      <c r="A1270" s="211" t="s">
        <v>2517</v>
      </c>
      <c r="B1270" s="240" t="s">
        <v>2518</v>
      </c>
    </row>
    <row r="1271" spans="1:2">
      <c r="A1271" s="211" t="s">
        <v>2519</v>
      </c>
      <c r="B1271" s="240" t="s">
        <v>2520</v>
      </c>
    </row>
    <row r="1272" spans="1:2">
      <c r="A1272" s="211" t="s">
        <v>2521</v>
      </c>
      <c r="B1272" s="240" t="s">
        <v>2522</v>
      </c>
    </row>
    <row r="1273" spans="1:2">
      <c r="A1273" s="211" t="s">
        <v>2523</v>
      </c>
      <c r="B1273" s="240" t="s">
        <v>4447</v>
      </c>
    </row>
    <row r="1274" spans="1:2">
      <c r="A1274" s="211" t="s">
        <v>2524</v>
      </c>
      <c r="B1274" s="240" t="s">
        <v>4448</v>
      </c>
    </row>
    <row r="1275" spans="1:2">
      <c r="A1275" s="211" t="s">
        <v>2525</v>
      </c>
      <c r="B1275" s="240" t="s">
        <v>4449</v>
      </c>
    </row>
    <row r="1276" spans="1:2">
      <c r="A1276" s="211" t="s">
        <v>2526</v>
      </c>
      <c r="B1276" s="240" t="s">
        <v>1361</v>
      </c>
    </row>
    <row r="1277" spans="1:2">
      <c r="A1277" s="211" t="s">
        <v>4292</v>
      </c>
      <c r="B1277" s="240" t="s">
        <v>455</v>
      </c>
    </row>
    <row r="1278" spans="1:2">
      <c r="A1278" s="211" t="s">
        <v>4293</v>
      </c>
      <c r="B1278" s="241" t="s">
        <v>4450</v>
      </c>
    </row>
    <row r="1279" spans="1:2">
      <c r="A1279" s="211" t="s">
        <v>4295</v>
      </c>
      <c r="B1279" s="240" t="s">
        <v>4451</v>
      </c>
    </row>
    <row r="1280" spans="1:2">
      <c r="A1280" s="211" t="s">
        <v>4296</v>
      </c>
      <c r="B1280" s="240" t="s">
        <v>4452</v>
      </c>
    </row>
    <row r="1281" spans="1:2">
      <c r="A1281" s="211" t="s">
        <v>4298</v>
      </c>
      <c r="B1281" s="240" t="s">
        <v>2512</v>
      </c>
    </row>
    <row r="1282" spans="1:2">
      <c r="A1282" s="211" t="s">
        <v>4300</v>
      </c>
      <c r="B1282" s="240" t="s">
        <v>4453</v>
      </c>
    </row>
    <row r="1283" spans="1:2">
      <c r="A1283" s="211" t="s">
        <v>4302</v>
      </c>
      <c r="B1283" s="240" t="s">
        <v>1922</v>
      </c>
    </row>
    <row r="1284" spans="1:2">
      <c r="A1284" s="211" t="s">
        <v>4304</v>
      </c>
      <c r="B1284" s="240" t="s">
        <v>1924</v>
      </c>
    </row>
    <row r="1285" spans="1:2">
      <c r="A1285" s="211" t="s">
        <v>4306</v>
      </c>
      <c r="B1285" s="240" t="s">
        <v>1926</v>
      </c>
    </row>
    <row r="1286" spans="1:2">
      <c r="A1286" s="211" t="s">
        <v>4307</v>
      </c>
      <c r="B1286" s="240" t="s">
        <v>1928</v>
      </c>
    </row>
    <row r="1287" spans="1:2">
      <c r="A1287" s="211" t="s">
        <v>4309</v>
      </c>
      <c r="B1287" s="240" t="s">
        <v>1930</v>
      </c>
    </row>
    <row r="1288" spans="1:2">
      <c r="A1288" s="211" t="s">
        <v>4311</v>
      </c>
      <c r="B1288" s="240" t="s">
        <v>1932</v>
      </c>
    </row>
    <row r="1289" spans="1:2">
      <c r="A1289" s="211" t="s">
        <v>4313</v>
      </c>
      <c r="B1289" s="240" t="s">
        <v>4454</v>
      </c>
    </row>
    <row r="1290" spans="1:2">
      <c r="A1290" s="211" t="s">
        <v>4314</v>
      </c>
      <c r="B1290" s="240" t="s">
        <v>4455</v>
      </c>
    </row>
    <row r="1291" spans="1:2">
      <c r="A1291" s="211" t="s">
        <v>4316</v>
      </c>
      <c r="B1291" s="240" t="s">
        <v>4456</v>
      </c>
    </row>
    <row r="1292" spans="1:2">
      <c r="A1292" s="211" t="s">
        <v>4318</v>
      </c>
      <c r="B1292" s="240" t="s">
        <v>4457</v>
      </c>
    </row>
    <row r="1293" spans="1:2">
      <c r="A1293" s="211" t="s">
        <v>4320</v>
      </c>
      <c r="B1293" s="240" t="s">
        <v>2798</v>
      </c>
    </row>
    <row r="1294" spans="1:2">
      <c r="A1294" s="211" t="s">
        <v>4322</v>
      </c>
      <c r="B1294" s="240" t="s">
        <v>985</v>
      </c>
    </row>
    <row r="1295" spans="1:2">
      <c r="A1295" s="211" t="s">
        <v>4324</v>
      </c>
      <c r="B1295" s="240" t="s">
        <v>686</v>
      </c>
    </row>
    <row r="1296" spans="1:2">
      <c r="A1296" s="211" t="s">
        <v>4326</v>
      </c>
      <c r="B1296" s="240" t="s">
        <v>697</v>
      </c>
    </row>
    <row r="1297" spans="1:7">
      <c r="A1297" s="211" t="s">
        <v>4328</v>
      </c>
      <c r="B1297" s="240" t="s">
        <v>832</v>
      </c>
    </row>
    <row r="1298" spans="1:7">
      <c r="A1298" s="211" t="s">
        <v>4330</v>
      </c>
      <c r="B1298" s="240" t="s">
        <v>4458</v>
      </c>
    </row>
    <row r="1299" spans="1:7">
      <c r="A1299" s="211" t="s">
        <v>4332</v>
      </c>
      <c r="B1299" s="240" t="s">
        <v>1361</v>
      </c>
    </row>
    <row r="1301" spans="1:7">
      <c r="A1301" s="209" t="s">
        <v>2527</v>
      </c>
      <c r="B1301" s="239" t="s">
        <v>4459</v>
      </c>
      <c r="C1301" s="209"/>
      <c r="D1301" s="209"/>
      <c r="E1301" s="209"/>
      <c r="F1301" s="209"/>
      <c r="G1301" s="209"/>
    </row>
    <row r="1302" spans="1:7">
      <c r="A1302" s="211" t="s">
        <v>452</v>
      </c>
      <c r="B1302" s="240" t="s">
        <v>453</v>
      </c>
    </row>
    <row r="1303" spans="1:7">
      <c r="A1303" s="211" t="s">
        <v>454</v>
      </c>
      <c r="B1303" s="241" t="s">
        <v>477</v>
      </c>
    </row>
    <row r="1304" spans="1:7">
      <c r="A1304" s="211" t="s">
        <v>456</v>
      </c>
      <c r="B1304" s="241" t="s">
        <v>2528</v>
      </c>
    </row>
    <row r="1305" spans="1:7">
      <c r="A1305" s="211" t="s">
        <v>458</v>
      </c>
      <c r="B1305" s="241" t="s">
        <v>4521</v>
      </c>
    </row>
    <row r="1306" spans="1:7">
      <c r="A1306" s="211" t="s">
        <v>460</v>
      </c>
      <c r="B1306" s="241" t="s">
        <v>2529</v>
      </c>
    </row>
    <row r="1307" spans="1:7">
      <c r="A1307" s="211" t="s">
        <v>462</v>
      </c>
      <c r="B1307" s="241" t="s">
        <v>477</v>
      </c>
    </row>
    <row r="1308" spans="1:7">
      <c r="A1308" s="211" t="s">
        <v>464</v>
      </c>
      <c r="B1308" s="240" t="s">
        <v>455</v>
      </c>
    </row>
    <row r="1309" spans="1:7">
      <c r="A1309" s="211" t="s">
        <v>466</v>
      </c>
      <c r="B1309" s="240" t="s">
        <v>2530</v>
      </c>
    </row>
    <row r="1310" spans="1:7">
      <c r="A1310" s="211" t="s">
        <v>468</v>
      </c>
      <c r="B1310" s="240" t="s">
        <v>2531</v>
      </c>
    </row>
    <row r="1311" spans="1:7">
      <c r="A1311" s="211" t="s">
        <v>470</v>
      </c>
      <c r="B1311" s="240" t="s">
        <v>2532</v>
      </c>
    </row>
    <row r="1312" spans="1:7">
      <c r="A1312" s="211" t="s">
        <v>472</v>
      </c>
      <c r="B1312" s="240" t="s">
        <v>2533</v>
      </c>
    </row>
    <row r="1313" spans="1:2">
      <c r="A1313" s="211" t="s">
        <v>474</v>
      </c>
      <c r="B1313" s="240" t="s">
        <v>2534</v>
      </c>
    </row>
    <row r="1314" spans="1:2">
      <c r="A1314" s="211" t="s">
        <v>486</v>
      </c>
      <c r="B1314" s="240" t="s">
        <v>2535</v>
      </c>
    </row>
    <row r="1315" spans="1:2">
      <c r="A1315" s="211" t="s">
        <v>488</v>
      </c>
      <c r="B1315" s="240" t="s">
        <v>2536</v>
      </c>
    </row>
    <row r="1316" spans="1:2">
      <c r="A1316" s="211" t="s">
        <v>489</v>
      </c>
      <c r="B1316" s="240" t="s">
        <v>2537</v>
      </c>
    </row>
    <row r="1317" spans="1:2">
      <c r="A1317" s="211" t="s">
        <v>491</v>
      </c>
      <c r="B1317" s="240" t="s">
        <v>2538</v>
      </c>
    </row>
    <row r="1318" spans="1:2">
      <c r="A1318" s="211" t="s">
        <v>493</v>
      </c>
      <c r="B1318" s="240" t="s">
        <v>2539</v>
      </c>
    </row>
    <row r="1319" spans="1:2">
      <c r="A1319" s="211" t="s">
        <v>495</v>
      </c>
      <c r="B1319" s="240" t="s">
        <v>2540</v>
      </c>
    </row>
    <row r="1320" spans="1:2">
      <c r="A1320" s="211" t="s">
        <v>497</v>
      </c>
      <c r="B1320" s="240" t="s">
        <v>2541</v>
      </c>
    </row>
    <row r="1321" spans="1:2">
      <c r="A1321" s="211" t="s">
        <v>499</v>
      </c>
      <c r="B1321" s="240" t="s">
        <v>2542</v>
      </c>
    </row>
    <row r="1322" spans="1:2">
      <c r="A1322" s="211" t="s">
        <v>501</v>
      </c>
      <c r="B1322" s="240" t="s">
        <v>2543</v>
      </c>
    </row>
    <row r="1323" spans="1:2">
      <c r="A1323" s="211" t="s">
        <v>502</v>
      </c>
      <c r="B1323" s="240" t="s">
        <v>2544</v>
      </c>
    </row>
    <row r="1324" spans="1:2">
      <c r="A1324" s="211" t="s">
        <v>504</v>
      </c>
      <c r="B1324" s="240" t="s">
        <v>4460</v>
      </c>
    </row>
    <row r="1325" spans="1:2">
      <c r="A1325" s="211" t="s">
        <v>506</v>
      </c>
      <c r="B1325" s="240" t="s">
        <v>455</v>
      </c>
    </row>
    <row r="1326" spans="1:2">
      <c r="A1326" s="211" t="s">
        <v>508</v>
      </c>
      <c r="B1326" s="240" t="s">
        <v>2545</v>
      </c>
    </row>
    <row r="1327" spans="1:2">
      <c r="A1327" s="211" t="s">
        <v>510</v>
      </c>
      <c r="B1327" s="240" t="s">
        <v>2546</v>
      </c>
    </row>
    <row r="1328" spans="1:2">
      <c r="A1328" s="211" t="s">
        <v>512</v>
      </c>
      <c r="B1328" s="240" t="s">
        <v>1361</v>
      </c>
    </row>
    <row r="1329" spans="1:2">
      <c r="A1329" s="211" t="s">
        <v>514</v>
      </c>
      <c r="B1329" s="240" t="s">
        <v>455</v>
      </c>
    </row>
    <row r="1330" spans="1:2">
      <c r="A1330" s="211" t="s">
        <v>516</v>
      </c>
      <c r="B1330" s="240" t="s">
        <v>2547</v>
      </c>
    </row>
    <row r="1331" spans="1:2">
      <c r="A1331" s="211" t="s">
        <v>518</v>
      </c>
      <c r="B1331" s="240" t="s">
        <v>2548</v>
      </c>
    </row>
    <row r="1332" spans="1:2">
      <c r="A1332" s="211" t="s">
        <v>520</v>
      </c>
      <c r="B1332" s="240" t="s">
        <v>1361</v>
      </c>
    </row>
    <row r="1333" spans="1:2">
      <c r="A1333" s="211" t="s">
        <v>522</v>
      </c>
      <c r="B1333" s="240" t="s">
        <v>455</v>
      </c>
    </row>
    <row r="1334" spans="1:2">
      <c r="A1334" s="211" t="s">
        <v>524</v>
      </c>
      <c r="B1334" s="241" t="s">
        <v>2549</v>
      </c>
    </row>
    <row r="1335" spans="1:2">
      <c r="A1335" s="211" t="s">
        <v>525</v>
      </c>
      <c r="B1335" s="241" t="s">
        <v>2550</v>
      </c>
    </row>
    <row r="1336" spans="1:2">
      <c r="A1336" s="211" t="s">
        <v>527</v>
      </c>
      <c r="B1336" s="241" t="s">
        <v>2549</v>
      </c>
    </row>
    <row r="1337" spans="1:2">
      <c r="A1337" s="211" t="s">
        <v>529</v>
      </c>
      <c r="B1337" s="240" t="s">
        <v>2551</v>
      </c>
    </row>
    <row r="1338" spans="1:2">
      <c r="A1338" s="211" t="s">
        <v>531</v>
      </c>
      <c r="B1338" s="240" t="s">
        <v>2552</v>
      </c>
    </row>
    <row r="1339" spans="1:2">
      <c r="A1339" s="211" t="s">
        <v>533</v>
      </c>
      <c r="B1339" s="240" t="s">
        <v>2553</v>
      </c>
    </row>
    <row r="1340" spans="1:2">
      <c r="A1340" s="211" t="s">
        <v>534</v>
      </c>
      <c r="B1340" s="240" t="s">
        <v>651</v>
      </c>
    </row>
    <row r="1341" spans="1:2">
      <c r="A1341" s="211" t="s">
        <v>536</v>
      </c>
      <c r="B1341" s="240" t="s">
        <v>473</v>
      </c>
    </row>
    <row r="1342" spans="1:2">
      <c r="A1342" s="211" t="s">
        <v>538</v>
      </c>
      <c r="B1342" s="240" t="s">
        <v>2554</v>
      </c>
    </row>
    <row r="1343" spans="1:2">
      <c r="A1343" s="211" t="s">
        <v>540</v>
      </c>
      <c r="B1343" s="240" t="s">
        <v>475</v>
      </c>
    </row>
    <row r="1344" spans="1:2">
      <c r="A1344" s="211" t="s">
        <v>542</v>
      </c>
      <c r="B1344" s="240" t="s">
        <v>455</v>
      </c>
    </row>
    <row r="1345" spans="1:2">
      <c r="A1345" s="211" t="s">
        <v>544</v>
      </c>
      <c r="B1345" s="241" t="s">
        <v>2555</v>
      </c>
    </row>
    <row r="1346" spans="1:2">
      <c r="A1346" s="211" t="s">
        <v>546</v>
      </c>
      <c r="B1346" s="240" t="s">
        <v>2556</v>
      </c>
    </row>
    <row r="1347" spans="1:2">
      <c r="A1347" s="211" t="s">
        <v>548</v>
      </c>
      <c r="B1347" s="240" t="s">
        <v>1787</v>
      </c>
    </row>
    <row r="1348" spans="1:2">
      <c r="A1348" s="211" t="s">
        <v>550</v>
      </c>
      <c r="B1348" s="240" t="s">
        <v>2557</v>
      </c>
    </row>
    <row r="1349" spans="1:2">
      <c r="A1349" s="211" t="s">
        <v>552</v>
      </c>
      <c r="B1349" s="240" t="s">
        <v>1793</v>
      </c>
    </row>
    <row r="1350" spans="1:2">
      <c r="A1350" s="211" t="s">
        <v>554</v>
      </c>
      <c r="B1350" s="240" t="s">
        <v>475</v>
      </c>
    </row>
    <row r="1351" spans="1:2">
      <c r="A1351" s="211" t="s">
        <v>555</v>
      </c>
      <c r="B1351" s="240" t="s">
        <v>455</v>
      </c>
    </row>
    <row r="1352" spans="1:2">
      <c r="A1352" s="211" t="s">
        <v>557</v>
      </c>
      <c r="B1352" s="240" t="s">
        <v>2558</v>
      </c>
    </row>
    <row r="1353" spans="1:2">
      <c r="A1353" s="211" t="s">
        <v>559</v>
      </c>
      <c r="B1353" s="240" t="s">
        <v>2559</v>
      </c>
    </row>
    <row r="1354" spans="1:2">
      <c r="A1354" s="211" t="s">
        <v>561</v>
      </c>
      <c r="B1354" s="240" t="s">
        <v>2560</v>
      </c>
    </row>
    <row r="1355" spans="1:2">
      <c r="A1355" s="211" t="s">
        <v>563</v>
      </c>
      <c r="B1355" s="240" t="s">
        <v>2561</v>
      </c>
    </row>
    <row r="1356" spans="1:2">
      <c r="A1356" s="211" t="s">
        <v>565</v>
      </c>
      <c r="B1356" s="240" t="s">
        <v>2562</v>
      </c>
    </row>
    <row r="1357" spans="1:2">
      <c r="A1357" s="211" t="s">
        <v>567</v>
      </c>
      <c r="B1357" s="240" t="s">
        <v>2563</v>
      </c>
    </row>
    <row r="1358" spans="1:2">
      <c r="A1358" s="211" t="s">
        <v>569</v>
      </c>
      <c r="B1358" s="240" t="s">
        <v>455</v>
      </c>
    </row>
    <row r="1359" spans="1:2">
      <c r="A1359" s="211" t="s">
        <v>571</v>
      </c>
      <c r="B1359" s="240" t="s">
        <v>628</v>
      </c>
    </row>
    <row r="1360" spans="1:2">
      <c r="A1360" s="211" t="s">
        <v>573</v>
      </c>
      <c r="B1360" s="240" t="s">
        <v>2564</v>
      </c>
    </row>
    <row r="1361" spans="1:2">
      <c r="A1361" s="211" t="s">
        <v>575</v>
      </c>
      <c r="B1361" s="240" t="s">
        <v>455</v>
      </c>
    </row>
    <row r="1362" spans="1:2">
      <c r="A1362" s="211" t="s">
        <v>576</v>
      </c>
      <c r="B1362" s="240" t="s">
        <v>2565</v>
      </c>
    </row>
    <row r="1363" spans="1:2">
      <c r="A1363" s="211" t="s">
        <v>578</v>
      </c>
      <c r="B1363" s="240" t="s">
        <v>2566</v>
      </c>
    </row>
    <row r="1364" spans="1:2">
      <c r="A1364" s="211" t="s">
        <v>580</v>
      </c>
      <c r="B1364" s="240" t="s">
        <v>2567</v>
      </c>
    </row>
    <row r="1365" spans="1:2">
      <c r="A1365" s="211" t="s">
        <v>582</v>
      </c>
      <c r="B1365" s="240" t="s">
        <v>2568</v>
      </c>
    </row>
    <row r="1366" spans="1:2">
      <c r="A1366" s="211" t="s">
        <v>584</v>
      </c>
      <c r="B1366" s="240" t="s">
        <v>651</v>
      </c>
    </row>
    <row r="1367" spans="1:2">
      <c r="A1367" s="211" t="s">
        <v>585</v>
      </c>
      <c r="B1367" s="240" t="s">
        <v>473</v>
      </c>
    </row>
    <row r="1368" spans="1:2">
      <c r="A1368" s="211" t="s">
        <v>587</v>
      </c>
      <c r="B1368" s="240" t="s">
        <v>2569</v>
      </c>
    </row>
    <row r="1369" spans="1:2">
      <c r="A1369" s="211" t="s">
        <v>588</v>
      </c>
      <c r="B1369" s="240" t="s">
        <v>2570</v>
      </c>
    </row>
    <row r="1370" spans="1:2">
      <c r="A1370" s="211" t="s">
        <v>590</v>
      </c>
      <c r="B1370" s="240" t="s">
        <v>2571</v>
      </c>
    </row>
    <row r="1371" spans="1:2">
      <c r="A1371" s="211" t="s">
        <v>592</v>
      </c>
      <c r="B1371" s="240" t="s">
        <v>2572</v>
      </c>
    </row>
    <row r="1372" spans="1:2">
      <c r="A1372" s="211" t="s">
        <v>594</v>
      </c>
      <c r="B1372" s="240" t="s">
        <v>2573</v>
      </c>
    </row>
    <row r="1373" spans="1:2">
      <c r="A1373" s="211" t="s">
        <v>596</v>
      </c>
      <c r="B1373" s="240" t="s">
        <v>2574</v>
      </c>
    </row>
    <row r="1374" spans="1:2">
      <c r="A1374" s="211" t="s">
        <v>598</v>
      </c>
      <c r="B1374" s="240" t="s">
        <v>2575</v>
      </c>
    </row>
    <row r="1375" spans="1:2">
      <c r="A1375" s="211" t="s">
        <v>600</v>
      </c>
      <c r="B1375" s="240" t="s">
        <v>2576</v>
      </c>
    </row>
    <row r="1376" spans="1:2">
      <c r="A1376" s="211" t="s">
        <v>602</v>
      </c>
      <c r="B1376" s="240" t="s">
        <v>2577</v>
      </c>
    </row>
    <row r="1377" spans="1:2">
      <c r="A1377" s="211" t="s">
        <v>603</v>
      </c>
      <c r="B1377" s="240" t="s">
        <v>2573</v>
      </c>
    </row>
    <row r="1378" spans="1:2">
      <c r="A1378" s="211" t="s">
        <v>605</v>
      </c>
      <c r="B1378" s="240" t="s">
        <v>2578</v>
      </c>
    </row>
    <row r="1379" spans="1:2">
      <c r="A1379" s="211" t="s">
        <v>606</v>
      </c>
      <c r="B1379" s="240" t="s">
        <v>2579</v>
      </c>
    </row>
    <row r="1380" spans="1:2">
      <c r="A1380" s="211" t="s">
        <v>607</v>
      </c>
      <c r="B1380" s="240" t="s">
        <v>2580</v>
      </c>
    </row>
    <row r="1381" spans="1:2">
      <c r="A1381" s="211" t="s">
        <v>609</v>
      </c>
      <c r="B1381" s="240" t="s">
        <v>651</v>
      </c>
    </row>
    <row r="1382" spans="1:2">
      <c r="A1382" s="211" t="s">
        <v>610</v>
      </c>
      <c r="B1382" s="240" t="s">
        <v>473</v>
      </c>
    </row>
    <row r="1383" spans="1:2">
      <c r="A1383" s="211" t="s">
        <v>612</v>
      </c>
      <c r="B1383" s="240" t="s">
        <v>2581</v>
      </c>
    </row>
    <row r="1384" spans="1:2">
      <c r="A1384" s="211" t="s">
        <v>614</v>
      </c>
      <c r="B1384" s="240" t="s">
        <v>455</v>
      </c>
    </row>
    <row r="1385" spans="1:2">
      <c r="A1385" s="211" t="s">
        <v>616</v>
      </c>
      <c r="B1385" s="240" t="s">
        <v>2582</v>
      </c>
    </row>
    <row r="1386" spans="1:2">
      <c r="A1386" s="211" t="s">
        <v>618</v>
      </c>
      <c r="B1386" s="240" t="s">
        <v>2583</v>
      </c>
    </row>
    <row r="1387" spans="1:2">
      <c r="A1387" s="211" t="s">
        <v>620</v>
      </c>
      <c r="B1387" s="240" t="s">
        <v>2584</v>
      </c>
    </row>
    <row r="1388" spans="1:2">
      <c r="A1388" s="211" t="s">
        <v>622</v>
      </c>
      <c r="B1388" s="240" t="s">
        <v>2585</v>
      </c>
    </row>
    <row r="1389" spans="1:2">
      <c r="A1389" s="211" t="s">
        <v>624</v>
      </c>
      <c r="B1389" s="240" t="s">
        <v>2586</v>
      </c>
    </row>
    <row r="1390" spans="1:2">
      <c r="A1390" s="211" t="s">
        <v>626</v>
      </c>
      <c r="B1390" s="240" t="s">
        <v>2587</v>
      </c>
    </row>
    <row r="1391" spans="1:2">
      <c r="A1391" s="211" t="s">
        <v>627</v>
      </c>
      <c r="B1391" s="240" t="s">
        <v>2588</v>
      </c>
    </row>
    <row r="1392" spans="1:2">
      <c r="A1392" s="211" t="s">
        <v>629</v>
      </c>
      <c r="B1392" s="240" t="s">
        <v>2589</v>
      </c>
    </row>
    <row r="1393" spans="1:2">
      <c r="A1393" s="211" t="s">
        <v>631</v>
      </c>
      <c r="B1393" s="240" t="s">
        <v>2590</v>
      </c>
    </row>
    <row r="1394" spans="1:2">
      <c r="A1394" s="211" t="s">
        <v>633</v>
      </c>
      <c r="B1394" s="240" t="s">
        <v>2591</v>
      </c>
    </row>
    <row r="1395" spans="1:2">
      <c r="A1395" s="211" t="s">
        <v>635</v>
      </c>
      <c r="B1395" s="240" t="s">
        <v>2592</v>
      </c>
    </row>
    <row r="1396" spans="1:2">
      <c r="A1396" s="211" t="s">
        <v>637</v>
      </c>
      <c r="B1396" s="240" t="s">
        <v>2593</v>
      </c>
    </row>
    <row r="1397" spans="1:2">
      <c r="A1397" s="211" t="s">
        <v>639</v>
      </c>
      <c r="B1397" s="240" t="s">
        <v>2594</v>
      </c>
    </row>
    <row r="1398" spans="1:2">
      <c r="A1398" s="211" t="s">
        <v>640</v>
      </c>
      <c r="B1398" s="240" t="s">
        <v>2595</v>
      </c>
    </row>
    <row r="1399" spans="1:2">
      <c r="A1399" s="211" t="s">
        <v>642</v>
      </c>
      <c r="B1399" s="240" t="s">
        <v>2596</v>
      </c>
    </row>
    <row r="1400" spans="1:2">
      <c r="A1400" s="211" t="s">
        <v>644</v>
      </c>
      <c r="B1400" s="240" t="s">
        <v>697</v>
      </c>
    </row>
    <row r="1401" spans="1:2">
      <c r="A1401" s="211" t="s">
        <v>646</v>
      </c>
      <c r="B1401" s="240" t="s">
        <v>2597</v>
      </c>
    </row>
    <row r="1402" spans="1:2">
      <c r="A1402" s="211" t="s">
        <v>648</v>
      </c>
      <c r="B1402" s="240" t="s">
        <v>2598</v>
      </c>
    </row>
    <row r="1403" spans="1:2">
      <c r="A1403" s="211" t="s">
        <v>650</v>
      </c>
      <c r="B1403" s="240" t="s">
        <v>2599</v>
      </c>
    </row>
    <row r="1404" spans="1:2">
      <c r="A1404" s="211" t="s">
        <v>652</v>
      </c>
      <c r="B1404" s="240" t="s">
        <v>2600</v>
      </c>
    </row>
    <row r="1405" spans="1:2">
      <c r="A1405" s="211" t="s">
        <v>653</v>
      </c>
      <c r="B1405" s="240" t="s">
        <v>733</v>
      </c>
    </row>
    <row r="1406" spans="1:2">
      <c r="A1406" s="211" t="s">
        <v>655</v>
      </c>
      <c r="B1406" s="240" t="s">
        <v>2601</v>
      </c>
    </row>
    <row r="1407" spans="1:2">
      <c r="A1407" s="211" t="s">
        <v>657</v>
      </c>
      <c r="B1407" s="240" t="s">
        <v>737</v>
      </c>
    </row>
    <row r="1408" spans="1:2">
      <c r="A1408" s="211" t="s">
        <v>659</v>
      </c>
      <c r="B1408" s="240" t="s">
        <v>473</v>
      </c>
    </row>
    <row r="1409" spans="1:2">
      <c r="A1409" s="211" t="s">
        <v>661</v>
      </c>
      <c r="B1409" s="240" t="s">
        <v>455</v>
      </c>
    </row>
    <row r="1410" spans="1:2">
      <c r="A1410" s="211" t="s">
        <v>662</v>
      </c>
      <c r="B1410" s="240" t="s">
        <v>741</v>
      </c>
    </row>
    <row r="1411" spans="1:2">
      <c r="A1411" s="211" t="s">
        <v>664</v>
      </c>
      <c r="B1411" s="240" t="s">
        <v>743</v>
      </c>
    </row>
    <row r="1412" spans="1:2">
      <c r="A1412" s="211" t="s">
        <v>666</v>
      </c>
      <c r="B1412" s="240" t="s">
        <v>2602</v>
      </c>
    </row>
    <row r="1413" spans="1:2">
      <c r="A1413" s="211" t="s">
        <v>668</v>
      </c>
      <c r="B1413" s="240" t="s">
        <v>2603</v>
      </c>
    </row>
    <row r="1414" spans="1:2">
      <c r="A1414" s="211" t="s">
        <v>670</v>
      </c>
      <c r="B1414" s="240" t="s">
        <v>455</v>
      </c>
    </row>
    <row r="1415" spans="1:2">
      <c r="A1415" s="211" t="s">
        <v>671</v>
      </c>
      <c r="B1415" s="240" t="s">
        <v>2604</v>
      </c>
    </row>
    <row r="1416" spans="1:2">
      <c r="A1416" s="211" t="s">
        <v>672</v>
      </c>
      <c r="B1416" s="240" t="s">
        <v>2605</v>
      </c>
    </row>
    <row r="1417" spans="1:2">
      <c r="A1417" s="211" t="s">
        <v>673</v>
      </c>
      <c r="B1417" s="240" t="s">
        <v>2606</v>
      </c>
    </row>
    <row r="1418" spans="1:2">
      <c r="A1418" s="211" t="s">
        <v>675</v>
      </c>
      <c r="B1418" s="240" t="s">
        <v>792</v>
      </c>
    </row>
    <row r="1419" spans="1:2">
      <c r="A1419" s="211" t="s">
        <v>677</v>
      </c>
      <c r="B1419" s="240" t="s">
        <v>2607</v>
      </c>
    </row>
    <row r="1420" spans="1:2">
      <c r="A1420" s="211" t="s">
        <v>679</v>
      </c>
      <c r="B1420" s="240" t="s">
        <v>2608</v>
      </c>
    </row>
    <row r="1421" spans="1:2">
      <c r="A1421" s="211" t="s">
        <v>681</v>
      </c>
      <c r="B1421" s="240" t="s">
        <v>455</v>
      </c>
    </row>
    <row r="1422" spans="1:2">
      <c r="A1422" s="211" t="s">
        <v>683</v>
      </c>
      <c r="B1422" s="240" t="s">
        <v>2609</v>
      </c>
    </row>
    <row r="1423" spans="1:2">
      <c r="A1423" s="211" t="s">
        <v>685</v>
      </c>
      <c r="B1423" s="240" t="s">
        <v>2610</v>
      </c>
    </row>
    <row r="1424" spans="1:2">
      <c r="A1424" s="211" t="s">
        <v>687</v>
      </c>
      <c r="B1424" s="240" t="s">
        <v>2611</v>
      </c>
    </row>
    <row r="1425" spans="1:2">
      <c r="A1425" s="211" t="s">
        <v>689</v>
      </c>
      <c r="B1425" s="240" t="s">
        <v>2612</v>
      </c>
    </row>
    <row r="1426" spans="1:2">
      <c r="A1426" s="211" t="s">
        <v>691</v>
      </c>
      <c r="B1426" s="240" t="s">
        <v>2613</v>
      </c>
    </row>
    <row r="1427" spans="1:2">
      <c r="A1427" s="211" t="s">
        <v>692</v>
      </c>
      <c r="B1427" s="240" t="s">
        <v>2614</v>
      </c>
    </row>
    <row r="1428" spans="1:2">
      <c r="A1428" s="211" t="s">
        <v>694</v>
      </c>
      <c r="B1428" s="240" t="s">
        <v>2615</v>
      </c>
    </row>
    <row r="1429" spans="1:2">
      <c r="A1429" s="211" t="s">
        <v>696</v>
      </c>
      <c r="B1429" s="240" t="s">
        <v>2616</v>
      </c>
    </row>
    <row r="1430" spans="1:2">
      <c r="A1430" s="211" t="s">
        <v>698</v>
      </c>
      <c r="B1430" s="240" t="s">
        <v>911</v>
      </c>
    </row>
    <row r="1431" spans="1:2">
      <c r="A1431" s="211" t="s">
        <v>700</v>
      </c>
      <c r="B1431" s="240" t="s">
        <v>898</v>
      </c>
    </row>
    <row r="1432" spans="1:2">
      <c r="A1432" s="211" t="s">
        <v>702</v>
      </c>
      <c r="B1432" s="240" t="s">
        <v>2617</v>
      </c>
    </row>
    <row r="1433" spans="1:2">
      <c r="A1433" s="211" t="s">
        <v>704</v>
      </c>
      <c r="B1433" s="240" t="s">
        <v>2618</v>
      </c>
    </row>
    <row r="1434" spans="1:2">
      <c r="A1434" s="211" t="s">
        <v>705</v>
      </c>
      <c r="B1434" s="240" t="s">
        <v>2619</v>
      </c>
    </row>
    <row r="1435" spans="1:2">
      <c r="A1435" s="211" t="s">
        <v>706</v>
      </c>
      <c r="B1435" s="240" t="s">
        <v>455</v>
      </c>
    </row>
    <row r="1436" spans="1:2">
      <c r="A1436" s="211" t="s">
        <v>707</v>
      </c>
      <c r="B1436" s="240" t="s">
        <v>2620</v>
      </c>
    </row>
    <row r="1437" spans="1:2">
      <c r="A1437" s="211" t="s">
        <v>709</v>
      </c>
      <c r="B1437" s="240" t="s">
        <v>2621</v>
      </c>
    </row>
    <row r="1438" spans="1:2">
      <c r="A1438" s="211" t="s">
        <v>711</v>
      </c>
      <c r="B1438" s="240" t="s">
        <v>2622</v>
      </c>
    </row>
    <row r="1439" spans="1:2">
      <c r="A1439" s="211" t="s">
        <v>713</v>
      </c>
      <c r="B1439" s="240" t="s">
        <v>2623</v>
      </c>
    </row>
    <row r="1440" spans="1:2">
      <c r="A1440" s="211" t="s">
        <v>715</v>
      </c>
      <c r="B1440" s="240" t="s">
        <v>455</v>
      </c>
    </row>
    <row r="1441" spans="1:2">
      <c r="A1441" s="211" t="s">
        <v>717</v>
      </c>
      <c r="B1441" s="240" t="s">
        <v>2624</v>
      </c>
    </row>
    <row r="1442" spans="1:2">
      <c r="A1442" s="211" t="s">
        <v>719</v>
      </c>
      <c r="B1442" s="240" t="s">
        <v>2625</v>
      </c>
    </row>
    <row r="1443" spans="1:2">
      <c r="A1443" s="211" t="s">
        <v>721</v>
      </c>
      <c r="B1443" s="240" t="s">
        <v>847</v>
      </c>
    </row>
    <row r="1444" spans="1:2">
      <c r="A1444" s="211" t="s">
        <v>723</v>
      </c>
      <c r="B1444" s="240" t="s">
        <v>849</v>
      </c>
    </row>
    <row r="1445" spans="1:2">
      <c r="A1445" s="211" t="s">
        <v>725</v>
      </c>
      <c r="B1445" s="240" t="s">
        <v>2626</v>
      </c>
    </row>
    <row r="1446" spans="1:2">
      <c r="A1446" s="211" t="s">
        <v>727</v>
      </c>
      <c r="B1446" s="240" t="s">
        <v>2627</v>
      </c>
    </row>
    <row r="1447" spans="1:2">
      <c r="A1447" s="211" t="s">
        <v>729</v>
      </c>
      <c r="B1447" s="240" t="s">
        <v>2628</v>
      </c>
    </row>
    <row r="1448" spans="1:2">
      <c r="A1448" s="211" t="s">
        <v>730</v>
      </c>
      <c r="B1448" s="240" t="s">
        <v>2629</v>
      </c>
    </row>
    <row r="1449" spans="1:2">
      <c r="A1449" s="211" t="s">
        <v>732</v>
      </c>
      <c r="B1449" s="240" t="s">
        <v>2630</v>
      </c>
    </row>
    <row r="1450" spans="1:2">
      <c r="A1450" s="211" t="s">
        <v>734</v>
      </c>
      <c r="B1450" s="240" t="s">
        <v>2631</v>
      </c>
    </row>
    <row r="1451" spans="1:2">
      <c r="A1451" s="211" t="s">
        <v>736</v>
      </c>
      <c r="B1451" s="240" t="s">
        <v>2066</v>
      </c>
    </row>
    <row r="1452" spans="1:2">
      <c r="A1452" s="211" t="s">
        <v>738</v>
      </c>
      <c r="B1452" s="240" t="s">
        <v>2632</v>
      </c>
    </row>
    <row r="1453" spans="1:2">
      <c r="A1453" s="211" t="s">
        <v>739</v>
      </c>
      <c r="B1453" s="240" t="s">
        <v>697</v>
      </c>
    </row>
    <row r="1454" spans="1:2">
      <c r="A1454" s="211" t="s">
        <v>740</v>
      </c>
      <c r="B1454" s="240" t="s">
        <v>455</v>
      </c>
    </row>
    <row r="1455" spans="1:2">
      <c r="A1455" s="211" t="s">
        <v>742</v>
      </c>
      <c r="B1455" s="240" t="s">
        <v>2633</v>
      </c>
    </row>
    <row r="1456" spans="1:2">
      <c r="A1456" s="211" t="s">
        <v>744</v>
      </c>
      <c r="B1456" s="240" t="s">
        <v>2634</v>
      </c>
    </row>
    <row r="1457" spans="1:2">
      <c r="A1457" s="211" t="s">
        <v>746</v>
      </c>
      <c r="B1457" s="240" t="s">
        <v>2635</v>
      </c>
    </row>
    <row r="1458" spans="1:2">
      <c r="A1458" s="211" t="s">
        <v>748</v>
      </c>
      <c r="B1458" s="240" t="s">
        <v>2636</v>
      </c>
    </row>
    <row r="1459" spans="1:2">
      <c r="A1459" s="211" t="s">
        <v>750</v>
      </c>
      <c r="B1459" s="240" t="s">
        <v>2637</v>
      </c>
    </row>
    <row r="1460" spans="1:2">
      <c r="A1460" s="211" t="s">
        <v>752</v>
      </c>
      <c r="B1460" s="240" t="s">
        <v>2638</v>
      </c>
    </row>
    <row r="1461" spans="1:2">
      <c r="A1461" s="211" t="s">
        <v>753</v>
      </c>
      <c r="B1461" s="240" t="s">
        <v>2639</v>
      </c>
    </row>
    <row r="1462" spans="1:2">
      <c r="A1462" s="211" t="s">
        <v>755</v>
      </c>
      <c r="B1462" s="240" t="s">
        <v>2640</v>
      </c>
    </row>
    <row r="1463" spans="1:2">
      <c r="A1463" s="211" t="s">
        <v>757</v>
      </c>
      <c r="B1463" s="240" t="s">
        <v>889</v>
      </c>
    </row>
    <row r="1464" spans="1:2">
      <c r="A1464" s="211" t="s">
        <v>759</v>
      </c>
      <c r="B1464" s="240" t="s">
        <v>2641</v>
      </c>
    </row>
    <row r="1465" spans="1:2">
      <c r="A1465" s="211" t="s">
        <v>761</v>
      </c>
      <c r="B1465" s="240" t="s">
        <v>2642</v>
      </c>
    </row>
    <row r="1466" spans="1:2">
      <c r="A1466" s="211" t="s">
        <v>763</v>
      </c>
      <c r="B1466" s="240" t="s">
        <v>2643</v>
      </c>
    </row>
    <row r="1467" spans="1:2">
      <c r="A1467" s="211" t="s">
        <v>765</v>
      </c>
      <c r="B1467" s="240" t="s">
        <v>2644</v>
      </c>
    </row>
    <row r="1468" spans="1:2">
      <c r="A1468" s="211" t="s">
        <v>767</v>
      </c>
      <c r="B1468" s="240" t="s">
        <v>2645</v>
      </c>
    </row>
    <row r="1469" spans="1:2">
      <c r="A1469" s="211" t="s">
        <v>768</v>
      </c>
      <c r="B1469" s="240" t="s">
        <v>2646</v>
      </c>
    </row>
    <row r="1470" spans="1:2">
      <c r="A1470" s="211" t="s">
        <v>769</v>
      </c>
      <c r="B1470" s="240" t="s">
        <v>2647</v>
      </c>
    </row>
    <row r="1471" spans="1:2">
      <c r="A1471" s="211" t="s">
        <v>771</v>
      </c>
      <c r="B1471" s="240" t="s">
        <v>2648</v>
      </c>
    </row>
    <row r="1472" spans="1:2">
      <c r="A1472" s="211" t="s">
        <v>773</v>
      </c>
      <c r="B1472" s="240" t="s">
        <v>2637</v>
      </c>
    </row>
    <row r="1473" spans="1:2">
      <c r="A1473" s="211" t="s">
        <v>775</v>
      </c>
      <c r="B1473" s="240" t="s">
        <v>2259</v>
      </c>
    </row>
    <row r="1474" spans="1:2">
      <c r="A1474" s="211" t="s">
        <v>777</v>
      </c>
      <c r="B1474" s="240" t="s">
        <v>2649</v>
      </c>
    </row>
    <row r="1475" spans="1:2">
      <c r="A1475" s="211" t="s">
        <v>779</v>
      </c>
      <c r="B1475" s="240" t="s">
        <v>889</v>
      </c>
    </row>
    <row r="1476" spans="1:2">
      <c r="A1476" s="211" t="s">
        <v>780</v>
      </c>
      <c r="B1476" s="240" t="s">
        <v>2650</v>
      </c>
    </row>
    <row r="1477" spans="1:2">
      <c r="A1477" s="211" t="s">
        <v>782</v>
      </c>
      <c r="B1477" s="240" t="s">
        <v>2651</v>
      </c>
    </row>
    <row r="1478" spans="1:2">
      <c r="A1478" s="211" t="s">
        <v>783</v>
      </c>
      <c r="B1478" s="240" t="s">
        <v>2652</v>
      </c>
    </row>
    <row r="1479" spans="1:2">
      <c r="A1479" s="211" t="s">
        <v>785</v>
      </c>
      <c r="B1479" s="240" t="s">
        <v>2653</v>
      </c>
    </row>
    <row r="1480" spans="1:2">
      <c r="A1480" s="211" t="s">
        <v>787</v>
      </c>
      <c r="B1480" s="240" t="s">
        <v>455</v>
      </c>
    </row>
    <row r="1481" spans="1:2">
      <c r="A1481" s="211" t="s">
        <v>789</v>
      </c>
      <c r="B1481" s="240" t="s">
        <v>2654</v>
      </c>
    </row>
    <row r="1482" spans="1:2">
      <c r="A1482" s="211" t="s">
        <v>791</v>
      </c>
      <c r="B1482" s="240" t="s">
        <v>2655</v>
      </c>
    </row>
    <row r="1483" spans="1:2">
      <c r="A1483" s="211" t="s">
        <v>793</v>
      </c>
      <c r="B1483" s="240" t="s">
        <v>2656</v>
      </c>
    </row>
    <row r="1484" spans="1:2">
      <c r="A1484" s="211" t="s">
        <v>795</v>
      </c>
      <c r="B1484" s="240" t="s">
        <v>2657</v>
      </c>
    </row>
    <row r="1485" spans="1:2">
      <c r="A1485" s="211" t="s">
        <v>797</v>
      </c>
      <c r="B1485" s="240" t="s">
        <v>2658</v>
      </c>
    </row>
    <row r="1486" spans="1:2">
      <c r="A1486" s="211" t="s">
        <v>798</v>
      </c>
      <c r="B1486" s="240" t="s">
        <v>2659</v>
      </c>
    </row>
    <row r="1487" spans="1:2">
      <c r="A1487" s="211" t="s">
        <v>800</v>
      </c>
      <c r="B1487" s="240" t="s">
        <v>2660</v>
      </c>
    </row>
    <row r="1488" spans="1:2">
      <c r="A1488" s="211" t="s">
        <v>802</v>
      </c>
      <c r="B1488" s="240" t="s">
        <v>2661</v>
      </c>
    </row>
    <row r="1489" spans="1:2">
      <c r="A1489" s="211" t="s">
        <v>803</v>
      </c>
      <c r="B1489" s="240" t="s">
        <v>2645</v>
      </c>
    </row>
    <row r="1490" spans="1:2">
      <c r="A1490" s="211" t="s">
        <v>805</v>
      </c>
      <c r="B1490" s="240" t="s">
        <v>2662</v>
      </c>
    </row>
    <row r="1491" spans="1:2">
      <c r="A1491" s="211" t="s">
        <v>807</v>
      </c>
      <c r="B1491" s="240" t="s">
        <v>2306</v>
      </c>
    </row>
    <row r="1492" spans="1:2">
      <c r="A1492" s="211" t="s">
        <v>809</v>
      </c>
      <c r="B1492" s="240" t="s">
        <v>2663</v>
      </c>
    </row>
    <row r="1493" spans="1:2">
      <c r="A1493" s="211" t="s">
        <v>811</v>
      </c>
      <c r="B1493" s="240" t="s">
        <v>889</v>
      </c>
    </row>
    <row r="1494" spans="1:2">
      <c r="A1494" s="211" t="s">
        <v>813</v>
      </c>
      <c r="B1494" s="240" t="s">
        <v>2664</v>
      </c>
    </row>
    <row r="1495" spans="1:2">
      <c r="A1495" s="211" t="s">
        <v>815</v>
      </c>
      <c r="B1495" s="240" t="s">
        <v>2250</v>
      </c>
    </row>
    <row r="1496" spans="1:2">
      <c r="A1496" s="211" t="s">
        <v>817</v>
      </c>
      <c r="B1496" s="240" t="s">
        <v>2252</v>
      </c>
    </row>
    <row r="1497" spans="1:2">
      <c r="A1497" s="211" t="s">
        <v>818</v>
      </c>
      <c r="B1497" s="240" t="s">
        <v>2665</v>
      </c>
    </row>
    <row r="1498" spans="1:2">
      <c r="A1498" s="211" t="s">
        <v>820</v>
      </c>
      <c r="B1498" s="240" t="s">
        <v>889</v>
      </c>
    </row>
    <row r="1499" spans="1:2">
      <c r="A1499" s="211" t="s">
        <v>822</v>
      </c>
      <c r="B1499" s="240" t="s">
        <v>2666</v>
      </c>
    </row>
    <row r="1500" spans="1:2">
      <c r="A1500" s="211" t="s">
        <v>824</v>
      </c>
      <c r="B1500" s="240" t="s">
        <v>2667</v>
      </c>
    </row>
    <row r="1501" spans="1:2">
      <c r="A1501" s="211" t="s">
        <v>825</v>
      </c>
      <c r="B1501" s="240" t="s">
        <v>455</v>
      </c>
    </row>
    <row r="1502" spans="1:2">
      <c r="A1502" s="211" t="s">
        <v>827</v>
      </c>
      <c r="B1502" s="240" t="s">
        <v>2668</v>
      </c>
    </row>
    <row r="1503" spans="1:2">
      <c r="A1503" s="211" t="s">
        <v>829</v>
      </c>
      <c r="B1503" s="240" t="s">
        <v>2669</v>
      </c>
    </row>
    <row r="1504" spans="1:2">
      <c r="A1504" s="211" t="s">
        <v>831</v>
      </c>
      <c r="B1504" s="240" t="s">
        <v>2670</v>
      </c>
    </row>
    <row r="1505" spans="1:2">
      <c r="A1505" s="211" t="s">
        <v>833</v>
      </c>
      <c r="B1505" s="240" t="s">
        <v>2259</v>
      </c>
    </row>
    <row r="1506" spans="1:2">
      <c r="A1506" s="211" t="s">
        <v>835</v>
      </c>
      <c r="B1506" s="240" t="s">
        <v>2671</v>
      </c>
    </row>
    <row r="1507" spans="1:2">
      <c r="A1507" s="211" t="s">
        <v>837</v>
      </c>
      <c r="B1507" s="240" t="s">
        <v>2637</v>
      </c>
    </row>
    <row r="1508" spans="1:2">
      <c r="A1508" s="211" t="s">
        <v>839</v>
      </c>
      <c r="B1508" s="240" t="s">
        <v>2672</v>
      </c>
    </row>
    <row r="1509" spans="1:2">
      <c r="A1509" s="211" t="s">
        <v>841</v>
      </c>
      <c r="B1509" s="240" t="s">
        <v>2673</v>
      </c>
    </row>
    <row r="1510" spans="1:2">
      <c r="A1510" s="211" t="s">
        <v>843</v>
      </c>
      <c r="B1510" s="240" t="s">
        <v>2250</v>
      </c>
    </row>
    <row r="1511" spans="1:2">
      <c r="A1511" s="211" t="s">
        <v>844</v>
      </c>
      <c r="B1511" s="240" t="s">
        <v>2674</v>
      </c>
    </row>
    <row r="1512" spans="1:2">
      <c r="A1512" s="211" t="s">
        <v>845</v>
      </c>
      <c r="B1512" s="240" t="s">
        <v>889</v>
      </c>
    </row>
    <row r="1513" spans="1:2">
      <c r="A1513" s="211" t="s">
        <v>846</v>
      </c>
      <c r="B1513" s="240" t="s">
        <v>455</v>
      </c>
    </row>
    <row r="1514" spans="1:2">
      <c r="A1514" s="211" t="s">
        <v>848</v>
      </c>
      <c r="B1514" s="240" t="s">
        <v>2675</v>
      </c>
    </row>
    <row r="1515" spans="1:2">
      <c r="A1515" s="211" t="s">
        <v>850</v>
      </c>
      <c r="B1515" s="240" t="s">
        <v>832</v>
      </c>
    </row>
    <row r="1516" spans="1:2">
      <c r="A1516" s="211" t="s">
        <v>852</v>
      </c>
      <c r="B1516" s="240" t="s">
        <v>2676</v>
      </c>
    </row>
    <row r="1517" spans="1:2">
      <c r="A1517" s="211" t="s">
        <v>854</v>
      </c>
      <c r="B1517" s="240" t="s">
        <v>455</v>
      </c>
    </row>
    <row r="1518" spans="1:2">
      <c r="A1518" s="211" t="s">
        <v>856</v>
      </c>
      <c r="B1518" s="240" t="s">
        <v>2677</v>
      </c>
    </row>
    <row r="1519" spans="1:2">
      <c r="A1519" s="211" t="s">
        <v>858</v>
      </c>
      <c r="B1519" s="240" t="s">
        <v>2678</v>
      </c>
    </row>
    <row r="1520" spans="1:2">
      <c r="A1520" s="211" t="s">
        <v>860</v>
      </c>
      <c r="B1520" s="240" t="s">
        <v>907</v>
      </c>
    </row>
    <row r="1521" spans="1:2">
      <c r="A1521" s="211" t="s">
        <v>862</v>
      </c>
      <c r="B1521" s="240" t="s">
        <v>898</v>
      </c>
    </row>
    <row r="1522" spans="1:2">
      <c r="A1522" s="211" t="s">
        <v>864</v>
      </c>
      <c r="B1522" s="240" t="s">
        <v>2679</v>
      </c>
    </row>
    <row r="1523" spans="1:2">
      <c r="A1523" s="211" t="s">
        <v>865</v>
      </c>
      <c r="B1523" s="240" t="s">
        <v>2680</v>
      </c>
    </row>
    <row r="1524" spans="1:2">
      <c r="A1524" s="211" t="s">
        <v>867</v>
      </c>
      <c r="B1524" s="240" t="s">
        <v>907</v>
      </c>
    </row>
    <row r="1525" spans="1:2">
      <c r="A1525" s="211" t="s">
        <v>869</v>
      </c>
      <c r="B1525" s="240" t="s">
        <v>898</v>
      </c>
    </row>
    <row r="1526" spans="1:2">
      <c r="A1526" s="211" t="s">
        <v>871</v>
      </c>
      <c r="B1526" s="240" t="s">
        <v>2681</v>
      </c>
    </row>
    <row r="1527" spans="1:2">
      <c r="A1527" s="211" t="s">
        <v>873</v>
      </c>
      <c r="B1527" s="240" t="s">
        <v>2682</v>
      </c>
    </row>
    <row r="1528" spans="1:2">
      <c r="A1528" s="211" t="s">
        <v>875</v>
      </c>
      <c r="B1528" s="240" t="s">
        <v>455</v>
      </c>
    </row>
    <row r="1529" spans="1:2">
      <c r="A1529" s="211" t="s">
        <v>877</v>
      </c>
      <c r="B1529" s="240" t="s">
        <v>2683</v>
      </c>
    </row>
    <row r="1530" spans="1:2">
      <c r="A1530" s="211" t="s">
        <v>879</v>
      </c>
      <c r="B1530" s="240" t="s">
        <v>2684</v>
      </c>
    </row>
    <row r="1531" spans="1:2">
      <c r="A1531" s="211" t="s">
        <v>881</v>
      </c>
      <c r="B1531" s="240" t="s">
        <v>2685</v>
      </c>
    </row>
    <row r="1532" spans="1:2">
      <c r="A1532" s="211" t="s">
        <v>883</v>
      </c>
      <c r="B1532" s="240" t="s">
        <v>2686</v>
      </c>
    </row>
    <row r="1533" spans="1:2">
      <c r="A1533" s="211" t="s">
        <v>885</v>
      </c>
      <c r="B1533" s="240" t="s">
        <v>2687</v>
      </c>
    </row>
    <row r="1534" spans="1:2">
      <c r="A1534" s="211" t="s">
        <v>887</v>
      </c>
      <c r="B1534" s="240" t="s">
        <v>2688</v>
      </c>
    </row>
    <row r="1535" spans="1:2">
      <c r="A1535" s="211" t="s">
        <v>888</v>
      </c>
      <c r="B1535" s="240" t="s">
        <v>2689</v>
      </c>
    </row>
    <row r="1536" spans="1:2">
      <c r="A1536" s="211" t="s">
        <v>890</v>
      </c>
      <c r="B1536" s="240" t="s">
        <v>2690</v>
      </c>
    </row>
    <row r="1537" spans="1:2">
      <c r="A1537" s="211" t="s">
        <v>891</v>
      </c>
      <c r="B1537" s="240" t="s">
        <v>2691</v>
      </c>
    </row>
    <row r="1538" spans="1:2">
      <c r="A1538" s="211" t="s">
        <v>893</v>
      </c>
      <c r="B1538" s="240" t="s">
        <v>2692</v>
      </c>
    </row>
    <row r="1539" spans="1:2">
      <c r="A1539" s="211" t="s">
        <v>895</v>
      </c>
      <c r="B1539" s="240" t="s">
        <v>898</v>
      </c>
    </row>
    <row r="1540" spans="1:2">
      <c r="A1540" s="211" t="s">
        <v>897</v>
      </c>
      <c r="B1540" s="240" t="s">
        <v>455</v>
      </c>
    </row>
    <row r="1541" spans="1:2">
      <c r="A1541" s="211" t="s">
        <v>899</v>
      </c>
      <c r="B1541" s="240" t="s">
        <v>2693</v>
      </c>
    </row>
    <row r="1542" spans="1:2">
      <c r="A1542" s="211" t="s">
        <v>901</v>
      </c>
      <c r="B1542" s="240" t="s">
        <v>2694</v>
      </c>
    </row>
    <row r="1543" spans="1:2">
      <c r="A1543" s="211" t="s">
        <v>902</v>
      </c>
      <c r="B1543" s="240" t="s">
        <v>2695</v>
      </c>
    </row>
    <row r="1544" spans="1:2">
      <c r="A1544" s="211" t="s">
        <v>903</v>
      </c>
      <c r="B1544" s="240" t="s">
        <v>2696</v>
      </c>
    </row>
    <row r="1545" spans="1:2">
      <c r="A1545" s="211" t="s">
        <v>904</v>
      </c>
      <c r="B1545" s="240" t="s">
        <v>2697</v>
      </c>
    </row>
    <row r="1546" spans="1:2">
      <c r="A1546" s="211" t="s">
        <v>906</v>
      </c>
      <c r="B1546" s="240" t="s">
        <v>2698</v>
      </c>
    </row>
    <row r="1547" spans="1:2">
      <c r="A1547" s="211" t="s">
        <v>908</v>
      </c>
      <c r="B1547" s="240" t="s">
        <v>2699</v>
      </c>
    </row>
    <row r="1548" spans="1:2">
      <c r="A1548" s="211" t="s">
        <v>910</v>
      </c>
      <c r="B1548" s="240" t="s">
        <v>2700</v>
      </c>
    </row>
    <row r="1549" spans="1:2">
      <c r="A1549" s="211" t="s">
        <v>912</v>
      </c>
      <c r="B1549" s="240" t="s">
        <v>2701</v>
      </c>
    </row>
    <row r="1550" spans="1:2">
      <c r="A1550" s="211" t="s">
        <v>914</v>
      </c>
      <c r="B1550" s="240" t="s">
        <v>2702</v>
      </c>
    </row>
    <row r="1551" spans="1:2">
      <c r="A1551" s="211" t="s">
        <v>915</v>
      </c>
      <c r="B1551" s="240" t="s">
        <v>2703</v>
      </c>
    </row>
    <row r="1552" spans="1:2">
      <c r="A1552" s="211" t="s">
        <v>917</v>
      </c>
      <c r="B1552" s="240" t="s">
        <v>455</v>
      </c>
    </row>
    <row r="1553" spans="1:2">
      <c r="A1553" s="211" t="s">
        <v>918</v>
      </c>
      <c r="B1553" s="240" t="s">
        <v>2704</v>
      </c>
    </row>
    <row r="1554" spans="1:2">
      <c r="A1554" s="211" t="s">
        <v>920</v>
      </c>
      <c r="B1554" s="240" t="s">
        <v>2705</v>
      </c>
    </row>
    <row r="1555" spans="1:2">
      <c r="A1555" s="211" t="s">
        <v>922</v>
      </c>
      <c r="B1555" s="240" t="s">
        <v>455</v>
      </c>
    </row>
    <row r="1556" spans="1:2">
      <c r="A1556" s="211" t="s">
        <v>924</v>
      </c>
      <c r="B1556" s="240" t="s">
        <v>2706</v>
      </c>
    </row>
    <row r="1557" spans="1:2">
      <c r="A1557" s="211" t="s">
        <v>926</v>
      </c>
      <c r="B1557" s="240" t="s">
        <v>1170</v>
      </c>
    </row>
    <row r="1558" spans="1:2">
      <c r="A1558" s="211" t="s">
        <v>928</v>
      </c>
      <c r="B1558" s="240" t="s">
        <v>2707</v>
      </c>
    </row>
    <row r="1559" spans="1:2">
      <c r="A1559" s="211" t="s">
        <v>930</v>
      </c>
      <c r="B1559" s="240" t="s">
        <v>1174</v>
      </c>
    </row>
    <row r="1560" spans="1:2">
      <c r="A1560" s="211" t="s">
        <v>932</v>
      </c>
      <c r="B1560" s="240" t="s">
        <v>2708</v>
      </c>
    </row>
    <row r="1561" spans="1:2">
      <c r="A1561" s="211" t="s">
        <v>934</v>
      </c>
      <c r="B1561" s="240" t="s">
        <v>2709</v>
      </c>
    </row>
    <row r="1562" spans="1:2">
      <c r="A1562" s="211" t="s">
        <v>936</v>
      </c>
      <c r="B1562" s="240" t="s">
        <v>455</v>
      </c>
    </row>
    <row r="1563" spans="1:2">
      <c r="A1563" s="211" t="s">
        <v>938</v>
      </c>
      <c r="B1563" s="240" t="s">
        <v>1181</v>
      </c>
    </row>
    <row r="1564" spans="1:2">
      <c r="A1564" s="211" t="s">
        <v>940</v>
      </c>
      <c r="B1564" s="240" t="s">
        <v>1183</v>
      </c>
    </row>
    <row r="1565" spans="1:2">
      <c r="A1565" s="211" t="s">
        <v>942</v>
      </c>
      <c r="B1565" s="240" t="s">
        <v>2710</v>
      </c>
    </row>
    <row r="1566" spans="1:2">
      <c r="A1566" s="211" t="s">
        <v>944</v>
      </c>
      <c r="B1566" s="240" t="s">
        <v>2711</v>
      </c>
    </row>
    <row r="1567" spans="1:2">
      <c r="A1567" s="211" t="s">
        <v>946</v>
      </c>
      <c r="B1567" s="240" t="s">
        <v>1189</v>
      </c>
    </row>
    <row r="1568" spans="1:2">
      <c r="A1568" s="211" t="s">
        <v>948</v>
      </c>
      <c r="B1568" s="240" t="s">
        <v>1191</v>
      </c>
    </row>
    <row r="1569" spans="1:2">
      <c r="A1569" s="211" t="s">
        <v>950</v>
      </c>
      <c r="B1569" s="240" t="s">
        <v>1193</v>
      </c>
    </row>
    <row r="1570" spans="1:2">
      <c r="A1570" s="211" t="s">
        <v>951</v>
      </c>
      <c r="B1570" s="240" t="s">
        <v>2712</v>
      </c>
    </row>
    <row r="1571" spans="1:2">
      <c r="A1571" s="211" t="s">
        <v>953</v>
      </c>
      <c r="B1571" s="240" t="s">
        <v>2713</v>
      </c>
    </row>
    <row r="1572" spans="1:2">
      <c r="A1572" s="211" t="s">
        <v>955</v>
      </c>
      <c r="B1572" s="240" t="s">
        <v>898</v>
      </c>
    </row>
    <row r="1573" spans="1:2">
      <c r="A1573" s="211" t="s">
        <v>957</v>
      </c>
      <c r="B1573" s="240" t="s">
        <v>1202</v>
      </c>
    </row>
    <row r="1574" spans="1:2">
      <c r="A1574" s="211" t="s">
        <v>958</v>
      </c>
      <c r="B1574" s="240" t="s">
        <v>1204</v>
      </c>
    </row>
    <row r="1575" spans="1:2">
      <c r="A1575" s="211" t="s">
        <v>960</v>
      </c>
      <c r="B1575" s="240" t="s">
        <v>455</v>
      </c>
    </row>
    <row r="1576" spans="1:2">
      <c r="A1576" s="211" t="s">
        <v>962</v>
      </c>
      <c r="B1576" s="240" t="s">
        <v>1211</v>
      </c>
    </row>
    <row r="1577" spans="1:2">
      <c r="A1577" s="211" t="s">
        <v>964</v>
      </c>
      <c r="B1577" s="240" t="s">
        <v>2706</v>
      </c>
    </row>
    <row r="1578" spans="1:2">
      <c r="A1578" s="211" t="s">
        <v>966</v>
      </c>
      <c r="B1578" s="240" t="s">
        <v>1214</v>
      </c>
    </row>
    <row r="1579" spans="1:2">
      <c r="A1579" s="211" t="s">
        <v>968</v>
      </c>
      <c r="B1579" s="240" t="s">
        <v>2714</v>
      </c>
    </row>
    <row r="1580" spans="1:2">
      <c r="A1580" s="211" t="s">
        <v>970</v>
      </c>
      <c r="B1580" s="240" t="s">
        <v>2715</v>
      </c>
    </row>
    <row r="1581" spans="1:2">
      <c r="A1581" s="211" t="s">
        <v>972</v>
      </c>
      <c r="B1581" s="240" t="s">
        <v>4461</v>
      </c>
    </row>
    <row r="1582" spans="1:2">
      <c r="A1582" s="211" t="s">
        <v>974</v>
      </c>
      <c r="B1582" s="240" t="s">
        <v>2716</v>
      </c>
    </row>
    <row r="1583" spans="1:2">
      <c r="A1583" s="211" t="s">
        <v>976</v>
      </c>
      <c r="B1583" s="240" t="s">
        <v>2717</v>
      </c>
    </row>
    <row r="1584" spans="1:2">
      <c r="A1584" s="211" t="s">
        <v>978</v>
      </c>
      <c r="B1584" s="240" t="s">
        <v>475</v>
      </c>
    </row>
    <row r="1585" spans="1:2">
      <c r="A1585" s="211" t="s">
        <v>980</v>
      </c>
      <c r="B1585" s="240" t="s">
        <v>455</v>
      </c>
    </row>
    <row r="1586" spans="1:2">
      <c r="A1586" s="211" t="s">
        <v>982</v>
      </c>
      <c r="B1586" s="241" t="s">
        <v>2549</v>
      </c>
    </row>
    <row r="1587" spans="1:2">
      <c r="A1587" s="211" t="s">
        <v>984</v>
      </c>
      <c r="B1587" s="241" t="s">
        <v>2718</v>
      </c>
    </row>
    <row r="1588" spans="1:2">
      <c r="A1588" s="211" t="s">
        <v>986</v>
      </c>
      <c r="B1588" s="241" t="s">
        <v>2719</v>
      </c>
    </row>
    <row r="1589" spans="1:2">
      <c r="A1589" s="211" t="s">
        <v>987</v>
      </c>
      <c r="B1589" s="241" t="s">
        <v>2720</v>
      </c>
    </row>
    <row r="1590" spans="1:2">
      <c r="A1590" s="211" t="s">
        <v>989</v>
      </c>
      <c r="B1590" s="241" t="s">
        <v>2721</v>
      </c>
    </row>
    <row r="1591" spans="1:2">
      <c r="A1591" s="211" t="s">
        <v>991</v>
      </c>
      <c r="B1591" s="241" t="s">
        <v>2722</v>
      </c>
    </row>
    <row r="1592" spans="1:2">
      <c r="A1592" s="211" t="s">
        <v>993</v>
      </c>
      <c r="B1592" s="241" t="s">
        <v>2549</v>
      </c>
    </row>
    <row r="1593" spans="1:2">
      <c r="A1593" s="211" t="s">
        <v>994</v>
      </c>
      <c r="B1593" s="240" t="s">
        <v>2723</v>
      </c>
    </row>
    <row r="1594" spans="1:2">
      <c r="A1594" s="211" t="s">
        <v>996</v>
      </c>
      <c r="B1594" s="240" t="s">
        <v>2724</v>
      </c>
    </row>
    <row r="1595" spans="1:2">
      <c r="A1595" s="211" t="s">
        <v>998</v>
      </c>
      <c r="B1595" s="240" t="s">
        <v>2725</v>
      </c>
    </row>
    <row r="1596" spans="1:2">
      <c r="A1596" s="211" t="s">
        <v>1000</v>
      </c>
      <c r="B1596" s="240" t="s">
        <v>651</v>
      </c>
    </row>
    <row r="1597" spans="1:2">
      <c r="A1597" s="211" t="s">
        <v>1001</v>
      </c>
      <c r="B1597" s="240" t="s">
        <v>473</v>
      </c>
    </row>
    <row r="1598" spans="1:2">
      <c r="A1598" s="211" t="s">
        <v>1003</v>
      </c>
      <c r="B1598" s="240" t="s">
        <v>2726</v>
      </c>
    </row>
    <row r="1599" spans="1:2">
      <c r="A1599" s="211" t="s">
        <v>1005</v>
      </c>
      <c r="B1599" s="240" t="s">
        <v>2727</v>
      </c>
    </row>
    <row r="1600" spans="1:2">
      <c r="A1600" s="211" t="s">
        <v>1006</v>
      </c>
      <c r="B1600" s="240" t="s">
        <v>2728</v>
      </c>
    </row>
    <row r="1601" spans="1:2">
      <c r="A1601" s="211" t="s">
        <v>1008</v>
      </c>
      <c r="B1601" s="240" t="s">
        <v>2729</v>
      </c>
    </row>
    <row r="1602" spans="1:2">
      <c r="A1602" s="211" t="s">
        <v>1010</v>
      </c>
      <c r="B1602" s="240" t="s">
        <v>475</v>
      </c>
    </row>
    <row r="1603" spans="1:2">
      <c r="A1603" s="211" t="s">
        <v>1011</v>
      </c>
      <c r="B1603" s="240" t="s">
        <v>455</v>
      </c>
    </row>
    <row r="1604" spans="1:2">
      <c r="A1604" s="211" t="s">
        <v>1013</v>
      </c>
      <c r="B1604" s="241" t="s">
        <v>2730</v>
      </c>
    </row>
    <row r="1605" spans="1:2">
      <c r="A1605" s="211" t="s">
        <v>1015</v>
      </c>
      <c r="B1605" s="240" t="s">
        <v>2731</v>
      </c>
    </row>
    <row r="1606" spans="1:2">
      <c r="A1606" s="211" t="s">
        <v>1017</v>
      </c>
      <c r="B1606" s="240" t="s">
        <v>2732</v>
      </c>
    </row>
    <row r="1607" spans="1:2">
      <c r="A1607" s="211" t="s">
        <v>1019</v>
      </c>
      <c r="B1607" s="240" t="s">
        <v>2733</v>
      </c>
    </row>
    <row r="1608" spans="1:2">
      <c r="A1608" s="211" t="s">
        <v>1021</v>
      </c>
      <c r="B1608" s="240" t="s">
        <v>2734</v>
      </c>
    </row>
    <row r="1609" spans="1:2">
      <c r="A1609" s="211" t="s">
        <v>1023</v>
      </c>
      <c r="B1609" s="240" t="s">
        <v>4462</v>
      </c>
    </row>
    <row r="1610" spans="1:2">
      <c r="A1610" s="211" t="s">
        <v>1025</v>
      </c>
      <c r="B1610" s="240" t="s">
        <v>2735</v>
      </c>
    </row>
    <row r="1611" spans="1:2">
      <c r="A1611" s="211" t="s">
        <v>1026</v>
      </c>
      <c r="B1611" s="240" t="s">
        <v>2736</v>
      </c>
    </row>
    <row r="1612" spans="1:2">
      <c r="A1612" s="211" t="s">
        <v>1027</v>
      </c>
      <c r="B1612" s="240" t="s">
        <v>2737</v>
      </c>
    </row>
    <row r="1613" spans="1:2">
      <c r="A1613" s="211" t="s">
        <v>1028</v>
      </c>
      <c r="B1613" s="240" t="s">
        <v>2738</v>
      </c>
    </row>
    <row r="1614" spans="1:2">
      <c r="A1614" s="211" t="s">
        <v>1029</v>
      </c>
      <c r="B1614" s="240" t="s">
        <v>2739</v>
      </c>
    </row>
    <row r="1615" spans="1:2">
      <c r="A1615" s="211" t="s">
        <v>1031</v>
      </c>
      <c r="B1615" s="240" t="s">
        <v>2740</v>
      </c>
    </row>
    <row r="1616" spans="1:2">
      <c r="A1616" s="211" t="s">
        <v>1033</v>
      </c>
      <c r="B1616" s="240" t="s">
        <v>2741</v>
      </c>
    </row>
    <row r="1617" spans="1:2">
      <c r="A1617" s="211" t="s">
        <v>1035</v>
      </c>
      <c r="B1617" s="240" t="s">
        <v>1361</v>
      </c>
    </row>
    <row r="1618" spans="1:2">
      <c r="A1618" s="211" t="s">
        <v>1037</v>
      </c>
      <c r="B1618" s="240" t="s">
        <v>455</v>
      </c>
    </row>
    <row r="1619" spans="1:2">
      <c r="A1619" s="211" t="s">
        <v>1039</v>
      </c>
      <c r="B1619" s="240" t="s">
        <v>2742</v>
      </c>
    </row>
    <row r="1620" spans="1:2">
      <c r="A1620" s="211" t="s">
        <v>1041</v>
      </c>
      <c r="B1620" s="240" t="s">
        <v>2743</v>
      </c>
    </row>
    <row r="1621" spans="1:2">
      <c r="A1621" s="211" t="s">
        <v>1043</v>
      </c>
      <c r="B1621" s="240" t="s">
        <v>2744</v>
      </c>
    </row>
    <row r="1622" spans="1:2">
      <c r="A1622" s="211" t="s">
        <v>1045</v>
      </c>
      <c r="B1622" s="240" t="s">
        <v>2745</v>
      </c>
    </row>
    <row r="1623" spans="1:2">
      <c r="A1623" s="211" t="s">
        <v>1047</v>
      </c>
      <c r="B1623" s="240" t="s">
        <v>2746</v>
      </c>
    </row>
    <row r="1624" spans="1:2">
      <c r="A1624" s="211" t="s">
        <v>1048</v>
      </c>
      <c r="B1624" s="240" t="s">
        <v>2747</v>
      </c>
    </row>
    <row r="1625" spans="1:2">
      <c r="A1625" s="211" t="s">
        <v>1050</v>
      </c>
      <c r="B1625" s="240" t="s">
        <v>2748</v>
      </c>
    </row>
    <row r="1626" spans="1:2">
      <c r="A1626" s="211" t="s">
        <v>1051</v>
      </c>
      <c r="B1626" s="240" t="s">
        <v>4463</v>
      </c>
    </row>
    <row r="1627" spans="1:2">
      <c r="A1627" s="211" t="s">
        <v>1053</v>
      </c>
      <c r="B1627" s="240" t="s">
        <v>4464</v>
      </c>
    </row>
    <row r="1628" spans="1:2">
      <c r="A1628" s="211" t="s">
        <v>1054</v>
      </c>
      <c r="B1628" s="240" t="s">
        <v>455</v>
      </c>
    </row>
    <row r="1629" spans="1:2">
      <c r="A1629" s="211" t="s">
        <v>1056</v>
      </c>
      <c r="B1629" s="240" t="s">
        <v>2749</v>
      </c>
    </row>
    <row r="1630" spans="1:2">
      <c r="A1630" s="211" t="s">
        <v>1058</v>
      </c>
      <c r="B1630" s="240" t="s">
        <v>2750</v>
      </c>
    </row>
    <row r="1631" spans="1:2">
      <c r="A1631" s="211" t="s">
        <v>1060</v>
      </c>
      <c r="B1631" s="240" t="s">
        <v>2751</v>
      </c>
    </row>
    <row r="1632" spans="1:2">
      <c r="A1632" s="211" t="s">
        <v>1062</v>
      </c>
      <c r="B1632" s="240" t="s">
        <v>2752</v>
      </c>
    </row>
    <row r="1633" spans="1:2">
      <c r="A1633" s="211" t="s">
        <v>1064</v>
      </c>
      <c r="B1633" s="240" t="s">
        <v>651</v>
      </c>
    </row>
    <row r="1634" spans="1:2">
      <c r="A1634" s="211" t="s">
        <v>1066</v>
      </c>
      <c r="B1634" s="240" t="s">
        <v>473</v>
      </c>
    </row>
    <row r="1635" spans="1:2">
      <c r="A1635" s="211" t="s">
        <v>1068</v>
      </c>
      <c r="B1635" s="240" t="s">
        <v>2753</v>
      </c>
    </row>
    <row r="1636" spans="1:2">
      <c r="A1636" s="211" t="s">
        <v>1069</v>
      </c>
      <c r="B1636" s="240" t="s">
        <v>1243</v>
      </c>
    </row>
    <row r="1637" spans="1:2">
      <c r="A1637" s="211" t="s">
        <v>1071</v>
      </c>
      <c r="B1637" s="240" t="s">
        <v>741</v>
      </c>
    </row>
    <row r="1638" spans="1:2">
      <c r="A1638" s="211" t="s">
        <v>1073</v>
      </c>
      <c r="B1638" s="240" t="s">
        <v>455</v>
      </c>
    </row>
    <row r="1639" spans="1:2">
      <c r="A1639" s="211" t="s">
        <v>1075</v>
      </c>
      <c r="B1639" s="240" t="s">
        <v>2754</v>
      </c>
    </row>
    <row r="1640" spans="1:2">
      <c r="A1640" s="211" t="s">
        <v>1077</v>
      </c>
      <c r="B1640" s="240" t="s">
        <v>751</v>
      </c>
    </row>
    <row r="1641" spans="1:2">
      <c r="A1641" s="211" t="s">
        <v>1079</v>
      </c>
      <c r="B1641" s="240" t="s">
        <v>2755</v>
      </c>
    </row>
    <row r="1642" spans="1:2">
      <c r="A1642" s="211" t="s">
        <v>1080</v>
      </c>
      <c r="B1642" s="240" t="s">
        <v>2756</v>
      </c>
    </row>
    <row r="1643" spans="1:2">
      <c r="A1643" s="211" t="s">
        <v>1082</v>
      </c>
      <c r="B1643" s="240" t="s">
        <v>2757</v>
      </c>
    </row>
    <row r="1644" spans="1:2">
      <c r="A1644" s="211" t="s">
        <v>1083</v>
      </c>
      <c r="B1644" s="240" t="s">
        <v>2575</v>
      </c>
    </row>
    <row r="1645" spans="1:2">
      <c r="A1645" s="211" t="s">
        <v>1085</v>
      </c>
      <c r="B1645" s="240" t="s">
        <v>2576</v>
      </c>
    </row>
    <row r="1646" spans="1:2">
      <c r="A1646" s="211" t="s">
        <v>1087</v>
      </c>
      <c r="B1646" s="240" t="s">
        <v>2758</v>
      </c>
    </row>
    <row r="1647" spans="1:2">
      <c r="A1647" s="211" t="s">
        <v>1089</v>
      </c>
      <c r="B1647" s="240" t="s">
        <v>2759</v>
      </c>
    </row>
    <row r="1648" spans="1:2">
      <c r="A1648" s="211" t="s">
        <v>1091</v>
      </c>
      <c r="B1648" s="240" t="s">
        <v>2577</v>
      </c>
    </row>
    <row r="1649" spans="1:2">
      <c r="A1649" s="211" t="s">
        <v>1093</v>
      </c>
      <c r="B1649" s="240" t="s">
        <v>2573</v>
      </c>
    </row>
    <row r="1650" spans="1:2">
      <c r="A1650" s="211" t="s">
        <v>1095</v>
      </c>
      <c r="B1650" s="240" t="s">
        <v>2570</v>
      </c>
    </row>
    <row r="1651" spans="1:2">
      <c r="A1651" s="211" t="s">
        <v>1096</v>
      </c>
      <c r="B1651" s="240" t="s">
        <v>2571</v>
      </c>
    </row>
    <row r="1652" spans="1:2">
      <c r="A1652" s="211" t="s">
        <v>1097</v>
      </c>
      <c r="B1652" s="240" t="s">
        <v>2760</v>
      </c>
    </row>
    <row r="1653" spans="1:2">
      <c r="A1653" s="211" t="s">
        <v>1098</v>
      </c>
      <c r="B1653" s="240" t="s">
        <v>2572</v>
      </c>
    </row>
    <row r="1654" spans="1:2">
      <c r="A1654" s="211" t="s">
        <v>1100</v>
      </c>
      <c r="B1654" s="240" t="s">
        <v>2573</v>
      </c>
    </row>
    <row r="1655" spans="1:2">
      <c r="A1655" s="211" t="s">
        <v>1102</v>
      </c>
      <c r="B1655" s="240" t="s">
        <v>4465</v>
      </c>
    </row>
    <row r="1656" spans="1:2">
      <c r="A1656" s="211" t="s">
        <v>1104</v>
      </c>
      <c r="B1656" s="240" t="s">
        <v>3262</v>
      </c>
    </row>
    <row r="1657" spans="1:2">
      <c r="A1657" s="211" t="s">
        <v>1106</v>
      </c>
      <c r="B1657" s="240" t="s">
        <v>4466</v>
      </c>
    </row>
    <row r="1658" spans="1:2">
      <c r="A1658" s="211" t="s">
        <v>1107</v>
      </c>
      <c r="B1658" s="240" t="s">
        <v>4067</v>
      </c>
    </row>
    <row r="1659" spans="1:2">
      <c r="A1659" s="211" t="s">
        <v>1109</v>
      </c>
      <c r="B1659" s="240" t="s">
        <v>4467</v>
      </c>
    </row>
    <row r="1660" spans="1:2">
      <c r="A1660" s="211" t="s">
        <v>1111</v>
      </c>
      <c r="B1660" s="240" t="s">
        <v>4468</v>
      </c>
    </row>
    <row r="1661" spans="1:2">
      <c r="A1661" s="211" t="s">
        <v>1113</v>
      </c>
      <c r="B1661" s="240" t="s">
        <v>4469</v>
      </c>
    </row>
    <row r="1662" spans="1:2">
      <c r="A1662" s="211" t="s">
        <v>1115</v>
      </c>
      <c r="B1662" s="240" t="s">
        <v>4470</v>
      </c>
    </row>
    <row r="1663" spans="1:2">
      <c r="A1663" s="211" t="s">
        <v>1117</v>
      </c>
      <c r="B1663" s="240" t="s">
        <v>688</v>
      </c>
    </row>
    <row r="1664" spans="1:2">
      <c r="A1664" s="211" t="s">
        <v>1119</v>
      </c>
      <c r="B1664" s="240" t="s">
        <v>473</v>
      </c>
    </row>
    <row r="1665" spans="1:2">
      <c r="A1665" s="211" t="s">
        <v>1121</v>
      </c>
      <c r="B1665" s="240" t="s">
        <v>455</v>
      </c>
    </row>
    <row r="1666" spans="1:2">
      <c r="A1666" s="211" t="s">
        <v>1122</v>
      </c>
      <c r="B1666" s="240" t="s">
        <v>2602</v>
      </c>
    </row>
    <row r="1667" spans="1:2">
      <c r="A1667" s="211" t="s">
        <v>1124</v>
      </c>
      <c r="B1667" s="240" t="s">
        <v>2761</v>
      </c>
    </row>
    <row r="1668" spans="1:2">
      <c r="A1668" s="211" t="s">
        <v>1126</v>
      </c>
      <c r="B1668" s="240" t="s">
        <v>2762</v>
      </c>
    </row>
    <row r="1669" spans="1:2">
      <c r="A1669" s="211" t="s">
        <v>1128</v>
      </c>
      <c r="B1669" s="240" t="s">
        <v>2763</v>
      </c>
    </row>
    <row r="1670" spans="1:2">
      <c r="A1670" s="211" t="s">
        <v>1130</v>
      </c>
      <c r="B1670" s="240" t="s">
        <v>2764</v>
      </c>
    </row>
    <row r="1671" spans="1:2">
      <c r="A1671" s="211" t="s">
        <v>1132</v>
      </c>
      <c r="B1671" s="240" t="s">
        <v>2765</v>
      </c>
    </row>
    <row r="1672" spans="1:2">
      <c r="A1672" s="211" t="s">
        <v>1134</v>
      </c>
      <c r="B1672" s="240" t="s">
        <v>2766</v>
      </c>
    </row>
    <row r="1673" spans="1:2">
      <c r="A1673" s="211" t="s">
        <v>1136</v>
      </c>
      <c r="B1673" s="240" t="s">
        <v>2767</v>
      </c>
    </row>
    <row r="1674" spans="1:2">
      <c r="A1674" s="211" t="s">
        <v>1138</v>
      </c>
      <c r="B1674" s="240" t="s">
        <v>2768</v>
      </c>
    </row>
    <row r="1675" spans="1:2">
      <c r="A1675" s="211" t="s">
        <v>1140</v>
      </c>
      <c r="B1675" s="240" t="s">
        <v>2769</v>
      </c>
    </row>
    <row r="1676" spans="1:2">
      <c r="A1676" s="211" t="s">
        <v>1141</v>
      </c>
      <c r="B1676" s="240" t="s">
        <v>686</v>
      </c>
    </row>
    <row r="1677" spans="1:2">
      <c r="A1677" s="211" t="s">
        <v>1142</v>
      </c>
      <c r="B1677" s="240" t="s">
        <v>2770</v>
      </c>
    </row>
    <row r="1678" spans="1:2">
      <c r="A1678" s="211" t="s">
        <v>1144</v>
      </c>
      <c r="B1678" s="240" t="s">
        <v>2771</v>
      </c>
    </row>
    <row r="1679" spans="1:2">
      <c r="A1679" s="211" t="s">
        <v>1145</v>
      </c>
      <c r="B1679" s="240" t="s">
        <v>2772</v>
      </c>
    </row>
    <row r="1680" spans="1:2">
      <c r="A1680" s="211" t="s">
        <v>1146</v>
      </c>
      <c r="B1680" s="240" t="s">
        <v>2773</v>
      </c>
    </row>
    <row r="1681" spans="1:2">
      <c r="A1681" s="211" t="s">
        <v>1148</v>
      </c>
      <c r="B1681" s="240" t="s">
        <v>2774</v>
      </c>
    </row>
    <row r="1682" spans="1:2">
      <c r="A1682" s="211" t="s">
        <v>1149</v>
      </c>
      <c r="B1682" s="240" t="s">
        <v>2775</v>
      </c>
    </row>
    <row r="1683" spans="1:2">
      <c r="A1683" s="211" t="s">
        <v>1151</v>
      </c>
      <c r="B1683" s="240" t="s">
        <v>686</v>
      </c>
    </row>
    <row r="1684" spans="1:2">
      <c r="A1684" s="211" t="s">
        <v>1153</v>
      </c>
      <c r="B1684" s="240" t="s">
        <v>2776</v>
      </c>
    </row>
    <row r="1685" spans="1:2">
      <c r="A1685" s="211" t="s">
        <v>1155</v>
      </c>
      <c r="B1685" s="240" t="s">
        <v>2777</v>
      </c>
    </row>
    <row r="1686" spans="1:2">
      <c r="A1686" s="211" t="s">
        <v>1157</v>
      </c>
      <c r="B1686" s="240" t="s">
        <v>2778</v>
      </c>
    </row>
    <row r="1687" spans="1:2">
      <c r="A1687" s="211" t="s">
        <v>1159</v>
      </c>
      <c r="B1687" s="240" t="s">
        <v>2779</v>
      </c>
    </row>
    <row r="1688" spans="1:2">
      <c r="A1688" s="211" t="s">
        <v>1161</v>
      </c>
      <c r="B1688" s="240" t="s">
        <v>985</v>
      </c>
    </row>
    <row r="1689" spans="1:2">
      <c r="A1689" s="211" t="s">
        <v>1163</v>
      </c>
      <c r="B1689" s="240" t="s">
        <v>686</v>
      </c>
    </row>
    <row r="1690" spans="1:2">
      <c r="A1690" s="211" t="s">
        <v>1165</v>
      </c>
      <c r="B1690" s="240" t="s">
        <v>4471</v>
      </c>
    </row>
    <row r="1691" spans="1:2">
      <c r="A1691" s="211" t="s">
        <v>1167</v>
      </c>
      <c r="B1691" s="240" t="s">
        <v>4472</v>
      </c>
    </row>
    <row r="1692" spans="1:2">
      <c r="A1692" s="211" t="s">
        <v>1169</v>
      </c>
      <c r="B1692" s="240" t="s">
        <v>4473</v>
      </c>
    </row>
    <row r="1693" spans="1:2">
      <c r="A1693" s="211" t="s">
        <v>1171</v>
      </c>
      <c r="B1693" s="240" t="s">
        <v>4474</v>
      </c>
    </row>
    <row r="1694" spans="1:2">
      <c r="A1694" s="211" t="s">
        <v>1173</v>
      </c>
      <c r="B1694" s="240" t="s">
        <v>4475</v>
      </c>
    </row>
    <row r="1695" spans="1:2">
      <c r="A1695" s="211" t="s">
        <v>1175</v>
      </c>
      <c r="B1695" s="240" t="s">
        <v>686</v>
      </c>
    </row>
    <row r="1696" spans="1:2">
      <c r="A1696" s="211" t="s">
        <v>1177</v>
      </c>
      <c r="B1696" s="240" t="s">
        <v>2780</v>
      </c>
    </row>
    <row r="1697" spans="1:2">
      <c r="A1697" s="211" t="s">
        <v>1178</v>
      </c>
      <c r="B1697" s="240" t="s">
        <v>2781</v>
      </c>
    </row>
    <row r="1698" spans="1:2">
      <c r="A1698" s="211" t="s">
        <v>1180</v>
      </c>
      <c r="B1698" s="240" t="s">
        <v>2782</v>
      </c>
    </row>
    <row r="1699" spans="1:2">
      <c r="A1699" s="211" t="s">
        <v>1182</v>
      </c>
      <c r="B1699" s="240" t="s">
        <v>4476</v>
      </c>
    </row>
    <row r="1700" spans="1:2">
      <c r="A1700" s="211" t="s">
        <v>1184</v>
      </c>
      <c r="B1700" s="240" t="s">
        <v>2783</v>
      </c>
    </row>
    <row r="1701" spans="1:2">
      <c r="A1701" s="211" t="s">
        <v>1186</v>
      </c>
      <c r="B1701" s="240" t="s">
        <v>2784</v>
      </c>
    </row>
    <row r="1702" spans="1:2">
      <c r="A1702" s="211" t="s">
        <v>1188</v>
      </c>
      <c r="B1702" s="240" t="s">
        <v>2785</v>
      </c>
    </row>
    <row r="1703" spans="1:2">
      <c r="A1703" s="211" t="s">
        <v>1190</v>
      </c>
      <c r="B1703" s="240" t="s">
        <v>2786</v>
      </c>
    </row>
    <row r="1704" spans="1:2">
      <c r="A1704" s="211" t="s">
        <v>1192</v>
      </c>
      <c r="B1704" s="240" t="s">
        <v>2787</v>
      </c>
    </row>
    <row r="1705" spans="1:2">
      <c r="A1705" s="211" t="s">
        <v>1194</v>
      </c>
      <c r="B1705" s="240" t="s">
        <v>2788</v>
      </c>
    </row>
    <row r="1706" spans="1:2">
      <c r="A1706" s="211" t="s">
        <v>1196</v>
      </c>
      <c r="B1706" s="240" t="s">
        <v>2789</v>
      </c>
    </row>
    <row r="1707" spans="1:2">
      <c r="A1707" s="211" t="s">
        <v>1198</v>
      </c>
      <c r="B1707" s="240" t="s">
        <v>2790</v>
      </c>
    </row>
    <row r="1708" spans="1:2">
      <c r="A1708" s="211" t="s">
        <v>1200</v>
      </c>
      <c r="B1708" s="240" t="s">
        <v>985</v>
      </c>
    </row>
    <row r="1709" spans="1:2">
      <c r="A1709" s="211" t="s">
        <v>1201</v>
      </c>
      <c r="B1709" s="240" t="s">
        <v>4477</v>
      </c>
    </row>
    <row r="1710" spans="1:2">
      <c r="A1710" s="211" t="s">
        <v>1203</v>
      </c>
      <c r="B1710" s="240" t="s">
        <v>4478</v>
      </c>
    </row>
    <row r="1711" spans="1:2">
      <c r="A1711" s="211" t="s">
        <v>1205</v>
      </c>
      <c r="B1711" s="240" t="s">
        <v>4479</v>
      </c>
    </row>
    <row r="1712" spans="1:2">
      <c r="A1712" s="211" t="s">
        <v>1206</v>
      </c>
      <c r="B1712" s="240" t="s">
        <v>4480</v>
      </c>
    </row>
    <row r="1713" spans="1:2">
      <c r="A1713" s="211" t="s">
        <v>1208</v>
      </c>
      <c r="B1713" s="240" t="s">
        <v>4481</v>
      </c>
    </row>
    <row r="1714" spans="1:2">
      <c r="A1714" s="211" t="s">
        <v>1210</v>
      </c>
      <c r="B1714" s="240" t="s">
        <v>4482</v>
      </c>
    </row>
    <row r="1715" spans="1:2">
      <c r="A1715" s="211" t="s">
        <v>1212</v>
      </c>
      <c r="B1715" s="240" t="s">
        <v>4483</v>
      </c>
    </row>
    <row r="1716" spans="1:2">
      <c r="A1716" s="211" t="s">
        <v>1213</v>
      </c>
      <c r="B1716" s="240" t="s">
        <v>985</v>
      </c>
    </row>
    <row r="1717" spans="1:2">
      <c r="A1717" s="211" t="s">
        <v>1215</v>
      </c>
      <c r="B1717" s="240" t="s">
        <v>2791</v>
      </c>
    </row>
    <row r="1718" spans="1:2">
      <c r="A1718" s="211" t="s">
        <v>1217</v>
      </c>
      <c r="B1718" s="240" t="s">
        <v>2792</v>
      </c>
    </row>
    <row r="1719" spans="1:2">
      <c r="A1719" s="211" t="s">
        <v>1219</v>
      </c>
      <c r="B1719" s="240" t="s">
        <v>2793</v>
      </c>
    </row>
    <row r="1720" spans="1:2">
      <c r="A1720" s="211" t="s">
        <v>1221</v>
      </c>
      <c r="B1720" s="240" t="s">
        <v>2794</v>
      </c>
    </row>
    <row r="1721" spans="1:2">
      <c r="A1721" s="211" t="s">
        <v>1223</v>
      </c>
      <c r="B1721" s="240" t="s">
        <v>4484</v>
      </c>
    </row>
    <row r="1722" spans="1:2">
      <c r="A1722" s="211" t="s">
        <v>1225</v>
      </c>
      <c r="B1722" s="240" t="s">
        <v>2795</v>
      </c>
    </row>
    <row r="1723" spans="1:2">
      <c r="A1723" s="211" t="s">
        <v>1227</v>
      </c>
      <c r="B1723" s="240" t="s">
        <v>2796</v>
      </c>
    </row>
    <row r="1724" spans="1:2">
      <c r="A1724" s="211" t="s">
        <v>1228</v>
      </c>
      <c r="B1724" s="240" t="s">
        <v>2797</v>
      </c>
    </row>
    <row r="1725" spans="1:2">
      <c r="A1725" s="211" t="s">
        <v>1229</v>
      </c>
      <c r="B1725" s="240" t="s">
        <v>2789</v>
      </c>
    </row>
    <row r="1726" spans="1:2">
      <c r="A1726" s="211" t="s">
        <v>1230</v>
      </c>
      <c r="B1726" s="240" t="s">
        <v>2798</v>
      </c>
    </row>
    <row r="1727" spans="1:2">
      <c r="A1727" s="211" t="s">
        <v>1231</v>
      </c>
      <c r="B1727" s="240" t="s">
        <v>2799</v>
      </c>
    </row>
    <row r="1728" spans="1:2">
      <c r="A1728" s="211" t="s">
        <v>1233</v>
      </c>
      <c r="B1728" s="240" t="s">
        <v>2800</v>
      </c>
    </row>
    <row r="1729" spans="1:2">
      <c r="A1729" s="211" t="s">
        <v>1234</v>
      </c>
      <c r="B1729" s="240" t="s">
        <v>2801</v>
      </c>
    </row>
    <row r="1730" spans="1:2">
      <c r="A1730" s="211" t="s">
        <v>1236</v>
      </c>
      <c r="B1730" s="240" t="s">
        <v>2802</v>
      </c>
    </row>
    <row r="1731" spans="1:2">
      <c r="A1731" s="211" t="s">
        <v>1238</v>
      </c>
      <c r="B1731" s="240" t="s">
        <v>985</v>
      </c>
    </row>
    <row r="1732" spans="1:2">
      <c r="A1732" s="211" t="s">
        <v>1240</v>
      </c>
      <c r="B1732" s="240" t="s">
        <v>2803</v>
      </c>
    </row>
    <row r="1733" spans="1:2">
      <c r="A1733" s="211" t="s">
        <v>1242</v>
      </c>
      <c r="B1733" s="240" t="s">
        <v>2804</v>
      </c>
    </row>
    <row r="1734" spans="1:2">
      <c r="A1734" s="211" t="s">
        <v>1244</v>
      </c>
      <c r="B1734" s="240" t="s">
        <v>2805</v>
      </c>
    </row>
    <row r="1735" spans="1:2">
      <c r="A1735" s="211" t="s">
        <v>1245</v>
      </c>
      <c r="B1735" s="240" t="s">
        <v>2806</v>
      </c>
    </row>
    <row r="1736" spans="1:2">
      <c r="A1736" s="211" t="s">
        <v>1247</v>
      </c>
      <c r="B1736" s="240" t="s">
        <v>2807</v>
      </c>
    </row>
    <row r="1737" spans="1:2">
      <c r="A1737" s="211" t="s">
        <v>1249</v>
      </c>
      <c r="B1737" s="240" t="s">
        <v>2808</v>
      </c>
    </row>
    <row r="1738" spans="1:2">
      <c r="A1738" s="211" t="s">
        <v>1251</v>
      </c>
      <c r="B1738" s="240" t="s">
        <v>2809</v>
      </c>
    </row>
    <row r="1739" spans="1:2">
      <c r="A1739" s="211" t="s">
        <v>1253</v>
      </c>
      <c r="B1739" s="240" t="s">
        <v>2810</v>
      </c>
    </row>
    <row r="1740" spans="1:2">
      <c r="A1740" s="211" t="s">
        <v>1255</v>
      </c>
      <c r="B1740" s="240" t="s">
        <v>2811</v>
      </c>
    </row>
    <row r="1741" spans="1:2">
      <c r="A1741" s="211" t="s">
        <v>1257</v>
      </c>
      <c r="B1741" s="240" t="s">
        <v>686</v>
      </c>
    </row>
    <row r="1742" spans="1:2">
      <c r="A1742" s="211" t="s">
        <v>1259</v>
      </c>
      <c r="B1742" s="240" t="s">
        <v>697</v>
      </c>
    </row>
    <row r="1743" spans="1:2">
      <c r="A1743" s="211" t="s">
        <v>1260</v>
      </c>
      <c r="B1743" s="240" t="s">
        <v>699</v>
      </c>
    </row>
    <row r="1744" spans="1:2">
      <c r="A1744" s="211" t="s">
        <v>1262</v>
      </c>
      <c r="B1744" s="240" t="s">
        <v>1301</v>
      </c>
    </row>
    <row r="1745" spans="1:2">
      <c r="A1745" s="211" t="s">
        <v>1264</v>
      </c>
      <c r="B1745" s="240" t="s">
        <v>455</v>
      </c>
    </row>
    <row r="1746" spans="1:2">
      <c r="A1746" s="211" t="s">
        <v>1266</v>
      </c>
      <c r="B1746" s="240" t="s">
        <v>2812</v>
      </c>
    </row>
    <row r="1747" spans="1:2">
      <c r="A1747" s="211" t="s">
        <v>1268</v>
      </c>
      <c r="B1747" s="240" t="s">
        <v>2813</v>
      </c>
    </row>
    <row r="1748" spans="1:2">
      <c r="A1748" s="211" t="s">
        <v>1270</v>
      </c>
      <c r="B1748" s="240" t="s">
        <v>4485</v>
      </c>
    </row>
    <row r="1749" spans="1:2">
      <c r="A1749" s="211" t="s">
        <v>1272</v>
      </c>
      <c r="B1749" s="240" t="s">
        <v>2814</v>
      </c>
    </row>
    <row r="1750" spans="1:2">
      <c r="A1750" s="211" t="s">
        <v>1274</v>
      </c>
      <c r="B1750" s="240" t="s">
        <v>2815</v>
      </c>
    </row>
    <row r="1751" spans="1:2">
      <c r="A1751" s="211" t="s">
        <v>1276</v>
      </c>
      <c r="B1751" s="240" t="s">
        <v>2816</v>
      </c>
    </row>
    <row r="1752" spans="1:2">
      <c r="A1752" s="211" t="s">
        <v>1278</v>
      </c>
      <c r="B1752" s="240" t="s">
        <v>2817</v>
      </c>
    </row>
    <row r="1753" spans="1:2">
      <c r="A1753" s="211" t="s">
        <v>1280</v>
      </c>
      <c r="B1753" s="240" t="s">
        <v>475</v>
      </c>
    </row>
    <row r="1754" spans="1:2">
      <c r="A1754" s="211" t="s">
        <v>1282</v>
      </c>
      <c r="B1754" s="240" t="s">
        <v>455</v>
      </c>
    </row>
    <row r="1755" spans="1:2">
      <c r="A1755" s="211" t="s">
        <v>1283</v>
      </c>
      <c r="B1755" s="241" t="s">
        <v>2549</v>
      </c>
    </row>
    <row r="1756" spans="1:2">
      <c r="A1756" s="211" t="s">
        <v>1285</v>
      </c>
      <c r="B1756" s="241" t="s">
        <v>2818</v>
      </c>
    </row>
    <row r="1757" spans="1:2">
      <c r="A1757" s="211" t="s">
        <v>1287</v>
      </c>
      <c r="B1757" s="241" t="s">
        <v>2549</v>
      </c>
    </row>
    <row r="1758" spans="1:2">
      <c r="A1758" s="211" t="s">
        <v>1289</v>
      </c>
      <c r="B1758" s="240" t="s">
        <v>2819</v>
      </c>
    </row>
    <row r="1759" spans="1:2">
      <c r="A1759" s="211" t="s">
        <v>1291</v>
      </c>
      <c r="B1759" s="240" t="s">
        <v>2820</v>
      </c>
    </row>
    <row r="1760" spans="1:2">
      <c r="A1760" s="211" t="s">
        <v>1293</v>
      </c>
      <c r="B1760" s="240" t="s">
        <v>1656</v>
      </c>
    </row>
    <row r="1761" spans="1:2">
      <c r="A1761" s="211" t="s">
        <v>1295</v>
      </c>
      <c r="B1761" s="240" t="s">
        <v>1730</v>
      </c>
    </row>
    <row r="1762" spans="1:2">
      <c r="A1762" s="211" t="s">
        <v>1296</v>
      </c>
      <c r="B1762" s="240" t="s">
        <v>1610</v>
      </c>
    </row>
    <row r="1763" spans="1:2">
      <c r="A1763" s="211" t="s">
        <v>1298</v>
      </c>
      <c r="B1763" s="240" t="s">
        <v>1741</v>
      </c>
    </row>
    <row r="1764" spans="1:2">
      <c r="A1764" s="211" t="s">
        <v>1300</v>
      </c>
      <c r="B1764" s="240" t="s">
        <v>2821</v>
      </c>
    </row>
    <row r="1765" spans="1:2">
      <c r="A1765" s="211" t="s">
        <v>1302</v>
      </c>
      <c r="B1765" s="240" t="s">
        <v>2822</v>
      </c>
    </row>
    <row r="1766" spans="1:2">
      <c r="A1766" s="211" t="s">
        <v>1304</v>
      </c>
      <c r="B1766" s="240" t="s">
        <v>2823</v>
      </c>
    </row>
    <row r="1767" spans="1:2">
      <c r="A1767" s="211" t="s">
        <v>1306</v>
      </c>
      <c r="B1767" s="240" t="s">
        <v>697</v>
      </c>
    </row>
    <row r="1768" spans="1:2">
      <c r="A1768" s="211" t="s">
        <v>1307</v>
      </c>
      <c r="B1768" s="240" t="s">
        <v>699</v>
      </c>
    </row>
    <row r="1769" spans="1:2">
      <c r="A1769" s="211" t="s">
        <v>1308</v>
      </c>
      <c r="B1769" s="240" t="s">
        <v>2824</v>
      </c>
    </row>
    <row r="1770" spans="1:2">
      <c r="A1770" s="211" t="s">
        <v>1309</v>
      </c>
      <c r="B1770" s="240" t="s">
        <v>1361</v>
      </c>
    </row>
    <row r="1771" spans="1:2">
      <c r="A1771" s="211" t="s">
        <v>1310</v>
      </c>
      <c r="B1771" s="240" t="s">
        <v>455</v>
      </c>
    </row>
    <row r="1772" spans="1:2">
      <c r="A1772" s="211" t="s">
        <v>1312</v>
      </c>
      <c r="B1772" s="240" t="s">
        <v>2825</v>
      </c>
    </row>
    <row r="1773" spans="1:2">
      <c r="A1773" s="211" t="s">
        <v>1314</v>
      </c>
      <c r="B1773" s="240" t="s">
        <v>2826</v>
      </c>
    </row>
    <row r="1774" spans="1:2">
      <c r="A1774" s="211" t="s">
        <v>1316</v>
      </c>
      <c r="B1774" s="240" t="s">
        <v>1730</v>
      </c>
    </row>
    <row r="1775" spans="1:2">
      <c r="A1775" s="211" t="s">
        <v>1317</v>
      </c>
      <c r="B1775" s="240" t="s">
        <v>2827</v>
      </c>
    </row>
    <row r="1776" spans="1:2">
      <c r="A1776" s="211" t="s">
        <v>1319</v>
      </c>
      <c r="B1776" s="240" t="s">
        <v>2828</v>
      </c>
    </row>
    <row r="1777" spans="1:2">
      <c r="A1777" s="211" t="s">
        <v>1321</v>
      </c>
      <c r="B1777" s="240" t="s">
        <v>2829</v>
      </c>
    </row>
    <row r="1778" spans="1:2">
      <c r="A1778" s="211" t="s">
        <v>1323</v>
      </c>
      <c r="B1778" s="240" t="s">
        <v>1732</v>
      </c>
    </row>
    <row r="1779" spans="1:2">
      <c r="A1779" s="211" t="s">
        <v>1324</v>
      </c>
      <c r="B1779" s="240" t="s">
        <v>1610</v>
      </c>
    </row>
    <row r="1780" spans="1:2">
      <c r="A1780" s="211" t="s">
        <v>1326</v>
      </c>
      <c r="B1780" s="240" t="s">
        <v>1741</v>
      </c>
    </row>
    <row r="1781" spans="1:2">
      <c r="A1781" s="211" t="s">
        <v>1328</v>
      </c>
      <c r="B1781" s="240" t="s">
        <v>2821</v>
      </c>
    </row>
    <row r="1782" spans="1:2">
      <c r="A1782" s="211" t="s">
        <v>1330</v>
      </c>
      <c r="B1782" s="240" t="s">
        <v>2822</v>
      </c>
    </row>
    <row r="1783" spans="1:2">
      <c r="A1783" s="211" t="s">
        <v>1332</v>
      </c>
      <c r="B1783" s="240" t="s">
        <v>1744</v>
      </c>
    </row>
    <row r="1784" spans="1:2">
      <c r="A1784" s="211" t="s">
        <v>1333</v>
      </c>
      <c r="B1784" s="240" t="s">
        <v>1746</v>
      </c>
    </row>
    <row r="1785" spans="1:2">
      <c r="A1785" s="211" t="s">
        <v>1334</v>
      </c>
      <c r="B1785" s="240" t="s">
        <v>1748</v>
      </c>
    </row>
    <row r="1786" spans="1:2">
      <c r="A1786" s="211" t="s">
        <v>1335</v>
      </c>
      <c r="B1786" s="240" t="s">
        <v>1750</v>
      </c>
    </row>
    <row r="1787" spans="1:2">
      <c r="A1787" s="211" t="s">
        <v>1336</v>
      </c>
      <c r="B1787" s="240" t="s">
        <v>1752</v>
      </c>
    </row>
    <row r="1788" spans="1:2">
      <c r="A1788" s="211" t="s">
        <v>1337</v>
      </c>
      <c r="B1788" s="240" t="s">
        <v>1754</v>
      </c>
    </row>
    <row r="1789" spans="1:2">
      <c r="A1789" s="211" t="s">
        <v>1339</v>
      </c>
      <c r="B1789" s="240" t="s">
        <v>1756</v>
      </c>
    </row>
    <row r="1790" spans="1:2">
      <c r="A1790" s="211" t="s">
        <v>1341</v>
      </c>
      <c r="B1790" s="240" t="s">
        <v>1094</v>
      </c>
    </row>
    <row r="1791" spans="1:2">
      <c r="A1791" s="211" t="s">
        <v>1343</v>
      </c>
      <c r="B1791" s="240" t="s">
        <v>1759</v>
      </c>
    </row>
    <row r="1792" spans="1:2">
      <c r="A1792" s="211" t="s">
        <v>1345</v>
      </c>
      <c r="B1792" s="240" t="s">
        <v>1761</v>
      </c>
    </row>
    <row r="1793" spans="1:2">
      <c r="A1793" s="211" t="s">
        <v>1347</v>
      </c>
      <c r="B1793" s="240" t="s">
        <v>2830</v>
      </c>
    </row>
    <row r="1794" spans="1:2">
      <c r="A1794" s="211" t="s">
        <v>1348</v>
      </c>
      <c r="B1794" s="240" t="s">
        <v>697</v>
      </c>
    </row>
    <row r="1795" spans="1:2">
      <c r="A1795" s="211" t="s">
        <v>1349</v>
      </c>
      <c r="B1795" s="240" t="s">
        <v>699</v>
      </c>
    </row>
    <row r="1796" spans="1:2">
      <c r="A1796" s="211" t="s">
        <v>1351</v>
      </c>
      <c r="B1796" s="240" t="s">
        <v>475</v>
      </c>
    </row>
    <row r="1797" spans="1:2">
      <c r="A1797" s="211" t="s">
        <v>1353</v>
      </c>
      <c r="B1797" s="240" t="s">
        <v>455</v>
      </c>
    </row>
    <row r="1798" spans="1:2">
      <c r="A1798" s="211" t="s">
        <v>1354</v>
      </c>
      <c r="B1798" s="240" t="s">
        <v>2831</v>
      </c>
    </row>
    <row r="1799" spans="1:2">
      <c r="A1799" s="211" t="s">
        <v>1356</v>
      </c>
      <c r="B1799" s="240" t="s">
        <v>2832</v>
      </c>
    </row>
    <row r="1800" spans="1:2">
      <c r="A1800" s="211" t="s">
        <v>1358</v>
      </c>
      <c r="B1800" s="240" t="s">
        <v>1730</v>
      </c>
    </row>
    <row r="1801" spans="1:2">
      <c r="A1801" s="211" t="s">
        <v>1360</v>
      </c>
      <c r="B1801" s="240" t="s">
        <v>1688</v>
      </c>
    </row>
    <row r="1802" spans="1:2">
      <c r="A1802" s="211" t="s">
        <v>1362</v>
      </c>
      <c r="B1802" s="240" t="s">
        <v>1610</v>
      </c>
    </row>
    <row r="1803" spans="1:2">
      <c r="A1803" s="211" t="s">
        <v>1363</v>
      </c>
      <c r="B1803" s="240" t="s">
        <v>1741</v>
      </c>
    </row>
    <row r="1804" spans="1:2">
      <c r="A1804" s="211" t="s">
        <v>1365</v>
      </c>
      <c r="B1804" s="240" t="s">
        <v>1693</v>
      </c>
    </row>
    <row r="1805" spans="1:2">
      <c r="A1805" s="211" t="s">
        <v>1367</v>
      </c>
      <c r="B1805" s="240" t="s">
        <v>1695</v>
      </c>
    </row>
    <row r="1806" spans="1:2">
      <c r="A1806" s="211" t="s">
        <v>1369</v>
      </c>
      <c r="B1806" s="240" t="s">
        <v>2833</v>
      </c>
    </row>
    <row r="1807" spans="1:2">
      <c r="A1807" s="211" t="s">
        <v>1371</v>
      </c>
      <c r="B1807" s="240" t="s">
        <v>2834</v>
      </c>
    </row>
    <row r="1808" spans="1:2">
      <c r="A1808" s="211" t="s">
        <v>1373</v>
      </c>
      <c r="B1808" s="240" t="s">
        <v>697</v>
      </c>
    </row>
    <row r="1809" spans="1:2">
      <c r="A1809" s="211" t="s">
        <v>1374</v>
      </c>
      <c r="B1809" s="240" t="s">
        <v>699</v>
      </c>
    </row>
    <row r="1810" spans="1:2">
      <c r="A1810" s="211" t="s">
        <v>1375</v>
      </c>
      <c r="B1810" s="240" t="s">
        <v>475</v>
      </c>
    </row>
    <row r="1811" spans="1:2">
      <c r="A1811" s="211" t="s">
        <v>1377</v>
      </c>
      <c r="B1811" s="240" t="s">
        <v>455</v>
      </c>
    </row>
    <row r="1812" spans="1:2">
      <c r="A1812" s="211" t="s">
        <v>1379</v>
      </c>
      <c r="B1812" s="241" t="s">
        <v>2549</v>
      </c>
    </row>
    <row r="1813" spans="1:2">
      <c r="A1813" s="211" t="s">
        <v>1381</v>
      </c>
      <c r="B1813" s="241" t="s">
        <v>2835</v>
      </c>
    </row>
    <row r="1814" spans="1:2">
      <c r="A1814" s="211" t="s">
        <v>1383</v>
      </c>
      <c r="B1814" s="241" t="s">
        <v>2549</v>
      </c>
    </row>
    <row r="1815" spans="1:2">
      <c r="A1815" s="211" t="s">
        <v>1385</v>
      </c>
      <c r="B1815" s="240" t="s">
        <v>2836</v>
      </c>
    </row>
    <row r="1816" spans="1:2">
      <c r="A1816" s="211" t="s">
        <v>1387</v>
      </c>
      <c r="B1816" s="240" t="s">
        <v>2837</v>
      </c>
    </row>
    <row r="1817" spans="1:2">
      <c r="A1817" s="211" t="s">
        <v>1389</v>
      </c>
      <c r="B1817" s="240" t="s">
        <v>2838</v>
      </c>
    </row>
    <row r="1818" spans="1:2">
      <c r="A1818" s="211" t="s">
        <v>1391</v>
      </c>
      <c r="B1818" s="240" t="s">
        <v>2839</v>
      </c>
    </row>
    <row r="1819" spans="1:2">
      <c r="A1819" s="211" t="s">
        <v>1393</v>
      </c>
      <c r="B1819" s="240" t="s">
        <v>2840</v>
      </c>
    </row>
    <row r="1820" spans="1:2">
      <c r="A1820" s="211" t="s">
        <v>1395</v>
      </c>
      <c r="B1820" s="240" t="s">
        <v>2841</v>
      </c>
    </row>
    <row r="1821" spans="1:2">
      <c r="A1821" s="211" t="s">
        <v>1397</v>
      </c>
      <c r="B1821" s="240" t="s">
        <v>2842</v>
      </c>
    </row>
    <row r="1822" spans="1:2">
      <c r="A1822" s="211" t="s">
        <v>1399</v>
      </c>
      <c r="B1822" s="240" t="s">
        <v>2843</v>
      </c>
    </row>
    <row r="1823" spans="1:2">
      <c r="A1823" s="211" t="s">
        <v>1401</v>
      </c>
      <c r="B1823" s="240" t="s">
        <v>2844</v>
      </c>
    </row>
    <row r="1824" spans="1:2">
      <c r="A1824" s="211" t="s">
        <v>1403</v>
      </c>
      <c r="B1824" s="240" t="s">
        <v>2845</v>
      </c>
    </row>
    <row r="1825" spans="1:2">
      <c r="A1825" s="211" t="s">
        <v>1405</v>
      </c>
      <c r="B1825" s="240" t="s">
        <v>2846</v>
      </c>
    </row>
    <row r="1826" spans="1:2">
      <c r="A1826" s="211" t="s">
        <v>1407</v>
      </c>
      <c r="B1826" s="240" t="s">
        <v>2847</v>
      </c>
    </row>
    <row r="1827" spans="1:2">
      <c r="A1827" s="211" t="s">
        <v>1408</v>
      </c>
      <c r="B1827" s="240" t="s">
        <v>2848</v>
      </c>
    </row>
    <row r="1828" spans="1:2">
      <c r="A1828" s="211" t="s">
        <v>1409</v>
      </c>
      <c r="B1828" s="240" t="s">
        <v>2849</v>
      </c>
    </row>
    <row r="1829" spans="1:2">
      <c r="A1829" s="211" t="s">
        <v>1410</v>
      </c>
      <c r="B1829" s="240" t="s">
        <v>2850</v>
      </c>
    </row>
    <row r="1830" spans="1:2">
      <c r="A1830" s="211" t="s">
        <v>1412</v>
      </c>
      <c r="B1830" s="240" t="s">
        <v>2851</v>
      </c>
    </row>
    <row r="1831" spans="1:2">
      <c r="A1831" s="211" t="s">
        <v>1413</v>
      </c>
      <c r="B1831" s="240" t="s">
        <v>2852</v>
      </c>
    </row>
    <row r="1832" spans="1:2">
      <c r="A1832" s="211" t="s">
        <v>1414</v>
      </c>
      <c r="B1832" s="240" t="s">
        <v>898</v>
      </c>
    </row>
    <row r="1833" spans="1:2">
      <c r="A1833" s="211" t="s">
        <v>1416</v>
      </c>
      <c r="B1833" s="240" t="s">
        <v>2853</v>
      </c>
    </row>
    <row r="1834" spans="1:2">
      <c r="A1834" s="211" t="s">
        <v>1418</v>
      </c>
      <c r="B1834" s="240" t="s">
        <v>2854</v>
      </c>
    </row>
    <row r="1835" spans="1:2">
      <c r="A1835" s="211" t="s">
        <v>1420</v>
      </c>
      <c r="B1835" s="240" t="s">
        <v>2855</v>
      </c>
    </row>
    <row r="1836" spans="1:2">
      <c r="A1836" s="211" t="s">
        <v>1422</v>
      </c>
      <c r="B1836" s="240" t="s">
        <v>1361</v>
      </c>
    </row>
    <row r="1837" spans="1:2">
      <c r="A1837" s="211" t="s">
        <v>1424</v>
      </c>
      <c r="B1837" s="240" t="s">
        <v>455</v>
      </c>
    </row>
    <row r="1838" spans="1:2">
      <c r="A1838" s="211" t="s">
        <v>1426</v>
      </c>
      <c r="B1838" s="241" t="s">
        <v>2856</v>
      </c>
    </row>
    <row r="1839" spans="1:2">
      <c r="A1839" s="211" t="s">
        <v>1427</v>
      </c>
      <c r="B1839" s="241" t="s">
        <v>4486</v>
      </c>
    </row>
    <row r="1840" spans="1:2">
      <c r="A1840" s="211" t="s">
        <v>1428</v>
      </c>
      <c r="B1840" s="241" t="s">
        <v>4487</v>
      </c>
    </row>
    <row r="1841" spans="1:2">
      <c r="A1841" s="211" t="s">
        <v>1429</v>
      </c>
      <c r="B1841" s="240" t="s">
        <v>2857</v>
      </c>
    </row>
    <row r="1842" spans="1:2">
      <c r="A1842" s="211" t="s">
        <v>1431</v>
      </c>
      <c r="B1842" s="240" t="s">
        <v>2858</v>
      </c>
    </row>
    <row r="1843" spans="1:2">
      <c r="A1843" s="211" t="s">
        <v>1433</v>
      </c>
      <c r="B1843" s="240" t="s">
        <v>1181</v>
      </c>
    </row>
    <row r="1844" spans="1:2">
      <c r="A1844" s="211" t="s">
        <v>1435</v>
      </c>
      <c r="B1844" s="240" t="s">
        <v>2859</v>
      </c>
    </row>
    <row r="1845" spans="1:2">
      <c r="A1845" s="211" t="s">
        <v>1437</v>
      </c>
      <c r="B1845" s="240" t="s">
        <v>2860</v>
      </c>
    </row>
    <row r="1846" spans="1:2">
      <c r="A1846" s="211" t="s">
        <v>1438</v>
      </c>
      <c r="B1846" s="240" t="s">
        <v>1204</v>
      </c>
    </row>
    <row r="1847" spans="1:2">
      <c r="A1847" s="211" t="s">
        <v>1439</v>
      </c>
      <c r="B1847" s="240" t="s">
        <v>2861</v>
      </c>
    </row>
    <row r="1848" spans="1:2">
      <c r="A1848" s="211" t="s">
        <v>1441</v>
      </c>
      <c r="B1848" s="240" t="s">
        <v>2862</v>
      </c>
    </row>
    <row r="1849" spans="1:2">
      <c r="A1849" s="211" t="s">
        <v>1443</v>
      </c>
      <c r="B1849" s="240" t="s">
        <v>2863</v>
      </c>
    </row>
    <row r="1850" spans="1:2">
      <c r="A1850" s="211" t="s">
        <v>1445</v>
      </c>
      <c r="B1850" s="240" t="s">
        <v>2864</v>
      </c>
    </row>
    <row r="1851" spans="1:2">
      <c r="A1851" s="211" t="s">
        <v>1447</v>
      </c>
      <c r="B1851" s="240" t="s">
        <v>2865</v>
      </c>
    </row>
    <row r="1852" spans="1:2">
      <c r="A1852" s="211" t="s">
        <v>1449</v>
      </c>
      <c r="B1852" s="240" t="s">
        <v>475</v>
      </c>
    </row>
    <row r="1853" spans="1:2">
      <c r="A1853" s="211" t="s">
        <v>1451</v>
      </c>
      <c r="B1853" s="240" t="s">
        <v>455</v>
      </c>
    </row>
    <row r="1854" spans="1:2">
      <c r="A1854" s="211" t="s">
        <v>1453</v>
      </c>
      <c r="B1854" s="241" t="s">
        <v>2866</v>
      </c>
    </row>
    <row r="1855" spans="1:2">
      <c r="A1855" s="211" t="s">
        <v>1455</v>
      </c>
      <c r="B1855" s="240" t="s">
        <v>2867</v>
      </c>
    </row>
    <row r="1856" spans="1:2">
      <c r="A1856" s="211" t="s">
        <v>1456</v>
      </c>
      <c r="B1856" s="240" t="s">
        <v>2868</v>
      </c>
    </row>
    <row r="1857" spans="1:2">
      <c r="A1857" s="211" t="s">
        <v>1457</v>
      </c>
      <c r="B1857" s="240" t="s">
        <v>1263</v>
      </c>
    </row>
    <row r="1858" spans="1:2">
      <c r="A1858" s="211" t="s">
        <v>1458</v>
      </c>
      <c r="B1858" s="240" t="s">
        <v>2869</v>
      </c>
    </row>
    <row r="1859" spans="1:2">
      <c r="A1859" s="211" t="s">
        <v>1459</v>
      </c>
      <c r="B1859" s="240" t="s">
        <v>1297</v>
      </c>
    </row>
    <row r="1860" spans="1:2">
      <c r="A1860" s="211" t="s">
        <v>1461</v>
      </c>
      <c r="B1860" s="240" t="s">
        <v>475</v>
      </c>
    </row>
    <row r="1861" spans="1:2">
      <c r="A1861" s="211" t="s">
        <v>1463</v>
      </c>
      <c r="B1861" s="240" t="s">
        <v>455</v>
      </c>
    </row>
    <row r="1862" spans="1:2">
      <c r="A1862" s="211" t="s">
        <v>1464</v>
      </c>
      <c r="B1862" s="241" t="s">
        <v>2870</v>
      </c>
    </row>
    <row r="1863" spans="1:2">
      <c r="A1863" s="211" t="s">
        <v>1465</v>
      </c>
      <c r="B1863" s="240" t="s">
        <v>2871</v>
      </c>
    </row>
    <row r="1864" spans="1:2">
      <c r="A1864" s="211" t="s">
        <v>1467</v>
      </c>
      <c r="B1864" s="240" t="s">
        <v>2872</v>
      </c>
    </row>
    <row r="1865" spans="1:2">
      <c r="A1865" s="211" t="s">
        <v>1469</v>
      </c>
      <c r="B1865" s="240" t="s">
        <v>2873</v>
      </c>
    </row>
    <row r="1866" spans="1:2">
      <c r="A1866" s="211" t="s">
        <v>1470</v>
      </c>
      <c r="B1866" s="240" t="s">
        <v>2874</v>
      </c>
    </row>
    <row r="1867" spans="1:2">
      <c r="A1867" s="211" t="s">
        <v>1471</v>
      </c>
      <c r="B1867" s="240" t="s">
        <v>2875</v>
      </c>
    </row>
    <row r="1868" spans="1:2">
      <c r="A1868" s="211" t="s">
        <v>1473</v>
      </c>
      <c r="B1868" s="240" t="s">
        <v>2876</v>
      </c>
    </row>
    <row r="1869" spans="1:2">
      <c r="A1869" s="211" t="s">
        <v>1475</v>
      </c>
      <c r="B1869" s="240" t="s">
        <v>651</v>
      </c>
    </row>
    <row r="1870" spans="1:2">
      <c r="A1870" s="211" t="s">
        <v>1476</v>
      </c>
      <c r="B1870" s="240" t="s">
        <v>473</v>
      </c>
    </row>
    <row r="1871" spans="1:2">
      <c r="A1871" s="211" t="s">
        <v>1477</v>
      </c>
      <c r="B1871" s="240" t="s">
        <v>2877</v>
      </c>
    </row>
    <row r="1872" spans="1:2">
      <c r="A1872" s="211" t="s">
        <v>1479</v>
      </c>
      <c r="B1872" s="240" t="s">
        <v>2878</v>
      </c>
    </row>
    <row r="1873" spans="1:2">
      <c r="A1873" s="211" t="s">
        <v>1481</v>
      </c>
      <c r="B1873" s="240" t="s">
        <v>2879</v>
      </c>
    </row>
    <row r="1874" spans="1:2">
      <c r="A1874" s="211" t="s">
        <v>1483</v>
      </c>
      <c r="B1874" s="240" t="s">
        <v>2880</v>
      </c>
    </row>
    <row r="1875" spans="1:2">
      <c r="A1875" s="211" t="s">
        <v>1484</v>
      </c>
      <c r="B1875" s="240" t="s">
        <v>2881</v>
      </c>
    </row>
    <row r="1876" spans="1:2">
      <c r="A1876" s="211" t="s">
        <v>1485</v>
      </c>
      <c r="B1876" s="240" t="s">
        <v>2882</v>
      </c>
    </row>
    <row r="1877" spans="1:2">
      <c r="A1877" s="211" t="s">
        <v>1487</v>
      </c>
      <c r="B1877" s="240" t="s">
        <v>2583</v>
      </c>
    </row>
    <row r="1878" spans="1:2">
      <c r="A1878" s="211" t="s">
        <v>1489</v>
      </c>
      <c r="B1878" s="240" t="s">
        <v>2883</v>
      </c>
    </row>
    <row r="1879" spans="1:2">
      <c r="A1879" s="211" t="s">
        <v>1491</v>
      </c>
      <c r="B1879" s="240" t="s">
        <v>2884</v>
      </c>
    </row>
    <row r="1880" spans="1:2">
      <c r="A1880" s="211" t="s">
        <v>1493</v>
      </c>
      <c r="B1880" s="240" t="s">
        <v>2885</v>
      </c>
    </row>
    <row r="1881" spans="1:2">
      <c r="A1881" s="211" t="s">
        <v>1495</v>
      </c>
      <c r="B1881" s="240" t="s">
        <v>2886</v>
      </c>
    </row>
    <row r="1882" spans="1:2">
      <c r="A1882" s="211" t="s">
        <v>1497</v>
      </c>
      <c r="B1882" s="240" t="s">
        <v>2887</v>
      </c>
    </row>
    <row r="1883" spans="1:2">
      <c r="A1883" s="211" t="s">
        <v>1499</v>
      </c>
      <c r="B1883" s="240" t="s">
        <v>473</v>
      </c>
    </row>
    <row r="1884" spans="1:2">
      <c r="A1884" s="211" t="s">
        <v>1500</v>
      </c>
      <c r="B1884" s="240" t="s">
        <v>2888</v>
      </c>
    </row>
    <row r="1885" spans="1:2">
      <c r="A1885" s="211" t="s">
        <v>1501</v>
      </c>
      <c r="B1885" s="240" t="s">
        <v>2889</v>
      </c>
    </row>
    <row r="1886" spans="1:2">
      <c r="A1886" s="211" t="s">
        <v>1503</v>
      </c>
      <c r="B1886" s="240" t="s">
        <v>2890</v>
      </c>
    </row>
    <row r="1887" spans="1:2">
      <c r="A1887" s="211" t="s">
        <v>1505</v>
      </c>
      <c r="B1887" s="240" t="s">
        <v>2891</v>
      </c>
    </row>
    <row r="1888" spans="1:2">
      <c r="A1888" s="211" t="s">
        <v>1507</v>
      </c>
      <c r="B1888" s="240" t="s">
        <v>2892</v>
      </c>
    </row>
    <row r="1889" spans="1:2">
      <c r="A1889" s="211" t="s">
        <v>1509</v>
      </c>
      <c r="B1889" s="240" t="s">
        <v>2583</v>
      </c>
    </row>
    <row r="1890" spans="1:2">
      <c r="A1890" s="211" t="s">
        <v>1511</v>
      </c>
      <c r="B1890" s="240" t="s">
        <v>2893</v>
      </c>
    </row>
    <row r="1891" spans="1:2">
      <c r="A1891" s="211" t="s">
        <v>1513</v>
      </c>
      <c r="B1891" s="240" t="s">
        <v>2894</v>
      </c>
    </row>
    <row r="1892" spans="1:2">
      <c r="A1892" s="211" t="s">
        <v>1515</v>
      </c>
      <c r="B1892" s="240" t="s">
        <v>473</v>
      </c>
    </row>
    <row r="1893" spans="1:2">
      <c r="A1893" s="211" t="s">
        <v>1516</v>
      </c>
      <c r="B1893" s="240" t="s">
        <v>2895</v>
      </c>
    </row>
    <row r="1894" spans="1:2">
      <c r="A1894" s="211" t="s">
        <v>1517</v>
      </c>
      <c r="B1894" s="240" t="s">
        <v>2896</v>
      </c>
    </row>
    <row r="1895" spans="1:2">
      <c r="A1895" s="211" t="s">
        <v>1519</v>
      </c>
      <c r="B1895" s="240" t="s">
        <v>475</v>
      </c>
    </row>
    <row r="1896" spans="1:2">
      <c r="A1896" s="211" t="s">
        <v>1521</v>
      </c>
      <c r="B1896" s="240" t="s">
        <v>455</v>
      </c>
    </row>
    <row r="1897" spans="1:2">
      <c r="A1897" s="211" t="s">
        <v>1523</v>
      </c>
      <c r="B1897" s="241" t="s">
        <v>2549</v>
      </c>
    </row>
    <row r="1898" spans="1:2">
      <c r="A1898" s="211" t="s">
        <v>1525</v>
      </c>
      <c r="B1898" s="241" t="s">
        <v>2897</v>
      </c>
    </row>
    <row r="1899" spans="1:2">
      <c r="A1899" s="211" t="s">
        <v>1527</v>
      </c>
      <c r="B1899" s="240" t="s">
        <v>2898</v>
      </c>
    </row>
    <row r="1900" spans="1:2">
      <c r="A1900" s="211" t="s">
        <v>1529</v>
      </c>
      <c r="B1900" s="240" t="s">
        <v>2899</v>
      </c>
    </row>
    <row r="1901" spans="1:2">
      <c r="A1901" s="211" t="s">
        <v>1531</v>
      </c>
      <c r="B1901" s="240" t="s">
        <v>1263</v>
      </c>
    </row>
    <row r="1902" spans="1:2">
      <c r="A1902" s="211" t="s">
        <v>1533</v>
      </c>
      <c r="B1902" s="240" t="s">
        <v>2900</v>
      </c>
    </row>
    <row r="1903" spans="1:2">
      <c r="A1903" s="211" t="s">
        <v>1535</v>
      </c>
      <c r="B1903" s="240" t="s">
        <v>1297</v>
      </c>
    </row>
    <row r="1904" spans="1:2">
      <c r="A1904" s="211" t="s">
        <v>1537</v>
      </c>
      <c r="B1904" s="240" t="s">
        <v>2901</v>
      </c>
    </row>
    <row r="1905" spans="1:2">
      <c r="A1905" s="211" t="s">
        <v>1538</v>
      </c>
      <c r="B1905" s="240" t="s">
        <v>2902</v>
      </c>
    </row>
    <row r="1906" spans="1:2">
      <c r="A1906" s="211" t="s">
        <v>1540</v>
      </c>
      <c r="B1906" s="240" t="s">
        <v>2903</v>
      </c>
    </row>
    <row r="1907" spans="1:2">
      <c r="A1907" s="211" t="s">
        <v>1542</v>
      </c>
      <c r="B1907" s="240" t="s">
        <v>667</v>
      </c>
    </row>
    <row r="1908" spans="1:2">
      <c r="A1908" s="211" t="s">
        <v>1543</v>
      </c>
      <c r="B1908" s="240" t="s">
        <v>2904</v>
      </c>
    </row>
    <row r="1909" spans="1:2">
      <c r="A1909" s="211" t="s">
        <v>1544</v>
      </c>
      <c r="B1909" s="240" t="s">
        <v>2905</v>
      </c>
    </row>
    <row r="1910" spans="1:2">
      <c r="A1910" s="211" t="s">
        <v>1545</v>
      </c>
      <c r="B1910" s="240" t="s">
        <v>473</v>
      </c>
    </row>
    <row r="1911" spans="1:2">
      <c r="A1911" s="211" t="s">
        <v>1547</v>
      </c>
      <c r="B1911" s="240" t="s">
        <v>475</v>
      </c>
    </row>
    <row r="1912" spans="1:2">
      <c r="A1912" s="211" t="s">
        <v>1549</v>
      </c>
      <c r="B1912" s="240" t="s">
        <v>455</v>
      </c>
    </row>
    <row r="1913" spans="1:2">
      <c r="A1913" s="211" t="s">
        <v>1551</v>
      </c>
      <c r="B1913" s="241" t="s">
        <v>2906</v>
      </c>
    </row>
    <row r="1914" spans="1:2">
      <c r="A1914" s="211" t="s">
        <v>1553</v>
      </c>
      <c r="B1914" s="240" t="s">
        <v>2907</v>
      </c>
    </row>
    <row r="1915" spans="1:2">
      <c r="A1915" s="211" t="s">
        <v>1555</v>
      </c>
      <c r="B1915" s="240" t="s">
        <v>2908</v>
      </c>
    </row>
    <row r="1916" spans="1:2">
      <c r="A1916" s="211" t="s">
        <v>1557</v>
      </c>
      <c r="B1916" s="240" t="s">
        <v>1656</v>
      </c>
    </row>
    <row r="1917" spans="1:2">
      <c r="A1917" s="211" t="s">
        <v>1558</v>
      </c>
      <c r="B1917" s="240" t="s">
        <v>1730</v>
      </c>
    </row>
    <row r="1918" spans="1:2">
      <c r="A1918" s="211" t="s">
        <v>1559</v>
      </c>
      <c r="B1918" s="240" t="s">
        <v>1610</v>
      </c>
    </row>
    <row r="1919" spans="1:2">
      <c r="A1919" s="211" t="s">
        <v>1561</v>
      </c>
      <c r="B1919" s="240" t="s">
        <v>1741</v>
      </c>
    </row>
    <row r="1920" spans="1:2">
      <c r="A1920" s="211" t="s">
        <v>1563</v>
      </c>
      <c r="B1920" s="240" t="s">
        <v>2909</v>
      </c>
    </row>
    <row r="1921" spans="1:7">
      <c r="A1921" s="211" t="s">
        <v>1565</v>
      </c>
      <c r="B1921" s="240" t="s">
        <v>699</v>
      </c>
    </row>
    <row r="1922" spans="1:7">
      <c r="A1922" s="211" t="s">
        <v>1567</v>
      </c>
      <c r="B1922" s="240" t="s">
        <v>4488</v>
      </c>
    </row>
    <row r="1923" spans="1:7">
      <c r="A1923" s="211" t="s">
        <v>1569</v>
      </c>
      <c r="B1923" s="240" t="s">
        <v>2910</v>
      </c>
    </row>
    <row r="1924" spans="1:7">
      <c r="A1924" s="211" t="s">
        <v>1571</v>
      </c>
      <c r="B1924" s="240" t="s">
        <v>1361</v>
      </c>
    </row>
    <row r="1925" spans="1:7">
      <c r="A1925" s="211" t="s">
        <v>1573</v>
      </c>
      <c r="B1925" s="240" t="s">
        <v>455</v>
      </c>
    </row>
    <row r="1926" spans="1:7">
      <c r="A1926" s="211" t="s">
        <v>1574</v>
      </c>
      <c r="B1926" s="241" t="s">
        <v>2911</v>
      </c>
    </row>
    <row r="1927" spans="1:7">
      <c r="A1927" s="211" t="s">
        <v>1575</v>
      </c>
      <c r="B1927" s="240" t="s">
        <v>2912</v>
      </c>
    </row>
    <row r="1928" spans="1:7">
      <c r="A1928" s="211" t="s">
        <v>1576</v>
      </c>
      <c r="B1928" s="240" t="s">
        <v>2913</v>
      </c>
    </row>
    <row r="1929" spans="1:7">
      <c r="A1929" s="211" t="s">
        <v>1578</v>
      </c>
      <c r="B1929" s="240" t="s">
        <v>1361</v>
      </c>
    </row>
    <row r="1931" spans="1:7">
      <c r="A1931" s="209" t="s">
        <v>2914</v>
      </c>
      <c r="B1931" s="239" t="s">
        <v>2915</v>
      </c>
      <c r="C1931" s="209"/>
      <c r="D1931" s="209"/>
      <c r="E1931" s="209"/>
      <c r="F1931" s="209"/>
      <c r="G1931" s="209"/>
    </row>
    <row r="1932" spans="1:7">
      <c r="A1932" s="211" t="s">
        <v>452</v>
      </c>
      <c r="B1932" s="240" t="s">
        <v>453</v>
      </c>
    </row>
    <row r="1933" spans="1:7">
      <c r="A1933" s="211" t="s">
        <v>454</v>
      </c>
      <c r="B1933" s="241" t="s">
        <v>477</v>
      </c>
    </row>
    <row r="1934" spans="1:7">
      <c r="A1934" s="211" t="s">
        <v>456</v>
      </c>
      <c r="B1934" s="241" t="s">
        <v>2916</v>
      </c>
    </row>
    <row r="1935" spans="1:7">
      <c r="A1935" s="211" t="s">
        <v>458</v>
      </c>
      <c r="B1935" s="241" t="s">
        <v>2917</v>
      </c>
    </row>
    <row r="1936" spans="1:7">
      <c r="A1936" s="211" t="s">
        <v>460</v>
      </c>
      <c r="B1936" s="241" t="s">
        <v>2918</v>
      </c>
    </row>
    <row r="1937" spans="1:2">
      <c r="A1937" s="211" t="s">
        <v>462</v>
      </c>
      <c r="B1937" s="241" t="s">
        <v>477</v>
      </c>
    </row>
    <row r="1938" spans="1:2">
      <c r="A1938" s="211" t="s">
        <v>464</v>
      </c>
      <c r="B1938" s="240" t="s">
        <v>455</v>
      </c>
    </row>
    <row r="1939" spans="1:2">
      <c r="A1939" s="211" t="s">
        <v>466</v>
      </c>
      <c r="B1939" s="241" t="s">
        <v>2549</v>
      </c>
    </row>
    <row r="1940" spans="1:2">
      <c r="A1940" s="211" t="s">
        <v>468</v>
      </c>
      <c r="B1940" s="241" t="s">
        <v>2919</v>
      </c>
    </row>
    <row r="1941" spans="1:2">
      <c r="A1941" s="211" t="s">
        <v>470</v>
      </c>
      <c r="B1941" s="241" t="s">
        <v>2549</v>
      </c>
    </row>
    <row r="1942" spans="1:2">
      <c r="A1942" s="211" t="s">
        <v>472</v>
      </c>
      <c r="B1942" s="240" t="s">
        <v>2920</v>
      </c>
    </row>
    <row r="1943" spans="1:2">
      <c r="A1943" s="211" t="s">
        <v>474</v>
      </c>
      <c r="B1943" s="240" t="s">
        <v>2921</v>
      </c>
    </row>
    <row r="1944" spans="1:2">
      <c r="A1944" s="211" t="s">
        <v>486</v>
      </c>
      <c r="B1944" s="240" t="s">
        <v>2922</v>
      </c>
    </row>
    <row r="1945" spans="1:2">
      <c r="A1945" s="211" t="s">
        <v>488</v>
      </c>
      <c r="B1945" s="240" t="s">
        <v>2923</v>
      </c>
    </row>
    <row r="1946" spans="1:2">
      <c r="A1946" s="211" t="s">
        <v>489</v>
      </c>
      <c r="B1946" s="240" t="s">
        <v>455</v>
      </c>
    </row>
    <row r="1947" spans="1:2">
      <c r="A1947" s="211" t="s">
        <v>491</v>
      </c>
      <c r="B1947" s="240" t="s">
        <v>2924</v>
      </c>
    </row>
    <row r="1948" spans="1:2">
      <c r="A1948" s="211" t="s">
        <v>493</v>
      </c>
      <c r="B1948" s="240" t="s">
        <v>2899</v>
      </c>
    </row>
    <row r="1949" spans="1:2">
      <c r="A1949" s="211" t="s">
        <v>495</v>
      </c>
      <c r="B1949" s="240" t="s">
        <v>1263</v>
      </c>
    </row>
    <row r="1950" spans="1:2">
      <c r="A1950" s="211" t="s">
        <v>497</v>
      </c>
      <c r="B1950" s="240" t="s">
        <v>2925</v>
      </c>
    </row>
    <row r="1951" spans="1:2">
      <c r="A1951" s="211" t="s">
        <v>499</v>
      </c>
      <c r="B1951" s="240" t="s">
        <v>1297</v>
      </c>
    </row>
    <row r="1952" spans="1:2">
      <c r="A1952" s="211" t="s">
        <v>501</v>
      </c>
      <c r="B1952" s="240" t="s">
        <v>2901</v>
      </c>
    </row>
    <row r="1953" spans="1:2">
      <c r="A1953" s="211" t="s">
        <v>502</v>
      </c>
      <c r="B1953" s="240" t="s">
        <v>2926</v>
      </c>
    </row>
    <row r="1954" spans="1:2">
      <c r="A1954" s="211" t="s">
        <v>504</v>
      </c>
      <c r="B1954" s="240" t="s">
        <v>2927</v>
      </c>
    </row>
    <row r="1955" spans="1:2">
      <c r="A1955" s="211" t="s">
        <v>506</v>
      </c>
      <c r="B1955" s="240" t="s">
        <v>667</v>
      </c>
    </row>
    <row r="1956" spans="1:2">
      <c r="A1956" s="211" t="s">
        <v>508</v>
      </c>
      <c r="B1956" s="240" t="s">
        <v>2904</v>
      </c>
    </row>
    <row r="1957" spans="1:2">
      <c r="A1957" s="211" t="s">
        <v>510</v>
      </c>
      <c r="B1957" s="240" t="s">
        <v>2905</v>
      </c>
    </row>
    <row r="1958" spans="1:2">
      <c r="A1958" s="211" t="s">
        <v>512</v>
      </c>
      <c r="B1958" s="240" t="s">
        <v>473</v>
      </c>
    </row>
    <row r="1959" spans="1:2">
      <c r="A1959" s="211" t="s">
        <v>514</v>
      </c>
      <c r="B1959" s="240" t="s">
        <v>475</v>
      </c>
    </row>
    <row r="1960" spans="1:2">
      <c r="A1960" s="211" t="s">
        <v>516</v>
      </c>
      <c r="B1960" s="240" t="s">
        <v>455</v>
      </c>
    </row>
    <row r="1961" spans="1:2">
      <c r="A1961" s="211" t="s">
        <v>518</v>
      </c>
      <c r="B1961" s="240" t="s">
        <v>2928</v>
      </c>
    </row>
    <row r="1962" spans="1:2">
      <c r="A1962" s="211" t="s">
        <v>520</v>
      </c>
      <c r="B1962" s="240" t="s">
        <v>2929</v>
      </c>
    </row>
    <row r="1963" spans="1:2">
      <c r="A1963" s="211" t="s">
        <v>522</v>
      </c>
      <c r="B1963" s="240" t="s">
        <v>475</v>
      </c>
    </row>
    <row r="1964" spans="1:2">
      <c r="A1964" s="211" t="s">
        <v>524</v>
      </c>
      <c r="B1964" s="240" t="s">
        <v>455</v>
      </c>
    </row>
    <row r="1965" spans="1:2">
      <c r="A1965" s="211" t="s">
        <v>525</v>
      </c>
      <c r="B1965" s="240" t="s">
        <v>2930</v>
      </c>
    </row>
    <row r="1966" spans="1:2">
      <c r="A1966" s="211" t="s">
        <v>527</v>
      </c>
      <c r="B1966" s="240" t="s">
        <v>455</v>
      </c>
    </row>
    <row r="1967" spans="1:2">
      <c r="A1967" s="211" t="s">
        <v>529</v>
      </c>
      <c r="B1967" s="240" t="s">
        <v>2931</v>
      </c>
    </row>
    <row r="1968" spans="1:2">
      <c r="A1968" s="211" t="s">
        <v>531</v>
      </c>
      <c r="B1968" s="240" t="s">
        <v>2932</v>
      </c>
    </row>
    <row r="1969" spans="1:2">
      <c r="A1969" s="211" t="s">
        <v>533</v>
      </c>
      <c r="B1969" s="240" t="s">
        <v>2933</v>
      </c>
    </row>
    <row r="1970" spans="1:2">
      <c r="A1970" s="211" t="s">
        <v>534</v>
      </c>
      <c r="B1970" s="240" t="s">
        <v>2934</v>
      </c>
    </row>
    <row r="1971" spans="1:2">
      <c r="A1971" s="211" t="s">
        <v>536</v>
      </c>
      <c r="B1971" s="240" t="s">
        <v>473</v>
      </c>
    </row>
    <row r="1972" spans="1:2">
      <c r="A1972" s="211" t="s">
        <v>538</v>
      </c>
      <c r="B1972" s="240" t="s">
        <v>475</v>
      </c>
    </row>
    <row r="1973" spans="1:2">
      <c r="A1973" s="211" t="s">
        <v>540</v>
      </c>
      <c r="B1973" s="240" t="s">
        <v>455</v>
      </c>
    </row>
    <row r="1974" spans="1:2">
      <c r="A1974" s="211" t="s">
        <v>542</v>
      </c>
      <c r="B1974" s="241" t="s">
        <v>2549</v>
      </c>
    </row>
    <row r="1975" spans="1:2">
      <c r="A1975" s="211" t="s">
        <v>544</v>
      </c>
      <c r="B1975" s="241" t="s">
        <v>2935</v>
      </c>
    </row>
    <row r="1976" spans="1:2">
      <c r="A1976" s="211" t="s">
        <v>546</v>
      </c>
      <c r="B1976" s="241" t="s">
        <v>2549</v>
      </c>
    </row>
    <row r="1977" spans="1:2">
      <c r="A1977" s="211" t="s">
        <v>548</v>
      </c>
      <c r="B1977" s="240" t="s">
        <v>2936</v>
      </c>
    </row>
    <row r="1978" spans="1:2">
      <c r="A1978" s="211" t="s">
        <v>550</v>
      </c>
      <c r="B1978" s="240" t="s">
        <v>2937</v>
      </c>
    </row>
    <row r="1979" spans="1:2">
      <c r="A1979" s="211" t="s">
        <v>552</v>
      </c>
      <c r="B1979" s="240" t="s">
        <v>1241</v>
      </c>
    </row>
    <row r="1980" spans="1:2">
      <c r="A1980" s="211" t="s">
        <v>554</v>
      </c>
      <c r="B1980" s="240" t="s">
        <v>455</v>
      </c>
    </row>
    <row r="1981" spans="1:2">
      <c r="A1981" s="211" t="s">
        <v>555</v>
      </c>
      <c r="B1981" s="240" t="s">
        <v>2938</v>
      </c>
    </row>
    <row r="1982" spans="1:2">
      <c r="A1982" s="211" t="s">
        <v>557</v>
      </c>
      <c r="B1982" s="240" t="s">
        <v>2939</v>
      </c>
    </row>
    <row r="1983" spans="1:2">
      <c r="A1983" s="211" t="s">
        <v>559</v>
      </c>
      <c r="B1983" s="240" t="s">
        <v>2573</v>
      </c>
    </row>
    <row r="1984" spans="1:2">
      <c r="A1984" s="211" t="s">
        <v>561</v>
      </c>
      <c r="B1984" s="240" t="s">
        <v>2940</v>
      </c>
    </row>
    <row r="1985" spans="1:2">
      <c r="A1985" s="211" t="s">
        <v>563</v>
      </c>
      <c r="B1985" s="240" t="s">
        <v>2941</v>
      </c>
    </row>
    <row r="1986" spans="1:2">
      <c r="A1986" s="211" t="s">
        <v>565</v>
      </c>
      <c r="B1986" s="240" t="s">
        <v>2942</v>
      </c>
    </row>
    <row r="1987" spans="1:2">
      <c r="A1987" s="211" t="s">
        <v>567</v>
      </c>
      <c r="B1987" s="240" t="s">
        <v>455</v>
      </c>
    </row>
    <row r="1988" spans="1:2">
      <c r="A1988" s="211" t="s">
        <v>569</v>
      </c>
      <c r="B1988" s="240" t="s">
        <v>2943</v>
      </c>
    </row>
    <row r="1989" spans="1:2">
      <c r="A1989" s="211" t="s">
        <v>571</v>
      </c>
      <c r="B1989" s="240" t="s">
        <v>2944</v>
      </c>
    </row>
    <row r="1990" spans="1:2">
      <c r="A1990" s="211" t="s">
        <v>573</v>
      </c>
      <c r="B1990" s="240" t="s">
        <v>2945</v>
      </c>
    </row>
    <row r="1991" spans="1:2">
      <c r="A1991" s="211" t="s">
        <v>575</v>
      </c>
      <c r="B1991" s="240" t="s">
        <v>2946</v>
      </c>
    </row>
    <row r="1992" spans="1:2">
      <c r="A1992" s="211" t="s">
        <v>576</v>
      </c>
      <c r="B1992" s="240" t="s">
        <v>455</v>
      </c>
    </row>
    <row r="1993" spans="1:2">
      <c r="A1993" s="211" t="s">
        <v>578</v>
      </c>
      <c r="B1993" s="240" t="s">
        <v>2947</v>
      </c>
    </row>
    <row r="1994" spans="1:2">
      <c r="A1994" s="211" t="s">
        <v>580</v>
      </c>
      <c r="B1994" s="240" t="s">
        <v>2948</v>
      </c>
    </row>
    <row r="1995" spans="1:2">
      <c r="A1995" s="211" t="s">
        <v>582</v>
      </c>
      <c r="B1995" s="240" t="s">
        <v>2949</v>
      </c>
    </row>
    <row r="1996" spans="1:2">
      <c r="A1996" s="211" t="s">
        <v>584</v>
      </c>
      <c r="B1996" s="240" t="s">
        <v>2950</v>
      </c>
    </row>
    <row r="1997" spans="1:2">
      <c r="A1997" s="211" t="s">
        <v>585</v>
      </c>
      <c r="B1997" s="240" t="s">
        <v>455</v>
      </c>
    </row>
    <row r="1998" spans="1:2">
      <c r="A1998" s="211" t="s">
        <v>587</v>
      </c>
      <c r="B1998" s="240" t="s">
        <v>2951</v>
      </c>
    </row>
    <row r="1999" spans="1:2">
      <c r="A1999" s="211" t="s">
        <v>588</v>
      </c>
      <c r="B1999" s="240" t="s">
        <v>2952</v>
      </c>
    </row>
    <row r="2000" spans="1:2">
      <c r="A2000" s="211" t="s">
        <v>590</v>
      </c>
      <c r="B2000" s="240" t="s">
        <v>2953</v>
      </c>
    </row>
    <row r="2001" spans="1:2">
      <c r="A2001" s="211" t="s">
        <v>592</v>
      </c>
      <c r="B2001" s="240" t="s">
        <v>2954</v>
      </c>
    </row>
    <row r="2002" spans="1:2">
      <c r="A2002" s="211" t="s">
        <v>594</v>
      </c>
      <c r="B2002" s="240" t="s">
        <v>2955</v>
      </c>
    </row>
    <row r="2003" spans="1:2">
      <c r="A2003" s="211" t="s">
        <v>596</v>
      </c>
      <c r="B2003" s="240" t="s">
        <v>2956</v>
      </c>
    </row>
    <row r="2004" spans="1:2">
      <c r="A2004" s="211" t="s">
        <v>598</v>
      </c>
      <c r="B2004" s="240" t="s">
        <v>2957</v>
      </c>
    </row>
    <row r="2005" spans="1:2">
      <c r="A2005" s="211" t="s">
        <v>600</v>
      </c>
      <c r="B2005" s="240" t="s">
        <v>2953</v>
      </c>
    </row>
    <row r="2006" spans="1:2">
      <c r="A2006" s="211" t="s">
        <v>602</v>
      </c>
      <c r="B2006" s="240" t="s">
        <v>2958</v>
      </c>
    </row>
    <row r="2007" spans="1:2">
      <c r="A2007" s="211" t="s">
        <v>603</v>
      </c>
      <c r="B2007" s="240" t="s">
        <v>2953</v>
      </c>
    </row>
    <row r="2008" spans="1:2">
      <c r="A2008" s="211" t="s">
        <v>605</v>
      </c>
      <c r="B2008" s="240" t="s">
        <v>2959</v>
      </c>
    </row>
    <row r="2009" spans="1:2">
      <c r="A2009" s="211" t="s">
        <v>606</v>
      </c>
      <c r="B2009" s="240" t="s">
        <v>2953</v>
      </c>
    </row>
    <row r="2010" spans="1:2">
      <c r="A2010" s="211" t="s">
        <v>607</v>
      </c>
      <c r="B2010" s="240" t="s">
        <v>2960</v>
      </c>
    </row>
    <row r="2011" spans="1:2">
      <c r="A2011" s="211" t="s">
        <v>609</v>
      </c>
      <c r="B2011" s="240" t="s">
        <v>2953</v>
      </c>
    </row>
    <row r="2012" spans="1:2">
      <c r="A2012" s="211" t="s">
        <v>610</v>
      </c>
      <c r="B2012" s="240" t="s">
        <v>2961</v>
      </c>
    </row>
    <row r="2013" spans="1:2">
      <c r="A2013" s="211" t="s">
        <v>612</v>
      </c>
      <c r="B2013" s="240" t="s">
        <v>2953</v>
      </c>
    </row>
    <row r="2014" spans="1:2">
      <c r="A2014" s="211" t="s">
        <v>614</v>
      </c>
      <c r="B2014" s="240" t="s">
        <v>2962</v>
      </c>
    </row>
    <row r="2015" spans="1:2">
      <c r="A2015" s="211" t="s">
        <v>616</v>
      </c>
      <c r="B2015" s="240" t="s">
        <v>2953</v>
      </c>
    </row>
    <row r="2016" spans="1:2">
      <c r="A2016" s="211" t="s">
        <v>618</v>
      </c>
      <c r="B2016" s="240" t="s">
        <v>2963</v>
      </c>
    </row>
    <row r="2017" spans="1:2">
      <c r="A2017" s="211" t="s">
        <v>620</v>
      </c>
      <c r="B2017" s="240" t="s">
        <v>2955</v>
      </c>
    </row>
    <row r="2018" spans="1:2">
      <c r="A2018" s="211" t="s">
        <v>622</v>
      </c>
      <c r="B2018" s="240" t="s">
        <v>2964</v>
      </c>
    </row>
    <row r="2019" spans="1:2">
      <c r="A2019" s="211" t="s">
        <v>624</v>
      </c>
      <c r="B2019" s="240" t="s">
        <v>2965</v>
      </c>
    </row>
    <row r="2020" spans="1:2">
      <c r="A2020" s="211" t="s">
        <v>626</v>
      </c>
      <c r="B2020" s="240" t="s">
        <v>455</v>
      </c>
    </row>
    <row r="2021" spans="1:2">
      <c r="A2021" s="211" t="s">
        <v>627</v>
      </c>
      <c r="B2021" s="240" t="s">
        <v>2966</v>
      </c>
    </row>
    <row r="2022" spans="1:2">
      <c r="A2022" s="211" t="s">
        <v>629</v>
      </c>
      <c r="B2022" s="240" t="s">
        <v>2967</v>
      </c>
    </row>
    <row r="2023" spans="1:2">
      <c r="A2023" s="211" t="s">
        <v>631</v>
      </c>
      <c r="B2023" s="240" t="s">
        <v>2968</v>
      </c>
    </row>
    <row r="2024" spans="1:2">
      <c r="A2024" s="211" t="s">
        <v>633</v>
      </c>
      <c r="B2024" s="240" t="s">
        <v>832</v>
      </c>
    </row>
    <row r="2025" spans="1:2">
      <c r="A2025" s="211" t="s">
        <v>635</v>
      </c>
      <c r="B2025" s="240" t="s">
        <v>2969</v>
      </c>
    </row>
    <row r="2026" spans="1:2">
      <c r="A2026" s="211" t="s">
        <v>637</v>
      </c>
      <c r="B2026" s="240" t="s">
        <v>2970</v>
      </c>
    </row>
    <row r="2027" spans="1:2">
      <c r="A2027" s="211" t="s">
        <v>639</v>
      </c>
      <c r="B2027" s="240" t="s">
        <v>2971</v>
      </c>
    </row>
    <row r="2028" spans="1:2">
      <c r="A2028" s="211" t="s">
        <v>640</v>
      </c>
      <c r="B2028" s="240" t="s">
        <v>455</v>
      </c>
    </row>
    <row r="2029" spans="1:2">
      <c r="A2029" s="211" t="s">
        <v>642</v>
      </c>
      <c r="B2029" s="240" t="s">
        <v>2972</v>
      </c>
    </row>
    <row r="2030" spans="1:2">
      <c r="A2030" s="211" t="s">
        <v>644</v>
      </c>
      <c r="B2030" s="240" t="s">
        <v>2973</v>
      </c>
    </row>
    <row r="2031" spans="1:2">
      <c r="A2031" s="211" t="s">
        <v>646</v>
      </c>
      <c r="B2031" s="240" t="s">
        <v>2974</v>
      </c>
    </row>
    <row r="2032" spans="1:2">
      <c r="A2032" s="211" t="s">
        <v>648</v>
      </c>
      <c r="B2032" s="240" t="s">
        <v>1211</v>
      </c>
    </row>
    <row r="2033" spans="1:2">
      <c r="A2033" s="211" t="s">
        <v>650</v>
      </c>
      <c r="B2033" s="240" t="s">
        <v>475</v>
      </c>
    </row>
    <row r="2034" spans="1:2">
      <c r="A2034" s="211" t="s">
        <v>652</v>
      </c>
      <c r="B2034" s="240" t="s">
        <v>455</v>
      </c>
    </row>
    <row r="2035" spans="1:2">
      <c r="A2035" s="211" t="s">
        <v>653</v>
      </c>
      <c r="B2035" s="240" t="s">
        <v>2975</v>
      </c>
    </row>
    <row r="2036" spans="1:2">
      <c r="A2036" s="211" t="s">
        <v>655</v>
      </c>
      <c r="B2036" s="240" t="s">
        <v>2976</v>
      </c>
    </row>
    <row r="2037" spans="1:2">
      <c r="A2037" s="211" t="s">
        <v>657</v>
      </c>
      <c r="B2037" s="240" t="s">
        <v>2838</v>
      </c>
    </row>
    <row r="2038" spans="1:2">
      <c r="A2038" s="211" t="s">
        <v>659</v>
      </c>
      <c r="B2038" s="240" t="s">
        <v>2977</v>
      </c>
    </row>
    <row r="2039" spans="1:2">
      <c r="A2039" s="211" t="s">
        <v>661</v>
      </c>
      <c r="B2039" s="240" t="s">
        <v>2841</v>
      </c>
    </row>
    <row r="2040" spans="1:2">
      <c r="A2040" s="211" t="s">
        <v>662</v>
      </c>
      <c r="B2040" s="240" t="s">
        <v>2978</v>
      </c>
    </row>
    <row r="2041" spans="1:2">
      <c r="A2041" s="211" t="s">
        <v>664</v>
      </c>
      <c r="B2041" s="240" t="s">
        <v>2843</v>
      </c>
    </row>
    <row r="2042" spans="1:2">
      <c r="A2042" s="211" t="s">
        <v>666</v>
      </c>
      <c r="B2042" s="240" t="s">
        <v>2979</v>
      </c>
    </row>
    <row r="2043" spans="1:2">
      <c r="A2043" s="211" t="s">
        <v>668</v>
      </c>
      <c r="B2043" s="240" t="s">
        <v>2844</v>
      </c>
    </row>
    <row r="2044" spans="1:2">
      <c r="A2044" s="211" t="s">
        <v>670</v>
      </c>
      <c r="B2044" s="240" t="s">
        <v>2845</v>
      </c>
    </row>
    <row r="2045" spans="1:2">
      <c r="A2045" s="211" t="s">
        <v>671</v>
      </c>
      <c r="B2045" s="240" t="s">
        <v>2846</v>
      </c>
    </row>
    <row r="2046" spans="1:2">
      <c r="A2046" s="211" t="s">
        <v>672</v>
      </c>
      <c r="B2046" s="240" t="s">
        <v>2980</v>
      </c>
    </row>
    <row r="2047" spans="1:2">
      <c r="A2047" s="211" t="s">
        <v>673</v>
      </c>
      <c r="B2047" s="240" t="s">
        <v>2848</v>
      </c>
    </row>
    <row r="2048" spans="1:2">
      <c r="A2048" s="211" t="s">
        <v>675</v>
      </c>
      <c r="B2048" s="240" t="s">
        <v>2981</v>
      </c>
    </row>
    <row r="2049" spans="1:2">
      <c r="A2049" s="211" t="s">
        <v>677</v>
      </c>
      <c r="B2049" s="240" t="s">
        <v>898</v>
      </c>
    </row>
    <row r="2050" spans="1:2">
      <c r="A2050" s="211" t="s">
        <v>679</v>
      </c>
      <c r="B2050" s="240" t="s">
        <v>2853</v>
      </c>
    </row>
    <row r="2051" spans="1:2">
      <c r="A2051" s="211" t="s">
        <v>681</v>
      </c>
      <c r="B2051" s="240" t="s">
        <v>2982</v>
      </c>
    </row>
    <row r="2052" spans="1:2">
      <c r="A2052" s="211" t="s">
        <v>683</v>
      </c>
      <c r="B2052" s="240" t="s">
        <v>1361</v>
      </c>
    </row>
    <row r="2053" spans="1:2">
      <c r="A2053" s="211" t="s">
        <v>685</v>
      </c>
      <c r="B2053" s="240" t="s">
        <v>455</v>
      </c>
    </row>
    <row r="2054" spans="1:2">
      <c r="A2054" s="211" t="s">
        <v>687</v>
      </c>
      <c r="B2054" s="240" t="s">
        <v>2983</v>
      </c>
    </row>
    <row r="2055" spans="1:2">
      <c r="A2055" s="211" t="s">
        <v>689</v>
      </c>
      <c r="B2055" s="240" t="s">
        <v>2838</v>
      </c>
    </row>
    <row r="2056" spans="1:2">
      <c r="A2056" s="211" t="s">
        <v>691</v>
      </c>
      <c r="B2056" s="240" t="s">
        <v>2984</v>
      </c>
    </row>
    <row r="2057" spans="1:2">
      <c r="A2057" s="211" t="s">
        <v>692</v>
      </c>
      <c r="B2057" s="240" t="s">
        <v>2985</v>
      </c>
    </row>
    <row r="2058" spans="1:2">
      <c r="A2058" s="211" t="s">
        <v>694</v>
      </c>
      <c r="B2058" s="240" t="s">
        <v>2841</v>
      </c>
    </row>
    <row r="2059" spans="1:2">
      <c r="A2059" s="211" t="s">
        <v>696</v>
      </c>
      <c r="B2059" s="240" t="s">
        <v>2853</v>
      </c>
    </row>
    <row r="2060" spans="1:2">
      <c r="A2060" s="211" t="s">
        <v>698</v>
      </c>
      <c r="B2060" s="240" t="s">
        <v>2986</v>
      </c>
    </row>
    <row r="2061" spans="1:2">
      <c r="A2061" s="211" t="s">
        <v>700</v>
      </c>
      <c r="B2061" s="240" t="s">
        <v>1361</v>
      </c>
    </row>
    <row r="2062" spans="1:2">
      <c r="A2062" s="211" t="s">
        <v>702</v>
      </c>
      <c r="B2062" s="240" t="s">
        <v>455</v>
      </c>
    </row>
    <row r="2063" spans="1:2">
      <c r="A2063" s="211" t="s">
        <v>704</v>
      </c>
      <c r="B2063" s="240" t="s">
        <v>2987</v>
      </c>
    </row>
    <row r="2064" spans="1:2">
      <c r="A2064" s="211" t="s">
        <v>705</v>
      </c>
      <c r="B2064" s="240" t="s">
        <v>2988</v>
      </c>
    </row>
    <row r="2065" spans="1:2">
      <c r="A2065" s="211" t="s">
        <v>706</v>
      </c>
      <c r="B2065" s="240" t="s">
        <v>2838</v>
      </c>
    </row>
    <row r="2066" spans="1:2">
      <c r="A2066" s="211" t="s">
        <v>707</v>
      </c>
      <c r="B2066" s="240" t="s">
        <v>2989</v>
      </c>
    </row>
    <row r="2067" spans="1:2">
      <c r="A2067" s="211" t="s">
        <v>709</v>
      </c>
      <c r="B2067" s="240" t="s">
        <v>2990</v>
      </c>
    </row>
    <row r="2068" spans="1:2">
      <c r="A2068" s="211" t="s">
        <v>711</v>
      </c>
      <c r="B2068" s="240" t="s">
        <v>2991</v>
      </c>
    </row>
    <row r="2069" spans="1:2">
      <c r="A2069" s="211" t="s">
        <v>713</v>
      </c>
      <c r="B2069" s="240" t="s">
        <v>2992</v>
      </c>
    </row>
    <row r="2070" spans="1:2">
      <c r="A2070" s="211" t="s">
        <v>715</v>
      </c>
      <c r="B2070" s="240" t="s">
        <v>2993</v>
      </c>
    </row>
    <row r="2071" spans="1:2">
      <c r="A2071" s="211" t="s">
        <v>717</v>
      </c>
      <c r="B2071" s="240" t="s">
        <v>2994</v>
      </c>
    </row>
    <row r="2072" spans="1:2">
      <c r="A2072" s="211" t="s">
        <v>719</v>
      </c>
      <c r="B2072" s="240" t="s">
        <v>2995</v>
      </c>
    </row>
    <row r="2073" spans="1:2">
      <c r="A2073" s="211" t="s">
        <v>721</v>
      </c>
      <c r="B2073" s="240" t="s">
        <v>898</v>
      </c>
    </row>
    <row r="2074" spans="1:2">
      <c r="A2074" s="211" t="s">
        <v>723</v>
      </c>
      <c r="B2074" s="240" t="s">
        <v>2996</v>
      </c>
    </row>
    <row r="2075" spans="1:2">
      <c r="A2075" s="211" t="s">
        <v>725</v>
      </c>
      <c r="B2075" s="240" t="s">
        <v>1361</v>
      </c>
    </row>
    <row r="2076" spans="1:2">
      <c r="A2076" s="211" t="s">
        <v>727</v>
      </c>
      <c r="B2076" s="240" t="s">
        <v>455</v>
      </c>
    </row>
    <row r="2077" spans="1:2">
      <c r="A2077" s="211" t="s">
        <v>729</v>
      </c>
      <c r="B2077" s="241" t="s">
        <v>2549</v>
      </c>
    </row>
    <row r="2078" spans="1:2">
      <c r="A2078" s="211" t="s">
        <v>730</v>
      </c>
      <c r="B2078" s="241" t="s">
        <v>2997</v>
      </c>
    </row>
    <row r="2079" spans="1:2">
      <c r="A2079" s="211" t="s">
        <v>732</v>
      </c>
      <c r="B2079" s="241" t="s">
        <v>2549</v>
      </c>
    </row>
    <row r="2080" spans="1:2">
      <c r="A2080" s="211" t="s">
        <v>734</v>
      </c>
      <c r="B2080" s="240" t="s">
        <v>2998</v>
      </c>
    </row>
    <row r="2081" spans="1:2">
      <c r="A2081" s="211" t="s">
        <v>736</v>
      </c>
      <c r="B2081" s="240" t="s">
        <v>2838</v>
      </c>
    </row>
    <row r="2082" spans="1:2">
      <c r="A2082" s="211" t="s">
        <v>738</v>
      </c>
      <c r="B2082" s="240" t="s">
        <v>1181</v>
      </c>
    </row>
    <row r="2083" spans="1:2">
      <c r="A2083" s="211" t="s">
        <v>739</v>
      </c>
      <c r="B2083" s="240" t="s">
        <v>2999</v>
      </c>
    </row>
    <row r="2084" spans="1:2">
      <c r="A2084" s="211" t="s">
        <v>740</v>
      </c>
      <c r="B2084" s="240" t="s">
        <v>1204</v>
      </c>
    </row>
    <row r="2085" spans="1:2">
      <c r="A2085" s="211" t="s">
        <v>742</v>
      </c>
      <c r="B2085" s="240" t="s">
        <v>3000</v>
      </c>
    </row>
    <row r="2086" spans="1:2">
      <c r="A2086" s="211" t="s">
        <v>744</v>
      </c>
      <c r="B2086" s="240" t="s">
        <v>3001</v>
      </c>
    </row>
    <row r="2087" spans="1:2">
      <c r="A2087" s="211" t="s">
        <v>746</v>
      </c>
      <c r="B2087" s="240" t="s">
        <v>3002</v>
      </c>
    </row>
    <row r="2088" spans="1:2">
      <c r="A2088" s="211" t="s">
        <v>748</v>
      </c>
      <c r="B2088" s="240" t="s">
        <v>475</v>
      </c>
    </row>
    <row r="2089" spans="1:2">
      <c r="A2089" s="211" t="s">
        <v>750</v>
      </c>
      <c r="B2089" s="240" t="s">
        <v>455</v>
      </c>
    </row>
    <row r="2090" spans="1:2">
      <c r="A2090" s="211" t="s">
        <v>752</v>
      </c>
      <c r="B2090" s="241" t="s">
        <v>2549</v>
      </c>
    </row>
    <row r="2091" spans="1:2">
      <c r="A2091" s="211" t="s">
        <v>753</v>
      </c>
      <c r="B2091" s="241" t="s">
        <v>3003</v>
      </c>
    </row>
    <row r="2092" spans="1:2">
      <c r="A2092" s="211" t="s">
        <v>755</v>
      </c>
      <c r="B2092" s="241" t="s">
        <v>2549</v>
      </c>
    </row>
    <row r="2093" spans="1:2">
      <c r="A2093" s="211" t="s">
        <v>757</v>
      </c>
      <c r="B2093" s="240" t="s">
        <v>3004</v>
      </c>
    </row>
    <row r="2094" spans="1:2">
      <c r="A2094" s="211" t="s">
        <v>759</v>
      </c>
      <c r="B2094" s="240" t="s">
        <v>3005</v>
      </c>
    </row>
    <row r="2095" spans="1:2">
      <c r="A2095" s="211" t="s">
        <v>761</v>
      </c>
      <c r="B2095" s="240" t="s">
        <v>3006</v>
      </c>
    </row>
    <row r="2096" spans="1:2">
      <c r="A2096" s="211" t="s">
        <v>763</v>
      </c>
      <c r="B2096" s="240" t="s">
        <v>628</v>
      </c>
    </row>
    <row r="2097" spans="1:2">
      <c r="A2097" s="211" t="s">
        <v>765</v>
      </c>
      <c r="B2097" s="240" t="s">
        <v>3007</v>
      </c>
    </row>
    <row r="2098" spans="1:2">
      <c r="A2098" s="211" t="s">
        <v>767</v>
      </c>
      <c r="B2098" s="240" t="s">
        <v>741</v>
      </c>
    </row>
    <row r="2099" spans="1:2">
      <c r="A2099" s="211" t="s">
        <v>768</v>
      </c>
      <c r="B2099" s="240" t="s">
        <v>455</v>
      </c>
    </row>
    <row r="2100" spans="1:2">
      <c r="A2100" s="211" t="s">
        <v>769</v>
      </c>
      <c r="B2100" s="240" t="s">
        <v>3008</v>
      </c>
    </row>
    <row r="2101" spans="1:2">
      <c r="A2101" s="211" t="s">
        <v>771</v>
      </c>
      <c r="B2101" s="240" t="s">
        <v>3009</v>
      </c>
    </row>
    <row r="2102" spans="1:2">
      <c r="A2102" s="211" t="s">
        <v>773</v>
      </c>
      <c r="B2102" s="240" t="s">
        <v>3010</v>
      </c>
    </row>
    <row r="2103" spans="1:2">
      <c r="A2103" s="211" t="s">
        <v>775</v>
      </c>
      <c r="B2103" s="240" t="s">
        <v>3011</v>
      </c>
    </row>
    <row r="2104" spans="1:2">
      <c r="A2104" s="211" t="s">
        <v>777</v>
      </c>
      <c r="B2104" s="240" t="s">
        <v>3012</v>
      </c>
    </row>
    <row r="2105" spans="1:2">
      <c r="A2105" s="211" t="s">
        <v>779</v>
      </c>
      <c r="B2105" s="240" t="s">
        <v>3013</v>
      </c>
    </row>
    <row r="2106" spans="1:2">
      <c r="A2106" s="211" t="s">
        <v>780</v>
      </c>
      <c r="B2106" s="240" t="s">
        <v>3014</v>
      </c>
    </row>
    <row r="2107" spans="1:2">
      <c r="A2107" s="211" t="s">
        <v>782</v>
      </c>
      <c r="B2107" s="240" t="s">
        <v>3015</v>
      </c>
    </row>
    <row r="2108" spans="1:2">
      <c r="A2108" s="211" t="s">
        <v>783</v>
      </c>
      <c r="B2108" s="240" t="s">
        <v>1297</v>
      </c>
    </row>
    <row r="2109" spans="1:2">
      <c r="A2109" s="211" t="s">
        <v>785</v>
      </c>
      <c r="B2109" s="240" t="s">
        <v>455</v>
      </c>
    </row>
    <row r="2110" spans="1:2">
      <c r="A2110" s="211" t="s">
        <v>787</v>
      </c>
      <c r="B2110" s="240" t="s">
        <v>3016</v>
      </c>
    </row>
    <row r="2111" spans="1:2">
      <c r="A2111" s="211" t="s">
        <v>789</v>
      </c>
      <c r="B2111" s="240" t="s">
        <v>3012</v>
      </c>
    </row>
    <row r="2112" spans="1:2">
      <c r="A2112" s="211" t="s">
        <v>791</v>
      </c>
      <c r="B2112" s="240" t="s">
        <v>3017</v>
      </c>
    </row>
    <row r="2113" spans="1:2">
      <c r="A2113" s="211" t="s">
        <v>793</v>
      </c>
      <c r="B2113" s="240" t="s">
        <v>3018</v>
      </c>
    </row>
    <row r="2114" spans="1:2">
      <c r="A2114" s="211" t="s">
        <v>795</v>
      </c>
      <c r="B2114" s="240" t="s">
        <v>3019</v>
      </c>
    </row>
    <row r="2115" spans="1:2">
      <c r="A2115" s="211" t="s">
        <v>797</v>
      </c>
      <c r="B2115" s="240" t="s">
        <v>3020</v>
      </c>
    </row>
    <row r="2116" spans="1:2">
      <c r="A2116" s="211" t="s">
        <v>798</v>
      </c>
      <c r="B2116" s="240" t="s">
        <v>3021</v>
      </c>
    </row>
    <row r="2117" spans="1:2">
      <c r="A2117" s="211" t="s">
        <v>800</v>
      </c>
      <c r="B2117" s="240" t="s">
        <v>3022</v>
      </c>
    </row>
    <row r="2118" spans="1:2">
      <c r="A2118" s="211" t="s">
        <v>802</v>
      </c>
      <c r="B2118" s="240" t="s">
        <v>2803</v>
      </c>
    </row>
    <row r="2119" spans="1:2">
      <c r="A2119" s="211" t="s">
        <v>803</v>
      </c>
      <c r="B2119" s="240" t="s">
        <v>3023</v>
      </c>
    </row>
    <row r="2120" spans="1:2">
      <c r="A2120" s="211" t="s">
        <v>805</v>
      </c>
      <c r="B2120" s="240" t="s">
        <v>3024</v>
      </c>
    </row>
    <row r="2121" spans="1:2">
      <c r="A2121" s="211" t="s">
        <v>807</v>
      </c>
      <c r="B2121" s="240" t="s">
        <v>3025</v>
      </c>
    </row>
    <row r="2122" spans="1:2">
      <c r="A2122" s="211" t="s">
        <v>809</v>
      </c>
      <c r="B2122" s="240" t="s">
        <v>3026</v>
      </c>
    </row>
    <row r="2123" spans="1:2">
      <c r="A2123" s="211" t="s">
        <v>811</v>
      </c>
      <c r="B2123" s="240" t="s">
        <v>3027</v>
      </c>
    </row>
    <row r="2124" spans="1:2">
      <c r="A2124" s="211" t="s">
        <v>813</v>
      </c>
      <c r="B2124" s="240" t="s">
        <v>686</v>
      </c>
    </row>
    <row r="2125" spans="1:2">
      <c r="A2125" s="211" t="s">
        <v>815</v>
      </c>
      <c r="B2125" s="240" t="s">
        <v>3028</v>
      </c>
    </row>
    <row r="2126" spans="1:2">
      <c r="A2126" s="211" t="s">
        <v>817</v>
      </c>
      <c r="B2126" s="240" t="s">
        <v>3029</v>
      </c>
    </row>
    <row r="2127" spans="1:2">
      <c r="A2127" s="211" t="s">
        <v>818</v>
      </c>
      <c r="B2127" s="240" t="s">
        <v>1297</v>
      </c>
    </row>
    <row r="2128" spans="1:2">
      <c r="A2128" s="211" t="s">
        <v>820</v>
      </c>
      <c r="B2128" s="240" t="s">
        <v>455</v>
      </c>
    </row>
    <row r="2129" spans="1:2">
      <c r="A2129" s="211" t="s">
        <v>822</v>
      </c>
      <c r="B2129" s="240" t="s">
        <v>3030</v>
      </c>
    </row>
    <row r="2130" spans="1:2">
      <c r="A2130" s="211" t="s">
        <v>824</v>
      </c>
      <c r="B2130" s="240" t="s">
        <v>3031</v>
      </c>
    </row>
    <row r="2131" spans="1:2">
      <c r="A2131" s="211" t="s">
        <v>825</v>
      </c>
      <c r="B2131" s="240" t="s">
        <v>455</v>
      </c>
    </row>
    <row r="2132" spans="1:2">
      <c r="A2132" s="211" t="s">
        <v>827</v>
      </c>
      <c r="B2132" s="240" t="s">
        <v>3032</v>
      </c>
    </row>
    <row r="2133" spans="1:2">
      <c r="A2133" s="211" t="s">
        <v>829</v>
      </c>
      <c r="B2133" s="240" t="s">
        <v>3012</v>
      </c>
    </row>
    <row r="2134" spans="1:2">
      <c r="A2134" s="211" t="s">
        <v>831</v>
      </c>
      <c r="B2134" s="240" t="s">
        <v>3033</v>
      </c>
    </row>
    <row r="2135" spans="1:2">
      <c r="A2135" s="211" t="s">
        <v>833</v>
      </c>
      <c r="B2135" s="240" t="s">
        <v>3034</v>
      </c>
    </row>
    <row r="2136" spans="1:2">
      <c r="A2136" s="211" t="s">
        <v>835</v>
      </c>
      <c r="B2136" s="240" t="s">
        <v>3035</v>
      </c>
    </row>
    <row r="2137" spans="1:2">
      <c r="A2137" s="211" t="s">
        <v>837</v>
      </c>
      <c r="B2137" s="240" t="s">
        <v>3036</v>
      </c>
    </row>
    <row r="2138" spans="1:2">
      <c r="A2138" s="211" t="s">
        <v>839</v>
      </c>
      <c r="B2138" s="240" t="s">
        <v>3037</v>
      </c>
    </row>
    <row r="2139" spans="1:2">
      <c r="A2139" s="211" t="s">
        <v>841</v>
      </c>
      <c r="B2139" s="240" t="s">
        <v>3038</v>
      </c>
    </row>
    <row r="2140" spans="1:2">
      <c r="A2140" s="211" t="s">
        <v>843</v>
      </c>
      <c r="B2140" s="240" t="s">
        <v>3039</v>
      </c>
    </row>
    <row r="2141" spans="1:2">
      <c r="A2141" s="211" t="s">
        <v>844</v>
      </c>
      <c r="B2141" s="240" t="s">
        <v>3040</v>
      </c>
    </row>
    <row r="2142" spans="1:2">
      <c r="A2142" s="211" t="s">
        <v>845</v>
      </c>
      <c r="B2142" s="240" t="s">
        <v>3041</v>
      </c>
    </row>
    <row r="2143" spans="1:2">
      <c r="A2143" s="211" t="s">
        <v>846</v>
      </c>
      <c r="B2143" s="240" t="s">
        <v>3042</v>
      </c>
    </row>
    <row r="2144" spans="1:2">
      <c r="A2144" s="211" t="s">
        <v>848</v>
      </c>
      <c r="B2144" s="240" t="s">
        <v>3043</v>
      </c>
    </row>
    <row r="2145" spans="1:2">
      <c r="A2145" s="211" t="s">
        <v>850</v>
      </c>
      <c r="B2145" s="240" t="s">
        <v>697</v>
      </c>
    </row>
    <row r="2146" spans="1:2">
      <c r="A2146" s="211" t="s">
        <v>852</v>
      </c>
      <c r="B2146" s="240" t="s">
        <v>1297</v>
      </c>
    </row>
    <row r="2147" spans="1:2">
      <c r="A2147" s="211" t="s">
        <v>854</v>
      </c>
      <c r="B2147" s="240" t="s">
        <v>455</v>
      </c>
    </row>
    <row r="2148" spans="1:2">
      <c r="A2148" s="211" t="s">
        <v>856</v>
      </c>
      <c r="B2148" s="240" t="s">
        <v>3044</v>
      </c>
    </row>
    <row r="2149" spans="1:2">
      <c r="A2149" s="211" t="s">
        <v>858</v>
      </c>
      <c r="B2149" s="240" t="s">
        <v>3045</v>
      </c>
    </row>
    <row r="2150" spans="1:2">
      <c r="A2150" s="211" t="s">
        <v>860</v>
      </c>
      <c r="B2150" s="240" t="s">
        <v>3046</v>
      </c>
    </row>
    <row r="2151" spans="1:2">
      <c r="A2151" s="211" t="s">
        <v>862</v>
      </c>
      <c r="B2151" s="240" t="s">
        <v>3047</v>
      </c>
    </row>
    <row r="2152" spans="1:2">
      <c r="A2152" s="211" t="s">
        <v>864</v>
      </c>
      <c r="B2152" s="240" t="s">
        <v>3048</v>
      </c>
    </row>
    <row r="2153" spans="1:2">
      <c r="A2153" s="211" t="s">
        <v>865</v>
      </c>
      <c r="B2153" s="240" t="s">
        <v>3049</v>
      </c>
    </row>
    <row r="2154" spans="1:2">
      <c r="A2154" s="211" t="s">
        <v>867</v>
      </c>
      <c r="B2154" s="240" t="s">
        <v>473</v>
      </c>
    </row>
    <row r="2155" spans="1:2">
      <c r="A2155" s="211" t="s">
        <v>869</v>
      </c>
      <c r="B2155" s="240" t="s">
        <v>455</v>
      </c>
    </row>
    <row r="2156" spans="1:2">
      <c r="A2156" s="211" t="s">
        <v>871</v>
      </c>
      <c r="B2156" s="240" t="s">
        <v>3050</v>
      </c>
    </row>
    <row r="2157" spans="1:2">
      <c r="A2157" s="211" t="s">
        <v>873</v>
      </c>
      <c r="B2157" s="240" t="s">
        <v>3051</v>
      </c>
    </row>
    <row r="2158" spans="1:2">
      <c r="A2158" s="211" t="s">
        <v>875</v>
      </c>
      <c r="B2158" s="240" t="s">
        <v>3052</v>
      </c>
    </row>
    <row r="2159" spans="1:2">
      <c r="A2159" s="211" t="s">
        <v>877</v>
      </c>
      <c r="B2159" s="240" t="s">
        <v>3053</v>
      </c>
    </row>
    <row r="2160" spans="1:2">
      <c r="A2160" s="211" t="s">
        <v>879</v>
      </c>
      <c r="B2160" s="240" t="s">
        <v>3054</v>
      </c>
    </row>
    <row r="2161" spans="1:2">
      <c r="A2161" s="211" t="s">
        <v>881</v>
      </c>
      <c r="B2161" s="240" t="s">
        <v>455</v>
      </c>
    </row>
    <row r="2162" spans="1:2">
      <c r="A2162" s="211" t="s">
        <v>883</v>
      </c>
      <c r="B2162" s="240" t="s">
        <v>3055</v>
      </c>
    </row>
    <row r="2163" spans="1:2">
      <c r="A2163" s="211" t="s">
        <v>885</v>
      </c>
      <c r="B2163" s="240" t="s">
        <v>3056</v>
      </c>
    </row>
    <row r="2164" spans="1:2">
      <c r="A2164" s="211" t="s">
        <v>887</v>
      </c>
      <c r="B2164" s="240" t="s">
        <v>3057</v>
      </c>
    </row>
    <row r="2165" spans="1:2">
      <c r="A2165" s="211" t="s">
        <v>888</v>
      </c>
      <c r="B2165" s="240" t="s">
        <v>3058</v>
      </c>
    </row>
    <row r="2166" spans="1:2">
      <c r="A2166" s="211" t="s">
        <v>890</v>
      </c>
      <c r="B2166" s="240" t="s">
        <v>898</v>
      </c>
    </row>
    <row r="2167" spans="1:2">
      <c r="A2167" s="211" t="s">
        <v>891</v>
      </c>
      <c r="B2167" s="240" t="s">
        <v>3059</v>
      </c>
    </row>
    <row r="2168" spans="1:2">
      <c r="A2168" s="211" t="s">
        <v>893</v>
      </c>
      <c r="B2168" s="240" t="s">
        <v>3060</v>
      </c>
    </row>
    <row r="2169" spans="1:2">
      <c r="A2169" s="211" t="s">
        <v>895</v>
      </c>
      <c r="B2169" s="240" t="s">
        <v>3061</v>
      </c>
    </row>
    <row r="2170" spans="1:2">
      <c r="A2170" s="211" t="s">
        <v>897</v>
      </c>
      <c r="B2170" s="240" t="s">
        <v>898</v>
      </c>
    </row>
    <row r="2171" spans="1:2">
      <c r="A2171" s="211" t="s">
        <v>899</v>
      </c>
      <c r="B2171" s="240" t="s">
        <v>3062</v>
      </c>
    </row>
    <row r="2172" spans="1:2">
      <c r="A2172" s="211" t="s">
        <v>901</v>
      </c>
      <c r="B2172" s="240" t="s">
        <v>3063</v>
      </c>
    </row>
    <row r="2173" spans="1:2">
      <c r="A2173" s="211" t="s">
        <v>902</v>
      </c>
      <c r="B2173" s="240" t="s">
        <v>3064</v>
      </c>
    </row>
    <row r="2174" spans="1:2">
      <c r="A2174" s="211" t="s">
        <v>903</v>
      </c>
      <c r="B2174" s="240" t="s">
        <v>3065</v>
      </c>
    </row>
    <row r="2175" spans="1:2">
      <c r="A2175" s="211" t="s">
        <v>904</v>
      </c>
      <c r="B2175" s="240" t="s">
        <v>3066</v>
      </c>
    </row>
    <row r="2176" spans="1:2">
      <c r="A2176" s="211" t="s">
        <v>906</v>
      </c>
      <c r="B2176" s="240" t="s">
        <v>3067</v>
      </c>
    </row>
    <row r="2177" spans="1:2">
      <c r="A2177" s="211" t="s">
        <v>908</v>
      </c>
      <c r="B2177" s="240" t="s">
        <v>3068</v>
      </c>
    </row>
    <row r="2178" spans="1:2">
      <c r="A2178" s="211" t="s">
        <v>910</v>
      </c>
      <c r="B2178" s="240" t="s">
        <v>3069</v>
      </c>
    </row>
    <row r="2179" spans="1:2">
      <c r="A2179" s="211" t="s">
        <v>912</v>
      </c>
      <c r="B2179" s="240" t="s">
        <v>898</v>
      </c>
    </row>
    <row r="2180" spans="1:2">
      <c r="A2180" s="211" t="s">
        <v>914</v>
      </c>
      <c r="B2180" s="240" t="s">
        <v>455</v>
      </c>
    </row>
    <row r="2181" spans="1:2">
      <c r="A2181" s="211" t="s">
        <v>915</v>
      </c>
      <c r="B2181" s="240" t="s">
        <v>3070</v>
      </c>
    </row>
    <row r="2182" spans="1:2">
      <c r="A2182" s="211" t="s">
        <v>917</v>
      </c>
      <c r="B2182" s="240" t="s">
        <v>3071</v>
      </c>
    </row>
    <row r="2183" spans="1:2">
      <c r="A2183" s="211" t="s">
        <v>918</v>
      </c>
      <c r="B2183" s="240" t="s">
        <v>3072</v>
      </c>
    </row>
    <row r="2184" spans="1:2">
      <c r="A2184" s="211" t="s">
        <v>920</v>
      </c>
      <c r="B2184" s="240" t="s">
        <v>1214</v>
      </c>
    </row>
    <row r="2185" spans="1:2">
      <c r="A2185" s="211" t="s">
        <v>922</v>
      </c>
      <c r="B2185" s="240" t="s">
        <v>475</v>
      </c>
    </row>
    <row r="2186" spans="1:2">
      <c r="A2186" s="211" t="s">
        <v>924</v>
      </c>
      <c r="B2186" s="240" t="s">
        <v>455</v>
      </c>
    </row>
    <row r="2187" spans="1:2">
      <c r="A2187" s="211" t="s">
        <v>926</v>
      </c>
      <c r="B2187" s="240" t="s">
        <v>3073</v>
      </c>
    </row>
    <row r="2188" spans="1:2">
      <c r="A2188" s="211" t="s">
        <v>928</v>
      </c>
      <c r="B2188" s="240" t="s">
        <v>3074</v>
      </c>
    </row>
    <row r="2189" spans="1:2">
      <c r="A2189" s="211" t="s">
        <v>930</v>
      </c>
      <c r="B2189" s="240" t="s">
        <v>1263</v>
      </c>
    </row>
    <row r="2190" spans="1:2">
      <c r="A2190" s="211" t="s">
        <v>932</v>
      </c>
      <c r="B2190" s="240" t="s">
        <v>3017</v>
      </c>
    </row>
    <row r="2191" spans="1:2">
      <c r="A2191" s="211" t="s">
        <v>934</v>
      </c>
      <c r="B2191" s="240" t="s">
        <v>3018</v>
      </c>
    </row>
    <row r="2192" spans="1:2">
      <c r="A2192" s="211" t="s">
        <v>936</v>
      </c>
      <c r="B2192" s="240" t="s">
        <v>3075</v>
      </c>
    </row>
    <row r="2193" spans="1:7">
      <c r="A2193" s="211" t="s">
        <v>938</v>
      </c>
      <c r="B2193" s="240" t="s">
        <v>3028</v>
      </c>
    </row>
    <row r="2194" spans="1:7">
      <c r="A2194" s="211" t="s">
        <v>940</v>
      </c>
      <c r="B2194" s="240" t="s">
        <v>3029</v>
      </c>
    </row>
    <row r="2195" spans="1:7">
      <c r="A2195" s="211" t="s">
        <v>942</v>
      </c>
      <c r="B2195" s="240" t="s">
        <v>1297</v>
      </c>
    </row>
    <row r="2196" spans="1:7">
      <c r="A2196" s="211" t="s">
        <v>944</v>
      </c>
      <c r="B2196" s="240" t="s">
        <v>475</v>
      </c>
    </row>
    <row r="2197" spans="1:7">
      <c r="A2197" s="211" t="s">
        <v>946</v>
      </c>
      <c r="B2197" s="240" t="s">
        <v>455</v>
      </c>
    </row>
    <row r="2198" spans="1:7">
      <c r="A2198" s="211" t="s">
        <v>948</v>
      </c>
      <c r="B2198" s="240" t="s">
        <v>3076</v>
      </c>
    </row>
    <row r="2199" spans="1:7">
      <c r="A2199" s="211" t="s">
        <v>950</v>
      </c>
      <c r="B2199" s="240" t="s">
        <v>3077</v>
      </c>
    </row>
    <row r="2200" spans="1:7">
      <c r="A2200" s="211" t="s">
        <v>951</v>
      </c>
      <c r="B2200" s="240" t="s">
        <v>3078</v>
      </c>
    </row>
    <row r="2201" spans="1:7">
      <c r="A2201" s="211" t="s">
        <v>953</v>
      </c>
      <c r="B2201" s="240" t="s">
        <v>3079</v>
      </c>
    </row>
    <row r="2202" spans="1:7">
      <c r="A2202" s="211" t="s">
        <v>955</v>
      </c>
      <c r="B2202" s="240" t="s">
        <v>473</v>
      </c>
    </row>
    <row r="2203" spans="1:7">
      <c r="A2203" s="211" t="s">
        <v>957</v>
      </c>
      <c r="B2203" s="240" t="s">
        <v>475</v>
      </c>
    </row>
    <row r="2205" spans="1:7">
      <c r="A2205" s="209" t="s">
        <v>3080</v>
      </c>
      <c r="B2205" s="239" t="s">
        <v>3081</v>
      </c>
      <c r="C2205" s="209"/>
      <c r="D2205" s="209"/>
      <c r="E2205" s="209"/>
      <c r="F2205" s="209"/>
      <c r="G2205" s="209"/>
    </row>
    <row r="2206" spans="1:7">
      <c r="A2206" s="211" t="s">
        <v>452</v>
      </c>
      <c r="B2206" s="240" t="s">
        <v>453</v>
      </c>
    </row>
    <row r="2207" spans="1:7">
      <c r="A2207" s="211" t="s">
        <v>454</v>
      </c>
      <c r="B2207" s="241" t="s">
        <v>477</v>
      </c>
    </row>
    <row r="2208" spans="1:7">
      <c r="A2208" s="211" t="s">
        <v>456</v>
      </c>
      <c r="B2208" s="241" t="s">
        <v>3082</v>
      </c>
    </row>
    <row r="2209" spans="1:2">
      <c r="A2209" s="211" t="s">
        <v>458</v>
      </c>
      <c r="B2209" s="241" t="s">
        <v>3083</v>
      </c>
    </row>
    <row r="2210" spans="1:2">
      <c r="A2210" s="211" t="s">
        <v>460</v>
      </c>
      <c r="B2210" s="241" t="s">
        <v>3084</v>
      </c>
    </row>
    <row r="2211" spans="1:2">
      <c r="A2211" s="211" t="s">
        <v>462</v>
      </c>
      <c r="B2211" s="241" t="s">
        <v>3085</v>
      </c>
    </row>
    <row r="2212" spans="1:2">
      <c r="A2212" s="211" t="s">
        <v>464</v>
      </c>
      <c r="B2212" s="241" t="s">
        <v>3086</v>
      </c>
    </row>
    <row r="2213" spans="1:2">
      <c r="A2213" s="211" t="s">
        <v>466</v>
      </c>
      <c r="B2213" s="241" t="s">
        <v>477</v>
      </c>
    </row>
    <row r="2214" spans="1:2">
      <c r="A2214" s="211" t="s">
        <v>468</v>
      </c>
      <c r="B2214" s="240" t="s">
        <v>455</v>
      </c>
    </row>
    <row r="2215" spans="1:2">
      <c r="A2215" s="211" t="s">
        <v>470</v>
      </c>
      <c r="B2215" s="240" t="s">
        <v>3087</v>
      </c>
    </row>
    <row r="2216" spans="1:2">
      <c r="A2216" s="211" t="s">
        <v>472</v>
      </c>
      <c r="B2216" s="240" t="s">
        <v>3088</v>
      </c>
    </row>
    <row r="2217" spans="1:2">
      <c r="A2217" s="211" t="s">
        <v>474</v>
      </c>
      <c r="B2217" s="240" t="s">
        <v>3089</v>
      </c>
    </row>
    <row r="2218" spans="1:2">
      <c r="A2218" s="211" t="s">
        <v>486</v>
      </c>
      <c r="B2218" s="240" t="s">
        <v>3090</v>
      </c>
    </row>
    <row r="2219" spans="1:2">
      <c r="A2219" s="211" t="s">
        <v>488</v>
      </c>
      <c r="B2219" s="240" t="s">
        <v>3091</v>
      </c>
    </row>
    <row r="2220" spans="1:2">
      <c r="A2220" s="211" t="s">
        <v>489</v>
      </c>
      <c r="B2220" s="240" t="s">
        <v>3092</v>
      </c>
    </row>
    <row r="2221" spans="1:2">
      <c r="A2221" s="211" t="s">
        <v>491</v>
      </c>
      <c r="B2221" s="240" t="s">
        <v>4522</v>
      </c>
    </row>
    <row r="2222" spans="1:2">
      <c r="A2222" s="211" t="s">
        <v>493</v>
      </c>
      <c r="B2222" s="240" t="s">
        <v>3093</v>
      </c>
    </row>
    <row r="2223" spans="1:2">
      <c r="A2223" s="211" t="s">
        <v>495</v>
      </c>
      <c r="B2223" s="240" t="s">
        <v>3094</v>
      </c>
    </row>
    <row r="2224" spans="1:2">
      <c r="A2224" s="211" t="s">
        <v>497</v>
      </c>
      <c r="B2224" s="240" t="s">
        <v>3095</v>
      </c>
    </row>
    <row r="2225" spans="1:2">
      <c r="A2225" s="211" t="s">
        <v>499</v>
      </c>
      <c r="B2225" s="240" t="s">
        <v>3096</v>
      </c>
    </row>
    <row r="2226" spans="1:2">
      <c r="A2226" s="211" t="s">
        <v>501</v>
      </c>
      <c r="B2226" s="240" t="s">
        <v>3097</v>
      </c>
    </row>
    <row r="2227" spans="1:2">
      <c r="A2227" s="211" t="s">
        <v>502</v>
      </c>
      <c r="B2227" s="240" t="s">
        <v>3098</v>
      </c>
    </row>
    <row r="2228" spans="1:2">
      <c r="A2228" s="211" t="s">
        <v>504</v>
      </c>
      <c r="B2228" s="240" t="s">
        <v>3099</v>
      </c>
    </row>
    <row r="2229" spans="1:2">
      <c r="A2229" s="211" t="s">
        <v>506</v>
      </c>
      <c r="B2229" s="240" t="s">
        <v>3100</v>
      </c>
    </row>
    <row r="2230" spans="1:2">
      <c r="A2230" s="211" t="s">
        <v>508</v>
      </c>
      <c r="B2230" s="240" t="s">
        <v>455</v>
      </c>
    </row>
    <row r="2231" spans="1:2">
      <c r="A2231" s="211" t="s">
        <v>510</v>
      </c>
      <c r="B2231" s="240" t="s">
        <v>3101</v>
      </c>
    </row>
    <row r="2232" spans="1:2">
      <c r="A2232" s="211" t="s">
        <v>512</v>
      </c>
      <c r="B2232" s="240" t="s">
        <v>3102</v>
      </c>
    </row>
    <row r="2233" spans="1:2">
      <c r="A2233" s="211" t="s">
        <v>514</v>
      </c>
      <c r="B2233" s="240" t="s">
        <v>1361</v>
      </c>
    </row>
    <row r="2234" spans="1:2">
      <c r="A2234" s="211" t="s">
        <v>516</v>
      </c>
      <c r="B2234" s="240" t="s">
        <v>455</v>
      </c>
    </row>
    <row r="2235" spans="1:2">
      <c r="A2235" s="211" t="s">
        <v>518</v>
      </c>
      <c r="B2235" s="240" t="s">
        <v>3103</v>
      </c>
    </row>
    <row r="2236" spans="1:2">
      <c r="A2236" s="211" t="s">
        <v>520</v>
      </c>
      <c r="B2236" s="240" t="s">
        <v>3104</v>
      </c>
    </row>
    <row r="2237" spans="1:2">
      <c r="A2237" s="211" t="s">
        <v>522</v>
      </c>
      <c r="B2237" s="240" t="s">
        <v>1361</v>
      </c>
    </row>
    <row r="2238" spans="1:2">
      <c r="A2238" s="211" t="s">
        <v>524</v>
      </c>
      <c r="B2238" s="240" t="s">
        <v>455</v>
      </c>
    </row>
    <row r="2239" spans="1:2">
      <c r="A2239" s="211" t="s">
        <v>525</v>
      </c>
      <c r="B2239" s="240" t="s">
        <v>3105</v>
      </c>
    </row>
    <row r="2240" spans="1:2">
      <c r="A2240" s="211" t="s">
        <v>527</v>
      </c>
      <c r="B2240" s="240" t="s">
        <v>3106</v>
      </c>
    </row>
    <row r="2241" spans="1:2">
      <c r="A2241" s="211" t="s">
        <v>529</v>
      </c>
      <c r="B2241" s="240" t="s">
        <v>1361</v>
      </c>
    </row>
    <row r="2242" spans="1:2">
      <c r="A2242" s="211" t="s">
        <v>531</v>
      </c>
      <c r="B2242" s="240" t="s">
        <v>455</v>
      </c>
    </row>
    <row r="2243" spans="1:2">
      <c r="A2243" s="211" t="s">
        <v>533</v>
      </c>
      <c r="B2243" s="240" t="s">
        <v>3107</v>
      </c>
    </row>
    <row r="2244" spans="1:2">
      <c r="A2244" s="211" t="s">
        <v>534</v>
      </c>
      <c r="B2244" s="240" t="s">
        <v>3108</v>
      </c>
    </row>
    <row r="2245" spans="1:2">
      <c r="A2245" s="211" t="s">
        <v>536</v>
      </c>
      <c r="B2245" s="240" t="s">
        <v>1361</v>
      </c>
    </row>
    <row r="2246" spans="1:2">
      <c r="A2246" s="211" t="s">
        <v>538</v>
      </c>
      <c r="B2246" s="240" t="s">
        <v>455</v>
      </c>
    </row>
    <row r="2247" spans="1:2">
      <c r="A2247" s="211" t="s">
        <v>540</v>
      </c>
      <c r="B2247" s="241" t="s">
        <v>2549</v>
      </c>
    </row>
    <row r="2248" spans="1:2">
      <c r="A2248" s="211" t="s">
        <v>542</v>
      </c>
      <c r="B2248" s="241" t="s">
        <v>3109</v>
      </c>
    </row>
    <row r="2249" spans="1:2">
      <c r="A2249" s="211" t="s">
        <v>544</v>
      </c>
      <c r="B2249" s="241" t="s">
        <v>2549</v>
      </c>
    </row>
    <row r="2250" spans="1:2">
      <c r="A2250" s="211" t="s">
        <v>546</v>
      </c>
      <c r="B2250" s="240" t="s">
        <v>3110</v>
      </c>
    </row>
    <row r="2251" spans="1:2">
      <c r="A2251" s="211" t="s">
        <v>548</v>
      </c>
      <c r="B2251" s="240" t="s">
        <v>3111</v>
      </c>
    </row>
    <row r="2252" spans="1:2">
      <c r="A2252" s="211" t="s">
        <v>550</v>
      </c>
      <c r="B2252" s="240" t="s">
        <v>1730</v>
      </c>
    </row>
    <row r="2253" spans="1:2">
      <c r="A2253" s="211" t="s">
        <v>552</v>
      </c>
      <c r="B2253" s="240" t="s">
        <v>3112</v>
      </c>
    </row>
    <row r="2254" spans="1:2">
      <c r="A2254" s="211" t="s">
        <v>554</v>
      </c>
      <c r="B2254" s="240" t="s">
        <v>3113</v>
      </c>
    </row>
    <row r="2255" spans="1:2">
      <c r="A2255" s="211" t="s">
        <v>555</v>
      </c>
      <c r="B2255" s="240" t="s">
        <v>3114</v>
      </c>
    </row>
    <row r="2256" spans="1:2">
      <c r="A2256" s="211" t="s">
        <v>557</v>
      </c>
      <c r="B2256" s="240" t="s">
        <v>697</v>
      </c>
    </row>
    <row r="2257" spans="1:2">
      <c r="A2257" s="211" t="s">
        <v>559</v>
      </c>
      <c r="B2257" s="240" t="s">
        <v>699</v>
      </c>
    </row>
    <row r="2258" spans="1:2">
      <c r="A2258" s="211" t="s">
        <v>561</v>
      </c>
      <c r="B2258" s="240" t="s">
        <v>3115</v>
      </c>
    </row>
    <row r="2259" spans="1:2">
      <c r="A2259" s="211" t="s">
        <v>563</v>
      </c>
      <c r="B2259" s="240" t="s">
        <v>3116</v>
      </c>
    </row>
    <row r="2260" spans="1:2">
      <c r="A2260" s="211" t="s">
        <v>565</v>
      </c>
      <c r="B2260" s="240" t="s">
        <v>1361</v>
      </c>
    </row>
    <row r="2261" spans="1:2">
      <c r="A2261" s="211" t="s">
        <v>567</v>
      </c>
      <c r="B2261" s="240" t="s">
        <v>455</v>
      </c>
    </row>
    <row r="2262" spans="1:2">
      <c r="A2262" s="211" t="s">
        <v>569</v>
      </c>
      <c r="B2262" s="240" t="s">
        <v>3117</v>
      </c>
    </row>
    <row r="2263" spans="1:2">
      <c r="A2263" s="211" t="s">
        <v>571</v>
      </c>
      <c r="B2263" s="240" t="s">
        <v>3118</v>
      </c>
    </row>
    <row r="2264" spans="1:2">
      <c r="A2264" s="211" t="s">
        <v>573</v>
      </c>
      <c r="B2264" s="240" t="s">
        <v>1361</v>
      </c>
    </row>
    <row r="2265" spans="1:2">
      <c r="A2265" s="211" t="s">
        <v>575</v>
      </c>
      <c r="B2265" s="240" t="s">
        <v>455</v>
      </c>
    </row>
    <row r="2266" spans="1:2">
      <c r="A2266" s="211" t="s">
        <v>576</v>
      </c>
      <c r="B2266" s="241" t="s">
        <v>2549</v>
      </c>
    </row>
    <row r="2267" spans="1:2">
      <c r="A2267" s="211" t="s">
        <v>578</v>
      </c>
      <c r="B2267" s="241" t="s">
        <v>3119</v>
      </c>
    </row>
    <row r="2268" spans="1:2">
      <c r="A2268" s="211" t="s">
        <v>580</v>
      </c>
      <c r="B2268" s="241" t="s">
        <v>3120</v>
      </c>
    </row>
    <row r="2269" spans="1:2">
      <c r="A2269" s="211" t="s">
        <v>582</v>
      </c>
      <c r="B2269" s="241" t="s">
        <v>3121</v>
      </c>
    </row>
    <row r="2270" spans="1:2">
      <c r="A2270" s="211" t="s">
        <v>584</v>
      </c>
      <c r="B2270" s="241" t="s">
        <v>2549</v>
      </c>
    </row>
    <row r="2271" spans="1:2">
      <c r="A2271" s="211" t="s">
        <v>585</v>
      </c>
      <c r="B2271" s="240" t="s">
        <v>3122</v>
      </c>
    </row>
    <row r="2272" spans="1:2">
      <c r="A2272" s="211" t="s">
        <v>587</v>
      </c>
      <c r="B2272" s="240" t="s">
        <v>3123</v>
      </c>
    </row>
    <row r="2273" spans="1:2">
      <c r="A2273" s="211" t="s">
        <v>588</v>
      </c>
      <c r="B2273" s="240" t="s">
        <v>3124</v>
      </c>
    </row>
    <row r="2274" spans="1:2">
      <c r="A2274" s="211" t="s">
        <v>590</v>
      </c>
      <c r="B2274" s="240" t="s">
        <v>3125</v>
      </c>
    </row>
    <row r="2275" spans="1:2">
      <c r="A2275" s="211" t="s">
        <v>592</v>
      </c>
      <c r="B2275" s="240" t="s">
        <v>1656</v>
      </c>
    </row>
    <row r="2276" spans="1:2">
      <c r="A2276" s="211" t="s">
        <v>594</v>
      </c>
      <c r="B2276" s="240" t="s">
        <v>3126</v>
      </c>
    </row>
    <row r="2277" spans="1:2">
      <c r="A2277" s="211" t="s">
        <v>596</v>
      </c>
      <c r="B2277" s="240" t="s">
        <v>3127</v>
      </c>
    </row>
    <row r="2278" spans="1:2">
      <c r="A2278" s="211" t="s">
        <v>598</v>
      </c>
      <c r="B2278" s="240" t="s">
        <v>3128</v>
      </c>
    </row>
    <row r="2279" spans="1:2">
      <c r="A2279" s="211" t="s">
        <v>600</v>
      </c>
      <c r="B2279" s="240" t="s">
        <v>3129</v>
      </c>
    </row>
    <row r="2280" spans="1:2">
      <c r="A2280" s="211" t="s">
        <v>602</v>
      </c>
      <c r="B2280" s="240" t="s">
        <v>3130</v>
      </c>
    </row>
    <row r="2281" spans="1:2">
      <c r="A2281" s="211" t="s">
        <v>603</v>
      </c>
      <c r="B2281" s="240" t="s">
        <v>3131</v>
      </c>
    </row>
    <row r="2282" spans="1:2">
      <c r="A2282" s="211" t="s">
        <v>605</v>
      </c>
      <c r="B2282" s="240" t="s">
        <v>3132</v>
      </c>
    </row>
    <row r="2283" spans="1:2">
      <c r="A2283" s="211" t="s">
        <v>606</v>
      </c>
      <c r="B2283" s="240" t="s">
        <v>3133</v>
      </c>
    </row>
    <row r="2284" spans="1:2">
      <c r="A2284" s="211" t="s">
        <v>607</v>
      </c>
      <c r="B2284" s="240" t="s">
        <v>3134</v>
      </c>
    </row>
    <row r="2285" spans="1:2">
      <c r="A2285" s="211" t="s">
        <v>609</v>
      </c>
      <c r="B2285" s="240" t="s">
        <v>3135</v>
      </c>
    </row>
    <row r="2286" spans="1:2">
      <c r="A2286" s="211" t="s">
        <v>610</v>
      </c>
      <c r="B2286" s="240" t="s">
        <v>3136</v>
      </c>
    </row>
    <row r="2287" spans="1:2">
      <c r="A2287" s="211" t="s">
        <v>612</v>
      </c>
      <c r="B2287" s="240" t="s">
        <v>3137</v>
      </c>
    </row>
    <row r="2288" spans="1:2">
      <c r="A2288" s="211" t="s">
        <v>614</v>
      </c>
      <c r="B2288" s="240" t="s">
        <v>3138</v>
      </c>
    </row>
    <row r="2289" spans="1:2">
      <c r="A2289" s="211" t="s">
        <v>616</v>
      </c>
      <c r="B2289" s="240" t="s">
        <v>3139</v>
      </c>
    </row>
    <row r="2290" spans="1:2">
      <c r="A2290" s="211" t="s">
        <v>618</v>
      </c>
      <c r="B2290" s="240" t="s">
        <v>3140</v>
      </c>
    </row>
    <row r="2291" spans="1:2">
      <c r="A2291" s="211" t="s">
        <v>620</v>
      </c>
      <c r="B2291" s="240" t="s">
        <v>2781</v>
      </c>
    </row>
    <row r="2292" spans="1:2">
      <c r="A2292" s="211" t="s">
        <v>622</v>
      </c>
      <c r="B2292" s="240" t="s">
        <v>3141</v>
      </c>
    </row>
    <row r="2293" spans="1:2">
      <c r="A2293" s="211" t="s">
        <v>624</v>
      </c>
      <c r="B2293" s="240" t="s">
        <v>3142</v>
      </c>
    </row>
    <row r="2294" spans="1:2">
      <c r="A2294" s="211" t="s">
        <v>626</v>
      </c>
      <c r="B2294" s="240" t="s">
        <v>2803</v>
      </c>
    </row>
    <row r="2295" spans="1:2">
      <c r="A2295" s="211" t="s">
        <v>627</v>
      </c>
      <c r="B2295" s="240" t="s">
        <v>3143</v>
      </c>
    </row>
    <row r="2296" spans="1:2">
      <c r="A2296" s="211" t="s">
        <v>629</v>
      </c>
      <c r="B2296" s="240" t="s">
        <v>3144</v>
      </c>
    </row>
    <row r="2297" spans="1:2">
      <c r="A2297" s="211" t="s">
        <v>631</v>
      </c>
      <c r="B2297" s="240" t="s">
        <v>3145</v>
      </c>
    </row>
    <row r="2298" spans="1:2">
      <c r="A2298" s="211" t="s">
        <v>633</v>
      </c>
      <c r="B2298" s="240" t="s">
        <v>3146</v>
      </c>
    </row>
    <row r="2299" spans="1:2">
      <c r="A2299" s="211" t="s">
        <v>635</v>
      </c>
      <c r="B2299" s="240" t="s">
        <v>3147</v>
      </c>
    </row>
    <row r="2300" spans="1:2">
      <c r="A2300" s="211" t="s">
        <v>637</v>
      </c>
      <c r="B2300" s="240" t="s">
        <v>884</v>
      </c>
    </row>
    <row r="2301" spans="1:2">
      <c r="A2301" s="211" t="s">
        <v>639</v>
      </c>
      <c r="B2301" s="240" t="s">
        <v>3148</v>
      </c>
    </row>
    <row r="2302" spans="1:2">
      <c r="A2302" s="211" t="s">
        <v>640</v>
      </c>
      <c r="B2302" s="240" t="s">
        <v>686</v>
      </c>
    </row>
    <row r="2303" spans="1:2">
      <c r="A2303" s="211" t="s">
        <v>642</v>
      </c>
      <c r="B2303" s="240" t="s">
        <v>697</v>
      </c>
    </row>
    <row r="2304" spans="1:2">
      <c r="A2304" s="211" t="s">
        <v>644</v>
      </c>
      <c r="B2304" s="240" t="s">
        <v>699</v>
      </c>
    </row>
    <row r="2305" spans="1:2">
      <c r="A2305" s="211" t="s">
        <v>646</v>
      </c>
      <c r="B2305" s="240" t="s">
        <v>1361</v>
      </c>
    </row>
    <row r="2306" spans="1:2">
      <c r="A2306" s="211" t="s">
        <v>648</v>
      </c>
      <c r="B2306" s="240" t="s">
        <v>455</v>
      </c>
    </row>
    <row r="2307" spans="1:2">
      <c r="A2307" s="211" t="s">
        <v>650</v>
      </c>
      <c r="B2307" s="241" t="s">
        <v>3149</v>
      </c>
    </row>
    <row r="2308" spans="1:2">
      <c r="A2308" s="211" t="s">
        <v>652</v>
      </c>
      <c r="B2308" s="240" t="s">
        <v>3150</v>
      </c>
    </row>
    <row r="2309" spans="1:2">
      <c r="A2309" s="211" t="s">
        <v>653</v>
      </c>
      <c r="B2309" s="240" t="s">
        <v>3151</v>
      </c>
    </row>
    <row r="2310" spans="1:2">
      <c r="A2310" s="211" t="s">
        <v>655</v>
      </c>
      <c r="B2310" s="240" t="s">
        <v>3152</v>
      </c>
    </row>
    <row r="2311" spans="1:2">
      <c r="A2311" s="211" t="s">
        <v>657</v>
      </c>
      <c r="B2311" s="240" t="s">
        <v>3153</v>
      </c>
    </row>
    <row r="2312" spans="1:2">
      <c r="A2312" s="211" t="s">
        <v>659</v>
      </c>
      <c r="B2312" s="240" t="s">
        <v>3154</v>
      </c>
    </row>
    <row r="2313" spans="1:2">
      <c r="A2313" s="211" t="s">
        <v>661</v>
      </c>
      <c r="B2313" s="240" t="s">
        <v>3155</v>
      </c>
    </row>
    <row r="2314" spans="1:2">
      <c r="A2314" s="211" t="s">
        <v>662</v>
      </c>
      <c r="B2314" s="240" t="s">
        <v>3156</v>
      </c>
    </row>
    <row r="2315" spans="1:2">
      <c r="A2315" s="211" t="s">
        <v>664</v>
      </c>
      <c r="B2315" s="240" t="s">
        <v>3157</v>
      </c>
    </row>
    <row r="2316" spans="1:2">
      <c r="A2316" s="211" t="s">
        <v>666</v>
      </c>
      <c r="B2316" s="240" t="s">
        <v>1361</v>
      </c>
    </row>
    <row r="2317" spans="1:2">
      <c r="A2317" s="211" t="s">
        <v>668</v>
      </c>
      <c r="B2317" s="240" t="s">
        <v>455</v>
      </c>
    </row>
    <row r="2318" spans="1:2">
      <c r="A2318" s="211" t="s">
        <v>670</v>
      </c>
      <c r="B2318" s="241" t="s">
        <v>3158</v>
      </c>
    </row>
    <row r="2319" spans="1:2">
      <c r="A2319" s="211" t="s">
        <v>671</v>
      </c>
      <c r="B2319" s="240" t="s">
        <v>3159</v>
      </c>
    </row>
    <row r="2320" spans="1:2">
      <c r="A2320" s="211" t="s">
        <v>672</v>
      </c>
      <c r="B2320" s="240" t="s">
        <v>3160</v>
      </c>
    </row>
    <row r="2321" spans="1:2">
      <c r="A2321" s="211" t="s">
        <v>673</v>
      </c>
      <c r="B2321" s="240" t="s">
        <v>3161</v>
      </c>
    </row>
    <row r="2322" spans="1:2">
      <c r="A2322" s="211" t="s">
        <v>675</v>
      </c>
      <c r="B2322" s="240" t="s">
        <v>3162</v>
      </c>
    </row>
    <row r="2323" spans="1:2">
      <c r="A2323" s="211" t="s">
        <v>677</v>
      </c>
      <c r="B2323" s="240" t="s">
        <v>3163</v>
      </c>
    </row>
    <row r="2324" spans="1:2">
      <c r="A2324" s="211" t="s">
        <v>679</v>
      </c>
      <c r="B2324" s="240" t="s">
        <v>3164</v>
      </c>
    </row>
    <row r="2325" spans="1:2">
      <c r="A2325" s="211" t="s">
        <v>681</v>
      </c>
      <c r="B2325" s="240" t="s">
        <v>3165</v>
      </c>
    </row>
    <row r="2326" spans="1:2">
      <c r="A2326" s="211" t="s">
        <v>683</v>
      </c>
      <c r="B2326" s="240" t="s">
        <v>3166</v>
      </c>
    </row>
    <row r="2327" spans="1:2">
      <c r="A2327" s="211" t="s">
        <v>685</v>
      </c>
      <c r="B2327" s="240" t="s">
        <v>3167</v>
      </c>
    </row>
    <row r="2328" spans="1:2">
      <c r="A2328" s="211" t="s">
        <v>687</v>
      </c>
      <c r="B2328" s="240" t="s">
        <v>3168</v>
      </c>
    </row>
    <row r="2329" spans="1:2">
      <c r="A2329" s="211" t="s">
        <v>689</v>
      </c>
      <c r="B2329" s="240" t="s">
        <v>686</v>
      </c>
    </row>
    <row r="2330" spans="1:2">
      <c r="A2330" s="211" t="s">
        <v>691</v>
      </c>
      <c r="B2330" s="240" t="s">
        <v>697</v>
      </c>
    </row>
    <row r="2331" spans="1:2">
      <c r="A2331" s="211" t="s">
        <v>692</v>
      </c>
      <c r="B2331" s="240" t="s">
        <v>3169</v>
      </c>
    </row>
    <row r="2332" spans="1:2">
      <c r="A2332" s="211" t="s">
        <v>694</v>
      </c>
      <c r="B2332" s="240" t="s">
        <v>3170</v>
      </c>
    </row>
    <row r="2333" spans="1:2">
      <c r="A2333" s="211" t="s">
        <v>696</v>
      </c>
      <c r="B2333" s="240" t="s">
        <v>3171</v>
      </c>
    </row>
    <row r="2334" spans="1:2">
      <c r="A2334" s="211" t="s">
        <v>698</v>
      </c>
      <c r="B2334" s="240" t="s">
        <v>3172</v>
      </c>
    </row>
    <row r="2335" spans="1:2">
      <c r="A2335" s="211" t="s">
        <v>700</v>
      </c>
      <c r="B2335" s="240" t="s">
        <v>697</v>
      </c>
    </row>
    <row r="2336" spans="1:2">
      <c r="A2336" s="211" t="s">
        <v>702</v>
      </c>
      <c r="B2336" s="240" t="s">
        <v>3173</v>
      </c>
    </row>
    <row r="2337" spans="1:2">
      <c r="A2337" s="211" t="s">
        <v>704</v>
      </c>
      <c r="B2337" s="240" t="s">
        <v>992</v>
      </c>
    </row>
    <row r="2338" spans="1:2">
      <c r="A2338" s="211" t="s">
        <v>705</v>
      </c>
      <c r="B2338" s="240" t="s">
        <v>475</v>
      </c>
    </row>
    <row r="2339" spans="1:2">
      <c r="A2339" s="211" t="s">
        <v>706</v>
      </c>
      <c r="B2339" s="240" t="s">
        <v>455</v>
      </c>
    </row>
    <row r="2340" spans="1:2">
      <c r="A2340" s="211" t="s">
        <v>707</v>
      </c>
      <c r="B2340" s="241" t="s">
        <v>3174</v>
      </c>
    </row>
    <row r="2341" spans="1:2">
      <c r="A2341" s="211" t="s">
        <v>709</v>
      </c>
      <c r="B2341" s="240" t="s">
        <v>3175</v>
      </c>
    </row>
    <row r="2342" spans="1:2">
      <c r="A2342" s="211" t="s">
        <v>711</v>
      </c>
      <c r="B2342" s="240" t="s">
        <v>3176</v>
      </c>
    </row>
    <row r="2343" spans="1:2">
      <c r="A2343" s="211" t="s">
        <v>713</v>
      </c>
      <c r="B2343" s="240" t="s">
        <v>3177</v>
      </c>
    </row>
    <row r="2344" spans="1:2">
      <c r="A2344" s="211" t="s">
        <v>715</v>
      </c>
      <c r="B2344" s="240" t="s">
        <v>3178</v>
      </c>
    </row>
    <row r="2345" spans="1:2">
      <c r="A2345" s="211" t="s">
        <v>717</v>
      </c>
      <c r="B2345" s="240" t="s">
        <v>3179</v>
      </c>
    </row>
    <row r="2346" spans="1:2">
      <c r="A2346" s="211" t="s">
        <v>719</v>
      </c>
      <c r="B2346" s="240" t="s">
        <v>3180</v>
      </c>
    </row>
    <row r="2347" spans="1:2">
      <c r="A2347" s="211" t="s">
        <v>721</v>
      </c>
      <c r="B2347" s="240" t="s">
        <v>3181</v>
      </c>
    </row>
    <row r="2348" spans="1:2">
      <c r="A2348" s="211" t="s">
        <v>723</v>
      </c>
      <c r="B2348" s="240" t="s">
        <v>3182</v>
      </c>
    </row>
    <row r="2349" spans="1:2">
      <c r="A2349" s="211" t="s">
        <v>725</v>
      </c>
      <c r="B2349" s="240" t="s">
        <v>3183</v>
      </c>
    </row>
    <row r="2350" spans="1:2">
      <c r="A2350" s="211" t="s">
        <v>727</v>
      </c>
      <c r="B2350" s="240" t="s">
        <v>3184</v>
      </c>
    </row>
    <row r="2351" spans="1:2">
      <c r="A2351" s="211" t="s">
        <v>729</v>
      </c>
      <c r="B2351" s="240" t="s">
        <v>3185</v>
      </c>
    </row>
    <row r="2352" spans="1:2">
      <c r="A2352" s="211" t="s">
        <v>730</v>
      </c>
      <c r="B2352" s="240" t="s">
        <v>697</v>
      </c>
    </row>
    <row r="2353" spans="1:2">
      <c r="A2353" s="211" t="s">
        <v>732</v>
      </c>
      <c r="B2353" s="240" t="s">
        <v>473</v>
      </c>
    </row>
    <row r="2354" spans="1:2">
      <c r="A2354" s="211" t="s">
        <v>734</v>
      </c>
      <c r="B2354" s="240" t="s">
        <v>1361</v>
      </c>
    </row>
    <row r="2355" spans="1:2">
      <c r="A2355" s="211" t="s">
        <v>736</v>
      </c>
      <c r="B2355" s="240" t="s">
        <v>455</v>
      </c>
    </row>
    <row r="2356" spans="1:2">
      <c r="A2356" s="211" t="s">
        <v>738</v>
      </c>
      <c r="B2356" s="241" t="s">
        <v>2549</v>
      </c>
    </row>
    <row r="2357" spans="1:2">
      <c r="A2357" s="211" t="s">
        <v>739</v>
      </c>
      <c r="B2357" s="241" t="s">
        <v>3186</v>
      </c>
    </row>
    <row r="2358" spans="1:2">
      <c r="A2358" s="211" t="s">
        <v>740</v>
      </c>
      <c r="B2358" s="241" t="s">
        <v>3187</v>
      </c>
    </row>
    <row r="2359" spans="1:2">
      <c r="A2359" s="211" t="s">
        <v>742</v>
      </c>
      <c r="B2359" s="241" t="s">
        <v>3188</v>
      </c>
    </row>
    <row r="2360" spans="1:2">
      <c r="A2360" s="211" t="s">
        <v>744</v>
      </c>
      <c r="B2360" s="241" t="s">
        <v>3189</v>
      </c>
    </row>
    <row r="2361" spans="1:2">
      <c r="A2361" s="211" t="s">
        <v>746</v>
      </c>
      <c r="B2361" s="241" t="s">
        <v>3190</v>
      </c>
    </row>
    <row r="2362" spans="1:2">
      <c r="A2362" s="211" t="s">
        <v>748</v>
      </c>
      <c r="B2362" s="241" t="s">
        <v>2549</v>
      </c>
    </row>
    <row r="2363" spans="1:2">
      <c r="A2363" s="211" t="s">
        <v>750</v>
      </c>
      <c r="B2363" s="240" t="s">
        <v>3191</v>
      </c>
    </row>
    <row r="2364" spans="1:2">
      <c r="A2364" s="211" t="s">
        <v>752</v>
      </c>
      <c r="B2364" s="240" t="s">
        <v>3192</v>
      </c>
    </row>
    <row r="2365" spans="1:2">
      <c r="A2365" s="211" t="s">
        <v>753</v>
      </c>
      <c r="B2365" s="240" t="s">
        <v>3193</v>
      </c>
    </row>
    <row r="2366" spans="1:2">
      <c r="A2366" s="211" t="s">
        <v>755</v>
      </c>
      <c r="B2366" s="240" t="s">
        <v>3194</v>
      </c>
    </row>
    <row r="2367" spans="1:2">
      <c r="A2367" s="211" t="s">
        <v>757</v>
      </c>
      <c r="B2367" s="240" t="s">
        <v>455</v>
      </c>
    </row>
    <row r="2368" spans="1:2">
      <c r="A2368" s="211" t="s">
        <v>759</v>
      </c>
      <c r="B2368" s="240" t="s">
        <v>3195</v>
      </c>
    </row>
    <row r="2369" spans="1:2">
      <c r="A2369" s="211" t="s">
        <v>761</v>
      </c>
      <c r="B2369" s="240" t="s">
        <v>3196</v>
      </c>
    </row>
    <row r="2370" spans="1:2">
      <c r="A2370" s="211" t="s">
        <v>763</v>
      </c>
      <c r="B2370" s="240" t="s">
        <v>3197</v>
      </c>
    </row>
    <row r="2371" spans="1:2">
      <c r="A2371" s="211" t="s">
        <v>765</v>
      </c>
      <c r="B2371" s="240" t="s">
        <v>3198</v>
      </c>
    </row>
    <row r="2372" spans="1:2">
      <c r="A2372" s="211" t="s">
        <v>767</v>
      </c>
      <c r="B2372" s="240" t="s">
        <v>455</v>
      </c>
    </row>
    <row r="2373" spans="1:2">
      <c r="A2373" s="211" t="s">
        <v>768</v>
      </c>
      <c r="B2373" s="240" t="s">
        <v>3199</v>
      </c>
    </row>
    <row r="2374" spans="1:2">
      <c r="A2374" s="211" t="s">
        <v>769</v>
      </c>
      <c r="B2374" s="240" t="s">
        <v>3200</v>
      </c>
    </row>
    <row r="2375" spans="1:2">
      <c r="A2375" s="211" t="s">
        <v>771</v>
      </c>
      <c r="B2375" s="240" t="s">
        <v>455</v>
      </c>
    </row>
    <row r="2376" spans="1:2">
      <c r="A2376" s="211" t="s">
        <v>773</v>
      </c>
      <c r="B2376" s="240" t="s">
        <v>3201</v>
      </c>
    </row>
    <row r="2377" spans="1:2">
      <c r="A2377" s="211" t="s">
        <v>775</v>
      </c>
      <c r="B2377" s="240" t="s">
        <v>3196</v>
      </c>
    </row>
    <row r="2378" spans="1:2">
      <c r="A2378" s="211" t="s">
        <v>777</v>
      </c>
      <c r="B2378" s="240" t="s">
        <v>3202</v>
      </c>
    </row>
    <row r="2379" spans="1:2">
      <c r="A2379" s="211" t="s">
        <v>779</v>
      </c>
      <c r="B2379" s="240" t="s">
        <v>1342</v>
      </c>
    </row>
    <row r="2380" spans="1:2">
      <c r="A2380" s="211" t="s">
        <v>780</v>
      </c>
      <c r="B2380" s="240" t="s">
        <v>3203</v>
      </c>
    </row>
    <row r="2381" spans="1:2">
      <c r="A2381" s="211" t="s">
        <v>782</v>
      </c>
      <c r="B2381" s="240" t="s">
        <v>1344</v>
      </c>
    </row>
    <row r="2382" spans="1:2">
      <c r="A2382" s="211" t="s">
        <v>783</v>
      </c>
      <c r="B2382" s="240" t="s">
        <v>3204</v>
      </c>
    </row>
    <row r="2383" spans="1:2">
      <c r="A2383" s="211" t="s">
        <v>785</v>
      </c>
      <c r="B2383" s="240" t="s">
        <v>3205</v>
      </c>
    </row>
    <row r="2384" spans="1:2">
      <c r="A2384" s="211" t="s">
        <v>787</v>
      </c>
      <c r="B2384" s="240" t="s">
        <v>3206</v>
      </c>
    </row>
    <row r="2385" spans="1:2">
      <c r="A2385" s="211" t="s">
        <v>789</v>
      </c>
      <c r="B2385" s="240" t="s">
        <v>3207</v>
      </c>
    </row>
    <row r="2386" spans="1:2">
      <c r="A2386" s="211" t="s">
        <v>791</v>
      </c>
      <c r="B2386" s="240" t="s">
        <v>3208</v>
      </c>
    </row>
    <row r="2387" spans="1:2">
      <c r="A2387" s="211" t="s">
        <v>793</v>
      </c>
      <c r="B2387" s="240" t="s">
        <v>3209</v>
      </c>
    </row>
    <row r="2388" spans="1:2">
      <c r="A2388" s="211" t="s">
        <v>795</v>
      </c>
      <c r="B2388" s="240" t="s">
        <v>3210</v>
      </c>
    </row>
    <row r="2389" spans="1:2">
      <c r="A2389" s="211" t="s">
        <v>797</v>
      </c>
      <c r="B2389" s="240" t="s">
        <v>3211</v>
      </c>
    </row>
    <row r="2390" spans="1:2">
      <c r="A2390" s="211" t="s">
        <v>798</v>
      </c>
      <c r="B2390" s="240" t="s">
        <v>884</v>
      </c>
    </row>
    <row r="2391" spans="1:2">
      <c r="A2391" s="211" t="s">
        <v>800</v>
      </c>
      <c r="B2391" s="240" t="s">
        <v>3212</v>
      </c>
    </row>
    <row r="2392" spans="1:2">
      <c r="A2392" s="211" t="s">
        <v>802</v>
      </c>
      <c r="B2392" s="240" t="s">
        <v>686</v>
      </c>
    </row>
    <row r="2393" spans="1:2">
      <c r="A2393" s="211" t="s">
        <v>803</v>
      </c>
      <c r="B2393" s="240" t="s">
        <v>990</v>
      </c>
    </row>
    <row r="2394" spans="1:2">
      <c r="A2394" s="211" t="s">
        <v>805</v>
      </c>
      <c r="B2394" s="240" t="s">
        <v>3213</v>
      </c>
    </row>
    <row r="2395" spans="1:2">
      <c r="A2395" s="211" t="s">
        <v>807</v>
      </c>
      <c r="B2395" s="240" t="s">
        <v>3214</v>
      </c>
    </row>
    <row r="2396" spans="1:2">
      <c r="A2396" s="211" t="s">
        <v>809</v>
      </c>
      <c r="B2396" s="240" t="s">
        <v>3215</v>
      </c>
    </row>
    <row r="2397" spans="1:2">
      <c r="A2397" s="211" t="s">
        <v>811</v>
      </c>
      <c r="B2397" s="240" t="s">
        <v>3216</v>
      </c>
    </row>
    <row r="2398" spans="1:2">
      <c r="A2398" s="211" t="s">
        <v>813</v>
      </c>
      <c r="B2398" s="240" t="s">
        <v>3217</v>
      </c>
    </row>
    <row r="2399" spans="1:2">
      <c r="A2399" s="211" t="s">
        <v>815</v>
      </c>
      <c r="B2399" s="240" t="s">
        <v>3198</v>
      </c>
    </row>
    <row r="2400" spans="1:2">
      <c r="A2400" s="211" t="s">
        <v>817</v>
      </c>
      <c r="B2400" s="240" t="s">
        <v>455</v>
      </c>
    </row>
    <row r="2401" spans="1:2">
      <c r="A2401" s="211" t="s">
        <v>818</v>
      </c>
      <c r="B2401" s="240" t="s">
        <v>3218</v>
      </c>
    </row>
    <row r="2402" spans="1:2">
      <c r="A2402" s="211" t="s">
        <v>820</v>
      </c>
      <c r="B2402" s="240" t="s">
        <v>3219</v>
      </c>
    </row>
    <row r="2403" spans="1:2">
      <c r="A2403" s="211" t="s">
        <v>822</v>
      </c>
      <c r="B2403" s="240" t="s">
        <v>1423</v>
      </c>
    </row>
    <row r="2404" spans="1:2">
      <c r="A2404" s="211" t="s">
        <v>824</v>
      </c>
      <c r="B2404" s="240" t="s">
        <v>3220</v>
      </c>
    </row>
    <row r="2405" spans="1:2">
      <c r="A2405" s="211" t="s">
        <v>825</v>
      </c>
      <c r="B2405" s="240" t="s">
        <v>3221</v>
      </c>
    </row>
    <row r="2406" spans="1:2">
      <c r="A2406" s="211" t="s">
        <v>827</v>
      </c>
      <c r="B2406" s="240" t="s">
        <v>832</v>
      </c>
    </row>
    <row r="2407" spans="1:2">
      <c r="A2407" s="211" t="s">
        <v>829</v>
      </c>
      <c r="B2407" s="240" t="s">
        <v>3222</v>
      </c>
    </row>
    <row r="2408" spans="1:2">
      <c r="A2408" s="211" t="s">
        <v>831</v>
      </c>
      <c r="B2408" s="240" t="s">
        <v>3223</v>
      </c>
    </row>
    <row r="2409" spans="1:2">
      <c r="A2409" s="211" t="s">
        <v>833</v>
      </c>
      <c r="B2409" s="240" t="s">
        <v>1361</v>
      </c>
    </row>
    <row r="2410" spans="1:2">
      <c r="A2410" s="211" t="s">
        <v>835</v>
      </c>
      <c r="B2410" s="240" t="s">
        <v>455</v>
      </c>
    </row>
    <row r="2411" spans="1:2">
      <c r="A2411" s="211" t="s">
        <v>837</v>
      </c>
      <c r="B2411" s="241" t="s">
        <v>2549</v>
      </c>
    </row>
    <row r="2412" spans="1:2">
      <c r="A2412" s="211" t="s">
        <v>839</v>
      </c>
      <c r="B2412" s="241" t="s">
        <v>3224</v>
      </c>
    </row>
    <row r="2413" spans="1:2">
      <c r="A2413" s="211" t="s">
        <v>841</v>
      </c>
      <c r="B2413" s="241" t="s">
        <v>3225</v>
      </c>
    </row>
    <row r="2414" spans="1:2">
      <c r="A2414" s="211" t="s">
        <v>843</v>
      </c>
      <c r="B2414" s="241" t="s">
        <v>2549</v>
      </c>
    </row>
    <row r="2415" spans="1:2">
      <c r="A2415" s="211" t="s">
        <v>844</v>
      </c>
      <c r="B2415" s="240" t="s">
        <v>3226</v>
      </c>
    </row>
    <row r="2416" spans="1:2">
      <c r="A2416" s="211" t="s">
        <v>845</v>
      </c>
      <c r="B2416" s="240" t="s">
        <v>3227</v>
      </c>
    </row>
    <row r="2417" spans="1:2">
      <c r="A2417" s="211" t="s">
        <v>846</v>
      </c>
      <c r="B2417" s="240" t="s">
        <v>3228</v>
      </c>
    </row>
    <row r="2418" spans="1:2">
      <c r="A2418" s="211" t="s">
        <v>848</v>
      </c>
      <c r="B2418" s="240" t="s">
        <v>3196</v>
      </c>
    </row>
    <row r="2419" spans="1:2">
      <c r="A2419" s="211" t="s">
        <v>850</v>
      </c>
      <c r="B2419" s="240" t="s">
        <v>3229</v>
      </c>
    </row>
    <row r="2420" spans="1:2">
      <c r="A2420" s="211" t="s">
        <v>852</v>
      </c>
      <c r="B2420" s="240" t="s">
        <v>3230</v>
      </c>
    </row>
    <row r="2421" spans="1:2">
      <c r="A2421" s="211" t="s">
        <v>854</v>
      </c>
      <c r="B2421" s="240" t="s">
        <v>3231</v>
      </c>
    </row>
    <row r="2422" spans="1:2">
      <c r="A2422" s="211" t="s">
        <v>856</v>
      </c>
      <c r="B2422" s="240" t="s">
        <v>3232</v>
      </c>
    </row>
    <row r="2423" spans="1:2">
      <c r="A2423" s="211" t="s">
        <v>858</v>
      </c>
      <c r="B2423" s="240" t="s">
        <v>3233</v>
      </c>
    </row>
    <row r="2424" spans="1:2">
      <c r="A2424" s="211" t="s">
        <v>860</v>
      </c>
      <c r="B2424" s="240" t="s">
        <v>884</v>
      </c>
    </row>
    <row r="2425" spans="1:2">
      <c r="A2425" s="211" t="s">
        <v>862</v>
      </c>
      <c r="B2425" s="240" t="s">
        <v>3234</v>
      </c>
    </row>
    <row r="2426" spans="1:2">
      <c r="A2426" s="211" t="s">
        <v>864</v>
      </c>
      <c r="B2426" s="240" t="s">
        <v>3235</v>
      </c>
    </row>
    <row r="2427" spans="1:2">
      <c r="A2427" s="211" t="s">
        <v>865</v>
      </c>
      <c r="B2427" s="240" t="s">
        <v>3236</v>
      </c>
    </row>
    <row r="2428" spans="1:2">
      <c r="A2428" s="211" t="s">
        <v>867</v>
      </c>
      <c r="B2428" s="240" t="s">
        <v>686</v>
      </c>
    </row>
    <row r="2429" spans="1:2">
      <c r="A2429" s="211" t="s">
        <v>869</v>
      </c>
      <c r="B2429" s="240" t="s">
        <v>697</v>
      </c>
    </row>
    <row r="2430" spans="1:2">
      <c r="A2430" s="211" t="s">
        <v>871</v>
      </c>
      <c r="B2430" s="240" t="s">
        <v>3198</v>
      </c>
    </row>
    <row r="2431" spans="1:2">
      <c r="A2431" s="211" t="s">
        <v>873</v>
      </c>
      <c r="B2431" s="240" t="s">
        <v>3237</v>
      </c>
    </row>
    <row r="2432" spans="1:2">
      <c r="A2432" s="211" t="s">
        <v>875</v>
      </c>
      <c r="B2432" s="240" t="s">
        <v>3238</v>
      </c>
    </row>
    <row r="2433" spans="1:2">
      <c r="A2433" s="211" t="s">
        <v>877</v>
      </c>
      <c r="B2433" s="240" t="s">
        <v>3239</v>
      </c>
    </row>
    <row r="2434" spans="1:2">
      <c r="A2434" s="211" t="s">
        <v>879</v>
      </c>
      <c r="B2434" s="240" t="s">
        <v>3240</v>
      </c>
    </row>
    <row r="2435" spans="1:2">
      <c r="A2435" s="211" t="s">
        <v>881</v>
      </c>
      <c r="B2435" s="240" t="s">
        <v>1635</v>
      </c>
    </row>
    <row r="2436" spans="1:2">
      <c r="A2436" s="211" t="s">
        <v>883</v>
      </c>
      <c r="B2436" s="240" t="s">
        <v>697</v>
      </c>
    </row>
    <row r="2437" spans="1:2">
      <c r="A2437" s="211" t="s">
        <v>885</v>
      </c>
      <c r="B2437" s="240" t="s">
        <v>3241</v>
      </c>
    </row>
    <row r="2438" spans="1:2">
      <c r="A2438" s="211" t="s">
        <v>887</v>
      </c>
      <c r="B2438" s="240" t="s">
        <v>3242</v>
      </c>
    </row>
    <row r="2439" spans="1:2">
      <c r="A2439" s="211" t="s">
        <v>888</v>
      </c>
      <c r="B2439" s="240" t="s">
        <v>667</v>
      </c>
    </row>
    <row r="2440" spans="1:2">
      <c r="A2440" s="211" t="s">
        <v>890</v>
      </c>
      <c r="B2440" s="240" t="s">
        <v>3243</v>
      </c>
    </row>
    <row r="2441" spans="1:2">
      <c r="A2441" s="211" t="s">
        <v>891</v>
      </c>
      <c r="B2441" s="240" t="s">
        <v>3244</v>
      </c>
    </row>
    <row r="2442" spans="1:2">
      <c r="A2442" s="211" t="s">
        <v>893</v>
      </c>
      <c r="B2442" s="240" t="s">
        <v>473</v>
      </c>
    </row>
    <row r="2443" spans="1:2">
      <c r="A2443" s="211" t="s">
        <v>895</v>
      </c>
      <c r="B2443" s="240" t="s">
        <v>3245</v>
      </c>
    </row>
    <row r="2444" spans="1:2">
      <c r="A2444" s="211" t="s">
        <v>897</v>
      </c>
      <c r="B2444" s="240" t="s">
        <v>1361</v>
      </c>
    </row>
    <row r="2445" spans="1:2">
      <c r="A2445" s="211" t="s">
        <v>899</v>
      </c>
      <c r="B2445" s="240" t="s">
        <v>455</v>
      </c>
    </row>
    <row r="2446" spans="1:2">
      <c r="A2446" s="211" t="s">
        <v>901</v>
      </c>
      <c r="B2446" s="240" t="s">
        <v>3246</v>
      </c>
    </row>
    <row r="2447" spans="1:2">
      <c r="A2447" s="211" t="s">
        <v>902</v>
      </c>
      <c r="B2447" s="240" t="s">
        <v>3247</v>
      </c>
    </row>
    <row r="2448" spans="1:2">
      <c r="A2448" s="211" t="s">
        <v>903</v>
      </c>
      <c r="B2448" s="240" t="s">
        <v>3196</v>
      </c>
    </row>
    <row r="2449" spans="1:2">
      <c r="A2449" s="211" t="s">
        <v>904</v>
      </c>
      <c r="B2449" s="240" t="s">
        <v>3248</v>
      </c>
    </row>
    <row r="2450" spans="1:2">
      <c r="A2450" s="211" t="s">
        <v>906</v>
      </c>
      <c r="B2450" s="240" t="s">
        <v>3198</v>
      </c>
    </row>
    <row r="2451" spans="1:2">
      <c r="A2451" s="211" t="s">
        <v>908</v>
      </c>
      <c r="B2451" s="240" t="s">
        <v>1361</v>
      </c>
    </row>
    <row r="2452" spans="1:2">
      <c r="A2452" s="211" t="s">
        <v>910</v>
      </c>
      <c r="B2452" s="240" t="s">
        <v>455</v>
      </c>
    </row>
    <row r="2453" spans="1:2">
      <c r="A2453" s="211" t="s">
        <v>912</v>
      </c>
      <c r="B2453" s="240" t="s">
        <v>3249</v>
      </c>
    </row>
    <row r="2454" spans="1:2">
      <c r="A2454" s="211" t="s">
        <v>914</v>
      </c>
      <c r="B2454" s="240" t="s">
        <v>3250</v>
      </c>
    </row>
    <row r="2455" spans="1:2">
      <c r="A2455" s="211" t="s">
        <v>915</v>
      </c>
      <c r="B2455" s="240" t="s">
        <v>1361</v>
      </c>
    </row>
    <row r="2456" spans="1:2">
      <c r="A2456" s="211" t="s">
        <v>917</v>
      </c>
      <c r="B2456" s="240" t="s">
        <v>455</v>
      </c>
    </row>
    <row r="2457" spans="1:2">
      <c r="A2457" s="211" t="s">
        <v>918</v>
      </c>
      <c r="B2457" s="240" t="s">
        <v>3251</v>
      </c>
    </row>
    <row r="2458" spans="1:2">
      <c r="A2458" s="211" t="s">
        <v>920</v>
      </c>
      <c r="B2458" s="240" t="s">
        <v>2378</v>
      </c>
    </row>
    <row r="2459" spans="1:2">
      <c r="A2459" s="211" t="s">
        <v>922</v>
      </c>
      <c r="B2459" s="240" t="s">
        <v>1730</v>
      </c>
    </row>
    <row r="2460" spans="1:2">
      <c r="A2460" s="211" t="s">
        <v>924</v>
      </c>
      <c r="B2460" s="240" t="s">
        <v>3252</v>
      </c>
    </row>
    <row r="2461" spans="1:2">
      <c r="A2461" s="211" t="s">
        <v>926</v>
      </c>
      <c r="B2461" s="240" t="s">
        <v>1610</v>
      </c>
    </row>
    <row r="2462" spans="1:2">
      <c r="A2462" s="211" t="s">
        <v>928</v>
      </c>
      <c r="B2462" s="240" t="s">
        <v>3253</v>
      </c>
    </row>
    <row r="2463" spans="1:2">
      <c r="A2463" s="211" t="s">
        <v>930</v>
      </c>
      <c r="B2463" s="240" t="s">
        <v>3254</v>
      </c>
    </row>
    <row r="2464" spans="1:2">
      <c r="A2464" s="211" t="s">
        <v>932</v>
      </c>
      <c r="B2464" s="240" t="s">
        <v>1635</v>
      </c>
    </row>
    <row r="2465" spans="1:2">
      <c r="A2465" s="211" t="s">
        <v>934</v>
      </c>
      <c r="B2465" s="240" t="s">
        <v>697</v>
      </c>
    </row>
    <row r="2466" spans="1:2">
      <c r="A2466" s="211" t="s">
        <v>936</v>
      </c>
      <c r="B2466" s="240" t="s">
        <v>699</v>
      </c>
    </row>
    <row r="2467" spans="1:2">
      <c r="A2467" s="211" t="s">
        <v>938</v>
      </c>
      <c r="B2467" s="240" t="s">
        <v>1361</v>
      </c>
    </row>
    <row r="2468" spans="1:2">
      <c r="A2468" s="211" t="s">
        <v>940</v>
      </c>
      <c r="B2468" s="240" t="s">
        <v>455</v>
      </c>
    </row>
    <row r="2469" spans="1:2">
      <c r="A2469" s="211" t="s">
        <v>942</v>
      </c>
      <c r="B2469" s="240" t="s">
        <v>3255</v>
      </c>
    </row>
    <row r="2470" spans="1:2">
      <c r="A2470" s="211" t="s">
        <v>944</v>
      </c>
      <c r="B2470" s="240" t="s">
        <v>2378</v>
      </c>
    </row>
    <row r="2471" spans="1:2">
      <c r="A2471" s="211" t="s">
        <v>946</v>
      </c>
      <c r="B2471" s="240" t="s">
        <v>1730</v>
      </c>
    </row>
    <row r="2472" spans="1:2">
      <c r="A2472" s="211" t="s">
        <v>948</v>
      </c>
      <c r="B2472" s="240" t="s">
        <v>3256</v>
      </c>
    </row>
    <row r="2473" spans="1:2">
      <c r="A2473" s="211" t="s">
        <v>950</v>
      </c>
      <c r="B2473" s="240" t="s">
        <v>1610</v>
      </c>
    </row>
    <row r="2474" spans="1:2">
      <c r="A2474" s="211" t="s">
        <v>951</v>
      </c>
      <c r="B2474" s="240" t="s">
        <v>3253</v>
      </c>
    </row>
    <row r="2475" spans="1:2">
      <c r="A2475" s="211" t="s">
        <v>953</v>
      </c>
      <c r="B2475" s="240" t="s">
        <v>3257</v>
      </c>
    </row>
    <row r="2476" spans="1:2">
      <c r="A2476" s="211" t="s">
        <v>955</v>
      </c>
      <c r="B2476" s="240" t="s">
        <v>1635</v>
      </c>
    </row>
    <row r="2477" spans="1:2">
      <c r="A2477" s="211" t="s">
        <v>957</v>
      </c>
      <c r="B2477" s="240" t="s">
        <v>697</v>
      </c>
    </row>
    <row r="2478" spans="1:2">
      <c r="A2478" s="211" t="s">
        <v>958</v>
      </c>
      <c r="B2478" s="240" t="s">
        <v>699</v>
      </c>
    </row>
    <row r="2479" spans="1:2">
      <c r="A2479" s="211" t="s">
        <v>960</v>
      </c>
      <c r="B2479" s="240" t="s">
        <v>1361</v>
      </c>
    </row>
    <row r="2480" spans="1:2">
      <c r="A2480" s="211" t="s">
        <v>962</v>
      </c>
      <c r="B2480" s="240" t="s">
        <v>455</v>
      </c>
    </row>
    <row r="2481" spans="1:2">
      <c r="A2481" s="211" t="s">
        <v>964</v>
      </c>
      <c r="B2481" s="241" t="s">
        <v>2549</v>
      </c>
    </row>
    <row r="2482" spans="1:2">
      <c r="A2482" s="211" t="s">
        <v>966</v>
      </c>
      <c r="B2482" s="241" t="s">
        <v>3258</v>
      </c>
    </row>
    <row r="2483" spans="1:2">
      <c r="A2483" s="211" t="s">
        <v>968</v>
      </c>
      <c r="B2483" s="241" t="s">
        <v>2549</v>
      </c>
    </row>
    <row r="2484" spans="1:2">
      <c r="A2484" s="211" t="s">
        <v>970</v>
      </c>
      <c r="B2484" s="240" t="s">
        <v>3259</v>
      </c>
    </row>
    <row r="2485" spans="1:2">
      <c r="A2485" s="211" t="s">
        <v>972</v>
      </c>
      <c r="B2485" s="240" t="s">
        <v>3260</v>
      </c>
    </row>
    <row r="2486" spans="1:2">
      <c r="A2486" s="211" t="s">
        <v>974</v>
      </c>
      <c r="B2486" s="240" t="s">
        <v>3261</v>
      </c>
    </row>
    <row r="2487" spans="1:2">
      <c r="A2487" s="211" t="s">
        <v>976</v>
      </c>
      <c r="B2487" s="240" t="s">
        <v>3262</v>
      </c>
    </row>
    <row r="2488" spans="1:2">
      <c r="A2488" s="211" t="s">
        <v>978</v>
      </c>
      <c r="B2488" s="240" t="s">
        <v>3263</v>
      </c>
    </row>
    <row r="2489" spans="1:2">
      <c r="A2489" s="211" t="s">
        <v>980</v>
      </c>
      <c r="B2489" s="240" t="s">
        <v>3264</v>
      </c>
    </row>
    <row r="2490" spans="1:2">
      <c r="A2490" s="211" t="s">
        <v>982</v>
      </c>
      <c r="B2490" s="240" t="s">
        <v>3265</v>
      </c>
    </row>
    <row r="2491" spans="1:2">
      <c r="A2491" s="211" t="s">
        <v>984</v>
      </c>
      <c r="B2491" s="240" t="s">
        <v>3266</v>
      </c>
    </row>
    <row r="2492" spans="1:2">
      <c r="A2492" s="211" t="s">
        <v>986</v>
      </c>
      <c r="B2492" s="240" t="s">
        <v>3045</v>
      </c>
    </row>
    <row r="2493" spans="1:2">
      <c r="A2493" s="211" t="s">
        <v>987</v>
      </c>
      <c r="B2493" s="240" t="s">
        <v>3267</v>
      </c>
    </row>
    <row r="2494" spans="1:2">
      <c r="A2494" s="211" t="s">
        <v>989</v>
      </c>
      <c r="B2494" s="240" t="s">
        <v>455</v>
      </c>
    </row>
    <row r="2495" spans="1:2">
      <c r="A2495" s="211" t="s">
        <v>991</v>
      </c>
      <c r="B2495" s="240" t="s">
        <v>794</v>
      </c>
    </row>
    <row r="2496" spans="1:2">
      <c r="A2496" s="211" t="s">
        <v>993</v>
      </c>
      <c r="B2496" s="240" t="s">
        <v>796</v>
      </c>
    </row>
    <row r="2497" spans="1:2">
      <c r="A2497" s="211" t="s">
        <v>994</v>
      </c>
      <c r="B2497" s="240" t="s">
        <v>3268</v>
      </c>
    </row>
    <row r="2498" spans="1:2">
      <c r="A2498" s="211" t="s">
        <v>996</v>
      </c>
      <c r="B2498" s="240" t="s">
        <v>1168</v>
      </c>
    </row>
    <row r="2499" spans="1:2">
      <c r="A2499" s="211" t="s">
        <v>998</v>
      </c>
      <c r="B2499" s="240" t="s">
        <v>792</v>
      </c>
    </row>
    <row r="2500" spans="1:2">
      <c r="A2500" s="211" t="s">
        <v>1000</v>
      </c>
      <c r="B2500" s="240" t="s">
        <v>3269</v>
      </c>
    </row>
    <row r="2501" spans="1:2">
      <c r="A2501" s="211" t="s">
        <v>1001</v>
      </c>
      <c r="B2501" s="240" t="s">
        <v>455</v>
      </c>
    </row>
    <row r="2502" spans="1:2">
      <c r="A2502" s="211" t="s">
        <v>1003</v>
      </c>
      <c r="B2502" s="240" t="s">
        <v>806</v>
      </c>
    </row>
    <row r="2503" spans="1:2">
      <c r="A2503" s="211" t="s">
        <v>1005</v>
      </c>
      <c r="B2503" s="240" t="s">
        <v>3270</v>
      </c>
    </row>
    <row r="2504" spans="1:2">
      <c r="A2504" s="211" t="s">
        <v>1006</v>
      </c>
      <c r="B2504" s="240" t="s">
        <v>3271</v>
      </c>
    </row>
    <row r="2505" spans="1:2">
      <c r="A2505" s="211" t="s">
        <v>1008</v>
      </c>
      <c r="B2505" s="240" t="s">
        <v>3272</v>
      </c>
    </row>
    <row r="2506" spans="1:2">
      <c r="A2506" s="211" t="s">
        <v>1010</v>
      </c>
      <c r="B2506" s="240" t="s">
        <v>911</v>
      </c>
    </row>
    <row r="2507" spans="1:2">
      <c r="A2507" s="211" t="s">
        <v>1011</v>
      </c>
      <c r="B2507" s="240" t="s">
        <v>3273</v>
      </c>
    </row>
    <row r="2508" spans="1:2">
      <c r="A2508" s="211" t="s">
        <v>1013</v>
      </c>
      <c r="B2508" s="240" t="s">
        <v>898</v>
      </c>
    </row>
    <row r="2509" spans="1:2">
      <c r="A2509" s="211" t="s">
        <v>1015</v>
      </c>
      <c r="B2509" s="240" t="s">
        <v>3274</v>
      </c>
    </row>
    <row r="2510" spans="1:2">
      <c r="A2510" s="211" t="s">
        <v>1017</v>
      </c>
      <c r="B2510" s="240" t="s">
        <v>3275</v>
      </c>
    </row>
    <row r="2511" spans="1:2">
      <c r="A2511" s="211" t="s">
        <v>1019</v>
      </c>
      <c r="B2511" s="240" t="s">
        <v>3276</v>
      </c>
    </row>
    <row r="2512" spans="1:2">
      <c r="A2512" s="211" t="s">
        <v>1021</v>
      </c>
      <c r="B2512" s="240" t="s">
        <v>3277</v>
      </c>
    </row>
    <row r="2513" spans="1:2">
      <c r="A2513" s="211" t="s">
        <v>1023</v>
      </c>
      <c r="B2513" s="240" t="s">
        <v>455</v>
      </c>
    </row>
    <row r="2514" spans="1:2">
      <c r="A2514" s="211" t="s">
        <v>1025</v>
      </c>
      <c r="B2514" s="240" t="s">
        <v>819</v>
      </c>
    </row>
    <row r="2515" spans="1:2">
      <c r="A2515" s="211" t="s">
        <v>1026</v>
      </c>
      <c r="B2515" s="240" t="s">
        <v>3278</v>
      </c>
    </row>
    <row r="2516" spans="1:2">
      <c r="A2516" s="211" t="s">
        <v>1027</v>
      </c>
      <c r="B2516" s="240" t="s">
        <v>3279</v>
      </c>
    </row>
    <row r="2517" spans="1:2">
      <c r="A2517" s="211" t="s">
        <v>1028</v>
      </c>
      <c r="B2517" s="240" t="s">
        <v>3280</v>
      </c>
    </row>
    <row r="2518" spans="1:2">
      <c r="A2518" s="211" t="s">
        <v>1029</v>
      </c>
      <c r="B2518" s="240" t="s">
        <v>4523</v>
      </c>
    </row>
    <row r="2519" spans="1:2">
      <c r="A2519" s="211" t="s">
        <v>1031</v>
      </c>
      <c r="B2519" s="240" t="s">
        <v>3281</v>
      </c>
    </row>
    <row r="2520" spans="1:2">
      <c r="A2520" s="211" t="s">
        <v>1033</v>
      </c>
      <c r="B2520" s="240" t="s">
        <v>3282</v>
      </c>
    </row>
    <row r="2521" spans="1:2">
      <c r="A2521" s="211" t="s">
        <v>1035</v>
      </c>
      <c r="B2521" s="240" t="s">
        <v>3283</v>
      </c>
    </row>
    <row r="2522" spans="1:2">
      <c r="A2522" s="211" t="s">
        <v>1037</v>
      </c>
      <c r="B2522" s="240" t="s">
        <v>992</v>
      </c>
    </row>
    <row r="2523" spans="1:2">
      <c r="A2523" s="211" t="s">
        <v>1039</v>
      </c>
      <c r="B2523" s="240" t="s">
        <v>3284</v>
      </c>
    </row>
    <row r="2524" spans="1:2">
      <c r="A2524" s="211" t="s">
        <v>1041</v>
      </c>
      <c r="B2524" s="240" t="s">
        <v>3285</v>
      </c>
    </row>
    <row r="2525" spans="1:2">
      <c r="A2525" s="211" t="s">
        <v>1043</v>
      </c>
      <c r="B2525" s="240" t="s">
        <v>3286</v>
      </c>
    </row>
    <row r="2526" spans="1:2">
      <c r="A2526" s="211" t="s">
        <v>1045</v>
      </c>
      <c r="B2526" s="240" t="s">
        <v>894</v>
      </c>
    </row>
    <row r="2527" spans="1:2">
      <c r="A2527" s="211" t="s">
        <v>1047</v>
      </c>
      <c r="B2527" s="240" t="s">
        <v>896</v>
      </c>
    </row>
    <row r="2528" spans="1:2">
      <c r="A2528" s="211" t="s">
        <v>1048</v>
      </c>
      <c r="B2528" s="240" t="s">
        <v>911</v>
      </c>
    </row>
    <row r="2529" spans="1:2">
      <c r="A2529" s="211" t="s">
        <v>1050</v>
      </c>
      <c r="B2529" s="240" t="s">
        <v>907</v>
      </c>
    </row>
    <row r="2530" spans="1:2">
      <c r="A2530" s="211" t="s">
        <v>1051</v>
      </c>
      <c r="B2530" s="240" t="s">
        <v>909</v>
      </c>
    </row>
    <row r="2531" spans="1:2">
      <c r="A2531" s="211" t="s">
        <v>1053</v>
      </c>
      <c r="B2531" s="240" t="s">
        <v>898</v>
      </c>
    </row>
    <row r="2532" spans="1:2">
      <c r="A2532" s="211" t="s">
        <v>1054</v>
      </c>
      <c r="B2532" s="240" t="s">
        <v>3287</v>
      </c>
    </row>
    <row r="2533" spans="1:2">
      <c r="A2533" s="211" t="s">
        <v>1056</v>
      </c>
      <c r="B2533" s="240" t="s">
        <v>3288</v>
      </c>
    </row>
    <row r="2534" spans="1:2">
      <c r="A2534" s="211" t="s">
        <v>1058</v>
      </c>
      <c r="B2534" s="240" t="s">
        <v>3289</v>
      </c>
    </row>
    <row r="2535" spans="1:2">
      <c r="A2535" s="211" t="s">
        <v>1060</v>
      </c>
      <c r="B2535" s="240" t="s">
        <v>3290</v>
      </c>
    </row>
    <row r="2536" spans="1:2">
      <c r="A2536" s="211" t="s">
        <v>1062</v>
      </c>
      <c r="B2536" s="240" t="s">
        <v>3291</v>
      </c>
    </row>
    <row r="2537" spans="1:2">
      <c r="A2537" s="211" t="s">
        <v>1064</v>
      </c>
      <c r="B2537" s="240" t="s">
        <v>3292</v>
      </c>
    </row>
    <row r="2538" spans="1:2">
      <c r="A2538" s="211" t="s">
        <v>1066</v>
      </c>
      <c r="B2538" s="240" t="s">
        <v>3293</v>
      </c>
    </row>
    <row r="2539" spans="1:2">
      <c r="A2539" s="211" t="s">
        <v>1068</v>
      </c>
      <c r="B2539" s="240" t="s">
        <v>3294</v>
      </c>
    </row>
    <row r="2540" spans="1:2">
      <c r="A2540" s="211" t="s">
        <v>1069</v>
      </c>
      <c r="B2540" s="240" t="s">
        <v>3295</v>
      </c>
    </row>
    <row r="2541" spans="1:2">
      <c r="A2541" s="211" t="s">
        <v>1071</v>
      </c>
      <c r="B2541" s="240" t="s">
        <v>3296</v>
      </c>
    </row>
    <row r="2542" spans="1:2">
      <c r="A2542" s="211" t="s">
        <v>1073</v>
      </c>
      <c r="B2542" s="240" t="s">
        <v>907</v>
      </c>
    </row>
    <row r="2543" spans="1:2">
      <c r="A2543" s="211" t="s">
        <v>1075</v>
      </c>
      <c r="B2543" s="240" t="s">
        <v>909</v>
      </c>
    </row>
    <row r="2544" spans="1:2">
      <c r="A2544" s="211" t="s">
        <v>1077</v>
      </c>
      <c r="B2544" s="240" t="s">
        <v>911</v>
      </c>
    </row>
    <row r="2545" spans="1:2">
      <c r="A2545" s="211" t="s">
        <v>1079</v>
      </c>
      <c r="B2545" s="240" t="s">
        <v>3273</v>
      </c>
    </row>
    <row r="2546" spans="1:2">
      <c r="A2546" s="211" t="s">
        <v>1080</v>
      </c>
      <c r="B2546" s="240" t="s">
        <v>3297</v>
      </c>
    </row>
    <row r="2547" spans="1:2">
      <c r="A2547" s="211" t="s">
        <v>1082</v>
      </c>
      <c r="B2547" s="240" t="s">
        <v>898</v>
      </c>
    </row>
    <row r="2548" spans="1:2">
      <c r="A2548" s="211" t="s">
        <v>1083</v>
      </c>
      <c r="B2548" s="240" t="s">
        <v>455</v>
      </c>
    </row>
    <row r="2549" spans="1:2">
      <c r="A2549" s="211" t="s">
        <v>1085</v>
      </c>
      <c r="B2549" s="240" t="s">
        <v>3298</v>
      </c>
    </row>
    <row r="2550" spans="1:2">
      <c r="A2550" s="211" t="s">
        <v>1087</v>
      </c>
      <c r="B2550" s="240" t="s">
        <v>3299</v>
      </c>
    </row>
    <row r="2551" spans="1:2">
      <c r="A2551" s="211" t="s">
        <v>1089</v>
      </c>
      <c r="B2551" s="240" t="s">
        <v>3300</v>
      </c>
    </row>
    <row r="2552" spans="1:2">
      <c r="A2552" s="211" t="s">
        <v>1091</v>
      </c>
      <c r="B2552" s="240" t="s">
        <v>1074</v>
      </c>
    </row>
    <row r="2553" spans="1:2">
      <c r="A2553" s="211" t="s">
        <v>1093</v>
      </c>
      <c r="B2553" s="240" t="s">
        <v>1078</v>
      </c>
    </row>
    <row r="2554" spans="1:2">
      <c r="A2554" s="211" t="s">
        <v>1095</v>
      </c>
      <c r="B2554" s="240" t="s">
        <v>898</v>
      </c>
    </row>
    <row r="2555" spans="1:2">
      <c r="A2555" s="211" t="s">
        <v>1096</v>
      </c>
      <c r="B2555" s="240" t="s">
        <v>3301</v>
      </c>
    </row>
    <row r="2556" spans="1:2">
      <c r="A2556" s="211" t="s">
        <v>1097</v>
      </c>
      <c r="B2556" s="240" t="s">
        <v>3302</v>
      </c>
    </row>
    <row r="2557" spans="1:2">
      <c r="A2557" s="211" t="s">
        <v>1098</v>
      </c>
      <c r="B2557" s="240" t="s">
        <v>3303</v>
      </c>
    </row>
    <row r="2558" spans="1:2">
      <c r="A2558" s="211" t="s">
        <v>1100</v>
      </c>
      <c r="B2558" s="240" t="s">
        <v>3304</v>
      </c>
    </row>
    <row r="2559" spans="1:2">
      <c r="A2559" s="211" t="s">
        <v>1102</v>
      </c>
      <c r="B2559" s="240" t="s">
        <v>3305</v>
      </c>
    </row>
    <row r="2560" spans="1:2">
      <c r="A2560" s="211" t="s">
        <v>1104</v>
      </c>
      <c r="B2560" s="240" t="s">
        <v>455</v>
      </c>
    </row>
    <row r="2561" spans="1:2">
      <c r="A2561" s="211" t="s">
        <v>1106</v>
      </c>
      <c r="B2561" s="240" t="s">
        <v>3306</v>
      </c>
    </row>
    <row r="2562" spans="1:2">
      <c r="A2562" s="211" t="s">
        <v>1107</v>
      </c>
      <c r="B2562" s="240" t="s">
        <v>1181</v>
      </c>
    </row>
    <row r="2563" spans="1:2">
      <c r="A2563" s="211" t="s">
        <v>1109</v>
      </c>
      <c r="B2563" s="240" t="s">
        <v>3307</v>
      </c>
    </row>
    <row r="2564" spans="1:2">
      <c r="A2564" s="211" t="s">
        <v>1111</v>
      </c>
      <c r="B2564" s="240" t="s">
        <v>3308</v>
      </c>
    </row>
    <row r="2565" spans="1:2">
      <c r="A2565" s="211" t="s">
        <v>1113</v>
      </c>
      <c r="B2565" s="240" t="s">
        <v>1204</v>
      </c>
    </row>
    <row r="2566" spans="1:2">
      <c r="A2566" s="211" t="s">
        <v>1115</v>
      </c>
      <c r="B2566" s="240" t="s">
        <v>3309</v>
      </c>
    </row>
    <row r="2567" spans="1:2">
      <c r="A2567" s="211" t="s">
        <v>1117</v>
      </c>
      <c r="B2567" s="240" t="s">
        <v>3310</v>
      </c>
    </row>
    <row r="2568" spans="1:2">
      <c r="A2568" s="211" t="s">
        <v>1119</v>
      </c>
      <c r="B2568" s="240" t="s">
        <v>3311</v>
      </c>
    </row>
    <row r="2569" spans="1:2">
      <c r="A2569" s="211" t="s">
        <v>1121</v>
      </c>
      <c r="B2569" s="240" t="s">
        <v>3312</v>
      </c>
    </row>
    <row r="2570" spans="1:2">
      <c r="A2570" s="211" t="s">
        <v>1122</v>
      </c>
      <c r="B2570" s="240" t="s">
        <v>3313</v>
      </c>
    </row>
    <row r="2571" spans="1:2">
      <c r="A2571" s="211" t="s">
        <v>1124</v>
      </c>
      <c r="B2571" s="240" t="s">
        <v>3314</v>
      </c>
    </row>
    <row r="2572" spans="1:2">
      <c r="A2572" s="211" t="s">
        <v>1126</v>
      </c>
      <c r="B2572" s="240" t="s">
        <v>898</v>
      </c>
    </row>
    <row r="2573" spans="1:2">
      <c r="A2573" s="211" t="s">
        <v>1128</v>
      </c>
      <c r="B2573" s="240" t="s">
        <v>3315</v>
      </c>
    </row>
    <row r="2574" spans="1:2">
      <c r="A2574" s="211" t="s">
        <v>1130</v>
      </c>
      <c r="B2574" s="240" t="s">
        <v>3312</v>
      </c>
    </row>
    <row r="2575" spans="1:2">
      <c r="A2575" s="211" t="s">
        <v>1132</v>
      </c>
      <c r="B2575" s="240" t="s">
        <v>3316</v>
      </c>
    </row>
    <row r="2576" spans="1:2">
      <c r="A2576" s="211" t="s">
        <v>1134</v>
      </c>
      <c r="B2576" s="240" t="s">
        <v>898</v>
      </c>
    </row>
    <row r="2577" spans="1:2">
      <c r="A2577" s="211" t="s">
        <v>1136</v>
      </c>
      <c r="B2577" s="240" t="s">
        <v>3317</v>
      </c>
    </row>
    <row r="2578" spans="1:2">
      <c r="A2578" s="211" t="s">
        <v>1138</v>
      </c>
      <c r="B2578" s="240" t="s">
        <v>3312</v>
      </c>
    </row>
    <row r="2579" spans="1:2">
      <c r="A2579" s="211" t="s">
        <v>1140</v>
      </c>
      <c r="B2579" s="240" t="s">
        <v>3318</v>
      </c>
    </row>
    <row r="2580" spans="1:2">
      <c r="A2580" s="211" t="s">
        <v>1141</v>
      </c>
      <c r="B2580" s="240" t="s">
        <v>898</v>
      </c>
    </row>
    <row r="2581" spans="1:2">
      <c r="A2581" s="211" t="s">
        <v>1142</v>
      </c>
      <c r="B2581" s="240" t="s">
        <v>3319</v>
      </c>
    </row>
    <row r="2582" spans="1:2">
      <c r="A2582" s="211" t="s">
        <v>1144</v>
      </c>
      <c r="B2582" s="240" t="s">
        <v>3320</v>
      </c>
    </row>
    <row r="2583" spans="1:2">
      <c r="A2583" s="211" t="s">
        <v>1145</v>
      </c>
      <c r="B2583" s="240" t="s">
        <v>3312</v>
      </c>
    </row>
    <row r="2584" spans="1:2">
      <c r="A2584" s="211" t="s">
        <v>1146</v>
      </c>
      <c r="B2584" s="240" t="s">
        <v>3321</v>
      </c>
    </row>
    <row r="2585" spans="1:2">
      <c r="A2585" s="211" t="s">
        <v>1148</v>
      </c>
      <c r="B2585" s="240" t="s">
        <v>3322</v>
      </c>
    </row>
    <row r="2586" spans="1:2">
      <c r="A2586" s="211" t="s">
        <v>1149</v>
      </c>
      <c r="B2586" s="240" t="s">
        <v>898</v>
      </c>
    </row>
    <row r="2587" spans="1:2">
      <c r="A2587" s="211" t="s">
        <v>1151</v>
      </c>
      <c r="B2587" s="240" t="s">
        <v>455</v>
      </c>
    </row>
    <row r="2588" spans="1:2">
      <c r="A2588" s="211" t="s">
        <v>1153</v>
      </c>
      <c r="B2588" s="240" t="s">
        <v>3323</v>
      </c>
    </row>
    <row r="2589" spans="1:2">
      <c r="A2589" s="211" t="s">
        <v>1155</v>
      </c>
      <c r="B2589" s="240" t="s">
        <v>455</v>
      </c>
    </row>
    <row r="2590" spans="1:2">
      <c r="A2590" s="211" t="s">
        <v>1157</v>
      </c>
      <c r="B2590" s="240" t="s">
        <v>3324</v>
      </c>
    </row>
    <row r="2591" spans="1:2">
      <c r="A2591" s="211" t="s">
        <v>1159</v>
      </c>
      <c r="B2591" s="240" t="s">
        <v>3325</v>
      </c>
    </row>
    <row r="2592" spans="1:2">
      <c r="A2592" s="211" t="s">
        <v>1161</v>
      </c>
      <c r="B2592" s="240" t="s">
        <v>3326</v>
      </c>
    </row>
    <row r="2593" spans="1:2">
      <c r="A2593" s="211" t="s">
        <v>1163</v>
      </c>
      <c r="B2593" s="240" t="s">
        <v>3327</v>
      </c>
    </row>
    <row r="2594" spans="1:2">
      <c r="A2594" s="211" t="s">
        <v>1165</v>
      </c>
      <c r="B2594" s="240" t="s">
        <v>3328</v>
      </c>
    </row>
    <row r="2595" spans="1:2">
      <c r="A2595" s="211" t="s">
        <v>1167</v>
      </c>
      <c r="B2595" s="240" t="s">
        <v>3329</v>
      </c>
    </row>
    <row r="2596" spans="1:2">
      <c r="A2596" s="211" t="s">
        <v>1169</v>
      </c>
      <c r="B2596" s="240" t="s">
        <v>2153</v>
      </c>
    </row>
    <row r="2597" spans="1:2">
      <c r="A2597" s="211" t="s">
        <v>1171</v>
      </c>
      <c r="B2597" s="240" t="s">
        <v>3330</v>
      </c>
    </row>
    <row r="2598" spans="1:2">
      <c r="A2598" s="211" t="s">
        <v>1173</v>
      </c>
      <c r="B2598" s="240" t="s">
        <v>3331</v>
      </c>
    </row>
    <row r="2599" spans="1:2">
      <c r="A2599" s="211" t="s">
        <v>1175</v>
      </c>
      <c r="B2599" s="240" t="s">
        <v>3332</v>
      </c>
    </row>
    <row r="2600" spans="1:2">
      <c r="A2600" s="211" t="s">
        <v>1177</v>
      </c>
      <c r="B2600" s="240" t="s">
        <v>2153</v>
      </c>
    </row>
    <row r="2601" spans="1:2">
      <c r="A2601" s="211" t="s">
        <v>1178</v>
      </c>
      <c r="B2601" s="240" t="s">
        <v>3333</v>
      </c>
    </row>
    <row r="2602" spans="1:2">
      <c r="A2602" s="211" t="s">
        <v>1180</v>
      </c>
      <c r="B2602" s="240" t="s">
        <v>2688</v>
      </c>
    </row>
    <row r="2603" spans="1:2">
      <c r="A2603" s="211" t="s">
        <v>1182</v>
      </c>
      <c r="B2603" s="240" t="s">
        <v>3334</v>
      </c>
    </row>
    <row r="2604" spans="1:2">
      <c r="A2604" s="211" t="s">
        <v>1184</v>
      </c>
      <c r="B2604" s="240" t="s">
        <v>3335</v>
      </c>
    </row>
    <row r="2605" spans="1:2">
      <c r="A2605" s="211" t="s">
        <v>1186</v>
      </c>
      <c r="B2605" s="240" t="s">
        <v>2691</v>
      </c>
    </row>
    <row r="2606" spans="1:2">
      <c r="A2606" s="211" t="s">
        <v>1188</v>
      </c>
      <c r="B2606" s="240" t="s">
        <v>3336</v>
      </c>
    </row>
    <row r="2607" spans="1:2">
      <c r="A2607" s="211" t="s">
        <v>1190</v>
      </c>
      <c r="B2607" s="240" t="s">
        <v>898</v>
      </c>
    </row>
    <row r="2608" spans="1:2">
      <c r="A2608" s="211" t="s">
        <v>1192</v>
      </c>
      <c r="B2608" s="240" t="s">
        <v>3337</v>
      </c>
    </row>
    <row r="2609" spans="1:2">
      <c r="A2609" s="211" t="s">
        <v>1194</v>
      </c>
      <c r="B2609" s="240" t="s">
        <v>2688</v>
      </c>
    </row>
    <row r="2610" spans="1:2">
      <c r="A2610" s="211" t="s">
        <v>1196</v>
      </c>
      <c r="B2610" s="240" t="s">
        <v>3338</v>
      </c>
    </row>
    <row r="2611" spans="1:2">
      <c r="A2611" s="211" t="s">
        <v>1198</v>
      </c>
      <c r="B2611" s="240" t="s">
        <v>3339</v>
      </c>
    </row>
    <row r="2612" spans="1:2">
      <c r="A2612" s="211" t="s">
        <v>1200</v>
      </c>
      <c r="B2612" s="240" t="s">
        <v>898</v>
      </c>
    </row>
    <row r="2613" spans="1:2">
      <c r="A2613" s="211" t="s">
        <v>1201</v>
      </c>
      <c r="B2613" s="240" t="s">
        <v>3340</v>
      </c>
    </row>
    <row r="2614" spans="1:2">
      <c r="A2614" s="211" t="s">
        <v>1203</v>
      </c>
      <c r="B2614" s="240" t="s">
        <v>2688</v>
      </c>
    </row>
    <row r="2615" spans="1:2">
      <c r="A2615" s="211" t="s">
        <v>1205</v>
      </c>
      <c r="B2615" s="240" t="s">
        <v>3341</v>
      </c>
    </row>
    <row r="2616" spans="1:2">
      <c r="A2616" s="211" t="s">
        <v>1206</v>
      </c>
      <c r="B2616" s="240" t="s">
        <v>2691</v>
      </c>
    </row>
    <row r="2617" spans="1:2">
      <c r="A2617" s="211" t="s">
        <v>1208</v>
      </c>
      <c r="B2617" s="240" t="s">
        <v>898</v>
      </c>
    </row>
    <row r="2618" spans="1:2">
      <c r="A2618" s="211" t="s">
        <v>1210</v>
      </c>
      <c r="B2618" s="240" t="s">
        <v>455</v>
      </c>
    </row>
    <row r="2619" spans="1:2">
      <c r="A2619" s="211" t="s">
        <v>1212</v>
      </c>
      <c r="B2619" s="240" t="s">
        <v>3342</v>
      </c>
    </row>
    <row r="2620" spans="1:2">
      <c r="A2620" s="211" t="s">
        <v>1213</v>
      </c>
      <c r="B2620" s="240" t="s">
        <v>3343</v>
      </c>
    </row>
    <row r="2621" spans="1:2">
      <c r="A2621" s="211" t="s">
        <v>1215</v>
      </c>
      <c r="B2621" s="240" t="s">
        <v>3344</v>
      </c>
    </row>
    <row r="2622" spans="1:2">
      <c r="A2622" s="211" t="s">
        <v>1217</v>
      </c>
      <c r="B2622" s="240" t="s">
        <v>3345</v>
      </c>
    </row>
    <row r="2623" spans="1:2">
      <c r="A2623" s="211" t="s">
        <v>1219</v>
      </c>
      <c r="B2623" s="240" t="s">
        <v>3346</v>
      </c>
    </row>
    <row r="2624" spans="1:2">
      <c r="A2624" s="211" t="s">
        <v>1221</v>
      </c>
      <c r="B2624" s="240" t="s">
        <v>3347</v>
      </c>
    </row>
    <row r="2625" spans="1:2">
      <c r="A2625" s="211" t="s">
        <v>1223</v>
      </c>
      <c r="B2625" s="240" t="s">
        <v>3348</v>
      </c>
    </row>
    <row r="2626" spans="1:2">
      <c r="A2626" s="211" t="s">
        <v>1225</v>
      </c>
      <c r="B2626" s="240" t="s">
        <v>3349</v>
      </c>
    </row>
    <row r="2627" spans="1:2">
      <c r="A2627" s="211" t="s">
        <v>1227</v>
      </c>
      <c r="B2627" s="240" t="s">
        <v>455</v>
      </c>
    </row>
    <row r="2628" spans="1:2">
      <c r="A2628" s="211" t="s">
        <v>1228</v>
      </c>
      <c r="B2628" s="240" t="s">
        <v>3350</v>
      </c>
    </row>
    <row r="2629" spans="1:2">
      <c r="A2629" s="211" t="s">
        <v>1229</v>
      </c>
      <c r="B2629" s="240" t="s">
        <v>3351</v>
      </c>
    </row>
    <row r="2630" spans="1:2">
      <c r="A2630" s="211" t="s">
        <v>1230</v>
      </c>
      <c r="B2630" s="240" t="s">
        <v>455</v>
      </c>
    </row>
    <row r="2631" spans="1:2">
      <c r="A2631" s="211" t="s">
        <v>1231</v>
      </c>
      <c r="B2631" s="240" t="s">
        <v>1168</v>
      </c>
    </row>
    <row r="2632" spans="1:2">
      <c r="A2632" s="211" t="s">
        <v>1233</v>
      </c>
      <c r="B2632" s="240" t="s">
        <v>1170</v>
      </c>
    </row>
    <row r="2633" spans="1:2">
      <c r="A2633" s="211" t="s">
        <v>1234</v>
      </c>
      <c r="B2633" s="240" t="s">
        <v>3352</v>
      </c>
    </row>
    <row r="2634" spans="1:2">
      <c r="A2634" s="211" t="s">
        <v>1236</v>
      </c>
      <c r="B2634" s="240" t="s">
        <v>1174</v>
      </c>
    </row>
    <row r="2635" spans="1:2">
      <c r="A2635" s="211" t="s">
        <v>1238</v>
      </c>
      <c r="B2635" s="240" t="s">
        <v>3353</v>
      </c>
    </row>
    <row r="2636" spans="1:2">
      <c r="A2636" s="211" t="s">
        <v>1240</v>
      </c>
      <c r="B2636" s="240" t="s">
        <v>475</v>
      </c>
    </row>
    <row r="2637" spans="1:2">
      <c r="A2637" s="211" t="s">
        <v>1242</v>
      </c>
      <c r="B2637" s="240" t="s">
        <v>455</v>
      </c>
    </row>
    <row r="2638" spans="1:2">
      <c r="A2638" s="211" t="s">
        <v>1244</v>
      </c>
      <c r="B2638" s="240" t="s">
        <v>3354</v>
      </c>
    </row>
    <row r="2639" spans="1:2">
      <c r="A2639" s="211" t="s">
        <v>1245</v>
      </c>
      <c r="B2639" s="240" t="s">
        <v>3355</v>
      </c>
    </row>
    <row r="2640" spans="1:2">
      <c r="A2640" s="211" t="s">
        <v>1247</v>
      </c>
      <c r="B2640" s="240" t="s">
        <v>3356</v>
      </c>
    </row>
    <row r="2641" spans="1:2">
      <c r="A2641" s="211" t="s">
        <v>1249</v>
      </c>
      <c r="B2641" s="240" t="s">
        <v>3357</v>
      </c>
    </row>
    <row r="2642" spans="1:2">
      <c r="A2642" s="211" t="s">
        <v>1251</v>
      </c>
      <c r="B2642" s="240" t="s">
        <v>3358</v>
      </c>
    </row>
    <row r="2643" spans="1:2">
      <c r="A2643" s="211" t="s">
        <v>1253</v>
      </c>
      <c r="B2643" s="240" t="s">
        <v>3359</v>
      </c>
    </row>
    <row r="2644" spans="1:2">
      <c r="A2644" s="211" t="s">
        <v>1255</v>
      </c>
      <c r="B2644" s="240" t="s">
        <v>3360</v>
      </c>
    </row>
    <row r="2645" spans="1:2">
      <c r="A2645" s="211" t="s">
        <v>1257</v>
      </c>
      <c r="B2645" s="240" t="s">
        <v>3361</v>
      </c>
    </row>
    <row r="2646" spans="1:2">
      <c r="A2646" s="211" t="s">
        <v>1259</v>
      </c>
      <c r="B2646" s="240" t="s">
        <v>3362</v>
      </c>
    </row>
    <row r="2647" spans="1:2">
      <c r="A2647" s="211" t="s">
        <v>1260</v>
      </c>
      <c r="B2647" s="240" t="s">
        <v>3363</v>
      </c>
    </row>
    <row r="2648" spans="1:2">
      <c r="A2648" s="211" t="s">
        <v>1262</v>
      </c>
      <c r="B2648" s="240" t="s">
        <v>3364</v>
      </c>
    </row>
    <row r="2649" spans="1:2">
      <c r="A2649" s="211" t="s">
        <v>1264</v>
      </c>
      <c r="B2649" s="240" t="s">
        <v>3365</v>
      </c>
    </row>
    <row r="2650" spans="1:2">
      <c r="A2650" s="211" t="s">
        <v>1266</v>
      </c>
      <c r="B2650" s="240" t="s">
        <v>3366</v>
      </c>
    </row>
    <row r="2651" spans="1:2">
      <c r="A2651" s="211" t="s">
        <v>1268</v>
      </c>
      <c r="B2651" s="240" t="s">
        <v>3367</v>
      </c>
    </row>
    <row r="2652" spans="1:2">
      <c r="A2652" s="211" t="s">
        <v>1270</v>
      </c>
      <c r="B2652" s="240" t="s">
        <v>2038</v>
      </c>
    </row>
    <row r="2653" spans="1:2">
      <c r="A2653" s="211" t="s">
        <v>1272</v>
      </c>
      <c r="B2653" s="240" t="s">
        <v>3368</v>
      </c>
    </row>
    <row r="2654" spans="1:2">
      <c r="A2654" s="211" t="s">
        <v>1274</v>
      </c>
      <c r="B2654" s="240" t="s">
        <v>898</v>
      </c>
    </row>
    <row r="2655" spans="1:2">
      <c r="A2655" s="211" t="s">
        <v>1276</v>
      </c>
      <c r="B2655" s="240" t="s">
        <v>3369</v>
      </c>
    </row>
    <row r="2656" spans="1:2">
      <c r="A2656" s="211" t="s">
        <v>1278</v>
      </c>
      <c r="B2656" s="240" t="s">
        <v>3370</v>
      </c>
    </row>
    <row r="2657" spans="1:2">
      <c r="A2657" s="211" t="s">
        <v>1280</v>
      </c>
      <c r="B2657" s="240" t="s">
        <v>475</v>
      </c>
    </row>
    <row r="2658" spans="1:2">
      <c r="A2658" s="211" t="s">
        <v>1282</v>
      </c>
      <c r="B2658" s="240" t="s">
        <v>455</v>
      </c>
    </row>
    <row r="2659" spans="1:2">
      <c r="A2659" s="211" t="s">
        <v>1283</v>
      </c>
      <c r="B2659" s="241" t="s">
        <v>3371</v>
      </c>
    </row>
    <row r="2660" spans="1:2">
      <c r="A2660" s="211" t="s">
        <v>1285</v>
      </c>
      <c r="B2660" s="240" t="s">
        <v>3372</v>
      </c>
    </row>
    <row r="2661" spans="1:2">
      <c r="A2661" s="211" t="s">
        <v>1287</v>
      </c>
      <c r="B2661" s="240" t="s">
        <v>3373</v>
      </c>
    </row>
    <row r="2662" spans="1:2">
      <c r="A2662" s="211" t="s">
        <v>1289</v>
      </c>
      <c r="B2662" s="240" t="s">
        <v>3128</v>
      </c>
    </row>
    <row r="2663" spans="1:2">
      <c r="A2663" s="211" t="s">
        <v>1291</v>
      </c>
      <c r="B2663" s="240" t="s">
        <v>3131</v>
      </c>
    </row>
    <row r="2664" spans="1:2">
      <c r="A2664" s="211" t="s">
        <v>1293</v>
      </c>
      <c r="B2664" s="240" t="s">
        <v>3374</v>
      </c>
    </row>
    <row r="2665" spans="1:2">
      <c r="A2665" s="211" t="s">
        <v>1295</v>
      </c>
      <c r="B2665" s="240" t="s">
        <v>741</v>
      </c>
    </row>
    <row r="2666" spans="1:2">
      <c r="A2666" s="211" t="s">
        <v>1296</v>
      </c>
      <c r="B2666" s="240" t="s">
        <v>3375</v>
      </c>
    </row>
    <row r="2667" spans="1:2">
      <c r="A2667" s="211" t="s">
        <v>1298</v>
      </c>
      <c r="B2667" s="240" t="s">
        <v>3376</v>
      </c>
    </row>
    <row r="2668" spans="1:2">
      <c r="A2668" s="211" t="s">
        <v>1300</v>
      </c>
      <c r="B2668" s="240" t="s">
        <v>3377</v>
      </c>
    </row>
    <row r="2669" spans="1:2">
      <c r="A2669" s="211" t="s">
        <v>1302</v>
      </c>
      <c r="B2669" s="240" t="s">
        <v>3378</v>
      </c>
    </row>
    <row r="2670" spans="1:2">
      <c r="A2670" s="211" t="s">
        <v>1304</v>
      </c>
      <c r="B2670" s="240" t="s">
        <v>3379</v>
      </c>
    </row>
    <row r="2671" spans="1:2">
      <c r="A2671" s="211" t="s">
        <v>1306</v>
      </c>
      <c r="B2671" s="240" t="s">
        <v>3380</v>
      </c>
    </row>
    <row r="2672" spans="1:2">
      <c r="A2672" s="211" t="s">
        <v>1307</v>
      </c>
      <c r="B2672" s="240" t="s">
        <v>3381</v>
      </c>
    </row>
    <row r="2673" spans="1:2">
      <c r="A2673" s="211" t="s">
        <v>1308</v>
      </c>
      <c r="B2673" s="240" t="s">
        <v>898</v>
      </c>
    </row>
    <row r="2674" spans="1:2">
      <c r="A2674" s="211" t="s">
        <v>1309</v>
      </c>
      <c r="B2674" s="240" t="s">
        <v>3262</v>
      </c>
    </row>
    <row r="2675" spans="1:2">
      <c r="A2675" s="211" t="s">
        <v>1310</v>
      </c>
      <c r="B2675" s="240" t="s">
        <v>3382</v>
      </c>
    </row>
    <row r="2676" spans="1:2">
      <c r="A2676" s="211" t="s">
        <v>1312</v>
      </c>
      <c r="B2676" s="240" t="s">
        <v>3383</v>
      </c>
    </row>
    <row r="2677" spans="1:2">
      <c r="A2677" s="211" t="s">
        <v>1314</v>
      </c>
      <c r="B2677" s="240" t="s">
        <v>473</v>
      </c>
    </row>
    <row r="2678" spans="1:2">
      <c r="A2678" s="211" t="s">
        <v>1316</v>
      </c>
      <c r="B2678" s="240" t="s">
        <v>1214</v>
      </c>
    </row>
    <row r="2679" spans="1:2">
      <c r="A2679" s="211" t="s">
        <v>1317</v>
      </c>
      <c r="B2679" s="240" t="s">
        <v>475</v>
      </c>
    </row>
    <row r="2680" spans="1:2">
      <c r="A2680" s="211" t="s">
        <v>1319</v>
      </c>
      <c r="B2680" s="240" t="s">
        <v>455</v>
      </c>
    </row>
    <row r="2681" spans="1:2">
      <c r="A2681" s="211" t="s">
        <v>1321</v>
      </c>
      <c r="B2681" s="241" t="s">
        <v>2549</v>
      </c>
    </row>
    <row r="2682" spans="1:2">
      <c r="A2682" s="211" t="s">
        <v>1323</v>
      </c>
      <c r="B2682" s="241" t="s">
        <v>3384</v>
      </c>
    </row>
    <row r="2683" spans="1:2">
      <c r="A2683" s="211" t="s">
        <v>1324</v>
      </c>
      <c r="B2683" s="241" t="s">
        <v>2549</v>
      </c>
    </row>
    <row r="2684" spans="1:2">
      <c r="A2684" s="211" t="s">
        <v>1326</v>
      </c>
      <c r="B2684" s="240" t="s">
        <v>3385</v>
      </c>
    </row>
    <row r="2685" spans="1:2">
      <c r="A2685" s="211" t="s">
        <v>1328</v>
      </c>
      <c r="B2685" s="240" t="s">
        <v>3386</v>
      </c>
    </row>
    <row r="2686" spans="1:2">
      <c r="A2686" s="211" t="s">
        <v>1330</v>
      </c>
      <c r="B2686" s="240" t="s">
        <v>1730</v>
      </c>
    </row>
    <row r="2687" spans="1:2">
      <c r="A2687" s="211" t="s">
        <v>1332</v>
      </c>
      <c r="B2687" s="240" t="s">
        <v>1610</v>
      </c>
    </row>
    <row r="2688" spans="1:2">
      <c r="A2688" s="211" t="s">
        <v>1333</v>
      </c>
      <c r="B2688" s="240" t="s">
        <v>3387</v>
      </c>
    </row>
    <row r="2689" spans="1:2">
      <c r="A2689" s="211" t="s">
        <v>1334</v>
      </c>
      <c r="B2689" s="240" t="s">
        <v>3388</v>
      </c>
    </row>
    <row r="2690" spans="1:2">
      <c r="A2690" s="211" t="s">
        <v>1335</v>
      </c>
      <c r="B2690" s="240" t="s">
        <v>699</v>
      </c>
    </row>
    <row r="2691" spans="1:2">
      <c r="A2691" s="211" t="s">
        <v>1336</v>
      </c>
      <c r="B2691" s="240" t="s">
        <v>3389</v>
      </c>
    </row>
    <row r="2692" spans="1:2">
      <c r="A2692" s="211" t="s">
        <v>1337</v>
      </c>
      <c r="B2692" s="240" t="s">
        <v>3312</v>
      </c>
    </row>
    <row r="2693" spans="1:2">
      <c r="A2693" s="211" t="s">
        <v>1339</v>
      </c>
      <c r="B2693" s="240" t="s">
        <v>3390</v>
      </c>
    </row>
    <row r="2694" spans="1:2">
      <c r="A2694" s="211" t="s">
        <v>1341</v>
      </c>
      <c r="B2694" s="240" t="s">
        <v>898</v>
      </c>
    </row>
    <row r="2695" spans="1:2">
      <c r="A2695" s="211" t="s">
        <v>1343</v>
      </c>
      <c r="B2695" s="240" t="s">
        <v>3391</v>
      </c>
    </row>
    <row r="2696" spans="1:2">
      <c r="A2696" s="211" t="s">
        <v>1345</v>
      </c>
      <c r="B2696" s="240" t="s">
        <v>3392</v>
      </c>
    </row>
    <row r="2697" spans="1:2">
      <c r="A2697" s="211" t="s">
        <v>1347</v>
      </c>
      <c r="B2697" s="240" t="s">
        <v>3393</v>
      </c>
    </row>
    <row r="2698" spans="1:2">
      <c r="A2698" s="211" t="s">
        <v>1348</v>
      </c>
      <c r="B2698" s="240" t="s">
        <v>3394</v>
      </c>
    </row>
    <row r="2699" spans="1:2">
      <c r="A2699" s="211" t="s">
        <v>1349</v>
      </c>
      <c r="B2699" s="240" t="s">
        <v>3395</v>
      </c>
    </row>
    <row r="2700" spans="1:2">
      <c r="A2700" s="211" t="s">
        <v>1351</v>
      </c>
      <c r="B2700" s="240" t="s">
        <v>3396</v>
      </c>
    </row>
    <row r="2701" spans="1:2">
      <c r="A2701" s="211" t="s">
        <v>1353</v>
      </c>
      <c r="B2701" s="240" t="s">
        <v>3397</v>
      </c>
    </row>
    <row r="2702" spans="1:2">
      <c r="A2702" s="211" t="s">
        <v>1354</v>
      </c>
      <c r="B2702" s="240" t="s">
        <v>3398</v>
      </c>
    </row>
    <row r="2703" spans="1:2">
      <c r="A2703" s="211" t="s">
        <v>1356</v>
      </c>
      <c r="B2703" s="240" t="s">
        <v>3399</v>
      </c>
    </row>
    <row r="2704" spans="1:2">
      <c r="A2704" s="211" t="s">
        <v>1358</v>
      </c>
      <c r="B2704" s="240" t="s">
        <v>473</v>
      </c>
    </row>
    <row r="2705" spans="1:2">
      <c r="A2705" s="211" t="s">
        <v>1360</v>
      </c>
      <c r="B2705" s="240" t="s">
        <v>475</v>
      </c>
    </row>
    <row r="2706" spans="1:2">
      <c r="A2706" s="211" t="s">
        <v>1362</v>
      </c>
      <c r="B2706" s="240" t="s">
        <v>455</v>
      </c>
    </row>
    <row r="2707" spans="1:2">
      <c r="A2707" s="211" t="s">
        <v>1363</v>
      </c>
      <c r="B2707" s="240" t="s">
        <v>3400</v>
      </c>
    </row>
    <row r="2708" spans="1:2">
      <c r="A2708" s="211" t="s">
        <v>1365</v>
      </c>
      <c r="B2708" s="240" t="s">
        <v>3401</v>
      </c>
    </row>
    <row r="2709" spans="1:2">
      <c r="A2709" s="211" t="s">
        <v>1367</v>
      </c>
      <c r="B2709" s="240" t="s">
        <v>1730</v>
      </c>
    </row>
    <row r="2710" spans="1:2">
      <c r="A2710" s="211" t="s">
        <v>1369</v>
      </c>
      <c r="B2710" s="240" t="s">
        <v>2383</v>
      </c>
    </row>
    <row r="2711" spans="1:2">
      <c r="A2711" s="211" t="s">
        <v>1371</v>
      </c>
      <c r="B2711" s="240" t="s">
        <v>3402</v>
      </c>
    </row>
    <row r="2712" spans="1:2">
      <c r="A2712" s="211" t="s">
        <v>1373</v>
      </c>
      <c r="B2712" s="240" t="s">
        <v>699</v>
      </c>
    </row>
    <row r="2713" spans="1:2">
      <c r="A2713" s="211" t="s">
        <v>1374</v>
      </c>
      <c r="B2713" s="240" t="s">
        <v>3403</v>
      </c>
    </row>
    <row r="2714" spans="1:2">
      <c r="A2714" s="211" t="s">
        <v>1375</v>
      </c>
      <c r="B2714" s="240" t="s">
        <v>3404</v>
      </c>
    </row>
    <row r="2715" spans="1:2">
      <c r="A2715" s="211" t="s">
        <v>1377</v>
      </c>
      <c r="B2715" s="240" t="s">
        <v>3405</v>
      </c>
    </row>
    <row r="2716" spans="1:2">
      <c r="A2716" s="211" t="s">
        <v>1379</v>
      </c>
      <c r="B2716" s="240" t="s">
        <v>3406</v>
      </c>
    </row>
    <row r="2717" spans="1:2">
      <c r="A2717" s="211" t="s">
        <v>1381</v>
      </c>
      <c r="B2717" s="240" t="s">
        <v>3407</v>
      </c>
    </row>
    <row r="2718" spans="1:2">
      <c r="A2718" s="211" t="s">
        <v>1383</v>
      </c>
      <c r="B2718" s="240" t="s">
        <v>3408</v>
      </c>
    </row>
    <row r="2719" spans="1:2">
      <c r="A2719" s="211" t="s">
        <v>1385</v>
      </c>
      <c r="B2719" s="240" t="s">
        <v>3409</v>
      </c>
    </row>
    <row r="2720" spans="1:2">
      <c r="A2720" s="211" t="s">
        <v>1387</v>
      </c>
      <c r="B2720" s="240" t="s">
        <v>3410</v>
      </c>
    </row>
    <row r="2721" spans="1:2">
      <c r="A2721" s="211" t="s">
        <v>1389</v>
      </c>
      <c r="B2721" s="240" t="s">
        <v>3411</v>
      </c>
    </row>
    <row r="2722" spans="1:2">
      <c r="A2722" s="211" t="s">
        <v>1391</v>
      </c>
      <c r="B2722" s="240" t="s">
        <v>3412</v>
      </c>
    </row>
    <row r="2723" spans="1:2">
      <c r="A2723" s="211" t="s">
        <v>1393</v>
      </c>
      <c r="B2723" s="240" t="s">
        <v>1137</v>
      </c>
    </row>
    <row r="2724" spans="1:2">
      <c r="A2724" s="211" t="s">
        <v>1395</v>
      </c>
      <c r="B2724" s="240" t="s">
        <v>1139</v>
      </c>
    </row>
    <row r="2725" spans="1:2">
      <c r="A2725" s="211" t="s">
        <v>1397</v>
      </c>
      <c r="B2725" s="240" t="s">
        <v>898</v>
      </c>
    </row>
    <row r="2726" spans="1:2">
      <c r="A2726" s="211" t="s">
        <v>1399</v>
      </c>
      <c r="B2726" s="240" t="s">
        <v>3413</v>
      </c>
    </row>
    <row r="2727" spans="1:2">
      <c r="A2727" s="211" t="s">
        <v>1401</v>
      </c>
      <c r="B2727" s="240" t="s">
        <v>3414</v>
      </c>
    </row>
    <row r="2728" spans="1:2">
      <c r="A2728" s="211" t="s">
        <v>1403</v>
      </c>
      <c r="B2728" s="240" t="s">
        <v>907</v>
      </c>
    </row>
    <row r="2729" spans="1:2">
      <c r="A2729" s="211" t="s">
        <v>1405</v>
      </c>
      <c r="B2729" s="240" t="s">
        <v>3415</v>
      </c>
    </row>
    <row r="2730" spans="1:2">
      <c r="A2730" s="211" t="s">
        <v>1407</v>
      </c>
      <c r="B2730" s="240" t="s">
        <v>3416</v>
      </c>
    </row>
    <row r="2731" spans="1:2">
      <c r="A2731" s="211" t="s">
        <v>1408</v>
      </c>
      <c r="B2731" s="240" t="s">
        <v>3417</v>
      </c>
    </row>
    <row r="2732" spans="1:2">
      <c r="A2732" s="211" t="s">
        <v>1409</v>
      </c>
      <c r="B2732" s="240" t="s">
        <v>898</v>
      </c>
    </row>
    <row r="2733" spans="1:2">
      <c r="A2733" s="211" t="s">
        <v>1410</v>
      </c>
      <c r="B2733" s="240" t="s">
        <v>3418</v>
      </c>
    </row>
    <row r="2734" spans="1:2">
      <c r="A2734" s="211" t="s">
        <v>1412</v>
      </c>
      <c r="B2734" s="240" t="s">
        <v>3419</v>
      </c>
    </row>
    <row r="2735" spans="1:2">
      <c r="A2735" s="211" t="s">
        <v>1413</v>
      </c>
      <c r="B2735" s="240" t="s">
        <v>3420</v>
      </c>
    </row>
    <row r="2736" spans="1:2">
      <c r="A2736" s="211" t="s">
        <v>1414</v>
      </c>
      <c r="B2736" s="240" t="s">
        <v>475</v>
      </c>
    </row>
    <row r="2737" spans="1:2">
      <c r="A2737" s="211" t="s">
        <v>1416</v>
      </c>
      <c r="B2737" s="240" t="s">
        <v>455</v>
      </c>
    </row>
    <row r="2738" spans="1:2">
      <c r="A2738" s="211" t="s">
        <v>1418</v>
      </c>
      <c r="B2738" s="241" t="s">
        <v>2549</v>
      </c>
    </row>
    <row r="2739" spans="1:2">
      <c r="A2739" s="211" t="s">
        <v>1420</v>
      </c>
      <c r="B2739" s="241" t="s">
        <v>3421</v>
      </c>
    </row>
    <row r="2740" spans="1:2">
      <c r="A2740" s="211" t="s">
        <v>1422</v>
      </c>
      <c r="B2740" s="241" t="s">
        <v>2549</v>
      </c>
    </row>
    <row r="2741" spans="1:2">
      <c r="A2741" s="211" t="s">
        <v>1424</v>
      </c>
      <c r="B2741" s="240" t="s">
        <v>3422</v>
      </c>
    </row>
    <row r="2742" spans="1:2">
      <c r="A2742" s="211" t="s">
        <v>1426</v>
      </c>
      <c r="B2742" s="240" t="s">
        <v>3423</v>
      </c>
    </row>
    <row r="2743" spans="1:2">
      <c r="A2743" s="211" t="s">
        <v>1427</v>
      </c>
      <c r="B2743" s="240" t="s">
        <v>3424</v>
      </c>
    </row>
    <row r="2744" spans="1:2">
      <c r="A2744" s="211" t="s">
        <v>1428</v>
      </c>
      <c r="B2744" s="240" t="s">
        <v>3425</v>
      </c>
    </row>
    <row r="2745" spans="1:2">
      <c r="A2745" s="211" t="s">
        <v>1429</v>
      </c>
      <c r="B2745" s="240" t="s">
        <v>628</v>
      </c>
    </row>
    <row r="2746" spans="1:2">
      <c r="A2746" s="211" t="s">
        <v>1431</v>
      </c>
      <c r="B2746" s="240" t="s">
        <v>741</v>
      </c>
    </row>
    <row r="2747" spans="1:2">
      <c r="A2747" s="211" t="s">
        <v>1433</v>
      </c>
      <c r="B2747" s="240" t="s">
        <v>3045</v>
      </c>
    </row>
    <row r="2748" spans="1:2">
      <c r="A2748" s="211" t="s">
        <v>1435</v>
      </c>
      <c r="B2748" s="240" t="s">
        <v>3267</v>
      </c>
    </row>
    <row r="2749" spans="1:2">
      <c r="A2749" s="211" t="s">
        <v>1437</v>
      </c>
      <c r="B2749" s="240" t="s">
        <v>3426</v>
      </c>
    </row>
    <row r="2750" spans="1:2">
      <c r="A2750" s="211" t="s">
        <v>1438</v>
      </c>
      <c r="B2750" s="240" t="s">
        <v>3427</v>
      </c>
    </row>
    <row r="2751" spans="1:2">
      <c r="A2751" s="211" t="s">
        <v>1439</v>
      </c>
      <c r="B2751" s="240" t="s">
        <v>3428</v>
      </c>
    </row>
    <row r="2752" spans="1:2">
      <c r="A2752" s="211" t="s">
        <v>1441</v>
      </c>
      <c r="B2752" s="240" t="s">
        <v>3429</v>
      </c>
    </row>
    <row r="2753" spans="1:2">
      <c r="A2753" s="211" t="s">
        <v>1443</v>
      </c>
      <c r="B2753" s="240" t="s">
        <v>3430</v>
      </c>
    </row>
    <row r="2754" spans="1:2">
      <c r="A2754" s="211" t="s">
        <v>1445</v>
      </c>
      <c r="B2754" s="240" t="s">
        <v>3431</v>
      </c>
    </row>
    <row r="2755" spans="1:2">
      <c r="A2755" s="211" t="s">
        <v>1447</v>
      </c>
      <c r="B2755" s="240" t="s">
        <v>3432</v>
      </c>
    </row>
    <row r="2756" spans="1:2">
      <c r="A2756" s="211" t="s">
        <v>1449</v>
      </c>
      <c r="B2756" s="240" t="s">
        <v>3433</v>
      </c>
    </row>
    <row r="2757" spans="1:2">
      <c r="A2757" s="211" t="s">
        <v>1451</v>
      </c>
      <c r="B2757" s="240" t="s">
        <v>3434</v>
      </c>
    </row>
    <row r="2758" spans="1:2">
      <c r="A2758" s="211" t="s">
        <v>1453</v>
      </c>
      <c r="B2758" s="240" t="s">
        <v>3435</v>
      </c>
    </row>
    <row r="2759" spans="1:2">
      <c r="A2759" s="211" t="s">
        <v>1455</v>
      </c>
      <c r="B2759" s="240" t="s">
        <v>3436</v>
      </c>
    </row>
    <row r="2760" spans="1:2">
      <c r="A2760" s="211" t="s">
        <v>1456</v>
      </c>
      <c r="B2760" s="240" t="s">
        <v>3437</v>
      </c>
    </row>
    <row r="2761" spans="1:2">
      <c r="A2761" s="211" t="s">
        <v>1457</v>
      </c>
      <c r="B2761" s="240" t="s">
        <v>3438</v>
      </c>
    </row>
    <row r="2762" spans="1:2">
      <c r="A2762" s="211" t="s">
        <v>1458</v>
      </c>
      <c r="B2762" s="240" t="s">
        <v>3439</v>
      </c>
    </row>
    <row r="2763" spans="1:2">
      <c r="A2763" s="211" t="s">
        <v>1459</v>
      </c>
      <c r="B2763" s="240" t="s">
        <v>3440</v>
      </c>
    </row>
    <row r="2764" spans="1:2">
      <c r="A2764" s="211" t="s">
        <v>1461</v>
      </c>
      <c r="B2764" s="240" t="s">
        <v>3441</v>
      </c>
    </row>
    <row r="2765" spans="1:2">
      <c r="A2765" s="211" t="s">
        <v>1463</v>
      </c>
      <c r="B2765" s="240" t="s">
        <v>3442</v>
      </c>
    </row>
    <row r="2766" spans="1:2">
      <c r="A2766" s="211" t="s">
        <v>1464</v>
      </c>
      <c r="B2766" s="240" t="s">
        <v>3443</v>
      </c>
    </row>
    <row r="2767" spans="1:2">
      <c r="A2767" s="211" t="s">
        <v>1465</v>
      </c>
      <c r="B2767" s="240" t="s">
        <v>3444</v>
      </c>
    </row>
    <row r="2768" spans="1:2">
      <c r="A2768" s="211" t="s">
        <v>1467</v>
      </c>
      <c r="B2768" s="240" t="s">
        <v>3445</v>
      </c>
    </row>
    <row r="2769" spans="1:2">
      <c r="A2769" s="211" t="s">
        <v>1469</v>
      </c>
      <c r="B2769" s="240" t="s">
        <v>3446</v>
      </c>
    </row>
    <row r="2770" spans="1:2">
      <c r="A2770" s="211" t="s">
        <v>1470</v>
      </c>
      <c r="B2770" s="240" t="s">
        <v>3447</v>
      </c>
    </row>
    <row r="2771" spans="1:2">
      <c r="A2771" s="211" t="s">
        <v>1471</v>
      </c>
      <c r="B2771" s="240" t="s">
        <v>985</v>
      </c>
    </row>
    <row r="2772" spans="1:2">
      <c r="A2772" s="211" t="s">
        <v>1473</v>
      </c>
      <c r="B2772" s="240" t="s">
        <v>3436</v>
      </c>
    </row>
    <row r="2773" spans="1:2">
      <c r="A2773" s="211" t="s">
        <v>1475</v>
      </c>
      <c r="B2773" s="240" t="s">
        <v>3448</v>
      </c>
    </row>
    <row r="2774" spans="1:2">
      <c r="A2774" s="211" t="s">
        <v>1476</v>
      </c>
      <c r="B2774" s="240" t="s">
        <v>3449</v>
      </c>
    </row>
    <row r="2775" spans="1:2">
      <c r="A2775" s="211" t="s">
        <v>1477</v>
      </c>
      <c r="B2775" s="240" t="s">
        <v>3450</v>
      </c>
    </row>
    <row r="2776" spans="1:2">
      <c r="A2776" s="211" t="s">
        <v>1479</v>
      </c>
      <c r="B2776" s="240" t="s">
        <v>3451</v>
      </c>
    </row>
    <row r="2777" spans="1:2">
      <c r="A2777" s="211" t="s">
        <v>1481</v>
      </c>
      <c r="B2777" s="240" t="s">
        <v>3452</v>
      </c>
    </row>
    <row r="2778" spans="1:2">
      <c r="A2778" s="211" t="s">
        <v>1483</v>
      </c>
      <c r="B2778" s="240" t="s">
        <v>3453</v>
      </c>
    </row>
    <row r="2779" spans="1:2">
      <c r="A2779" s="211" t="s">
        <v>1484</v>
      </c>
      <c r="B2779" s="240" t="s">
        <v>3454</v>
      </c>
    </row>
    <row r="2780" spans="1:2">
      <c r="A2780" s="211" t="s">
        <v>1485</v>
      </c>
      <c r="B2780" s="240" t="s">
        <v>3455</v>
      </c>
    </row>
    <row r="2781" spans="1:2">
      <c r="A2781" s="211" t="s">
        <v>1487</v>
      </c>
      <c r="B2781" s="240" t="s">
        <v>3456</v>
      </c>
    </row>
    <row r="2782" spans="1:2">
      <c r="A2782" s="211" t="s">
        <v>1489</v>
      </c>
      <c r="B2782" s="240" t="s">
        <v>3457</v>
      </c>
    </row>
    <row r="2783" spans="1:2">
      <c r="A2783" s="211" t="s">
        <v>1491</v>
      </c>
      <c r="B2783" s="240" t="s">
        <v>3458</v>
      </c>
    </row>
    <row r="2784" spans="1:2">
      <c r="A2784" s="211" t="s">
        <v>1493</v>
      </c>
      <c r="B2784" s="240" t="s">
        <v>3459</v>
      </c>
    </row>
    <row r="2785" spans="1:2">
      <c r="A2785" s="211" t="s">
        <v>1495</v>
      </c>
      <c r="B2785" s="240" t="s">
        <v>3460</v>
      </c>
    </row>
    <row r="2786" spans="1:2">
      <c r="A2786" s="211" t="s">
        <v>1497</v>
      </c>
      <c r="B2786" s="240" t="s">
        <v>3461</v>
      </c>
    </row>
    <row r="2787" spans="1:2">
      <c r="A2787" s="211" t="s">
        <v>1499</v>
      </c>
      <c r="B2787" s="240" t="s">
        <v>3462</v>
      </c>
    </row>
    <row r="2788" spans="1:2">
      <c r="A2788" s="211" t="s">
        <v>1500</v>
      </c>
      <c r="B2788" s="240" t="s">
        <v>3463</v>
      </c>
    </row>
    <row r="2789" spans="1:2">
      <c r="A2789" s="211" t="s">
        <v>1501</v>
      </c>
      <c r="B2789" s="240" t="s">
        <v>3464</v>
      </c>
    </row>
    <row r="2790" spans="1:2">
      <c r="A2790" s="211" t="s">
        <v>1503</v>
      </c>
      <c r="B2790" s="240" t="s">
        <v>3465</v>
      </c>
    </row>
    <row r="2791" spans="1:2">
      <c r="A2791" s="211" t="s">
        <v>1505</v>
      </c>
      <c r="B2791" s="240" t="s">
        <v>3466</v>
      </c>
    </row>
    <row r="2792" spans="1:2">
      <c r="A2792" s="211" t="s">
        <v>1507</v>
      </c>
      <c r="B2792" s="240" t="s">
        <v>2789</v>
      </c>
    </row>
    <row r="2793" spans="1:2">
      <c r="A2793" s="211" t="s">
        <v>1509</v>
      </c>
      <c r="B2793" s="240" t="s">
        <v>3467</v>
      </c>
    </row>
    <row r="2794" spans="1:2">
      <c r="A2794" s="211" t="s">
        <v>1511</v>
      </c>
      <c r="B2794" s="240" t="s">
        <v>985</v>
      </c>
    </row>
    <row r="2795" spans="1:2">
      <c r="A2795" s="211" t="s">
        <v>1513</v>
      </c>
      <c r="B2795" s="240" t="s">
        <v>2803</v>
      </c>
    </row>
    <row r="2796" spans="1:2">
      <c r="A2796" s="211" t="s">
        <v>1515</v>
      </c>
      <c r="B2796" s="240" t="s">
        <v>697</v>
      </c>
    </row>
    <row r="2797" spans="1:2">
      <c r="A2797" s="211" t="s">
        <v>1516</v>
      </c>
      <c r="B2797" s="240" t="s">
        <v>667</v>
      </c>
    </row>
    <row r="2798" spans="1:2">
      <c r="A2798" s="211" t="s">
        <v>1517</v>
      </c>
      <c r="B2798" s="240" t="s">
        <v>3468</v>
      </c>
    </row>
    <row r="2799" spans="1:2">
      <c r="A2799" s="211" t="s">
        <v>1519</v>
      </c>
      <c r="B2799" s="240" t="s">
        <v>3469</v>
      </c>
    </row>
    <row r="2800" spans="1:2">
      <c r="A2800" s="211" t="s">
        <v>1521</v>
      </c>
      <c r="B2800" s="240" t="s">
        <v>3470</v>
      </c>
    </row>
    <row r="2801" spans="1:2">
      <c r="A2801" s="211" t="s">
        <v>1523</v>
      </c>
      <c r="B2801" s="240" t="s">
        <v>473</v>
      </c>
    </row>
    <row r="2802" spans="1:2">
      <c r="A2802" s="211" t="s">
        <v>1525</v>
      </c>
      <c r="B2802" s="240" t="s">
        <v>1214</v>
      </c>
    </row>
    <row r="2803" spans="1:2">
      <c r="A2803" s="211" t="s">
        <v>1527</v>
      </c>
      <c r="B2803" s="240" t="s">
        <v>475</v>
      </c>
    </row>
    <row r="2804" spans="1:2">
      <c r="A2804" s="211" t="s">
        <v>1529</v>
      </c>
      <c r="B2804" s="240" t="s">
        <v>455</v>
      </c>
    </row>
    <row r="2805" spans="1:2">
      <c r="A2805" s="211" t="s">
        <v>1531</v>
      </c>
      <c r="B2805" s="241" t="s">
        <v>2549</v>
      </c>
    </row>
    <row r="2806" spans="1:2">
      <c r="A2806" s="211" t="s">
        <v>1533</v>
      </c>
      <c r="B2806" s="241" t="s">
        <v>3471</v>
      </c>
    </row>
    <row r="2807" spans="1:2">
      <c r="A2807" s="211" t="s">
        <v>1535</v>
      </c>
      <c r="B2807" s="241" t="s">
        <v>2549</v>
      </c>
    </row>
    <row r="2808" spans="1:2">
      <c r="A2808" s="211" t="s">
        <v>1537</v>
      </c>
      <c r="B2808" s="240" t="s">
        <v>3472</v>
      </c>
    </row>
    <row r="2809" spans="1:2">
      <c r="A2809" s="211" t="s">
        <v>1538</v>
      </c>
      <c r="B2809" s="240" t="s">
        <v>3473</v>
      </c>
    </row>
    <row r="2810" spans="1:2">
      <c r="A2810" s="211" t="s">
        <v>1540</v>
      </c>
      <c r="B2810" s="240" t="s">
        <v>3474</v>
      </c>
    </row>
    <row r="2811" spans="1:2">
      <c r="A2811" s="211" t="s">
        <v>1542</v>
      </c>
      <c r="B2811" s="240" t="s">
        <v>3475</v>
      </c>
    </row>
    <row r="2812" spans="1:2">
      <c r="A2812" s="211" t="s">
        <v>1543</v>
      </c>
      <c r="B2812" s="240" t="s">
        <v>628</v>
      </c>
    </row>
    <row r="2813" spans="1:2">
      <c r="A2813" s="211" t="s">
        <v>1544</v>
      </c>
      <c r="B2813" s="240" t="s">
        <v>3476</v>
      </c>
    </row>
    <row r="2814" spans="1:2">
      <c r="A2814" s="211" t="s">
        <v>1545</v>
      </c>
      <c r="B2814" s="240" t="s">
        <v>3477</v>
      </c>
    </row>
    <row r="2815" spans="1:2">
      <c r="A2815" s="211" t="s">
        <v>1547</v>
      </c>
      <c r="B2815" s="240" t="s">
        <v>3478</v>
      </c>
    </row>
    <row r="2816" spans="1:2">
      <c r="A2816" s="211" t="s">
        <v>1549</v>
      </c>
      <c r="B2816" s="240" t="s">
        <v>3479</v>
      </c>
    </row>
    <row r="2817" spans="1:2">
      <c r="A2817" s="211" t="s">
        <v>1551</v>
      </c>
      <c r="B2817" s="240" t="s">
        <v>741</v>
      </c>
    </row>
    <row r="2818" spans="1:2">
      <c r="A2818" s="211" t="s">
        <v>1553</v>
      </c>
      <c r="B2818" s="240" t="s">
        <v>3129</v>
      </c>
    </row>
    <row r="2819" spans="1:2">
      <c r="A2819" s="211" t="s">
        <v>1555</v>
      </c>
      <c r="B2819" s="240" t="s">
        <v>3480</v>
      </c>
    </row>
    <row r="2820" spans="1:2">
      <c r="A2820" s="211" t="s">
        <v>1557</v>
      </c>
      <c r="B2820" s="240" t="s">
        <v>3131</v>
      </c>
    </row>
    <row r="2821" spans="1:2">
      <c r="A2821" s="211" t="s">
        <v>1558</v>
      </c>
      <c r="B2821" s="240" t="s">
        <v>3481</v>
      </c>
    </row>
    <row r="2822" spans="1:2">
      <c r="A2822" s="211" t="s">
        <v>1559</v>
      </c>
      <c r="B2822" s="240" t="s">
        <v>3482</v>
      </c>
    </row>
    <row r="2823" spans="1:2">
      <c r="A2823" s="211" t="s">
        <v>1561</v>
      </c>
      <c r="B2823" s="240" t="s">
        <v>3132</v>
      </c>
    </row>
    <row r="2824" spans="1:2">
      <c r="A2824" s="211" t="s">
        <v>1563</v>
      </c>
      <c r="B2824" s="240" t="s">
        <v>3483</v>
      </c>
    </row>
    <row r="2825" spans="1:2">
      <c r="A2825" s="211" t="s">
        <v>1565</v>
      </c>
      <c r="B2825" s="240" t="s">
        <v>3484</v>
      </c>
    </row>
    <row r="2826" spans="1:2">
      <c r="A2826" s="211" t="s">
        <v>1567</v>
      </c>
      <c r="B2826" s="240" t="s">
        <v>3485</v>
      </c>
    </row>
    <row r="2827" spans="1:2">
      <c r="A2827" s="211" t="s">
        <v>1569</v>
      </c>
      <c r="B2827" s="240" t="s">
        <v>3486</v>
      </c>
    </row>
    <row r="2828" spans="1:2">
      <c r="A2828" s="211" t="s">
        <v>1571</v>
      </c>
      <c r="B2828" s="240" t="s">
        <v>3487</v>
      </c>
    </row>
    <row r="2829" spans="1:2">
      <c r="A2829" s="211" t="s">
        <v>1573</v>
      </c>
      <c r="B2829" s="240" t="s">
        <v>3488</v>
      </c>
    </row>
    <row r="2830" spans="1:2">
      <c r="A2830" s="211" t="s">
        <v>1574</v>
      </c>
      <c r="B2830" s="240" t="s">
        <v>3489</v>
      </c>
    </row>
    <row r="2831" spans="1:2">
      <c r="A2831" s="211" t="s">
        <v>1575</v>
      </c>
      <c r="B2831" s="240" t="s">
        <v>3139</v>
      </c>
    </row>
    <row r="2832" spans="1:2">
      <c r="A2832" s="211" t="s">
        <v>1576</v>
      </c>
      <c r="B2832" s="240" t="s">
        <v>2781</v>
      </c>
    </row>
    <row r="2833" spans="1:2">
      <c r="A2833" s="211" t="s">
        <v>1578</v>
      </c>
      <c r="B2833" s="240" t="s">
        <v>3490</v>
      </c>
    </row>
    <row r="2834" spans="1:2">
      <c r="A2834" s="211" t="s">
        <v>1579</v>
      </c>
      <c r="B2834" s="240" t="s">
        <v>2803</v>
      </c>
    </row>
    <row r="2835" spans="1:2">
      <c r="A2835" s="211" t="s">
        <v>1581</v>
      </c>
      <c r="B2835" s="240" t="s">
        <v>697</v>
      </c>
    </row>
    <row r="2836" spans="1:2">
      <c r="A2836" s="211" t="s">
        <v>1583</v>
      </c>
      <c r="B2836" s="240" t="s">
        <v>699</v>
      </c>
    </row>
    <row r="2837" spans="1:2">
      <c r="A2837" s="211" t="s">
        <v>1584</v>
      </c>
      <c r="B2837" s="240" t="s">
        <v>3491</v>
      </c>
    </row>
    <row r="2838" spans="1:2">
      <c r="A2838" s="211" t="s">
        <v>1586</v>
      </c>
      <c r="B2838" s="240" t="s">
        <v>3492</v>
      </c>
    </row>
    <row r="2839" spans="1:2">
      <c r="A2839" s="211" t="s">
        <v>1588</v>
      </c>
      <c r="B2839" s="240" t="s">
        <v>3493</v>
      </c>
    </row>
    <row r="2840" spans="1:2">
      <c r="A2840" s="211" t="s">
        <v>1589</v>
      </c>
      <c r="B2840" s="240" t="s">
        <v>3494</v>
      </c>
    </row>
    <row r="2841" spans="1:2">
      <c r="A2841" s="211" t="s">
        <v>1590</v>
      </c>
      <c r="B2841" s="240" t="s">
        <v>3495</v>
      </c>
    </row>
    <row r="2842" spans="1:2">
      <c r="A2842" s="211" t="s">
        <v>1592</v>
      </c>
      <c r="B2842" s="240" t="s">
        <v>3496</v>
      </c>
    </row>
    <row r="2843" spans="1:2">
      <c r="A2843" s="211" t="s">
        <v>1594</v>
      </c>
      <c r="B2843" s="240" t="s">
        <v>3497</v>
      </c>
    </row>
    <row r="2844" spans="1:2">
      <c r="A2844" s="211" t="s">
        <v>1596</v>
      </c>
      <c r="B2844" s="240" t="s">
        <v>3498</v>
      </c>
    </row>
    <row r="2845" spans="1:2">
      <c r="A2845" s="211" t="s">
        <v>1598</v>
      </c>
      <c r="B2845" s="240" t="s">
        <v>3499</v>
      </c>
    </row>
    <row r="2846" spans="1:2">
      <c r="A2846" s="211" t="s">
        <v>1599</v>
      </c>
      <c r="B2846" s="240" t="s">
        <v>3500</v>
      </c>
    </row>
    <row r="2847" spans="1:2">
      <c r="A2847" s="211" t="s">
        <v>1601</v>
      </c>
      <c r="B2847" s="240" t="s">
        <v>3501</v>
      </c>
    </row>
    <row r="2848" spans="1:2">
      <c r="A2848" s="211" t="s">
        <v>1602</v>
      </c>
      <c r="B2848" s="240" t="s">
        <v>3502</v>
      </c>
    </row>
    <row r="2849" spans="1:7">
      <c r="A2849" s="211" t="s">
        <v>1603</v>
      </c>
      <c r="B2849" s="240" t="s">
        <v>3503</v>
      </c>
    </row>
    <row r="2850" spans="1:7">
      <c r="A2850" s="211" t="s">
        <v>1605</v>
      </c>
      <c r="B2850" s="240" t="s">
        <v>3504</v>
      </c>
    </row>
    <row r="2851" spans="1:7">
      <c r="A2851" s="211" t="s">
        <v>1607</v>
      </c>
      <c r="B2851" s="240" t="s">
        <v>3505</v>
      </c>
    </row>
    <row r="2852" spans="1:7">
      <c r="A2852" s="211" t="s">
        <v>1609</v>
      </c>
      <c r="B2852" s="240" t="s">
        <v>3506</v>
      </c>
    </row>
    <row r="2853" spans="1:7">
      <c r="A2853" s="211" t="s">
        <v>1611</v>
      </c>
      <c r="B2853" s="240" t="s">
        <v>992</v>
      </c>
    </row>
    <row r="2854" spans="1:7">
      <c r="A2854" s="211" t="s">
        <v>1613</v>
      </c>
      <c r="B2854" s="240" t="s">
        <v>1214</v>
      </c>
    </row>
    <row r="2855" spans="1:7">
      <c r="A2855" s="211" t="s">
        <v>1615</v>
      </c>
      <c r="B2855" s="240" t="s">
        <v>475</v>
      </c>
    </row>
    <row r="2857" spans="1:7">
      <c r="A2857" s="209" t="s">
        <v>3507</v>
      </c>
      <c r="B2857" s="239" t="s">
        <v>3508</v>
      </c>
      <c r="C2857" s="209"/>
      <c r="D2857" s="209"/>
      <c r="E2857" s="209"/>
      <c r="F2857" s="209"/>
      <c r="G2857" s="209"/>
    </row>
    <row r="2858" spans="1:7">
      <c r="A2858" s="211" t="s">
        <v>452</v>
      </c>
      <c r="B2858" s="240" t="s">
        <v>453</v>
      </c>
    </row>
    <row r="2859" spans="1:7">
      <c r="A2859" s="211" t="s">
        <v>454</v>
      </c>
      <c r="B2859" s="241" t="s">
        <v>477</v>
      </c>
    </row>
    <row r="2860" spans="1:7">
      <c r="A2860" s="211" t="s">
        <v>456</v>
      </c>
      <c r="B2860" s="241" t="s">
        <v>3509</v>
      </c>
    </row>
    <row r="2861" spans="1:7">
      <c r="A2861" s="211" t="s">
        <v>458</v>
      </c>
      <c r="B2861" s="241" t="s">
        <v>3510</v>
      </c>
    </row>
    <row r="2862" spans="1:7">
      <c r="A2862" s="211" t="s">
        <v>460</v>
      </c>
      <c r="B2862" s="241" t="s">
        <v>3511</v>
      </c>
    </row>
    <row r="2863" spans="1:7">
      <c r="A2863" s="211" t="s">
        <v>462</v>
      </c>
      <c r="B2863" s="241" t="s">
        <v>3512</v>
      </c>
    </row>
    <row r="2864" spans="1:7">
      <c r="A2864" s="211" t="s">
        <v>464</v>
      </c>
      <c r="B2864" s="241" t="s">
        <v>3513</v>
      </c>
    </row>
    <row r="2865" spans="1:2">
      <c r="A2865" s="211" t="s">
        <v>466</v>
      </c>
      <c r="B2865" s="241" t="s">
        <v>477</v>
      </c>
    </row>
    <row r="2866" spans="1:2">
      <c r="A2866" s="211" t="s">
        <v>468</v>
      </c>
      <c r="B2866" s="240" t="s">
        <v>455</v>
      </c>
    </row>
    <row r="2867" spans="1:2">
      <c r="A2867" s="211" t="s">
        <v>470</v>
      </c>
      <c r="B2867" s="240" t="s">
        <v>3514</v>
      </c>
    </row>
    <row r="2868" spans="1:2">
      <c r="A2868" s="211" t="s">
        <v>472</v>
      </c>
      <c r="B2868" s="240" t="s">
        <v>3515</v>
      </c>
    </row>
    <row r="2869" spans="1:2">
      <c r="A2869" s="211" t="s">
        <v>474</v>
      </c>
      <c r="B2869" s="240" t="s">
        <v>3516</v>
      </c>
    </row>
    <row r="2870" spans="1:2">
      <c r="A2870" s="211" t="s">
        <v>486</v>
      </c>
      <c r="B2870" s="240" t="s">
        <v>3517</v>
      </c>
    </row>
    <row r="2871" spans="1:2">
      <c r="A2871" s="211" t="s">
        <v>488</v>
      </c>
      <c r="B2871" s="240" t="s">
        <v>3518</v>
      </c>
    </row>
    <row r="2872" spans="1:2">
      <c r="A2872" s="211" t="s">
        <v>489</v>
      </c>
      <c r="B2872" s="240" t="s">
        <v>3519</v>
      </c>
    </row>
    <row r="2873" spans="1:2">
      <c r="A2873" s="211" t="s">
        <v>491</v>
      </c>
      <c r="B2873" s="240" t="s">
        <v>4524</v>
      </c>
    </row>
    <row r="2874" spans="1:2">
      <c r="A2874" s="211" t="s">
        <v>493</v>
      </c>
      <c r="B2874" s="240" t="s">
        <v>3520</v>
      </c>
    </row>
    <row r="2875" spans="1:2">
      <c r="A2875" s="211" t="s">
        <v>495</v>
      </c>
      <c r="B2875" s="240" t="s">
        <v>3521</v>
      </c>
    </row>
    <row r="2876" spans="1:2">
      <c r="A2876" s="211" t="s">
        <v>497</v>
      </c>
      <c r="B2876" s="240" t="s">
        <v>3522</v>
      </c>
    </row>
    <row r="2877" spans="1:2">
      <c r="A2877" s="211" t="s">
        <v>499</v>
      </c>
      <c r="B2877" s="240" t="s">
        <v>4525</v>
      </c>
    </row>
    <row r="2878" spans="1:2">
      <c r="A2878" s="211" t="s">
        <v>501</v>
      </c>
      <c r="B2878" s="240" t="s">
        <v>3523</v>
      </c>
    </row>
    <row r="2879" spans="1:2">
      <c r="A2879" s="211" t="s">
        <v>502</v>
      </c>
      <c r="B2879" s="240" t="s">
        <v>3524</v>
      </c>
    </row>
    <row r="2880" spans="1:2">
      <c r="A2880" s="211" t="s">
        <v>504</v>
      </c>
      <c r="B2880" s="240" t="s">
        <v>3525</v>
      </c>
    </row>
    <row r="2881" spans="1:2">
      <c r="A2881" s="211" t="s">
        <v>506</v>
      </c>
      <c r="B2881" s="240" t="s">
        <v>3526</v>
      </c>
    </row>
    <row r="2882" spans="1:2">
      <c r="A2882" s="211" t="s">
        <v>508</v>
      </c>
      <c r="B2882" s="240" t="s">
        <v>3527</v>
      </c>
    </row>
    <row r="2883" spans="1:2">
      <c r="A2883" s="211" t="s">
        <v>510</v>
      </c>
      <c r="B2883" s="240" t="s">
        <v>455</v>
      </c>
    </row>
    <row r="2884" spans="1:2">
      <c r="A2884" s="211" t="s">
        <v>512</v>
      </c>
      <c r="B2884" s="240" t="s">
        <v>3528</v>
      </c>
    </row>
    <row r="2885" spans="1:2">
      <c r="A2885" s="211" t="s">
        <v>514</v>
      </c>
      <c r="B2885" s="240" t="s">
        <v>3529</v>
      </c>
    </row>
    <row r="2886" spans="1:2">
      <c r="A2886" s="211" t="s">
        <v>516</v>
      </c>
      <c r="B2886" s="240" t="s">
        <v>3530</v>
      </c>
    </row>
    <row r="2887" spans="1:2">
      <c r="A2887" s="211" t="s">
        <v>518</v>
      </c>
      <c r="B2887" s="240" t="s">
        <v>3531</v>
      </c>
    </row>
    <row r="2888" spans="1:2">
      <c r="A2888" s="211" t="s">
        <v>520</v>
      </c>
      <c r="B2888" s="240" t="s">
        <v>3532</v>
      </c>
    </row>
    <row r="2889" spans="1:2">
      <c r="A2889" s="211" t="s">
        <v>522</v>
      </c>
      <c r="B2889" s="240" t="s">
        <v>3533</v>
      </c>
    </row>
    <row r="2890" spans="1:2">
      <c r="A2890" s="211" t="s">
        <v>524</v>
      </c>
      <c r="B2890" s="240" t="s">
        <v>3534</v>
      </c>
    </row>
    <row r="2891" spans="1:2">
      <c r="A2891" s="211" t="s">
        <v>525</v>
      </c>
      <c r="B2891" s="240" t="s">
        <v>3535</v>
      </c>
    </row>
    <row r="2892" spans="1:2">
      <c r="A2892" s="211" t="s">
        <v>527</v>
      </c>
      <c r="B2892" s="240" t="s">
        <v>3536</v>
      </c>
    </row>
    <row r="2893" spans="1:2">
      <c r="A2893" s="211" t="s">
        <v>529</v>
      </c>
      <c r="B2893" s="240" t="s">
        <v>3537</v>
      </c>
    </row>
    <row r="2894" spans="1:2">
      <c r="A2894" s="211" t="s">
        <v>531</v>
      </c>
      <c r="B2894" s="240" t="s">
        <v>3538</v>
      </c>
    </row>
    <row r="2895" spans="1:2">
      <c r="A2895" s="211" t="s">
        <v>533</v>
      </c>
      <c r="B2895" s="240" t="s">
        <v>3539</v>
      </c>
    </row>
    <row r="2896" spans="1:2">
      <c r="A2896" s="211" t="s">
        <v>534</v>
      </c>
      <c r="B2896" s="240" t="s">
        <v>3540</v>
      </c>
    </row>
    <row r="2897" spans="1:2">
      <c r="A2897" s="211" t="s">
        <v>536</v>
      </c>
      <c r="B2897" s="240" t="s">
        <v>455</v>
      </c>
    </row>
    <row r="2898" spans="1:2">
      <c r="A2898" s="211" t="s">
        <v>538</v>
      </c>
      <c r="B2898" s="241" t="s">
        <v>3541</v>
      </c>
    </row>
    <row r="2899" spans="1:2">
      <c r="A2899" s="211" t="s">
        <v>540</v>
      </c>
      <c r="B2899" s="240" t="s">
        <v>3542</v>
      </c>
    </row>
    <row r="2900" spans="1:2">
      <c r="A2900" s="211" t="s">
        <v>542</v>
      </c>
      <c r="B2900" s="240" t="s">
        <v>3543</v>
      </c>
    </row>
    <row r="2901" spans="1:2">
      <c r="A2901" s="211" t="s">
        <v>544</v>
      </c>
      <c r="B2901" s="240" t="s">
        <v>455</v>
      </c>
    </row>
    <row r="2902" spans="1:2">
      <c r="A2902" s="211" t="s">
        <v>546</v>
      </c>
      <c r="B2902" s="241" t="s">
        <v>2549</v>
      </c>
    </row>
    <row r="2903" spans="1:2">
      <c r="A2903" s="211" t="s">
        <v>548</v>
      </c>
      <c r="B2903" s="241" t="s">
        <v>3544</v>
      </c>
    </row>
    <row r="2904" spans="1:2">
      <c r="A2904" s="211" t="s">
        <v>550</v>
      </c>
      <c r="B2904" s="241" t="s">
        <v>2549</v>
      </c>
    </row>
    <row r="2905" spans="1:2">
      <c r="A2905" s="211" t="s">
        <v>552</v>
      </c>
      <c r="B2905" s="240" t="s">
        <v>3545</v>
      </c>
    </row>
    <row r="2906" spans="1:2">
      <c r="A2906" s="211" t="s">
        <v>554</v>
      </c>
      <c r="B2906" s="240" t="s">
        <v>3546</v>
      </c>
    </row>
    <row r="2907" spans="1:2">
      <c r="A2907" s="211" t="s">
        <v>555</v>
      </c>
      <c r="B2907" s="240" t="s">
        <v>3547</v>
      </c>
    </row>
    <row r="2908" spans="1:2">
      <c r="A2908" s="211" t="s">
        <v>557</v>
      </c>
      <c r="B2908" s="240" t="s">
        <v>3548</v>
      </c>
    </row>
    <row r="2909" spans="1:2">
      <c r="A2909" s="211" t="s">
        <v>559</v>
      </c>
      <c r="B2909" s="240" t="s">
        <v>3549</v>
      </c>
    </row>
    <row r="2910" spans="1:2">
      <c r="A2910" s="211" t="s">
        <v>561</v>
      </c>
      <c r="B2910" s="240" t="s">
        <v>651</v>
      </c>
    </row>
    <row r="2911" spans="1:2">
      <c r="A2911" s="211" t="s">
        <v>563</v>
      </c>
      <c r="B2911" s="240" t="s">
        <v>473</v>
      </c>
    </row>
    <row r="2912" spans="1:2">
      <c r="A2912" s="211" t="s">
        <v>565</v>
      </c>
      <c r="B2912" s="240" t="s">
        <v>3550</v>
      </c>
    </row>
    <row r="2913" spans="1:2">
      <c r="A2913" s="211" t="s">
        <v>567</v>
      </c>
      <c r="B2913" s="240" t="s">
        <v>3551</v>
      </c>
    </row>
    <row r="2914" spans="1:2">
      <c r="A2914" s="211" t="s">
        <v>569</v>
      </c>
      <c r="B2914" s="240" t="s">
        <v>3552</v>
      </c>
    </row>
    <row r="2915" spans="1:2">
      <c r="A2915" s="211" t="s">
        <v>571</v>
      </c>
      <c r="B2915" s="240" t="s">
        <v>3553</v>
      </c>
    </row>
    <row r="2916" spans="1:2">
      <c r="A2916" s="211" t="s">
        <v>573</v>
      </c>
      <c r="B2916" s="240" t="s">
        <v>3554</v>
      </c>
    </row>
    <row r="2917" spans="1:2">
      <c r="A2917" s="211" t="s">
        <v>575</v>
      </c>
      <c r="B2917" s="240" t="s">
        <v>3555</v>
      </c>
    </row>
    <row r="2918" spans="1:2">
      <c r="A2918" s="211" t="s">
        <v>576</v>
      </c>
      <c r="B2918" s="240" t="s">
        <v>3556</v>
      </c>
    </row>
    <row r="2919" spans="1:2">
      <c r="A2919" s="211" t="s">
        <v>578</v>
      </c>
      <c r="B2919" s="240" t="s">
        <v>3557</v>
      </c>
    </row>
    <row r="2920" spans="1:2">
      <c r="A2920" s="211" t="s">
        <v>580</v>
      </c>
      <c r="B2920" s="240" t="s">
        <v>3558</v>
      </c>
    </row>
    <row r="2921" spans="1:2">
      <c r="A2921" s="211" t="s">
        <v>582</v>
      </c>
      <c r="B2921" s="240" t="s">
        <v>3559</v>
      </c>
    </row>
    <row r="2922" spans="1:2">
      <c r="A2922" s="211" t="s">
        <v>584</v>
      </c>
      <c r="B2922" s="240" t="s">
        <v>3560</v>
      </c>
    </row>
    <row r="2923" spans="1:2">
      <c r="A2923" s="211" t="s">
        <v>585</v>
      </c>
      <c r="B2923" s="240" t="s">
        <v>3561</v>
      </c>
    </row>
    <row r="2924" spans="1:2">
      <c r="A2924" s="211" t="s">
        <v>587</v>
      </c>
      <c r="B2924" s="240" t="s">
        <v>475</v>
      </c>
    </row>
    <row r="2925" spans="1:2">
      <c r="A2925" s="211" t="s">
        <v>588</v>
      </c>
      <c r="B2925" s="240" t="s">
        <v>455</v>
      </c>
    </row>
    <row r="2926" spans="1:2">
      <c r="A2926" s="211" t="s">
        <v>590</v>
      </c>
      <c r="B2926" s="240" t="s">
        <v>3562</v>
      </c>
    </row>
    <row r="2927" spans="1:2">
      <c r="A2927" s="211" t="s">
        <v>592</v>
      </c>
      <c r="B2927" s="240" t="s">
        <v>3546</v>
      </c>
    </row>
    <row r="2928" spans="1:2">
      <c r="A2928" s="211" t="s">
        <v>594</v>
      </c>
      <c r="B2928" s="240" t="s">
        <v>3563</v>
      </c>
    </row>
    <row r="2929" spans="1:2">
      <c r="A2929" s="211" t="s">
        <v>596</v>
      </c>
      <c r="B2929" s="240" t="s">
        <v>3548</v>
      </c>
    </row>
    <row r="2930" spans="1:2">
      <c r="A2930" s="211" t="s">
        <v>598</v>
      </c>
      <c r="B2930" s="240" t="s">
        <v>3564</v>
      </c>
    </row>
    <row r="2931" spans="1:2">
      <c r="A2931" s="211" t="s">
        <v>600</v>
      </c>
      <c r="B2931" s="240" t="s">
        <v>651</v>
      </c>
    </row>
    <row r="2932" spans="1:2">
      <c r="A2932" s="211" t="s">
        <v>602</v>
      </c>
      <c r="B2932" s="240" t="s">
        <v>473</v>
      </c>
    </row>
    <row r="2933" spans="1:2">
      <c r="A2933" s="211" t="s">
        <v>603</v>
      </c>
      <c r="B2933" s="240" t="s">
        <v>2706</v>
      </c>
    </row>
    <row r="2934" spans="1:2">
      <c r="A2934" s="211" t="s">
        <v>605</v>
      </c>
      <c r="B2934" s="240" t="s">
        <v>3565</v>
      </c>
    </row>
    <row r="2935" spans="1:2">
      <c r="A2935" s="211" t="s">
        <v>606</v>
      </c>
      <c r="B2935" s="240" t="s">
        <v>475</v>
      </c>
    </row>
    <row r="2936" spans="1:2">
      <c r="A2936" s="211" t="s">
        <v>607</v>
      </c>
      <c r="B2936" s="240" t="s">
        <v>455</v>
      </c>
    </row>
    <row r="2937" spans="1:2">
      <c r="A2937" s="211" t="s">
        <v>609</v>
      </c>
      <c r="B2937" s="240" t="s">
        <v>3566</v>
      </c>
    </row>
    <row r="2938" spans="1:2">
      <c r="A2938" s="211" t="s">
        <v>610</v>
      </c>
      <c r="B2938" s="240" t="s">
        <v>2868</v>
      </c>
    </row>
    <row r="2939" spans="1:2">
      <c r="A2939" s="211" t="s">
        <v>612</v>
      </c>
      <c r="B2939" s="240" t="s">
        <v>3567</v>
      </c>
    </row>
    <row r="2940" spans="1:2">
      <c r="A2940" s="211" t="s">
        <v>614</v>
      </c>
      <c r="B2940" s="240" t="s">
        <v>3568</v>
      </c>
    </row>
    <row r="2941" spans="1:2">
      <c r="A2941" s="211" t="s">
        <v>616</v>
      </c>
      <c r="B2941" s="240" t="s">
        <v>3569</v>
      </c>
    </row>
    <row r="2942" spans="1:2">
      <c r="A2942" s="211" t="s">
        <v>618</v>
      </c>
      <c r="B2942" s="240" t="s">
        <v>651</v>
      </c>
    </row>
    <row r="2943" spans="1:2">
      <c r="A2943" s="211" t="s">
        <v>620</v>
      </c>
      <c r="B2943" s="240" t="s">
        <v>473</v>
      </c>
    </row>
    <row r="2944" spans="1:2">
      <c r="A2944" s="211" t="s">
        <v>622</v>
      </c>
      <c r="B2944" s="240" t="s">
        <v>3570</v>
      </c>
    </row>
    <row r="2945" spans="1:2">
      <c r="A2945" s="211" t="s">
        <v>624</v>
      </c>
      <c r="B2945" s="240" t="s">
        <v>1168</v>
      </c>
    </row>
    <row r="2946" spans="1:2">
      <c r="A2946" s="211" t="s">
        <v>626</v>
      </c>
      <c r="B2946" s="240" t="s">
        <v>1209</v>
      </c>
    </row>
    <row r="2947" spans="1:2">
      <c r="A2947" s="211" t="s">
        <v>627</v>
      </c>
      <c r="B2947" s="240" t="s">
        <v>475</v>
      </c>
    </row>
    <row r="2948" spans="1:2">
      <c r="A2948" s="211" t="s">
        <v>629</v>
      </c>
      <c r="B2948" s="240" t="s">
        <v>455</v>
      </c>
    </row>
    <row r="2949" spans="1:2">
      <c r="A2949" s="211" t="s">
        <v>631</v>
      </c>
      <c r="B2949" s="240" t="s">
        <v>3571</v>
      </c>
    </row>
    <row r="2950" spans="1:2">
      <c r="A2950" s="211" t="s">
        <v>633</v>
      </c>
      <c r="B2950" s="240" t="s">
        <v>3546</v>
      </c>
    </row>
    <row r="2951" spans="1:2">
      <c r="A2951" s="211" t="s">
        <v>635</v>
      </c>
      <c r="B2951" s="240" t="s">
        <v>3563</v>
      </c>
    </row>
    <row r="2952" spans="1:2">
      <c r="A2952" s="211" t="s">
        <v>637</v>
      </c>
      <c r="B2952" s="240" t="s">
        <v>3548</v>
      </c>
    </row>
    <row r="2953" spans="1:2">
      <c r="A2953" s="211" t="s">
        <v>639</v>
      </c>
      <c r="B2953" s="240" t="s">
        <v>3572</v>
      </c>
    </row>
    <row r="2954" spans="1:2">
      <c r="A2954" s="211" t="s">
        <v>640</v>
      </c>
      <c r="B2954" s="240" t="s">
        <v>651</v>
      </c>
    </row>
    <row r="2955" spans="1:2">
      <c r="A2955" s="211" t="s">
        <v>642</v>
      </c>
      <c r="B2955" s="240" t="s">
        <v>473</v>
      </c>
    </row>
    <row r="2956" spans="1:2">
      <c r="A2956" s="211" t="s">
        <v>644</v>
      </c>
      <c r="B2956" s="240" t="s">
        <v>3573</v>
      </c>
    </row>
    <row r="2957" spans="1:2">
      <c r="A2957" s="211" t="s">
        <v>646</v>
      </c>
      <c r="B2957" s="240" t="s">
        <v>475</v>
      </c>
    </row>
    <row r="2958" spans="1:2">
      <c r="A2958" s="211" t="s">
        <v>648</v>
      </c>
      <c r="B2958" s="240" t="s">
        <v>455</v>
      </c>
    </row>
    <row r="2959" spans="1:2">
      <c r="A2959" s="211" t="s">
        <v>650</v>
      </c>
      <c r="B2959" s="240" t="s">
        <v>3574</v>
      </c>
    </row>
    <row r="2960" spans="1:2">
      <c r="A2960" s="211" t="s">
        <v>652</v>
      </c>
      <c r="B2960" s="240" t="s">
        <v>3575</v>
      </c>
    </row>
    <row r="2961" spans="1:2">
      <c r="A2961" s="211" t="s">
        <v>653</v>
      </c>
      <c r="B2961" s="240" t="s">
        <v>475</v>
      </c>
    </row>
    <row r="2962" spans="1:2">
      <c r="A2962" s="211" t="s">
        <v>655</v>
      </c>
      <c r="B2962" s="240" t="s">
        <v>455</v>
      </c>
    </row>
    <row r="2963" spans="1:2">
      <c r="A2963" s="211" t="s">
        <v>657</v>
      </c>
      <c r="B2963" s="240" t="s">
        <v>3576</v>
      </c>
    </row>
    <row r="2964" spans="1:2">
      <c r="A2964" s="211" t="s">
        <v>659</v>
      </c>
      <c r="B2964" s="240" t="s">
        <v>3577</v>
      </c>
    </row>
    <row r="2965" spans="1:2">
      <c r="A2965" s="211" t="s">
        <v>661</v>
      </c>
      <c r="B2965" s="240" t="s">
        <v>3547</v>
      </c>
    </row>
    <row r="2966" spans="1:2">
      <c r="A2966" s="211" t="s">
        <v>662</v>
      </c>
      <c r="B2966" s="240" t="s">
        <v>3578</v>
      </c>
    </row>
    <row r="2967" spans="1:2">
      <c r="A2967" s="211" t="s">
        <v>664</v>
      </c>
      <c r="B2967" s="240" t="s">
        <v>3579</v>
      </c>
    </row>
    <row r="2968" spans="1:2">
      <c r="A2968" s="211" t="s">
        <v>666</v>
      </c>
      <c r="B2968" s="240" t="s">
        <v>3580</v>
      </c>
    </row>
    <row r="2969" spans="1:2">
      <c r="A2969" s="211" t="s">
        <v>668</v>
      </c>
      <c r="B2969" s="240" t="s">
        <v>3581</v>
      </c>
    </row>
    <row r="2970" spans="1:2">
      <c r="A2970" s="211" t="s">
        <v>670</v>
      </c>
      <c r="B2970" s="240" t="s">
        <v>3582</v>
      </c>
    </row>
    <row r="2971" spans="1:2">
      <c r="A2971" s="211" t="s">
        <v>671</v>
      </c>
      <c r="B2971" s="240" t="s">
        <v>3583</v>
      </c>
    </row>
    <row r="2972" spans="1:2">
      <c r="A2972" s="211" t="s">
        <v>672</v>
      </c>
      <c r="B2972" s="240" t="s">
        <v>475</v>
      </c>
    </row>
    <row r="2973" spans="1:2">
      <c r="A2973" s="211" t="s">
        <v>673</v>
      </c>
      <c r="B2973" s="240" t="s">
        <v>455</v>
      </c>
    </row>
    <row r="2974" spans="1:2">
      <c r="A2974" s="211" t="s">
        <v>675</v>
      </c>
      <c r="B2974" s="240" t="s">
        <v>3584</v>
      </c>
    </row>
    <row r="2975" spans="1:2">
      <c r="A2975" s="211" t="s">
        <v>677</v>
      </c>
      <c r="B2975" s="240" t="s">
        <v>3546</v>
      </c>
    </row>
    <row r="2976" spans="1:2">
      <c r="A2976" s="211" t="s">
        <v>679</v>
      </c>
      <c r="B2976" s="240" t="s">
        <v>3547</v>
      </c>
    </row>
    <row r="2977" spans="1:2">
      <c r="A2977" s="211" t="s">
        <v>681</v>
      </c>
      <c r="B2977" s="240" t="s">
        <v>3578</v>
      </c>
    </row>
    <row r="2978" spans="1:2">
      <c r="A2978" s="211" t="s">
        <v>683</v>
      </c>
      <c r="B2978" s="240" t="s">
        <v>3573</v>
      </c>
    </row>
    <row r="2979" spans="1:2">
      <c r="A2979" s="211" t="s">
        <v>685</v>
      </c>
      <c r="B2979" s="240" t="s">
        <v>475</v>
      </c>
    </row>
    <row r="2980" spans="1:2">
      <c r="A2980" s="211" t="s">
        <v>687</v>
      </c>
      <c r="B2980" s="240" t="s">
        <v>455</v>
      </c>
    </row>
    <row r="2981" spans="1:2">
      <c r="A2981" s="211" t="s">
        <v>689</v>
      </c>
      <c r="B2981" s="241" t="s">
        <v>2555</v>
      </c>
    </row>
    <row r="2982" spans="1:2">
      <c r="A2982" s="211" t="s">
        <v>691</v>
      </c>
      <c r="B2982" s="240" t="s">
        <v>3585</v>
      </c>
    </row>
    <row r="2983" spans="1:2">
      <c r="A2983" s="211" t="s">
        <v>692</v>
      </c>
      <c r="B2983" s="240" t="s">
        <v>1787</v>
      </c>
    </row>
    <row r="2984" spans="1:2">
      <c r="A2984" s="211" t="s">
        <v>694</v>
      </c>
      <c r="B2984" s="240" t="s">
        <v>3586</v>
      </c>
    </row>
    <row r="2985" spans="1:2">
      <c r="A2985" s="211" t="s">
        <v>696</v>
      </c>
      <c r="B2985" s="240" t="s">
        <v>1793</v>
      </c>
    </row>
    <row r="2986" spans="1:2">
      <c r="A2986" s="211" t="s">
        <v>698</v>
      </c>
      <c r="B2986" s="240" t="s">
        <v>475</v>
      </c>
    </row>
    <row r="2987" spans="1:2">
      <c r="A2987" s="211" t="s">
        <v>700</v>
      </c>
      <c r="B2987" s="240" t="s">
        <v>455</v>
      </c>
    </row>
    <row r="2988" spans="1:2">
      <c r="A2988" s="211" t="s">
        <v>702</v>
      </c>
      <c r="B2988" s="240" t="s">
        <v>3587</v>
      </c>
    </row>
    <row r="2989" spans="1:2">
      <c r="A2989" s="211" t="s">
        <v>704</v>
      </c>
      <c r="B2989" s="240" t="s">
        <v>2868</v>
      </c>
    </row>
    <row r="2990" spans="1:2">
      <c r="A2990" s="211" t="s">
        <v>705</v>
      </c>
      <c r="B2990" s="240" t="s">
        <v>1263</v>
      </c>
    </row>
    <row r="2991" spans="1:2">
      <c r="A2991" s="211" t="s">
        <v>706</v>
      </c>
      <c r="B2991" s="240" t="s">
        <v>3588</v>
      </c>
    </row>
    <row r="2992" spans="1:2">
      <c r="A2992" s="211" t="s">
        <v>707</v>
      </c>
      <c r="B2992" s="240" t="s">
        <v>1297</v>
      </c>
    </row>
    <row r="2993" spans="1:2">
      <c r="A2993" s="211" t="s">
        <v>709</v>
      </c>
      <c r="B2993" s="240" t="s">
        <v>1361</v>
      </c>
    </row>
    <row r="2994" spans="1:2">
      <c r="A2994" s="211" t="s">
        <v>711</v>
      </c>
      <c r="B2994" s="240" t="s">
        <v>455</v>
      </c>
    </row>
    <row r="2995" spans="1:2">
      <c r="A2995" s="211" t="s">
        <v>713</v>
      </c>
      <c r="B2995" s="240" t="s">
        <v>3589</v>
      </c>
    </row>
    <row r="2996" spans="1:2">
      <c r="A2996" s="211" t="s">
        <v>715</v>
      </c>
      <c r="B2996" s="240" t="s">
        <v>3590</v>
      </c>
    </row>
    <row r="2997" spans="1:2">
      <c r="A2997" s="211" t="s">
        <v>717</v>
      </c>
      <c r="B2997" s="240" t="s">
        <v>3591</v>
      </c>
    </row>
    <row r="2998" spans="1:2">
      <c r="A2998" s="211" t="s">
        <v>719</v>
      </c>
      <c r="B2998" s="240" t="s">
        <v>3592</v>
      </c>
    </row>
    <row r="2999" spans="1:2">
      <c r="A2999" s="211" t="s">
        <v>721</v>
      </c>
      <c r="B2999" s="240" t="s">
        <v>3593</v>
      </c>
    </row>
    <row r="3000" spans="1:2">
      <c r="A3000" s="211" t="s">
        <v>723</v>
      </c>
      <c r="B3000" s="240" t="s">
        <v>1889</v>
      </c>
    </row>
    <row r="3001" spans="1:2">
      <c r="A3001" s="211" t="s">
        <v>725</v>
      </c>
      <c r="B3001" s="240" t="s">
        <v>3594</v>
      </c>
    </row>
    <row r="3002" spans="1:2">
      <c r="A3002" s="211" t="s">
        <v>727</v>
      </c>
      <c r="B3002" s="240" t="s">
        <v>3595</v>
      </c>
    </row>
    <row r="3003" spans="1:2">
      <c r="A3003" s="211" t="s">
        <v>729</v>
      </c>
      <c r="B3003" s="240" t="s">
        <v>3596</v>
      </c>
    </row>
    <row r="3004" spans="1:2">
      <c r="A3004" s="211" t="s">
        <v>730</v>
      </c>
      <c r="B3004" s="240" t="s">
        <v>3597</v>
      </c>
    </row>
    <row r="3005" spans="1:2">
      <c r="A3005" s="211" t="s">
        <v>732</v>
      </c>
      <c r="B3005" s="240" t="s">
        <v>473</v>
      </c>
    </row>
    <row r="3006" spans="1:2">
      <c r="A3006" s="211" t="s">
        <v>734</v>
      </c>
      <c r="B3006" s="240" t="s">
        <v>3598</v>
      </c>
    </row>
    <row r="3007" spans="1:2">
      <c r="A3007" s="211" t="s">
        <v>736</v>
      </c>
      <c r="B3007" s="240" t="s">
        <v>3599</v>
      </c>
    </row>
    <row r="3008" spans="1:2">
      <c r="A3008" s="211" t="s">
        <v>738</v>
      </c>
      <c r="B3008" s="240" t="s">
        <v>473</v>
      </c>
    </row>
    <row r="3009" spans="1:2">
      <c r="A3009" s="211" t="s">
        <v>739</v>
      </c>
      <c r="B3009" s="240" t="s">
        <v>1361</v>
      </c>
    </row>
    <row r="3010" spans="1:2">
      <c r="A3010" s="211" t="s">
        <v>740</v>
      </c>
      <c r="B3010" s="240" t="s">
        <v>455</v>
      </c>
    </row>
    <row r="3011" spans="1:2">
      <c r="A3011" s="211" t="s">
        <v>742</v>
      </c>
      <c r="B3011" s="241" t="s">
        <v>2549</v>
      </c>
    </row>
    <row r="3012" spans="1:2">
      <c r="A3012" s="211" t="s">
        <v>744</v>
      </c>
      <c r="B3012" s="241" t="s">
        <v>3600</v>
      </c>
    </row>
    <row r="3013" spans="1:2">
      <c r="A3013" s="211" t="s">
        <v>746</v>
      </c>
      <c r="B3013" s="241" t="s">
        <v>2549</v>
      </c>
    </row>
    <row r="3014" spans="1:2">
      <c r="A3014" s="211" t="s">
        <v>748</v>
      </c>
      <c r="B3014" s="240" t="s">
        <v>3601</v>
      </c>
    </row>
    <row r="3015" spans="1:2">
      <c r="A3015" s="211" t="s">
        <v>750</v>
      </c>
      <c r="B3015" s="240" t="s">
        <v>3602</v>
      </c>
    </row>
    <row r="3016" spans="1:2">
      <c r="A3016" s="211" t="s">
        <v>752</v>
      </c>
      <c r="B3016" s="240" t="s">
        <v>3603</v>
      </c>
    </row>
    <row r="3017" spans="1:2">
      <c r="A3017" s="211" t="s">
        <v>753</v>
      </c>
      <c r="B3017" s="240" t="s">
        <v>3604</v>
      </c>
    </row>
    <row r="3018" spans="1:2">
      <c r="A3018" s="211" t="s">
        <v>755</v>
      </c>
      <c r="B3018" s="240" t="s">
        <v>3605</v>
      </c>
    </row>
    <row r="3019" spans="1:2">
      <c r="A3019" s="211" t="s">
        <v>757</v>
      </c>
      <c r="B3019" s="240" t="s">
        <v>3606</v>
      </c>
    </row>
    <row r="3020" spans="1:2">
      <c r="A3020" s="211" t="s">
        <v>759</v>
      </c>
      <c r="B3020" s="240" t="s">
        <v>3607</v>
      </c>
    </row>
    <row r="3021" spans="1:2">
      <c r="A3021" s="211" t="s">
        <v>761</v>
      </c>
      <c r="B3021" s="240" t="s">
        <v>1361</v>
      </c>
    </row>
    <row r="3022" spans="1:2">
      <c r="A3022" s="211" t="s">
        <v>763</v>
      </c>
      <c r="B3022" s="240" t="s">
        <v>455</v>
      </c>
    </row>
    <row r="3023" spans="1:2">
      <c r="A3023" s="211" t="s">
        <v>765</v>
      </c>
      <c r="B3023" s="241" t="s">
        <v>2549</v>
      </c>
    </row>
    <row r="3024" spans="1:2">
      <c r="A3024" s="211" t="s">
        <v>767</v>
      </c>
      <c r="B3024" s="241" t="s">
        <v>3608</v>
      </c>
    </row>
    <row r="3025" spans="1:2">
      <c r="A3025" s="211" t="s">
        <v>768</v>
      </c>
      <c r="B3025" s="241" t="s">
        <v>2549</v>
      </c>
    </row>
    <row r="3026" spans="1:2">
      <c r="A3026" s="211" t="s">
        <v>769</v>
      </c>
      <c r="B3026" s="240" t="s">
        <v>3609</v>
      </c>
    </row>
    <row r="3027" spans="1:2">
      <c r="A3027" s="211" t="s">
        <v>771</v>
      </c>
      <c r="B3027" s="240" t="s">
        <v>3610</v>
      </c>
    </row>
    <row r="3028" spans="1:2">
      <c r="A3028" s="211" t="s">
        <v>773</v>
      </c>
      <c r="B3028" s="240" t="s">
        <v>3611</v>
      </c>
    </row>
    <row r="3029" spans="1:2">
      <c r="A3029" s="211" t="s">
        <v>775</v>
      </c>
      <c r="B3029" s="240" t="s">
        <v>3612</v>
      </c>
    </row>
    <row r="3030" spans="1:2">
      <c r="A3030" s="211" t="s">
        <v>777</v>
      </c>
      <c r="B3030" s="240" t="s">
        <v>3613</v>
      </c>
    </row>
    <row r="3031" spans="1:2">
      <c r="A3031" s="211" t="s">
        <v>779</v>
      </c>
      <c r="B3031" s="240" t="s">
        <v>3614</v>
      </c>
    </row>
    <row r="3032" spans="1:2">
      <c r="A3032" s="211" t="s">
        <v>780</v>
      </c>
      <c r="B3032" s="240" t="s">
        <v>3615</v>
      </c>
    </row>
    <row r="3033" spans="1:2">
      <c r="A3033" s="211" t="s">
        <v>782</v>
      </c>
      <c r="B3033" s="240" t="s">
        <v>3616</v>
      </c>
    </row>
    <row r="3034" spans="1:2">
      <c r="A3034" s="211" t="s">
        <v>783</v>
      </c>
      <c r="B3034" s="240" t="s">
        <v>3617</v>
      </c>
    </row>
    <row r="3035" spans="1:2">
      <c r="A3035" s="211" t="s">
        <v>785</v>
      </c>
      <c r="B3035" s="240" t="s">
        <v>3618</v>
      </c>
    </row>
    <row r="3036" spans="1:2">
      <c r="A3036" s="211" t="s">
        <v>787</v>
      </c>
      <c r="B3036" s="240" t="s">
        <v>3619</v>
      </c>
    </row>
    <row r="3037" spans="1:2">
      <c r="A3037" s="211" t="s">
        <v>789</v>
      </c>
      <c r="B3037" s="240" t="s">
        <v>455</v>
      </c>
    </row>
    <row r="3038" spans="1:2">
      <c r="A3038" s="211" t="s">
        <v>791</v>
      </c>
      <c r="B3038" s="240" t="s">
        <v>3620</v>
      </c>
    </row>
    <row r="3039" spans="1:2">
      <c r="A3039" s="211" t="s">
        <v>793</v>
      </c>
      <c r="B3039" s="240" t="s">
        <v>3621</v>
      </c>
    </row>
    <row r="3040" spans="1:2">
      <c r="A3040" s="211" t="s">
        <v>795</v>
      </c>
      <c r="B3040" s="240" t="s">
        <v>3622</v>
      </c>
    </row>
    <row r="3041" spans="1:2">
      <c r="A3041" s="211" t="s">
        <v>797</v>
      </c>
      <c r="B3041" s="240" t="s">
        <v>651</v>
      </c>
    </row>
    <row r="3042" spans="1:2">
      <c r="A3042" s="211" t="s">
        <v>798</v>
      </c>
      <c r="B3042" s="240" t="s">
        <v>473</v>
      </c>
    </row>
    <row r="3043" spans="1:2">
      <c r="A3043" s="211" t="s">
        <v>800</v>
      </c>
      <c r="B3043" s="240" t="s">
        <v>2750</v>
      </c>
    </row>
    <row r="3044" spans="1:2">
      <c r="A3044" s="211" t="s">
        <v>802</v>
      </c>
      <c r="B3044" s="240" t="s">
        <v>2751</v>
      </c>
    </row>
    <row r="3045" spans="1:2">
      <c r="A3045" s="211" t="s">
        <v>803</v>
      </c>
      <c r="B3045" s="240" t="s">
        <v>3623</v>
      </c>
    </row>
    <row r="3046" spans="1:2">
      <c r="A3046" s="211" t="s">
        <v>805</v>
      </c>
      <c r="B3046" s="240" t="s">
        <v>651</v>
      </c>
    </row>
    <row r="3047" spans="1:2">
      <c r="A3047" s="211" t="s">
        <v>807</v>
      </c>
      <c r="B3047" s="240" t="s">
        <v>473</v>
      </c>
    </row>
    <row r="3048" spans="1:2">
      <c r="A3048" s="211" t="s">
        <v>809</v>
      </c>
      <c r="B3048" s="240" t="s">
        <v>3624</v>
      </c>
    </row>
    <row r="3049" spans="1:2">
      <c r="A3049" s="211" t="s">
        <v>811</v>
      </c>
      <c r="B3049" s="240" t="s">
        <v>3625</v>
      </c>
    </row>
    <row r="3050" spans="1:2">
      <c r="A3050" s="211" t="s">
        <v>813</v>
      </c>
      <c r="B3050" s="240" t="s">
        <v>3626</v>
      </c>
    </row>
    <row r="3051" spans="1:2">
      <c r="A3051" s="211" t="s">
        <v>815</v>
      </c>
      <c r="B3051" s="240" t="s">
        <v>741</v>
      </c>
    </row>
    <row r="3052" spans="1:2">
      <c r="A3052" s="211" t="s">
        <v>817</v>
      </c>
      <c r="B3052" s="240" t="s">
        <v>3627</v>
      </c>
    </row>
    <row r="3053" spans="1:2">
      <c r="A3053" s="211" t="s">
        <v>818</v>
      </c>
      <c r="B3053" s="240" t="s">
        <v>455</v>
      </c>
    </row>
    <row r="3054" spans="1:2">
      <c r="A3054" s="211" t="s">
        <v>820</v>
      </c>
      <c r="B3054" s="240" t="s">
        <v>3628</v>
      </c>
    </row>
    <row r="3055" spans="1:2">
      <c r="A3055" s="211" t="s">
        <v>822</v>
      </c>
      <c r="B3055" s="240" t="s">
        <v>3629</v>
      </c>
    </row>
    <row r="3056" spans="1:2">
      <c r="A3056" s="211" t="s">
        <v>824</v>
      </c>
      <c r="B3056" s="240" t="s">
        <v>3630</v>
      </c>
    </row>
    <row r="3057" spans="1:2">
      <c r="A3057" s="211" t="s">
        <v>825</v>
      </c>
      <c r="B3057" s="240" t="s">
        <v>2575</v>
      </c>
    </row>
    <row r="3058" spans="1:2">
      <c r="A3058" s="211" t="s">
        <v>827</v>
      </c>
      <c r="B3058" s="240" t="s">
        <v>3631</v>
      </c>
    </row>
    <row r="3059" spans="1:2">
      <c r="A3059" s="211" t="s">
        <v>829</v>
      </c>
      <c r="B3059" s="240" t="s">
        <v>3632</v>
      </c>
    </row>
    <row r="3060" spans="1:2">
      <c r="A3060" s="211" t="s">
        <v>831</v>
      </c>
      <c r="B3060" s="240" t="s">
        <v>2577</v>
      </c>
    </row>
    <row r="3061" spans="1:2">
      <c r="A3061" s="211" t="s">
        <v>833</v>
      </c>
      <c r="B3061" s="240" t="s">
        <v>2573</v>
      </c>
    </row>
    <row r="3062" spans="1:2">
      <c r="A3062" s="211" t="s">
        <v>835</v>
      </c>
      <c r="B3062" s="240" t="s">
        <v>2570</v>
      </c>
    </row>
    <row r="3063" spans="1:2">
      <c r="A3063" s="211" t="s">
        <v>837</v>
      </c>
      <c r="B3063" s="240" t="s">
        <v>3633</v>
      </c>
    </row>
    <row r="3064" spans="1:2">
      <c r="A3064" s="211" t="s">
        <v>839</v>
      </c>
      <c r="B3064" s="240" t="s">
        <v>3634</v>
      </c>
    </row>
    <row r="3065" spans="1:2">
      <c r="A3065" s="211" t="s">
        <v>841</v>
      </c>
      <c r="B3065" s="240" t="s">
        <v>2572</v>
      </c>
    </row>
    <row r="3066" spans="1:2">
      <c r="A3066" s="211" t="s">
        <v>843</v>
      </c>
      <c r="B3066" s="240" t="s">
        <v>2573</v>
      </c>
    </row>
    <row r="3067" spans="1:2">
      <c r="A3067" s="211" t="s">
        <v>844</v>
      </c>
      <c r="B3067" s="240" t="s">
        <v>3635</v>
      </c>
    </row>
    <row r="3068" spans="1:2">
      <c r="A3068" s="211" t="s">
        <v>845</v>
      </c>
      <c r="B3068" s="240" t="s">
        <v>3636</v>
      </c>
    </row>
    <row r="3069" spans="1:2">
      <c r="A3069" s="211" t="s">
        <v>846</v>
      </c>
      <c r="B3069" s="240" t="s">
        <v>3637</v>
      </c>
    </row>
    <row r="3070" spans="1:2">
      <c r="A3070" s="211" t="s">
        <v>848</v>
      </c>
      <c r="B3070" s="240" t="s">
        <v>3638</v>
      </c>
    </row>
    <row r="3071" spans="1:2">
      <c r="A3071" s="211" t="s">
        <v>850</v>
      </c>
      <c r="B3071" s="240" t="s">
        <v>699</v>
      </c>
    </row>
    <row r="3072" spans="1:2">
      <c r="A3072" s="211" t="s">
        <v>852</v>
      </c>
      <c r="B3072" s="240" t="s">
        <v>3639</v>
      </c>
    </row>
    <row r="3073" spans="1:2">
      <c r="A3073" s="211" t="s">
        <v>854</v>
      </c>
      <c r="B3073" s="240" t="s">
        <v>455</v>
      </c>
    </row>
    <row r="3074" spans="1:2">
      <c r="A3074" s="211" t="s">
        <v>856</v>
      </c>
      <c r="B3074" s="240" t="s">
        <v>3640</v>
      </c>
    </row>
    <row r="3075" spans="1:2">
      <c r="A3075" s="211" t="s">
        <v>858</v>
      </c>
      <c r="B3075" s="240" t="s">
        <v>3641</v>
      </c>
    </row>
    <row r="3076" spans="1:2">
      <c r="A3076" s="211" t="s">
        <v>860</v>
      </c>
      <c r="B3076" s="240" t="s">
        <v>3642</v>
      </c>
    </row>
    <row r="3077" spans="1:2">
      <c r="A3077" s="211" t="s">
        <v>862</v>
      </c>
      <c r="B3077" s="240" t="s">
        <v>832</v>
      </c>
    </row>
    <row r="3078" spans="1:2">
      <c r="A3078" s="211" t="s">
        <v>864</v>
      </c>
      <c r="B3078" s="240" t="s">
        <v>3643</v>
      </c>
    </row>
    <row r="3079" spans="1:2">
      <c r="A3079" s="211" t="s">
        <v>865</v>
      </c>
      <c r="B3079" s="240" t="s">
        <v>3644</v>
      </c>
    </row>
    <row r="3080" spans="1:2">
      <c r="A3080" s="211" t="s">
        <v>867</v>
      </c>
      <c r="B3080" s="240" t="s">
        <v>3645</v>
      </c>
    </row>
    <row r="3081" spans="1:2">
      <c r="A3081" s="211" t="s">
        <v>869</v>
      </c>
      <c r="B3081" s="240" t="s">
        <v>3646</v>
      </c>
    </row>
    <row r="3082" spans="1:2">
      <c r="A3082" s="211" t="s">
        <v>871</v>
      </c>
      <c r="B3082" s="240" t="s">
        <v>743</v>
      </c>
    </row>
    <row r="3083" spans="1:2">
      <c r="A3083" s="211" t="s">
        <v>873</v>
      </c>
      <c r="B3083" s="240" t="s">
        <v>1989</v>
      </c>
    </row>
    <row r="3084" spans="1:2">
      <c r="A3084" s="211" t="s">
        <v>875</v>
      </c>
      <c r="B3084" s="240" t="s">
        <v>1991</v>
      </c>
    </row>
    <row r="3085" spans="1:2">
      <c r="A3085" s="211" t="s">
        <v>877</v>
      </c>
      <c r="B3085" s="240" t="s">
        <v>1993</v>
      </c>
    </row>
    <row r="3086" spans="1:2">
      <c r="A3086" s="211" t="s">
        <v>879</v>
      </c>
      <c r="B3086" s="240" t="s">
        <v>2602</v>
      </c>
    </row>
    <row r="3087" spans="1:2">
      <c r="A3087" s="211" t="s">
        <v>881</v>
      </c>
      <c r="B3087" s="240" t="s">
        <v>2603</v>
      </c>
    </row>
    <row r="3088" spans="1:2">
      <c r="A3088" s="211" t="s">
        <v>883</v>
      </c>
      <c r="B3088" s="240" t="s">
        <v>2761</v>
      </c>
    </row>
    <row r="3089" spans="1:2">
      <c r="A3089" s="211" t="s">
        <v>885</v>
      </c>
      <c r="B3089" s="240" t="s">
        <v>2701</v>
      </c>
    </row>
    <row r="3090" spans="1:2">
      <c r="A3090" s="211" t="s">
        <v>887</v>
      </c>
      <c r="B3090" s="240" t="s">
        <v>455</v>
      </c>
    </row>
    <row r="3091" spans="1:2">
      <c r="A3091" s="211" t="s">
        <v>888</v>
      </c>
      <c r="B3091" s="240" t="s">
        <v>3647</v>
      </c>
    </row>
    <row r="3092" spans="1:2">
      <c r="A3092" s="211" t="s">
        <v>890</v>
      </c>
      <c r="B3092" s="240" t="s">
        <v>2762</v>
      </c>
    </row>
    <row r="3093" spans="1:2">
      <c r="A3093" s="211" t="s">
        <v>891</v>
      </c>
      <c r="B3093" s="240" t="s">
        <v>3648</v>
      </c>
    </row>
    <row r="3094" spans="1:2">
      <c r="A3094" s="211" t="s">
        <v>893</v>
      </c>
      <c r="B3094" s="240" t="s">
        <v>3649</v>
      </c>
    </row>
    <row r="3095" spans="1:2">
      <c r="A3095" s="211" t="s">
        <v>895</v>
      </c>
      <c r="B3095" s="240" t="s">
        <v>3650</v>
      </c>
    </row>
    <row r="3096" spans="1:2">
      <c r="A3096" s="211" t="s">
        <v>897</v>
      </c>
      <c r="B3096" s="240" t="s">
        <v>3651</v>
      </c>
    </row>
    <row r="3097" spans="1:2">
      <c r="A3097" s="211" t="s">
        <v>899</v>
      </c>
      <c r="B3097" s="240" t="s">
        <v>3652</v>
      </c>
    </row>
    <row r="3098" spans="1:2">
      <c r="A3098" s="211" t="s">
        <v>901</v>
      </c>
      <c r="B3098" s="240" t="s">
        <v>3653</v>
      </c>
    </row>
    <row r="3099" spans="1:2">
      <c r="A3099" s="211" t="s">
        <v>902</v>
      </c>
      <c r="B3099" s="240" t="s">
        <v>3654</v>
      </c>
    </row>
    <row r="3100" spans="1:2">
      <c r="A3100" s="211" t="s">
        <v>903</v>
      </c>
      <c r="B3100" s="240" t="s">
        <v>3655</v>
      </c>
    </row>
    <row r="3101" spans="1:2">
      <c r="A3101" s="211" t="s">
        <v>904</v>
      </c>
      <c r="B3101" s="240" t="s">
        <v>3656</v>
      </c>
    </row>
    <row r="3102" spans="1:2">
      <c r="A3102" s="211" t="s">
        <v>906</v>
      </c>
      <c r="B3102" s="240" t="s">
        <v>3657</v>
      </c>
    </row>
    <row r="3103" spans="1:2">
      <c r="A3103" s="211" t="s">
        <v>908</v>
      </c>
      <c r="B3103" s="240" t="s">
        <v>3658</v>
      </c>
    </row>
    <row r="3104" spans="1:2">
      <c r="A3104" s="211" t="s">
        <v>910</v>
      </c>
      <c r="B3104" s="240" t="s">
        <v>3659</v>
      </c>
    </row>
    <row r="3105" spans="1:2">
      <c r="A3105" s="211" t="s">
        <v>912</v>
      </c>
      <c r="B3105" s="240" t="s">
        <v>3658</v>
      </c>
    </row>
    <row r="3106" spans="1:2">
      <c r="A3106" s="211" t="s">
        <v>914</v>
      </c>
      <c r="B3106" s="240" t="s">
        <v>3660</v>
      </c>
    </row>
    <row r="3107" spans="1:2">
      <c r="A3107" s="211" t="s">
        <v>915</v>
      </c>
      <c r="B3107" s="240" t="s">
        <v>2789</v>
      </c>
    </row>
    <row r="3108" spans="1:2">
      <c r="A3108" s="211" t="s">
        <v>917</v>
      </c>
      <c r="B3108" s="240" t="s">
        <v>2798</v>
      </c>
    </row>
    <row r="3109" spans="1:2">
      <c r="A3109" s="211" t="s">
        <v>918</v>
      </c>
      <c r="B3109" s="240" t="s">
        <v>1024</v>
      </c>
    </row>
    <row r="3110" spans="1:2">
      <c r="A3110" s="211" t="s">
        <v>920</v>
      </c>
      <c r="B3110" s="240" t="s">
        <v>3661</v>
      </c>
    </row>
    <row r="3111" spans="1:2">
      <c r="A3111" s="211" t="s">
        <v>922</v>
      </c>
      <c r="B3111" s="240" t="s">
        <v>3662</v>
      </c>
    </row>
    <row r="3112" spans="1:2">
      <c r="A3112" s="211" t="s">
        <v>924</v>
      </c>
      <c r="B3112" s="240" t="s">
        <v>3663</v>
      </c>
    </row>
    <row r="3113" spans="1:2">
      <c r="A3113" s="211" t="s">
        <v>926</v>
      </c>
      <c r="B3113" s="240" t="s">
        <v>3664</v>
      </c>
    </row>
    <row r="3114" spans="1:2">
      <c r="A3114" s="211" t="s">
        <v>928</v>
      </c>
      <c r="B3114" s="240" t="s">
        <v>3657</v>
      </c>
    </row>
    <row r="3115" spans="1:2">
      <c r="A3115" s="211" t="s">
        <v>930</v>
      </c>
      <c r="B3115" s="240" t="s">
        <v>3658</v>
      </c>
    </row>
    <row r="3116" spans="1:2">
      <c r="A3116" s="211" t="s">
        <v>932</v>
      </c>
      <c r="B3116" s="240" t="s">
        <v>3665</v>
      </c>
    </row>
    <row r="3117" spans="1:2">
      <c r="A3117" s="211" t="s">
        <v>934</v>
      </c>
      <c r="B3117" s="240" t="s">
        <v>3666</v>
      </c>
    </row>
    <row r="3118" spans="1:2">
      <c r="A3118" s="211" t="s">
        <v>936</v>
      </c>
      <c r="B3118" s="240" t="s">
        <v>3667</v>
      </c>
    </row>
    <row r="3119" spans="1:2">
      <c r="A3119" s="211" t="s">
        <v>938</v>
      </c>
      <c r="B3119" s="240" t="s">
        <v>3668</v>
      </c>
    </row>
    <row r="3120" spans="1:2">
      <c r="A3120" s="211" t="s">
        <v>940</v>
      </c>
      <c r="B3120" s="240" t="s">
        <v>3669</v>
      </c>
    </row>
    <row r="3121" spans="1:2">
      <c r="A3121" s="211" t="s">
        <v>942</v>
      </c>
      <c r="B3121" s="240" t="s">
        <v>3670</v>
      </c>
    </row>
    <row r="3122" spans="1:2">
      <c r="A3122" s="211" t="s">
        <v>944</v>
      </c>
      <c r="B3122" s="240" t="s">
        <v>3671</v>
      </c>
    </row>
    <row r="3123" spans="1:2">
      <c r="A3123" s="211" t="s">
        <v>946</v>
      </c>
      <c r="B3123" s="240" t="s">
        <v>3672</v>
      </c>
    </row>
    <row r="3124" spans="1:2">
      <c r="A3124" s="211" t="s">
        <v>948</v>
      </c>
      <c r="B3124" s="240" t="s">
        <v>3673</v>
      </c>
    </row>
    <row r="3125" spans="1:2">
      <c r="A3125" s="211" t="s">
        <v>950</v>
      </c>
      <c r="B3125" s="240" t="s">
        <v>3674</v>
      </c>
    </row>
    <row r="3126" spans="1:2">
      <c r="A3126" s="211" t="s">
        <v>951</v>
      </c>
      <c r="B3126" s="240" t="s">
        <v>2789</v>
      </c>
    </row>
    <row r="3127" spans="1:2">
      <c r="A3127" s="211" t="s">
        <v>953</v>
      </c>
      <c r="B3127" s="240" t="s">
        <v>3675</v>
      </c>
    </row>
    <row r="3128" spans="1:2">
      <c r="A3128" s="211" t="s">
        <v>955</v>
      </c>
      <c r="B3128" s="240" t="s">
        <v>3676</v>
      </c>
    </row>
    <row r="3129" spans="1:2">
      <c r="A3129" s="211" t="s">
        <v>957</v>
      </c>
      <c r="B3129" s="240" t="s">
        <v>3677</v>
      </c>
    </row>
    <row r="3130" spans="1:2">
      <c r="A3130" s="211" t="s">
        <v>958</v>
      </c>
      <c r="B3130" s="240" t="s">
        <v>3678</v>
      </c>
    </row>
    <row r="3131" spans="1:2">
      <c r="A3131" s="211" t="s">
        <v>960</v>
      </c>
      <c r="B3131" s="240" t="s">
        <v>3679</v>
      </c>
    </row>
    <row r="3132" spans="1:2">
      <c r="A3132" s="211" t="s">
        <v>962</v>
      </c>
      <c r="B3132" s="240" t="s">
        <v>3680</v>
      </c>
    </row>
    <row r="3133" spans="1:2">
      <c r="A3133" s="211" t="s">
        <v>964</v>
      </c>
      <c r="B3133" s="240" t="s">
        <v>686</v>
      </c>
    </row>
    <row r="3134" spans="1:2">
      <c r="A3134" s="211" t="s">
        <v>966</v>
      </c>
      <c r="B3134" s="240" t="s">
        <v>697</v>
      </c>
    </row>
    <row r="3135" spans="1:2">
      <c r="A3135" s="211" t="s">
        <v>968</v>
      </c>
      <c r="B3135" s="240" t="s">
        <v>699</v>
      </c>
    </row>
    <row r="3136" spans="1:2">
      <c r="A3136" s="211" t="s">
        <v>970</v>
      </c>
      <c r="B3136" s="240" t="s">
        <v>455</v>
      </c>
    </row>
    <row r="3137" spans="1:2">
      <c r="A3137" s="211" t="s">
        <v>972</v>
      </c>
      <c r="B3137" s="240" t="s">
        <v>3681</v>
      </c>
    </row>
    <row r="3138" spans="1:2">
      <c r="A3138" s="211" t="s">
        <v>974</v>
      </c>
      <c r="B3138" s="240" t="s">
        <v>3682</v>
      </c>
    </row>
    <row r="3139" spans="1:2">
      <c r="A3139" s="211" t="s">
        <v>976</v>
      </c>
      <c r="B3139" s="240" t="s">
        <v>3683</v>
      </c>
    </row>
    <row r="3140" spans="1:2">
      <c r="A3140" s="211" t="s">
        <v>978</v>
      </c>
      <c r="B3140" s="240" t="s">
        <v>3684</v>
      </c>
    </row>
    <row r="3141" spans="1:2">
      <c r="A3141" s="211" t="s">
        <v>980</v>
      </c>
      <c r="B3141" s="240" t="s">
        <v>3685</v>
      </c>
    </row>
    <row r="3142" spans="1:2">
      <c r="A3142" s="211" t="s">
        <v>982</v>
      </c>
      <c r="B3142" s="240" t="s">
        <v>3686</v>
      </c>
    </row>
    <row r="3143" spans="1:2">
      <c r="A3143" s="211" t="s">
        <v>984</v>
      </c>
      <c r="B3143" s="240" t="s">
        <v>3687</v>
      </c>
    </row>
    <row r="3144" spans="1:2">
      <c r="A3144" s="211" t="s">
        <v>986</v>
      </c>
      <c r="B3144" s="240" t="s">
        <v>3688</v>
      </c>
    </row>
    <row r="3145" spans="1:2">
      <c r="A3145" s="211" t="s">
        <v>987</v>
      </c>
      <c r="B3145" s="240" t="s">
        <v>1294</v>
      </c>
    </row>
    <row r="3146" spans="1:2">
      <c r="A3146" s="211" t="s">
        <v>989</v>
      </c>
      <c r="B3146" s="240" t="s">
        <v>3689</v>
      </c>
    </row>
    <row r="3147" spans="1:2">
      <c r="A3147" s="211" t="s">
        <v>991</v>
      </c>
      <c r="B3147" s="240" t="s">
        <v>3690</v>
      </c>
    </row>
    <row r="3148" spans="1:2">
      <c r="A3148" s="211" t="s">
        <v>993</v>
      </c>
      <c r="B3148" s="240" t="s">
        <v>3691</v>
      </c>
    </row>
    <row r="3149" spans="1:2">
      <c r="A3149" s="211" t="s">
        <v>994</v>
      </c>
      <c r="B3149" s="240" t="s">
        <v>3692</v>
      </c>
    </row>
    <row r="3150" spans="1:2">
      <c r="A3150" s="211" t="s">
        <v>996</v>
      </c>
      <c r="B3150" s="240" t="s">
        <v>3693</v>
      </c>
    </row>
    <row r="3151" spans="1:2">
      <c r="A3151" s="211" t="s">
        <v>998</v>
      </c>
      <c r="B3151" s="240" t="s">
        <v>3694</v>
      </c>
    </row>
    <row r="3152" spans="1:2">
      <c r="A3152" s="211" t="s">
        <v>1000</v>
      </c>
      <c r="B3152" s="240" t="s">
        <v>3695</v>
      </c>
    </row>
    <row r="3153" spans="1:2">
      <c r="A3153" s="211" t="s">
        <v>1001</v>
      </c>
      <c r="B3153" s="240" t="s">
        <v>3696</v>
      </c>
    </row>
    <row r="3154" spans="1:2">
      <c r="A3154" s="211" t="s">
        <v>1003</v>
      </c>
      <c r="B3154" s="240" t="s">
        <v>3697</v>
      </c>
    </row>
    <row r="3155" spans="1:2">
      <c r="A3155" s="211" t="s">
        <v>1005</v>
      </c>
      <c r="B3155" s="240" t="s">
        <v>3698</v>
      </c>
    </row>
    <row r="3156" spans="1:2">
      <c r="A3156" s="211" t="s">
        <v>1006</v>
      </c>
      <c r="B3156" s="240" t="s">
        <v>3699</v>
      </c>
    </row>
    <row r="3157" spans="1:2">
      <c r="A3157" s="211" t="s">
        <v>1008</v>
      </c>
      <c r="B3157" s="240" t="s">
        <v>3700</v>
      </c>
    </row>
    <row r="3158" spans="1:2">
      <c r="A3158" s="211" t="s">
        <v>1010</v>
      </c>
      <c r="B3158" s="240" t="s">
        <v>3701</v>
      </c>
    </row>
    <row r="3159" spans="1:2">
      <c r="A3159" s="211" t="s">
        <v>1011</v>
      </c>
      <c r="B3159" s="240" t="s">
        <v>3702</v>
      </c>
    </row>
    <row r="3160" spans="1:2">
      <c r="A3160" s="211" t="s">
        <v>1013</v>
      </c>
      <c r="B3160" s="240" t="s">
        <v>3703</v>
      </c>
    </row>
    <row r="3161" spans="1:2">
      <c r="A3161" s="211" t="s">
        <v>1015</v>
      </c>
      <c r="B3161" s="240" t="s">
        <v>3704</v>
      </c>
    </row>
    <row r="3162" spans="1:2">
      <c r="A3162" s="211" t="s">
        <v>1017</v>
      </c>
      <c r="B3162" s="240" t="s">
        <v>3705</v>
      </c>
    </row>
    <row r="3163" spans="1:2">
      <c r="A3163" s="211" t="s">
        <v>1019</v>
      </c>
      <c r="B3163" s="240" t="s">
        <v>3706</v>
      </c>
    </row>
    <row r="3164" spans="1:2">
      <c r="A3164" s="211" t="s">
        <v>1021</v>
      </c>
      <c r="B3164" s="240" t="s">
        <v>3707</v>
      </c>
    </row>
    <row r="3165" spans="1:2">
      <c r="A3165" s="211" t="s">
        <v>1023</v>
      </c>
      <c r="B3165" s="240" t="s">
        <v>3708</v>
      </c>
    </row>
    <row r="3166" spans="1:2">
      <c r="A3166" s="211" t="s">
        <v>1025</v>
      </c>
      <c r="B3166" s="240" t="s">
        <v>3709</v>
      </c>
    </row>
    <row r="3167" spans="1:2">
      <c r="A3167" s="211" t="s">
        <v>1026</v>
      </c>
      <c r="B3167" s="240" t="s">
        <v>3710</v>
      </c>
    </row>
    <row r="3168" spans="1:2">
      <c r="A3168" s="211" t="s">
        <v>1027</v>
      </c>
      <c r="B3168" s="240" t="s">
        <v>3711</v>
      </c>
    </row>
    <row r="3169" spans="1:2">
      <c r="A3169" s="211" t="s">
        <v>1028</v>
      </c>
      <c r="B3169" s="240" t="s">
        <v>3712</v>
      </c>
    </row>
    <row r="3170" spans="1:2">
      <c r="A3170" s="211" t="s">
        <v>1029</v>
      </c>
      <c r="B3170" s="240" t="s">
        <v>455</v>
      </c>
    </row>
    <row r="3171" spans="1:2">
      <c r="A3171" s="211" t="s">
        <v>1031</v>
      </c>
      <c r="B3171" s="240" t="s">
        <v>3713</v>
      </c>
    </row>
    <row r="3172" spans="1:2">
      <c r="A3172" s="211" t="s">
        <v>1033</v>
      </c>
      <c r="B3172" s="240" t="s">
        <v>3714</v>
      </c>
    </row>
    <row r="3173" spans="1:2">
      <c r="A3173" s="211" t="s">
        <v>1035</v>
      </c>
      <c r="B3173" s="240" t="s">
        <v>3715</v>
      </c>
    </row>
    <row r="3174" spans="1:2">
      <c r="A3174" s="211" t="s">
        <v>1037</v>
      </c>
      <c r="B3174" s="240" t="s">
        <v>3702</v>
      </c>
    </row>
    <row r="3175" spans="1:2">
      <c r="A3175" s="211" t="s">
        <v>1039</v>
      </c>
      <c r="B3175" s="240" t="s">
        <v>3716</v>
      </c>
    </row>
    <row r="3176" spans="1:2">
      <c r="A3176" s="211" t="s">
        <v>1041</v>
      </c>
      <c r="B3176" s="240" t="s">
        <v>3717</v>
      </c>
    </row>
    <row r="3177" spans="1:2">
      <c r="A3177" s="211" t="s">
        <v>1043</v>
      </c>
      <c r="B3177" s="240" t="s">
        <v>3718</v>
      </c>
    </row>
    <row r="3178" spans="1:2">
      <c r="A3178" s="211" t="s">
        <v>1045</v>
      </c>
      <c r="B3178" s="240" t="s">
        <v>3719</v>
      </c>
    </row>
    <row r="3179" spans="1:2">
      <c r="A3179" s="211" t="s">
        <v>1047</v>
      </c>
      <c r="B3179" s="240" t="s">
        <v>3720</v>
      </c>
    </row>
    <row r="3180" spans="1:2">
      <c r="A3180" s="211" t="s">
        <v>1048</v>
      </c>
      <c r="B3180" s="240" t="s">
        <v>3721</v>
      </c>
    </row>
    <row r="3181" spans="1:2">
      <c r="A3181" s="211" t="s">
        <v>1050</v>
      </c>
      <c r="B3181" s="240" t="s">
        <v>3722</v>
      </c>
    </row>
    <row r="3182" spans="1:2">
      <c r="A3182" s="211" t="s">
        <v>1051</v>
      </c>
      <c r="B3182" s="240" t="s">
        <v>2789</v>
      </c>
    </row>
    <row r="3183" spans="1:2">
      <c r="A3183" s="211" t="s">
        <v>1053</v>
      </c>
      <c r="B3183" s="240" t="s">
        <v>3723</v>
      </c>
    </row>
    <row r="3184" spans="1:2">
      <c r="A3184" s="211" t="s">
        <v>1054</v>
      </c>
      <c r="B3184" s="240" t="s">
        <v>3711</v>
      </c>
    </row>
    <row r="3185" spans="1:2">
      <c r="A3185" s="211" t="s">
        <v>1056</v>
      </c>
      <c r="B3185" s="240" t="s">
        <v>3724</v>
      </c>
    </row>
    <row r="3186" spans="1:2">
      <c r="A3186" s="211" t="s">
        <v>1058</v>
      </c>
      <c r="B3186" s="240" t="s">
        <v>3725</v>
      </c>
    </row>
    <row r="3187" spans="1:2">
      <c r="A3187" s="211" t="s">
        <v>1060</v>
      </c>
      <c r="B3187" s="240" t="s">
        <v>3726</v>
      </c>
    </row>
    <row r="3188" spans="1:2">
      <c r="A3188" s="211" t="s">
        <v>1062</v>
      </c>
      <c r="B3188" s="240" t="s">
        <v>4526</v>
      </c>
    </row>
    <row r="3189" spans="1:2">
      <c r="A3189" s="211" t="s">
        <v>1064</v>
      </c>
      <c r="B3189" s="240" t="s">
        <v>3727</v>
      </c>
    </row>
    <row r="3190" spans="1:2">
      <c r="A3190" s="211" t="s">
        <v>1066</v>
      </c>
      <c r="B3190" s="240" t="s">
        <v>3728</v>
      </c>
    </row>
    <row r="3191" spans="1:2">
      <c r="A3191" s="211" t="s">
        <v>1068</v>
      </c>
      <c r="B3191" s="240" t="s">
        <v>3729</v>
      </c>
    </row>
    <row r="3192" spans="1:2">
      <c r="A3192" s="211" t="s">
        <v>1069</v>
      </c>
      <c r="B3192" s="240" t="s">
        <v>3730</v>
      </c>
    </row>
    <row r="3193" spans="1:2">
      <c r="A3193" s="211" t="s">
        <v>1071</v>
      </c>
      <c r="B3193" s="240" t="s">
        <v>3731</v>
      </c>
    </row>
    <row r="3194" spans="1:2">
      <c r="A3194" s="211" t="s">
        <v>1073</v>
      </c>
      <c r="B3194" s="240" t="s">
        <v>3732</v>
      </c>
    </row>
    <row r="3195" spans="1:2">
      <c r="A3195" s="211" t="s">
        <v>1075</v>
      </c>
      <c r="B3195" s="240" t="s">
        <v>3733</v>
      </c>
    </row>
    <row r="3196" spans="1:2">
      <c r="A3196" s="211" t="s">
        <v>1077</v>
      </c>
      <c r="B3196" s="240" t="s">
        <v>3734</v>
      </c>
    </row>
    <row r="3197" spans="1:2">
      <c r="A3197" s="211" t="s">
        <v>1079</v>
      </c>
      <c r="B3197" s="240" t="s">
        <v>3735</v>
      </c>
    </row>
    <row r="3198" spans="1:2">
      <c r="A3198" s="211" t="s">
        <v>1080</v>
      </c>
      <c r="B3198" s="240" t="s">
        <v>3736</v>
      </c>
    </row>
    <row r="3199" spans="1:2">
      <c r="A3199" s="211" t="s">
        <v>1082</v>
      </c>
      <c r="B3199" s="240" t="s">
        <v>3737</v>
      </c>
    </row>
    <row r="3200" spans="1:2">
      <c r="A3200" s="211" t="s">
        <v>1083</v>
      </c>
      <c r="B3200" s="240" t="s">
        <v>3738</v>
      </c>
    </row>
    <row r="3201" spans="1:2">
      <c r="A3201" s="211" t="s">
        <v>1085</v>
      </c>
      <c r="B3201" s="240" t="s">
        <v>3739</v>
      </c>
    </row>
    <row r="3202" spans="1:2">
      <c r="A3202" s="211" t="s">
        <v>1087</v>
      </c>
      <c r="B3202" s="240" t="s">
        <v>3740</v>
      </c>
    </row>
    <row r="3203" spans="1:2">
      <c r="A3203" s="211" t="s">
        <v>1089</v>
      </c>
      <c r="B3203" s="240" t="s">
        <v>3741</v>
      </c>
    </row>
    <row r="3204" spans="1:2">
      <c r="A3204" s="211" t="s">
        <v>1091</v>
      </c>
      <c r="B3204" s="240" t="s">
        <v>3742</v>
      </c>
    </row>
    <row r="3205" spans="1:2">
      <c r="A3205" s="211" t="s">
        <v>1093</v>
      </c>
      <c r="B3205" s="240" t="s">
        <v>3743</v>
      </c>
    </row>
    <row r="3206" spans="1:2">
      <c r="A3206" s="211" t="s">
        <v>1095</v>
      </c>
      <c r="B3206" s="240" t="s">
        <v>3744</v>
      </c>
    </row>
    <row r="3207" spans="1:2">
      <c r="A3207" s="211" t="s">
        <v>1096</v>
      </c>
      <c r="B3207" s="240" t="s">
        <v>3745</v>
      </c>
    </row>
    <row r="3208" spans="1:2">
      <c r="A3208" s="211" t="s">
        <v>1097</v>
      </c>
      <c r="B3208" s="240" t="s">
        <v>3746</v>
      </c>
    </row>
    <row r="3209" spans="1:2">
      <c r="A3209" s="211" t="s">
        <v>1098</v>
      </c>
      <c r="B3209" s="240" t="s">
        <v>3747</v>
      </c>
    </row>
    <row r="3210" spans="1:2">
      <c r="A3210" s="211" t="s">
        <v>1100</v>
      </c>
      <c r="B3210" s="240" t="s">
        <v>3748</v>
      </c>
    </row>
    <row r="3211" spans="1:2">
      <c r="A3211" s="211" t="s">
        <v>1102</v>
      </c>
      <c r="B3211" s="240" t="s">
        <v>3749</v>
      </c>
    </row>
    <row r="3212" spans="1:2">
      <c r="A3212" s="211" t="s">
        <v>1104</v>
      </c>
      <c r="B3212" s="240" t="s">
        <v>3750</v>
      </c>
    </row>
    <row r="3213" spans="1:2">
      <c r="A3213" s="211" t="s">
        <v>1106</v>
      </c>
      <c r="B3213" s="240" t="s">
        <v>3751</v>
      </c>
    </row>
    <row r="3214" spans="1:2">
      <c r="A3214" s="211" t="s">
        <v>1107</v>
      </c>
      <c r="B3214" s="240" t="s">
        <v>3752</v>
      </c>
    </row>
    <row r="3215" spans="1:2">
      <c r="A3215" s="211" t="s">
        <v>1109</v>
      </c>
      <c r="B3215" s="240" t="s">
        <v>3753</v>
      </c>
    </row>
    <row r="3216" spans="1:2">
      <c r="A3216" s="211" t="s">
        <v>1111</v>
      </c>
      <c r="B3216" s="240" t="s">
        <v>3754</v>
      </c>
    </row>
    <row r="3217" spans="1:2">
      <c r="A3217" s="211" t="s">
        <v>1113</v>
      </c>
      <c r="B3217" s="240" t="s">
        <v>3755</v>
      </c>
    </row>
    <row r="3218" spans="1:2">
      <c r="A3218" s="211" t="s">
        <v>1115</v>
      </c>
      <c r="B3218" s="240" t="s">
        <v>3756</v>
      </c>
    </row>
    <row r="3219" spans="1:2">
      <c r="A3219" s="211" t="s">
        <v>1117</v>
      </c>
      <c r="B3219" s="240" t="s">
        <v>3757</v>
      </c>
    </row>
    <row r="3220" spans="1:2">
      <c r="A3220" s="211" t="s">
        <v>1119</v>
      </c>
      <c r="B3220" s="240" t="s">
        <v>3758</v>
      </c>
    </row>
    <row r="3221" spans="1:2">
      <c r="A3221" s="211" t="s">
        <v>1121</v>
      </c>
      <c r="B3221" s="240" t="s">
        <v>3759</v>
      </c>
    </row>
    <row r="3222" spans="1:2">
      <c r="A3222" s="211" t="s">
        <v>1122</v>
      </c>
      <c r="B3222" s="240" t="s">
        <v>2798</v>
      </c>
    </row>
    <row r="3223" spans="1:2">
      <c r="A3223" s="211" t="s">
        <v>1124</v>
      </c>
      <c r="B3223" s="240" t="s">
        <v>3760</v>
      </c>
    </row>
    <row r="3224" spans="1:2">
      <c r="A3224" s="211" t="s">
        <v>1126</v>
      </c>
      <c r="B3224" s="240" t="s">
        <v>455</v>
      </c>
    </row>
    <row r="3225" spans="1:2">
      <c r="A3225" s="211" t="s">
        <v>1128</v>
      </c>
      <c r="B3225" s="240" t="s">
        <v>3761</v>
      </c>
    </row>
    <row r="3226" spans="1:2">
      <c r="A3226" s="211" t="s">
        <v>1130</v>
      </c>
      <c r="B3226" s="240" t="s">
        <v>3762</v>
      </c>
    </row>
    <row r="3227" spans="1:2">
      <c r="A3227" s="211" t="s">
        <v>1132</v>
      </c>
      <c r="B3227" s="240" t="s">
        <v>3763</v>
      </c>
    </row>
    <row r="3228" spans="1:2">
      <c r="A3228" s="211" t="s">
        <v>1134</v>
      </c>
      <c r="B3228" s="240" t="s">
        <v>3764</v>
      </c>
    </row>
    <row r="3229" spans="1:2">
      <c r="A3229" s="211" t="s">
        <v>1136</v>
      </c>
      <c r="B3229" s="240" t="s">
        <v>3765</v>
      </c>
    </row>
    <row r="3230" spans="1:2">
      <c r="A3230" s="211" t="s">
        <v>1138</v>
      </c>
      <c r="B3230" s="240" t="s">
        <v>3766</v>
      </c>
    </row>
    <row r="3231" spans="1:2">
      <c r="A3231" s="211" t="s">
        <v>1140</v>
      </c>
      <c r="B3231" s="240" t="s">
        <v>3767</v>
      </c>
    </row>
    <row r="3232" spans="1:2">
      <c r="A3232" s="211" t="s">
        <v>1141</v>
      </c>
      <c r="B3232" s="240" t="s">
        <v>3768</v>
      </c>
    </row>
    <row r="3233" spans="1:2">
      <c r="A3233" s="211" t="s">
        <v>1142</v>
      </c>
      <c r="B3233" s="240" t="s">
        <v>4527</v>
      </c>
    </row>
    <row r="3234" spans="1:2">
      <c r="A3234" s="211" t="s">
        <v>1144</v>
      </c>
      <c r="B3234" s="240" t="s">
        <v>3769</v>
      </c>
    </row>
    <row r="3235" spans="1:2">
      <c r="A3235" s="211" t="s">
        <v>1145</v>
      </c>
      <c r="B3235" s="240" t="s">
        <v>3770</v>
      </c>
    </row>
    <row r="3236" spans="1:2">
      <c r="A3236" s="211" t="s">
        <v>1146</v>
      </c>
      <c r="B3236" s="240" t="s">
        <v>3771</v>
      </c>
    </row>
    <row r="3237" spans="1:2">
      <c r="A3237" s="211" t="s">
        <v>1148</v>
      </c>
      <c r="B3237" s="240" t="s">
        <v>3772</v>
      </c>
    </row>
    <row r="3238" spans="1:2">
      <c r="A3238" s="211" t="s">
        <v>1149</v>
      </c>
      <c r="B3238" s="240" t="s">
        <v>3773</v>
      </c>
    </row>
    <row r="3239" spans="1:2">
      <c r="A3239" s="211" t="s">
        <v>1151</v>
      </c>
      <c r="B3239" s="240" t="s">
        <v>3774</v>
      </c>
    </row>
    <row r="3240" spans="1:2">
      <c r="A3240" s="211" t="s">
        <v>1153</v>
      </c>
      <c r="B3240" s="240" t="s">
        <v>3748</v>
      </c>
    </row>
    <row r="3241" spans="1:2">
      <c r="A3241" s="211" t="s">
        <v>1155</v>
      </c>
      <c r="B3241" s="240" t="s">
        <v>3775</v>
      </c>
    </row>
    <row r="3242" spans="1:2">
      <c r="A3242" s="211" t="s">
        <v>1157</v>
      </c>
      <c r="B3242" s="240" t="s">
        <v>3776</v>
      </c>
    </row>
    <row r="3243" spans="1:2">
      <c r="A3243" s="211" t="s">
        <v>1159</v>
      </c>
      <c r="B3243" s="240" t="s">
        <v>3777</v>
      </c>
    </row>
    <row r="3244" spans="1:2">
      <c r="A3244" s="211" t="s">
        <v>1161</v>
      </c>
      <c r="B3244" s="240" t="s">
        <v>3778</v>
      </c>
    </row>
    <row r="3245" spans="1:2">
      <c r="A3245" s="211" t="s">
        <v>1163</v>
      </c>
      <c r="B3245" s="240" t="s">
        <v>3779</v>
      </c>
    </row>
    <row r="3246" spans="1:2">
      <c r="A3246" s="211" t="s">
        <v>1165</v>
      </c>
      <c r="B3246" s="240" t="s">
        <v>3780</v>
      </c>
    </row>
    <row r="3247" spans="1:2">
      <c r="A3247" s="211" t="s">
        <v>1167</v>
      </c>
      <c r="B3247" s="240" t="s">
        <v>3781</v>
      </c>
    </row>
    <row r="3248" spans="1:2">
      <c r="A3248" s="211" t="s">
        <v>1169</v>
      </c>
      <c r="B3248" s="240" t="s">
        <v>3782</v>
      </c>
    </row>
    <row r="3249" spans="1:2">
      <c r="A3249" s="211" t="s">
        <v>1171</v>
      </c>
      <c r="B3249" s="240" t="s">
        <v>3783</v>
      </c>
    </row>
    <row r="3250" spans="1:2">
      <c r="A3250" s="211" t="s">
        <v>1173</v>
      </c>
      <c r="B3250" s="240" t="s">
        <v>3784</v>
      </c>
    </row>
    <row r="3251" spans="1:2">
      <c r="A3251" s="211" t="s">
        <v>1175</v>
      </c>
      <c r="B3251" s="240" t="s">
        <v>3744</v>
      </c>
    </row>
    <row r="3252" spans="1:2">
      <c r="A3252" s="211" t="s">
        <v>1177</v>
      </c>
      <c r="B3252" s="240" t="s">
        <v>3673</v>
      </c>
    </row>
    <row r="3253" spans="1:2">
      <c r="A3253" s="211" t="s">
        <v>1178</v>
      </c>
      <c r="B3253" s="240" t="s">
        <v>3785</v>
      </c>
    </row>
    <row r="3254" spans="1:2">
      <c r="A3254" s="211" t="s">
        <v>1180</v>
      </c>
      <c r="B3254" s="240" t="s">
        <v>2789</v>
      </c>
    </row>
    <row r="3255" spans="1:2">
      <c r="A3255" s="211" t="s">
        <v>1182</v>
      </c>
      <c r="B3255" s="240" t="s">
        <v>3723</v>
      </c>
    </row>
    <row r="3256" spans="1:2">
      <c r="A3256" s="211" t="s">
        <v>1184</v>
      </c>
      <c r="B3256" s="240" t="s">
        <v>3786</v>
      </c>
    </row>
    <row r="3257" spans="1:2">
      <c r="A3257" s="211" t="s">
        <v>1186</v>
      </c>
      <c r="B3257" s="240" t="s">
        <v>3787</v>
      </c>
    </row>
    <row r="3258" spans="1:2">
      <c r="A3258" s="211" t="s">
        <v>1188</v>
      </c>
      <c r="B3258" s="240" t="s">
        <v>4528</v>
      </c>
    </row>
    <row r="3259" spans="1:2">
      <c r="A3259" s="211" t="s">
        <v>1190</v>
      </c>
      <c r="B3259" s="240" t="s">
        <v>3788</v>
      </c>
    </row>
    <row r="3260" spans="1:2">
      <c r="A3260" s="211" t="s">
        <v>1192</v>
      </c>
      <c r="B3260" s="240" t="s">
        <v>3789</v>
      </c>
    </row>
    <row r="3261" spans="1:2">
      <c r="A3261" s="211" t="s">
        <v>1194</v>
      </c>
      <c r="B3261" s="240" t="s">
        <v>3790</v>
      </c>
    </row>
    <row r="3262" spans="1:2">
      <c r="A3262" s="211" t="s">
        <v>1196</v>
      </c>
      <c r="B3262" s="240" t="s">
        <v>3791</v>
      </c>
    </row>
    <row r="3263" spans="1:2">
      <c r="A3263" s="211" t="s">
        <v>1198</v>
      </c>
      <c r="B3263" s="240" t="s">
        <v>3792</v>
      </c>
    </row>
    <row r="3264" spans="1:2">
      <c r="A3264" s="211" t="s">
        <v>1200</v>
      </c>
      <c r="B3264" s="240" t="s">
        <v>3793</v>
      </c>
    </row>
    <row r="3265" spans="1:2">
      <c r="A3265" s="211" t="s">
        <v>1201</v>
      </c>
      <c r="B3265" s="240" t="s">
        <v>3794</v>
      </c>
    </row>
    <row r="3266" spans="1:2">
      <c r="A3266" s="211" t="s">
        <v>1203</v>
      </c>
      <c r="B3266" s="240" t="s">
        <v>3795</v>
      </c>
    </row>
    <row r="3267" spans="1:2">
      <c r="A3267" s="211" t="s">
        <v>1205</v>
      </c>
      <c r="B3267" s="240" t="s">
        <v>3796</v>
      </c>
    </row>
    <row r="3268" spans="1:2">
      <c r="A3268" s="211" t="s">
        <v>1206</v>
      </c>
      <c r="B3268" s="240" t="s">
        <v>3797</v>
      </c>
    </row>
    <row r="3269" spans="1:2">
      <c r="A3269" s="211" t="s">
        <v>1208</v>
      </c>
      <c r="B3269" s="240" t="s">
        <v>3798</v>
      </c>
    </row>
    <row r="3270" spans="1:2">
      <c r="A3270" s="211" t="s">
        <v>1210</v>
      </c>
      <c r="B3270" s="240" t="s">
        <v>3799</v>
      </c>
    </row>
    <row r="3271" spans="1:2">
      <c r="A3271" s="211" t="s">
        <v>1212</v>
      </c>
      <c r="B3271" s="240" t="s">
        <v>3800</v>
      </c>
    </row>
    <row r="3272" spans="1:2">
      <c r="A3272" s="211" t="s">
        <v>1213</v>
      </c>
      <c r="B3272" s="240" t="s">
        <v>3801</v>
      </c>
    </row>
    <row r="3273" spans="1:2">
      <c r="A3273" s="211" t="s">
        <v>1215</v>
      </c>
      <c r="B3273" s="240" t="s">
        <v>3802</v>
      </c>
    </row>
    <row r="3274" spans="1:2">
      <c r="A3274" s="211" t="s">
        <v>1217</v>
      </c>
      <c r="B3274" s="240" t="s">
        <v>3803</v>
      </c>
    </row>
    <row r="3275" spans="1:2">
      <c r="A3275" s="211" t="s">
        <v>1219</v>
      </c>
      <c r="B3275" s="240" t="s">
        <v>3804</v>
      </c>
    </row>
    <row r="3276" spans="1:2">
      <c r="A3276" s="211" t="s">
        <v>1221</v>
      </c>
      <c r="B3276" s="240" t="s">
        <v>3805</v>
      </c>
    </row>
    <row r="3277" spans="1:2">
      <c r="A3277" s="211" t="s">
        <v>1223</v>
      </c>
      <c r="B3277" s="240" t="s">
        <v>3806</v>
      </c>
    </row>
    <row r="3278" spans="1:2">
      <c r="A3278" s="211" t="s">
        <v>1225</v>
      </c>
      <c r="B3278" s="240" t="s">
        <v>3742</v>
      </c>
    </row>
    <row r="3279" spans="1:2">
      <c r="A3279" s="211" t="s">
        <v>1227</v>
      </c>
      <c r="B3279" s="240" t="s">
        <v>3743</v>
      </c>
    </row>
    <row r="3280" spans="1:2">
      <c r="A3280" s="211" t="s">
        <v>1228</v>
      </c>
      <c r="B3280" s="240" t="s">
        <v>3807</v>
      </c>
    </row>
    <row r="3281" spans="1:2">
      <c r="A3281" s="211" t="s">
        <v>1229</v>
      </c>
      <c r="B3281" s="240" t="s">
        <v>3673</v>
      </c>
    </row>
    <row r="3282" spans="1:2">
      <c r="A3282" s="211" t="s">
        <v>1230</v>
      </c>
      <c r="B3282" s="240" t="s">
        <v>3808</v>
      </c>
    </row>
    <row r="3283" spans="1:2">
      <c r="A3283" s="211" t="s">
        <v>1231</v>
      </c>
      <c r="B3283" s="240" t="s">
        <v>3809</v>
      </c>
    </row>
    <row r="3284" spans="1:2">
      <c r="A3284" s="211" t="s">
        <v>1233</v>
      </c>
      <c r="B3284" s="240" t="s">
        <v>3758</v>
      </c>
    </row>
    <row r="3285" spans="1:2">
      <c r="A3285" s="211" t="s">
        <v>1234</v>
      </c>
      <c r="B3285" s="240" t="s">
        <v>3810</v>
      </c>
    </row>
    <row r="3286" spans="1:2">
      <c r="A3286" s="211" t="s">
        <v>1236</v>
      </c>
      <c r="B3286" s="240" t="s">
        <v>3811</v>
      </c>
    </row>
    <row r="3287" spans="1:2">
      <c r="A3287" s="211" t="s">
        <v>1238</v>
      </c>
      <c r="B3287" s="240" t="s">
        <v>3812</v>
      </c>
    </row>
    <row r="3288" spans="1:2">
      <c r="A3288" s="211" t="s">
        <v>1240</v>
      </c>
      <c r="B3288" s="240" t="s">
        <v>3813</v>
      </c>
    </row>
    <row r="3289" spans="1:2">
      <c r="A3289" s="211" t="s">
        <v>1242</v>
      </c>
      <c r="B3289" s="240" t="s">
        <v>3814</v>
      </c>
    </row>
    <row r="3290" spans="1:2">
      <c r="A3290" s="211" t="s">
        <v>1244</v>
      </c>
      <c r="B3290" s="240" t="s">
        <v>3815</v>
      </c>
    </row>
    <row r="3291" spans="1:2">
      <c r="A3291" s="211" t="s">
        <v>1245</v>
      </c>
      <c r="B3291" s="240" t="s">
        <v>3816</v>
      </c>
    </row>
    <row r="3292" spans="1:2">
      <c r="A3292" s="211" t="s">
        <v>1247</v>
      </c>
      <c r="B3292" s="240" t="s">
        <v>3817</v>
      </c>
    </row>
    <row r="3293" spans="1:2">
      <c r="A3293" s="211" t="s">
        <v>1249</v>
      </c>
      <c r="B3293" s="240" t="s">
        <v>3818</v>
      </c>
    </row>
    <row r="3294" spans="1:2">
      <c r="A3294" s="211" t="s">
        <v>1251</v>
      </c>
      <c r="B3294" s="240" t="s">
        <v>3819</v>
      </c>
    </row>
    <row r="3295" spans="1:2">
      <c r="A3295" s="211" t="s">
        <v>1253</v>
      </c>
      <c r="B3295" s="240" t="s">
        <v>3820</v>
      </c>
    </row>
    <row r="3296" spans="1:2">
      <c r="A3296" s="211" t="s">
        <v>1255</v>
      </c>
      <c r="B3296" s="240" t="s">
        <v>3821</v>
      </c>
    </row>
    <row r="3297" spans="1:2">
      <c r="A3297" s="211" t="s">
        <v>1257</v>
      </c>
      <c r="B3297" s="240" t="s">
        <v>3822</v>
      </c>
    </row>
    <row r="3298" spans="1:2">
      <c r="A3298" s="211" t="s">
        <v>1259</v>
      </c>
      <c r="B3298" s="240" t="s">
        <v>3823</v>
      </c>
    </row>
    <row r="3299" spans="1:2">
      <c r="A3299" s="211" t="s">
        <v>1260</v>
      </c>
      <c r="B3299" s="240" t="s">
        <v>3824</v>
      </c>
    </row>
    <row r="3300" spans="1:2">
      <c r="A3300" s="211" t="s">
        <v>1262</v>
      </c>
      <c r="B3300" s="240" t="s">
        <v>3825</v>
      </c>
    </row>
    <row r="3301" spans="1:2">
      <c r="A3301" s="211" t="s">
        <v>1264</v>
      </c>
      <c r="B3301" s="240" t="s">
        <v>3768</v>
      </c>
    </row>
    <row r="3302" spans="1:2">
      <c r="A3302" s="211" t="s">
        <v>1266</v>
      </c>
      <c r="B3302" s="240" t="s">
        <v>3769</v>
      </c>
    </row>
    <row r="3303" spans="1:2">
      <c r="A3303" s="211" t="s">
        <v>1268</v>
      </c>
      <c r="B3303" s="240" t="s">
        <v>3826</v>
      </c>
    </row>
    <row r="3304" spans="1:2">
      <c r="A3304" s="211" t="s">
        <v>1270</v>
      </c>
      <c r="B3304" s="240" t="s">
        <v>3827</v>
      </c>
    </row>
    <row r="3305" spans="1:2">
      <c r="A3305" s="211" t="s">
        <v>1272</v>
      </c>
      <c r="B3305" s="240" t="s">
        <v>2789</v>
      </c>
    </row>
    <row r="3306" spans="1:2">
      <c r="A3306" s="211" t="s">
        <v>1274</v>
      </c>
      <c r="B3306" s="240" t="s">
        <v>3723</v>
      </c>
    </row>
    <row r="3307" spans="1:2">
      <c r="A3307" s="211" t="s">
        <v>1276</v>
      </c>
      <c r="B3307" s="240" t="s">
        <v>3828</v>
      </c>
    </row>
    <row r="3308" spans="1:2">
      <c r="A3308" s="211" t="s">
        <v>1278</v>
      </c>
      <c r="B3308" s="240" t="s">
        <v>3829</v>
      </c>
    </row>
    <row r="3309" spans="1:2">
      <c r="A3309" s="211" t="s">
        <v>1280</v>
      </c>
      <c r="B3309" s="240" t="s">
        <v>3830</v>
      </c>
    </row>
    <row r="3310" spans="1:2">
      <c r="A3310" s="211" t="s">
        <v>1282</v>
      </c>
      <c r="B3310" s="240" t="s">
        <v>3831</v>
      </c>
    </row>
    <row r="3311" spans="1:2">
      <c r="A3311" s="211" t="s">
        <v>1283</v>
      </c>
      <c r="B3311" s="240" t="s">
        <v>3832</v>
      </c>
    </row>
    <row r="3312" spans="1:2">
      <c r="A3312" s="211" t="s">
        <v>1285</v>
      </c>
      <c r="B3312" s="240" t="s">
        <v>3833</v>
      </c>
    </row>
    <row r="3313" spans="1:2">
      <c r="A3313" s="211" t="s">
        <v>1287</v>
      </c>
      <c r="B3313" s="240" t="s">
        <v>985</v>
      </c>
    </row>
    <row r="3314" spans="1:2">
      <c r="A3314" s="211" t="s">
        <v>1289</v>
      </c>
      <c r="B3314" s="240" t="s">
        <v>686</v>
      </c>
    </row>
    <row r="3315" spans="1:2">
      <c r="A3315" s="211" t="s">
        <v>1291</v>
      </c>
      <c r="B3315" s="240" t="s">
        <v>2066</v>
      </c>
    </row>
    <row r="3316" spans="1:2">
      <c r="A3316" s="211" t="s">
        <v>1293</v>
      </c>
      <c r="B3316" s="240" t="s">
        <v>1294</v>
      </c>
    </row>
    <row r="3317" spans="1:2">
      <c r="A3317" s="211" t="s">
        <v>1295</v>
      </c>
      <c r="B3317" s="240" t="s">
        <v>697</v>
      </c>
    </row>
    <row r="3318" spans="1:2">
      <c r="A3318" s="211" t="s">
        <v>1296</v>
      </c>
      <c r="B3318" s="240" t="s">
        <v>2573</v>
      </c>
    </row>
    <row r="3319" spans="1:2">
      <c r="A3319" s="211" t="s">
        <v>1298</v>
      </c>
      <c r="B3319" s="240" t="s">
        <v>455</v>
      </c>
    </row>
    <row r="3320" spans="1:2">
      <c r="A3320" s="211" t="s">
        <v>1300</v>
      </c>
      <c r="B3320" s="240" t="s">
        <v>3834</v>
      </c>
    </row>
    <row r="3321" spans="1:2">
      <c r="A3321" s="211" t="s">
        <v>1302</v>
      </c>
      <c r="B3321" s="240" t="s">
        <v>3835</v>
      </c>
    </row>
    <row r="3322" spans="1:2">
      <c r="A3322" s="211" t="s">
        <v>1304</v>
      </c>
      <c r="B3322" s="240" t="s">
        <v>2706</v>
      </c>
    </row>
    <row r="3323" spans="1:2">
      <c r="A3323" s="211" t="s">
        <v>1306</v>
      </c>
      <c r="B3323" s="240" t="s">
        <v>1214</v>
      </c>
    </row>
    <row r="3324" spans="1:2">
      <c r="A3324" s="211" t="s">
        <v>1307</v>
      </c>
      <c r="B3324" s="240" t="s">
        <v>3836</v>
      </c>
    </row>
    <row r="3325" spans="1:2">
      <c r="A3325" s="211" t="s">
        <v>1308</v>
      </c>
      <c r="B3325" s="240" t="s">
        <v>3837</v>
      </c>
    </row>
    <row r="3326" spans="1:2">
      <c r="A3326" s="211" t="s">
        <v>1309</v>
      </c>
      <c r="B3326" s="240" t="s">
        <v>3838</v>
      </c>
    </row>
    <row r="3327" spans="1:2">
      <c r="A3327" s="211" t="s">
        <v>1310</v>
      </c>
      <c r="B3327" s="240" t="s">
        <v>3839</v>
      </c>
    </row>
    <row r="3328" spans="1:2">
      <c r="A3328" s="211" t="s">
        <v>1312</v>
      </c>
      <c r="B3328" s="240" t="s">
        <v>3840</v>
      </c>
    </row>
    <row r="3329" spans="1:2">
      <c r="A3329" s="211" t="s">
        <v>1314</v>
      </c>
      <c r="B3329" s="240" t="s">
        <v>475</v>
      </c>
    </row>
    <row r="3330" spans="1:2">
      <c r="A3330" s="211" t="s">
        <v>1316</v>
      </c>
      <c r="B3330" s="240" t="s">
        <v>455</v>
      </c>
    </row>
    <row r="3331" spans="1:2">
      <c r="A3331" s="211" t="s">
        <v>1317</v>
      </c>
      <c r="B3331" s="241" t="s">
        <v>3841</v>
      </c>
    </row>
    <row r="3332" spans="1:2">
      <c r="A3332" s="211" t="s">
        <v>1319</v>
      </c>
      <c r="B3332" s="241" t="s">
        <v>3842</v>
      </c>
    </row>
    <row r="3333" spans="1:2">
      <c r="A3333" s="211" t="s">
        <v>1321</v>
      </c>
      <c r="B3333" s="240" t="s">
        <v>3843</v>
      </c>
    </row>
    <row r="3334" spans="1:2">
      <c r="A3334" s="211" t="s">
        <v>1323</v>
      </c>
      <c r="B3334" s="240" t="s">
        <v>4489</v>
      </c>
    </row>
    <row r="3335" spans="1:2">
      <c r="A3335" s="211" t="s">
        <v>1324</v>
      </c>
      <c r="B3335" s="240" t="s">
        <v>3844</v>
      </c>
    </row>
    <row r="3336" spans="1:2">
      <c r="A3336" s="211" t="s">
        <v>1326</v>
      </c>
      <c r="B3336" s="240" t="s">
        <v>3845</v>
      </c>
    </row>
    <row r="3337" spans="1:2">
      <c r="A3337" s="211" t="s">
        <v>1328</v>
      </c>
      <c r="B3337" s="240" t="s">
        <v>3846</v>
      </c>
    </row>
    <row r="3338" spans="1:2">
      <c r="A3338" s="211" t="s">
        <v>1330</v>
      </c>
      <c r="B3338" s="240" t="s">
        <v>3847</v>
      </c>
    </row>
    <row r="3339" spans="1:2">
      <c r="A3339" s="211" t="s">
        <v>1332</v>
      </c>
      <c r="B3339" s="240" t="s">
        <v>473</v>
      </c>
    </row>
    <row r="3340" spans="1:2">
      <c r="A3340" s="211" t="s">
        <v>1333</v>
      </c>
      <c r="B3340" s="240" t="s">
        <v>3848</v>
      </c>
    </row>
    <row r="3341" spans="1:2">
      <c r="A3341" s="211" t="s">
        <v>1334</v>
      </c>
      <c r="B3341" s="240" t="s">
        <v>3849</v>
      </c>
    </row>
    <row r="3342" spans="1:2">
      <c r="A3342" s="211" t="s">
        <v>1335</v>
      </c>
      <c r="B3342" s="240" t="s">
        <v>3850</v>
      </c>
    </row>
    <row r="3343" spans="1:2">
      <c r="A3343" s="211" t="s">
        <v>1336</v>
      </c>
      <c r="B3343" s="240" t="s">
        <v>3851</v>
      </c>
    </row>
    <row r="3344" spans="1:2">
      <c r="A3344" s="211" t="s">
        <v>1337</v>
      </c>
      <c r="B3344" s="240" t="s">
        <v>3852</v>
      </c>
    </row>
    <row r="3345" spans="1:2">
      <c r="A3345" s="211" t="s">
        <v>1339</v>
      </c>
      <c r="B3345" s="240" t="s">
        <v>3853</v>
      </c>
    </row>
    <row r="3346" spans="1:2">
      <c r="A3346" s="211" t="s">
        <v>1341</v>
      </c>
      <c r="B3346" s="240" t="s">
        <v>992</v>
      </c>
    </row>
    <row r="3347" spans="1:2">
      <c r="A3347" s="211" t="s">
        <v>1343</v>
      </c>
      <c r="B3347" s="240" t="s">
        <v>3854</v>
      </c>
    </row>
    <row r="3348" spans="1:2">
      <c r="A3348" s="211" t="s">
        <v>1345</v>
      </c>
      <c r="B3348" s="240" t="s">
        <v>3855</v>
      </c>
    </row>
    <row r="3349" spans="1:2">
      <c r="A3349" s="211" t="s">
        <v>1347</v>
      </c>
      <c r="B3349" s="240" t="s">
        <v>4490</v>
      </c>
    </row>
    <row r="3350" spans="1:2">
      <c r="A3350" s="211" t="s">
        <v>1348</v>
      </c>
      <c r="B3350" s="240" t="s">
        <v>4491</v>
      </c>
    </row>
    <row r="3351" spans="1:2">
      <c r="A3351" s="211" t="s">
        <v>1349</v>
      </c>
      <c r="B3351" s="240" t="s">
        <v>697</v>
      </c>
    </row>
    <row r="3352" spans="1:2">
      <c r="A3352" s="211" t="s">
        <v>1351</v>
      </c>
      <c r="B3352" s="240" t="s">
        <v>473</v>
      </c>
    </row>
    <row r="3353" spans="1:2">
      <c r="A3353" s="211" t="s">
        <v>1353</v>
      </c>
      <c r="B3353" s="240" t="s">
        <v>3856</v>
      </c>
    </row>
    <row r="3354" spans="1:2">
      <c r="A3354" s="211" t="s">
        <v>1354</v>
      </c>
      <c r="B3354" s="240" t="s">
        <v>1361</v>
      </c>
    </row>
    <row r="3355" spans="1:2">
      <c r="A3355" s="211" t="s">
        <v>1356</v>
      </c>
      <c r="B3355" s="240" t="s">
        <v>455</v>
      </c>
    </row>
    <row r="3356" spans="1:2">
      <c r="A3356" s="211" t="s">
        <v>1358</v>
      </c>
      <c r="B3356" s="241" t="s">
        <v>3857</v>
      </c>
    </row>
    <row r="3357" spans="1:2">
      <c r="A3357" s="211" t="s">
        <v>1360</v>
      </c>
      <c r="B3357" s="241" t="s">
        <v>3858</v>
      </c>
    </row>
    <row r="3358" spans="1:2">
      <c r="A3358" s="211" t="s">
        <v>1362</v>
      </c>
      <c r="B3358" s="240" t="s">
        <v>3859</v>
      </c>
    </row>
    <row r="3359" spans="1:2">
      <c r="A3359" s="211" t="s">
        <v>1363</v>
      </c>
      <c r="B3359" s="240" t="s">
        <v>3860</v>
      </c>
    </row>
    <row r="3360" spans="1:2">
      <c r="A3360" s="211" t="s">
        <v>1365</v>
      </c>
      <c r="B3360" s="240" t="s">
        <v>3861</v>
      </c>
    </row>
    <row r="3361" spans="1:2">
      <c r="A3361" s="211" t="s">
        <v>1367</v>
      </c>
      <c r="B3361" s="240" t="s">
        <v>3862</v>
      </c>
    </row>
    <row r="3362" spans="1:2">
      <c r="A3362" s="211" t="s">
        <v>1369</v>
      </c>
      <c r="B3362" s="240" t="s">
        <v>3863</v>
      </c>
    </row>
    <row r="3363" spans="1:2">
      <c r="A3363" s="211" t="s">
        <v>1371</v>
      </c>
      <c r="B3363" s="240" t="s">
        <v>3864</v>
      </c>
    </row>
    <row r="3364" spans="1:2">
      <c r="A3364" s="211" t="s">
        <v>1373</v>
      </c>
      <c r="B3364" s="240" t="s">
        <v>3865</v>
      </c>
    </row>
    <row r="3365" spans="1:2">
      <c r="A3365" s="211" t="s">
        <v>1374</v>
      </c>
      <c r="B3365" s="240" t="s">
        <v>3866</v>
      </c>
    </row>
    <row r="3366" spans="1:2">
      <c r="A3366" s="211" t="s">
        <v>1375</v>
      </c>
      <c r="B3366" s="240" t="s">
        <v>3867</v>
      </c>
    </row>
    <row r="3367" spans="1:2">
      <c r="A3367" s="211" t="s">
        <v>1377</v>
      </c>
      <c r="B3367" s="240" t="s">
        <v>697</v>
      </c>
    </row>
    <row r="3368" spans="1:2">
      <c r="A3368" s="211" t="s">
        <v>1379</v>
      </c>
      <c r="B3368" s="240" t="s">
        <v>3868</v>
      </c>
    </row>
    <row r="3369" spans="1:2">
      <c r="A3369" s="211" t="s">
        <v>1381</v>
      </c>
      <c r="B3369" s="240" t="s">
        <v>3869</v>
      </c>
    </row>
    <row r="3370" spans="1:2">
      <c r="A3370" s="211" t="s">
        <v>1383</v>
      </c>
      <c r="B3370" s="240" t="s">
        <v>3870</v>
      </c>
    </row>
    <row r="3371" spans="1:2">
      <c r="A3371" s="211" t="s">
        <v>1385</v>
      </c>
      <c r="B3371" s="240" t="s">
        <v>3871</v>
      </c>
    </row>
    <row r="3372" spans="1:2">
      <c r="A3372" s="211" t="s">
        <v>1387</v>
      </c>
      <c r="B3372" s="240" t="s">
        <v>3872</v>
      </c>
    </row>
    <row r="3373" spans="1:2">
      <c r="A3373" s="211" t="s">
        <v>1389</v>
      </c>
      <c r="B3373" s="240" t="s">
        <v>3873</v>
      </c>
    </row>
    <row r="3374" spans="1:2">
      <c r="A3374" s="211" t="s">
        <v>1391</v>
      </c>
      <c r="B3374" s="240" t="s">
        <v>3874</v>
      </c>
    </row>
    <row r="3375" spans="1:2">
      <c r="A3375" s="211" t="s">
        <v>1393</v>
      </c>
      <c r="B3375" s="240" t="s">
        <v>3875</v>
      </c>
    </row>
    <row r="3376" spans="1:2">
      <c r="A3376" s="211" t="s">
        <v>1395</v>
      </c>
      <c r="B3376" s="240" t="s">
        <v>3876</v>
      </c>
    </row>
    <row r="3377" spans="1:2">
      <c r="A3377" s="211" t="s">
        <v>1397</v>
      </c>
      <c r="B3377" s="240" t="s">
        <v>3877</v>
      </c>
    </row>
    <row r="3378" spans="1:2">
      <c r="A3378" s="211" t="s">
        <v>1399</v>
      </c>
      <c r="B3378" s="240" t="s">
        <v>3878</v>
      </c>
    </row>
    <row r="3379" spans="1:2">
      <c r="A3379" s="211" t="s">
        <v>1401</v>
      </c>
      <c r="B3379" s="240" t="s">
        <v>3879</v>
      </c>
    </row>
    <row r="3380" spans="1:2">
      <c r="A3380" s="211" t="s">
        <v>1403</v>
      </c>
      <c r="B3380" s="240" t="s">
        <v>3880</v>
      </c>
    </row>
    <row r="3381" spans="1:2">
      <c r="A3381" s="211" t="s">
        <v>1405</v>
      </c>
      <c r="B3381" s="240" t="s">
        <v>3881</v>
      </c>
    </row>
    <row r="3382" spans="1:2">
      <c r="A3382" s="211" t="s">
        <v>1407</v>
      </c>
      <c r="B3382" s="240" t="s">
        <v>3864</v>
      </c>
    </row>
    <row r="3383" spans="1:2">
      <c r="A3383" s="211" t="s">
        <v>1408</v>
      </c>
      <c r="B3383" s="240" t="s">
        <v>3882</v>
      </c>
    </row>
    <row r="3384" spans="1:2">
      <c r="A3384" s="211" t="s">
        <v>1409</v>
      </c>
      <c r="B3384" s="240" t="s">
        <v>3883</v>
      </c>
    </row>
    <row r="3385" spans="1:2">
      <c r="A3385" s="211" t="s">
        <v>1410</v>
      </c>
      <c r="B3385" s="240" t="s">
        <v>3769</v>
      </c>
    </row>
    <row r="3386" spans="1:2">
      <c r="A3386" s="211" t="s">
        <v>1412</v>
      </c>
      <c r="B3386" s="240" t="s">
        <v>3884</v>
      </c>
    </row>
    <row r="3387" spans="1:2">
      <c r="A3387" s="211" t="s">
        <v>1413</v>
      </c>
      <c r="B3387" s="240" t="s">
        <v>3723</v>
      </c>
    </row>
    <row r="3388" spans="1:2">
      <c r="A3388" s="211" t="s">
        <v>1414</v>
      </c>
      <c r="B3388" s="240" t="s">
        <v>3885</v>
      </c>
    </row>
    <row r="3389" spans="1:2">
      <c r="A3389" s="211" t="s">
        <v>1416</v>
      </c>
      <c r="B3389" s="240" t="s">
        <v>985</v>
      </c>
    </row>
    <row r="3390" spans="1:2">
      <c r="A3390" s="211" t="s">
        <v>1418</v>
      </c>
      <c r="B3390" s="240" t="s">
        <v>3866</v>
      </c>
    </row>
    <row r="3391" spans="1:2">
      <c r="A3391" s="211" t="s">
        <v>1420</v>
      </c>
      <c r="B3391" s="240" t="s">
        <v>3886</v>
      </c>
    </row>
    <row r="3392" spans="1:2">
      <c r="A3392" s="211" t="s">
        <v>1422</v>
      </c>
      <c r="B3392" s="240" t="s">
        <v>697</v>
      </c>
    </row>
    <row r="3393" spans="1:2">
      <c r="A3393" s="211" t="s">
        <v>1424</v>
      </c>
      <c r="B3393" s="240" t="s">
        <v>3887</v>
      </c>
    </row>
    <row r="3394" spans="1:2">
      <c r="A3394" s="211" t="s">
        <v>1426</v>
      </c>
      <c r="B3394" s="240" t="s">
        <v>2573</v>
      </c>
    </row>
    <row r="3395" spans="1:2">
      <c r="A3395" s="211" t="s">
        <v>1427</v>
      </c>
      <c r="B3395" s="240" t="s">
        <v>3888</v>
      </c>
    </row>
    <row r="3396" spans="1:2">
      <c r="A3396" s="211" t="s">
        <v>1428</v>
      </c>
      <c r="B3396" s="240" t="s">
        <v>1361</v>
      </c>
    </row>
    <row r="3397" spans="1:2">
      <c r="A3397" s="211" t="s">
        <v>1429</v>
      </c>
      <c r="B3397" s="240" t="s">
        <v>455</v>
      </c>
    </row>
    <row r="3398" spans="1:2">
      <c r="A3398" s="211" t="s">
        <v>1431</v>
      </c>
      <c r="B3398" s="241" t="s">
        <v>3889</v>
      </c>
    </row>
    <row r="3399" spans="1:2">
      <c r="A3399" s="211" t="s">
        <v>1433</v>
      </c>
      <c r="B3399" s="240" t="s">
        <v>3890</v>
      </c>
    </row>
    <row r="3400" spans="1:2">
      <c r="A3400" s="211" t="s">
        <v>1435</v>
      </c>
      <c r="B3400" s="240" t="s">
        <v>3891</v>
      </c>
    </row>
    <row r="3401" spans="1:2">
      <c r="A3401" s="211" t="s">
        <v>1437</v>
      </c>
      <c r="B3401" s="240" t="s">
        <v>3892</v>
      </c>
    </row>
    <row r="3402" spans="1:2">
      <c r="A3402" s="211" t="s">
        <v>1438</v>
      </c>
      <c r="B3402" s="240" t="s">
        <v>3893</v>
      </c>
    </row>
    <row r="3403" spans="1:2">
      <c r="A3403" s="211" t="s">
        <v>1439</v>
      </c>
      <c r="B3403" s="240" t="s">
        <v>3894</v>
      </c>
    </row>
    <row r="3404" spans="1:2">
      <c r="A3404" s="211" t="s">
        <v>1441</v>
      </c>
      <c r="B3404" s="240" t="s">
        <v>3895</v>
      </c>
    </row>
    <row r="3405" spans="1:2">
      <c r="A3405" s="211" t="s">
        <v>1443</v>
      </c>
      <c r="B3405" s="240" t="s">
        <v>832</v>
      </c>
    </row>
    <row r="3406" spans="1:2">
      <c r="A3406" s="211" t="s">
        <v>1445</v>
      </c>
      <c r="B3406" s="240" t="s">
        <v>3896</v>
      </c>
    </row>
    <row r="3407" spans="1:2">
      <c r="A3407" s="211" t="s">
        <v>1447</v>
      </c>
      <c r="B3407" s="240" t="s">
        <v>1361</v>
      </c>
    </row>
    <row r="3408" spans="1:2">
      <c r="A3408" s="211" t="s">
        <v>1449</v>
      </c>
      <c r="B3408" s="240" t="s">
        <v>455</v>
      </c>
    </row>
    <row r="3409" spans="1:2">
      <c r="A3409" s="211" t="s">
        <v>1451</v>
      </c>
      <c r="B3409" s="240" t="s">
        <v>3897</v>
      </c>
    </row>
    <row r="3410" spans="1:2">
      <c r="A3410" s="211" t="s">
        <v>1453</v>
      </c>
      <c r="B3410" s="240" t="s">
        <v>3898</v>
      </c>
    </row>
    <row r="3411" spans="1:2">
      <c r="A3411" s="211" t="s">
        <v>1455</v>
      </c>
      <c r="B3411" s="240" t="s">
        <v>3899</v>
      </c>
    </row>
    <row r="3412" spans="1:2">
      <c r="A3412" s="211" t="s">
        <v>1456</v>
      </c>
      <c r="B3412" s="240" t="s">
        <v>3900</v>
      </c>
    </row>
    <row r="3413" spans="1:2">
      <c r="A3413" s="211" t="s">
        <v>1457</v>
      </c>
      <c r="B3413" s="240" t="s">
        <v>3901</v>
      </c>
    </row>
    <row r="3414" spans="1:2">
      <c r="A3414" s="211" t="s">
        <v>1458</v>
      </c>
      <c r="B3414" s="240" t="s">
        <v>475</v>
      </c>
    </row>
    <row r="3415" spans="1:2">
      <c r="A3415" s="211" t="s">
        <v>1459</v>
      </c>
      <c r="B3415" s="240" t="s">
        <v>455</v>
      </c>
    </row>
    <row r="3416" spans="1:2">
      <c r="A3416" s="211" t="s">
        <v>1461</v>
      </c>
      <c r="B3416" s="240" t="s">
        <v>3902</v>
      </c>
    </row>
    <row r="3417" spans="1:2">
      <c r="A3417" s="211" t="s">
        <v>1463</v>
      </c>
      <c r="B3417" s="240" t="s">
        <v>3903</v>
      </c>
    </row>
    <row r="3418" spans="1:2">
      <c r="A3418" s="211" t="s">
        <v>1464</v>
      </c>
      <c r="B3418" s="240" t="s">
        <v>3904</v>
      </c>
    </row>
    <row r="3419" spans="1:2">
      <c r="A3419" s="211" t="s">
        <v>1465</v>
      </c>
      <c r="B3419" s="240" t="s">
        <v>3905</v>
      </c>
    </row>
    <row r="3420" spans="1:2">
      <c r="A3420" s="211" t="s">
        <v>1467</v>
      </c>
      <c r="B3420" s="240" t="s">
        <v>3906</v>
      </c>
    </row>
    <row r="3421" spans="1:2">
      <c r="A3421" s="211" t="s">
        <v>1469</v>
      </c>
      <c r="B3421" s="240" t="s">
        <v>3907</v>
      </c>
    </row>
    <row r="3422" spans="1:2">
      <c r="A3422" s="211" t="s">
        <v>1470</v>
      </c>
      <c r="B3422" s="240" t="s">
        <v>1361</v>
      </c>
    </row>
    <row r="3423" spans="1:2">
      <c r="A3423" s="211" t="s">
        <v>1471</v>
      </c>
      <c r="B3423" s="240" t="s">
        <v>455</v>
      </c>
    </row>
    <row r="3424" spans="1:2">
      <c r="A3424" s="211" t="s">
        <v>1473</v>
      </c>
      <c r="B3424" s="240" t="s">
        <v>3908</v>
      </c>
    </row>
    <row r="3425" spans="1:2">
      <c r="A3425" s="211" t="s">
        <v>1475</v>
      </c>
      <c r="B3425" s="240" t="s">
        <v>3909</v>
      </c>
    </row>
    <row r="3426" spans="1:2">
      <c r="A3426" s="211" t="s">
        <v>1476</v>
      </c>
      <c r="B3426" s="240" t="s">
        <v>475</v>
      </c>
    </row>
    <row r="3427" spans="1:2">
      <c r="A3427" s="211" t="s">
        <v>1477</v>
      </c>
      <c r="B3427" s="240" t="s">
        <v>455</v>
      </c>
    </row>
    <row r="3428" spans="1:2">
      <c r="A3428" s="211" t="s">
        <v>1479</v>
      </c>
      <c r="B3428" s="240" t="s">
        <v>3910</v>
      </c>
    </row>
    <row r="3429" spans="1:2">
      <c r="A3429" s="211" t="s">
        <v>1481</v>
      </c>
      <c r="B3429" s="240" t="s">
        <v>3911</v>
      </c>
    </row>
    <row r="3430" spans="1:2">
      <c r="A3430" s="211" t="s">
        <v>1483</v>
      </c>
      <c r="B3430" s="240" t="s">
        <v>1361</v>
      </c>
    </row>
    <row r="3431" spans="1:2">
      <c r="A3431" s="211" t="s">
        <v>1484</v>
      </c>
      <c r="B3431" s="240" t="s">
        <v>455</v>
      </c>
    </row>
    <row r="3432" spans="1:2">
      <c r="A3432" s="211" t="s">
        <v>1485</v>
      </c>
      <c r="B3432" s="241" t="s">
        <v>2549</v>
      </c>
    </row>
    <row r="3433" spans="1:2">
      <c r="A3433" s="211" t="s">
        <v>1487</v>
      </c>
      <c r="B3433" s="241" t="s">
        <v>3912</v>
      </c>
    </row>
    <row r="3434" spans="1:2">
      <c r="A3434" s="211" t="s">
        <v>1489</v>
      </c>
      <c r="B3434" s="241" t="s">
        <v>2549</v>
      </c>
    </row>
    <row r="3435" spans="1:2">
      <c r="A3435" s="211" t="s">
        <v>1491</v>
      </c>
      <c r="B3435" s="240" t="s">
        <v>3913</v>
      </c>
    </row>
    <row r="3436" spans="1:2">
      <c r="A3436" s="211" t="s">
        <v>1493</v>
      </c>
      <c r="B3436" s="240" t="s">
        <v>3914</v>
      </c>
    </row>
    <row r="3437" spans="1:2">
      <c r="A3437" s="211" t="s">
        <v>1495</v>
      </c>
      <c r="B3437" s="240" t="s">
        <v>3915</v>
      </c>
    </row>
    <row r="3438" spans="1:2">
      <c r="A3438" s="211" t="s">
        <v>1497</v>
      </c>
      <c r="B3438" s="240" t="s">
        <v>1730</v>
      </c>
    </row>
    <row r="3439" spans="1:2">
      <c r="A3439" s="211" t="s">
        <v>1499</v>
      </c>
      <c r="B3439" s="240" t="s">
        <v>3916</v>
      </c>
    </row>
    <row r="3440" spans="1:2">
      <c r="A3440" s="211" t="s">
        <v>1500</v>
      </c>
      <c r="B3440" s="240" t="s">
        <v>3917</v>
      </c>
    </row>
    <row r="3441" spans="1:2">
      <c r="A3441" s="211" t="s">
        <v>1501</v>
      </c>
      <c r="B3441" s="240" t="s">
        <v>3918</v>
      </c>
    </row>
    <row r="3442" spans="1:2">
      <c r="A3442" s="211" t="s">
        <v>1503</v>
      </c>
      <c r="B3442" s="240" t="s">
        <v>3919</v>
      </c>
    </row>
    <row r="3443" spans="1:2">
      <c r="A3443" s="211" t="s">
        <v>1505</v>
      </c>
      <c r="B3443" s="240" t="s">
        <v>3920</v>
      </c>
    </row>
    <row r="3444" spans="1:2">
      <c r="A3444" s="211" t="s">
        <v>1507</v>
      </c>
      <c r="B3444" s="240" t="s">
        <v>1404</v>
      </c>
    </row>
    <row r="3445" spans="1:2">
      <c r="A3445" s="211" t="s">
        <v>1509</v>
      </c>
      <c r="B3445" s="240" t="s">
        <v>3921</v>
      </c>
    </row>
    <row r="3446" spans="1:2">
      <c r="A3446" s="211" t="s">
        <v>1511</v>
      </c>
      <c r="B3446" s="240" t="s">
        <v>3922</v>
      </c>
    </row>
    <row r="3447" spans="1:2">
      <c r="A3447" s="211" t="s">
        <v>1513</v>
      </c>
      <c r="B3447" s="240" t="s">
        <v>3923</v>
      </c>
    </row>
    <row r="3448" spans="1:2">
      <c r="A3448" s="211" t="s">
        <v>1515</v>
      </c>
      <c r="B3448" s="240" t="s">
        <v>3924</v>
      </c>
    </row>
    <row r="3449" spans="1:2">
      <c r="A3449" s="211" t="s">
        <v>1516</v>
      </c>
      <c r="B3449" s="240" t="s">
        <v>3925</v>
      </c>
    </row>
    <row r="3450" spans="1:2">
      <c r="A3450" s="211" t="s">
        <v>1517</v>
      </c>
      <c r="B3450" s="240" t="s">
        <v>3926</v>
      </c>
    </row>
    <row r="3451" spans="1:2">
      <c r="A3451" s="211" t="s">
        <v>1519</v>
      </c>
      <c r="B3451" s="240" t="s">
        <v>3927</v>
      </c>
    </row>
    <row r="3452" spans="1:2">
      <c r="A3452" s="211" t="s">
        <v>1521</v>
      </c>
      <c r="B3452" s="240" t="s">
        <v>3928</v>
      </c>
    </row>
    <row r="3453" spans="1:2">
      <c r="A3453" s="211" t="s">
        <v>1523</v>
      </c>
      <c r="B3453" s="240" t="s">
        <v>3929</v>
      </c>
    </row>
    <row r="3454" spans="1:2">
      <c r="A3454" s="211" t="s">
        <v>1525</v>
      </c>
      <c r="B3454" s="240" t="s">
        <v>3930</v>
      </c>
    </row>
    <row r="3455" spans="1:2">
      <c r="A3455" s="211" t="s">
        <v>1527</v>
      </c>
      <c r="B3455" s="240" t="s">
        <v>3931</v>
      </c>
    </row>
    <row r="3456" spans="1:2">
      <c r="A3456" s="211" t="s">
        <v>1529</v>
      </c>
      <c r="B3456" s="240" t="s">
        <v>3932</v>
      </c>
    </row>
    <row r="3457" spans="1:2">
      <c r="A3457" s="211" t="s">
        <v>1531</v>
      </c>
      <c r="B3457" s="240" t="s">
        <v>1024</v>
      </c>
    </row>
    <row r="3458" spans="1:2">
      <c r="A3458" s="211" t="s">
        <v>1533</v>
      </c>
      <c r="B3458" s="240" t="s">
        <v>686</v>
      </c>
    </row>
    <row r="3459" spans="1:2">
      <c r="A3459" s="211" t="s">
        <v>1535</v>
      </c>
      <c r="B3459" s="240" t="s">
        <v>697</v>
      </c>
    </row>
    <row r="3460" spans="1:2">
      <c r="A3460" s="211" t="s">
        <v>1537</v>
      </c>
      <c r="B3460" s="240" t="s">
        <v>699</v>
      </c>
    </row>
    <row r="3461" spans="1:2">
      <c r="A3461" s="211" t="s">
        <v>1538</v>
      </c>
      <c r="B3461" s="240" t="s">
        <v>3933</v>
      </c>
    </row>
    <row r="3462" spans="1:2">
      <c r="A3462" s="211" t="s">
        <v>1540</v>
      </c>
      <c r="B3462" s="240" t="s">
        <v>1361</v>
      </c>
    </row>
    <row r="3463" spans="1:2">
      <c r="A3463" s="211" t="s">
        <v>1542</v>
      </c>
      <c r="B3463" s="240" t="s">
        <v>455</v>
      </c>
    </row>
    <row r="3464" spans="1:2">
      <c r="A3464" s="211" t="s">
        <v>1543</v>
      </c>
      <c r="B3464" s="241" t="s">
        <v>3934</v>
      </c>
    </row>
    <row r="3465" spans="1:2">
      <c r="A3465" s="211" t="s">
        <v>1544</v>
      </c>
      <c r="B3465" s="240" t="s">
        <v>3935</v>
      </c>
    </row>
    <row r="3466" spans="1:2">
      <c r="A3466" s="211" t="s">
        <v>1545</v>
      </c>
      <c r="B3466" s="240" t="s">
        <v>3936</v>
      </c>
    </row>
    <row r="3467" spans="1:2">
      <c r="A3467" s="211" t="s">
        <v>1547</v>
      </c>
      <c r="B3467" s="240" t="s">
        <v>1656</v>
      </c>
    </row>
    <row r="3468" spans="1:2">
      <c r="A3468" s="211" t="s">
        <v>1549</v>
      </c>
      <c r="B3468" s="240" t="s">
        <v>1730</v>
      </c>
    </row>
    <row r="3469" spans="1:2">
      <c r="A3469" s="211" t="s">
        <v>1551</v>
      </c>
      <c r="B3469" s="240" t="s">
        <v>3917</v>
      </c>
    </row>
    <row r="3470" spans="1:2">
      <c r="A3470" s="211" t="s">
        <v>1553</v>
      </c>
      <c r="B3470" s="240" t="s">
        <v>3918</v>
      </c>
    </row>
    <row r="3471" spans="1:2">
      <c r="A3471" s="211" t="s">
        <v>1555</v>
      </c>
      <c r="B3471" s="240" t="s">
        <v>3937</v>
      </c>
    </row>
    <row r="3472" spans="1:2">
      <c r="A3472" s="211" t="s">
        <v>1557</v>
      </c>
      <c r="B3472" s="240" t="s">
        <v>699</v>
      </c>
    </row>
    <row r="3473" spans="1:2">
      <c r="A3473" s="211" t="s">
        <v>1558</v>
      </c>
      <c r="B3473" s="240" t="s">
        <v>3938</v>
      </c>
    </row>
    <row r="3474" spans="1:2">
      <c r="A3474" s="211" t="s">
        <v>1559</v>
      </c>
      <c r="B3474" s="240" t="s">
        <v>1361</v>
      </c>
    </row>
    <row r="3475" spans="1:2">
      <c r="A3475" s="211" t="s">
        <v>1561</v>
      </c>
      <c r="B3475" s="240" t="s">
        <v>455</v>
      </c>
    </row>
    <row r="3476" spans="1:2">
      <c r="A3476" s="211" t="s">
        <v>1563</v>
      </c>
      <c r="B3476" s="241" t="s">
        <v>3939</v>
      </c>
    </row>
    <row r="3477" spans="1:2">
      <c r="A3477" s="211" t="s">
        <v>1565</v>
      </c>
      <c r="B3477" s="240" t="s">
        <v>3940</v>
      </c>
    </row>
    <row r="3478" spans="1:2">
      <c r="A3478" s="211" t="s">
        <v>1567</v>
      </c>
      <c r="B3478" s="240" t="s">
        <v>3941</v>
      </c>
    </row>
    <row r="3479" spans="1:2">
      <c r="A3479" s="211" t="s">
        <v>1569</v>
      </c>
      <c r="B3479" s="240" t="s">
        <v>2761</v>
      </c>
    </row>
    <row r="3480" spans="1:2">
      <c r="A3480" s="211" t="s">
        <v>1571</v>
      </c>
      <c r="B3480" s="240" t="s">
        <v>3942</v>
      </c>
    </row>
    <row r="3481" spans="1:2">
      <c r="A3481" s="211" t="s">
        <v>1573</v>
      </c>
      <c r="B3481" s="240" t="s">
        <v>3943</v>
      </c>
    </row>
    <row r="3482" spans="1:2">
      <c r="A3482" s="211" t="s">
        <v>1574</v>
      </c>
      <c r="B3482" s="240" t="s">
        <v>3944</v>
      </c>
    </row>
    <row r="3483" spans="1:2">
      <c r="A3483" s="211" t="s">
        <v>1575</v>
      </c>
      <c r="B3483" s="240" t="s">
        <v>3945</v>
      </c>
    </row>
    <row r="3484" spans="1:2">
      <c r="A3484" s="211" t="s">
        <v>1576</v>
      </c>
      <c r="B3484" s="240" t="s">
        <v>3946</v>
      </c>
    </row>
    <row r="3485" spans="1:2">
      <c r="A3485" s="211" t="s">
        <v>1578</v>
      </c>
      <c r="B3485" s="240" t="s">
        <v>3947</v>
      </c>
    </row>
    <row r="3486" spans="1:2">
      <c r="A3486" s="211" t="s">
        <v>1579</v>
      </c>
      <c r="B3486" s="240" t="s">
        <v>3948</v>
      </c>
    </row>
    <row r="3487" spans="1:2">
      <c r="A3487" s="211" t="s">
        <v>1581</v>
      </c>
      <c r="B3487" s="240" t="s">
        <v>992</v>
      </c>
    </row>
    <row r="3488" spans="1:2">
      <c r="A3488" s="211" t="s">
        <v>1583</v>
      </c>
      <c r="B3488" s="240" t="s">
        <v>3949</v>
      </c>
    </row>
    <row r="3489" spans="1:2">
      <c r="A3489" s="211" t="s">
        <v>1584</v>
      </c>
      <c r="B3489" s="240" t="s">
        <v>475</v>
      </c>
    </row>
    <row r="3490" spans="1:2">
      <c r="A3490" s="211" t="s">
        <v>1586</v>
      </c>
      <c r="B3490" s="240" t="s">
        <v>455</v>
      </c>
    </row>
    <row r="3491" spans="1:2">
      <c r="A3491" s="211" t="s">
        <v>1588</v>
      </c>
      <c r="B3491" s="241" t="s">
        <v>2549</v>
      </c>
    </row>
    <row r="3492" spans="1:2">
      <c r="A3492" s="211" t="s">
        <v>1589</v>
      </c>
      <c r="B3492" s="241" t="s">
        <v>3950</v>
      </c>
    </row>
    <row r="3493" spans="1:2">
      <c r="A3493" s="211" t="s">
        <v>1590</v>
      </c>
      <c r="B3493" s="241" t="s">
        <v>2549</v>
      </c>
    </row>
    <row r="3494" spans="1:2">
      <c r="A3494" s="211" t="s">
        <v>1592</v>
      </c>
      <c r="B3494" s="240" t="s">
        <v>3951</v>
      </c>
    </row>
    <row r="3495" spans="1:2">
      <c r="A3495" s="211" t="s">
        <v>1594</v>
      </c>
      <c r="B3495" s="240" t="s">
        <v>3952</v>
      </c>
    </row>
    <row r="3496" spans="1:2">
      <c r="A3496" s="211" t="s">
        <v>1596</v>
      </c>
      <c r="B3496" s="240" t="s">
        <v>1730</v>
      </c>
    </row>
    <row r="3497" spans="1:2">
      <c r="A3497" s="211" t="s">
        <v>1598</v>
      </c>
      <c r="B3497" s="240" t="s">
        <v>3953</v>
      </c>
    </row>
    <row r="3498" spans="1:2">
      <c r="A3498" s="211" t="s">
        <v>1599</v>
      </c>
      <c r="B3498" s="240" t="s">
        <v>3954</v>
      </c>
    </row>
    <row r="3499" spans="1:2">
      <c r="A3499" s="211" t="s">
        <v>1601</v>
      </c>
      <c r="B3499" s="240" t="s">
        <v>3955</v>
      </c>
    </row>
    <row r="3500" spans="1:2">
      <c r="A3500" s="211" t="s">
        <v>1602</v>
      </c>
      <c r="B3500" s="240" t="s">
        <v>3956</v>
      </c>
    </row>
    <row r="3501" spans="1:2">
      <c r="A3501" s="211" t="s">
        <v>1603</v>
      </c>
      <c r="B3501" s="240" t="s">
        <v>3957</v>
      </c>
    </row>
    <row r="3502" spans="1:2">
      <c r="A3502" s="211" t="s">
        <v>1605</v>
      </c>
      <c r="B3502" s="240" t="s">
        <v>3958</v>
      </c>
    </row>
    <row r="3503" spans="1:2">
      <c r="A3503" s="211" t="s">
        <v>1607</v>
      </c>
      <c r="B3503" s="240" t="s">
        <v>4529</v>
      </c>
    </row>
    <row r="3504" spans="1:2">
      <c r="A3504" s="211" t="s">
        <v>1609</v>
      </c>
      <c r="B3504" s="240" t="s">
        <v>3959</v>
      </c>
    </row>
    <row r="3505" spans="1:2">
      <c r="A3505" s="211" t="s">
        <v>1611</v>
      </c>
      <c r="B3505" s="240" t="s">
        <v>3960</v>
      </c>
    </row>
    <row r="3506" spans="1:2">
      <c r="A3506" s="211" t="s">
        <v>1613</v>
      </c>
      <c r="B3506" s="240" t="s">
        <v>3961</v>
      </c>
    </row>
    <row r="3507" spans="1:2">
      <c r="A3507" s="211" t="s">
        <v>1615</v>
      </c>
      <c r="B3507" s="240" t="s">
        <v>3962</v>
      </c>
    </row>
    <row r="3508" spans="1:2">
      <c r="A3508" s="211" t="s">
        <v>1616</v>
      </c>
      <c r="B3508" s="240" t="s">
        <v>3963</v>
      </c>
    </row>
    <row r="3509" spans="1:2">
      <c r="A3509" s="211" t="s">
        <v>1618</v>
      </c>
      <c r="B3509" s="240" t="s">
        <v>3964</v>
      </c>
    </row>
    <row r="3510" spans="1:2">
      <c r="A3510" s="211" t="s">
        <v>1620</v>
      </c>
      <c r="B3510" s="240" t="s">
        <v>3965</v>
      </c>
    </row>
    <row r="3511" spans="1:2">
      <c r="A3511" s="211" t="s">
        <v>1621</v>
      </c>
      <c r="B3511" s="240" t="s">
        <v>3966</v>
      </c>
    </row>
    <row r="3512" spans="1:2">
      <c r="A3512" s="211" t="s">
        <v>1622</v>
      </c>
      <c r="B3512" s="240" t="s">
        <v>3967</v>
      </c>
    </row>
    <row r="3513" spans="1:2">
      <c r="A3513" s="211" t="s">
        <v>1624</v>
      </c>
      <c r="B3513" s="240" t="s">
        <v>473</v>
      </c>
    </row>
    <row r="3514" spans="1:2">
      <c r="A3514" s="211" t="s">
        <v>1626</v>
      </c>
      <c r="B3514" s="240" t="s">
        <v>455</v>
      </c>
    </row>
    <row r="3515" spans="1:2">
      <c r="A3515" s="211" t="s">
        <v>1627</v>
      </c>
      <c r="B3515" s="240" t="s">
        <v>4530</v>
      </c>
    </row>
    <row r="3516" spans="1:2">
      <c r="A3516" s="211" t="s">
        <v>1629</v>
      </c>
      <c r="B3516" s="240" t="s">
        <v>3968</v>
      </c>
    </row>
    <row r="3517" spans="1:2">
      <c r="A3517" s="211" t="s">
        <v>1630</v>
      </c>
      <c r="B3517" s="240" t="s">
        <v>4531</v>
      </c>
    </row>
    <row r="3518" spans="1:2">
      <c r="A3518" s="211" t="s">
        <v>1632</v>
      </c>
      <c r="B3518" s="240" t="s">
        <v>3969</v>
      </c>
    </row>
    <row r="3519" spans="1:2">
      <c r="A3519" s="211" t="s">
        <v>1634</v>
      </c>
      <c r="B3519" s="240" t="s">
        <v>3970</v>
      </c>
    </row>
    <row r="3520" spans="1:2">
      <c r="A3520" s="211" t="s">
        <v>1636</v>
      </c>
      <c r="B3520" s="240" t="s">
        <v>3971</v>
      </c>
    </row>
    <row r="3521" spans="1:2">
      <c r="A3521" s="211" t="s">
        <v>1637</v>
      </c>
      <c r="B3521" s="240" t="s">
        <v>3972</v>
      </c>
    </row>
    <row r="3522" spans="1:2">
      <c r="A3522" s="211" t="s">
        <v>1638</v>
      </c>
      <c r="B3522" s="240" t="s">
        <v>688</v>
      </c>
    </row>
    <row r="3523" spans="1:2">
      <c r="A3523" s="211" t="s">
        <v>1639</v>
      </c>
      <c r="B3523" s="240" t="s">
        <v>473</v>
      </c>
    </row>
    <row r="3524" spans="1:2">
      <c r="A3524" s="211" t="s">
        <v>1640</v>
      </c>
      <c r="B3524" s="240" t="s">
        <v>455</v>
      </c>
    </row>
    <row r="3525" spans="1:2">
      <c r="A3525" s="211" t="s">
        <v>1642</v>
      </c>
      <c r="B3525" s="240" t="s">
        <v>3973</v>
      </c>
    </row>
    <row r="3526" spans="1:2">
      <c r="A3526" s="211" t="s">
        <v>1644</v>
      </c>
      <c r="B3526" s="240" t="s">
        <v>3917</v>
      </c>
    </row>
    <row r="3527" spans="1:2">
      <c r="A3527" s="211" t="s">
        <v>1646</v>
      </c>
      <c r="B3527" s="240" t="s">
        <v>3974</v>
      </c>
    </row>
    <row r="3528" spans="1:2">
      <c r="A3528" s="211" t="s">
        <v>1648</v>
      </c>
      <c r="B3528" s="240" t="s">
        <v>699</v>
      </c>
    </row>
    <row r="3529" spans="1:2">
      <c r="A3529" s="211" t="s">
        <v>1649</v>
      </c>
      <c r="B3529" s="240" t="s">
        <v>3975</v>
      </c>
    </row>
    <row r="3530" spans="1:2">
      <c r="A3530" s="211" t="s">
        <v>1650</v>
      </c>
      <c r="B3530" s="240" t="s">
        <v>3976</v>
      </c>
    </row>
    <row r="3531" spans="1:2">
      <c r="A3531" s="211" t="s">
        <v>1651</v>
      </c>
      <c r="B3531" s="240" t="s">
        <v>3977</v>
      </c>
    </row>
    <row r="3532" spans="1:2">
      <c r="A3532" s="211" t="s">
        <v>1653</v>
      </c>
      <c r="B3532" s="240" t="s">
        <v>3978</v>
      </c>
    </row>
    <row r="3533" spans="1:2">
      <c r="A3533" s="211" t="s">
        <v>1655</v>
      </c>
      <c r="B3533" s="240" t="s">
        <v>697</v>
      </c>
    </row>
    <row r="3534" spans="1:2">
      <c r="A3534" s="211" t="s">
        <v>1657</v>
      </c>
      <c r="B3534" s="240" t="s">
        <v>3979</v>
      </c>
    </row>
    <row r="3535" spans="1:2">
      <c r="A3535" s="211" t="s">
        <v>1658</v>
      </c>
      <c r="B3535" s="240" t="s">
        <v>3980</v>
      </c>
    </row>
    <row r="3536" spans="1:2">
      <c r="A3536" s="211" t="s">
        <v>1660</v>
      </c>
      <c r="B3536" s="240" t="s">
        <v>3981</v>
      </c>
    </row>
    <row r="3537" spans="1:2">
      <c r="A3537" s="211" t="s">
        <v>1662</v>
      </c>
      <c r="B3537" s="240" t="s">
        <v>3982</v>
      </c>
    </row>
    <row r="3538" spans="1:2">
      <c r="A3538" s="211" t="s">
        <v>1664</v>
      </c>
      <c r="B3538" s="240" t="s">
        <v>3983</v>
      </c>
    </row>
    <row r="3539" spans="1:2">
      <c r="A3539" s="211" t="s">
        <v>1666</v>
      </c>
      <c r="B3539" s="240" t="s">
        <v>473</v>
      </c>
    </row>
    <row r="3540" spans="1:2">
      <c r="A3540" s="211" t="s">
        <v>1668</v>
      </c>
      <c r="B3540" s="240" t="s">
        <v>455</v>
      </c>
    </row>
    <row r="3541" spans="1:2">
      <c r="A3541" s="211" t="s">
        <v>1669</v>
      </c>
      <c r="B3541" s="240" t="s">
        <v>3984</v>
      </c>
    </row>
    <row r="3542" spans="1:2">
      <c r="A3542" s="211" t="s">
        <v>1670</v>
      </c>
      <c r="B3542" s="240" t="s">
        <v>475</v>
      </c>
    </row>
    <row r="3543" spans="1:2">
      <c r="A3543" s="211" t="s">
        <v>1672</v>
      </c>
      <c r="B3543" s="240" t="s">
        <v>455</v>
      </c>
    </row>
    <row r="3544" spans="1:2">
      <c r="A3544" s="211" t="s">
        <v>1673</v>
      </c>
      <c r="B3544" s="240" t="s">
        <v>3985</v>
      </c>
    </row>
    <row r="3545" spans="1:2">
      <c r="A3545" s="211" t="s">
        <v>1674</v>
      </c>
      <c r="B3545" s="240" t="s">
        <v>3986</v>
      </c>
    </row>
    <row r="3546" spans="1:2">
      <c r="A3546" s="211" t="s">
        <v>1676</v>
      </c>
      <c r="B3546" s="240" t="s">
        <v>3987</v>
      </c>
    </row>
    <row r="3547" spans="1:2">
      <c r="A3547" s="211" t="s">
        <v>1678</v>
      </c>
      <c r="B3547" s="240" t="s">
        <v>894</v>
      </c>
    </row>
    <row r="3548" spans="1:2">
      <c r="A3548" s="211" t="s">
        <v>1679</v>
      </c>
      <c r="B3548" s="240" t="s">
        <v>896</v>
      </c>
    </row>
    <row r="3549" spans="1:2">
      <c r="A3549" s="211" t="s">
        <v>1680</v>
      </c>
      <c r="B3549" s="240" t="s">
        <v>911</v>
      </c>
    </row>
    <row r="3550" spans="1:2">
      <c r="A3550" s="211" t="s">
        <v>1682</v>
      </c>
      <c r="B3550" s="240" t="s">
        <v>907</v>
      </c>
    </row>
    <row r="3551" spans="1:2">
      <c r="A3551" s="211" t="s">
        <v>1684</v>
      </c>
      <c r="B3551" s="240" t="s">
        <v>909</v>
      </c>
    </row>
    <row r="3552" spans="1:2">
      <c r="A3552" s="211" t="s">
        <v>1686</v>
      </c>
      <c r="B3552" s="240" t="s">
        <v>913</v>
      </c>
    </row>
    <row r="3553" spans="1:2">
      <c r="A3553" s="211" t="s">
        <v>1687</v>
      </c>
      <c r="B3553" s="240" t="s">
        <v>898</v>
      </c>
    </row>
    <row r="3554" spans="1:2">
      <c r="A3554" s="211" t="s">
        <v>1689</v>
      </c>
      <c r="B3554" s="240" t="s">
        <v>3988</v>
      </c>
    </row>
    <row r="3555" spans="1:2">
      <c r="A3555" s="211" t="s">
        <v>1690</v>
      </c>
      <c r="B3555" s="240" t="s">
        <v>3989</v>
      </c>
    </row>
    <row r="3556" spans="1:2">
      <c r="A3556" s="211" t="s">
        <v>1692</v>
      </c>
      <c r="B3556" s="240" t="s">
        <v>1137</v>
      </c>
    </row>
    <row r="3557" spans="1:2">
      <c r="A3557" s="211" t="s">
        <v>1694</v>
      </c>
      <c r="B3557" s="240" t="s">
        <v>1139</v>
      </c>
    </row>
    <row r="3558" spans="1:2">
      <c r="A3558" s="211" t="s">
        <v>1696</v>
      </c>
      <c r="B3558" s="240" t="s">
        <v>898</v>
      </c>
    </row>
    <row r="3559" spans="1:2">
      <c r="A3559" s="211" t="s">
        <v>1698</v>
      </c>
      <c r="B3559" s="240" t="s">
        <v>3990</v>
      </c>
    </row>
    <row r="3560" spans="1:2">
      <c r="A3560" s="211" t="s">
        <v>1700</v>
      </c>
      <c r="B3560" s="240" t="s">
        <v>3414</v>
      </c>
    </row>
    <row r="3561" spans="1:2">
      <c r="A3561" s="211" t="s">
        <v>1701</v>
      </c>
      <c r="B3561" s="240" t="s">
        <v>907</v>
      </c>
    </row>
    <row r="3562" spans="1:2">
      <c r="A3562" s="211" t="s">
        <v>1702</v>
      </c>
      <c r="B3562" s="240" t="s">
        <v>898</v>
      </c>
    </row>
    <row r="3563" spans="1:2">
      <c r="A3563" s="211" t="s">
        <v>1703</v>
      </c>
      <c r="B3563" s="240" t="s">
        <v>3991</v>
      </c>
    </row>
    <row r="3564" spans="1:2">
      <c r="A3564" s="211" t="s">
        <v>1704</v>
      </c>
      <c r="B3564" s="240" t="s">
        <v>3312</v>
      </c>
    </row>
    <row r="3565" spans="1:2">
      <c r="A3565" s="211" t="s">
        <v>1706</v>
      </c>
      <c r="B3565" s="240" t="s">
        <v>3992</v>
      </c>
    </row>
    <row r="3566" spans="1:2">
      <c r="A3566" s="211" t="s">
        <v>1708</v>
      </c>
      <c r="B3566" s="240" t="s">
        <v>3993</v>
      </c>
    </row>
    <row r="3567" spans="1:2">
      <c r="A3567" s="211" t="s">
        <v>1710</v>
      </c>
      <c r="B3567" s="240" t="s">
        <v>898</v>
      </c>
    </row>
    <row r="3568" spans="1:2">
      <c r="A3568" s="211" t="s">
        <v>1711</v>
      </c>
      <c r="B3568" s="240" t="s">
        <v>3994</v>
      </c>
    </row>
    <row r="3569" spans="1:2">
      <c r="A3569" s="211" t="s">
        <v>1712</v>
      </c>
      <c r="B3569" s="240" t="s">
        <v>3312</v>
      </c>
    </row>
    <row r="3570" spans="1:2">
      <c r="A3570" s="211" t="s">
        <v>1713</v>
      </c>
      <c r="B3570" s="240" t="s">
        <v>4532</v>
      </c>
    </row>
    <row r="3571" spans="1:2">
      <c r="A3571" s="211" t="s">
        <v>1715</v>
      </c>
      <c r="B3571" s="240" t="s">
        <v>898</v>
      </c>
    </row>
    <row r="3572" spans="1:2">
      <c r="A3572" s="211" t="s">
        <v>1717</v>
      </c>
      <c r="B3572" s="240" t="s">
        <v>3995</v>
      </c>
    </row>
    <row r="3573" spans="1:2">
      <c r="A3573" s="211" t="s">
        <v>1718</v>
      </c>
      <c r="B3573" s="240" t="s">
        <v>3312</v>
      </c>
    </row>
    <row r="3574" spans="1:2">
      <c r="A3574" s="211" t="s">
        <v>1719</v>
      </c>
      <c r="B3574" s="240" t="s">
        <v>4532</v>
      </c>
    </row>
    <row r="3575" spans="1:2">
      <c r="A3575" s="211" t="s">
        <v>1721</v>
      </c>
      <c r="B3575" s="240" t="s">
        <v>898</v>
      </c>
    </row>
    <row r="3576" spans="1:2">
      <c r="A3576" s="211" t="s">
        <v>1722</v>
      </c>
      <c r="B3576" s="240" t="s">
        <v>3996</v>
      </c>
    </row>
    <row r="3577" spans="1:2">
      <c r="A3577" s="211" t="s">
        <v>1723</v>
      </c>
      <c r="B3577" s="240" t="s">
        <v>3312</v>
      </c>
    </row>
    <row r="3578" spans="1:2">
      <c r="A3578" s="211" t="s">
        <v>1725</v>
      </c>
      <c r="B3578" s="240" t="s">
        <v>3997</v>
      </c>
    </row>
    <row r="3579" spans="1:2">
      <c r="A3579" s="211" t="s">
        <v>1727</v>
      </c>
      <c r="B3579" s="240" t="s">
        <v>3998</v>
      </c>
    </row>
    <row r="3580" spans="1:2">
      <c r="A3580" s="211" t="s">
        <v>1729</v>
      </c>
      <c r="B3580" s="240" t="s">
        <v>898</v>
      </c>
    </row>
    <row r="3581" spans="1:2">
      <c r="A3581" s="211" t="s">
        <v>1731</v>
      </c>
      <c r="B3581" s="240" t="s">
        <v>3999</v>
      </c>
    </row>
    <row r="3582" spans="1:2">
      <c r="A3582" s="211" t="s">
        <v>1733</v>
      </c>
      <c r="B3582" s="240" t="s">
        <v>3312</v>
      </c>
    </row>
    <row r="3583" spans="1:2">
      <c r="A3583" s="211" t="s">
        <v>1735</v>
      </c>
      <c r="B3583" s="240" t="s">
        <v>3997</v>
      </c>
    </row>
    <row r="3584" spans="1:2">
      <c r="A3584" s="211" t="s">
        <v>1737</v>
      </c>
      <c r="B3584" s="240" t="s">
        <v>4000</v>
      </c>
    </row>
    <row r="3585" spans="1:2">
      <c r="A3585" s="211" t="s">
        <v>1739</v>
      </c>
      <c r="B3585" s="240" t="s">
        <v>898</v>
      </c>
    </row>
    <row r="3586" spans="1:2">
      <c r="A3586" s="211" t="s">
        <v>1740</v>
      </c>
      <c r="B3586" s="240" t="s">
        <v>4001</v>
      </c>
    </row>
    <row r="3587" spans="1:2">
      <c r="A3587" s="211" t="s">
        <v>1742</v>
      </c>
      <c r="B3587" s="240" t="s">
        <v>3312</v>
      </c>
    </row>
    <row r="3588" spans="1:2">
      <c r="A3588" s="211" t="s">
        <v>1743</v>
      </c>
      <c r="B3588" s="240" t="s">
        <v>4002</v>
      </c>
    </row>
    <row r="3589" spans="1:2">
      <c r="A3589" s="211" t="s">
        <v>1745</v>
      </c>
      <c r="B3589" s="240" t="s">
        <v>898</v>
      </c>
    </row>
    <row r="3590" spans="1:2">
      <c r="A3590" s="211" t="s">
        <v>1747</v>
      </c>
      <c r="B3590" s="240" t="s">
        <v>4003</v>
      </c>
    </row>
    <row r="3591" spans="1:2">
      <c r="A3591" s="211" t="s">
        <v>1749</v>
      </c>
      <c r="B3591" s="240" t="s">
        <v>4004</v>
      </c>
    </row>
    <row r="3592" spans="1:2">
      <c r="A3592" s="211" t="s">
        <v>1751</v>
      </c>
      <c r="B3592" s="240" t="s">
        <v>4005</v>
      </c>
    </row>
    <row r="3593" spans="1:2">
      <c r="A3593" s="211" t="s">
        <v>1753</v>
      </c>
      <c r="B3593" s="240" t="s">
        <v>4006</v>
      </c>
    </row>
    <row r="3594" spans="1:2">
      <c r="A3594" s="211" t="s">
        <v>1755</v>
      </c>
      <c r="B3594" s="240" t="s">
        <v>4007</v>
      </c>
    </row>
    <row r="3595" spans="1:2">
      <c r="A3595" s="211" t="s">
        <v>1757</v>
      </c>
      <c r="B3595" s="240" t="s">
        <v>4008</v>
      </c>
    </row>
    <row r="3596" spans="1:2">
      <c r="A3596" s="211" t="s">
        <v>1758</v>
      </c>
      <c r="B3596" s="240" t="s">
        <v>4009</v>
      </c>
    </row>
    <row r="3597" spans="1:2">
      <c r="A3597" s="211" t="s">
        <v>1760</v>
      </c>
      <c r="B3597" s="240" t="s">
        <v>4010</v>
      </c>
    </row>
    <row r="3598" spans="1:2">
      <c r="A3598" s="211" t="s">
        <v>1762</v>
      </c>
      <c r="B3598" s="240" t="s">
        <v>4533</v>
      </c>
    </row>
    <row r="3599" spans="1:2">
      <c r="A3599" s="211" t="s">
        <v>1764</v>
      </c>
      <c r="B3599" s="240" t="s">
        <v>4011</v>
      </c>
    </row>
    <row r="3600" spans="1:2">
      <c r="A3600" s="211" t="s">
        <v>1765</v>
      </c>
      <c r="B3600" s="240" t="s">
        <v>4012</v>
      </c>
    </row>
    <row r="3601" spans="1:2">
      <c r="A3601" s="211" t="s">
        <v>1766</v>
      </c>
      <c r="B3601" s="240" t="s">
        <v>4013</v>
      </c>
    </row>
    <row r="3602" spans="1:2">
      <c r="A3602" s="211" t="s">
        <v>1767</v>
      </c>
      <c r="B3602" s="240" t="s">
        <v>4014</v>
      </c>
    </row>
    <row r="3603" spans="1:2">
      <c r="A3603" s="211" t="s">
        <v>1768</v>
      </c>
      <c r="B3603" s="240" t="s">
        <v>4015</v>
      </c>
    </row>
    <row r="3604" spans="1:2">
      <c r="A3604" s="211" t="s">
        <v>1770</v>
      </c>
      <c r="B3604" s="240" t="s">
        <v>898</v>
      </c>
    </row>
    <row r="3605" spans="1:2">
      <c r="A3605" s="211" t="s">
        <v>1772</v>
      </c>
      <c r="B3605" s="240" t="s">
        <v>475</v>
      </c>
    </row>
    <row r="3606" spans="1:2">
      <c r="A3606" s="211" t="s">
        <v>1774</v>
      </c>
      <c r="B3606" s="240" t="s">
        <v>455</v>
      </c>
    </row>
    <row r="3607" spans="1:2">
      <c r="A3607" s="211" t="s">
        <v>1776</v>
      </c>
      <c r="B3607" s="240" t="s">
        <v>4016</v>
      </c>
    </row>
    <row r="3608" spans="1:2">
      <c r="A3608" s="211" t="s">
        <v>1777</v>
      </c>
      <c r="B3608" s="240" t="s">
        <v>4017</v>
      </c>
    </row>
    <row r="3609" spans="1:2">
      <c r="A3609" s="211" t="s">
        <v>1779</v>
      </c>
      <c r="B3609" s="240" t="s">
        <v>4018</v>
      </c>
    </row>
    <row r="3610" spans="1:2">
      <c r="A3610" s="211" t="s">
        <v>1780</v>
      </c>
      <c r="B3610" s="240" t="s">
        <v>4019</v>
      </c>
    </row>
    <row r="3611" spans="1:2">
      <c r="A3611" s="211" t="s">
        <v>1781</v>
      </c>
      <c r="B3611" s="240" t="s">
        <v>4020</v>
      </c>
    </row>
    <row r="3612" spans="1:2">
      <c r="A3612" s="211" t="s">
        <v>1782</v>
      </c>
      <c r="B3612" s="240" t="s">
        <v>4021</v>
      </c>
    </row>
    <row r="3613" spans="1:2">
      <c r="A3613" s="211" t="s">
        <v>1784</v>
      </c>
      <c r="B3613" s="240" t="s">
        <v>4022</v>
      </c>
    </row>
    <row r="3614" spans="1:2">
      <c r="A3614" s="211" t="s">
        <v>1786</v>
      </c>
      <c r="B3614" s="240" t="s">
        <v>4023</v>
      </c>
    </row>
    <row r="3615" spans="1:2">
      <c r="A3615" s="211" t="s">
        <v>1788</v>
      </c>
      <c r="B3615" s="240" t="s">
        <v>4024</v>
      </c>
    </row>
    <row r="3616" spans="1:2">
      <c r="A3616" s="211" t="s">
        <v>1790</v>
      </c>
      <c r="B3616" s="240" t="s">
        <v>4025</v>
      </c>
    </row>
    <row r="3617" spans="1:2">
      <c r="A3617" s="211" t="s">
        <v>1792</v>
      </c>
      <c r="B3617" s="240" t="s">
        <v>4026</v>
      </c>
    </row>
    <row r="3618" spans="1:2">
      <c r="A3618" s="211" t="s">
        <v>1794</v>
      </c>
      <c r="B3618" s="240" t="s">
        <v>475</v>
      </c>
    </row>
    <row r="3619" spans="1:2">
      <c r="A3619" s="211" t="s">
        <v>1795</v>
      </c>
      <c r="B3619" s="240" t="s">
        <v>455</v>
      </c>
    </row>
    <row r="3620" spans="1:2">
      <c r="A3620" s="211" t="s">
        <v>1796</v>
      </c>
      <c r="B3620" s="241" t="s">
        <v>4027</v>
      </c>
    </row>
    <row r="3621" spans="1:2">
      <c r="A3621" s="211" t="s">
        <v>1797</v>
      </c>
      <c r="B3621" s="240" t="s">
        <v>4028</v>
      </c>
    </row>
    <row r="3622" spans="1:2">
      <c r="A3622" s="211" t="s">
        <v>1799</v>
      </c>
      <c r="B3622" s="240" t="s">
        <v>4029</v>
      </c>
    </row>
    <row r="3623" spans="1:2">
      <c r="A3623" s="211" t="s">
        <v>1800</v>
      </c>
      <c r="B3623" s="240" t="s">
        <v>4030</v>
      </c>
    </row>
    <row r="3624" spans="1:2">
      <c r="A3624" s="211" t="s">
        <v>1802</v>
      </c>
      <c r="B3624" s="240" t="s">
        <v>4031</v>
      </c>
    </row>
    <row r="3625" spans="1:2">
      <c r="A3625" s="211" t="s">
        <v>1803</v>
      </c>
      <c r="B3625" s="240" t="s">
        <v>4032</v>
      </c>
    </row>
    <row r="3626" spans="1:2">
      <c r="A3626" s="211" t="s">
        <v>1805</v>
      </c>
      <c r="B3626" s="240" t="s">
        <v>4033</v>
      </c>
    </row>
    <row r="3627" spans="1:2">
      <c r="A3627" s="211" t="s">
        <v>1807</v>
      </c>
      <c r="B3627" s="240" t="s">
        <v>473</v>
      </c>
    </row>
    <row r="3628" spans="1:2">
      <c r="A3628" s="211" t="s">
        <v>1809</v>
      </c>
      <c r="B3628" s="240" t="s">
        <v>4034</v>
      </c>
    </row>
    <row r="3629" spans="1:2">
      <c r="A3629" s="211" t="s">
        <v>1811</v>
      </c>
      <c r="B3629" s="240" t="s">
        <v>4035</v>
      </c>
    </row>
    <row r="3630" spans="1:2">
      <c r="A3630" s="211" t="s">
        <v>1813</v>
      </c>
      <c r="B3630" s="240" t="s">
        <v>992</v>
      </c>
    </row>
    <row r="3631" spans="1:2">
      <c r="A3631" s="211" t="s">
        <v>1815</v>
      </c>
      <c r="B3631" s="240" t="s">
        <v>1361</v>
      </c>
    </row>
    <row r="3632" spans="1:2">
      <c r="A3632" s="211" t="s">
        <v>1817</v>
      </c>
      <c r="B3632" s="240" t="s">
        <v>455</v>
      </c>
    </row>
    <row r="3633" spans="1:2">
      <c r="A3633" s="211" t="s">
        <v>1819</v>
      </c>
      <c r="B3633" s="241" t="s">
        <v>2549</v>
      </c>
    </row>
    <row r="3634" spans="1:2">
      <c r="A3634" s="211" t="s">
        <v>1820</v>
      </c>
      <c r="B3634" s="241" t="s">
        <v>4036</v>
      </c>
    </row>
    <row r="3635" spans="1:2">
      <c r="A3635" s="211" t="s">
        <v>1822</v>
      </c>
      <c r="B3635" s="241" t="s">
        <v>2549</v>
      </c>
    </row>
    <row r="3636" spans="1:2">
      <c r="A3636" s="211" t="s">
        <v>1824</v>
      </c>
      <c r="B3636" s="240" t="s">
        <v>4037</v>
      </c>
    </row>
    <row r="3637" spans="1:2">
      <c r="A3637" s="211" t="s">
        <v>1826</v>
      </c>
      <c r="B3637" s="240" t="s">
        <v>4038</v>
      </c>
    </row>
    <row r="3638" spans="1:2">
      <c r="A3638" s="211" t="s">
        <v>1828</v>
      </c>
      <c r="B3638" s="240" t="s">
        <v>4039</v>
      </c>
    </row>
    <row r="3639" spans="1:2">
      <c r="A3639" s="211" t="s">
        <v>1830</v>
      </c>
      <c r="B3639" s="240" t="s">
        <v>4040</v>
      </c>
    </row>
    <row r="3640" spans="1:2">
      <c r="A3640" s="211" t="s">
        <v>1832</v>
      </c>
      <c r="B3640" s="240" t="s">
        <v>4041</v>
      </c>
    </row>
    <row r="3641" spans="1:2">
      <c r="A3641" s="211" t="s">
        <v>1833</v>
      </c>
      <c r="B3641" s="240" t="s">
        <v>455</v>
      </c>
    </row>
    <row r="3642" spans="1:2">
      <c r="A3642" s="211" t="s">
        <v>1835</v>
      </c>
      <c r="B3642" s="240" t="s">
        <v>3579</v>
      </c>
    </row>
    <row r="3643" spans="1:2">
      <c r="A3643" s="211" t="s">
        <v>1837</v>
      </c>
      <c r="B3643" s="240" t="s">
        <v>4042</v>
      </c>
    </row>
    <row r="3644" spans="1:2">
      <c r="A3644" s="211" t="s">
        <v>1839</v>
      </c>
      <c r="B3644" s="240" t="s">
        <v>4043</v>
      </c>
    </row>
    <row r="3645" spans="1:2">
      <c r="A3645" s="211" t="s">
        <v>1841</v>
      </c>
      <c r="B3645" s="240" t="s">
        <v>4044</v>
      </c>
    </row>
    <row r="3646" spans="1:2">
      <c r="A3646" s="211" t="s">
        <v>1843</v>
      </c>
      <c r="B3646" s="240" t="s">
        <v>4045</v>
      </c>
    </row>
    <row r="3647" spans="1:2">
      <c r="A3647" s="211" t="s">
        <v>1845</v>
      </c>
      <c r="B3647" s="240" t="s">
        <v>792</v>
      </c>
    </row>
    <row r="3648" spans="1:2">
      <c r="A3648" s="211" t="s">
        <v>1847</v>
      </c>
      <c r="B3648" s="240" t="s">
        <v>794</v>
      </c>
    </row>
    <row r="3649" spans="1:2">
      <c r="A3649" s="211" t="s">
        <v>1849</v>
      </c>
      <c r="B3649" s="240" t="s">
        <v>796</v>
      </c>
    </row>
    <row r="3650" spans="1:2">
      <c r="A3650" s="211" t="s">
        <v>1851</v>
      </c>
      <c r="B3650" s="240" t="s">
        <v>3269</v>
      </c>
    </row>
    <row r="3651" spans="1:2">
      <c r="A3651" s="211" t="s">
        <v>1853</v>
      </c>
      <c r="B3651" s="240" t="s">
        <v>455</v>
      </c>
    </row>
    <row r="3652" spans="1:2">
      <c r="A3652" s="211" t="s">
        <v>1855</v>
      </c>
      <c r="B3652" s="240" t="s">
        <v>3620</v>
      </c>
    </row>
    <row r="3653" spans="1:2">
      <c r="A3653" s="211" t="s">
        <v>1856</v>
      </c>
      <c r="B3653" s="240" t="s">
        <v>4046</v>
      </c>
    </row>
    <row r="3654" spans="1:2">
      <c r="A3654" s="211" t="s">
        <v>1858</v>
      </c>
      <c r="B3654" s="240" t="s">
        <v>3641</v>
      </c>
    </row>
    <row r="3655" spans="1:2">
      <c r="A3655" s="211" t="s">
        <v>1860</v>
      </c>
      <c r="B3655" s="240" t="s">
        <v>4047</v>
      </c>
    </row>
    <row r="3656" spans="1:2">
      <c r="A3656" s="211" t="s">
        <v>1862</v>
      </c>
      <c r="B3656" s="240" t="s">
        <v>832</v>
      </c>
    </row>
    <row r="3657" spans="1:2">
      <c r="A3657" s="211" t="s">
        <v>1864</v>
      </c>
      <c r="B3657" s="240" t="s">
        <v>4048</v>
      </c>
    </row>
    <row r="3658" spans="1:2">
      <c r="A3658" s="211" t="s">
        <v>1865</v>
      </c>
      <c r="B3658" s="240" t="s">
        <v>4049</v>
      </c>
    </row>
    <row r="3659" spans="1:2">
      <c r="A3659" s="211" t="s">
        <v>1867</v>
      </c>
      <c r="B3659" s="240" t="s">
        <v>455</v>
      </c>
    </row>
    <row r="3660" spans="1:2">
      <c r="A3660" s="211" t="s">
        <v>1869</v>
      </c>
      <c r="B3660" s="240" t="s">
        <v>806</v>
      </c>
    </row>
    <row r="3661" spans="1:2">
      <c r="A3661" s="211" t="s">
        <v>1871</v>
      </c>
      <c r="B3661" s="240" t="s">
        <v>3270</v>
      </c>
    </row>
    <row r="3662" spans="1:2">
      <c r="A3662" s="211" t="s">
        <v>1872</v>
      </c>
      <c r="B3662" s="240" t="s">
        <v>4050</v>
      </c>
    </row>
    <row r="3663" spans="1:2">
      <c r="A3663" s="211" t="s">
        <v>1873</v>
      </c>
      <c r="B3663" s="240" t="s">
        <v>2616</v>
      </c>
    </row>
    <row r="3664" spans="1:2">
      <c r="A3664" s="211" t="s">
        <v>1874</v>
      </c>
      <c r="B3664" s="240" t="s">
        <v>911</v>
      </c>
    </row>
    <row r="3665" spans="1:2">
      <c r="A3665" s="211" t="s">
        <v>1876</v>
      </c>
      <c r="B3665" s="240" t="s">
        <v>3273</v>
      </c>
    </row>
    <row r="3666" spans="1:2">
      <c r="A3666" s="211" t="s">
        <v>1877</v>
      </c>
      <c r="B3666" s="240" t="s">
        <v>898</v>
      </c>
    </row>
    <row r="3667" spans="1:2">
      <c r="A3667" s="211" t="s">
        <v>1879</v>
      </c>
      <c r="B3667" s="240" t="s">
        <v>4051</v>
      </c>
    </row>
    <row r="3668" spans="1:2">
      <c r="A3668" s="211" t="s">
        <v>1881</v>
      </c>
      <c r="B3668" s="240" t="s">
        <v>4052</v>
      </c>
    </row>
    <row r="3669" spans="1:2">
      <c r="A3669" s="211" t="s">
        <v>1882</v>
      </c>
      <c r="B3669" s="240" t="s">
        <v>4534</v>
      </c>
    </row>
    <row r="3670" spans="1:2">
      <c r="A3670" s="211" t="s">
        <v>1884</v>
      </c>
      <c r="B3670" s="240" t="s">
        <v>4053</v>
      </c>
    </row>
    <row r="3671" spans="1:2">
      <c r="A3671" s="211" t="s">
        <v>1886</v>
      </c>
      <c r="B3671" s="240" t="s">
        <v>4054</v>
      </c>
    </row>
    <row r="3672" spans="1:2">
      <c r="A3672" s="211" t="s">
        <v>1888</v>
      </c>
      <c r="B3672" s="240" t="s">
        <v>455</v>
      </c>
    </row>
    <row r="3673" spans="1:2">
      <c r="A3673" s="211" t="s">
        <v>1890</v>
      </c>
      <c r="B3673" s="240" t="s">
        <v>4055</v>
      </c>
    </row>
    <row r="3674" spans="1:2">
      <c r="A3674" s="211" t="s">
        <v>1891</v>
      </c>
      <c r="B3674" s="240" t="s">
        <v>4056</v>
      </c>
    </row>
    <row r="3675" spans="1:2">
      <c r="A3675" s="211" t="s">
        <v>1893</v>
      </c>
      <c r="B3675" s="240" t="s">
        <v>4535</v>
      </c>
    </row>
    <row r="3676" spans="1:2">
      <c r="A3676" s="211" t="s">
        <v>1895</v>
      </c>
      <c r="B3676" s="240" t="s">
        <v>4057</v>
      </c>
    </row>
    <row r="3677" spans="1:2">
      <c r="A3677" s="211" t="s">
        <v>1897</v>
      </c>
      <c r="B3677" s="240" t="s">
        <v>4058</v>
      </c>
    </row>
    <row r="3678" spans="1:2">
      <c r="A3678" s="211" t="s">
        <v>1899</v>
      </c>
      <c r="B3678" s="240" t="s">
        <v>4059</v>
      </c>
    </row>
    <row r="3679" spans="1:2">
      <c r="A3679" s="211" t="s">
        <v>1900</v>
      </c>
      <c r="B3679" s="240" t="s">
        <v>4060</v>
      </c>
    </row>
    <row r="3680" spans="1:2">
      <c r="A3680" s="211" t="s">
        <v>1901</v>
      </c>
      <c r="B3680" s="240" t="s">
        <v>4061</v>
      </c>
    </row>
    <row r="3681" spans="1:2">
      <c r="A3681" s="211" t="s">
        <v>1903</v>
      </c>
      <c r="B3681" s="240" t="s">
        <v>2572</v>
      </c>
    </row>
    <row r="3682" spans="1:2">
      <c r="A3682" s="211" t="s">
        <v>1905</v>
      </c>
      <c r="B3682" s="240" t="s">
        <v>4062</v>
      </c>
    </row>
    <row r="3683" spans="1:2">
      <c r="A3683" s="211" t="s">
        <v>1907</v>
      </c>
      <c r="B3683" s="240" t="s">
        <v>4063</v>
      </c>
    </row>
    <row r="3684" spans="1:2">
      <c r="A3684" s="211" t="s">
        <v>1909</v>
      </c>
      <c r="B3684" s="240" t="s">
        <v>4064</v>
      </c>
    </row>
    <row r="3685" spans="1:2">
      <c r="A3685" s="211" t="s">
        <v>1911</v>
      </c>
      <c r="B3685" s="240" t="s">
        <v>4065</v>
      </c>
    </row>
    <row r="3686" spans="1:2">
      <c r="A3686" s="211" t="s">
        <v>1913</v>
      </c>
      <c r="B3686" s="240" t="s">
        <v>455</v>
      </c>
    </row>
    <row r="3687" spans="1:2">
      <c r="A3687" s="211" t="s">
        <v>1914</v>
      </c>
      <c r="B3687" s="240" t="s">
        <v>3262</v>
      </c>
    </row>
    <row r="3688" spans="1:2">
      <c r="A3688" s="211" t="s">
        <v>1915</v>
      </c>
      <c r="B3688" s="240" t="s">
        <v>4066</v>
      </c>
    </row>
    <row r="3689" spans="1:2">
      <c r="A3689" s="211" t="s">
        <v>1917</v>
      </c>
      <c r="B3689" s="240" t="s">
        <v>4067</v>
      </c>
    </row>
    <row r="3690" spans="1:2">
      <c r="A3690" s="211" t="s">
        <v>1919</v>
      </c>
      <c r="B3690" s="240" t="s">
        <v>3636</v>
      </c>
    </row>
    <row r="3691" spans="1:2">
      <c r="A3691" s="211" t="s">
        <v>1921</v>
      </c>
      <c r="B3691" s="240" t="s">
        <v>4068</v>
      </c>
    </row>
    <row r="3692" spans="1:2">
      <c r="A3692" s="211" t="s">
        <v>1923</v>
      </c>
      <c r="B3692" s="240" t="s">
        <v>4069</v>
      </c>
    </row>
    <row r="3693" spans="1:2">
      <c r="A3693" s="211" t="s">
        <v>1925</v>
      </c>
      <c r="B3693" s="240" t="s">
        <v>699</v>
      </c>
    </row>
    <row r="3694" spans="1:2">
      <c r="A3694" s="211" t="s">
        <v>1927</v>
      </c>
      <c r="B3694" s="240" t="s">
        <v>4070</v>
      </c>
    </row>
    <row r="3695" spans="1:2">
      <c r="A3695" s="211" t="s">
        <v>1929</v>
      </c>
      <c r="B3695" s="240" t="s">
        <v>4071</v>
      </c>
    </row>
    <row r="3696" spans="1:2">
      <c r="A3696" s="211" t="s">
        <v>1931</v>
      </c>
      <c r="B3696" s="240" t="s">
        <v>4072</v>
      </c>
    </row>
    <row r="3697" spans="1:2">
      <c r="A3697" s="211" t="s">
        <v>1933</v>
      </c>
      <c r="B3697" s="240" t="s">
        <v>4073</v>
      </c>
    </row>
    <row r="3698" spans="1:2">
      <c r="A3698" s="211" t="s">
        <v>1935</v>
      </c>
      <c r="B3698" s="240" t="s">
        <v>4074</v>
      </c>
    </row>
    <row r="3699" spans="1:2">
      <c r="A3699" s="211" t="s">
        <v>1937</v>
      </c>
      <c r="B3699" s="240" t="s">
        <v>4075</v>
      </c>
    </row>
    <row r="3700" spans="1:2">
      <c r="A3700" s="211" t="s">
        <v>1938</v>
      </c>
      <c r="B3700" s="240" t="s">
        <v>4076</v>
      </c>
    </row>
    <row r="3701" spans="1:2">
      <c r="A3701" s="211" t="s">
        <v>1939</v>
      </c>
      <c r="B3701" s="240" t="s">
        <v>4077</v>
      </c>
    </row>
    <row r="3702" spans="1:2">
      <c r="A3702" s="211" t="s">
        <v>1940</v>
      </c>
      <c r="B3702" s="240" t="s">
        <v>4078</v>
      </c>
    </row>
    <row r="3703" spans="1:2">
      <c r="A3703" s="211" t="s">
        <v>1941</v>
      </c>
      <c r="B3703" s="240" t="s">
        <v>4079</v>
      </c>
    </row>
    <row r="3704" spans="1:2">
      <c r="A3704" s="211" t="s">
        <v>1943</v>
      </c>
      <c r="B3704" s="240" t="s">
        <v>4080</v>
      </c>
    </row>
    <row r="3705" spans="1:2">
      <c r="A3705" s="211" t="s">
        <v>1945</v>
      </c>
      <c r="B3705" s="240" t="s">
        <v>4081</v>
      </c>
    </row>
    <row r="3706" spans="1:2">
      <c r="A3706" s="211" t="s">
        <v>1947</v>
      </c>
      <c r="B3706" s="240" t="s">
        <v>4082</v>
      </c>
    </row>
    <row r="3707" spans="1:2">
      <c r="A3707" s="211" t="s">
        <v>1948</v>
      </c>
      <c r="B3707" s="240" t="s">
        <v>4083</v>
      </c>
    </row>
    <row r="3708" spans="1:2">
      <c r="A3708" s="211" t="s">
        <v>1949</v>
      </c>
      <c r="B3708" s="240" t="s">
        <v>4084</v>
      </c>
    </row>
    <row r="3709" spans="1:2">
      <c r="A3709" s="211" t="s">
        <v>1951</v>
      </c>
      <c r="B3709" s="240" t="s">
        <v>4085</v>
      </c>
    </row>
    <row r="3710" spans="1:2">
      <c r="A3710" s="211" t="s">
        <v>1952</v>
      </c>
      <c r="B3710" s="240" t="s">
        <v>4086</v>
      </c>
    </row>
    <row r="3711" spans="1:2">
      <c r="A3711" s="211" t="s">
        <v>1953</v>
      </c>
      <c r="B3711" s="240" t="s">
        <v>4087</v>
      </c>
    </row>
    <row r="3712" spans="1:2">
      <c r="A3712" s="211" t="s">
        <v>1955</v>
      </c>
      <c r="B3712" s="240" t="s">
        <v>4088</v>
      </c>
    </row>
    <row r="3713" spans="1:2">
      <c r="A3713" s="211" t="s">
        <v>1957</v>
      </c>
      <c r="B3713" s="240" t="s">
        <v>4089</v>
      </c>
    </row>
    <row r="3714" spans="1:2">
      <c r="A3714" s="211" t="s">
        <v>1959</v>
      </c>
      <c r="B3714" s="240" t="s">
        <v>4090</v>
      </c>
    </row>
    <row r="3715" spans="1:2">
      <c r="A3715" s="211" t="s">
        <v>1960</v>
      </c>
      <c r="B3715" s="240" t="s">
        <v>2798</v>
      </c>
    </row>
    <row r="3716" spans="1:2">
      <c r="A3716" s="211" t="s">
        <v>1961</v>
      </c>
      <c r="B3716" s="240" t="s">
        <v>985</v>
      </c>
    </row>
    <row r="3717" spans="1:2">
      <c r="A3717" s="211" t="s">
        <v>1962</v>
      </c>
      <c r="B3717" s="240" t="s">
        <v>4091</v>
      </c>
    </row>
    <row r="3718" spans="1:2">
      <c r="A3718" s="211" t="s">
        <v>1964</v>
      </c>
      <c r="B3718" s="240" t="s">
        <v>4092</v>
      </c>
    </row>
    <row r="3719" spans="1:2">
      <c r="A3719" s="211" t="s">
        <v>1965</v>
      </c>
      <c r="B3719" s="240" t="s">
        <v>4093</v>
      </c>
    </row>
    <row r="3720" spans="1:2">
      <c r="A3720" s="211" t="s">
        <v>1967</v>
      </c>
      <c r="B3720" s="240" t="s">
        <v>4094</v>
      </c>
    </row>
    <row r="3721" spans="1:2">
      <c r="A3721" s="211" t="s">
        <v>1969</v>
      </c>
      <c r="B3721" s="240" t="s">
        <v>686</v>
      </c>
    </row>
    <row r="3722" spans="1:2">
      <c r="A3722" s="211" t="s">
        <v>1970</v>
      </c>
      <c r="B3722" s="240" t="s">
        <v>4095</v>
      </c>
    </row>
    <row r="3723" spans="1:2">
      <c r="A3723" s="211" t="s">
        <v>1972</v>
      </c>
      <c r="B3723" s="240" t="s">
        <v>4096</v>
      </c>
    </row>
    <row r="3724" spans="1:2">
      <c r="A3724" s="211" t="s">
        <v>1974</v>
      </c>
      <c r="B3724" s="240" t="s">
        <v>2577</v>
      </c>
    </row>
    <row r="3725" spans="1:2">
      <c r="A3725" s="211" t="s">
        <v>1976</v>
      </c>
      <c r="B3725" s="240" t="s">
        <v>2573</v>
      </c>
    </row>
    <row r="3726" spans="1:2">
      <c r="A3726" s="211" t="s">
        <v>1978</v>
      </c>
      <c r="B3726" s="240" t="s">
        <v>4097</v>
      </c>
    </row>
    <row r="3727" spans="1:2">
      <c r="A3727" s="211" t="s">
        <v>1980</v>
      </c>
      <c r="B3727" s="240" t="s">
        <v>4098</v>
      </c>
    </row>
    <row r="3728" spans="1:2">
      <c r="A3728" s="211" t="s">
        <v>1982</v>
      </c>
      <c r="B3728" s="240" t="s">
        <v>455</v>
      </c>
    </row>
    <row r="3729" spans="1:2">
      <c r="A3729" s="211" t="s">
        <v>1984</v>
      </c>
      <c r="B3729" s="240" t="s">
        <v>4099</v>
      </c>
    </row>
    <row r="3730" spans="1:2">
      <c r="A3730" s="211" t="s">
        <v>1985</v>
      </c>
      <c r="B3730" s="240" t="s">
        <v>4100</v>
      </c>
    </row>
    <row r="3731" spans="1:2">
      <c r="A3731" s="211" t="s">
        <v>1987</v>
      </c>
      <c r="B3731" s="240" t="s">
        <v>4101</v>
      </c>
    </row>
    <row r="3732" spans="1:2">
      <c r="A3732" s="211" t="s">
        <v>1988</v>
      </c>
      <c r="B3732" s="240" t="s">
        <v>4102</v>
      </c>
    </row>
    <row r="3733" spans="1:2">
      <c r="A3733" s="211" t="s">
        <v>1990</v>
      </c>
      <c r="B3733" s="240" t="s">
        <v>4103</v>
      </c>
    </row>
    <row r="3734" spans="1:2">
      <c r="A3734" s="211" t="s">
        <v>1992</v>
      </c>
      <c r="B3734" s="240" t="s">
        <v>455</v>
      </c>
    </row>
    <row r="3735" spans="1:2">
      <c r="A3735" s="211" t="s">
        <v>1994</v>
      </c>
      <c r="B3735" s="240" t="s">
        <v>4104</v>
      </c>
    </row>
    <row r="3736" spans="1:2">
      <c r="A3736" s="211" t="s">
        <v>1995</v>
      </c>
      <c r="B3736" s="240" t="s">
        <v>4105</v>
      </c>
    </row>
    <row r="3737" spans="1:2">
      <c r="A3737" s="211" t="s">
        <v>1997</v>
      </c>
      <c r="B3737" s="240" t="s">
        <v>4106</v>
      </c>
    </row>
    <row r="3738" spans="1:2">
      <c r="A3738" s="211" t="s">
        <v>1999</v>
      </c>
      <c r="B3738" s="240" t="s">
        <v>4107</v>
      </c>
    </row>
    <row r="3739" spans="1:2">
      <c r="A3739" s="211" t="s">
        <v>2001</v>
      </c>
      <c r="B3739" s="240" t="s">
        <v>4108</v>
      </c>
    </row>
    <row r="3740" spans="1:2">
      <c r="A3740" s="211" t="s">
        <v>2003</v>
      </c>
      <c r="B3740" s="240" t="s">
        <v>4109</v>
      </c>
    </row>
    <row r="3741" spans="1:2">
      <c r="A3741" s="211" t="s">
        <v>2005</v>
      </c>
      <c r="B3741" s="240" t="s">
        <v>4110</v>
      </c>
    </row>
    <row r="3742" spans="1:2">
      <c r="A3742" s="211" t="s">
        <v>2006</v>
      </c>
      <c r="B3742" s="240" t="s">
        <v>4111</v>
      </c>
    </row>
    <row r="3743" spans="1:2">
      <c r="A3743" s="211" t="s">
        <v>2008</v>
      </c>
      <c r="B3743" s="240" t="s">
        <v>4112</v>
      </c>
    </row>
    <row r="3744" spans="1:2">
      <c r="A3744" s="211" t="s">
        <v>2010</v>
      </c>
      <c r="B3744" s="240" t="s">
        <v>4113</v>
      </c>
    </row>
    <row r="3745" spans="1:2">
      <c r="A3745" s="211" t="s">
        <v>2011</v>
      </c>
      <c r="B3745" s="240" t="s">
        <v>1357</v>
      </c>
    </row>
    <row r="3746" spans="1:2">
      <c r="A3746" s="211" t="s">
        <v>2013</v>
      </c>
      <c r="B3746" s="240" t="s">
        <v>4114</v>
      </c>
    </row>
    <row r="3747" spans="1:2">
      <c r="A3747" s="211" t="s">
        <v>2015</v>
      </c>
      <c r="B3747" s="240" t="s">
        <v>4115</v>
      </c>
    </row>
    <row r="3748" spans="1:2">
      <c r="A3748" s="211" t="s">
        <v>2017</v>
      </c>
      <c r="B3748" s="240" t="s">
        <v>4116</v>
      </c>
    </row>
    <row r="3749" spans="1:2">
      <c r="A3749" s="211" t="s">
        <v>2018</v>
      </c>
      <c r="B3749" s="240" t="s">
        <v>4117</v>
      </c>
    </row>
    <row r="3750" spans="1:2">
      <c r="A3750" s="211" t="s">
        <v>2019</v>
      </c>
      <c r="B3750" s="240" t="s">
        <v>4118</v>
      </c>
    </row>
    <row r="3751" spans="1:2">
      <c r="A3751" s="211" t="s">
        <v>2020</v>
      </c>
      <c r="B3751" s="240" t="s">
        <v>4119</v>
      </c>
    </row>
    <row r="3752" spans="1:2">
      <c r="A3752" s="211" t="s">
        <v>2021</v>
      </c>
      <c r="B3752" s="240" t="s">
        <v>3339</v>
      </c>
    </row>
    <row r="3753" spans="1:2">
      <c r="A3753" s="211" t="s">
        <v>2023</v>
      </c>
      <c r="B3753" s="240" t="s">
        <v>4120</v>
      </c>
    </row>
    <row r="3754" spans="1:2">
      <c r="A3754" s="211" t="s">
        <v>2024</v>
      </c>
      <c r="B3754" s="240" t="s">
        <v>4121</v>
      </c>
    </row>
    <row r="3755" spans="1:2">
      <c r="A3755" s="211" t="s">
        <v>2025</v>
      </c>
      <c r="B3755" s="240" t="s">
        <v>898</v>
      </c>
    </row>
    <row r="3756" spans="1:2">
      <c r="A3756" s="211" t="s">
        <v>2026</v>
      </c>
      <c r="B3756" s="240" t="s">
        <v>4122</v>
      </c>
    </row>
    <row r="3757" spans="1:2">
      <c r="A3757" s="211" t="s">
        <v>2027</v>
      </c>
      <c r="B3757" s="240" t="s">
        <v>4123</v>
      </c>
    </row>
    <row r="3758" spans="1:2">
      <c r="A3758" s="211" t="s">
        <v>2028</v>
      </c>
      <c r="B3758" s="240" t="s">
        <v>4124</v>
      </c>
    </row>
    <row r="3759" spans="1:2">
      <c r="A3759" s="211" t="s">
        <v>2030</v>
      </c>
      <c r="B3759" s="240" t="s">
        <v>455</v>
      </c>
    </row>
    <row r="3760" spans="1:2">
      <c r="A3760" s="211" t="s">
        <v>2032</v>
      </c>
      <c r="B3760" s="240" t="s">
        <v>4125</v>
      </c>
    </row>
    <row r="3761" spans="1:2">
      <c r="A3761" s="211" t="s">
        <v>2033</v>
      </c>
      <c r="B3761" s="240" t="s">
        <v>4126</v>
      </c>
    </row>
    <row r="3762" spans="1:2">
      <c r="A3762" s="211" t="s">
        <v>2035</v>
      </c>
      <c r="B3762" s="240" t="s">
        <v>4127</v>
      </c>
    </row>
    <row r="3763" spans="1:2">
      <c r="A3763" s="211" t="s">
        <v>2037</v>
      </c>
      <c r="B3763" s="240" t="s">
        <v>4128</v>
      </c>
    </row>
    <row r="3764" spans="1:2">
      <c r="A3764" s="211" t="s">
        <v>2039</v>
      </c>
      <c r="B3764" s="240" t="s">
        <v>4129</v>
      </c>
    </row>
    <row r="3765" spans="1:2">
      <c r="A3765" s="211" t="s">
        <v>2040</v>
      </c>
      <c r="B3765" s="240" t="s">
        <v>667</v>
      </c>
    </row>
    <row r="3766" spans="1:2">
      <c r="A3766" s="211" t="s">
        <v>2041</v>
      </c>
      <c r="B3766" s="240" t="s">
        <v>4130</v>
      </c>
    </row>
    <row r="3767" spans="1:2">
      <c r="A3767" s="211" t="s">
        <v>2042</v>
      </c>
      <c r="B3767" s="240" t="s">
        <v>1294</v>
      </c>
    </row>
    <row r="3768" spans="1:2">
      <c r="A3768" s="211" t="s">
        <v>2044</v>
      </c>
      <c r="B3768" s="240" t="s">
        <v>4131</v>
      </c>
    </row>
    <row r="3769" spans="1:2">
      <c r="A3769" s="211" t="s">
        <v>2046</v>
      </c>
      <c r="B3769" s="240" t="s">
        <v>4132</v>
      </c>
    </row>
    <row r="3770" spans="1:2">
      <c r="A3770" s="211" t="s">
        <v>2048</v>
      </c>
      <c r="B3770" s="240" t="s">
        <v>4133</v>
      </c>
    </row>
    <row r="3771" spans="1:2">
      <c r="A3771" s="211" t="s">
        <v>2050</v>
      </c>
      <c r="B3771" s="240" t="s">
        <v>473</v>
      </c>
    </row>
    <row r="3772" spans="1:2">
      <c r="A3772" s="211" t="s">
        <v>2052</v>
      </c>
      <c r="B3772" s="240" t="s">
        <v>455</v>
      </c>
    </row>
    <row r="3773" spans="1:2">
      <c r="A3773" s="211" t="s">
        <v>2054</v>
      </c>
      <c r="B3773" s="240" t="s">
        <v>4134</v>
      </c>
    </row>
    <row r="3774" spans="1:2">
      <c r="A3774" s="211" t="s">
        <v>2055</v>
      </c>
      <c r="B3774" s="240" t="s">
        <v>4135</v>
      </c>
    </row>
    <row r="3775" spans="1:2">
      <c r="A3775" s="211" t="s">
        <v>2057</v>
      </c>
      <c r="B3775" s="240" t="s">
        <v>4136</v>
      </c>
    </row>
    <row r="3776" spans="1:2">
      <c r="A3776" s="211" t="s">
        <v>2059</v>
      </c>
      <c r="B3776" s="240" t="s">
        <v>4137</v>
      </c>
    </row>
    <row r="3777" spans="1:2">
      <c r="A3777" s="211" t="s">
        <v>2061</v>
      </c>
      <c r="B3777" s="240" t="s">
        <v>4138</v>
      </c>
    </row>
    <row r="3778" spans="1:2">
      <c r="A3778" s="211" t="s">
        <v>2063</v>
      </c>
      <c r="B3778" s="240" t="s">
        <v>455</v>
      </c>
    </row>
    <row r="3779" spans="1:2">
      <c r="A3779" s="211" t="s">
        <v>2065</v>
      </c>
      <c r="B3779" s="240" t="s">
        <v>4139</v>
      </c>
    </row>
    <row r="3780" spans="1:2">
      <c r="A3780" s="211" t="s">
        <v>2067</v>
      </c>
      <c r="B3780" s="240" t="s">
        <v>4140</v>
      </c>
    </row>
    <row r="3781" spans="1:2">
      <c r="A3781" s="211" t="s">
        <v>2069</v>
      </c>
      <c r="B3781" s="240" t="s">
        <v>4141</v>
      </c>
    </row>
    <row r="3782" spans="1:2">
      <c r="A3782" s="211" t="s">
        <v>2071</v>
      </c>
      <c r="B3782" s="240" t="s">
        <v>455</v>
      </c>
    </row>
    <row r="3783" spans="1:2">
      <c r="A3783" s="211" t="s">
        <v>2073</v>
      </c>
      <c r="B3783" s="240" t="s">
        <v>4142</v>
      </c>
    </row>
    <row r="3784" spans="1:2">
      <c r="A3784" s="211" t="s">
        <v>2075</v>
      </c>
      <c r="B3784" s="240" t="s">
        <v>4143</v>
      </c>
    </row>
    <row r="3785" spans="1:2">
      <c r="A3785" s="211" t="s">
        <v>2076</v>
      </c>
      <c r="B3785" s="240" t="s">
        <v>3570</v>
      </c>
    </row>
    <row r="3786" spans="1:2">
      <c r="A3786" s="211" t="s">
        <v>2078</v>
      </c>
      <c r="B3786" s="240" t="s">
        <v>1168</v>
      </c>
    </row>
    <row r="3787" spans="1:2">
      <c r="A3787" s="211" t="s">
        <v>2080</v>
      </c>
      <c r="B3787" s="240" t="s">
        <v>1170</v>
      </c>
    </row>
    <row r="3788" spans="1:2">
      <c r="A3788" s="211" t="s">
        <v>2082</v>
      </c>
      <c r="B3788" s="240" t="s">
        <v>4144</v>
      </c>
    </row>
    <row r="3789" spans="1:2">
      <c r="A3789" s="211" t="s">
        <v>2084</v>
      </c>
      <c r="B3789" s="240" t="s">
        <v>1174</v>
      </c>
    </row>
    <row r="3790" spans="1:2">
      <c r="A3790" s="211" t="s">
        <v>2086</v>
      </c>
      <c r="B3790" s="240" t="s">
        <v>1209</v>
      </c>
    </row>
    <row r="3791" spans="1:2">
      <c r="A3791" s="211" t="s">
        <v>2088</v>
      </c>
      <c r="B3791" s="240" t="s">
        <v>1211</v>
      </c>
    </row>
    <row r="3792" spans="1:2">
      <c r="A3792" s="211" t="s">
        <v>2090</v>
      </c>
      <c r="B3792" s="240" t="s">
        <v>475</v>
      </c>
    </row>
    <row r="3793" spans="1:2">
      <c r="A3793" s="211" t="s">
        <v>2091</v>
      </c>
      <c r="B3793" s="240" t="s">
        <v>455</v>
      </c>
    </row>
    <row r="3794" spans="1:2">
      <c r="A3794" s="211" t="s">
        <v>2093</v>
      </c>
      <c r="B3794" s="240" t="s">
        <v>4145</v>
      </c>
    </row>
    <row r="3795" spans="1:2">
      <c r="A3795" s="211" t="s">
        <v>2095</v>
      </c>
      <c r="B3795" s="240" t="s">
        <v>2932</v>
      </c>
    </row>
    <row r="3796" spans="1:2">
      <c r="A3796" s="211" t="s">
        <v>2096</v>
      </c>
      <c r="B3796" s="240" t="s">
        <v>733</v>
      </c>
    </row>
    <row r="3797" spans="1:2">
      <c r="A3797" s="211" t="s">
        <v>2098</v>
      </c>
      <c r="B3797" s="240" t="s">
        <v>4146</v>
      </c>
    </row>
    <row r="3798" spans="1:2">
      <c r="A3798" s="211" t="s">
        <v>2100</v>
      </c>
      <c r="B3798" s="240" t="s">
        <v>737</v>
      </c>
    </row>
    <row r="3799" spans="1:2">
      <c r="A3799" s="211" t="s">
        <v>2102</v>
      </c>
      <c r="B3799" s="240" t="s">
        <v>473</v>
      </c>
    </row>
    <row r="3800" spans="1:2">
      <c r="A3800" s="211" t="s">
        <v>2104</v>
      </c>
      <c r="B3800" s="240" t="s">
        <v>475</v>
      </c>
    </row>
    <row r="3801" spans="1:2">
      <c r="A3801" s="211" t="s">
        <v>2106</v>
      </c>
      <c r="B3801" s="240" t="s">
        <v>455</v>
      </c>
    </row>
    <row r="3802" spans="1:2">
      <c r="A3802" s="211" t="s">
        <v>2107</v>
      </c>
      <c r="B3802" s="240" t="s">
        <v>4147</v>
      </c>
    </row>
    <row r="3803" spans="1:2">
      <c r="A3803" s="211" t="s">
        <v>2108</v>
      </c>
      <c r="B3803" s="240" t="s">
        <v>2367</v>
      </c>
    </row>
    <row r="3804" spans="1:2">
      <c r="A3804" s="211" t="s">
        <v>2110</v>
      </c>
      <c r="B3804" s="240" t="s">
        <v>894</v>
      </c>
    </row>
    <row r="3805" spans="1:2">
      <c r="A3805" s="211" t="s">
        <v>2112</v>
      </c>
      <c r="B3805" s="240" t="s">
        <v>896</v>
      </c>
    </row>
    <row r="3806" spans="1:2">
      <c r="A3806" s="211" t="s">
        <v>2114</v>
      </c>
      <c r="B3806" s="240" t="s">
        <v>911</v>
      </c>
    </row>
    <row r="3807" spans="1:2">
      <c r="A3807" s="211" t="s">
        <v>2116</v>
      </c>
      <c r="B3807" s="240" t="s">
        <v>907</v>
      </c>
    </row>
    <row r="3808" spans="1:2">
      <c r="A3808" s="211" t="s">
        <v>2118</v>
      </c>
      <c r="B3808" s="240" t="s">
        <v>909</v>
      </c>
    </row>
    <row r="3809" spans="1:2">
      <c r="A3809" s="211" t="s">
        <v>2120</v>
      </c>
      <c r="B3809" s="240" t="s">
        <v>913</v>
      </c>
    </row>
    <row r="3810" spans="1:2">
      <c r="A3810" s="211" t="s">
        <v>2122</v>
      </c>
      <c r="B3810" s="240" t="s">
        <v>898</v>
      </c>
    </row>
    <row r="3811" spans="1:2">
      <c r="A3811" s="211" t="s">
        <v>2123</v>
      </c>
      <c r="B3811" s="240" t="s">
        <v>4148</v>
      </c>
    </row>
    <row r="3812" spans="1:2">
      <c r="A3812" s="211" t="s">
        <v>2125</v>
      </c>
      <c r="B3812" s="240" t="s">
        <v>475</v>
      </c>
    </row>
    <row r="3813" spans="1:2">
      <c r="A3813" s="211" t="s">
        <v>2127</v>
      </c>
      <c r="B3813" s="240" t="s">
        <v>455</v>
      </c>
    </row>
    <row r="3814" spans="1:2">
      <c r="A3814" s="211" t="s">
        <v>2129</v>
      </c>
      <c r="B3814" s="240" t="s">
        <v>4149</v>
      </c>
    </row>
    <row r="3815" spans="1:2">
      <c r="A3815" s="211" t="s">
        <v>2130</v>
      </c>
      <c r="B3815" s="240" t="s">
        <v>4150</v>
      </c>
    </row>
    <row r="3816" spans="1:2">
      <c r="A3816" s="211" t="s">
        <v>2131</v>
      </c>
      <c r="B3816" s="240" t="s">
        <v>1074</v>
      </c>
    </row>
    <row r="3817" spans="1:2">
      <c r="A3817" s="211" t="s">
        <v>2133</v>
      </c>
      <c r="B3817" s="240" t="s">
        <v>1078</v>
      </c>
    </row>
    <row r="3818" spans="1:2">
      <c r="A3818" s="211" t="s">
        <v>2135</v>
      </c>
      <c r="B3818" s="240" t="s">
        <v>898</v>
      </c>
    </row>
    <row r="3819" spans="1:2">
      <c r="A3819" s="211" t="s">
        <v>2137</v>
      </c>
      <c r="B3819" s="240" t="s">
        <v>475</v>
      </c>
    </row>
    <row r="3820" spans="1:2">
      <c r="A3820" s="211" t="s">
        <v>2138</v>
      </c>
      <c r="B3820" s="240" t="s">
        <v>455</v>
      </c>
    </row>
    <row r="3821" spans="1:2">
      <c r="A3821" s="211" t="s">
        <v>2140</v>
      </c>
      <c r="B3821" s="240" t="s">
        <v>4151</v>
      </c>
    </row>
    <row r="3822" spans="1:2">
      <c r="A3822" s="211" t="s">
        <v>2142</v>
      </c>
      <c r="B3822" s="240" t="s">
        <v>4152</v>
      </c>
    </row>
    <row r="3823" spans="1:2">
      <c r="A3823" s="211" t="s">
        <v>2144</v>
      </c>
      <c r="B3823" s="240" t="s">
        <v>1361</v>
      </c>
    </row>
    <row r="3824" spans="1:2">
      <c r="A3824" s="211" t="s">
        <v>2146</v>
      </c>
      <c r="B3824" s="240" t="s">
        <v>455</v>
      </c>
    </row>
    <row r="3825" spans="1:2">
      <c r="A3825" s="211" t="s">
        <v>2148</v>
      </c>
      <c r="B3825" s="241" t="s">
        <v>4153</v>
      </c>
    </row>
    <row r="3826" spans="1:2">
      <c r="A3826" s="211" t="s">
        <v>2150</v>
      </c>
      <c r="B3826" s="240" t="s">
        <v>4154</v>
      </c>
    </row>
    <row r="3827" spans="1:2">
      <c r="A3827" s="211" t="s">
        <v>2152</v>
      </c>
      <c r="B3827" s="240" t="s">
        <v>4155</v>
      </c>
    </row>
    <row r="3828" spans="1:2">
      <c r="A3828" s="211" t="s">
        <v>2154</v>
      </c>
      <c r="B3828" s="240" t="s">
        <v>4156</v>
      </c>
    </row>
    <row r="3829" spans="1:2">
      <c r="A3829" s="211" t="s">
        <v>2156</v>
      </c>
      <c r="B3829" s="240" t="s">
        <v>4157</v>
      </c>
    </row>
    <row r="3830" spans="1:2">
      <c r="A3830" s="211" t="s">
        <v>2157</v>
      </c>
      <c r="B3830" s="240" t="s">
        <v>2575</v>
      </c>
    </row>
    <row r="3831" spans="1:2">
      <c r="A3831" s="211" t="s">
        <v>2159</v>
      </c>
      <c r="B3831" s="240" t="s">
        <v>2576</v>
      </c>
    </row>
    <row r="3832" spans="1:2">
      <c r="A3832" s="211" t="s">
        <v>2161</v>
      </c>
      <c r="B3832" s="240" t="s">
        <v>4158</v>
      </c>
    </row>
    <row r="3833" spans="1:2">
      <c r="A3833" s="211" t="s">
        <v>2162</v>
      </c>
      <c r="B3833" s="240" t="s">
        <v>2577</v>
      </c>
    </row>
    <row r="3834" spans="1:2">
      <c r="A3834" s="211" t="s">
        <v>2164</v>
      </c>
      <c r="B3834" s="240" t="s">
        <v>2573</v>
      </c>
    </row>
    <row r="3835" spans="1:2">
      <c r="A3835" s="211" t="s">
        <v>2166</v>
      </c>
      <c r="B3835" s="240" t="s">
        <v>4159</v>
      </c>
    </row>
    <row r="3836" spans="1:2">
      <c r="A3836" s="211" t="s">
        <v>2168</v>
      </c>
      <c r="B3836" s="240" t="s">
        <v>4160</v>
      </c>
    </row>
    <row r="3837" spans="1:2">
      <c r="A3837" s="211" t="s">
        <v>2170</v>
      </c>
      <c r="B3837" s="240" t="s">
        <v>4161</v>
      </c>
    </row>
    <row r="3838" spans="1:2">
      <c r="A3838" s="211" t="s">
        <v>2172</v>
      </c>
      <c r="B3838" s="240" t="s">
        <v>1357</v>
      </c>
    </row>
    <row r="3839" spans="1:2">
      <c r="A3839" s="211" t="s">
        <v>2174</v>
      </c>
      <c r="B3839" s="240" t="s">
        <v>4162</v>
      </c>
    </row>
    <row r="3840" spans="1:2">
      <c r="A3840" s="211" t="s">
        <v>2175</v>
      </c>
      <c r="B3840" s="240" t="s">
        <v>1361</v>
      </c>
    </row>
    <row r="3841" spans="1:2">
      <c r="A3841" s="211" t="s">
        <v>2177</v>
      </c>
      <c r="B3841" s="240" t="s">
        <v>455</v>
      </c>
    </row>
    <row r="3842" spans="1:2">
      <c r="A3842" s="211" t="s">
        <v>2178</v>
      </c>
      <c r="B3842" s="241" t="s">
        <v>4163</v>
      </c>
    </row>
    <row r="3843" spans="1:2">
      <c r="A3843" s="211" t="s">
        <v>2180</v>
      </c>
      <c r="B3843" s="240" t="s">
        <v>4164</v>
      </c>
    </row>
    <row r="3844" spans="1:2">
      <c r="A3844" s="211" t="s">
        <v>2182</v>
      </c>
      <c r="B3844" s="240" t="s">
        <v>4165</v>
      </c>
    </row>
    <row r="3845" spans="1:2">
      <c r="A3845" s="211" t="s">
        <v>2183</v>
      </c>
      <c r="B3845" s="240" t="s">
        <v>4166</v>
      </c>
    </row>
    <row r="3846" spans="1:2">
      <c r="A3846" s="211" t="s">
        <v>2184</v>
      </c>
      <c r="B3846" s="240" t="s">
        <v>4167</v>
      </c>
    </row>
    <row r="3847" spans="1:2">
      <c r="A3847" s="211" t="s">
        <v>2186</v>
      </c>
      <c r="B3847" s="240" t="s">
        <v>4168</v>
      </c>
    </row>
    <row r="3848" spans="1:2">
      <c r="A3848" s="211" t="s">
        <v>2188</v>
      </c>
      <c r="B3848" s="240" t="s">
        <v>4169</v>
      </c>
    </row>
    <row r="3849" spans="1:2">
      <c r="A3849" s="211" t="s">
        <v>2189</v>
      </c>
      <c r="B3849" s="240" t="s">
        <v>4170</v>
      </c>
    </row>
    <row r="3850" spans="1:2">
      <c r="A3850" s="211" t="s">
        <v>2190</v>
      </c>
      <c r="B3850" s="240" t="s">
        <v>4171</v>
      </c>
    </row>
    <row r="3851" spans="1:2">
      <c r="A3851" s="211" t="s">
        <v>2191</v>
      </c>
      <c r="B3851" s="240" t="s">
        <v>2602</v>
      </c>
    </row>
    <row r="3852" spans="1:2">
      <c r="A3852" s="211" t="s">
        <v>2192</v>
      </c>
      <c r="B3852" s="240" t="s">
        <v>4172</v>
      </c>
    </row>
    <row r="3853" spans="1:2">
      <c r="A3853" s="211" t="s">
        <v>2194</v>
      </c>
      <c r="B3853" s="240" t="s">
        <v>2761</v>
      </c>
    </row>
    <row r="3854" spans="1:2">
      <c r="A3854" s="211" t="s">
        <v>2195</v>
      </c>
      <c r="B3854" s="240" t="s">
        <v>2762</v>
      </c>
    </row>
    <row r="3855" spans="1:2">
      <c r="A3855" s="211" t="s">
        <v>2196</v>
      </c>
      <c r="B3855" s="240" t="s">
        <v>2763</v>
      </c>
    </row>
    <row r="3856" spans="1:2">
      <c r="A3856" s="211" t="s">
        <v>2197</v>
      </c>
      <c r="B3856" s="240" t="s">
        <v>2764</v>
      </c>
    </row>
    <row r="3857" spans="1:2">
      <c r="A3857" s="211" t="s">
        <v>2198</v>
      </c>
      <c r="B3857" s="240" t="s">
        <v>2765</v>
      </c>
    </row>
    <row r="3858" spans="1:2">
      <c r="A3858" s="211" t="s">
        <v>2200</v>
      </c>
      <c r="B3858" s="240" t="s">
        <v>4173</v>
      </c>
    </row>
    <row r="3859" spans="1:2">
      <c r="A3859" s="211" t="s">
        <v>2202</v>
      </c>
      <c r="B3859" s="240" t="s">
        <v>4174</v>
      </c>
    </row>
    <row r="3860" spans="1:2">
      <c r="A3860" s="211" t="s">
        <v>2204</v>
      </c>
      <c r="B3860" s="240" t="s">
        <v>4175</v>
      </c>
    </row>
    <row r="3861" spans="1:2">
      <c r="A3861" s="211" t="s">
        <v>2205</v>
      </c>
      <c r="B3861" s="240" t="s">
        <v>4176</v>
      </c>
    </row>
    <row r="3862" spans="1:2">
      <c r="A3862" s="211" t="s">
        <v>2207</v>
      </c>
      <c r="B3862" s="240" t="s">
        <v>4177</v>
      </c>
    </row>
    <row r="3863" spans="1:2">
      <c r="A3863" s="211" t="s">
        <v>2208</v>
      </c>
      <c r="B3863" s="240" t="s">
        <v>4178</v>
      </c>
    </row>
    <row r="3864" spans="1:2">
      <c r="A3864" s="211" t="s">
        <v>2209</v>
      </c>
      <c r="B3864" s="240" t="s">
        <v>4179</v>
      </c>
    </row>
    <row r="3865" spans="1:2">
      <c r="A3865" s="211" t="s">
        <v>2210</v>
      </c>
      <c r="B3865" s="240" t="s">
        <v>2798</v>
      </c>
    </row>
    <row r="3866" spans="1:2">
      <c r="A3866" s="211" t="s">
        <v>2212</v>
      </c>
      <c r="B3866" s="240" t="s">
        <v>4180</v>
      </c>
    </row>
    <row r="3867" spans="1:2">
      <c r="A3867" s="211" t="s">
        <v>2214</v>
      </c>
      <c r="B3867" s="240" t="s">
        <v>2803</v>
      </c>
    </row>
    <row r="3868" spans="1:2">
      <c r="A3868" s="211" t="s">
        <v>2216</v>
      </c>
      <c r="B3868" s="240" t="s">
        <v>697</v>
      </c>
    </row>
    <row r="3869" spans="1:2">
      <c r="A3869" s="211" t="s">
        <v>2217</v>
      </c>
      <c r="B3869" s="240" t="s">
        <v>699</v>
      </c>
    </row>
    <row r="3870" spans="1:2">
      <c r="A3870" s="211" t="s">
        <v>2218</v>
      </c>
      <c r="B3870" s="240" t="s">
        <v>4181</v>
      </c>
    </row>
    <row r="3871" spans="1:2">
      <c r="A3871" s="211" t="s">
        <v>2220</v>
      </c>
      <c r="B3871" s="240" t="s">
        <v>4182</v>
      </c>
    </row>
    <row r="3872" spans="1:2">
      <c r="A3872" s="211" t="s">
        <v>2222</v>
      </c>
      <c r="B3872" s="240" t="s">
        <v>4183</v>
      </c>
    </row>
    <row r="3873" spans="1:2">
      <c r="A3873" s="211" t="s">
        <v>2223</v>
      </c>
      <c r="B3873" s="240" t="s">
        <v>4184</v>
      </c>
    </row>
    <row r="3874" spans="1:2">
      <c r="A3874" s="211" t="s">
        <v>2224</v>
      </c>
      <c r="B3874" s="240" t="s">
        <v>4185</v>
      </c>
    </row>
    <row r="3875" spans="1:2">
      <c r="A3875" s="211" t="s">
        <v>2225</v>
      </c>
      <c r="B3875" s="240" t="s">
        <v>2573</v>
      </c>
    </row>
    <row r="3876" spans="1:2">
      <c r="A3876" s="211" t="s">
        <v>2227</v>
      </c>
      <c r="B3876" s="240" t="s">
        <v>4186</v>
      </c>
    </row>
    <row r="3877" spans="1:2">
      <c r="A3877" s="211" t="s">
        <v>2228</v>
      </c>
      <c r="B3877" s="240" t="s">
        <v>4187</v>
      </c>
    </row>
    <row r="3878" spans="1:2">
      <c r="A3878" s="211" t="s">
        <v>2230</v>
      </c>
      <c r="B3878" s="240" t="s">
        <v>4188</v>
      </c>
    </row>
    <row r="3879" spans="1:2">
      <c r="A3879" s="211" t="s">
        <v>2232</v>
      </c>
      <c r="B3879" s="240" t="s">
        <v>4189</v>
      </c>
    </row>
    <row r="3880" spans="1:2">
      <c r="A3880" s="211" t="s">
        <v>2233</v>
      </c>
      <c r="B3880" s="240" t="s">
        <v>4190</v>
      </c>
    </row>
    <row r="3881" spans="1:2">
      <c r="A3881" s="211" t="s">
        <v>2234</v>
      </c>
      <c r="B3881" s="240" t="s">
        <v>4191</v>
      </c>
    </row>
    <row r="3882" spans="1:2">
      <c r="A3882" s="211" t="s">
        <v>2236</v>
      </c>
      <c r="B3882" s="240" t="s">
        <v>4192</v>
      </c>
    </row>
    <row r="3883" spans="1:2">
      <c r="A3883" s="211" t="s">
        <v>2237</v>
      </c>
      <c r="B3883" s="240" t="s">
        <v>4193</v>
      </c>
    </row>
    <row r="3884" spans="1:2">
      <c r="A3884" s="211" t="s">
        <v>2239</v>
      </c>
      <c r="B3884" s="240" t="s">
        <v>4194</v>
      </c>
    </row>
    <row r="3885" spans="1:2">
      <c r="A3885" s="211" t="s">
        <v>2241</v>
      </c>
      <c r="B3885" s="240" t="s">
        <v>699</v>
      </c>
    </row>
    <row r="3886" spans="1:2">
      <c r="A3886" s="211" t="s">
        <v>2243</v>
      </c>
      <c r="B3886" s="240" t="s">
        <v>4195</v>
      </c>
    </row>
    <row r="3887" spans="1:2">
      <c r="A3887" s="211" t="s">
        <v>2245</v>
      </c>
      <c r="B3887" s="240" t="s">
        <v>2688</v>
      </c>
    </row>
    <row r="3888" spans="1:2">
      <c r="A3888" s="211" t="s">
        <v>2247</v>
      </c>
      <c r="B3888" s="240" t="s">
        <v>4196</v>
      </c>
    </row>
    <row r="3889" spans="1:2">
      <c r="A3889" s="211" t="s">
        <v>2249</v>
      </c>
      <c r="B3889" s="240" t="s">
        <v>4197</v>
      </c>
    </row>
    <row r="3890" spans="1:2">
      <c r="A3890" s="211" t="s">
        <v>2251</v>
      </c>
      <c r="B3890" s="240" t="s">
        <v>898</v>
      </c>
    </row>
    <row r="3891" spans="1:2">
      <c r="A3891" s="211" t="s">
        <v>2253</v>
      </c>
      <c r="B3891" s="240" t="s">
        <v>4063</v>
      </c>
    </row>
    <row r="3892" spans="1:2">
      <c r="A3892" s="211" t="s">
        <v>2254</v>
      </c>
      <c r="B3892" s="240" t="s">
        <v>4198</v>
      </c>
    </row>
    <row r="3893" spans="1:2">
      <c r="A3893" s="211" t="s">
        <v>2256</v>
      </c>
      <c r="B3893" s="240" t="s">
        <v>4199</v>
      </c>
    </row>
    <row r="3894" spans="1:2">
      <c r="A3894" s="211" t="s">
        <v>2258</v>
      </c>
      <c r="B3894" s="240" t="s">
        <v>4200</v>
      </c>
    </row>
    <row r="3895" spans="1:2">
      <c r="A3895" s="211" t="s">
        <v>2260</v>
      </c>
      <c r="B3895" s="240" t="s">
        <v>473</v>
      </c>
    </row>
    <row r="3896" spans="1:2">
      <c r="A3896" s="211" t="s">
        <v>2262</v>
      </c>
      <c r="B3896" s="240" t="s">
        <v>475</v>
      </c>
    </row>
    <row r="3897" spans="1:2">
      <c r="A3897" s="211" t="s">
        <v>2263</v>
      </c>
      <c r="B3897" s="240" t="s">
        <v>455</v>
      </c>
    </row>
    <row r="3898" spans="1:2">
      <c r="A3898" s="211" t="s">
        <v>2265</v>
      </c>
      <c r="B3898" s="241" t="s">
        <v>2549</v>
      </c>
    </row>
    <row r="3899" spans="1:2">
      <c r="A3899" s="211" t="s">
        <v>2267</v>
      </c>
      <c r="B3899" s="241" t="s">
        <v>4201</v>
      </c>
    </row>
    <row r="3900" spans="1:2">
      <c r="A3900" s="211" t="s">
        <v>2268</v>
      </c>
      <c r="B3900" s="241" t="s">
        <v>4202</v>
      </c>
    </row>
    <row r="3901" spans="1:2">
      <c r="A3901" s="211" t="s">
        <v>2270</v>
      </c>
      <c r="B3901" s="241" t="s">
        <v>4203</v>
      </c>
    </row>
    <row r="3902" spans="1:2">
      <c r="A3902" s="211" t="s">
        <v>2272</v>
      </c>
      <c r="B3902" s="241" t="s">
        <v>4204</v>
      </c>
    </row>
    <row r="3903" spans="1:2">
      <c r="A3903" s="211" t="s">
        <v>2274</v>
      </c>
      <c r="B3903" s="241" t="s">
        <v>2549</v>
      </c>
    </row>
    <row r="3904" spans="1:2">
      <c r="A3904" s="211" t="s">
        <v>2276</v>
      </c>
      <c r="B3904" s="240" t="s">
        <v>4205</v>
      </c>
    </row>
    <row r="3905" spans="1:2">
      <c r="A3905" s="211" t="s">
        <v>2278</v>
      </c>
      <c r="B3905" s="240" t="s">
        <v>4206</v>
      </c>
    </row>
    <row r="3906" spans="1:2">
      <c r="A3906" s="211" t="s">
        <v>2279</v>
      </c>
      <c r="B3906" s="240" t="s">
        <v>4207</v>
      </c>
    </row>
    <row r="3907" spans="1:2">
      <c r="A3907" s="211" t="s">
        <v>2281</v>
      </c>
      <c r="B3907" s="240" t="s">
        <v>4208</v>
      </c>
    </row>
    <row r="3908" spans="1:2">
      <c r="A3908" s="211" t="s">
        <v>2283</v>
      </c>
      <c r="B3908" s="240" t="s">
        <v>741</v>
      </c>
    </row>
    <row r="3909" spans="1:2">
      <c r="A3909" s="211" t="s">
        <v>2285</v>
      </c>
      <c r="B3909" s="240" t="s">
        <v>4209</v>
      </c>
    </row>
    <row r="3910" spans="1:2">
      <c r="A3910" s="211" t="s">
        <v>2287</v>
      </c>
      <c r="B3910" s="240" t="s">
        <v>4210</v>
      </c>
    </row>
    <row r="3911" spans="1:2">
      <c r="A3911" s="211" t="s">
        <v>2289</v>
      </c>
      <c r="B3911" s="240" t="s">
        <v>4211</v>
      </c>
    </row>
    <row r="3912" spans="1:2">
      <c r="A3912" s="211" t="s">
        <v>2291</v>
      </c>
      <c r="B3912" s="240" t="s">
        <v>4212</v>
      </c>
    </row>
    <row r="3913" spans="1:2">
      <c r="A3913" s="211" t="s">
        <v>2293</v>
      </c>
      <c r="B3913" s="240" t="s">
        <v>4213</v>
      </c>
    </row>
    <row r="3914" spans="1:2">
      <c r="A3914" s="211" t="s">
        <v>2295</v>
      </c>
      <c r="B3914" s="240" t="s">
        <v>4214</v>
      </c>
    </row>
    <row r="3915" spans="1:2">
      <c r="A3915" s="211" t="s">
        <v>2296</v>
      </c>
      <c r="B3915" s="240" t="s">
        <v>4215</v>
      </c>
    </row>
    <row r="3916" spans="1:2">
      <c r="A3916" s="211" t="s">
        <v>2297</v>
      </c>
      <c r="B3916" s="240" t="s">
        <v>4193</v>
      </c>
    </row>
    <row r="3917" spans="1:2">
      <c r="A3917" s="211" t="s">
        <v>2298</v>
      </c>
      <c r="B3917" s="240" t="s">
        <v>4216</v>
      </c>
    </row>
    <row r="3918" spans="1:2">
      <c r="A3918" s="211" t="s">
        <v>2300</v>
      </c>
      <c r="B3918" s="240" t="s">
        <v>473</v>
      </c>
    </row>
    <row r="3919" spans="1:2">
      <c r="A3919" s="211" t="s">
        <v>2301</v>
      </c>
      <c r="B3919" s="240" t="s">
        <v>4217</v>
      </c>
    </row>
    <row r="3920" spans="1:2">
      <c r="A3920" s="211" t="s">
        <v>2302</v>
      </c>
      <c r="B3920" s="240" t="s">
        <v>4218</v>
      </c>
    </row>
    <row r="3921" spans="1:2">
      <c r="A3921" s="211" t="s">
        <v>2303</v>
      </c>
      <c r="B3921" s="240" t="s">
        <v>667</v>
      </c>
    </row>
    <row r="3922" spans="1:2">
      <c r="A3922" s="211" t="s">
        <v>2305</v>
      </c>
      <c r="B3922" s="240" t="s">
        <v>4219</v>
      </c>
    </row>
    <row r="3923" spans="1:2">
      <c r="A3923" s="211" t="s">
        <v>2307</v>
      </c>
      <c r="B3923" s="240" t="s">
        <v>473</v>
      </c>
    </row>
    <row r="3924" spans="1:2">
      <c r="A3924" s="211" t="s">
        <v>2308</v>
      </c>
      <c r="B3924" s="240" t="s">
        <v>4220</v>
      </c>
    </row>
    <row r="3925" spans="1:2">
      <c r="A3925" s="211" t="s">
        <v>2309</v>
      </c>
      <c r="B3925" s="240" t="s">
        <v>4142</v>
      </c>
    </row>
    <row r="3926" spans="1:2">
      <c r="A3926" s="211" t="s">
        <v>2311</v>
      </c>
      <c r="B3926" s="240" t="s">
        <v>4221</v>
      </c>
    </row>
    <row r="3927" spans="1:2">
      <c r="A3927" s="211" t="s">
        <v>2312</v>
      </c>
      <c r="B3927" s="240" t="s">
        <v>1168</v>
      </c>
    </row>
    <row r="3928" spans="1:2">
      <c r="A3928" s="211" t="s">
        <v>2314</v>
      </c>
      <c r="B3928" s="240" t="s">
        <v>1209</v>
      </c>
    </row>
    <row r="3929" spans="1:2">
      <c r="A3929" s="211" t="s">
        <v>2315</v>
      </c>
      <c r="B3929" s="240" t="s">
        <v>1211</v>
      </c>
    </row>
    <row r="3930" spans="1:2">
      <c r="A3930" s="211" t="s">
        <v>2317</v>
      </c>
      <c r="B3930" s="240" t="s">
        <v>1214</v>
      </c>
    </row>
    <row r="3931" spans="1:2">
      <c r="A3931" s="211" t="s">
        <v>2319</v>
      </c>
      <c r="B3931" s="240" t="s">
        <v>475</v>
      </c>
    </row>
    <row r="3932" spans="1:2">
      <c r="A3932" s="211" t="s">
        <v>2321</v>
      </c>
      <c r="B3932" s="240" t="s">
        <v>455</v>
      </c>
    </row>
    <row r="3933" spans="1:2">
      <c r="A3933" s="211" t="s">
        <v>2323</v>
      </c>
      <c r="B3933" s="240" t="s">
        <v>4222</v>
      </c>
    </row>
    <row r="3934" spans="1:2">
      <c r="A3934" s="211" t="s">
        <v>2325</v>
      </c>
      <c r="B3934" s="240" t="s">
        <v>3546</v>
      </c>
    </row>
    <row r="3935" spans="1:2">
      <c r="A3935" s="211" t="s">
        <v>2327</v>
      </c>
      <c r="B3935" s="240" t="s">
        <v>4223</v>
      </c>
    </row>
    <row r="3936" spans="1:2">
      <c r="A3936" s="211" t="s">
        <v>2329</v>
      </c>
      <c r="B3936" s="240" t="s">
        <v>4224</v>
      </c>
    </row>
    <row r="3937" spans="1:2">
      <c r="A3937" s="211" t="s">
        <v>2331</v>
      </c>
      <c r="B3937" s="240" t="s">
        <v>4225</v>
      </c>
    </row>
    <row r="3938" spans="1:2">
      <c r="A3938" s="211" t="s">
        <v>2333</v>
      </c>
      <c r="B3938" s="240" t="s">
        <v>3573</v>
      </c>
    </row>
    <row r="3939" spans="1:2">
      <c r="A3939" s="211" t="s">
        <v>2334</v>
      </c>
      <c r="B3939" s="240" t="s">
        <v>475</v>
      </c>
    </row>
    <row r="3940" spans="1:2">
      <c r="A3940" s="211" t="s">
        <v>2335</v>
      </c>
      <c r="B3940" s="240" t="s">
        <v>455</v>
      </c>
    </row>
    <row r="3941" spans="1:2">
      <c r="A3941" s="211" t="s">
        <v>2336</v>
      </c>
      <c r="B3941" s="240" t="s">
        <v>4226</v>
      </c>
    </row>
    <row r="3942" spans="1:2">
      <c r="A3942" s="211" t="s">
        <v>2338</v>
      </c>
      <c r="B3942" s="240" t="s">
        <v>4227</v>
      </c>
    </row>
    <row r="3943" spans="1:2">
      <c r="A3943" s="211" t="s">
        <v>2340</v>
      </c>
      <c r="B3943" s="240" t="s">
        <v>4228</v>
      </c>
    </row>
    <row r="3944" spans="1:2">
      <c r="A3944" s="211" t="s">
        <v>2342</v>
      </c>
      <c r="B3944" s="240" t="s">
        <v>4229</v>
      </c>
    </row>
    <row r="3945" spans="1:2">
      <c r="A3945" s="211" t="s">
        <v>2343</v>
      </c>
      <c r="B3945" s="240" t="s">
        <v>4230</v>
      </c>
    </row>
    <row r="3946" spans="1:2">
      <c r="A3946" s="211" t="s">
        <v>2345</v>
      </c>
      <c r="B3946" s="240" t="s">
        <v>4231</v>
      </c>
    </row>
    <row r="3947" spans="1:2">
      <c r="A3947" s="211" t="s">
        <v>2347</v>
      </c>
      <c r="B3947" s="240" t="s">
        <v>455</v>
      </c>
    </row>
    <row r="3948" spans="1:2">
      <c r="A3948" s="211" t="s">
        <v>2349</v>
      </c>
      <c r="B3948" s="240" t="s">
        <v>4169</v>
      </c>
    </row>
    <row r="3949" spans="1:2">
      <c r="A3949" s="211" t="s">
        <v>2351</v>
      </c>
      <c r="B3949" s="240" t="s">
        <v>2602</v>
      </c>
    </row>
    <row r="3950" spans="1:2">
      <c r="A3950" s="211" t="s">
        <v>2353</v>
      </c>
      <c r="B3950" s="240" t="s">
        <v>4232</v>
      </c>
    </row>
    <row r="3951" spans="1:2">
      <c r="A3951" s="211" t="s">
        <v>2355</v>
      </c>
      <c r="B3951" s="240" t="s">
        <v>4233</v>
      </c>
    </row>
    <row r="3952" spans="1:2">
      <c r="A3952" s="211" t="s">
        <v>2357</v>
      </c>
      <c r="B3952" s="240" t="s">
        <v>4234</v>
      </c>
    </row>
    <row r="3953" spans="1:2">
      <c r="A3953" s="211" t="s">
        <v>2358</v>
      </c>
      <c r="B3953" s="240" t="s">
        <v>4235</v>
      </c>
    </row>
    <row r="3954" spans="1:2">
      <c r="A3954" s="211" t="s">
        <v>2359</v>
      </c>
      <c r="B3954" s="240" t="s">
        <v>4236</v>
      </c>
    </row>
    <row r="3955" spans="1:2">
      <c r="A3955" s="211" t="s">
        <v>2361</v>
      </c>
      <c r="B3955" s="240" t="s">
        <v>676</v>
      </c>
    </row>
    <row r="3956" spans="1:2">
      <c r="A3956" s="211" t="s">
        <v>2362</v>
      </c>
      <c r="B3956" s="240" t="s">
        <v>455</v>
      </c>
    </row>
    <row r="3957" spans="1:2">
      <c r="A3957" s="211" t="s">
        <v>2363</v>
      </c>
      <c r="B3957" s="240" t="s">
        <v>4237</v>
      </c>
    </row>
    <row r="3958" spans="1:2">
      <c r="A3958" s="211" t="s">
        <v>2364</v>
      </c>
      <c r="B3958" s="240" t="s">
        <v>3620</v>
      </c>
    </row>
    <row r="3959" spans="1:2">
      <c r="A3959" s="211" t="s">
        <v>2366</v>
      </c>
      <c r="B3959" s="240" t="s">
        <v>3641</v>
      </c>
    </row>
    <row r="3960" spans="1:2">
      <c r="A3960" s="211" t="s">
        <v>2368</v>
      </c>
      <c r="B3960" s="240" t="s">
        <v>4238</v>
      </c>
    </row>
    <row r="3961" spans="1:2">
      <c r="A3961" s="211" t="s">
        <v>2369</v>
      </c>
      <c r="B3961" s="240" t="s">
        <v>832</v>
      </c>
    </row>
    <row r="3962" spans="1:2">
      <c r="A3962" s="211" t="s">
        <v>2370</v>
      </c>
      <c r="B3962" s="240" t="s">
        <v>4239</v>
      </c>
    </row>
    <row r="3963" spans="1:2">
      <c r="A3963" s="211" t="s">
        <v>2371</v>
      </c>
      <c r="B3963" s="240" t="s">
        <v>4240</v>
      </c>
    </row>
    <row r="3964" spans="1:2">
      <c r="A3964" s="211" t="s">
        <v>2372</v>
      </c>
      <c r="B3964" s="240" t="s">
        <v>4241</v>
      </c>
    </row>
    <row r="3965" spans="1:2">
      <c r="A3965" s="211" t="s">
        <v>2373</v>
      </c>
      <c r="B3965" s="240" t="s">
        <v>455</v>
      </c>
    </row>
    <row r="3966" spans="1:2">
      <c r="A3966" s="211" t="s">
        <v>2374</v>
      </c>
      <c r="B3966" s="240" t="s">
        <v>2761</v>
      </c>
    </row>
    <row r="3967" spans="1:2">
      <c r="A3967" s="211" t="s">
        <v>2375</v>
      </c>
      <c r="B3967" s="240" t="s">
        <v>2762</v>
      </c>
    </row>
    <row r="3968" spans="1:2">
      <c r="A3968" s="211" t="s">
        <v>2377</v>
      </c>
      <c r="B3968" s="240" t="s">
        <v>2763</v>
      </c>
    </row>
    <row r="3969" spans="1:2">
      <c r="A3969" s="211" t="s">
        <v>2379</v>
      </c>
      <c r="B3969" s="240" t="s">
        <v>2764</v>
      </c>
    </row>
    <row r="3970" spans="1:2">
      <c r="A3970" s="211" t="s">
        <v>2380</v>
      </c>
      <c r="B3970" s="240" t="s">
        <v>2765</v>
      </c>
    </row>
    <row r="3971" spans="1:2">
      <c r="A3971" s="211" t="s">
        <v>2382</v>
      </c>
      <c r="B3971" s="240" t="s">
        <v>4242</v>
      </c>
    </row>
    <row r="3972" spans="1:2">
      <c r="A3972" s="211" t="s">
        <v>2384</v>
      </c>
      <c r="B3972" s="240" t="s">
        <v>4175</v>
      </c>
    </row>
    <row r="3973" spans="1:2">
      <c r="A3973" s="211" t="s">
        <v>2386</v>
      </c>
      <c r="B3973" s="240" t="s">
        <v>4243</v>
      </c>
    </row>
    <row r="3974" spans="1:2">
      <c r="A3974" s="211" t="s">
        <v>2388</v>
      </c>
      <c r="B3974" s="240" t="s">
        <v>4244</v>
      </c>
    </row>
    <row r="3975" spans="1:2">
      <c r="A3975" s="211" t="s">
        <v>2389</v>
      </c>
      <c r="B3975" s="240" t="s">
        <v>4245</v>
      </c>
    </row>
    <row r="3976" spans="1:2">
      <c r="A3976" s="211" t="s">
        <v>2390</v>
      </c>
      <c r="B3976" s="240" t="s">
        <v>4246</v>
      </c>
    </row>
    <row r="3977" spans="1:2">
      <c r="A3977" s="211" t="s">
        <v>2391</v>
      </c>
      <c r="B3977" s="240" t="s">
        <v>4247</v>
      </c>
    </row>
    <row r="3978" spans="1:2">
      <c r="A3978" s="211" t="s">
        <v>2392</v>
      </c>
      <c r="B3978" s="240" t="s">
        <v>4248</v>
      </c>
    </row>
    <row r="3979" spans="1:2">
      <c r="A3979" s="211" t="s">
        <v>2393</v>
      </c>
      <c r="B3979" s="240" t="s">
        <v>4249</v>
      </c>
    </row>
    <row r="3980" spans="1:2">
      <c r="A3980" s="211" t="s">
        <v>2395</v>
      </c>
      <c r="B3980" s="240" t="s">
        <v>2789</v>
      </c>
    </row>
    <row r="3981" spans="1:2">
      <c r="A3981" s="211" t="s">
        <v>2397</v>
      </c>
      <c r="B3981" s="240" t="s">
        <v>4250</v>
      </c>
    </row>
    <row r="3982" spans="1:2">
      <c r="A3982" s="211" t="s">
        <v>2399</v>
      </c>
      <c r="B3982" s="240" t="s">
        <v>985</v>
      </c>
    </row>
    <row r="3983" spans="1:2">
      <c r="A3983" s="211" t="s">
        <v>2400</v>
      </c>
      <c r="B3983" s="240" t="s">
        <v>2803</v>
      </c>
    </row>
    <row r="3984" spans="1:2">
      <c r="A3984" s="211" t="s">
        <v>2401</v>
      </c>
      <c r="B3984" s="240" t="s">
        <v>697</v>
      </c>
    </row>
    <row r="3985" spans="1:2">
      <c r="A3985" s="211" t="s">
        <v>2402</v>
      </c>
      <c r="B3985" s="240" t="s">
        <v>699</v>
      </c>
    </row>
    <row r="3986" spans="1:2">
      <c r="A3986" s="211" t="s">
        <v>2404</v>
      </c>
      <c r="B3986" s="240" t="s">
        <v>4251</v>
      </c>
    </row>
    <row r="3987" spans="1:2">
      <c r="A3987" s="211" t="s">
        <v>2406</v>
      </c>
      <c r="B3987" s="240" t="s">
        <v>4072</v>
      </c>
    </row>
    <row r="3988" spans="1:2">
      <c r="A3988" s="211" t="s">
        <v>2408</v>
      </c>
      <c r="B3988" s="240" t="s">
        <v>4074</v>
      </c>
    </row>
    <row r="3989" spans="1:2">
      <c r="A3989" s="211" t="s">
        <v>2409</v>
      </c>
      <c r="B3989" s="240" t="s">
        <v>4252</v>
      </c>
    </row>
    <row r="3990" spans="1:2">
      <c r="A3990" s="211" t="s">
        <v>2411</v>
      </c>
      <c r="B3990" s="240" t="s">
        <v>2577</v>
      </c>
    </row>
    <row r="3991" spans="1:2">
      <c r="A3991" s="211" t="s">
        <v>2413</v>
      </c>
      <c r="B3991" s="240" t="s">
        <v>2573</v>
      </c>
    </row>
    <row r="3992" spans="1:2">
      <c r="A3992" s="211" t="s">
        <v>2415</v>
      </c>
      <c r="B3992" s="240" t="s">
        <v>4181</v>
      </c>
    </row>
    <row r="3993" spans="1:2">
      <c r="A3993" s="211" t="s">
        <v>2417</v>
      </c>
      <c r="B3993" s="240" t="s">
        <v>4182</v>
      </c>
    </row>
    <row r="3994" spans="1:2">
      <c r="A3994" s="211" t="s">
        <v>2418</v>
      </c>
      <c r="B3994" s="240" t="s">
        <v>455</v>
      </c>
    </row>
    <row r="3995" spans="1:2">
      <c r="A3995" s="211" t="s">
        <v>2420</v>
      </c>
      <c r="B3995" s="240" t="s">
        <v>4253</v>
      </c>
    </row>
    <row r="3996" spans="1:2">
      <c r="A3996" s="211" t="s">
        <v>2421</v>
      </c>
      <c r="B3996" s="240" t="s">
        <v>4254</v>
      </c>
    </row>
    <row r="3997" spans="1:2">
      <c r="A3997" s="211" t="s">
        <v>2422</v>
      </c>
      <c r="B3997" s="240" t="s">
        <v>792</v>
      </c>
    </row>
    <row r="3998" spans="1:2">
      <c r="A3998" s="211" t="s">
        <v>2424</v>
      </c>
      <c r="B3998" s="240" t="s">
        <v>794</v>
      </c>
    </row>
    <row r="3999" spans="1:2">
      <c r="A3999" s="211" t="s">
        <v>2426</v>
      </c>
      <c r="B3999" s="240" t="s">
        <v>796</v>
      </c>
    </row>
    <row r="4000" spans="1:2">
      <c r="A4000" s="211" t="s">
        <v>2428</v>
      </c>
      <c r="B4000" s="240" t="s">
        <v>3269</v>
      </c>
    </row>
    <row r="4001" spans="1:2">
      <c r="A4001" s="211" t="s">
        <v>2430</v>
      </c>
      <c r="B4001" s="240" t="s">
        <v>806</v>
      </c>
    </row>
    <row r="4002" spans="1:2">
      <c r="A4002" s="211" t="s">
        <v>2431</v>
      </c>
      <c r="B4002" s="240" t="s">
        <v>3270</v>
      </c>
    </row>
    <row r="4003" spans="1:2">
      <c r="A4003" s="211" t="s">
        <v>2432</v>
      </c>
      <c r="B4003" s="240" t="s">
        <v>4255</v>
      </c>
    </row>
    <row r="4004" spans="1:2">
      <c r="A4004" s="211" t="s">
        <v>2434</v>
      </c>
      <c r="B4004" s="240" t="s">
        <v>2616</v>
      </c>
    </row>
    <row r="4005" spans="1:2">
      <c r="A4005" s="211" t="s">
        <v>2435</v>
      </c>
      <c r="B4005" s="240" t="s">
        <v>911</v>
      </c>
    </row>
    <row r="4006" spans="1:2">
      <c r="A4006" s="211" t="s">
        <v>2436</v>
      </c>
      <c r="B4006" s="240" t="s">
        <v>3273</v>
      </c>
    </row>
    <row r="4007" spans="1:2">
      <c r="A4007" s="211" t="s">
        <v>2438</v>
      </c>
      <c r="B4007" s="240" t="s">
        <v>898</v>
      </c>
    </row>
    <row r="4008" spans="1:2">
      <c r="A4008" s="211" t="s">
        <v>2439</v>
      </c>
      <c r="B4008" s="240" t="s">
        <v>4051</v>
      </c>
    </row>
    <row r="4009" spans="1:2">
      <c r="A4009" s="211" t="s">
        <v>2440</v>
      </c>
      <c r="B4009" s="240" t="s">
        <v>4052</v>
      </c>
    </row>
    <row r="4010" spans="1:2">
      <c r="A4010" s="211" t="s">
        <v>2442</v>
      </c>
      <c r="B4010" s="240" t="s">
        <v>4256</v>
      </c>
    </row>
    <row r="4011" spans="1:2">
      <c r="A4011" s="211" t="s">
        <v>2443</v>
      </c>
      <c r="B4011" s="240" t="s">
        <v>4257</v>
      </c>
    </row>
    <row r="4012" spans="1:2">
      <c r="A4012" s="211" t="s">
        <v>2444</v>
      </c>
      <c r="B4012" s="240" t="s">
        <v>4053</v>
      </c>
    </row>
    <row r="4013" spans="1:2">
      <c r="A4013" s="211" t="s">
        <v>2446</v>
      </c>
      <c r="B4013" s="240" t="s">
        <v>4054</v>
      </c>
    </row>
    <row r="4014" spans="1:2">
      <c r="A4014" s="211" t="s">
        <v>2448</v>
      </c>
      <c r="B4014" s="240" t="s">
        <v>455</v>
      </c>
    </row>
    <row r="4015" spans="1:2">
      <c r="A4015" s="211" t="s">
        <v>2449</v>
      </c>
      <c r="B4015" s="240" t="s">
        <v>4258</v>
      </c>
    </row>
    <row r="4016" spans="1:2">
      <c r="A4016" s="211" t="s">
        <v>2450</v>
      </c>
      <c r="B4016" s="240" t="s">
        <v>4259</v>
      </c>
    </row>
    <row r="4017" spans="1:2">
      <c r="A4017" s="211" t="s">
        <v>2451</v>
      </c>
      <c r="B4017" s="240" t="s">
        <v>4260</v>
      </c>
    </row>
    <row r="4018" spans="1:2">
      <c r="A4018" s="211" t="s">
        <v>2452</v>
      </c>
      <c r="B4018" s="240" t="s">
        <v>4261</v>
      </c>
    </row>
    <row r="4019" spans="1:2">
      <c r="A4019" s="211" t="s">
        <v>2453</v>
      </c>
      <c r="B4019" s="240" t="s">
        <v>4262</v>
      </c>
    </row>
    <row r="4020" spans="1:2">
      <c r="A4020" s="211" t="s">
        <v>2455</v>
      </c>
      <c r="B4020" s="240" t="s">
        <v>4055</v>
      </c>
    </row>
    <row r="4021" spans="1:2">
      <c r="A4021" s="211" t="s">
        <v>2457</v>
      </c>
      <c r="B4021" s="240" t="s">
        <v>4056</v>
      </c>
    </row>
    <row r="4022" spans="1:2">
      <c r="A4022" s="211" t="s">
        <v>2459</v>
      </c>
      <c r="B4022" s="240" t="s">
        <v>4535</v>
      </c>
    </row>
    <row r="4023" spans="1:2">
      <c r="A4023" s="211" t="s">
        <v>2460</v>
      </c>
      <c r="B4023" s="240" t="s">
        <v>4057</v>
      </c>
    </row>
    <row r="4024" spans="1:2">
      <c r="A4024" s="211" t="s">
        <v>2461</v>
      </c>
      <c r="B4024" s="240" t="s">
        <v>4263</v>
      </c>
    </row>
    <row r="4025" spans="1:2">
      <c r="A4025" s="211" t="s">
        <v>2463</v>
      </c>
      <c r="B4025" s="240" t="s">
        <v>4264</v>
      </c>
    </row>
    <row r="4026" spans="1:2">
      <c r="A4026" s="211" t="s">
        <v>2465</v>
      </c>
      <c r="B4026" s="240" t="s">
        <v>4073</v>
      </c>
    </row>
    <row r="4027" spans="1:2">
      <c r="A4027" s="211" t="s">
        <v>2466</v>
      </c>
      <c r="B4027" s="240" t="s">
        <v>4265</v>
      </c>
    </row>
    <row r="4028" spans="1:2">
      <c r="A4028" s="211" t="s">
        <v>2467</v>
      </c>
      <c r="B4028" s="240" t="s">
        <v>4266</v>
      </c>
    </row>
    <row r="4029" spans="1:2">
      <c r="A4029" s="211" t="s">
        <v>2469</v>
      </c>
      <c r="B4029" s="240" t="s">
        <v>4075</v>
      </c>
    </row>
    <row r="4030" spans="1:2">
      <c r="A4030" s="211" t="s">
        <v>2471</v>
      </c>
      <c r="B4030" s="240" t="s">
        <v>4241</v>
      </c>
    </row>
    <row r="4031" spans="1:2">
      <c r="A4031" s="211" t="s">
        <v>2472</v>
      </c>
      <c r="B4031" s="240" t="s">
        <v>4267</v>
      </c>
    </row>
    <row r="4032" spans="1:2">
      <c r="A4032" s="211" t="s">
        <v>2473</v>
      </c>
      <c r="B4032" s="240" t="s">
        <v>4268</v>
      </c>
    </row>
    <row r="4033" spans="1:2">
      <c r="A4033" s="211" t="s">
        <v>2475</v>
      </c>
      <c r="B4033" s="240" t="s">
        <v>4269</v>
      </c>
    </row>
    <row r="4034" spans="1:2">
      <c r="A4034" s="211" t="s">
        <v>2477</v>
      </c>
      <c r="B4034" s="240" t="s">
        <v>889</v>
      </c>
    </row>
    <row r="4035" spans="1:2">
      <c r="A4035" s="211" t="s">
        <v>2479</v>
      </c>
      <c r="B4035" s="240" t="s">
        <v>832</v>
      </c>
    </row>
    <row r="4036" spans="1:2">
      <c r="A4036" s="211" t="s">
        <v>2480</v>
      </c>
      <c r="B4036" s="240" t="s">
        <v>4270</v>
      </c>
    </row>
    <row r="4037" spans="1:2">
      <c r="A4037" s="211" t="s">
        <v>2482</v>
      </c>
      <c r="B4037" s="240" t="s">
        <v>4271</v>
      </c>
    </row>
    <row r="4038" spans="1:2">
      <c r="A4038" s="211" t="s">
        <v>2484</v>
      </c>
      <c r="B4038" s="240" t="s">
        <v>4272</v>
      </c>
    </row>
    <row r="4039" spans="1:2">
      <c r="A4039" s="211" t="s">
        <v>2486</v>
      </c>
      <c r="B4039" s="240" t="s">
        <v>4273</v>
      </c>
    </row>
    <row r="4040" spans="1:2">
      <c r="A4040" s="211" t="s">
        <v>2487</v>
      </c>
      <c r="B4040" s="240" t="s">
        <v>3414</v>
      </c>
    </row>
    <row r="4041" spans="1:2">
      <c r="A4041" s="211" t="s">
        <v>2488</v>
      </c>
      <c r="B4041" s="240" t="s">
        <v>4274</v>
      </c>
    </row>
    <row r="4042" spans="1:2">
      <c r="A4042" s="211" t="s">
        <v>2489</v>
      </c>
      <c r="B4042" s="240" t="s">
        <v>898</v>
      </c>
    </row>
    <row r="4043" spans="1:2">
      <c r="A4043" s="211" t="s">
        <v>2490</v>
      </c>
      <c r="B4043" s="240" t="s">
        <v>4275</v>
      </c>
    </row>
    <row r="4044" spans="1:2">
      <c r="A4044" s="211" t="s">
        <v>2492</v>
      </c>
      <c r="B4044" s="240" t="s">
        <v>455</v>
      </c>
    </row>
    <row r="4045" spans="1:2">
      <c r="A4045" s="211" t="s">
        <v>2494</v>
      </c>
      <c r="B4045" s="240" t="s">
        <v>4071</v>
      </c>
    </row>
    <row r="4046" spans="1:2">
      <c r="A4046" s="211" t="s">
        <v>2496</v>
      </c>
      <c r="B4046" s="240" t="s">
        <v>4276</v>
      </c>
    </row>
    <row r="4047" spans="1:2">
      <c r="A4047" s="211" t="s">
        <v>2497</v>
      </c>
      <c r="B4047" s="240" t="s">
        <v>4073</v>
      </c>
    </row>
    <row r="4048" spans="1:2">
      <c r="A4048" s="211" t="s">
        <v>2499</v>
      </c>
      <c r="B4048" s="240" t="s">
        <v>4277</v>
      </c>
    </row>
    <row r="4049" spans="1:2">
      <c r="A4049" s="211" t="s">
        <v>2501</v>
      </c>
      <c r="B4049" s="240" t="s">
        <v>4278</v>
      </c>
    </row>
    <row r="4050" spans="1:2">
      <c r="A4050" s="211" t="s">
        <v>2502</v>
      </c>
      <c r="B4050" s="240" t="s">
        <v>4279</v>
      </c>
    </row>
    <row r="4051" spans="1:2">
      <c r="A4051" s="211" t="s">
        <v>2504</v>
      </c>
      <c r="B4051" s="240" t="s">
        <v>4280</v>
      </c>
    </row>
    <row r="4052" spans="1:2">
      <c r="A4052" s="211" t="s">
        <v>2505</v>
      </c>
      <c r="B4052" s="240" t="s">
        <v>4281</v>
      </c>
    </row>
    <row r="4053" spans="1:2">
      <c r="A4053" s="211" t="s">
        <v>2506</v>
      </c>
      <c r="B4053" s="240" t="s">
        <v>4282</v>
      </c>
    </row>
    <row r="4054" spans="1:2">
      <c r="A4054" s="211" t="s">
        <v>2508</v>
      </c>
      <c r="B4054" s="240" t="s">
        <v>4283</v>
      </c>
    </row>
    <row r="4055" spans="1:2">
      <c r="A4055" s="211" t="s">
        <v>2509</v>
      </c>
      <c r="B4055" s="240" t="s">
        <v>4284</v>
      </c>
    </row>
    <row r="4056" spans="1:2">
      <c r="A4056" s="211" t="s">
        <v>2511</v>
      </c>
      <c r="B4056" s="240" t="s">
        <v>4285</v>
      </c>
    </row>
    <row r="4057" spans="1:2">
      <c r="A4057" s="211" t="s">
        <v>2513</v>
      </c>
      <c r="B4057" s="240" t="s">
        <v>4286</v>
      </c>
    </row>
    <row r="4058" spans="1:2">
      <c r="A4058" s="211" t="s">
        <v>2515</v>
      </c>
      <c r="B4058" s="240" t="s">
        <v>697</v>
      </c>
    </row>
    <row r="4059" spans="1:2">
      <c r="A4059" s="211" t="s">
        <v>2517</v>
      </c>
      <c r="B4059" s="240" t="s">
        <v>4287</v>
      </c>
    </row>
    <row r="4060" spans="1:2">
      <c r="A4060" s="211" t="s">
        <v>2519</v>
      </c>
      <c r="B4060" s="240" t="s">
        <v>4288</v>
      </c>
    </row>
    <row r="4061" spans="1:2">
      <c r="A4061" s="211" t="s">
        <v>2521</v>
      </c>
      <c r="B4061" s="240" t="s">
        <v>4289</v>
      </c>
    </row>
    <row r="4062" spans="1:2">
      <c r="A4062" s="211" t="s">
        <v>2523</v>
      </c>
      <c r="B4062" s="240" t="s">
        <v>4193</v>
      </c>
    </row>
    <row r="4063" spans="1:2">
      <c r="A4063" s="211" t="s">
        <v>2524</v>
      </c>
      <c r="B4063" s="240" t="s">
        <v>4290</v>
      </c>
    </row>
    <row r="4064" spans="1:2">
      <c r="A4064" s="211" t="s">
        <v>2525</v>
      </c>
      <c r="B4064" s="240" t="s">
        <v>4291</v>
      </c>
    </row>
    <row r="4065" spans="1:2">
      <c r="A4065" s="211" t="s">
        <v>2526</v>
      </c>
      <c r="B4065" s="240" t="s">
        <v>4075</v>
      </c>
    </row>
    <row r="4066" spans="1:2">
      <c r="A4066" s="211" t="s">
        <v>4292</v>
      </c>
      <c r="B4066" s="240" t="s">
        <v>4241</v>
      </c>
    </row>
    <row r="4067" spans="1:2">
      <c r="A4067" s="211" t="s">
        <v>4293</v>
      </c>
      <c r="B4067" s="240" t="s">
        <v>4294</v>
      </c>
    </row>
    <row r="4068" spans="1:2">
      <c r="A4068" s="211" t="s">
        <v>4295</v>
      </c>
      <c r="B4068" s="240" t="s">
        <v>455</v>
      </c>
    </row>
    <row r="4069" spans="1:2">
      <c r="A4069" s="211" t="s">
        <v>4296</v>
      </c>
      <c r="B4069" s="240" t="s">
        <v>4297</v>
      </c>
    </row>
    <row r="4070" spans="1:2">
      <c r="A4070" s="211" t="s">
        <v>4298</v>
      </c>
      <c r="B4070" s="240" t="s">
        <v>4299</v>
      </c>
    </row>
    <row r="4071" spans="1:2">
      <c r="A4071" s="211" t="s">
        <v>4300</v>
      </c>
      <c r="B4071" s="240" t="s">
        <v>4301</v>
      </c>
    </row>
    <row r="4072" spans="1:2">
      <c r="A4072" s="211" t="s">
        <v>4302</v>
      </c>
      <c r="B4072" s="240" t="s">
        <v>4303</v>
      </c>
    </row>
    <row r="4073" spans="1:2">
      <c r="A4073" s="211" t="s">
        <v>4304</v>
      </c>
      <c r="B4073" s="240" t="s">
        <v>4305</v>
      </c>
    </row>
    <row r="4074" spans="1:2">
      <c r="A4074" s="211" t="s">
        <v>4306</v>
      </c>
      <c r="B4074" s="240" t="s">
        <v>1357</v>
      </c>
    </row>
    <row r="4075" spans="1:2">
      <c r="A4075" s="211" t="s">
        <v>4307</v>
      </c>
      <c r="B4075" s="240" t="s">
        <v>4308</v>
      </c>
    </row>
    <row r="4076" spans="1:2">
      <c r="A4076" s="211" t="s">
        <v>4309</v>
      </c>
      <c r="B4076" s="240" t="s">
        <v>4310</v>
      </c>
    </row>
    <row r="4077" spans="1:2">
      <c r="A4077" s="211" t="s">
        <v>4311</v>
      </c>
      <c r="B4077" s="240" t="s">
        <v>4312</v>
      </c>
    </row>
    <row r="4078" spans="1:2">
      <c r="A4078" s="211" t="s">
        <v>4313</v>
      </c>
      <c r="B4078" s="240" t="s">
        <v>455</v>
      </c>
    </row>
    <row r="4079" spans="1:2">
      <c r="A4079" s="211" t="s">
        <v>4314</v>
      </c>
      <c r="B4079" s="240" t="s">
        <v>4315</v>
      </c>
    </row>
    <row r="4080" spans="1:2">
      <c r="A4080" s="211" t="s">
        <v>4316</v>
      </c>
      <c r="B4080" s="240" t="s">
        <v>4317</v>
      </c>
    </row>
    <row r="4081" spans="1:2">
      <c r="A4081" s="211" t="s">
        <v>4318</v>
      </c>
      <c r="B4081" s="240" t="s">
        <v>4319</v>
      </c>
    </row>
    <row r="4082" spans="1:2">
      <c r="A4082" s="211" t="s">
        <v>4320</v>
      </c>
      <c r="B4082" s="240" t="s">
        <v>4321</v>
      </c>
    </row>
    <row r="4083" spans="1:2">
      <c r="A4083" s="211" t="s">
        <v>4322</v>
      </c>
      <c r="B4083" s="240" t="s">
        <v>4323</v>
      </c>
    </row>
    <row r="4084" spans="1:2">
      <c r="A4084" s="211" t="s">
        <v>4324</v>
      </c>
      <c r="B4084" s="240" t="s">
        <v>4325</v>
      </c>
    </row>
    <row r="4085" spans="1:2">
      <c r="A4085" s="211" t="s">
        <v>4326</v>
      </c>
      <c r="B4085" s="240" t="s">
        <v>4327</v>
      </c>
    </row>
    <row r="4086" spans="1:2">
      <c r="A4086" s="211" t="s">
        <v>4328</v>
      </c>
      <c r="B4086" s="240" t="s">
        <v>4329</v>
      </c>
    </row>
    <row r="4087" spans="1:2">
      <c r="A4087" s="211" t="s">
        <v>4330</v>
      </c>
      <c r="B4087" s="240" t="s">
        <v>4331</v>
      </c>
    </row>
    <row r="4088" spans="1:2">
      <c r="A4088" s="211" t="s">
        <v>4332</v>
      </c>
      <c r="B4088" s="240" t="s">
        <v>2688</v>
      </c>
    </row>
    <row r="4089" spans="1:2">
      <c r="A4089" s="211" t="s">
        <v>4333</v>
      </c>
      <c r="B4089" s="240" t="s">
        <v>4196</v>
      </c>
    </row>
    <row r="4090" spans="1:2">
      <c r="A4090" s="211" t="s">
        <v>4334</v>
      </c>
      <c r="B4090" s="240" t="s">
        <v>4335</v>
      </c>
    </row>
    <row r="4091" spans="1:2">
      <c r="A4091" s="211" t="s">
        <v>4336</v>
      </c>
      <c r="B4091" s="240" t="s">
        <v>898</v>
      </c>
    </row>
    <row r="4092" spans="1:2">
      <c r="A4092" s="211" t="s">
        <v>4337</v>
      </c>
      <c r="B4092" s="240" t="s">
        <v>455</v>
      </c>
    </row>
    <row r="4093" spans="1:2">
      <c r="A4093" s="211" t="s">
        <v>4338</v>
      </c>
      <c r="B4093" s="240" t="s">
        <v>4134</v>
      </c>
    </row>
    <row r="4094" spans="1:2">
      <c r="A4094" s="211" t="s">
        <v>4339</v>
      </c>
      <c r="B4094" s="240" t="s">
        <v>4340</v>
      </c>
    </row>
    <row r="4095" spans="1:2">
      <c r="A4095" s="211" t="s">
        <v>4341</v>
      </c>
      <c r="B4095" s="240" t="s">
        <v>4136</v>
      </c>
    </row>
    <row r="4096" spans="1:2">
      <c r="A4096" s="211" t="s">
        <v>4342</v>
      </c>
      <c r="B4096" s="240" t="s">
        <v>4343</v>
      </c>
    </row>
    <row r="4097" spans="1:2">
      <c r="A4097" s="211" t="s">
        <v>4344</v>
      </c>
      <c r="B4097" s="240" t="s">
        <v>4345</v>
      </c>
    </row>
    <row r="4098" spans="1:2">
      <c r="A4098" s="211" t="s">
        <v>4346</v>
      </c>
      <c r="B4098" s="240" t="s">
        <v>4347</v>
      </c>
    </row>
    <row r="4099" spans="1:2">
      <c r="A4099" s="211" t="s">
        <v>4348</v>
      </c>
      <c r="B4099" s="240" t="s">
        <v>455</v>
      </c>
    </row>
    <row r="4100" spans="1:2">
      <c r="A4100" s="211" t="s">
        <v>4349</v>
      </c>
      <c r="B4100" s="240" t="s">
        <v>4350</v>
      </c>
    </row>
    <row r="4101" spans="1:2">
      <c r="A4101" s="211" t="s">
        <v>4351</v>
      </c>
      <c r="B4101" s="240" t="s">
        <v>1168</v>
      </c>
    </row>
    <row r="4102" spans="1:2">
      <c r="A4102" s="211" t="s">
        <v>4352</v>
      </c>
      <c r="B4102" s="240" t="s">
        <v>1170</v>
      </c>
    </row>
    <row r="4103" spans="1:2">
      <c r="A4103" s="211" t="s">
        <v>4353</v>
      </c>
      <c r="B4103" s="240" t="s">
        <v>4354</v>
      </c>
    </row>
    <row r="4104" spans="1:2">
      <c r="A4104" s="211" t="s">
        <v>4355</v>
      </c>
      <c r="B4104" s="240" t="s">
        <v>1174</v>
      </c>
    </row>
    <row r="4105" spans="1:2">
      <c r="A4105" s="211" t="s">
        <v>4356</v>
      </c>
      <c r="B4105" s="240" t="s">
        <v>475</v>
      </c>
    </row>
    <row r="4106" spans="1:2">
      <c r="A4106" s="211" t="s">
        <v>4357</v>
      </c>
      <c r="B4106" s="240" t="s">
        <v>455</v>
      </c>
    </row>
    <row r="4107" spans="1:2">
      <c r="A4107" s="211" t="s">
        <v>4358</v>
      </c>
      <c r="B4107" s="240" t="s">
        <v>4359</v>
      </c>
    </row>
    <row r="4108" spans="1:2">
      <c r="A4108" s="211" t="s">
        <v>4360</v>
      </c>
      <c r="B4108" s="240" t="s">
        <v>4361</v>
      </c>
    </row>
    <row r="4109" spans="1:2">
      <c r="A4109" s="211" t="s">
        <v>4362</v>
      </c>
      <c r="B4109" s="240" t="s">
        <v>3945</v>
      </c>
    </row>
    <row r="4110" spans="1:2">
      <c r="A4110" s="211" t="s">
        <v>4363</v>
      </c>
      <c r="B4110" s="240" t="s">
        <v>4065</v>
      </c>
    </row>
    <row r="4111" spans="1:2">
      <c r="A4111" s="211" t="s">
        <v>4364</v>
      </c>
      <c r="B4111" s="240" t="s">
        <v>4365</v>
      </c>
    </row>
    <row r="4112" spans="1:2">
      <c r="A4112" s="211" t="s">
        <v>4366</v>
      </c>
      <c r="B4112" s="240" t="s">
        <v>4367</v>
      </c>
    </row>
    <row r="4113" spans="1:2">
      <c r="A4113" s="211" t="s">
        <v>4368</v>
      </c>
      <c r="B4113" s="240" t="s">
        <v>1357</v>
      </c>
    </row>
    <row r="4114" spans="1:2">
      <c r="A4114" s="211" t="s">
        <v>4369</v>
      </c>
      <c r="B4114" s="240" t="s">
        <v>475</v>
      </c>
    </row>
    <row r="4115" spans="1:2">
      <c r="A4115" s="211" t="s">
        <v>4370</v>
      </c>
      <c r="B4115" s="240" t="s">
        <v>455</v>
      </c>
    </row>
    <row r="4116" spans="1:2">
      <c r="A4116" s="211" t="s">
        <v>4371</v>
      </c>
      <c r="B4116" s="241" t="s">
        <v>2549</v>
      </c>
    </row>
    <row r="4117" spans="1:2">
      <c r="A4117" s="211" t="s">
        <v>4372</v>
      </c>
      <c r="B4117" s="241" t="s">
        <v>4373</v>
      </c>
    </row>
    <row r="4118" spans="1:2">
      <c r="A4118" s="211" t="s">
        <v>4374</v>
      </c>
      <c r="B4118" s="241" t="s">
        <v>2549</v>
      </c>
    </row>
    <row r="4119" spans="1:2">
      <c r="A4119" s="211" t="s">
        <v>4375</v>
      </c>
      <c r="B4119" s="240" t="s">
        <v>4376</v>
      </c>
    </row>
    <row r="4120" spans="1:2">
      <c r="A4120" s="211" t="s">
        <v>4377</v>
      </c>
      <c r="B4120" s="240" t="s">
        <v>4378</v>
      </c>
    </row>
    <row r="4121" spans="1:2">
      <c r="A4121" s="211" t="s">
        <v>4379</v>
      </c>
      <c r="B4121" s="240" t="s">
        <v>1181</v>
      </c>
    </row>
    <row r="4122" spans="1:2">
      <c r="A4122" s="211" t="s">
        <v>4380</v>
      </c>
      <c r="B4122" s="240" t="s">
        <v>4381</v>
      </c>
    </row>
    <row r="4123" spans="1:2">
      <c r="A4123" s="211" t="s">
        <v>4382</v>
      </c>
      <c r="B4123" s="240" t="s">
        <v>4383</v>
      </c>
    </row>
    <row r="4124" spans="1:2">
      <c r="A4124" s="211" t="s">
        <v>4384</v>
      </c>
      <c r="B4124" s="240" t="s">
        <v>4385</v>
      </c>
    </row>
    <row r="4125" spans="1:2">
      <c r="A4125" s="211" t="s">
        <v>4386</v>
      </c>
      <c r="B4125" s="240" t="s">
        <v>1204</v>
      </c>
    </row>
    <row r="4126" spans="1:2">
      <c r="A4126" s="211" t="s">
        <v>4387</v>
      </c>
      <c r="B4126" s="240" t="s">
        <v>4388</v>
      </c>
    </row>
    <row r="4127" spans="1:2">
      <c r="A4127" s="211" t="s">
        <v>4389</v>
      </c>
      <c r="B4127" s="240" t="s">
        <v>4390</v>
      </c>
    </row>
    <row r="4128" spans="1:2">
      <c r="A4128" s="211" t="s">
        <v>4391</v>
      </c>
      <c r="B4128" s="240" t="s">
        <v>4392</v>
      </c>
    </row>
    <row r="4129" spans="1:2">
      <c r="A4129" s="211" t="s">
        <v>4393</v>
      </c>
      <c r="B4129" s="240" t="s">
        <v>4394</v>
      </c>
    </row>
    <row r="4130" spans="1:2">
      <c r="A4130" s="211" t="s">
        <v>4395</v>
      </c>
      <c r="B4130" s="240" t="s">
        <v>4396</v>
      </c>
    </row>
    <row r="4131" spans="1:2">
      <c r="A4131" s="211" t="s">
        <v>4397</v>
      </c>
      <c r="B4131" s="240" t="s">
        <v>4398</v>
      </c>
    </row>
    <row r="4132" spans="1:2">
      <c r="A4132" s="211" t="s">
        <v>4399</v>
      </c>
      <c r="B4132" s="240" t="s">
        <v>4400</v>
      </c>
    </row>
    <row r="4133" spans="1:2">
      <c r="A4133" s="211" t="s">
        <v>4401</v>
      </c>
      <c r="B4133" s="240" t="s">
        <v>4396</v>
      </c>
    </row>
    <row r="4134" spans="1:2">
      <c r="A4134" s="211" t="s">
        <v>4402</v>
      </c>
      <c r="B4134" s="240" t="s">
        <v>4403</v>
      </c>
    </row>
    <row r="4135" spans="1:2">
      <c r="A4135" s="211" t="s">
        <v>4404</v>
      </c>
      <c r="B4135" s="240" t="s">
        <v>4405</v>
      </c>
    </row>
    <row r="4136" spans="1:2">
      <c r="A4136" s="211" t="s">
        <v>4406</v>
      </c>
      <c r="B4136" s="240" t="s">
        <v>4396</v>
      </c>
    </row>
    <row r="4137" spans="1:2">
      <c r="A4137" s="211" t="s">
        <v>4407</v>
      </c>
      <c r="B4137" s="240" t="s">
        <v>475</v>
      </c>
    </row>
    <row r="4138" spans="1:2">
      <c r="A4138" s="211" t="s">
        <v>4408</v>
      </c>
      <c r="B4138" s="240" t="s">
        <v>455</v>
      </c>
    </row>
    <row r="4139" spans="1:2">
      <c r="A4139" s="211" t="s">
        <v>4409</v>
      </c>
      <c r="B4139" s="241" t="s">
        <v>4410</v>
      </c>
    </row>
    <row r="4140" spans="1:2">
      <c r="A4140" s="211" t="s">
        <v>4411</v>
      </c>
      <c r="B4140" s="240" t="s">
        <v>4412</v>
      </c>
    </row>
    <row r="4141" spans="1:2">
      <c r="A4141" s="211" t="s">
        <v>4413</v>
      </c>
      <c r="B4141" s="240" t="s">
        <v>2868</v>
      </c>
    </row>
    <row r="4142" spans="1:2">
      <c r="A4142" s="211" t="s">
        <v>4414</v>
      </c>
      <c r="B4142" s="240" t="s">
        <v>741</v>
      </c>
    </row>
    <row r="4143" spans="1:2">
      <c r="A4143" s="211" t="s">
        <v>4415</v>
      </c>
      <c r="B4143" s="240" t="s">
        <v>3915</v>
      </c>
    </row>
    <row r="4144" spans="1:2">
      <c r="A4144" s="211" t="s">
        <v>4416</v>
      </c>
      <c r="B4144" s="240" t="s">
        <v>1263</v>
      </c>
    </row>
    <row r="4145" spans="1:2">
      <c r="A4145" s="211" t="s">
        <v>4417</v>
      </c>
      <c r="B4145" s="240" t="s">
        <v>3033</v>
      </c>
    </row>
    <row r="4146" spans="1:2">
      <c r="A4146" s="211" t="s">
        <v>4418</v>
      </c>
      <c r="B4146" s="240" t="s">
        <v>4419</v>
      </c>
    </row>
    <row r="4147" spans="1:2">
      <c r="A4147" s="211" t="s">
        <v>4420</v>
      </c>
      <c r="B4147" s="240" t="s">
        <v>4421</v>
      </c>
    </row>
    <row r="4148" spans="1:2">
      <c r="A4148" s="211" t="s">
        <v>4422</v>
      </c>
      <c r="B4148" s="240" t="s">
        <v>697</v>
      </c>
    </row>
    <row r="4149" spans="1:2">
      <c r="A4149" s="211" t="s">
        <v>4423</v>
      </c>
      <c r="B4149" s="240" t="s">
        <v>1297</v>
      </c>
    </row>
    <row r="4150" spans="1:2">
      <c r="A4150" s="211" t="s">
        <v>4424</v>
      </c>
      <c r="B4150" s="240" t="s">
        <v>3071</v>
      </c>
    </row>
    <row r="4151" spans="1:2">
      <c r="A4151" s="211" t="s">
        <v>4425</v>
      </c>
      <c r="B4151" s="240" t="s">
        <v>1214</v>
      </c>
    </row>
    <row r="4152" spans="1:2">
      <c r="A4152" s="211" t="s">
        <v>4426</v>
      </c>
      <c r="B4152" s="240" t="s">
        <v>475</v>
      </c>
    </row>
    <row r="4153" spans="1:2">
      <c r="A4153" s="211" t="s">
        <v>4427</v>
      </c>
      <c r="B4153" s="240" t="s">
        <v>455</v>
      </c>
    </row>
    <row r="4154" spans="1:2">
      <c r="A4154" s="211" t="s">
        <v>4428</v>
      </c>
      <c r="B4154" s="240" t="s">
        <v>4429</v>
      </c>
    </row>
    <row r="4155" spans="1:2">
      <c r="A4155" s="211" t="s">
        <v>4430</v>
      </c>
      <c r="B4155" s="240" t="s">
        <v>4431</v>
      </c>
    </row>
    <row r="4156" spans="1:2">
      <c r="A4156" s="211" t="s">
        <v>4432</v>
      </c>
      <c r="B4156" s="240" t="s">
        <v>475</v>
      </c>
    </row>
  </sheetData>
  <mergeCells count="6">
    <mergeCell ref="A46:G46"/>
    <mergeCell ref="A47:G47"/>
    <mergeCell ref="A48:G48"/>
    <mergeCell ref="A49:G49"/>
    <mergeCell ref="A50:G50"/>
    <mergeCell ref="A51:G51"/>
  </mergeCells>
  <phoneticPr fontId="1"/>
  <hyperlinks>
    <hyperlink ref="A38" location="'マクロ保存'!A54" display="ThisWorkbook" xr:uid="{C6C163C6-8843-4F04-AB16-11648E4590EA}"/>
    <hyperlink ref="A39" location="'マクロ保存'!A68" display="modShift" xr:uid="{37EAD0CA-D6D8-469E-8011-669A26EFB65C}"/>
    <hyperlink ref="A40" location="'マクロ保存'!A1301" display="modTime" xr:uid="{CC6FA177-88C9-4E93-8DA6-D9881AF43D0A}"/>
    <hyperlink ref="A41" location="'マクロ保存'!A1931" display="modFlow" xr:uid="{9433B27E-B786-44F1-90C9-F12DCA7989BC}"/>
    <hyperlink ref="A42" location="'マクロ保存'!A2205" display="modLeave" xr:uid="{3BC21D21-4DD1-4BF3-9DFA-D9D89E0EAA0B}"/>
    <hyperlink ref="A43" location="'マクロ保存'!A2857" display="modTask" xr:uid="{BEC716E5-B903-43D2-924A-E4EA2B2858B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8</vt:i4>
      </vt:variant>
    </vt:vector>
  </HeadingPairs>
  <TitlesOfParts>
    <vt:vector size="17" baseType="lpstr">
      <vt:lpstr>表紙</vt:lpstr>
      <vt:lpstr>①各種設定</vt:lpstr>
      <vt:lpstr>②メンバー</vt:lpstr>
      <vt:lpstr>③休暇管理</vt:lpstr>
      <vt:lpstr>④月間シフト作成</vt:lpstr>
      <vt:lpstr>⑤月間_2026年10月</vt:lpstr>
      <vt:lpstr>⑥タイム_2026年10月</vt:lpstr>
      <vt:lpstr>⑧配分_2026年10月</vt:lpstr>
      <vt:lpstr>マクロ保存</vt:lpstr>
      <vt:lpstr>マクロ保存!code_modFlow</vt:lpstr>
      <vt:lpstr>マクロ保存!code_modLeave</vt:lpstr>
      <vt:lpstr>マクロ保存!code_modShift</vt:lpstr>
      <vt:lpstr>マクロ保存!code_modTask</vt:lpstr>
      <vt:lpstr>マクロ保存!code_modTime</vt:lpstr>
      <vt:lpstr>マクロ保存!code_ThisWorkbook</vt:lpstr>
      <vt:lpstr>⑥タイム_2026年10月!Print_Area</vt:lpstr>
      <vt:lpstr>⑤月間_2026年10月!Print_Titles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ちゅ ちなー</dc:creator>
  <cp:lastModifiedBy>ちゅ ちなー</cp:lastModifiedBy>
  <dcterms:created xsi:type="dcterms:W3CDTF">2026-09-30T14:07:41Z</dcterms:created>
  <dcterms:modified xsi:type="dcterms:W3CDTF">2026-10-02T16:20:50Z</dcterms:modified>
</cp:coreProperties>
</file>