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\\YH-23-00000178\share\93.お知らせ\20.進捗状況確認\"/>
    </mc:Choice>
  </mc:AlternateContent>
  <xr:revisionPtr revIDLastSave="0" documentId="13_ncr:1_{86AFFFB0-7F3C-425A-A7F7-37EDCB33CC64}" xr6:coauthVersionLast="47" xr6:coauthVersionMax="47" xr10:uidLastSave="{00000000-0000-0000-0000-000000000000}"/>
  <bookViews>
    <workbookView xWindow="20370" yWindow="-120" windowWidth="29040" windowHeight="15720" tabRatio="500" xr2:uid="{00000000-000D-0000-FFFF-FFFF00000000}"/>
  </bookViews>
  <sheets>
    <sheet name="ダッシュボード" sheetId="2" r:id="rId1"/>
    <sheet name="元データ" sheetId="1" r:id="rId2"/>
    <sheet name="VBAコード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2" l="1"/>
  <c r="AP2000" i="1"/>
  <c r="AO2000" i="1"/>
  <c r="AN2000" i="1"/>
  <c r="AM2000" i="1"/>
  <c r="AL2000" i="1"/>
  <c r="AP1999" i="1"/>
  <c r="AO1999" i="1"/>
  <c r="AN1999" i="1"/>
  <c r="AM1999" i="1"/>
  <c r="AL1999" i="1"/>
  <c r="AP1998" i="1"/>
  <c r="AO1998" i="1"/>
  <c r="AN1998" i="1"/>
  <c r="AM1998" i="1"/>
  <c r="AL1998" i="1"/>
  <c r="AP1997" i="1"/>
  <c r="AO1997" i="1"/>
  <c r="AN1997" i="1"/>
  <c r="AM1997" i="1"/>
  <c r="AL1997" i="1"/>
  <c r="AP1996" i="1"/>
  <c r="AO1996" i="1"/>
  <c r="AN1996" i="1"/>
  <c r="AM1996" i="1"/>
  <c r="AL1996" i="1"/>
  <c r="AP1995" i="1"/>
  <c r="AO1995" i="1"/>
  <c r="AN1995" i="1"/>
  <c r="AM1995" i="1"/>
  <c r="AL1995" i="1"/>
  <c r="AP1994" i="1"/>
  <c r="AO1994" i="1"/>
  <c r="AN1994" i="1"/>
  <c r="AM1994" i="1"/>
  <c r="AL1994" i="1"/>
  <c r="AP1993" i="1"/>
  <c r="AO1993" i="1"/>
  <c r="AN1993" i="1"/>
  <c r="AM1993" i="1"/>
  <c r="AL1993" i="1"/>
  <c r="AP1992" i="1"/>
  <c r="AO1992" i="1"/>
  <c r="AN1992" i="1"/>
  <c r="AM1992" i="1"/>
  <c r="AL1992" i="1"/>
  <c r="AP1991" i="1"/>
  <c r="AO1991" i="1"/>
  <c r="AN1991" i="1"/>
  <c r="AM1991" i="1"/>
  <c r="AL1991" i="1"/>
  <c r="AP1990" i="1"/>
  <c r="AO1990" i="1"/>
  <c r="AN1990" i="1"/>
  <c r="AM1990" i="1"/>
  <c r="AL1990" i="1"/>
  <c r="AP1989" i="1"/>
  <c r="AO1989" i="1"/>
  <c r="AN1989" i="1"/>
  <c r="AM1989" i="1"/>
  <c r="AL1989" i="1"/>
  <c r="AP1988" i="1"/>
  <c r="AO1988" i="1"/>
  <c r="AN1988" i="1"/>
  <c r="AM1988" i="1"/>
  <c r="AL1988" i="1"/>
  <c r="AP1987" i="1"/>
  <c r="AO1987" i="1"/>
  <c r="AN1987" i="1"/>
  <c r="AM1987" i="1"/>
  <c r="AL1987" i="1"/>
  <c r="AP1986" i="1"/>
  <c r="AO1986" i="1"/>
  <c r="AN1986" i="1"/>
  <c r="AM1986" i="1"/>
  <c r="AL1986" i="1"/>
  <c r="AP1985" i="1"/>
  <c r="AO1985" i="1"/>
  <c r="AN1985" i="1"/>
  <c r="AM1985" i="1"/>
  <c r="AL1985" i="1"/>
  <c r="AP1984" i="1"/>
  <c r="AO1984" i="1"/>
  <c r="AN1984" i="1"/>
  <c r="AM1984" i="1"/>
  <c r="AL1984" i="1"/>
  <c r="AP1983" i="1"/>
  <c r="AO1983" i="1"/>
  <c r="AN1983" i="1"/>
  <c r="AM1983" i="1"/>
  <c r="AL1983" i="1"/>
  <c r="AP1982" i="1"/>
  <c r="AO1982" i="1"/>
  <c r="AN1982" i="1"/>
  <c r="AM1982" i="1"/>
  <c r="AL1982" i="1"/>
  <c r="AP1981" i="1"/>
  <c r="AO1981" i="1"/>
  <c r="AN1981" i="1"/>
  <c r="AM1981" i="1"/>
  <c r="AL1981" i="1"/>
  <c r="AP1980" i="1"/>
  <c r="AO1980" i="1"/>
  <c r="AN1980" i="1"/>
  <c r="AM1980" i="1"/>
  <c r="AL1980" i="1"/>
  <c r="AP1979" i="1"/>
  <c r="AO1979" i="1"/>
  <c r="AN1979" i="1"/>
  <c r="AM1979" i="1"/>
  <c r="AL1979" i="1"/>
  <c r="AP1978" i="1"/>
  <c r="AO1978" i="1"/>
  <c r="AN1978" i="1"/>
  <c r="AM1978" i="1"/>
  <c r="AL1978" i="1"/>
  <c r="AP1977" i="1"/>
  <c r="AO1977" i="1"/>
  <c r="AN1977" i="1"/>
  <c r="AM1977" i="1"/>
  <c r="AL1977" i="1"/>
  <c r="AP1976" i="1"/>
  <c r="AO1976" i="1"/>
  <c r="AN1976" i="1"/>
  <c r="AM1976" i="1"/>
  <c r="AL1976" i="1"/>
  <c r="AP1975" i="1"/>
  <c r="AO1975" i="1"/>
  <c r="AN1975" i="1"/>
  <c r="AM1975" i="1"/>
  <c r="AL1975" i="1"/>
  <c r="AP1974" i="1"/>
  <c r="AO1974" i="1"/>
  <c r="AN1974" i="1"/>
  <c r="AM1974" i="1"/>
  <c r="AL1974" i="1"/>
  <c r="AP1973" i="1"/>
  <c r="AO1973" i="1"/>
  <c r="AN1973" i="1"/>
  <c r="AM1973" i="1"/>
  <c r="AL1973" i="1"/>
  <c r="AP1972" i="1"/>
  <c r="AO1972" i="1"/>
  <c r="AN1972" i="1"/>
  <c r="AM1972" i="1"/>
  <c r="AL1972" i="1"/>
  <c r="AP1971" i="1"/>
  <c r="AO1971" i="1"/>
  <c r="AN1971" i="1"/>
  <c r="AM1971" i="1"/>
  <c r="AL1971" i="1"/>
  <c r="AP1970" i="1"/>
  <c r="AO1970" i="1"/>
  <c r="AN1970" i="1"/>
  <c r="AM1970" i="1"/>
  <c r="AL1970" i="1"/>
  <c r="AP1969" i="1"/>
  <c r="AO1969" i="1"/>
  <c r="AN1969" i="1"/>
  <c r="AM1969" i="1"/>
  <c r="AL1969" i="1"/>
  <c r="AP1968" i="1"/>
  <c r="AO1968" i="1"/>
  <c r="AN1968" i="1"/>
  <c r="AM1968" i="1"/>
  <c r="AL1968" i="1"/>
  <c r="AP1967" i="1"/>
  <c r="AO1967" i="1"/>
  <c r="AN1967" i="1"/>
  <c r="AM1967" i="1"/>
  <c r="AL1967" i="1"/>
  <c r="AP1966" i="1"/>
  <c r="AO1966" i="1"/>
  <c r="AN1966" i="1"/>
  <c r="AM1966" i="1"/>
  <c r="AL1966" i="1"/>
  <c r="AP1965" i="1"/>
  <c r="AO1965" i="1"/>
  <c r="AN1965" i="1"/>
  <c r="AM1965" i="1"/>
  <c r="AL1965" i="1"/>
  <c r="AP1964" i="1"/>
  <c r="AO1964" i="1"/>
  <c r="AN1964" i="1"/>
  <c r="AM1964" i="1"/>
  <c r="AL1964" i="1"/>
  <c r="AP1963" i="1"/>
  <c r="AO1963" i="1"/>
  <c r="AN1963" i="1"/>
  <c r="AM1963" i="1"/>
  <c r="AL1963" i="1"/>
  <c r="AP1962" i="1"/>
  <c r="AO1962" i="1"/>
  <c r="AN1962" i="1"/>
  <c r="AM1962" i="1"/>
  <c r="AL1962" i="1"/>
  <c r="AP1961" i="1"/>
  <c r="AO1961" i="1"/>
  <c r="AN1961" i="1"/>
  <c r="AM1961" i="1"/>
  <c r="AL1961" i="1"/>
  <c r="AP1960" i="1"/>
  <c r="AO1960" i="1"/>
  <c r="AN1960" i="1"/>
  <c r="AM1960" i="1"/>
  <c r="AL1960" i="1"/>
  <c r="AP1959" i="1"/>
  <c r="AO1959" i="1"/>
  <c r="AN1959" i="1"/>
  <c r="AM1959" i="1"/>
  <c r="AL1959" i="1"/>
  <c r="AP1958" i="1"/>
  <c r="AO1958" i="1"/>
  <c r="AN1958" i="1"/>
  <c r="AM1958" i="1"/>
  <c r="AL1958" i="1"/>
  <c r="AP1957" i="1"/>
  <c r="AO1957" i="1"/>
  <c r="AN1957" i="1"/>
  <c r="AM1957" i="1"/>
  <c r="AL1957" i="1"/>
  <c r="AP1956" i="1"/>
  <c r="AO1956" i="1"/>
  <c r="AN1956" i="1"/>
  <c r="AM1956" i="1"/>
  <c r="AL1956" i="1"/>
  <c r="AP1955" i="1"/>
  <c r="AO1955" i="1"/>
  <c r="AN1955" i="1"/>
  <c r="AM1955" i="1"/>
  <c r="AL1955" i="1"/>
  <c r="AP1954" i="1"/>
  <c r="AO1954" i="1"/>
  <c r="AN1954" i="1"/>
  <c r="AM1954" i="1"/>
  <c r="AL1954" i="1"/>
  <c r="AP1953" i="1"/>
  <c r="AO1953" i="1"/>
  <c r="AN1953" i="1"/>
  <c r="AM1953" i="1"/>
  <c r="AL1953" i="1"/>
  <c r="AP1952" i="1"/>
  <c r="AO1952" i="1"/>
  <c r="AN1952" i="1"/>
  <c r="AM1952" i="1"/>
  <c r="AL1952" i="1"/>
  <c r="AP1951" i="1"/>
  <c r="AO1951" i="1"/>
  <c r="AN1951" i="1"/>
  <c r="AM1951" i="1"/>
  <c r="AL1951" i="1"/>
  <c r="AP1950" i="1"/>
  <c r="AO1950" i="1"/>
  <c r="AN1950" i="1"/>
  <c r="AM1950" i="1"/>
  <c r="AL1950" i="1"/>
  <c r="AP1949" i="1"/>
  <c r="AO1949" i="1"/>
  <c r="AN1949" i="1"/>
  <c r="AM1949" i="1"/>
  <c r="AL1949" i="1"/>
  <c r="AP1948" i="1"/>
  <c r="AO1948" i="1"/>
  <c r="AN1948" i="1"/>
  <c r="AM1948" i="1"/>
  <c r="AL1948" i="1"/>
  <c r="AP1947" i="1"/>
  <c r="AO1947" i="1"/>
  <c r="AN1947" i="1"/>
  <c r="AM1947" i="1"/>
  <c r="AL1947" i="1"/>
  <c r="AP1946" i="1"/>
  <c r="AO1946" i="1"/>
  <c r="AN1946" i="1"/>
  <c r="AM1946" i="1"/>
  <c r="AL1946" i="1"/>
  <c r="AP1945" i="1"/>
  <c r="AO1945" i="1"/>
  <c r="AN1945" i="1"/>
  <c r="AM1945" i="1"/>
  <c r="AL1945" i="1"/>
  <c r="AP1944" i="1"/>
  <c r="AO1944" i="1"/>
  <c r="AN1944" i="1"/>
  <c r="AM1944" i="1"/>
  <c r="AL1944" i="1"/>
  <c r="AP1943" i="1"/>
  <c r="AO1943" i="1"/>
  <c r="AN1943" i="1"/>
  <c r="AM1943" i="1"/>
  <c r="AL1943" i="1"/>
  <c r="AP1942" i="1"/>
  <c r="AO1942" i="1"/>
  <c r="AN1942" i="1"/>
  <c r="AM1942" i="1"/>
  <c r="AL1942" i="1"/>
  <c r="AP1941" i="1"/>
  <c r="AO1941" i="1"/>
  <c r="AN1941" i="1"/>
  <c r="AM1941" i="1"/>
  <c r="AL1941" i="1"/>
  <c r="AP1940" i="1"/>
  <c r="AO1940" i="1"/>
  <c r="AN1940" i="1"/>
  <c r="AM1940" i="1"/>
  <c r="AL1940" i="1"/>
  <c r="AP1939" i="1"/>
  <c r="AO1939" i="1"/>
  <c r="AN1939" i="1"/>
  <c r="AM1939" i="1"/>
  <c r="AL1939" i="1"/>
  <c r="AP1938" i="1"/>
  <c r="AO1938" i="1"/>
  <c r="AN1938" i="1"/>
  <c r="AM1938" i="1"/>
  <c r="AL1938" i="1"/>
  <c r="AP1937" i="1"/>
  <c r="AO1937" i="1"/>
  <c r="AN1937" i="1"/>
  <c r="AM1937" i="1"/>
  <c r="AL1937" i="1"/>
  <c r="AP1936" i="1"/>
  <c r="AO1936" i="1"/>
  <c r="AN1936" i="1"/>
  <c r="AM1936" i="1"/>
  <c r="AL1936" i="1"/>
  <c r="AP1935" i="1"/>
  <c r="AO1935" i="1"/>
  <c r="AN1935" i="1"/>
  <c r="AM1935" i="1"/>
  <c r="AL1935" i="1"/>
  <c r="AP1934" i="1"/>
  <c r="AO1934" i="1"/>
  <c r="AN1934" i="1"/>
  <c r="AM1934" i="1"/>
  <c r="AL1934" i="1"/>
  <c r="AP1933" i="1"/>
  <c r="AO1933" i="1"/>
  <c r="AN1933" i="1"/>
  <c r="AM1933" i="1"/>
  <c r="AL1933" i="1"/>
  <c r="AP1932" i="1"/>
  <c r="AO1932" i="1"/>
  <c r="AN1932" i="1"/>
  <c r="AM1932" i="1"/>
  <c r="AL1932" i="1"/>
  <c r="AP1931" i="1"/>
  <c r="AO1931" i="1"/>
  <c r="AN1931" i="1"/>
  <c r="AM1931" i="1"/>
  <c r="AL1931" i="1"/>
  <c r="AP1930" i="1"/>
  <c r="AO1930" i="1"/>
  <c r="AN1930" i="1"/>
  <c r="AM1930" i="1"/>
  <c r="AL1930" i="1"/>
  <c r="AP1929" i="1"/>
  <c r="AO1929" i="1"/>
  <c r="AN1929" i="1"/>
  <c r="AM1929" i="1"/>
  <c r="AL1929" i="1"/>
  <c r="AP1928" i="1"/>
  <c r="AO1928" i="1"/>
  <c r="AN1928" i="1"/>
  <c r="AM1928" i="1"/>
  <c r="AL1928" i="1"/>
  <c r="AP1927" i="1"/>
  <c r="AO1927" i="1"/>
  <c r="AN1927" i="1"/>
  <c r="AM1927" i="1"/>
  <c r="AL1927" i="1"/>
  <c r="AP1926" i="1"/>
  <c r="AO1926" i="1"/>
  <c r="AN1926" i="1"/>
  <c r="AM1926" i="1"/>
  <c r="AL1926" i="1"/>
  <c r="AP1925" i="1"/>
  <c r="AO1925" i="1"/>
  <c r="AN1925" i="1"/>
  <c r="AM1925" i="1"/>
  <c r="AL1925" i="1"/>
  <c r="AP1924" i="1"/>
  <c r="AO1924" i="1"/>
  <c r="AN1924" i="1"/>
  <c r="AM1924" i="1"/>
  <c r="AL1924" i="1"/>
  <c r="AP1923" i="1"/>
  <c r="AO1923" i="1"/>
  <c r="AN1923" i="1"/>
  <c r="AM1923" i="1"/>
  <c r="AL1923" i="1"/>
  <c r="AP1922" i="1"/>
  <c r="AO1922" i="1"/>
  <c r="AN1922" i="1"/>
  <c r="AM1922" i="1"/>
  <c r="AL1922" i="1"/>
  <c r="AP1921" i="1"/>
  <c r="AO1921" i="1"/>
  <c r="AN1921" i="1"/>
  <c r="AM1921" i="1"/>
  <c r="AL1921" i="1"/>
  <c r="AP1920" i="1"/>
  <c r="AO1920" i="1"/>
  <c r="AN1920" i="1"/>
  <c r="AM1920" i="1"/>
  <c r="AL1920" i="1"/>
  <c r="AP1919" i="1"/>
  <c r="AO1919" i="1"/>
  <c r="AN1919" i="1"/>
  <c r="AM1919" i="1"/>
  <c r="AL1919" i="1"/>
  <c r="AP1918" i="1"/>
  <c r="AO1918" i="1"/>
  <c r="AN1918" i="1"/>
  <c r="AM1918" i="1"/>
  <c r="AL1918" i="1"/>
  <c r="AP1917" i="1"/>
  <c r="AO1917" i="1"/>
  <c r="AN1917" i="1"/>
  <c r="AM1917" i="1"/>
  <c r="AL1917" i="1"/>
  <c r="AP1916" i="1"/>
  <c r="AO1916" i="1"/>
  <c r="AN1916" i="1"/>
  <c r="AM1916" i="1"/>
  <c r="AL1916" i="1"/>
  <c r="AP1915" i="1"/>
  <c r="AO1915" i="1"/>
  <c r="AN1915" i="1"/>
  <c r="AM1915" i="1"/>
  <c r="AL1915" i="1"/>
  <c r="AP1914" i="1"/>
  <c r="AO1914" i="1"/>
  <c r="AN1914" i="1"/>
  <c r="AM1914" i="1"/>
  <c r="AL1914" i="1"/>
  <c r="AP1913" i="1"/>
  <c r="AO1913" i="1"/>
  <c r="AN1913" i="1"/>
  <c r="AM1913" i="1"/>
  <c r="AL1913" i="1"/>
  <c r="AP1912" i="1"/>
  <c r="AO1912" i="1"/>
  <c r="AN1912" i="1"/>
  <c r="AM1912" i="1"/>
  <c r="AL1912" i="1"/>
  <c r="AP1911" i="1"/>
  <c r="AO1911" i="1"/>
  <c r="AN1911" i="1"/>
  <c r="AM1911" i="1"/>
  <c r="AL1911" i="1"/>
  <c r="AP1910" i="1"/>
  <c r="AO1910" i="1"/>
  <c r="AN1910" i="1"/>
  <c r="AM1910" i="1"/>
  <c r="AL1910" i="1"/>
  <c r="AP1909" i="1"/>
  <c r="AO1909" i="1"/>
  <c r="AN1909" i="1"/>
  <c r="AM1909" i="1"/>
  <c r="AL1909" i="1"/>
  <c r="AP1908" i="1"/>
  <c r="AO1908" i="1"/>
  <c r="AN1908" i="1"/>
  <c r="AM1908" i="1"/>
  <c r="AL1908" i="1"/>
  <c r="AP1907" i="1"/>
  <c r="AO1907" i="1"/>
  <c r="AN1907" i="1"/>
  <c r="AM1907" i="1"/>
  <c r="AL1907" i="1"/>
  <c r="AP1906" i="1"/>
  <c r="AO1906" i="1"/>
  <c r="AN1906" i="1"/>
  <c r="AM1906" i="1"/>
  <c r="AL1906" i="1"/>
  <c r="AP1905" i="1"/>
  <c r="AO1905" i="1"/>
  <c r="AN1905" i="1"/>
  <c r="AM1905" i="1"/>
  <c r="AL1905" i="1"/>
  <c r="AP1904" i="1"/>
  <c r="AO1904" i="1"/>
  <c r="AN1904" i="1"/>
  <c r="AM1904" i="1"/>
  <c r="AL1904" i="1"/>
  <c r="AP1903" i="1"/>
  <c r="AO1903" i="1"/>
  <c r="AN1903" i="1"/>
  <c r="AM1903" i="1"/>
  <c r="AL1903" i="1"/>
  <c r="AP1902" i="1"/>
  <c r="AO1902" i="1"/>
  <c r="AN1902" i="1"/>
  <c r="AM1902" i="1"/>
  <c r="AL1902" i="1"/>
  <c r="AP1901" i="1"/>
  <c r="AO1901" i="1"/>
  <c r="AN1901" i="1"/>
  <c r="AM1901" i="1"/>
  <c r="AL1901" i="1"/>
  <c r="AP1900" i="1"/>
  <c r="AO1900" i="1"/>
  <c r="AN1900" i="1"/>
  <c r="AM1900" i="1"/>
  <c r="AL1900" i="1"/>
  <c r="AP1899" i="1"/>
  <c r="AO1899" i="1"/>
  <c r="AN1899" i="1"/>
  <c r="AM1899" i="1"/>
  <c r="AL1899" i="1"/>
  <c r="AP1898" i="1"/>
  <c r="AO1898" i="1"/>
  <c r="AN1898" i="1"/>
  <c r="AM1898" i="1"/>
  <c r="AL1898" i="1"/>
  <c r="AP1897" i="1"/>
  <c r="AO1897" i="1"/>
  <c r="AN1897" i="1"/>
  <c r="AM1897" i="1"/>
  <c r="AL1897" i="1"/>
  <c r="AP1896" i="1"/>
  <c r="AO1896" i="1"/>
  <c r="AN1896" i="1"/>
  <c r="AM1896" i="1"/>
  <c r="AL1896" i="1"/>
  <c r="AP1895" i="1"/>
  <c r="AO1895" i="1"/>
  <c r="AN1895" i="1"/>
  <c r="AM1895" i="1"/>
  <c r="AL1895" i="1"/>
  <c r="AP1894" i="1"/>
  <c r="AO1894" i="1"/>
  <c r="AN1894" i="1"/>
  <c r="AM1894" i="1"/>
  <c r="AL1894" i="1"/>
  <c r="AP1893" i="1"/>
  <c r="AO1893" i="1"/>
  <c r="AN1893" i="1"/>
  <c r="AM1893" i="1"/>
  <c r="AL1893" i="1"/>
  <c r="AP1892" i="1"/>
  <c r="AO1892" i="1"/>
  <c r="AN1892" i="1"/>
  <c r="AM1892" i="1"/>
  <c r="AL1892" i="1"/>
  <c r="AP1891" i="1"/>
  <c r="AO1891" i="1"/>
  <c r="AN1891" i="1"/>
  <c r="AM1891" i="1"/>
  <c r="AL1891" i="1"/>
  <c r="AP1890" i="1"/>
  <c r="AO1890" i="1"/>
  <c r="AN1890" i="1"/>
  <c r="AM1890" i="1"/>
  <c r="AL1890" i="1"/>
  <c r="AP1889" i="1"/>
  <c r="AO1889" i="1"/>
  <c r="AN1889" i="1"/>
  <c r="AM1889" i="1"/>
  <c r="AL1889" i="1"/>
  <c r="AP1888" i="1"/>
  <c r="AO1888" i="1"/>
  <c r="AN1888" i="1"/>
  <c r="AM1888" i="1"/>
  <c r="AL1888" i="1"/>
  <c r="AP1887" i="1"/>
  <c r="AO1887" i="1"/>
  <c r="AN1887" i="1"/>
  <c r="AM1887" i="1"/>
  <c r="AL1887" i="1"/>
  <c r="AP1886" i="1"/>
  <c r="AO1886" i="1"/>
  <c r="AN1886" i="1"/>
  <c r="AM1886" i="1"/>
  <c r="AL1886" i="1"/>
  <c r="AP1885" i="1"/>
  <c r="AO1885" i="1"/>
  <c r="AN1885" i="1"/>
  <c r="AM1885" i="1"/>
  <c r="AL1885" i="1"/>
  <c r="AP1884" i="1"/>
  <c r="AO1884" i="1"/>
  <c r="AN1884" i="1"/>
  <c r="AM1884" i="1"/>
  <c r="AL1884" i="1"/>
  <c r="AP1883" i="1"/>
  <c r="AO1883" i="1"/>
  <c r="AN1883" i="1"/>
  <c r="AM1883" i="1"/>
  <c r="AL1883" i="1"/>
  <c r="AP1882" i="1"/>
  <c r="AO1882" i="1"/>
  <c r="AN1882" i="1"/>
  <c r="AM1882" i="1"/>
  <c r="AL1882" i="1"/>
  <c r="AP1881" i="1"/>
  <c r="AO1881" i="1"/>
  <c r="AN1881" i="1"/>
  <c r="AM1881" i="1"/>
  <c r="AL1881" i="1"/>
  <c r="AP1880" i="1"/>
  <c r="AO1880" i="1"/>
  <c r="AN1880" i="1"/>
  <c r="AM1880" i="1"/>
  <c r="AL1880" i="1"/>
  <c r="AP1879" i="1"/>
  <c r="AO1879" i="1"/>
  <c r="AN1879" i="1"/>
  <c r="AM1879" i="1"/>
  <c r="AL1879" i="1"/>
  <c r="AP1878" i="1"/>
  <c r="AO1878" i="1"/>
  <c r="AN1878" i="1"/>
  <c r="AM1878" i="1"/>
  <c r="AL1878" i="1"/>
  <c r="AP1877" i="1"/>
  <c r="AO1877" i="1"/>
  <c r="AN1877" i="1"/>
  <c r="AM1877" i="1"/>
  <c r="AL1877" i="1"/>
  <c r="AP1876" i="1"/>
  <c r="AO1876" i="1"/>
  <c r="AN1876" i="1"/>
  <c r="AM1876" i="1"/>
  <c r="AL1876" i="1"/>
  <c r="AP1875" i="1"/>
  <c r="AO1875" i="1"/>
  <c r="AN1875" i="1"/>
  <c r="AM1875" i="1"/>
  <c r="AL1875" i="1"/>
  <c r="AP1874" i="1"/>
  <c r="AO1874" i="1"/>
  <c r="AN1874" i="1"/>
  <c r="AM1874" i="1"/>
  <c r="AL1874" i="1"/>
  <c r="AP1873" i="1"/>
  <c r="AO1873" i="1"/>
  <c r="AN1873" i="1"/>
  <c r="AM1873" i="1"/>
  <c r="AL1873" i="1"/>
  <c r="AP1872" i="1"/>
  <c r="AO1872" i="1"/>
  <c r="AN1872" i="1"/>
  <c r="AM1872" i="1"/>
  <c r="AL1872" i="1"/>
  <c r="AP1871" i="1"/>
  <c r="AO1871" i="1"/>
  <c r="AN1871" i="1"/>
  <c r="AM1871" i="1"/>
  <c r="AL1871" i="1"/>
  <c r="AP1870" i="1"/>
  <c r="AO1870" i="1"/>
  <c r="AN1870" i="1"/>
  <c r="AM1870" i="1"/>
  <c r="AL1870" i="1"/>
  <c r="AP1869" i="1"/>
  <c r="AO1869" i="1"/>
  <c r="AN1869" i="1"/>
  <c r="AM1869" i="1"/>
  <c r="AL1869" i="1"/>
  <c r="AP1868" i="1"/>
  <c r="AO1868" i="1"/>
  <c r="AN1868" i="1"/>
  <c r="AM1868" i="1"/>
  <c r="AL1868" i="1"/>
  <c r="AP1867" i="1"/>
  <c r="AO1867" i="1"/>
  <c r="AN1867" i="1"/>
  <c r="AM1867" i="1"/>
  <c r="AL1867" i="1"/>
  <c r="AP1866" i="1"/>
  <c r="AO1866" i="1"/>
  <c r="AN1866" i="1"/>
  <c r="AM1866" i="1"/>
  <c r="AL1866" i="1"/>
  <c r="AP1865" i="1"/>
  <c r="AO1865" i="1"/>
  <c r="AN1865" i="1"/>
  <c r="AM1865" i="1"/>
  <c r="AL1865" i="1"/>
  <c r="AP1864" i="1"/>
  <c r="AO1864" i="1"/>
  <c r="AN1864" i="1"/>
  <c r="AM1864" i="1"/>
  <c r="AL1864" i="1"/>
  <c r="AP1863" i="1"/>
  <c r="AO1863" i="1"/>
  <c r="AN1863" i="1"/>
  <c r="AM1863" i="1"/>
  <c r="AL1863" i="1"/>
  <c r="AP1862" i="1"/>
  <c r="AO1862" i="1"/>
  <c r="AN1862" i="1"/>
  <c r="AM1862" i="1"/>
  <c r="AL1862" i="1"/>
  <c r="AP1861" i="1"/>
  <c r="AO1861" i="1"/>
  <c r="AN1861" i="1"/>
  <c r="AM1861" i="1"/>
  <c r="AL1861" i="1"/>
  <c r="AP1860" i="1"/>
  <c r="AO1860" i="1"/>
  <c r="AN1860" i="1"/>
  <c r="AM1860" i="1"/>
  <c r="AL1860" i="1"/>
  <c r="AP1859" i="1"/>
  <c r="AO1859" i="1"/>
  <c r="AN1859" i="1"/>
  <c r="AM1859" i="1"/>
  <c r="AL1859" i="1"/>
  <c r="AP1858" i="1"/>
  <c r="AO1858" i="1"/>
  <c r="AN1858" i="1"/>
  <c r="AM1858" i="1"/>
  <c r="AL1858" i="1"/>
  <c r="AP1857" i="1"/>
  <c r="AO1857" i="1"/>
  <c r="AN1857" i="1"/>
  <c r="AM1857" i="1"/>
  <c r="AL1857" i="1"/>
  <c r="AP1856" i="1"/>
  <c r="AO1856" i="1"/>
  <c r="AN1856" i="1"/>
  <c r="AM1856" i="1"/>
  <c r="AL1856" i="1"/>
  <c r="AP1855" i="1"/>
  <c r="AO1855" i="1"/>
  <c r="AN1855" i="1"/>
  <c r="AM1855" i="1"/>
  <c r="AL1855" i="1"/>
  <c r="AP1854" i="1"/>
  <c r="AO1854" i="1"/>
  <c r="AN1854" i="1"/>
  <c r="AM1854" i="1"/>
  <c r="AL1854" i="1"/>
  <c r="AP1853" i="1"/>
  <c r="AO1853" i="1"/>
  <c r="AN1853" i="1"/>
  <c r="AM1853" i="1"/>
  <c r="AL1853" i="1"/>
  <c r="AP1852" i="1"/>
  <c r="AO1852" i="1"/>
  <c r="AN1852" i="1"/>
  <c r="AM1852" i="1"/>
  <c r="AL1852" i="1"/>
  <c r="AP1851" i="1"/>
  <c r="AO1851" i="1"/>
  <c r="AN1851" i="1"/>
  <c r="AM1851" i="1"/>
  <c r="AL1851" i="1"/>
  <c r="AP1850" i="1"/>
  <c r="AO1850" i="1"/>
  <c r="AN1850" i="1"/>
  <c r="AM1850" i="1"/>
  <c r="AL1850" i="1"/>
  <c r="AP1849" i="1"/>
  <c r="AO1849" i="1"/>
  <c r="AN1849" i="1"/>
  <c r="AM1849" i="1"/>
  <c r="AL1849" i="1"/>
  <c r="AP1848" i="1"/>
  <c r="AO1848" i="1"/>
  <c r="AN1848" i="1"/>
  <c r="AM1848" i="1"/>
  <c r="AL1848" i="1"/>
  <c r="AP1847" i="1"/>
  <c r="AO1847" i="1"/>
  <c r="AN1847" i="1"/>
  <c r="AM1847" i="1"/>
  <c r="AL1847" i="1"/>
  <c r="AP1846" i="1"/>
  <c r="AO1846" i="1"/>
  <c r="AN1846" i="1"/>
  <c r="AM1846" i="1"/>
  <c r="AL1846" i="1"/>
  <c r="AP1845" i="1"/>
  <c r="AO1845" i="1"/>
  <c r="AN1845" i="1"/>
  <c r="AM1845" i="1"/>
  <c r="AL1845" i="1"/>
  <c r="AP1844" i="1"/>
  <c r="AO1844" i="1"/>
  <c r="AN1844" i="1"/>
  <c r="AM1844" i="1"/>
  <c r="AL1844" i="1"/>
  <c r="AP1843" i="1"/>
  <c r="AO1843" i="1"/>
  <c r="AN1843" i="1"/>
  <c r="AM1843" i="1"/>
  <c r="AL1843" i="1"/>
  <c r="AP1842" i="1"/>
  <c r="AO1842" i="1"/>
  <c r="AN1842" i="1"/>
  <c r="AM1842" i="1"/>
  <c r="AL1842" i="1"/>
  <c r="AP1841" i="1"/>
  <c r="AO1841" i="1"/>
  <c r="AN1841" i="1"/>
  <c r="AM1841" i="1"/>
  <c r="AL1841" i="1"/>
  <c r="AP1840" i="1"/>
  <c r="AO1840" i="1"/>
  <c r="AN1840" i="1"/>
  <c r="AM1840" i="1"/>
  <c r="AL1840" i="1"/>
  <c r="AP1839" i="1"/>
  <c r="AO1839" i="1"/>
  <c r="AN1839" i="1"/>
  <c r="AM1839" i="1"/>
  <c r="AL1839" i="1"/>
  <c r="AP1838" i="1"/>
  <c r="AO1838" i="1"/>
  <c r="AN1838" i="1"/>
  <c r="AM1838" i="1"/>
  <c r="AL1838" i="1"/>
  <c r="AP1837" i="1"/>
  <c r="AO1837" i="1"/>
  <c r="AN1837" i="1"/>
  <c r="AM1837" i="1"/>
  <c r="AL1837" i="1"/>
  <c r="AP1836" i="1"/>
  <c r="AO1836" i="1"/>
  <c r="AN1836" i="1"/>
  <c r="AM1836" i="1"/>
  <c r="AL1836" i="1"/>
  <c r="AP1835" i="1"/>
  <c r="AO1835" i="1"/>
  <c r="AN1835" i="1"/>
  <c r="AM1835" i="1"/>
  <c r="AL1835" i="1"/>
  <c r="AP1834" i="1"/>
  <c r="AO1834" i="1"/>
  <c r="AN1834" i="1"/>
  <c r="AM1834" i="1"/>
  <c r="AL1834" i="1"/>
  <c r="AP1833" i="1"/>
  <c r="AO1833" i="1"/>
  <c r="AN1833" i="1"/>
  <c r="AM1833" i="1"/>
  <c r="AL1833" i="1"/>
  <c r="AP1832" i="1"/>
  <c r="AO1832" i="1"/>
  <c r="AN1832" i="1"/>
  <c r="AM1832" i="1"/>
  <c r="AL1832" i="1"/>
  <c r="AP1831" i="1"/>
  <c r="AO1831" i="1"/>
  <c r="AN1831" i="1"/>
  <c r="AM1831" i="1"/>
  <c r="AL1831" i="1"/>
  <c r="AP1830" i="1"/>
  <c r="AO1830" i="1"/>
  <c r="AN1830" i="1"/>
  <c r="AM1830" i="1"/>
  <c r="AL1830" i="1"/>
  <c r="AP1829" i="1"/>
  <c r="AO1829" i="1"/>
  <c r="AN1829" i="1"/>
  <c r="AM1829" i="1"/>
  <c r="AL1829" i="1"/>
  <c r="AP1828" i="1"/>
  <c r="AO1828" i="1"/>
  <c r="AN1828" i="1"/>
  <c r="AM1828" i="1"/>
  <c r="AL1828" i="1"/>
  <c r="AP1827" i="1"/>
  <c r="AO1827" i="1"/>
  <c r="AN1827" i="1"/>
  <c r="AM1827" i="1"/>
  <c r="AL1827" i="1"/>
  <c r="AP1826" i="1"/>
  <c r="AO1826" i="1"/>
  <c r="AN1826" i="1"/>
  <c r="AM1826" i="1"/>
  <c r="AL1826" i="1"/>
  <c r="AP1825" i="1"/>
  <c r="AO1825" i="1"/>
  <c r="AN1825" i="1"/>
  <c r="AM1825" i="1"/>
  <c r="AL1825" i="1"/>
  <c r="AP1824" i="1"/>
  <c r="AO1824" i="1"/>
  <c r="AN1824" i="1"/>
  <c r="AM1824" i="1"/>
  <c r="AL1824" i="1"/>
  <c r="AP1823" i="1"/>
  <c r="AO1823" i="1"/>
  <c r="AN1823" i="1"/>
  <c r="AM1823" i="1"/>
  <c r="AL1823" i="1"/>
  <c r="AP1822" i="1"/>
  <c r="AO1822" i="1"/>
  <c r="AN1822" i="1"/>
  <c r="AM1822" i="1"/>
  <c r="AL1822" i="1"/>
  <c r="AP1821" i="1"/>
  <c r="AO1821" i="1"/>
  <c r="AN1821" i="1"/>
  <c r="AM1821" i="1"/>
  <c r="AL1821" i="1"/>
  <c r="AP1820" i="1"/>
  <c r="AO1820" i="1"/>
  <c r="AN1820" i="1"/>
  <c r="AM1820" i="1"/>
  <c r="AL1820" i="1"/>
  <c r="AP1819" i="1"/>
  <c r="AO1819" i="1"/>
  <c r="AN1819" i="1"/>
  <c r="AM1819" i="1"/>
  <c r="AL1819" i="1"/>
  <c r="AP1818" i="1"/>
  <c r="AO1818" i="1"/>
  <c r="AN1818" i="1"/>
  <c r="AM1818" i="1"/>
  <c r="AL1818" i="1"/>
  <c r="AP1817" i="1"/>
  <c r="AO1817" i="1"/>
  <c r="AN1817" i="1"/>
  <c r="AM1817" i="1"/>
  <c r="AL1817" i="1"/>
  <c r="AP1816" i="1"/>
  <c r="AO1816" i="1"/>
  <c r="AN1816" i="1"/>
  <c r="AM1816" i="1"/>
  <c r="AL1816" i="1"/>
  <c r="AP1815" i="1"/>
  <c r="AO1815" i="1"/>
  <c r="AN1815" i="1"/>
  <c r="AM1815" i="1"/>
  <c r="AL1815" i="1"/>
  <c r="AP1814" i="1"/>
  <c r="AO1814" i="1"/>
  <c r="AN1814" i="1"/>
  <c r="AM1814" i="1"/>
  <c r="AL1814" i="1"/>
  <c r="AP1813" i="1"/>
  <c r="AO1813" i="1"/>
  <c r="AN1813" i="1"/>
  <c r="AM1813" i="1"/>
  <c r="AL1813" i="1"/>
  <c r="AP1812" i="1"/>
  <c r="AO1812" i="1"/>
  <c r="AN1812" i="1"/>
  <c r="AM1812" i="1"/>
  <c r="AL1812" i="1"/>
  <c r="AP1811" i="1"/>
  <c r="AO1811" i="1"/>
  <c r="AN1811" i="1"/>
  <c r="AM1811" i="1"/>
  <c r="AL1811" i="1"/>
  <c r="AP1810" i="1"/>
  <c r="AO1810" i="1"/>
  <c r="AN1810" i="1"/>
  <c r="AM1810" i="1"/>
  <c r="AL1810" i="1"/>
  <c r="AP1809" i="1"/>
  <c r="AO1809" i="1"/>
  <c r="AN1809" i="1"/>
  <c r="AM1809" i="1"/>
  <c r="AL1809" i="1"/>
  <c r="AP1808" i="1"/>
  <c r="AO1808" i="1"/>
  <c r="AN1808" i="1"/>
  <c r="AM1808" i="1"/>
  <c r="AL1808" i="1"/>
  <c r="AP1807" i="1"/>
  <c r="AO1807" i="1"/>
  <c r="AN1807" i="1"/>
  <c r="AM1807" i="1"/>
  <c r="AL1807" i="1"/>
  <c r="AP1806" i="1"/>
  <c r="AO1806" i="1"/>
  <c r="AN1806" i="1"/>
  <c r="AM1806" i="1"/>
  <c r="AL1806" i="1"/>
  <c r="AP1805" i="1"/>
  <c r="AO1805" i="1"/>
  <c r="AN1805" i="1"/>
  <c r="AM1805" i="1"/>
  <c r="AL1805" i="1"/>
  <c r="AP1804" i="1"/>
  <c r="AO1804" i="1"/>
  <c r="AN1804" i="1"/>
  <c r="AM1804" i="1"/>
  <c r="AL1804" i="1"/>
  <c r="AP1803" i="1"/>
  <c r="AO1803" i="1"/>
  <c r="AN1803" i="1"/>
  <c r="AM1803" i="1"/>
  <c r="AL1803" i="1"/>
  <c r="AP1802" i="1"/>
  <c r="AO1802" i="1"/>
  <c r="AN1802" i="1"/>
  <c r="AM1802" i="1"/>
  <c r="AL1802" i="1"/>
  <c r="AP1801" i="1"/>
  <c r="AO1801" i="1"/>
  <c r="AN1801" i="1"/>
  <c r="AM1801" i="1"/>
  <c r="AL1801" i="1"/>
  <c r="AP1800" i="1"/>
  <c r="AO1800" i="1"/>
  <c r="AN1800" i="1"/>
  <c r="AM1800" i="1"/>
  <c r="AL1800" i="1"/>
  <c r="AP1799" i="1"/>
  <c r="AO1799" i="1"/>
  <c r="AN1799" i="1"/>
  <c r="AM1799" i="1"/>
  <c r="AL1799" i="1"/>
  <c r="AP1798" i="1"/>
  <c r="AO1798" i="1"/>
  <c r="AN1798" i="1"/>
  <c r="AM1798" i="1"/>
  <c r="AL1798" i="1"/>
  <c r="AP1797" i="1"/>
  <c r="AO1797" i="1"/>
  <c r="AN1797" i="1"/>
  <c r="AM1797" i="1"/>
  <c r="AL1797" i="1"/>
  <c r="AP1796" i="1"/>
  <c r="AO1796" i="1"/>
  <c r="AN1796" i="1"/>
  <c r="AM1796" i="1"/>
  <c r="AL1796" i="1"/>
  <c r="AP1795" i="1"/>
  <c r="AO1795" i="1"/>
  <c r="AN1795" i="1"/>
  <c r="AM1795" i="1"/>
  <c r="AL1795" i="1"/>
  <c r="AP1794" i="1"/>
  <c r="AO1794" i="1"/>
  <c r="AN1794" i="1"/>
  <c r="AM1794" i="1"/>
  <c r="AL1794" i="1"/>
  <c r="AP1793" i="1"/>
  <c r="AO1793" i="1"/>
  <c r="AN1793" i="1"/>
  <c r="AM1793" i="1"/>
  <c r="AL1793" i="1"/>
  <c r="AP1792" i="1"/>
  <c r="AO1792" i="1"/>
  <c r="AN1792" i="1"/>
  <c r="AM1792" i="1"/>
  <c r="AL1792" i="1"/>
  <c r="AP1791" i="1"/>
  <c r="AO1791" i="1"/>
  <c r="AN1791" i="1"/>
  <c r="AM1791" i="1"/>
  <c r="AL1791" i="1"/>
  <c r="AP1790" i="1"/>
  <c r="AO1790" i="1"/>
  <c r="AN1790" i="1"/>
  <c r="AM1790" i="1"/>
  <c r="AL1790" i="1"/>
  <c r="AP1789" i="1"/>
  <c r="AO1789" i="1"/>
  <c r="AN1789" i="1"/>
  <c r="AM1789" i="1"/>
  <c r="AL1789" i="1"/>
  <c r="AP1788" i="1"/>
  <c r="AO1788" i="1"/>
  <c r="AN1788" i="1"/>
  <c r="AM1788" i="1"/>
  <c r="AL1788" i="1"/>
  <c r="AP1787" i="1"/>
  <c r="AO1787" i="1"/>
  <c r="AN1787" i="1"/>
  <c r="AM1787" i="1"/>
  <c r="AL1787" i="1"/>
  <c r="AP1786" i="1"/>
  <c r="AO1786" i="1"/>
  <c r="AN1786" i="1"/>
  <c r="AM1786" i="1"/>
  <c r="AL1786" i="1"/>
  <c r="AP1785" i="1"/>
  <c r="AO1785" i="1"/>
  <c r="AN1785" i="1"/>
  <c r="AM1785" i="1"/>
  <c r="AL1785" i="1"/>
  <c r="AP1784" i="1"/>
  <c r="AO1784" i="1"/>
  <c r="AN1784" i="1"/>
  <c r="AM1784" i="1"/>
  <c r="AL1784" i="1"/>
  <c r="AP1783" i="1"/>
  <c r="AO1783" i="1"/>
  <c r="AN1783" i="1"/>
  <c r="AM1783" i="1"/>
  <c r="AL1783" i="1"/>
  <c r="AP1782" i="1"/>
  <c r="AO1782" i="1"/>
  <c r="AN1782" i="1"/>
  <c r="AM1782" i="1"/>
  <c r="AL1782" i="1"/>
  <c r="AP1781" i="1"/>
  <c r="AO1781" i="1"/>
  <c r="AN1781" i="1"/>
  <c r="AM1781" i="1"/>
  <c r="AL1781" i="1"/>
  <c r="AP1780" i="1"/>
  <c r="AO1780" i="1"/>
  <c r="AN1780" i="1"/>
  <c r="AM1780" i="1"/>
  <c r="AL1780" i="1"/>
  <c r="AP1779" i="1"/>
  <c r="AO1779" i="1"/>
  <c r="AN1779" i="1"/>
  <c r="AM1779" i="1"/>
  <c r="AL1779" i="1"/>
  <c r="AP1778" i="1"/>
  <c r="AO1778" i="1"/>
  <c r="AN1778" i="1"/>
  <c r="AM1778" i="1"/>
  <c r="AL1778" i="1"/>
  <c r="AP1777" i="1"/>
  <c r="AO1777" i="1"/>
  <c r="AN1777" i="1"/>
  <c r="AM1777" i="1"/>
  <c r="AL1777" i="1"/>
  <c r="AP1776" i="1"/>
  <c r="AO1776" i="1"/>
  <c r="AN1776" i="1"/>
  <c r="AM1776" i="1"/>
  <c r="AL1776" i="1"/>
  <c r="AP1775" i="1"/>
  <c r="AO1775" i="1"/>
  <c r="AN1775" i="1"/>
  <c r="AM1775" i="1"/>
  <c r="AL1775" i="1"/>
  <c r="AP1774" i="1"/>
  <c r="AO1774" i="1"/>
  <c r="AN1774" i="1"/>
  <c r="AM1774" i="1"/>
  <c r="AL1774" i="1"/>
  <c r="AP1773" i="1"/>
  <c r="AO1773" i="1"/>
  <c r="AN1773" i="1"/>
  <c r="AM1773" i="1"/>
  <c r="AL1773" i="1"/>
  <c r="AP1772" i="1"/>
  <c r="AO1772" i="1"/>
  <c r="AN1772" i="1"/>
  <c r="AM1772" i="1"/>
  <c r="AL1772" i="1"/>
  <c r="AP1771" i="1"/>
  <c r="AO1771" i="1"/>
  <c r="AN1771" i="1"/>
  <c r="AM1771" i="1"/>
  <c r="AL1771" i="1"/>
  <c r="AP1770" i="1"/>
  <c r="AO1770" i="1"/>
  <c r="AN1770" i="1"/>
  <c r="AM1770" i="1"/>
  <c r="AL1770" i="1"/>
  <c r="AP1769" i="1"/>
  <c r="AO1769" i="1"/>
  <c r="AN1769" i="1"/>
  <c r="AM1769" i="1"/>
  <c r="AL1769" i="1"/>
  <c r="AP1768" i="1"/>
  <c r="AO1768" i="1"/>
  <c r="AN1768" i="1"/>
  <c r="AM1768" i="1"/>
  <c r="AL1768" i="1"/>
  <c r="AP1767" i="1"/>
  <c r="AO1767" i="1"/>
  <c r="AN1767" i="1"/>
  <c r="AM1767" i="1"/>
  <c r="AL1767" i="1"/>
  <c r="AP1766" i="1"/>
  <c r="AO1766" i="1"/>
  <c r="AN1766" i="1"/>
  <c r="AM1766" i="1"/>
  <c r="AL1766" i="1"/>
  <c r="AP1765" i="1"/>
  <c r="AO1765" i="1"/>
  <c r="AN1765" i="1"/>
  <c r="AM1765" i="1"/>
  <c r="AL1765" i="1"/>
  <c r="AP1764" i="1"/>
  <c r="AO1764" i="1"/>
  <c r="AN1764" i="1"/>
  <c r="AM1764" i="1"/>
  <c r="AL1764" i="1"/>
  <c r="AP1763" i="1"/>
  <c r="AO1763" i="1"/>
  <c r="AN1763" i="1"/>
  <c r="AM1763" i="1"/>
  <c r="AL1763" i="1"/>
  <c r="AP1762" i="1"/>
  <c r="AO1762" i="1"/>
  <c r="AN1762" i="1"/>
  <c r="AM1762" i="1"/>
  <c r="AL1762" i="1"/>
  <c r="AP1761" i="1"/>
  <c r="AO1761" i="1"/>
  <c r="AN1761" i="1"/>
  <c r="AM1761" i="1"/>
  <c r="AL1761" i="1"/>
  <c r="AP1760" i="1"/>
  <c r="AO1760" i="1"/>
  <c r="AN1760" i="1"/>
  <c r="AM1760" i="1"/>
  <c r="AL1760" i="1"/>
  <c r="AP1759" i="1"/>
  <c r="AO1759" i="1"/>
  <c r="AN1759" i="1"/>
  <c r="AM1759" i="1"/>
  <c r="AL1759" i="1"/>
  <c r="AP1758" i="1"/>
  <c r="AO1758" i="1"/>
  <c r="AN1758" i="1"/>
  <c r="AM1758" i="1"/>
  <c r="AL1758" i="1"/>
  <c r="AP1757" i="1"/>
  <c r="AO1757" i="1"/>
  <c r="AN1757" i="1"/>
  <c r="AM1757" i="1"/>
  <c r="AL1757" i="1"/>
  <c r="AP1756" i="1"/>
  <c r="AO1756" i="1"/>
  <c r="AN1756" i="1"/>
  <c r="AM1756" i="1"/>
  <c r="AL1756" i="1"/>
  <c r="AP1755" i="1"/>
  <c r="AO1755" i="1"/>
  <c r="AN1755" i="1"/>
  <c r="AM1755" i="1"/>
  <c r="AL1755" i="1"/>
  <c r="AP1754" i="1"/>
  <c r="AO1754" i="1"/>
  <c r="AN1754" i="1"/>
  <c r="AM1754" i="1"/>
  <c r="AL1754" i="1"/>
  <c r="AP1753" i="1"/>
  <c r="AO1753" i="1"/>
  <c r="AN1753" i="1"/>
  <c r="AM1753" i="1"/>
  <c r="AL1753" i="1"/>
  <c r="AP1752" i="1"/>
  <c r="AO1752" i="1"/>
  <c r="AN1752" i="1"/>
  <c r="AM1752" i="1"/>
  <c r="AL1752" i="1"/>
  <c r="AP1751" i="1"/>
  <c r="AO1751" i="1"/>
  <c r="AN1751" i="1"/>
  <c r="AM1751" i="1"/>
  <c r="AL1751" i="1"/>
  <c r="AP1750" i="1"/>
  <c r="AO1750" i="1"/>
  <c r="AN1750" i="1"/>
  <c r="AM1750" i="1"/>
  <c r="AL1750" i="1"/>
  <c r="AP1749" i="1"/>
  <c r="AO1749" i="1"/>
  <c r="AN1749" i="1"/>
  <c r="AM1749" i="1"/>
  <c r="AL1749" i="1"/>
  <c r="AP1748" i="1"/>
  <c r="AO1748" i="1"/>
  <c r="AN1748" i="1"/>
  <c r="AM1748" i="1"/>
  <c r="AL1748" i="1"/>
  <c r="AP1747" i="1"/>
  <c r="AO1747" i="1"/>
  <c r="AN1747" i="1"/>
  <c r="AM1747" i="1"/>
  <c r="AL1747" i="1"/>
  <c r="AP1746" i="1"/>
  <c r="AO1746" i="1"/>
  <c r="AN1746" i="1"/>
  <c r="AM1746" i="1"/>
  <c r="AL1746" i="1"/>
  <c r="AP1745" i="1"/>
  <c r="AO1745" i="1"/>
  <c r="AN1745" i="1"/>
  <c r="AM1745" i="1"/>
  <c r="AL1745" i="1"/>
  <c r="AP1744" i="1"/>
  <c r="AO1744" i="1"/>
  <c r="AN1744" i="1"/>
  <c r="AM1744" i="1"/>
  <c r="AL1744" i="1"/>
  <c r="AP1743" i="1"/>
  <c r="AO1743" i="1"/>
  <c r="AN1743" i="1"/>
  <c r="AM1743" i="1"/>
  <c r="AL1743" i="1"/>
  <c r="AP1742" i="1"/>
  <c r="AO1742" i="1"/>
  <c r="AN1742" i="1"/>
  <c r="AM1742" i="1"/>
  <c r="AL1742" i="1"/>
  <c r="AP1741" i="1"/>
  <c r="AO1741" i="1"/>
  <c r="AN1741" i="1"/>
  <c r="AM1741" i="1"/>
  <c r="AL1741" i="1"/>
  <c r="AP1740" i="1"/>
  <c r="AO1740" i="1"/>
  <c r="AN1740" i="1"/>
  <c r="AM1740" i="1"/>
  <c r="AL1740" i="1"/>
  <c r="AP1739" i="1"/>
  <c r="AO1739" i="1"/>
  <c r="AN1739" i="1"/>
  <c r="AM1739" i="1"/>
  <c r="AL1739" i="1"/>
  <c r="AP1738" i="1"/>
  <c r="AO1738" i="1"/>
  <c r="AN1738" i="1"/>
  <c r="AM1738" i="1"/>
  <c r="AL1738" i="1"/>
  <c r="AP1737" i="1"/>
  <c r="AO1737" i="1"/>
  <c r="AN1737" i="1"/>
  <c r="AM1737" i="1"/>
  <c r="AL1737" i="1"/>
  <c r="AP1736" i="1"/>
  <c r="AO1736" i="1"/>
  <c r="AN1736" i="1"/>
  <c r="AM1736" i="1"/>
  <c r="AL1736" i="1"/>
  <c r="AP1735" i="1"/>
  <c r="AO1735" i="1"/>
  <c r="AN1735" i="1"/>
  <c r="AM1735" i="1"/>
  <c r="AL1735" i="1"/>
  <c r="AP1734" i="1"/>
  <c r="AO1734" i="1"/>
  <c r="AN1734" i="1"/>
  <c r="AM1734" i="1"/>
  <c r="AL1734" i="1"/>
  <c r="AP1733" i="1"/>
  <c r="AO1733" i="1"/>
  <c r="AN1733" i="1"/>
  <c r="AM1733" i="1"/>
  <c r="AL1733" i="1"/>
  <c r="AP1732" i="1"/>
  <c r="AO1732" i="1"/>
  <c r="AN1732" i="1"/>
  <c r="AM1732" i="1"/>
  <c r="AL1732" i="1"/>
  <c r="AP1731" i="1"/>
  <c r="AO1731" i="1"/>
  <c r="AN1731" i="1"/>
  <c r="AM1731" i="1"/>
  <c r="AL1731" i="1"/>
  <c r="AP1730" i="1"/>
  <c r="AO1730" i="1"/>
  <c r="AN1730" i="1"/>
  <c r="AM1730" i="1"/>
  <c r="AL1730" i="1"/>
  <c r="AP1729" i="1"/>
  <c r="AO1729" i="1"/>
  <c r="AN1729" i="1"/>
  <c r="AM1729" i="1"/>
  <c r="AL1729" i="1"/>
  <c r="AP1728" i="1"/>
  <c r="AO1728" i="1"/>
  <c r="AN1728" i="1"/>
  <c r="AM1728" i="1"/>
  <c r="AL1728" i="1"/>
  <c r="AP1727" i="1"/>
  <c r="AO1727" i="1"/>
  <c r="AN1727" i="1"/>
  <c r="AM1727" i="1"/>
  <c r="AL1727" i="1"/>
  <c r="AP1726" i="1"/>
  <c r="AO1726" i="1"/>
  <c r="AN1726" i="1"/>
  <c r="AM1726" i="1"/>
  <c r="AL1726" i="1"/>
  <c r="AP1725" i="1"/>
  <c r="AO1725" i="1"/>
  <c r="AN1725" i="1"/>
  <c r="AM1725" i="1"/>
  <c r="AL1725" i="1"/>
  <c r="AP1724" i="1"/>
  <c r="AO1724" i="1"/>
  <c r="AN1724" i="1"/>
  <c r="AM1724" i="1"/>
  <c r="AL1724" i="1"/>
  <c r="AP1723" i="1"/>
  <c r="AO1723" i="1"/>
  <c r="AN1723" i="1"/>
  <c r="AM1723" i="1"/>
  <c r="AL1723" i="1"/>
  <c r="AP1722" i="1"/>
  <c r="AO1722" i="1"/>
  <c r="AN1722" i="1"/>
  <c r="AM1722" i="1"/>
  <c r="AL1722" i="1"/>
  <c r="AP1721" i="1"/>
  <c r="AO1721" i="1"/>
  <c r="AN1721" i="1"/>
  <c r="AM1721" i="1"/>
  <c r="AL1721" i="1"/>
  <c r="AP1720" i="1"/>
  <c r="AO1720" i="1"/>
  <c r="AN1720" i="1"/>
  <c r="AM1720" i="1"/>
  <c r="AL1720" i="1"/>
  <c r="AP1719" i="1"/>
  <c r="AO1719" i="1"/>
  <c r="AN1719" i="1"/>
  <c r="AM1719" i="1"/>
  <c r="AL1719" i="1"/>
  <c r="AP1718" i="1"/>
  <c r="AO1718" i="1"/>
  <c r="AN1718" i="1"/>
  <c r="AM1718" i="1"/>
  <c r="AL1718" i="1"/>
  <c r="AP1717" i="1"/>
  <c r="AO1717" i="1"/>
  <c r="AN1717" i="1"/>
  <c r="AM1717" i="1"/>
  <c r="AL1717" i="1"/>
  <c r="AP1716" i="1"/>
  <c r="AO1716" i="1"/>
  <c r="AN1716" i="1"/>
  <c r="AM1716" i="1"/>
  <c r="AL1716" i="1"/>
  <c r="AP1715" i="1"/>
  <c r="AO1715" i="1"/>
  <c r="AN1715" i="1"/>
  <c r="AM1715" i="1"/>
  <c r="AL1715" i="1"/>
  <c r="AP1714" i="1"/>
  <c r="AO1714" i="1"/>
  <c r="AN1714" i="1"/>
  <c r="AM1714" i="1"/>
  <c r="AL1714" i="1"/>
  <c r="AP1713" i="1"/>
  <c r="AO1713" i="1"/>
  <c r="AN1713" i="1"/>
  <c r="AM1713" i="1"/>
  <c r="AL1713" i="1"/>
  <c r="AP1712" i="1"/>
  <c r="AO1712" i="1"/>
  <c r="AN1712" i="1"/>
  <c r="AM1712" i="1"/>
  <c r="AL1712" i="1"/>
  <c r="AP1711" i="1"/>
  <c r="AO1711" i="1"/>
  <c r="AN1711" i="1"/>
  <c r="AM1711" i="1"/>
  <c r="AL1711" i="1"/>
  <c r="AP1710" i="1"/>
  <c r="AO1710" i="1"/>
  <c r="AN1710" i="1"/>
  <c r="AM1710" i="1"/>
  <c r="AL1710" i="1"/>
  <c r="AP1709" i="1"/>
  <c r="AO1709" i="1"/>
  <c r="AN1709" i="1"/>
  <c r="AM1709" i="1"/>
  <c r="AL1709" i="1"/>
  <c r="AP1708" i="1"/>
  <c r="AO1708" i="1"/>
  <c r="AN1708" i="1"/>
  <c r="AM1708" i="1"/>
  <c r="AL1708" i="1"/>
  <c r="AP1707" i="1"/>
  <c r="AO1707" i="1"/>
  <c r="AN1707" i="1"/>
  <c r="AM1707" i="1"/>
  <c r="AL1707" i="1"/>
  <c r="AP1706" i="1"/>
  <c r="AO1706" i="1"/>
  <c r="AN1706" i="1"/>
  <c r="AM1706" i="1"/>
  <c r="AL1706" i="1"/>
  <c r="AP1705" i="1"/>
  <c r="AO1705" i="1"/>
  <c r="AN1705" i="1"/>
  <c r="AM1705" i="1"/>
  <c r="AL1705" i="1"/>
  <c r="AP1704" i="1"/>
  <c r="AO1704" i="1"/>
  <c r="AN1704" i="1"/>
  <c r="AM1704" i="1"/>
  <c r="AL1704" i="1"/>
  <c r="AP1703" i="1"/>
  <c r="AO1703" i="1"/>
  <c r="AN1703" i="1"/>
  <c r="AM1703" i="1"/>
  <c r="AL1703" i="1"/>
  <c r="AP1702" i="1"/>
  <c r="AO1702" i="1"/>
  <c r="AN1702" i="1"/>
  <c r="AM1702" i="1"/>
  <c r="AL1702" i="1"/>
  <c r="AP1701" i="1"/>
  <c r="AO1701" i="1"/>
  <c r="AN1701" i="1"/>
  <c r="AM1701" i="1"/>
  <c r="AL1701" i="1"/>
  <c r="AP1700" i="1"/>
  <c r="AO1700" i="1"/>
  <c r="AN1700" i="1"/>
  <c r="AM1700" i="1"/>
  <c r="AL1700" i="1"/>
  <c r="AP1699" i="1"/>
  <c r="AO1699" i="1"/>
  <c r="AN1699" i="1"/>
  <c r="AM1699" i="1"/>
  <c r="AL1699" i="1"/>
  <c r="AP1698" i="1"/>
  <c r="AO1698" i="1"/>
  <c r="AN1698" i="1"/>
  <c r="AM1698" i="1"/>
  <c r="AL1698" i="1"/>
  <c r="AP1697" i="1"/>
  <c r="AO1697" i="1"/>
  <c r="AN1697" i="1"/>
  <c r="AM1697" i="1"/>
  <c r="AL1697" i="1"/>
  <c r="AP1696" i="1"/>
  <c r="AO1696" i="1"/>
  <c r="AN1696" i="1"/>
  <c r="AM1696" i="1"/>
  <c r="AL1696" i="1"/>
  <c r="AP1695" i="1"/>
  <c r="AO1695" i="1"/>
  <c r="AN1695" i="1"/>
  <c r="AM1695" i="1"/>
  <c r="AL1695" i="1"/>
  <c r="AP1694" i="1"/>
  <c r="AO1694" i="1"/>
  <c r="AN1694" i="1"/>
  <c r="AM1694" i="1"/>
  <c r="AL1694" i="1"/>
  <c r="AP1693" i="1"/>
  <c r="AO1693" i="1"/>
  <c r="AN1693" i="1"/>
  <c r="AM1693" i="1"/>
  <c r="AL1693" i="1"/>
  <c r="AP1692" i="1"/>
  <c r="AO1692" i="1"/>
  <c r="AN1692" i="1"/>
  <c r="AM1692" i="1"/>
  <c r="AL1692" i="1"/>
  <c r="AP1691" i="1"/>
  <c r="AO1691" i="1"/>
  <c r="AN1691" i="1"/>
  <c r="AM1691" i="1"/>
  <c r="AL1691" i="1"/>
  <c r="AP1690" i="1"/>
  <c r="AO1690" i="1"/>
  <c r="AN1690" i="1"/>
  <c r="AM1690" i="1"/>
  <c r="AL1690" i="1"/>
  <c r="AP1689" i="1"/>
  <c r="AO1689" i="1"/>
  <c r="AN1689" i="1"/>
  <c r="AM1689" i="1"/>
  <c r="AL1689" i="1"/>
  <c r="AP1688" i="1"/>
  <c r="AO1688" i="1"/>
  <c r="AN1688" i="1"/>
  <c r="AM1688" i="1"/>
  <c r="AL1688" i="1"/>
  <c r="AP1687" i="1"/>
  <c r="AO1687" i="1"/>
  <c r="AN1687" i="1"/>
  <c r="AM1687" i="1"/>
  <c r="AL1687" i="1"/>
  <c r="AP1686" i="1"/>
  <c r="AO1686" i="1"/>
  <c r="AN1686" i="1"/>
  <c r="AM1686" i="1"/>
  <c r="AL1686" i="1"/>
  <c r="AP1685" i="1"/>
  <c r="AO1685" i="1"/>
  <c r="AN1685" i="1"/>
  <c r="AM1685" i="1"/>
  <c r="AL1685" i="1"/>
  <c r="AP1684" i="1"/>
  <c r="AO1684" i="1"/>
  <c r="AN1684" i="1"/>
  <c r="AM1684" i="1"/>
  <c r="AL1684" i="1"/>
  <c r="AP1683" i="1"/>
  <c r="AO1683" i="1"/>
  <c r="AN1683" i="1"/>
  <c r="AM1683" i="1"/>
  <c r="AL1683" i="1"/>
  <c r="AP1682" i="1"/>
  <c r="AO1682" i="1"/>
  <c r="AN1682" i="1"/>
  <c r="AM1682" i="1"/>
  <c r="AL1682" i="1"/>
  <c r="AP1681" i="1"/>
  <c r="AO1681" i="1"/>
  <c r="AN1681" i="1"/>
  <c r="AM1681" i="1"/>
  <c r="AL1681" i="1"/>
  <c r="AP1680" i="1"/>
  <c r="AO1680" i="1"/>
  <c r="AN1680" i="1"/>
  <c r="AM1680" i="1"/>
  <c r="AL1680" i="1"/>
  <c r="AP1679" i="1"/>
  <c r="AO1679" i="1"/>
  <c r="AN1679" i="1"/>
  <c r="AM1679" i="1"/>
  <c r="AL1679" i="1"/>
  <c r="AP1678" i="1"/>
  <c r="AO1678" i="1"/>
  <c r="AN1678" i="1"/>
  <c r="AM1678" i="1"/>
  <c r="AL1678" i="1"/>
  <c r="AP1677" i="1"/>
  <c r="AO1677" i="1"/>
  <c r="AN1677" i="1"/>
  <c r="AM1677" i="1"/>
  <c r="AL1677" i="1"/>
  <c r="AP1676" i="1"/>
  <c r="AO1676" i="1"/>
  <c r="AN1676" i="1"/>
  <c r="AM1676" i="1"/>
  <c r="AL1676" i="1"/>
  <c r="AP1675" i="1"/>
  <c r="AO1675" i="1"/>
  <c r="AN1675" i="1"/>
  <c r="AM1675" i="1"/>
  <c r="AL1675" i="1"/>
  <c r="AP1674" i="1"/>
  <c r="AO1674" i="1"/>
  <c r="AN1674" i="1"/>
  <c r="AM1674" i="1"/>
  <c r="AL1674" i="1"/>
  <c r="AP1673" i="1"/>
  <c r="AO1673" i="1"/>
  <c r="AN1673" i="1"/>
  <c r="AM1673" i="1"/>
  <c r="AL1673" i="1"/>
  <c r="AP1672" i="1"/>
  <c r="AO1672" i="1"/>
  <c r="AN1672" i="1"/>
  <c r="AM1672" i="1"/>
  <c r="AL1672" i="1"/>
  <c r="AP1671" i="1"/>
  <c r="AO1671" i="1"/>
  <c r="AN1671" i="1"/>
  <c r="AM1671" i="1"/>
  <c r="AL1671" i="1"/>
  <c r="AP1670" i="1"/>
  <c r="AO1670" i="1"/>
  <c r="AN1670" i="1"/>
  <c r="AM1670" i="1"/>
  <c r="AL1670" i="1"/>
  <c r="AP1669" i="1"/>
  <c r="AO1669" i="1"/>
  <c r="AN1669" i="1"/>
  <c r="AM1669" i="1"/>
  <c r="AL1669" i="1"/>
  <c r="AP1668" i="1"/>
  <c r="AO1668" i="1"/>
  <c r="AN1668" i="1"/>
  <c r="AM1668" i="1"/>
  <c r="AL1668" i="1"/>
  <c r="AP1667" i="1"/>
  <c r="AO1667" i="1"/>
  <c r="AN1667" i="1"/>
  <c r="AM1667" i="1"/>
  <c r="AL1667" i="1"/>
  <c r="AP1666" i="1"/>
  <c r="AO1666" i="1"/>
  <c r="AN1666" i="1"/>
  <c r="AM1666" i="1"/>
  <c r="AL1666" i="1"/>
  <c r="AP1665" i="1"/>
  <c r="AO1665" i="1"/>
  <c r="AN1665" i="1"/>
  <c r="AM1665" i="1"/>
  <c r="AL1665" i="1"/>
  <c r="AP1664" i="1"/>
  <c r="AO1664" i="1"/>
  <c r="AN1664" i="1"/>
  <c r="AM1664" i="1"/>
  <c r="AL1664" i="1"/>
  <c r="AP1663" i="1"/>
  <c r="AO1663" i="1"/>
  <c r="AN1663" i="1"/>
  <c r="AM1663" i="1"/>
  <c r="AL1663" i="1"/>
  <c r="AP1662" i="1"/>
  <c r="AO1662" i="1"/>
  <c r="AN1662" i="1"/>
  <c r="AM1662" i="1"/>
  <c r="AL1662" i="1"/>
  <c r="AP1661" i="1"/>
  <c r="AO1661" i="1"/>
  <c r="AN1661" i="1"/>
  <c r="AM1661" i="1"/>
  <c r="AL1661" i="1"/>
  <c r="AP1660" i="1"/>
  <c r="AO1660" i="1"/>
  <c r="AN1660" i="1"/>
  <c r="AM1660" i="1"/>
  <c r="AL1660" i="1"/>
  <c r="AP1659" i="1"/>
  <c r="AO1659" i="1"/>
  <c r="AN1659" i="1"/>
  <c r="AM1659" i="1"/>
  <c r="AL1659" i="1"/>
  <c r="AP1658" i="1"/>
  <c r="AO1658" i="1"/>
  <c r="AN1658" i="1"/>
  <c r="AM1658" i="1"/>
  <c r="AL1658" i="1"/>
  <c r="AP1657" i="1"/>
  <c r="AO1657" i="1"/>
  <c r="AN1657" i="1"/>
  <c r="AM1657" i="1"/>
  <c r="AL1657" i="1"/>
  <c r="AP1656" i="1"/>
  <c r="AO1656" i="1"/>
  <c r="AN1656" i="1"/>
  <c r="AM1656" i="1"/>
  <c r="AL1656" i="1"/>
  <c r="AP1655" i="1"/>
  <c r="AO1655" i="1"/>
  <c r="AN1655" i="1"/>
  <c r="AM1655" i="1"/>
  <c r="AL1655" i="1"/>
  <c r="AP1654" i="1"/>
  <c r="AO1654" i="1"/>
  <c r="AN1654" i="1"/>
  <c r="AM1654" i="1"/>
  <c r="AL1654" i="1"/>
  <c r="AP1653" i="1"/>
  <c r="AO1653" i="1"/>
  <c r="AN1653" i="1"/>
  <c r="AM1653" i="1"/>
  <c r="AL1653" i="1"/>
  <c r="AP1652" i="1"/>
  <c r="AO1652" i="1"/>
  <c r="AN1652" i="1"/>
  <c r="AM1652" i="1"/>
  <c r="AL1652" i="1"/>
  <c r="AP1651" i="1"/>
  <c r="AO1651" i="1"/>
  <c r="AN1651" i="1"/>
  <c r="AM1651" i="1"/>
  <c r="AL1651" i="1"/>
  <c r="AP1650" i="1"/>
  <c r="AO1650" i="1"/>
  <c r="AN1650" i="1"/>
  <c r="AM1650" i="1"/>
  <c r="AL1650" i="1"/>
  <c r="AP1649" i="1"/>
  <c r="AO1649" i="1"/>
  <c r="AN1649" i="1"/>
  <c r="AM1649" i="1"/>
  <c r="AL1649" i="1"/>
  <c r="AP1648" i="1"/>
  <c r="AO1648" i="1"/>
  <c r="AN1648" i="1"/>
  <c r="AM1648" i="1"/>
  <c r="AL1648" i="1"/>
  <c r="AP1647" i="1"/>
  <c r="AO1647" i="1"/>
  <c r="AN1647" i="1"/>
  <c r="AM1647" i="1"/>
  <c r="AL1647" i="1"/>
  <c r="AP1646" i="1"/>
  <c r="AO1646" i="1"/>
  <c r="AN1646" i="1"/>
  <c r="AM1646" i="1"/>
  <c r="AL1646" i="1"/>
  <c r="AP1645" i="1"/>
  <c r="AO1645" i="1"/>
  <c r="AN1645" i="1"/>
  <c r="AM1645" i="1"/>
  <c r="AL1645" i="1"/>
  <c r="AP1644" i="1"/>
  <c r="AO1644" i="1"/>
  <c r="AN1644" i="1"/>
  <c r="AM1644" i="1"/>
  <c r="AL1644" i="1"/>
  <c r="AP1643" i="1"/>
  <c r="AO1643" i="1"/>
  <c r="AN1643" i="1"/>
  <c r="AM1643" i="1"/>
  <c r="AL1643" i="1"/>
  <c r="AP1642" i="1"/>
  <c r="AO1642" i="1"/>
  <c r="AN1642" i="1"/>
  <c r="AM1642" i="1"/>
  <c r="AL1642" i="1"/>
  <c r="AP1641" i="1"/>
  <c r="AO1641" i="1"/>
  <c r="AN1641" i="1"/>
  <c r="AM1641" i="1"/>
  <c r="AL1641" i="1"/>
  <c r="AP1640" i="1"/>
  <c r="AO1640" i="1"/>
  <c r="AN1640" i="1"/>
  <c r="AM1640" i="1"/>
  <c r="AL1640" i="1"/>
  <c r="AP1639" i="1"/>
  <c r="AO1639" i="1"/>
  <c r="AN1639" i="1"/>
  <c r="AM1639" i="1"/>
  <c r="AL1639" i="1"/>
  <c r="AP1638" i="1"/>
  <c r="AO1638" i="1"/>
  <c r="AN1638" i="1"/>
  <c r="AM1638" i="1"/>
  <c r="AL1638" i="1"/>
  <c r="AP1637" i="1"/>
  <c r="AO1637" i="1"/>
  <c r="AN1637" i="1"/>
  <c r="AM1637" i="1"/>
  <c r="AL1637" i="1"/>
  <c r="AP1636" i="1"/>
  <c r="AO1636" i="1"/>
  <c r="AN1636" i="1"/>
  <c r="AM1636" i="1"/>
  <c r="AL1636" i="1"/>
  <c r="AP1635" i="1"/>
  <c r="AO1635" i="1"/>
  <c r="AN1635" i="1"/>
  <c r="AM1635" i="1"/>
  <c r="AL1635" i="1"/>
  <c r="AP1634" i="1"/>
  <c r="AO1634" i="1"/>
  <c r="AN1634" i="1"/>
  <c r="AM1634" i="1"/>
  <c r="AL1634" i="1"/>
  <c r="AP1633" i="1"/>
  <c r="AO1633" i="1"/>
  <c r="AN1633" i="1"/>
  <c r="AM1633" i="1"/>
  <c r="AL1633" i="1"/>
  <c r="AP1632" i="1"/>
  <c r="AO1632" i="1"/>
  <c r="AN1632" i="1"/>
  <c r="AM1632" i="1"/>
  <c r="AL1632" i="1"/>
  <c r="AP1631" i="1"/>
  <c r="AO1631" i="1"/>
  <c r="AN1631" i="1"/>
  <c r="AM1631" i="1"/>
  <c r="AL1631" i="1"/>
  <c r="AP1630" i="1"/>
  <c r="AO1630" i="1"/>
  <c r="AN1630" i="1"/>
  <c r="AM1630" i="1"/>
  <c r="AL1630" i="1"/>
  <c r="AP1629" i="1"/>
  <c r="AO1629" i="1"/>
  <c r="AN1629" i="1"/>
  <c r="AM1629" i="1"/>
  <c r="AL1629" i="1"/>
  <c r="AP1628" i="1"/>
  <c r="AO1628" i="1"/>
  <c r="AN1628" i="1"/>
  <c r="AM1628" i="1"/>
  <c r="AL1628" i="1"/>
  <c r="AP1627" i="1"/>
  <c r="AO1627" i="1"/>
  <c r="AN1627" i="1"/>
  <c r="AM1627" i="1"/>
  <c r="AL1627" i="1"/>
  <c r="AP1626" i="1"/>
  <c r="AO1626" i="1"/>
  <c r="AN1626" i="1"/>
  <c r="AM1626" i="1"/>
  <c r="AL1626" i="1"/>
  <c r="AP1625" i="1"/>
  <c r="AO1625" i="1"/>
  <c r="AN1625" i="1"/>
  <c r="AM1625" i="1"/>
  <c r="AL1625" i="1"/>
  <c r="AP1624" i="1"/>
  <c r="AO1624" i="1"/>
  <c r="AN1624" i="1"/>
  <c r="AM1624" i="1"/>
  <c r="AL1624" i="1"/>
  <c r="AP1623" i="1"/>
  <c r="AO1623" i="1"/>
  <c r="AN1623" i="1"/>
  <c r="AM1623" i="1"/>
  <c r="AL1623" i="1"/>
  <c r="AP1622" i="1"/>
  <c r="AO1622" i="1"/>
  <c r="AN1622" i="1"/>
  <c r="AM1622" i="1"/>
  <c r="AL1622" i="1"/>
  <c r="AP1621" i="1"/>
  <c r="AO1621" i="1"/>
  <c r="AN1621" i="1"/>
  <c r="AM1621" i="1"/>
  <c r="AL1621" i="1"/>
  <c r="AP1620" i="1"/>
  <c r="AO1620" i="1"/>
  <c r="AN1620" i="1"/>
  <c r="AM1620" i="1"/>
  <c r="AL1620" i="1"/>
  <c r="AP1619" i="1"/>
  <c r="AO1619" i="1"/>
  <c r="AN1619" i="1"/>
  <c r="AM1619" i="1"/>
  <c r="AL1619" i="1"/>
  <c r="AP1618" i="1"/>
  <c r="AO1618" i="1"/>
  <c r="AN1618" i="1"/>
  <c r="AM1618" i="1"/>
  <c r="AL1618" i="1"/>
  <c r="AP1617" i="1"/>
  <c r="AO1617" i="1"/>
  <c r="AN1617" i="1"/>
  <c r="AM1617" i="1"/>
  <c r="AL1617" i="1"/>
  <c r="AP1616" i="1"/>
  <c r="AO1616" i="1"/>
  <c r="AN1616" i="1"/>
  <c r="AM1616" i="1"/>
  <c r="AL1616" i="1"/>
  <c r="AP1615" i="1"/>
  <c r="AO1615" i="1"/>
  <c r="AN1615" i="1"/>
  <c r="AM1615" i="1"/>
  <c r="AL1615" i="1"/>
  <c r="AP1614" i="1"/>
  <c r="AO1614" i="1"/>
  <c r="AN1614" i="1"/>
  <c r="AM1614" i="1"/>
  <c r="AL1614" i="1"/>
  <c r="AP1613" i="1"/>
  <c r="AO1613" i="1"/>
  <c r="AN1613" i="1"/>
  <c r="AM1613" i="1"/>
  <c r="AL1613" i="1"/>
  <c r="AP1612" i="1"/>
  <c r="AO1612" i="1"/>
  <c r="AN1612" i="1"/>
  <c r="AM1612" i="1"/>
  <c r="AL1612" i="1"/>
  <c r="AP1611" i="1"/>
  <c r="AO1611" i="1"/>
  <c r="AN1611" i="1"/>
  <c r="AM1611" i="1"/>
  <c r="AL1611" i="1"/>
  <c r="AP1610" i="1"/>
  <c r="AO1610" i="1"/>
  <c r="AN1610" i="1"/>
  <c r="AM1610" i="1"/>
  <c r="AL1610" i="1"/>
  <c r="AP1609" i="1"/>
  <c r="AO1609" i="1"/>
  <c r="AN1609" i="1"/>
  <c r="AM1609" i="1"/>
  <c r="AL1609" i="1"/>
  <c r="AP1608" i="1"/>
  <c r="AO1608" i="1"/>
  <c r="AN1608" i="1"/>
  <c r="AM1608" i="1"/>
  <c r="AL1608" i="1"/>
  <c r="AP1607" i="1"/>
  <c r="AO1607" i="1"/>
  <c r="AN1607" i="1"/>
  <c r="AM1607" i="1"/>
  <c r="AL1607" i="1"/>
  <c r="AP1606" i="1"/>
  <c r="AO1606" i="1"/>
  <c r="AN1606" i="1"/>
  <c r="AM1606" i="1"/>
  <c r="AL1606" i="1"/>
  <c r="AP1605" i="1"/>
  <c r="AO1605" i="1"/>
  <c r="AN1605" i="1"/>
  <c r="AM1605" i="1"/>
  <c r="AL1605" i="1"/>
  <c r="AP1604" i="1"/>
  <c r="AO1604" i="1"/>
  <c r="AN1604" i="1"/>
  <c r="AM1604" i="1"/>
  <c r="AL1604" i="1"/>
  <c r="AP1603" i="1"/>
  <c r="AO1603" i="1"/>
  <c r="AN1603" i="1"/>
  <c r="AM1603" i="1"/>
  <c r="AL1603" i="1"/>
  <c r="AP1602" i="1"/>
  <c r="AO1602" i="1"/>
  <c r="AN1602" i="1"/>
  <c r="AM1602" i="1"/>
  <c r="AL1602" i="1"/>
  <c r="AP1601" i="1"/>
  <c r="AO1601" i="1"/>
  <c r="AN1601" i="1"/>
  <c r="AM1601" i="1"/>
  <c r="AL1601" i="1"/>
  <c r="AP1600" i="1"/>
  <c r="AO1600" i="1"/>
  <c r="AN1600" i="1"/>
  <c r="AM1600" i="1"/>
  <c r="AL1600" i="1"/>
  <c r="AP1599" i="1"/>
  <c r="AO1599" i="1"/>
  <c r="AN1599" i="1"/>
  <c r="AM1599" i="1"/>
  <c r="AL1599" i="1"/>
  <c r="AP1598" i="1"/>
  <c r="AO1598" i="1"/>
  <c r="AN1598" i="1"/>
  <c r="AM1598" i="1"/>
  <c r="AL1598" i="1"/>
  <c r="AP1597" i="1"/>
  <c r="AO1597" i="1"/>
  <c r="AN1597" i="1"/>
  <c r="AM1597" i="1"/>
  <c r="AL1597" i="1"/>
  <c r="AP1596" i="1"/>
  <c r="AO1596" i="1"/>
  <c r="AN1596" i="1"/>
  <c r="AM1596" i="1"/>
  <c r="AL1596" i="1"/>
  <c r="AP1595" i="1"/>
  <c r="AO1595" i="1"/>
  <c r="AN1595" i="1"/>
  <c r="AM1595" i="1"/>
  <c r="AL1595" i="1"/>
  <c r="AP1594" i="1"/>
  <c r="AO1594" i="1"/>
  <c r="AN1594" i="1"/>
  <c r="AM1594" i="1"/>
  <c r="AL1594" i="1"/>
  <c r="AP1593" i="1"/>
  <c r="AO1593" i="1"/>
  <c r="AN1593" i="1"/>
  <c r="AM1593" i="1"/>
  <c r="AL1593" i="1"/>
  <c r="AP1592" i="1"/>
  <c r="AO1592" i="1"/>
  <c r="AN1592" i="1"/>
  <c r="AM1592" i="1"/>
  <c r="AL1592" i="1"/>
  <c r="AP1591" i="1"/>
  <c r="AO1591" i="1"/>
  <c r="AN1591" i="1"/>
  <c r="AM1591" i="1"/>
  <c r="AL1591" i="1"/>
  <c r="AP1590" i="1"/>
  <c r="AO1590" i="1"/>
  <c r="AN1590" i="1"/>
  <c r="AM1590" i="1"/>
  <c r="AL1590" i="1"/>
  <c r="AP1589" i="1"/>
  <c r="AO1589" i="1"/>
  <c r="AN1589" i="1"/>
  <c r="AM1589" i="1"/>
  <c r="AL1589" i="1"/>
  <c r="AP1588" i="1"/>
  <c r="AO1588" i="1"/>
  <c r="AN1588" i="1"/>
  <c r="AM1588" i="1"/>
  <c r="AL1588" i="1"/>
  <c r="AP1587" i="1"/>
  <c r="AO1587" i="1"/>
  <c r="AN1587" i="1"/>
  <c r="AM1587" i="1"/>
  <c r="AL1587" i="1"/>
  <c r="AP1586" i="1"/>
  <c r="AO1586" i="1"/>
  <c r="AN1586" i="1"/>
  <c r="AM1586" i="1"/>
  <c r="AL1586" i="1"/>
  <c r="AP1585" i="1"/>
  <c r="AO1585" i="1"/>
  <c r="AN1585" i="1"/>
  <c r="AM1585" i="1"/>
  <c r="AL1585" i="1"/>
  <c r="AP1584" i="1"/>
  <c r="AO1584" i="1"/>
  <c r="AN1584" i="1"/>
  <c r="AM1584" i="1"/>
  <c r="AL1584" i="1"/>
  <c r="AP1583" i="1"/>
  <c r="AO1583" i="1"/>
  <c r="AN1583" i="1"/>
  <c r="AM1583" i="1"/>
  <c r="AL1583" i="1"/>
  <c r="AP1582" i="1"/>
  <c r="AO1582" i="1"/>
  <c r="AN1582" i="1"/>
  <c r="AM1582" i="1"/>
  <c r="AL1582" i="1"/>
  <c r="AP1581" i="1"/>
  <c r="AO1581" i="1"/>
  <c r="AN1581" i="1"/>
  <c r="AM1581" i="1"/>
  <c r="AL1581" i="1"/>
  <c r="AP1580" i="1"/>
  <c r="AO1580" i="1"/>
  <c r="AN1580" i="1"/>
  <c r="AM1580" i="1"/>
  <c r="AL1580" i="1"/>
  <c r="AP1579" i="1"/>
  <c r="AO1579" i="1"/>
  <c r="AN1579" i="1"/>
  <c r="AM1579" i="1"/>
  <c r="AL1579" i="1"/>
  <c r="AP1578" i="1"/>
  <c r="AO1578" i="1"/>
  <c r="AN1578" i="1"/>
  <c r="AM1578" i="1"/>
  <c r="AL1578" i="1"/>
  <c r="AP1577" i="1"/>
  <c r="AO1577" i="1"/>
  <c r="AN1577" i="1"/>
  <c r="AM1577" i="1"/>
  <c r="AL1577" i="1"/>
  <c r="AP1576" i="1"/>
  <c r="AO1576" i="1"/>
  <c r="AN1576" i="1"/>
  <c r="AM1576" i="1"/>
  <c r="AL1576" i="1"/>
  <c r="AP1575" i="1"/>
  <c r="AO1575" i="1"/>
  <c r="AN1575" i="1"/>
  <c r="AM1575" i="1"/>
  <c r="AL1575" i="1"/>
  <c r="AP1574" i="1"/>
  <c r="AO1574" i="1"/>
  <c r="AN1574" i="1"/>
  <c r="AM1574" i="1"/>
  <c r="AL1574" i="1"/>
  <c r="AP1573" i="1"/>
  <c r="AO1573" i="1"/>
  <c r="AN1573" i="1"/>
  <c r="AM1573" i="1"/>
  <c r="AL1573" i="1"/>
  <c r="AP1572" i="1"/>
  <c r="AO1572" i="1"/>
  <c r="AN1572" i="1"/>
  <c r="AM1572" i="1"/>
  <c r="AL1572" i="1"/>
  <c r="AP1571" i="1"/>
  <c r="AO1571" i="1"/>
  <c r="AN1571" i="1"/>
  <c r="AM1571" i="1"/>
  <c r="AL1571" i="1"/>
  <c r="AP1570" i="1"/>
  <c r="AO1570" i="1"/>
  <c r="AN1570" i="1"/>
  <c r="AM1570" i="1"/>
  <c r="AL1570" i="1"/>
  <c r="AP1569" i="1"/>
  <c r="AO1569" i="1"/>
  <c r="AN1569" i="1"/>
  <c r="AM1569" i="1"/>
  <c r="AL1569" i="1"/>
  <c r="AP1568" i="1"/>
  <c r="AO1568" i="1"/>
  <c r="AN1568" i="1"/>
  <c r="AM1568" i="1"/>
  <c r="AL1568" i="1"/>
  <c r="AP1567" i="1"/>
  <c r="AO1567" i="1"/>
  <c r="AN1567" i="1"/>
  <c r="AM1567" i="1"/>
  <c r="AL1567" i="1"/>
  <c r="AP1566" i="1"/>
  <c r="AO1566" i="1"/>
  <c r="AN1566" i="1"/>
  <c r="AM1566" i="1"/>
  <c r="AL1566" i="1"/>
  <c r="AP1565" i="1"/>
  <c r="AO1565" i="1"/>
  <c r="AN1565" i="1"/>
  <c r="AM1565" i="1"/>
  <c r="AL1565" i="1"/>
  <c r="AP1564" i="1"/>
  <c r="AO1564" i="1"/>
  <c r="AN1564" i="1"/>
  <c r="AM1564" i="1"/>
  <c r="AL1564" i="1"/>
  <c r="AP1563" i="1"/>
  <c r="AO1563" i="1"/>
  <c r="AN1563" i="1"/>
  <c r="AM1563" i="1"/>
  <c r="AL1563" i="1"/>
  <c r="AP1562" i="1"/>
  <c r="AO1562" i="1"/>
  <c r="AN1562" i="1"/>
  <c r="AM1562" i="1"/>
  <c r="AL1562" i="1"/>
  <c r="AP1561" i="1"/>
  <c r="AO1561" i="1"/>
  <c r="AN1561" i="1"/>
  <c r="AM1561" i="1"/>
  <c r="AL1561" i="1"/>
  <c r="AP1560" i="1"/>
  <c r="AO1560" i="1"/>
  <c r="AN1560" i="1"/>
  <c r="AM1560" i="1"/>
  <c r="AL1560" i="1"/>
  <c r="AP1559" i="1"/>
  <c r="AO1559" i="1"/>
  <c r="AN1559" i="1"/>
  <c r="AM1559" i="1"/>
  <c r="AL1559" i="1"/>
  <c r="AP1558" i="1"/>
  <c r="AO1558" i="1"/>
  <c r="AN1558" i="1"/>
  <c r="AM1558" i="1"/>
  <c r="AL1558" i="1"/>
  <c r="AP1557" i="1"/>
  <c r="AO1557" i="1"/>
  <c r="AN1557" i="1"/>
  <c r="AM1557" i="1"/>
  <c r="AL1557" i="1"/>
  <c r="AP1556" i="1"/>
  <c r="AO1556" i="1"/>
  <c r="AN1556" i="1"/>
  <c r="AM1556" i="1"/>
  <c r="AL1556" i="1"/>
  <c r="AP1555" i="1"/>
  <c r="AO1555" i="1"/>
  <c r="AN1555" i="1"/>
  <c r="AM1555" i="1"/>
  <c r="AL1555" i="1"/>
  <c r="AP1554" i="1"/>
  <c r="AO1554" i="1"/>
  <c r="AN1554" i="1"/>
  <c r="AM1554" i="1"/>
  <c r="AL1554" i="1"/>
  <c r="AP1553" i="1"/>
  <c r="AO1553" i="1"/>
  <c r="AN1553" i="1"/>
  <c r="AM1553" i="1"/>
  <c r="AL1553" i="1"/>
  <c r="AP1552" i="1"/>
  <c r="AO1552" i="1"/>
  <c r="AN1552" i="1"/>
  <c r="AM1552" i="1"/>
  <c r="AL1552" i="1"/>
  <c r="AP1551" i="1"/>
  <c r="AO1551" i="1"/>
  <c r="AN1551" i="1"/>
  <c r="AM1551" i="1"/>
  <c r="AL1551" i="1"/>
  <c r="AP1550" i="1"/>
  <c r="AO1550" i="1"/>
  <c r="AN1550" i="1"/>
  <c r="AM1550" i="1"/>
  <c r="AL1550" i="1"/>
  <c r="AP1549" i="1"/>
  <c r="AO1549" i="1"/>
  <c r="AN1549" i="1"/>
  <c r="AM1549" i="1"/>
  <c r="AL1549" i="1"/>
  <c r="AP1548" i="1"/>
  <c r="AO1548" i="1"/>
  <c r="AN1548" i="1"/>
  <c r="AM1548" i="1"/>
  <c r="AL1548" i="1"/>
  <c r="AP1547" i="1"/>
  <c r="AO1547" i="1"/>
  <c r="AN1547" i="1"/>
  <c r="AM1547" i="1"/>
  <c r="AL1547" i="1"/>
  <c r="AP1546" i="1"/>
  <c r="AO1546" i="1"/>
  <c r="AN1546" i="1"/>
  <c r="AM1546" i="1"/>
  <c r="AL1546" i="1"/>
  <c r="AP1545" i="1"/>
  <c r="AO1545" i="1"/>
  <c r="AN1545" i="1"/>
  <c r="AM1545" i="1"/>
  <c r="AL1545" i="1"/>
  <c r="AP1544" i="1"/>
  <c r="AO1544" i="1"/>
  <c r="AN1544" i="1"/>
  <c r="AM1544" i="1"/>
  <c r="AL1544" i="1"/>
  <c r="AP1543" i="1"/>
  <c r="AO1543" i="1"/>
  <c r="AN1543" i="1"/>
  <c r="AM1543" i="1"/>
  <c r="AL1543" i="1"/>
  <c r="AP1542" i="1"/>
  <c r="AO1542" i="1"/>
  <c r="AN1542" i="1"/>
  <c r="AM1542" i="1"/>
  <c r="AL1542" i="1"/>
  <c r="AP1541" i="1"/>
  <c r="AO1541" i="1"/>
  <c r="AN1541" i="1"/>
  <c r="AM1541" i="1"/>
  <c r="AL1541" i="1"/>
  <c r="AP1540" i="1"/>
  <c r="AO1540" i="1"/>
  <c r="AN1540" i="1"/>
  <c r="AM1540" i="1"/>
  <c r="AL1540" i="1"/>
  <c r="AP1539" i="1"/>
  <c r="AO1539" i="1"/>
  <c r="AN1539" i="1"/>
  <c r="AM1539" i="1"/>
  <c r="AL1539" i="1"/>
  <c r="AP1538" i="1"/>
  <c r="AO1538" i="1"/>
  <c r="AN1538" i="1"/>
  <c r="AM1538" i="1"/>
  <c r="AL1538" i="1"/>
  <c r="AP1537" i="1"/>
  <c r="AO1537" i="1"/>
  <c r="AN1537" i="1"/>
  <c r="AM1537" i="1"/>
  <c r="AL1537" i="1"/>
  <c r="AP1536" i="1"/>
  <c r="AO1536" i="1"/>
  <c r="AN1536" i="1"/>
  <c r="AM1536" i="1"/>
  <c r="AL1536" i="1"/>
  <c r="AP1535" i="1"/>
  <c r="AO1535" i="1"/>
  <c r="AN1535" i="1"/>
  <c r="AM1535" i="1"/>
  <c r="AL1535" i="1"/>
  <c r="AP1534" i="1"/>
  <c r="AO1534" i="1"/>
  <c r="AN1534" i="1"/>
  <c r="AM1534" i="1"/>
  <c r="AL1534" i="1"/>
  <c r="AP1533" i="1"/>
  <c r="AO1533" i="1"/>
  <c r="AN1533" i="1"/>
  <c r="AM1533" i="1"/>
  <c r="AL1533" i="1"/>
  <c r="AP1532" i="1"/>
  <c r="AO1532" i="1"/>
  <c r="AN1532" i="1"/>
  <c r="AM1532" i="1"/>
  <c r="AL1532" i="1"/>
  <c r="AP1531" i="1"/>
  <c r="AO1531" i="1"/>
  <c r="AN1531" i="1"/>
  <c r="AM1531" i="1"/>
  <c r="AL1531" i="1"/>
  <c r="AP1530" i="1"/>
  <c r="AO1530" i="1"/>
  <c r="AN1530" i="1"/>
  <c r="AM1530" i="1"/>
  <c r="AL1530" i="1"/>
  <c r="AP1529" i="1"/>
  <c r="AO1529" i="1"/>
  <c r="AN1529" i="1"/>
  <c r="AM1529" i="1"/>
  <c r="AL1529" i="1"/>
  <c r="AP1528" i="1"/>
  <c r="AO1528" i="1"/>
  <c r="AN1528" i="1"/>
  <c r="AM1528" i="1"/>
  <c r="AL1528" i="1"/>
  <c r="AP1527" i="1"/>
  <c r="AO1527" i="1"/>
  <c r="AN1527" i="1"/>
  <c r="AM1527" i="1"/>
  <c r="AL1527" i="1"/>
  <c r="AP1526" i="1"/>
  <c r="AO1526" i="1"/>
  <c r="AN1526" i="1"/>
  <c r="AM1526" i="1"/>
  <c r="AL1526" i="1"/>
  <c r="AP1525" i="1"/>
  <c r="AO1525" i="1"/>
  <c r="AN1525" i="1"/>
  <c r="AM1525" i="1"/>
  <c r="AL1525" i="1"/>
  <c r="AP1524" i="1"/>
  <c r="AO1524" i="1"/>
  <c r="AN1524" i="1"/>
  <c r="AM1524" i="1"/>
  <c r="AL1524" i="1"/>
  <c r="AP1523" i="1"/>
  <c r="AO1523" i="1"/>
  <c r="AN1523" i="1"/>
  <c r="AM1523" i="1"/>
  <c r="AL1523" i="1"/>
  <c r="AP1522" i="1"/>
  <c r="AO1522" i="1"/>
  <c r="AN1522" i="1"/>
  <c r="AM1522" i="1"/>
  <c r="AL1522" i="1"/>
  <c r="AP1521" i="1"/>
  <c r="AO1521" i="1"/>
  <c r="AN1521" i="1"/>
  <c r="AM1521" i="1"/>
  <c r="AL1521" i="1"/>
  <c r="AP1520" i="1"/>
  <c r="AO1520" i="1"/>
  <c r="AN1520" i="1"/>
  <c r="AM1520" i="1"/>
  <c r="AL1520" i="1"/>
  <c r="AP1519" i="1"/>
  <c r="AO1519" i="1"/>
  <c r="AN1519" i="1"/>
  <c r="AM1519" i="1"/>
  <c r="AL1519" i="1"/>
  <c r="AP1518" i="1"/>
  <c r="AO1518" i="1"/>
  <c r="AN1518" i="1"/>
  <c r="AM1518" i="1"/>
  <c r="AL1518" i="1"/>
  <c r="AP1517" i="1"/>
  <c r="AO1517" i="1"/>
  <c r="AN1517" i="1"/>
  <c r="AM1517" i="1"/>
  <c r="AL1517" i="1"/>
  <c r="AP1516" i="1"/>
  <c r="AO1516" i="1"/>
  <c r="AN1516" i="1"/>
  <c r="AM1516" i="1"/>
  <c r="AL1516" i="1"/>
  <c r="AP1515" i="1"/>
  <c r="AO1515" i="1"/>
  <c r="AN1515" i="1"/>
  <c r="AM1515" i="1"/>
  <c r="AL1515" i="1"/>
  <c r="AP1514" i="1"/>
  <c r="AO1514" i="1"/>
  <c r="AN1514" i="1"/>
  <c r="AM1514" i="1"/>
  <c r="AL1514" i="1"/>
  <c r="AP1513" i="1"/>
  <c r="AO1513" i="1"/>
  <c r="AN1513" i="1"/>
  <c r="AM1513" i="1"/>
  <c r="AL1513" i="1"/>
  <c r="AP1512" i="1"/>
  <c r="AO1512" i="1"/>
  <c r="AN1512" i="1"/>
  <c r="AM1512" i="1"/>
  <c r="AL1512" i="1"/>
  <c r="AP1511" i="1"/>
  <c r="AO1511" i="1"/>
  <c r="AN1511" i="1"/>
  <c r="AM1511" i="1"/>
  <c r="AL1511" i="1"/>
  <c r="AP1510" i="1"/>
  <c r="AO1510" i="1"/>
  <c r="AN1510" i="1"/>
  <c r="AM1510" i="1"/>
  <c r="AL1510" i="1"/>
  <c r="AP1509" i="1"/>
  <c r="AO1509" i="1"/>
  <c r="AN1509" i="1"/>
  <c r="AM1509" i="1"/>
  <c r="AL1509" i="1"/>
  <c r="AP1508" i="1"/>
  <c r="AO1508" i="1"/>
  <c r="AN1508" i="1"/>
  <c r="AM1508" i="1"/>
  <c r="AL1508" i="1"/>
  <c r="AP1507" i="1"/>
  <c r="AO1507" i="1"/>
  <c r="AN1507" i="1"/>
  <c r="AM1507" i="1"/>
  <c r="AL1507" i="1"/>
  <c r="AP1506" i="1"/>
  <c r="AO1506" i="1"/>
  <c r="AN1506" i="1"/>
  <c r="AM1506" i="1"/>
  <c r="AL1506" i="1"/>
  <c r="AP1505" i="1"/>
  <c r="AO1505" i="1"/>
  <c r="AN1505" i="1"/>
  <c r="AM1505" i="1"/>
  <c r="AL1505" i="1"/>
  <c r="AP1504" i="1"/>
  <c r="AO1504" i="1"/>
  <c r="AN1504" i="1"/>
  <c r="AM1504" i="1"/>
  <c r="AL1504" i="1"/>
  <c r="AP1503" i="1"/>
  <c r="AO1503" i="1"/>
  <c r="AN1503" i="1"/>
  <c r="AM1503" i="1"/>
  <c r="AL1503" i="1"/>
  <c r="AP1502" i="1"/>
  <c r="AO1502" i="1"/>
  <c r="AN1502" i="1"/>
  <c r="AM1502" i="1"/>
  <c r="AL1502" i="1"/>
  <c r="AP1501" i="1"/>
  <c r="AO1501" i="1"/>
  <c r="AN1501" i="1"/>
  <c r="AM1501" i="1"/>
  <c r="AL1501" i="1"/>
  <c r="AP1500" i="1"/>
  <c r="AO1500" i="1"/>
  <c r="AN1500" i="1"/>
  <c r="AM1500" i="1"/>
  <c r="AL1500" i="1"/>
  <c r="AP1499" i="1"/>
  <c r="AO1499" i="1"/>
  <c r="AN1499" i="1"/>
  <c r="AM1499" i="1"/>
  <c r="AL1499" i="1"/>
  <c r="AP1498" i="1"/>
  <c r="AO1498" i="1"/>
  <c r="AN1498" i="1"/>
  <c r="AM1498" i="1"/>
  <c r="AL1498" i="1"/>
  <c r="AP1497" i="1"/>
  <c r="AO1497" i="1"/>
  <c r="AN1497" i="1"/>
  <c r="AM1497" i="1"/>
  <c r="AL1497" i="1"/>
  <c r="AP1496" i="1"/>
  <c r="AO1496" i="1"/>
  <c r="AN1496" i="1"/>
  <c r="AM1496" i="1"/>
  <c r="AL1496" i="1"/>
  <c r="AP1495" i="1"/>
  <c r="AO1495" i="1"/>
  <c r="AN1495" i="1"/>
  <c r="AM1495" i="1"/>
  <c r="AL1495" i="1"/>
  <c r="AP1494" i="1"/>
  <c r="AO1494" i="1"/>
  <c r="AN1494" i="1"/>
  <c r="AM1494" i="1"/>
  <c r="AL1494" i="1"/>
  <c r="AP1493" i="1"/>
  <c r="AO1493" i="1"/>
  <c r="AN1493" i="1"/>
  <c r="AM1493" i="1"/>
  <c r="AL1493" i="1"/>
  <c r="AP1492" i="1"/>
  <c r="AO1492" i="1"/>
  <c r="AN1492" i="1"/>
  <c r="AM1492" i="1"/>
  <c r="AL1492" i="1"/>
  <c r="AP1491" i="1"/>
  <c r="AO1491" i="1"/>
  <c r="AN1491" i="1"/>
  <c r="AM1491" i="1"/>
  <c r="AL1491" i="1"/>
  <c r="AP1490" i="1"/>
  <c r="AO1490" i="1"/>
  <c r="AN1490" i="1"/>
  <c r="AM1490" i="1"/>
  <c r="AL1490" i="1"/>
  <c r="AP1489" i="1"/>
  <c r="AO1489" i="1"/>
  <c r="AN1489" i="1"/>
  <c r="AM1489" i="1"/>
  <c r="AL1489" i="1"/>
  <c r="AP1488" i="1"/>
  <c r="AO1488" i="1"/>
  <c r="AN1488" i="1"/>
  <c r="AM1488" i="1"/>
  <c r="AL1488" i="1"/>
  <c r="AP1487" i="1"/>
  <c r="AO1487" i="1"/>
  <c r="AN1487" i="1"/>
  <c r="AM1487" i="1"/>
  <c r="AL1487" i="1"/>
  <c r="AP1486" i="1"/>
  <c r="AO1486" i="1"/>
  <c r="AN1486" i="1"/>
  <c r="AM1486" i="1"/>
  <c r="AL1486" i="1"/>
  <c r="AP1485" i="1"/>
  <c r="AO1485" i="1"/>
  <c r="AN1485" i="1"/>
  <c r="AM1485" i="1"/>
  <c r="AL1485" i="1"/>
  <c r="AP1484" i="1"/>
  <c r="AO1484" i="1"/>
  <c r="AN1484" i="1"/>
  <c r="AM1484" i="1"/>
  <c r="AL1484" i="1"/>
  <c r="AP1483" i="1"/>
  <c r="AO1483" i="1"/>
  <c r="AN1483" i="1"/>
  <c r="AM1483" i="1"/>
  <c r="AL1483" i="1"/>
  <c r="AP1482" i="1"/>
  <c r="AO1482" i="1"/>
  <c r="AN1482" i="1"/>
  <c r="AM1482" i="1"/>
  <c r="AL1482" i="1"/>
  <c r="AP1481" i="1"/>
  <c r="AO1481" i="1"/>
  <c r="AN1481" i="1"/>
  <c r="AM1481" i="1"/>
  <c r="AL1481" i="1"/>
  <c r="AP1480" i="1"/>
  <c r="AO1480" i="1"/>
  <c r="AN1480" i="1"/>
  <c r="AM1480" i="1"/>
  <c r="AL1480" i="1"/>
  <c r="AP1479" i="1"/>
  <c r="AO1479" i="1"/>
  <c r="AN1479" i="1"/>
  <c r="AM1479" i="1"/>
  <c r="AL1479" i="1"/>
  <c r="AP1478" i="1"/>
  <c r="AO1478" i="1"/>
  <c r="AN1478" i="1"/>
  <c r="AM1478" i="1"/>
  <c r="AL1478" i="1"/>
  <c r="AP1477" i="1"/>
  <c r="AO1477" i="1"/>
  <c r="AN1477" i="1"/>
  <c r="AM1477" i="1"/>
  <c r="AL1477" i="1"/>
  <c r="AP1476" i="1"/>
  <c r="AO1476" i="1"/>
  <c r="AN1476" i="1"/>
  <c r="AM1476" i="1"/>
  <c r="AL1476" i="1"/>
  <c r="AP1475" i="1"/>
  <c r="AO1475" i="1"/>
  <c r="AN1475" i="1"/>
  <c r="AM1475" i="1"/>
  <c r="AL1475" i="1"/>
  <c r="AP1474" i="1"/>
  <c r="AO1474" i="1"/>
  <c r="AN1474" i="1"/>
  <c r="AM1474" i="1"/>
  <c r="AL1474" i="1"/>
  <c r="AP1473" i="1"/>
  <c r="AO1473" i="1"/>
  <c r="AN1473" i="1"/>
  <c r="AM1473" i="1"/>
  <c r="AL1473" i="1"/>
  <c r="AP1472" i="1"/>
  <c r="AO1472" i="1"/>
  <c r="AN1472" i="1"/>
  <c r="AM1472" i="1"/>
  <c r="AL1472" i="1"/>
  <c r="AP1471" i="1"/>
  <c r="AO1471" i="1"/>
  <c r="AN1471" i="1"/>
  <c r="AM1471" i="1"/>
  <c r="AL1471" i="1"/>
  <c r="AP1470" i="1"/>
  <c r="AO1470" i="1"/>
  <c r="AN1470" i="1"/>
  <c r="AM1470" i="1"/>
  <c r="AL1470" i="1"/>
  <c r="AP1469" i="1"/>
  <c r="AO1469" i="1"/>
  <c r="AN1469" i="1"/>
  <c r="AM1469" i="1"/>
  <c r="AL1469" i="1"/>
  <c r="AP1468" i="1"/>
  <c r="AO1468" i="1"/>
  <c r="AN1468" i="1"/>
  <c r="AM1468" i="1"/>
  <c r="AL1468" i="1"/>
  <c r="AP1467" i="1"/>
  <c r="AO1467" i="1"/>
  <c r="AN1467" i="1"/>
  <c r="AM1467" i="1"/>
  <c r="AL1467" i="1"/>
  <c r="AP1466" i="1"/>
  <c r="AO1466" i="1"/>
  <c r="AN1466" i="1"/>
  <c r="AM1466" i="1"/>
  <c r="AL1466" i="1"/>
  <c r="AP1465" i="1"/>
  <c r="AO1465" i="1"/>
  <c r="AN1465" i="1"/>
  <c r="AM1465" i="1"/>
  <c r="AL1465" i="1"/>
  <c r="AP1464" i="1"/>
  <c r="AO1464" i="1"/>
  <c r="AN1464" i="1"/>
  <c r="AM1464" i="1"/>
  <c r="AL1464" i="1"/>
  <c r="AP1463" i="1"/>
  <c r="AO1463" i="1"/>
  <c r="AN1463" i="1"/>
  <c r="AM1463" i="1"/>
  <c r="AL1463" i="1"/>
  <c r="AP1462" i="1"/>
  <c r="AO1462" i="1"/>
  <c r="AN1462" i="1"/>
  <c r="AM1462" i="1"/>
  <c r="AL1462" i="1"/>
  <c r="AP1461" i="1"/>
  <c r="AO1461" i="1"/>
  <c r="AN1461" i="1"/>
  <c r="AM1461" i="1"/>
  <c r="AL1461" i="1"/>
  <c r="AP1460" i="1"/>
  <c r="AO1460" i="1"/>
  <c r="AN1460" i="1"/>
  <c r="AM1460" i="1"/>
  <c r="AL1460" i="1"/>
  <c r="AP1459" i="1"/>
  <c r="AO1459" i="1"/>
  <c r="AN1459" i="1"/>
  <c r="AM1459" i="1"/>
  <c r="AL1459" i="1"/>
  <c r="AP1458" i="1"/>
  <c r="AO1458" i="1"/>
  <c r="AN1458" i="1"/>
  <c r="AM1458" i="1"/>
  <c r="AL1458" i="1"/>
  <c r="AP1457" i="1"/>
  <c r="AO1457" i="1"/>
  <c r="AN1457" i="1"/>
  <c r="AM1457" i="1"/>
  <c r="AL1457" i="1"/>
  <c r="AP1456" i="1"/>
  <c r="AO1456" i="1"/>
  <c r="AN1456" i="1"/>
  <c r="AM1456" i="1"/>
  <c r="AL1456" i="1"/>
  <c r="AP1455" i="1"/>
  <c r="AO1455" i="1"/>
  <c r="AN1455" i="1"/>
  <c r="AM1455" i="1"/>
  <c r="AL1455" i="1"/>
  <c r="AP1454" i="1"/>
  <c r="AO1454" i="1"/>
  <c r="AN1454" i="1"/>
  <c r="AM1454" i="1"/>
  <c r="AL1454" i="1"/>
  <c r="AP1453" i="1"/>
  <c r="AO1453" i="1"/>
  <c r="AN1453" i="1"/>
  <c r="AM1453" i="1"/>
  <c r="AL1453" i="1"/>
  <c r="AP1452" i="1"/>
  <c r="AO1452" i="1"/>
  <c r="AN1452" i="1"/>
  <c r="AM1452" i="1"/>
  <c r="AL1452" i="1"/>
  <c r="AP1451" i="1"/>
  <c r="AO1451" i="1"/>
  <c r="AN1451" i="1"/>
  <c r="AM1451" i="1"/>
  <c r="AL1451" i="1"/>
  <c r="AP1450" i="1"/>
  <c r="AO1450" i="1"/>
  <c r="AN1450" i="1"/>
  <c r="AM1450" i="1"/>
  <c r="AL1450" i="1"/>
  <c r="AP1449" i="1"/>
  <c r="AO1449" i="1"/>
  <c r="AN1449" i="1"/>
  <c r="AM1449" i="1"/>
  <c r="AL1449" i="1"/>
  <c r="AP1448" i="1"/>
  <c r="AO1448" i="1"/>
  <c r="AN1448" i="1"/>
  <c r="AM1448" i="1"/>
  <c r="AL1448" i="1"/>
  <c r="AP1447" i="1"/>
  <c r="AO1447" i="1"/>
  <c r="AN1447" i="1"/>
  <c r="AM1447" i="1"/>
  <c r="AL1447" i="1"/>
  <c r="AP1446" i="1"/>
  <c r="AO1446" i="1"/>
  <c r="AN1446" i="1"/>
  <c r="AM1446" i="1"/>
  <c r="AL1446" i="1"/>
  <c r="AP1445" i="1"/>
  <c r="AO1445" i="1"/>
  <c r="AN1445" i="1"/>
  <c r="AM1445" i="1"/>
  <c r="AL1445" i="1"/>
  <c r="AP1444" i="1"/>
  <c r="AO1444" i="1"/>
  <c r="AN1444" i="1"/>
  <c r="AM1444" i="1"/>
  <c r="AL1444" i="1"/>
  <c r="AP1443" i="1"/>
  <c r="AO1443" i="1"/>
  <c r="AN1443" i="1"/>
  <c r="AM1443" i="1"/>
  <c r="AL1443" i="1"/>
  <c r="AP1442" i="1"/>
  <c r="AO1442" i="1"/>
  <c r="AN1442" i="1"/>
  <c r="AM1442" i="1"/>
  <c r="AL1442" i="1"/>
  <c r="AP1441" i="1"/>
  <c r="AO1441" i="1"/>
  <c r="AN1441" i="1"/>
  <c r="AM1441" i="1"/>
  <c r="AL1441" i="1"/>
  <c r="AP1440" i="1"/>
  <c r="AO1440" i="1"/>
  <c r="AN1440" i="1"/>
  <c r="AM1440" i="1"/>
  <c r="AL1440" i="1"/>
  <c r="AP1439" i="1"/>
  <c r="AO1439" i="1"/>
  <c r="AN1439" i="1"/>
  <c r="AM1439" i="1"/>
  <c r="AL1439" i="1"/>
  <c r="AP1438" i="1"/>
  <c r="AO1438" i="1"/>
  <c r="AN1438" i="1"/>
  <c r="AM1438" i="1"/>
  <c r="AL1438" i="1"/>
  <c r="AP1437" i="1"/>
  <c r="AO1437" i="1"/>
  <c r="AN1437" i="1"/>
  <c r="AM1437" i="1"/>
  <c r="AL1437" i="1"/>
  <c r="AP1436" i="1"/>
  <c r="AO1436" i="1"/>
  <c r="AN1436" i="1"/>
  <c r="AM1436" i="1"/>
  <c r="AL1436" i="1"/>
  <c r="AP1435" i="1"/>
  <c r="AO1435" i="1"/>
  <c r="AN1435" i="1"/>
  <c r="AM1435" i="1"/>
  <c r="AL1435" i="1"/>
  <c r="AP1434" i="1"/>
  <c r="AO1434" i="1"/>
  <c r="AN1434" i="1"/>
  <c r="AM1434" i="1"/>
  <c r="AL1434" i="1"/>
  <c r="AP1433" i="1"/>
  <c r="AO1433" i="1"/>
  <c r="AN1433" i="1"/>
  <c r="AM1433" i="1"/>
  <c r="AL1433" i="1"/>
  <c r="AP1432" i="1"/>
  <c r="AO1432" i="1"/>
  <c r="AN1432" i="1"/>
  <c r="AM1432" i="1"/>
  <c r="AL1432" i="1"/>
  <c r="AP1431" i="1"/>
  <c r="AO1431" i="1"/>
  <c r="AN1431" i="1"/>
  <c r="AM1431" i="1"/>
  <c r="AL1431" i="1"/>
  <c r="AP1430" i="1"/>
  <c r="AO1430" i="1"/>
  <c r="AN1430" i="1"/>
  <c r="AM1430" i="1"/>
  <c r="AL1430" i="1"/>
  <c r="AP1429" i="1"/>
  <c r="AO1429" i="1"/>
  <c r="AN1429" i="1"/>
  <c r="AM1429" i="1"/>
  <c r="AL1429" i="1"/>
  <c r="AP1428" i="1"/>
  <c r="AO1428" i="1"/>
  <c r="AN1428" i="1"/>
  <c r="AM1428" i="1"/>
  <c r="AL1428" i="1"/>
  <c r="AP1427" i="1"/>
  <c r="AO1427" i="1"/>
  <c r="AN1427" i="1"/>
  <c r="AM1427" i="1"/>
  <c r="AL1427" i="1"/>
  <c r="AP1426" i="1"/>
  <c r="AO1426" i="1"/>
  <c r="AN1426" i="1"/>
  <c r="AM1426" i="1"/>
  <c r="AL1426" i="1"/>
  <c r="AP1425" i="1"/>
  <c r="AO1425" i="1"/>
  <c r="AN1425" i="1"/>
  <c r="AM1425" i="1"/>
  <c r="AL1425" i="1"/>
  <c r="AP1424" i="1"/>
  <c r="AO1424" i="1"/>
  <c r="AN1424" i="1"/>
  <c r="AM1424" i="1"/>
  <c r="AL1424" i="1"/>
  <c r="AP1423" i="1"/>
  <c r="AO1423" i="1"/>
  <c r="AN1423" i="1"/>
  <c r="AM1423" i="1"/>
  <c r="AL1423" i="1"/>
  <c r="AP1422" i="1"/>
  <c r="AO1422" i="1"/>
  <c r="AN1422" i="1"/>
  <c r="AM1422" i="1"/>
  <c r="AL1422" i="1"/>
  <c r="AP1421" i="1"/>
  <c r="AO1421" i="1"/>
  <c r="AN1421" i="1"/>
  <c r="AM1421" i="1"/>
  <c r="AL1421" i="1"/>
  <c r="AP1420" i="1"/>
  <c r="AO1420" i="1"/>
  <c r="AN1420" i="1"/>
  <c r="AM1420" i="1"/>
  <c r="AL1420" i="1"/>
  <c r="AP1419" i="1"/>
  <c r="AO1419" i="1"/>
  <c r="AN1419" i="1"/>
  <c r="AM1419" i="1"/>
  <c r="AL1419" i="1"/>
  <c r="AP1418" i="1"/>
  <c r="AO1418" i="1"/>
  <c r="AN1418" i="1"/>
  <c r="AM1418" i="1"/>
  <c r="AL1418" i="1"/>
  <c r="AP1417" i="1"/>
  <c r="AO1417" i="1"/>
  <c r="AN1417" i="1"/>
  <c r="AM1417" i="1"/>
  <c r="AL1417" i="1"/>
  <c r="AP1416" i="1"/>
  <c r="AO1416" i="1"/>
  <c r="AN1416" i="1"/>
  <c r="AM1416" i="1"/>
  <c r="AL1416" i="1"/>
  <c r="AP1415" i="1"/>
  <c r="AO1415" i="1"/>
  <c r="AN1415" i="1"/>
  <c r="AM1415" i="1"/>
  <c r="AL1415" i="1"/>
  <c r="AP1414" i="1"/>
  <c r="AO1414" i="1"/>
  <c r="AN1414" i="1"/>
  <c r="AM1414" i="1"/>
  <c r="AL1414" i="1"/>
  <c r="AP1413" i="1"/>
  <c r="AO1413" i="1"/>
  <c r="AN1413" i="1"/>
  <c r="AM1413" i="1"/>
  <c r="AL1413" i="1"/>
  <c r="AP1412" i="1"/>
  <c r="AO1412" i="1"/>
  <c r="AN1412" i="1"/>
  <c r="AM1412" i="1"/>
  <c r="AL1412" i="1"/>
  <c r="AP1411" i="1"/>
  <c r="AO1411" i="1"/>
  <c r="AN1411" i="1"/>
  <c r="AM1411" i="1"/>
  <c r="AL1411" i="1"/>
  <c r="AP1410" i="1"/>
  <c r="AO1410" i="1"/>
  <c r="AN1410" i="1"/>
  <c r="AM1410" i="1"/>
  <c r="AL1410" i="1"/>
  <c r="AP1409" i="1"/>
  <c r="AO1409" i="1"/>
  <c r="AN1409" i="1"/>
  <c r="AM1409" i="1"/>
  <c r="AL1409" i="1"/>
  <c r="AP1408" i="1"/>
  <c r="AO1408" i="1"/>
  <c r="AN1408" i="1"/>
  <c r="AM1408" i="1"/>
  <c r="AL1408" i="1"/>
  <c r="AP1407" i="1"/>
  <c r="AO1407" i="1"/>
  <c r="AN1407" i="1"/>
  <c r="AM1407" i="1"/>
  <c r="AL1407" i="1"/>
  <c r="AP1406" i="1"/>
  <c r="AO1406" i="1"/>
  <c r="AN1406" i="1"/>
  <c r="AM1406" i="1"/>
  <c r="AL1406" i="1"/>
  <c r="AP1405" i="1"/>
  <c r="AO1405" i="1"/>
  <c r="AN1405" i="1"/>
  <c r="AM1405" i="1"/>
  <c r="AL1405" i="1"/>
  <c r="AP1404" i="1"/>
  <c r="AO1404" i="1"/>
  <c r="AN1404" i="1"/>
  <c r="AM1404" i="1"/>
  <c r="AL1404" i="1"/>
  <c r="AP1403" i="1"/>
  <c r="AO1403" i="1"/>
  <c r="AN1403" i="1"/>
  <c r="AM1403" i="1"/>
  <c r="AL1403" i="1"/>
  <c r="AP1402" i="1"/>
  <c r="AO1402" i="1"/>
  <c r="AN1402" i="1"/>
  <c r="AM1402" i="1"/>
  <c r="AL1402" i="1"/>
  <c r="AP1401" i="1"/>
  <c r="AO1401" i="1"/>
  <c r="AN1401" i="1"/>
  <c r="AM1401" i="1"/>
  <c r="AL1401" i="1"/>
  <c r="AP1400" i="1"/>
  <c r="AO1400" i="1"/>
  <c r="AN1400" i="1"/>
  <c r="AM1400" i="1"/>
  <c r="AL1400" i="1"/>
  <c r="AP1399" i="1"/>
  <c r="AO1399" i="1"/>
  <c r="AN1399" i="1"/>
  <c r="AM1399" i="1"/>
  <c r="AL1399" i="1"/>
  <c r="AP1398" i="1"/>
  <c r="AO1398" i="1"/>
  <c r="AN1398" i="1"/>
  <c r="AM1398" i="1"/>
  <c r="AL1398" i="1"/>
  <c r="AP1397" i="1"/>
  <c r="AO1397" i="1"/>
  <c r="AN1397" i="1"/>
  <c r="AM1397" i="1"/>
  <c r="AL1397" i="1"/>
  <c r="AP1396" i="1"/>
  <c r="AO1396" i="1"/>
  <c r="AN1396" i="1"/>
  <c r="AM1396" i="1"/>
  <c r="AL1396" i="1"/>
  <c r="AP1395" i="1"/>
  <c r="AO1395" i="1"/>
  <c r="AN1395" i="1"/>
  <c r="AM1395" i="1"/>
  <c r="AL1395" i="1"/>
  <c r="AP1394" i="1"/>
  <c r="AO1394" i="1"/>
  <c r="AN1394" i="1"/>
  <c r="AM1394" i="1"/>
  <c r="AL1394" i="1"/>
  <c r="AP1393" i="1"/>
  <c r="AO1393" i="1"/>
  <c r="AN1393" i="1"/>
  <c r="AM1393" i="1"/>
  <c r="AL1393" i="1"/>
  <c r="AP1392" i="1"/>
  <c r="AO1392" i="1"/>
  <c r="AN1392" i="1"/>
  <c r="AM1392" i="1"/>
  <c r="AL1392" i="1"/>
  <c r="AP1391" i="1"/>
  <c r="AO1391" i="1"/>
  <c r="AN1391" i="1"/>
  <c r="AM1391" i="1"/>
  <c r="AL1391" i="1"/>
  <c r="AP1390" i="1"/>
  <c r="AO1390" i="1"/>
  <c r="AN1390" i="1"/>
  <c r="AM1390" i="1"/>
  <c r="AL1390" i="1"/>
  <c r="AP1389" i="1"/>
  <c r="AO1389" i="1"/>
  <c r="AN1389" i="1"/>
  <c r="AM1389" i="1"/>
  <c r="AL1389" i="1"/>
  <c r="AP1388" i="1"/>
  <c r="AO1388" i="1"/>
  <c r="AN1388" i="1"/>
  <c r="AM1388" i="1"/>
  <c r="AL1388" i="1"/>
  <c r="AP1387" i="1"/>
  <c r="AO1387" i="1"/>
  <c r="AN1387" i="1"/>
  <c r="AM1387" i="1"/>
  <c r="AL1387" i="1"/>
  <c r="AP1386" i="1"/>
  <c r="AO1386" i="1"/>
  <c r="AN1386" i="1"/>
  <c r="AM1386" i="1"/>
  <c r="AL1386" i="1"/>
  <c r="AP1385" i="1"/>
  <c r="AO1385" i="1"/>
  <c r="AN1385" i="1"/>
  <c r="AM1385" i="1"/>
  <c r="AL1385" i="1"/>
  <c r="AP1384" i="1"/>
  <c r="AO1384" i="1"/>
  <c r="AN1384" i="1"/>
  <c r="AM1384" i="1"/>
  <c r="AL1384" i="1"/>
  <c r="AP1383" i="1"/>
  <c r="AO1383" i="1"/>
  <c r="AN1383" i="1"/>
  <c r="AM1383" i="1"/>
  <c r="AL1383" i="1"/>
  <c r="AP1382" i="1"/>
  <c r="AO1382" i="1"/>
  <c r="AN1382" i="1"/>
  <c r="AM1382" i="1"/>
  <c r="AL1382" i="1"/>
  <c r="AP1381" i="1"/>
  <c r="AO1381" i="1"/>
  <c r="AN1381" i="1"/>
  <c r="AM1381" i="1"/>
  <c r="AL1381" i="1"/>
  <c r="AP1380" i="1"/>
  <c r="AO1380" i="1"/>
  <c r="AN1380" i="1"/>
  <c r="AM1380" i="1"/>
  <c r="AL1380" i="1"/>
  <c r="AP1379" i="1"/>
  <c r="AO1379" i="1"/>
  <c r="AN1379" i="1"/>
  <c r="AM1379" i="1"/>
  <c r="AL1379" i="1"/>
  <c r="AP1378" i="1"/>
  <c r="AO1378" i="1"/>
  <c r="AN1378" i="1"/>
  <c r="AM1378" i="1"/>
  <c r="AL1378" i="1"/>
  <c r="AP1377" i="1"/>
  <c r="AO1377" i="1"/>
  <c r="AN1377" i="1"/>
  <c r="AM1377" i="1"/>
  <c r="AL1377" i="1"/>
  <c r="AP1376" i="1"/>
  <c r="AO1376" i="1"/>
  <c r="AN1376" i="1"/>
  <c r="AM1376" i="1"/>
  <c r="AL1376" i="1"/>
  <c r="AP1375" i="1"/>
  <c r="AO1375" i="1"/>
  <c r="AN1375" i="1"/>
  <c r="AM1375" i="1"/>
  <c r="AL1375" i="1"/>
  <c r="AP1374" i="1"/>
  <c r="AO1374" i="1"/>
  <c r="AN1374" i="1"/>
  <c r="AM1374" i="1"/>
  <c r="AL1374" i="1"/>
  <c r="AP1373" i="1"/>
  <c r="AO1373" i="1"/>
  <c r="AN1373" i="1"/>
  <c r="AM1373" i="1"/>
  <c r="AL1373" i="1"/>
  <c r="AP1372" i="1"/>
  <c r="AO1372" i="1"/>
  <c r="AN1372" i="1"/>
  <c r="AM1372" i="1"/>
  <c r="AL1372" i="1"/>
  <c r="AP1371" i="1"/>
  <c r="AO1371" i="1"/>
  <c r="AN1371" i="1"/>
  <c r="AM1371" i="1"/>
  <c r="AL1371" i="1"/>
  <c r="AP1370" i="1"/>
  <c r="AO1370" i="1"/>
  <c r="AN1370" i="1"/>
  <c r="AM1370" i="1"/>
  <c r="AL1370" i="1"/>
  <c r="AP1369" i="1"/>
  <c r="AO1369" i="1"/>
  <c r="AN1369" i="1"/>
  <c r="AM1369" i="1"/>
  <c r="AL1369" i="1"/>
  <c r="AP1368" i="1"/>
  <c r="AO1368" i="1"/>
  <c r="AN1368" i="1"/>
  <c r="AM1368" i="1"/>
  <c r="AL1368" i="1"/>
  <c r="AP1367" i="1"/>
  <c r="AO1367" i="1"/>
  <c r="AN1367" i="1"/>
  <c r="AM1367" i="1"/>
  <c r="AL1367" i="1"/>
  <c r="AP1366" i="1"/>
  <c r="AO1366" i="1"/>
  <c r="AN1366" i="1"/>
  <c r="AM1366" i="1"/>
  <c r="AL1366" i="1"/>
  <c r="AP1365" i="1"/>
  <c r="AO1365" i="1"/>
  <c r="AN1365" i="1"/>
  <c r="AM1365" i="1"/>
  <c r="AL1365" i="1"/>
  <c r="AP1364" i="1"/>
  <c r="AO1364" i="1"/>
  <c r="AN1364" i="1"/>
  <c r="AM1364" i="1"/>
  <c r="AL1364" i="1"/>
  <c r="AP1363" i="1"/>
  <c r="AO1363" i="1"/>
  <c r="AN1363" i="1"/>
  <c r="AM1363" i="1"/>
  <c r="AL1363" i="1"/>
  <c r="AP1362" i="1"/>
  <c r="AO1362" i="1"/>
  <c r="AN1362" i="1"/>
  <c r="AM1362" i="1"/>
  <c r="AL1362" i="1"/>
  <c r="AP1361" i="1"/>
  <c r="AO1361" i="1"/>
  <c r="AN1361" i="1"/>
  <c r="AM1361" i="1"/>
  <c r="AL1361" i="1"/>
  <c r="AP1360" i="1"/>
  <c r="AO1360" i="1"/>
  <c r="AN1360" i="1"/>
  <c r="AM1360" i="1"/>
  <c r="AL1360" i="1"/>
  <c r="AP1359" i="1"/>
  <c r="AO1359" i="1"/>
  <c r="AN1359" i="1"/>
  <c r="AM1359" i="1"/>
  <c r="AL1359" i="1"/>
  <c r="AP1358" i="1"/>
  <c r="AO1358" i="1"/>
  <c r="AN1358" i="1"/>
  <c r="AM1358" i="1"/>
  <c r="AL1358" i="1"/>
  <c r="AP1357" i="1"/>
  <c r="AO1357" i="1"/>
  <c r="AN1357" i="1"/>
  <c r="AM1357" i="1"/>
  <c r="AL1357" i="1"/>
  <c r="AP1356" i="1"/>
  <c r="AO1356" i="1"/>
  <c r="AN1356" i="1"/>
  <c r="AM1356" i="1"/>
  <c r="AL1356" i="1"/>
  <c r="AP1355" i="1"/>
  <c r="AO1355" i="1"/>
  <c r="AN1355" i="1"/>
  <c r="AM1355" i="1"/>
  <c r="AL1355" i="1"/>
  <c r="AP1354" i="1"/>
  <c r="AO1354" i="1"/>
  <c r="AN1354" i="1"/>
  <c r="AM1354" i="1"/>
  <c r="AL1354" i="1"/>
  <c r="AP1353" i="1"/>
  <c r="AO1353" i="1"/>
  <c r="AN1353" i="1"/>
  <c r="AM1353" i="1"/>
  <c r="AL1353" i="1"/>
  <c r="AP1352" i="1"/>
  <c r="AO1352" i="1"/>
  <c r="AN1352" i="1"/>
  <c r="AM1352" i="1"/>
  <c r="AL1352" i="1"/>
  <c r="AP1351" i="1"/>
  <c r="AO1351" i="1"/>
  <c r="AN1351" i="1"/>
  <c r="AM1351" i="1"/>
  <c r="AL1351" i="1"/>
  <c r="AP1350" i="1"/>
  <c r="AO1350" i="1"/>
  <c r="AN1350" i="1"/>
  <c r="AM1350" i="1"/>
  <c r="AL1350" i="1"/>
  <c r="AP1349" i="1"/>
  <c r="AO1349" i="1"/>
  <c r="AN1349" i="1"/>
  <c r="AM1349" i="1"/>
  <c r="AL1349" i="1"/>
  <c r="AP1348" i="1"/>
  <c r="AO1348" i="1"/>
  <c r="AN1348" i="1"/>
  <c r="AM1348" i="1"/>
  <c r="AL1348" i="1"/>
  <c r="AP1347" i="1"/>
  <c r="AO1347" i="1"/>
  <c r="AN1347" i="1"/>
  <c r="AM1347" i="1"/>
  <c r="AL1347" i="1"/>
  <c r="AP1346" i="1"/>
  <c r="AO1346" i="1"/>
  <c r="AN1346" i="1"/>
  <c r="AM1346" i="1"/>
  <c r="AL1346" i="1"/>
  <c r="AP1345" i="1"/>
  <c r="AO1345" i="1"/>
  <c r="AN1345" i="1"/>
  <c r="AM1345" i="1"/>
  <c r="AL1345" i="1"/>
  <c r="AP1344" i="1"/>
  <c r="AO1344" i="1"/>
  <c r="AN1344" i="1"/>
  <c r="AM1344" i="1"/>
  <c r="AL1344" i="1"/>
  <c r="AP1343" i="1"/>
  <c r="AO1343" i="1"/>
  <c r="AN1343" i="1"/>
  <c r="AM1343" i="1"/>
  <c r="AL1343" i="1"/>
  <c r="AP1342" i="1"/>
  <c r="AO1342" i="1"/>
  <c r="AN1342" i="1"/>
  <c r="AM1342" i="1"/>
  <c r="AL1342" i="1"/>
  <c r="AP1341" i="1"/>
  <c r="AO1341" i="1"/>
  <c r="AN1341" i="1"/>
  <c r="AM1341" i="1"/>
  <c r="AL1341" i="1"/>
  <c r="AP1340" i="1"/>
  <c r="AO1340" i="1"/>
  <c r="AN1340" i="1"/>
  <c r="AM1340" i="1"/>
  <c r="AL1340" i="1"/>
  <c r="AP1339" i="1"/>
  <c r="AO1339" i="1"/>
  <c r="AN1339" i="1"/>
  <c r="AM1339" i="1"/>
  <c r="AL1339" i="1"/>
  <c r="AP1338" i="1"/>
  <c r="AO1338" i="1"/>
  <c r="AN1338" i="1"/>
  <c r="AM1338" i="1"/>
  <c r="AL1338" i="1"/>
  <c r="AP1337" i="1"/>
  <c r="AO1337" i="1"/>
  <c r="AN1337" i="1"/>
  <c r="AM1337" i="1"/>
  <c r="AL1337" i="1"/>
  <c r="AP1336" i="1"/>
  <c r="AO1336" i="1"/>
  <c r="AN1336" i="1"/>
  <c r="AM1336" i="1"/>
  <c r="AL1336" i="1"/>
  <c r="AP1335" i="1"/>
  <c r="AO1335" i="1"/>
  <c r="AN1335" i="1"/>
  <c r="AM1335" i="1"/>
  <c r="AL1335" i="1"/>
  <c r="AP1334" i="1"/>
  <c r="AO1334" i="1"/>
  <c r="AN1334" i="1"/>
  <c r="AM1334" i="1"/>
  <c r="AL1334" i="1"/>
  <c r="AP1333" i="1"/>
  <c r="AO1333" i="1"/>
  <c r="AN1333" i="1"/>
  <c r="AM1333" i="1"/>
  <c r="AL1333" i="1"/>
  <c r="AP1332" i="1"/>
  <c r="AO1332" i="1"/>
  <c r="AN1332" i="1"/>
  <c r="AM1332" i="1"/>
  <c r="AL1332" i="1"/>
  <c r="AP1331" i="1"/>
  <c r="AO1331" i="1"/>
  <c r="AN1331" i="1"/>
  <c r="AM1331" i="1"/>
  <c r="AL1331" i="1"/>
  <c r="AP1330" i="1"/>
  <c r="AO1330" i="1"/>
  <c r="AN1330" i="1"/>
  <c r="AM1330" i="1"/>
  <c r="AL1330" i="1"/>
  <c r="AP1329" i="1"/>
  <c r="AO1329" i="1"/>
  <c r="AN1329" i="1"/>
  <c r="AM1329" i="1"/>
  <c r="AL1329" i="1"/>
  <c r="AP1328" i="1"/>
  <c r="AO1328" i="1"/>
  <c r="AN1328" i="1"/>
  <c r="AM1328" i="1"/>
  <c r="AL1328" i="1"/>
  <c r="AP1327" i="1"/>
  <c r="AO1327" i="1"/>
  <c r="AN1327" i="1"/>
  <c r="AM1327" i="1"/>
  <c r="AL1327" i="1"/>
  <c r="AP1326" i="1"/>
  <c r="AO1326" i="1"/>
  <c r="AN1326" i="1"/>
  <c r="AM1326" i="1"/>
  <c r="AL1326" i="1"/>
  <c r="AP1325" i="1"/>
  <c r="AO1325" i="1"/>
  <c r="AN1325" i="1"/>
  <c r="AM1325" i="1"/>
  <c r="AL1325" i="1"/>
  <c r="AP1324" i="1"/>
  <c r="AO1324" i="1"/>
  <c r="AN1324" i="1"/>
  <c r="AM1324" i="1"/>
  <c r="AL1324" i="1"/>
  <c r="AP1323" i="1"/>
  <c r="AO1323" i="1"/>
  <c r="AN1323" i="1"/>
  <c r="AM1323" i="1"/>
  <c r="AL1323" i="1"/>
  <c r="AP1322" i="1"/>
  <c r="AO1322" i="1"/>
  <c r="AN1322" i="1"/>
  <c r="AM1322" i="1"/>
  <c r="AL1322" i="1"/>
  <c r="AP1321" i="1"/>
  <c r="AO1321" i="1"/>
  <c r="AN1321" i="1"/>
  <c r="AM1321" i="1"/>
  <c r="AL1321" i="1"/>
  <c r="AP1320" i="1"/>
  <c r="AO1320" i="1"/>
  <c r="AN1320" i="1"/>
  <c r="AM1320" i="1"/>
  <c r="AL1320" i="1"/>
  <c r="AP1319" i="1"/>
  <c r="AO1319" i="1"/>
  <c r="AN1319" i="1"/>
  <c r="AM1319" i="1"/>
  <c r="AL1319" i="1"/>
  <c r="AP1318" i="1"/>
  <c r="AO1318" i="1"/>
  <c r="AN1318" i="1"/>
  <c r="AM1318" i="1"/>
  <c r="AL1318" i="1"/>
  <c r="AP1317" i="1"/>
  <c r="AO1317" i="1"/>
  <c r="AN1317" i="1"/>
  <c r="AM1317" i="1"/>
  <c r="AL1317" i="1"/>
  <c r="AP1316" i="1"/>
  <c r="AO1316" i="1"/>
  <c r="AN1316" i="1"/>
  <c r="AM1316" i="1"/>
  <c r="AL1316" i="1"/>
  <c r="AP1315" i="1"/>
  <c r="AO1315" i="1"/>
  <c r="AN1315" i="1"/>
  <c r="AM1315" i="1"/>
  <c r="AL1315" i="1"/>
  <c r="AP1314" i="1"/>
  <c r="AO1314" i="1"/>
  <c r="AN1314" i="1"/>
  <c r="AM1314" i="1"/>
  <c r="AL1314" i="1"/>
  <c r="AP1313" i="1"/>
  <c r="AO1313" i="1"/>
  <c r="AN1313" i="1"/>
  <c r="AM1313" i="1"/>
  <c r="AL1313" i="1"/>
  <c r="AP1312" i="1"/>
  <c r="AO1312" i="1"/>
  <c r="AN1312" i="1"/>
  <c r="AM1312" i="1"/>
  <c r="AL1312" i="1"/>
  <c r="AP1311" i="1"/>
  <c r="AO1311" i="1"/>
  <c r="AN1311" i="1"/>
  <c r="AM1311" i="1"/>
  <c r="AL1311" i="1"/>
  <c r="AP1310" i="1"/>
  <c r="AO1310" i="1"/>
  <c r="AN1310" i="1"/>
  <c r="AM1310" i="1"/>
  <c r="AL1310" i="1"/>
  <c r="AP1309" i="1"/>
  <c r="AO1309" i="1"/>
  <c r="AN1309" i="1"/>
  <c r="AM1309" i="1"/>
  <c r="AL1309" i="1"/>
  <c r="AP1308" i="1"/>
  <c r="AO1308" i="1"/>
  <c r="AN1308" i="1"/>
  <c r="AM1308" i="1"/>
  <c r="AL1308" i="1"/>
  <c r="AP1307" i="1"/>
  <c r="AO1307" i="1"/>
  <c r="AN1307" i="1"/>
  <c r="AM1307" i="1"/>
  <c r="AL1307" i="1"/>
  <c r="AP1306" i="1"/>
  <c r="AO1306" i="1"/>
  <c r="AN1306" i="1"/>
  <c r="AM1306" i="1"/>
  <c r="AL1306" i="1"/>
  <c r="AP1305" i="1"/>
  <c r="AO1305" i="1"/>
  <c r="AN1305" i="1"/>
  <c r="AM1305" i="1"/>
  <c r="AL1305" i="1"/>
  <c r="AP1304" i="1"/>
  <c r="AO1304" i="1"/>
  <c r="AN1304" i="1"/>
  <c r="AM1304" i="1"/>
  <c r="AL1304" i="1"/>
  <c r="AP1303" i="1"/>
  <c r="AO1303" i="1"/>
  <c r="AN1303" i="1"/>
  <c r="AM1303" i="1"/>
  <c r="AL1303" i="1"/>
  <c r="AP1302" i="1"/>
  <c r="AO1302" i="1"/>
  <c r="AN1302" i="1"/>
  <c r="AM1302" i="1"/>
  <c r="AL1302" i="1"/>
  <c r="AP1301" i="1"/>
  <c r="AO1301" i="1"/>
  <c r="AN1301" i="1"/>
  <c r="AM1301" i="1"/>
  <c r="AL1301" i="1"/>
  <c r="AP1300" i="1"/>
  <c r="AO1300" i="1"/>
  <c r="AN1300" i="1"/>
  <c r="AM1300" i="1"/>
  <c r="AL1300" i="1"/>
  <c r="AP1299" i="1"/>
  <c r="AO1299" i="1"/>
  <c r="AN1299" i="1"/>
  <c r="AM1299" i="1"/>
  <c r="AL1299" i="1"/>
  <c r="AP1298" i="1"/>
  <c r="AO1298" i="1"/>
  <c r="AN1298" i="1"/>
  <c r="AM1298" i="1"/>
  <c r="AL1298" i="1"/>
  <c r="AP1297" i="1"/>
  <c r="AO1297" i="1"/>
  <c r="AN1297" i="1"/>
  <c r="AM1297" i="1"/>
  <c r="AL1297" i="1"/>
  <c r="AP1296" i="1"/>
  <c r="AO1296" i="1"/>
  <c r="AN1296" i="1"/>
  <c r="AM1296" i="1"/>
  <c r="AL1296" i="1"/>
  <c r="AP1295" i="1"/>
  <c r="AO1295" i="1"/>
  <c r="AN1295" i="1"/>
  <c r="AM1295" i="1"/>
  <c r="AL1295" i="1"/>
  <c r="AP1294" i="1"/>
  <c r="AO1294" i="1"/>
  <c r="AN1294" i="1"/>
  <c r="AM1294" i="1"/>
  <c r="AL1294" i="1"/>
  <c r="AP1293" i="1"/>
  <c r="AO1293" i="1"/>
  <c r="AN1293" i="1"/>
  <c r="AM1293" i="1"/>
  <c r="AL1293" i="1"/>
  <c r="AP1292" i="1"/>
  <c r="AO1292" i="1"/>
  <c r="AN1292" i="1"/>
  <c r="AM1292" i="1"/>
  <c r="AL1292" i="1"/>
  <c r="AP1291" i="1"/>
  <c r="AO1291" i="1"/>
  <c r="AN1291" i="1"/>
  <c r="AM1291" i="1"/>
  <c r="AL1291" i="1"/>
  <c r="AP1290" i="1"/>
  <c r="AO1290" i="1"/>
  <c r="AN1290" i="1"/>
  <c r="AM1290" i="1"/>
  <c r="AL1290" i="1"/>
  <c r="AP1289" i="1"/>
  <c r="AO1289" i="1"/>
  <c r="AN1289" i="1"/>
  <c r="AM1289" i="1"/>
  <c r="AL1289" i="1"/>
  <c r="AP1288" i="1"/>
  <c r="AO1288" i="1"/>
  <c r="AN1288" i="1"/>
  <c r="AM1288" i="1"/>
  <c r="AL1288" i="1"/>
  <c r="AP1287" i="1"/>
  <c r="AO1287" i="1"/>
  <c r="AN1287" i="1"/>
  <c r="AM1287" i="1"/>
  <c r="AL1287" i="1"/>
  <c r="AP1286" i="1"/>
  <c r="AO1286" i="1"/>
  <c r="AN1286" i="1"/>
  <c r="AM1286" i="1"/>
  <c r="AL1286" i="1"/>
  <c r="AP1285" i="1"/>
  <c r="AO1285" i="1"/>
  <c r="AN1285" i="1"/>
  <c r="AM1285" i="1"/>
  <c r="AL1285" i="1"/>
  <c r="AP1284" i="1"/>
  <c r="AO1284" i="1"/>
  <c r="AN1284" i="1"/>
  <c r="AM1284" i="1"/>
  <c r="AL1284" i="1"/>
  <c r="AP1283" i="1"/>
  <c r="AO1283" i="1"/>
  <c r="AN1283" i="1"/>
  <c r="AM1283" i="1"/>
  <c r="AL1283" i="1"/>
  <c r="AP1282" i="1"/>
  <c r="AO1282" i="1"/>
  <c r="AN1282" i="1"/>
  <c r="AM1282" i="1"/>
  <c r="AL1282" i="1"/>
  <c r="AP1281" i="1"/>
  <c r="AO1281" i="1"/>
  <c r="AN1281" i="1"/>
  <c r="AM1281" i="1"/>
  <c r="AL1281" i="1"/>
  <c r="AP1280" i="1"/>
  <c r="AO1280" i="1"/>
  <c r="AN1280" i="1"/>
  <c r="AM1280" i="1"/>
  <c r="AL1280" i="1"/>
  <c r="AP1279" i="1"/>
  <c r="AO1279" i="1"/>
  <c r="AN1279" i="1"/>
  <c r="AM1279" i="1"/>
  <c r="AL1279" i="1"/>
  <c r="AP1278" i="1"/>
  <c r="AO1278" i="1"/>
  <c r="AN1278" i="1"/>
  <c r="AM1278" i="1"/>
  <c r="AL1278" i="1"/>
  <c r="AP1277" i="1"/>
  <c r="AO1277" i="1"/>
  <c r="AN1277" i="1"/>
  <c r="AM1277" i="1"/>
  <c r="AL1277" i="1"/>
  <c r="AP1276" i="1"/>
  <c r="AO1276" i="1"/>
  <c r="AN1276" i="1"/>
  <c r="AM1276" i="1"/>
  <c r="AL1276" i="1"/>
  <c r="AP1275" i="1"/>
  <c r="AO1275" i="1"/>
  <c r="AN1275" i="1"/>
  <c r="AM1275" i="1"/>
  <c r="AL1275" i="1"/>
  <c r="AP1274" i="1"/>
  <c r="AO1274" i="1"/>
  <c r="AN1274" i="1"/>
  <c r="AM1274" i="1"/>
  <c r="AL1274" i="1"/>
  <c r="AP1273" i="1"/>
  <c r="AO1273" i="1"/>
  <c r="AN1273" i="1"/>
  <c r="AM1273" i="1"/>
  <c r="AL1273" i="1"/>
  <c r="AP1272" i="1"/>
  <c r="AO1272" i="1"/>
  <c r="AN1272" i="1"/>
  <c r="AM1272" i="1"/>
  <c r="AL1272" i="1"/>
  <c r="AP1271" i="1"/>
  <c r="AO1271" i="1"/>
  <c r="AN1271" i="1"/>
  <c r="AM1271" i="1"/>
  <c r="AL1271" i="1"/>
  <c r="AP1270" i="1"/>
  <c r="AO1270" i="1"/>
  <c r="AN1270" i="1"/>
  <c r="AM1270" i="1"/>
  <c r="AL1270" i="1"/>
  <c r="AP1269" i="1"/>
  <c r="AO1269" i="1"/>
  <c r="AN1269" i="1"/>
  <c r="AM1269" i="1"/>
  <c r="AL1269" i="1"/>
  <c r="AP1268" i="1"/>
  <c r="AO1268" i="1"/>
  <c r="AN1268" i="1"/>
  <c r="AM1268" i="1"/>
  <c r="AL1268" i="1"/>
  <c r="AP1267" i="1"/>
  <c r="AO1267" i="1"/>
  <c r="AN1267" i="1"/>
  <c r="AM1267" i="1"/>
  <c r="AL1267" i="1"/>
  <c r="AP1266" i="1"/>
  <c r="AO1266" i="1"/>
  <c r="AN1266" i="1"/>
  <c r="AM1266" i="1"/>
  <c r="AL1266" i="1"/>
  <c r="AP1265" i="1"/>
  <c r="AO1265" i="1"/>
  <c r="AN1265" i="1"/>
  <c r="AM1265" i="1"/>
  <c r="AL1265" i="1"/>
  <c r="AP1264" i="1"/>
  <c r="AO1264" i="1"/>
  <c r="AN1264" i="1"/>
  <c r="AM1264" i="1"/>
  <c r="AL1264" i="1"/>
  <c r="AP1263" i="1"/>
  <c r="AO1263" i="1"/>
  <c r="AN1263" i="1"/>
  <c r="AM1263" i="1"/>
  <c r="AL1263" i="1"/>
  <c r="AP1262" i="1"/>
  <c r="AO1262" i="1"/>
  <c r="AN1262" i="1"/>
  <c r="AM1262" i="1"/>
  <c r="AL1262" i="1"/>
  <c r="AP1261" i="1"/>
  <c r="AO1261" i="1"/>
  <c r="AN1261" i="1"/>
  <c r="AM1261" i="1"/>
  <c r="AL1261" i="1"/>
  <c r="AP1260" i="1"/>
  <c r="AO1260" i="1"/>
  <c r="AN1260" i="1"/>
  <c r="AM1260" i="1"/>
  <c r="AL1260" i="1"/>
  <c r="AP1259" i="1"/>
  <c r="AO1259" i="1"/>
  <c r="AN1259" i="1"/>
  <c r="AM1259" i="1"/>
  <c r="AL1259" i="1"/>
  <c r="AP1258" i="1"/>
  <c r="AO1258" i="1"/>
  <c r="AN1258" i="1"/>
  <c r="AM1258" i="1"/>
  <c r="AL1258" i="1"/>
  <c r="AP1257" i="1"/>
  <c r="AO1257" i="1"/>
  <c r="AN1257" i="1"/>
  <c r="AM1257" i="1"/>
  <c r="AL1257" i="1"/>
  <c r="AP1256" i="1"/>
  <c r="AO1256" i="1"/>
  <c r="AN1256" i="1"/>
  <c r="AM1256" i="1"/>
  <c r="AL1256" i="1"/>
  <c r="AP1255" i="1"/>
  <c r="AO1255" i="1"/>
  <c r="AN1255" i="1"/>
  <c r="AM1255" i="1"/>
  <c r="AL1255" i="1"/>
  <c r="AP1254" i="1"/>
  <c r="AO1254" i="1"/>
  <c r="AN1254" i="1"/>
  <c r="AM1254" i="1"/>
  <c r="AL1254" i="1"/>
  <c r="AP1253" i="1"/>
  <c r="AO1253" i="1"/>
  <c r="AN1253" i="1"/>
  <c r="AM1253" i="1"/>
  <c r="AL1253" i="1"/>
  <c r="AP1252" i="1"/>
  <c r="AO1252" i="1"/>
  <c r="AN1252" i="1"/>
  <c r="AM1252" i="1"/>
  <c r="AL1252" i="1"/>
  <c r="AP1251" i="1"/>
  <c r="AO1251" i="1"/>
  <c r="AN1251" i="1"/>
  <c r="AM1251" i="1"/>
  <c r="AL1251" i="1"/>
  <c r="AP1250" i="1"/>
  <c r="AO1250" i="1"/>
  <c r="AN1250" i="1"/>
  <c r="AM1250" i="1"/>
  <c r="AL1250" i="1"/>
  <c r="AP1249" i="1"/>
  <c r="AO1249" i="1"/>
  <c r="AN1249" i="1"/>
  <c r="AM1249" i="1"/>
  <c r="AL1249" i="1"/>
  <c r="AP1248" i="1"/>
  <c r="AO1248" i="1"/>
  <c r="AN1248" i="1"/>
  <c r="AM1248" i="1"/>
  <c r="AL1248" i="1"/>
  <c r="AP1247" i="1"/>
  <c r="AO1247" i="1"/>
  <c r="AN1247" i="1"/>
  <c r="AM1247" i="1"/>
  <c r="AL1247" i="1"/>
  <c r="AP1246" i="1"/>
  <c r="AO1246" i="1"/>
  <c r="AN1246" i="1"/>
  <c r="AM1246" i="1"/>
  <c r="AL1246" i="1"/>
  <c r="AP1245" i="1"/>
  <c r="AO1245" i="1"/>
  <c r="AN1245" i="1"/>
  <c r="AM1245" i="1"/>
  <c r="AL1245" i="1"/>
  <c r="AP1244" i="1"/>
  <c r="AO1244" i="1"/>
  <c r="AN1244" i="1"/>
  <c r="AM1244" i="1"/>
  <c r="AL1244" i="1"/>
  <c r="AP1243" i="1"/>
  <c r="AO1243" i="1"/>
  <c r="AN1243" i="1"/>
  <c r="AM1243" i="1"/>
  <c r="AL1243" i="1"/>
  <c r="AP1242" i="1"/>
  <c r="AO1242" i="1"/>
  <c r="AN1242" i="1"/>
  <c r="AM1242" i="1"/>
  <c r="AL1242" i="1"/>
  <c r="AP1241" i="1"/>
  <c r="AO1241" i="1"/>
  <c r="AN1241" i="1"/>
  <c r="AM1241" i="1"/>
  <c r="AL1241" i="1"/>
  <c r="AP1240" i="1"/>
  <c r="AO1240" i="1"/>
  <c r="AN1240" i="1"/>
  <c r="AM1240" i="1"/>
  <c r="AL1240" i="1"/>
  <c r="AP1239" i="1"/>
  <c r="AO1239" i="1"/>
  <c r="AN1239" i="1"/>
  <c r="AM1239" i="1"/>
  <c r="AL1239" i="1"/>
  <c r="AP1238" i="1"/>
  <c r="AO1238" i="1"/>
  <c r="AN1238" i="1"/>
  <c r="AM1238" i="1"/>
  <c r="AL1238" i="1"/>
  <c r="AP1237" i="1"/>
  <c r="AO1237" i="1"/>
  <c r="AN1237" i="1"/>
  <c r="AM1237" i="1"/>
  <c r="AL1237" i="1"/>
  <c r="AP1236" i="1"/>
  <c r="AO1236" i="1"/>
  <c r="AN1236" i="1"/>
  <c r="AM1236" i="1"/>
  <c r="AL1236" i="1"/>
  <c r="AP1235" i="1"/>
  <c r="AO1235" i="1"/>
  <c r="AN1235" i="1"/>
  <c r="AM1235" i="1"/>
  <c r="AL1235" i="1"/>
  <c r="AP1234" i="1"/>
  <c r="AO1234" i="1"/>
  <c r="AN1234" i="1"/>
  <c r="AM1234" i="1"/>
  <c r="AL1234" i="1"/>
  <c r="AP1233" i="1"/>
  <c r="AO1233" i="1"/>
  <c r="AN1233" i="1"/>
  <c r="AM1233" i="1"/>
  <c r="AL1233" i="1"/>
  <c r="AP1232" i="1"/>
  <c r="AO1232" i="1"/>
  <c r="AN1232" i="1"/>
  <c r="AM1232" i="1"/>
  <c r="AL1232" i="1"/>
  <c r="AP1231" i="1"/>
  <c r="AO1231" i="1"/>
  <c r="AN1231" i="1"/>
  <c r="AM1231" i="1"/>
  <c r="AL1231" i="1"/>
  <c r="AP1230" i="1"/>
  <c r="AO1230" i="1"/>
  <c r="AN1230" i="1"/>
  <c r="AM1230" i="1"/>
  <c r="AL1230" i="1"/>
  <c r="AP1229" i="1"/>
  <c r="AO1229" i="1"/>
  <c r="AN1229" i="1"/>
  <c r="AM1229" i="1"/>
  <c r="AL1229" i="1"/>
  <c r="AP1228" i="1"/>
  <c r="AO1228" i="1"/>
  <c r="AN1228" i="1"/>
  <c r="AM1228" i="1"/>
  <c r="AL1228" i="1"/>
  <c r="AP1227" i="1"/>
  <c r="AO1227" i="1"/>
  <c r="AN1227" i="1"/>
  <c r="AM1227" i="1"/>
  <c r="AL1227" i="1"/>
  <c r="AP1226" i="1"/>
  <c r="AO1226" i="1"/>
  <c r="AN1226" i="1"/>
  <c r="AM1226" i="1"/>
  <c r="AL1226" i="1"/>
  <c r="AP1225" i="1"/>
  <c r="AO1225" i="1"/>
  <c r="AN1225" i="1"/>
  <c r="AM1225" i="1"/>
  <c r="AL1225" i="1"/>
  <c r="AP1224" i="1"/>
  <c r="AO1224" i="1"/>
  <c r="AN1224" i="1"/>
  <c r="AM1224" i="1"/>
  <c r="AL1224" i="1"/>
  <c r="AP1223" i="1"/>
  <c r="AO1223" i="1"/>
  <c r="AN1223" i="1"/>
  <c r="AM1223" i="1"/>
  <c r="AL1223" i="1"/>
  <c r="AP1222" i="1"/>
  <c r="AO1222" i="1"/>
  <c r="AN1222" i="1"/>
  <c r="AM1222" i="1"/>
  <c r="AL1222" i="1"/>
  <c r="AP1221" i="1"/>
  <c r="AO1221" i="1"/>
  <c r="AN1221" i="1"/>
  <c r="AM1221" i="1"/>
  <c r="AL1221" i="1"/>
  <c r="AP1220" i="1"/>
  <c r="AO1220" i="1"/>
  <c r="AN1220" i="1"/>
  <c r="AM1220" i="1"/>
  <c r="AL1220" i="1"/>
  <c r="AP1219" i="1"/>
  <c r="AO1219" i="1"/>
  <c r="AN1219" i="1"/>
  <c r="AM1219" i="1"/>
  <c r="AL1219" i="1"/>
  <c r="AP1218" i="1"/>
  <c r="AO1218" i="1"/>
  <c r="AN1218" i="1"/>
  <c r="AM1218" i="1"/>
  <c r="AL1218" i="1"/>
  <c r="AP1217" i="1"/>
  <c r="AO1217" i="1"/>
  <c r="AN1217" i="1"/>
  <c r="AM1217" i="1"/>
  <c r="AL1217" i="1"/>
  <c r="AP1216" i="1"/>
  <c r="AO1216" i="1"/>
  <c r="AN1216" i="1"/>
  <c r="AM1216" i="1"/>
  <c r="AL1216" i="1"/>
  <c r="AP1215" i="1"/>
  <c r="AO1215" i="1"/>
  <c r="AN1215" i="1"/>
  <c r="AM1215" i="1"/>
  <c r="AL1215" i="1"/>
  <c r="AP1214" i="1"/>
  <c r="AO1214" i="1"/>
  <c r="AN1214" i="1"/>
  <c r="AM1214" i="1"/>
  <c r="AL1214" i="1"/>
  <c r="AP1213" i="1"/>
  <c r="AO1213" i="1"/>
  <c r="AN1213" i="1"/>
  <c r="AM1213" i="1"/>
  <c r="AL1213" i="1"/>
  <c r="AP1212" i="1"/>
  <c r="AO1212" i="1"/>
  <c r="AN1212" i="1"/>
  <c r="AM1212" i="1"/>
  <c r="AL1212" i="1"/>
  <c r="AP1211" i="1"/>
  <c r="AO1211" i="1"/>
  <c r="AN1211" i="1"/>
  <c r="AM1211" i="1"/>
  <c r="AL1211" i="1"/>
  <c r="AP1210" i="1"/>
  <c r="AO1210" i="1"/>
  <c r="AN1210" i="1"/>
  <c r="AM1210" i="1"/>
  <c r="AL1210" i="1"/>
  <c r="AP1209" i="1"/>
  <c r="AO1209" i="1"/>
  <c r="AN1209" i="1"/>
  <c r="AM1209" i="1"/>
  <c r="AL1209" i="1"/>
  <c r="AP1208" i="1"/>
  <c r="AO1208" i="1"/>
  <c r="AN1208" i="1"/>
  <c r="AM1208" i="1"/>
  <c r="AL1208" i="1"/>
  <c r="AP1207" i="1"/>
  <c r="AO1207" i="1"/>
  <c r="AN1207" i="1"/>
  <c r="AM1207" i="1"/>
  <c r="AL1207" i="1"/>
  <c r="AP1206" i="1"/>
  <c r="AO1206" i="1"/>
  <c r="AN1206" i="1"/>
  <c r="AM1206" i="1"/>
  <c r="AL1206" i="1"/>
  <c r="AP1205" i="1"/>
  <c r="AO1205" i="1"/>
  <c r="AN1205" i="1"/>
  <c r="AM1205" i="1"/>
  <c r="AL1205" i="1"/>
  <c r="AP1204" i="1"/>
  <c r="AO1204" i="1"/>
  <c r="AN1204" i="1"/>
  <c r="AM1204" i="1"/>
  <c r="AL1204" i="1"/>
  <c r="AP1203" i="1"/>
  <c r="AO1203" i="1"/>
  <c r="AN1203" i="1"/>
  <c r="AM1203" i="1"/>
  <c r="AL1203" i="1"/>
  <c r="AP1202" i="1"/>
  <c r="AO1202" i="1"/>
  <c r="AN1202" i="1"/>
  <c r="AM1202" i="1"/>
  <c r="AL1202" i="1"/>
  <c r="AP1201" i="1"/>
  <c r="AO1201" i="1"/>
  <c r="AN1201" i="1"/>
  <c r="AM1201" i="1"/>
  <c r="AL1201" i="1"/>
  <c r="AP1200" i="1"/>
  <c r="AO1200" i="1"/>
  <c r="AN1200" i="1"/>
  <c r="AM1200" i="1"/>
  <c r="AL1200" i="1"/>
  <c r="AP1199" i="1"/>
  <c r="AO1199" i="1"/>
  <c r="AN1199" i="1"/>
  <c r="AM1199" i="1"/>
  <c r="AL1199" i="1"/>
  <c r="AP1198" i="1"/>
  <c r="AO1198" i="1"/>
  <c r="AN1198" i="1"/>
  <c r="AM1198" i="1"/>
  <c r="AL1198" i="1"/>
  <c r="AP1197" i="1"/>
  <c r="AO1197" i="1"/>
  <c r="AN1197" i="1"/>
  <c r="AM1197" i="1"/>
  <c r="AL1197" i="1"/>
  <c r="AP1196" i="1"/>
  <c r="AO1196" i="1"/>
  <c r="AN1196" i="1"/>
  <c r="AM1196" i="1"/>
  <c r="AL1196" i="1"/>
  <c r="AP1195" i="1"/>
  <c r="AO1195" i="1"/>
  <c r="AN1195" i="1"/>
  <c r="AM1195" i="1"/>
  <c r="AL1195" i="1"/>
  <c r="AP1194" i="1"/>
  <c r="AO1194" i="1"/>
  <c r="AN1194" i="1"/>
  <c r="AM1194" i="1"/>
  <c r="AL1194" i="1"/>
  <c r="AP1193" i="1"/>
  <c r="AO1193" i="1"/>
  <c r="AN1193" i="1"/>
  <c r="AM1193" i="1"/>
  <c r="AL1193" i="1"/>
  <c r="AP1192" i="1"/>
  <c r="AO1192" i="1"/>
  <c r="AN1192" i="1"/>
  <c r="AM1192" i="1"/>
  <c r="AL1192" i="1"/>
  <c r="AP1191" i="1"/>
  <c r="AO1191" i="1"/>
  <c r="AN1191" i="1"/>
  <c r="AM1191" i="1"/>
  <c r="AL1191" i="1"/>
  <c r="AP1190" i="1"/>
  <c r="AO1190" i="1"/>
  <c r="AN1190" i="1"/>
  <c r="AM1190" i="1"/>
  <c r="AL1190" i="1"/>
  <c r="AP1189" i="1"/>
  <c r="AO1189" i="1"/>
  <c r="AN1189" i="1"/>
  <c r="AM1189" i="1"/>
  <c r="AL1189" i="1"/>
  <c r="AP1188" i="1"/>
  <c r="AO1188" i="1"/>
  <c r="AN1188" i="1"/>
  <c r="AM1188" i="1"/>
  <c r="AL1188" i="1"/>
  <c r="AP1187" i="1"/>
  <c r="AO1187" i="1"/>
  <c r="AN1187" i="1"/>
  <c r="AM1187" i="1"/>
  <c r="AL1187" i="1"/>
  <c r="AP1186" i="1"/>
  <c r="AO1186" i="1"/>
  <c r="AN1186" i="1"/>
  <c r="AM1186" i="1"/>
  <c r="AL1186" i="1"/>
  <c r="AP1185" i="1"/>
  <c r="AO1185" i="1"/>
  <c r="AN1185" i="1"/>
  <c r="AM1185" i="1"/>
  <c r="AL1185" i="1"/>
  <c r="AP1184" i="1"/>
  <c r="AO1184" i="1"/>
  <c r="AN1184" i="1"/>
  <c r="AM1184" i="1"/>
  <c r="AL1184" i="1"/>
  <c r="AP1183" i="1"/>
  <c r="AO1183" i="1"/>
  <c r="AN1183" i="1"/>
  <c r="AM1183" i="1"/>
  <c r="AL1183" i="1"/>
  <c r="AP1182" i="1"/>
  <c r="AO1182" i="1"/>
  <c r="AN1182" i="1"/>
  <c r="AM1182" i="1"/>
  <c r="AL1182" i="1"/>
  <c r="AP1181" i="1"/>
  <c r="AO1181" i="1"/>
  <c r="AN1181" i="1"/>
  <c r="AM1181" i="1"/>
  <c r="AL1181" i="1"/>
  <c r="AP1180" i="1"/>
  <c r="AO1180" i="1"/>
  <c r="AN1180" i="1"/>
  <c r="AM1180" i="1"/>
  <c r="AL1180" i="1"/>
  <c r="AP1179" i="1"/>
  <c r="AO1179" i="1"/>
  <c r="AN1179" i="1"/>
  <c r="AM1179" i="1"/>
  <c r="AL1179" i="1"/>
  <c r="AP1178" i="1"/>
  <c r="AO1178" i="1"/>
  <c r="AN1178" i="1"/>
  <c r="AM1178" i="1"/>
  <c r="AL1178" i="1"/>
  <c r="AP1177" i="1"/>
  <c r="AO1177" i="1"/>
  <c r="AN1177" i="1"/>
  <c r="AM1177" i="1"/>
  <c r="AL1177" i="1"/>
  <c r="AP1176" i="1"/>
  <c r="AO1176" i="1"/>
  <c r="AN1176" i="1"/>
  <c r="AM1176" i="1"/>
  <c r="AL1176" i="1"/>
  <c r="AP1175" i="1"/>
  <c r="AO1175" i="1"/>
  <c r="AN1175" i="1"/>
  <c r="AM1175" i="1"/>
  <c r="AL1175" i="1"/>
  <c r="AP1174" i="1"/>
  <c r="AO1174" i="1"/>
  <c r="AN1174" i="1"/>
  <c r="AM1174" i="1"/>
  <c r="AL1174" i="1"/>
  <c r="AP1173" i="1"/>
  <c r="AO1173" i="1"/>
  <c r="AN1173" i="1"/>
  <c r="AM1173" i="1"/>
  <c r="AL1173" i="1"/>
  <c r="AP1172" i="1"/>
  <c r="AO1172" i="1"/>
  <c r="AN1172" i="1"/>
  <c r="AM1172" i="1"/>
  <c r="AL1172" i="1"/>
  <c r="AP1171" i="1"/>
  <c r="AO1171" i="1"/>
  <c r="AN1171" i="1"/>
  <c r="AM1171" i="1"/>
  <c r="AL1171" i="1"/>
  <c r="AP1170" i="1"/>
  <c r="AO1170" i="1"/>
  <c r="AN1170" i="1"/>
  <c r="AM1170" i="1"/>
  <c r="AL1170" i="1"/>
  <c r="AP1169" i="1"/>
  <c r="AO1169" i="1"/>
  <c r="AN1169" i="1"/>
  <c r="AM1169" i="1"/>
  <c r="AL1169" i="1"/>
  <c r="AP1168" i="1"/>
  <c r="AO1168" i="1"/>
  <c r="AN1168" i="1"/>
  <c r="AM1168" i="1"/>
  <c r="AL1168" i="1"/>
  <c r="AP1167" i="1"/>
  <c r="AO1167" i="1"/>
  <c r="AN1167" i="1"/>
  <c r="AM1167" i="1"/>
  <c r="AL1167" i="1"/>
  <c r="AP1166" i="1"/>
  <c r="AO1166" i="1"/>
  <c r="AN1166" i="1"/>
  <c r="AM1166" i="1"/>
  <c r="AL1166" i="1"/>
  <c r="AP1165" i="1"/>
  <c r="AO1165" i="1"/>
  <c r="AN1165" i="1"/>
  <c r="AM1165" i="1"/>
  <c r="AL1165" i="1"/>
  <c r="AP1164" i="1"/>
  <c r="AO1164" i="1"/>
  <c r="AN1164" i="1"/>
  <c r="AM1164" i="1"/>
  <c r="AL1164" i="1"/>
  <c r="AP1163" i="1"/>
  <c r="AO1163" i="1"/>
  <c r="AN1163" i="1"/>
  <c r="AM1163" i="1"/>
  <c r="AL1163" i="1"/>
  <c r="AP1162" i="1"/>
  <c r="AO1162" i="1"/>
  <c r="AN1162" i="1"/>
  <c r="AM1162" i="1"/>
  <c r="AL1162" i="1"/>
  <c r="AP1161" i="1"/>
  <c r="AO1161" i="1"/>
  <c r="AN1161" i="1"/>
  <c r="AM1161" i="1"/>
  <c r="AL1161" i="1"/>
  <c r="AP1160" i="1"/>
  <c r="AO1160" i="1"/>
  <c r="AN1160" i="1"/>
  <c r="AM1160" i="1"/>
  <c r="AL1160" i="1"/>
  <c r="AP1159" i="1"/>
  <c r="AO1159" i="1"/>
  <c r="AN1159" i="1"/>
  <c r="AM1159" i="1"/>
  <c r="AL1159" i="1"/>
  <c r="AP1158" i="1"/>
  <c r="AO1158" i="1"/>
  <c r="AN1158" i="1"/>
  <c r="AM1158" i="1"/>
  <c r="AL1158" i="1"/>
  <c r="AP1157" i="1"/>
  <c r="AO1157" i="1"/>
  <c r="AN1157" i="1"/>
  <c r="AM1157" i="1"/>
  <c r="AL1157" i="1"/>
  <c r="AP1156" i="1"/>
  <c r="AO1156" i="1"/>
  <c r="AN1156" i="1"/>
  <c r="AM1156" i="1"/>
  <c r="AL1156" i="1"/>
  <c r="AP1155" i="1"/>
  <c r="AO1155" i="1"/>
  <c r="AN1155" i="1"/>
  <c r="AM1155" i="1"/>
  <c r="AL1155" i="1"/>
  <c r="AP1154" i="1"/>
  <c r="AO1154" i="1"/>
  <c r="AN1154" i="1"/>
  <c r="AM1154" i="1"/>
  <c r="AL1154" i="1"/>
  <c r="AP1153" i="1"/>
  <c r="AO1153" i="1"/>
  <c r="AN1153" i="1"/>
  <c r="AM1153" i="1"/>
  <c r="AL1153" i="1"/>
  <c r="AP1152" i="1"/>
  <c r="AO1152" i="1"/>
  <c r="AN1152" i="1"/>
  <c r="AM1152" i="1"/>
  <c r="AL1152" i="1"/>
  <c r="AP1151" i="1"/>
  <c r="AO1151" i="1"/>
  <c r="AN1151" i="1"/>
  <c r="AM1151" i="1"/>
  <c r="AL1151" i="1"/>
  <c r="AP1150" i="1"/>
  <c r="AO1150" i="1"/>
  <c r="AN1150" i="1"/>
  <c r="AM1150" i="1"/>
  <c r="AL1150" i="1"/>
  <c r="AP1149" i="1"/>
  <c r="AO1149" i="1"/>
  <c r="AN1149" i="1"/>
  <c r="AM1149" i="1"/>
  <c r="AL1149" i="1"/>
  <c r="AP1148" i="1"/>
  <c r="AO1148" i="1"/>
  <c r="AN1148" i="1"/>
  <c r="AM1148" i="1"/>
  <c r="AL1148" i="1"/>
  <c r="AP1147" i="1"/>
  <c r="AO1147" i="1"/>
  <c r="AN1147" i="1"/>
  <c r="AM1147" i="1"/>
  <c r="AL1147" i="1"/>
  <c r="AP1146" i="1"/>
  <c r="AO1146" i="1"/>
  <c r="AN1146" i="1"/>
  <c r="AM1146" i="1"/>
  <c r="AL1146" i="1"/>
  <c r="AP1145" i="1"/>
  <c r="AO1145" i="1"/>
  <c r="AN1145" i="1"/>
  <c r="AM1145" i="1"/>
  <c r="AL1145" i="1"/>
  <c r="AP1144" i="1"/>
  <c r="AO1144" i="1"/>
  <c r="AN1144" i="1"/>
  <c r="AM1144" i="1"/>
  <c r="AL1144" i="1"/>
  <c r="AP1143" i="1"/>
  <c r="AO1143" i="1"/>
  <c r="AN1143" i="1"/>
  <c r="AM1143" i="1"/>
  <c r="AL1143" i="1"/>
  <c r="AP1142" i="1"/>
  <c r="AO1142" i="1"/>
  <c r="AN1142" i="1"/>
  <c r="AM1142" i="1"/>
  <c r="AL1142" i="1"/>
  <c r="AP1141" i="1"/>
  <c r="AO1141" i="1"/>
  <c r="AN1141" i="1"/>
  <c r="AM1141" i="1"/>
  <c r="AL1141" i="1"/>
  <c r="AP1140" i="1"/>
  <c r="AO1140" i="1"/>
  <c r="AN1140" i="1"/>
  <c r="AM1140" i="1"/>
  <c r="AL1140" i="1"/>
  <c r="AP1139" i="1"/>
  <c r="AO1139" i="1"/>
  <c r="AN1139" i="1"/>
  <c r="AM1139" i="1"/>
  <c r="AL1139" i="1"/>
  <c r="AP1138" i="1"/>
  <c r="AO1138" i="1"/>
  <c r="AN1138" i="1"/>
  <c r="AM1138" i="1"/>
  <c r="AL1138" i="1"/>
  <c r="AP1137" i="1"/>
  <c r="AO1137" i="1"/>
  <c r="AN1137" i="1"/>
  <c r="AM1137" i="1"/>
  <c r="AL1137" i="1"/>
  <c r="AP1136" i="1"/>
  <c r="AO1136" i="1"/>
  <c r="AN1136" i="1"/>
  <c r="AM1136" i="1"/>
  <c r="AL1136" i="1"/>
  <c r="AP1135" i="1"/>
  <c r="AO1135" i="1"/>
  <c r="AN1135" i="1"/>
  <c r="AM1135" i="1"/>
  <c r="AL1135" i="1"/>
  <c r="AP1134" i="1"/>
  <c r="AO1134" i="1"/>
  <c r="AN1134" i="1"/>
  <c r="AM1134" i="1"/>
  <c r="AL1134" i="1"/>
  <c r="AP1133" i="1"/>
  <c r="AO1133" i="1"/>
  <c r="AN1133" i="1"/>
  <c r="AM1133" i="1"/>
  <c r="AL1133" i="1"/>
  <c r="AP1132" i="1"/>
  <c r="AO1132" i="1"/>
  <c r="AN1132" i="1"/>
  <c r="AM1132" i="1"/>
  <c r="AL1132" i="1"/>
  <c r="AP1131" i="1"/>
  <c r="AO1131" i="1"/>
  <c r="AN1131" i="1"/>
  <c r="AM1131" i="1"/>
  <c r="AL1131" i="1"/>
  <c r="AP1130" i="1"/>
  <c r="AO1130" i="1"/>
  <c r="AN1130" i="1"/>
  <c r="AM1130" i="1"/>
  <c r="AL1130" i="1"/>
  <c r="AP1129" i="1"/>
  <c r="AO1129" i="1"/>
  <c r="AN1129" i="1"/>
  <c r="AM1129" i="1"/>
  <c r="AL1129" i="1"/>
  <c r="AP1128" i="1"/>
  <c r="AO1128" i="1"/>
  <c r="AN1128" i="1"/>
  <c r="AM1128" i="1"/>
  <c r="AL1128" i="1"/>
  <c r="AP1127" i="1"/>
  <c r="AO1127" i="1"/>
  <c r="AN1127" i="1"/>
  <c r="AM1127" i="1"/>
  <c r="AL1127" i="1"/>
  <c r="AP1126" i="1"/>
  <c r="AO1126" i="1"/>
  <c r="AN1126" i="1"/>
  <c r="AM1126" i="1"/>
  <c r="AL1126" i="1"/>
  <c r="AP1125" i="1"/>
  <c r="AO1125" i="1"/>
  <c r="AN1125" i="1"/>
  <c r="AM1125" i="1"/>
  <c r="AL1125" i="1"/>
  <c r="AP1124" i="1"/>
  <c r="AO1124" i="1"/>
  <c r="AN1124" i="1"/>
  <c r="AM1124" i="1"/>
  <c r="AL1124" i="1"/>
  <c r="AP1123" i="1"/>
  <c r="AO1123" i="1"/>
  <c r="AN1123" i="1"/>
  <c r="AM1123" i="1"/>
  <c r="AL1123" i="1"/>
  <c r="AP1122" i="1"/>
  <c r="AO1122" i="1"/>
  <c r="AN1122" i="1"/>
  <c r="AM1122" i="1"/>
  <c r="AL1122" i="1"/>
  <c r="AP1121" i="1"/>
  <c r="AO1121" i="1"/>
  <c r="AN1121" i="1"/>
  <c r="AM1121" i="1"/>
  <c r="AL1121" i="1"/>
  <c r="AP1120" i="1"/>
  <c r="AO1120" i="1"/>
  <c r="AN1120" i="1"/>
  <c r="AM1120" i="1"/>
  <c r="AL1120" i="1"/>
  <c r="AP1119" i="1"/>
  <c r="AO1119" i="1"/>
  <c r="AN1119" i="1"/>
  <c r="AM1119" i="1"/>
  <c r="AL1119" i="1"/>
  <c r="AP1118" i="1"/>
  <c r="AO1118" i="1"/>
  <c r="AN1118" i="1"/>
  <c r="AM1118" i="1"/>
  <c r="AL1118" i="1"/>
  <c r="AP1117" i="1"/>
  <c r="AO1117" i="1"/>
  <c r="AN1117" i="1"/>
  <c r="AM1117" i="1"/>
  <c r="AL1117" i="1"/>
  <c r="AP1116" i="1"/>
  <c r="AO1116" i="1"/>
  <c r="AN1116" i="1"/>
  <c r="AM1116" i="1"/>
  <c r="AL1116" i="1"/>
  <c r="AP1115" i="1"/>
  <c r="AO1115" i="1"/>
  <c r="AN1115" i="1"/>
  <c r="AM1115" i="1"/>
  <c r="AL1115" i="1"/>
  <c r="AP1114" i="1"/>
  <c r="AO1114" i="1"/>
  <c r="AN1114" i="1"/>
  <c r="AM1114" i="1"/>
  <c r="AL1114" i="1"/>
  <c r="AP1113" i="1"/>
  <c r="AO1113" i="1"/>
  <c r="AN1113" i="1"/>
  <c r="AM1113" i="1"/>
  <c r="AL1113" i="1"/>
  <c r="AP1112" i="1"/>
  <c r="AO1112" i="1"/>
  <c r="AN1112" i="1"/>
  <c r="AM1112" i="1"/>
  <c r="AL1112" i="1"/>
  <c r="AP1111" i="1"/>
  <c r="AO1111" i="1"/>
  <c r="AN1111" i="1"/>
  <c r="AM1111" i="1"/>
  <c r="AL1111" i="1"/>
  <c r="AP1110" i="1"/>
  <c r="AO1110" i="1"/>
  <c r="AN1110" i="1"/>
  <c r="AM1110" i="1"/>
  <c r="AL1110" i="1"/>
  <c r="AP1109" i="1"/>
  <c r="AO1109" i="1"/>
  <c r="AN1109" i="1"/>
  <c r="AM1109" i="1"/>
  <c r="AL1109" i="1"/>
  <c r="AP1108" i="1"/>
  <c r="AO1108" i="1"/>
  <c r="AN1108" i="1"/>
  <c r="AM1108" i="1"/>
  <c r="AL1108" i="1"/>
  <c r="AP1107" i="1"/>
  <c r="AO1107" i="1"/>
  <c r="AN1107" i="1"/>
  <c r="AM1107" i="1"/>
  <c r="AL1107" i="1"/>
  <c r="AP1106" i="1"/>
  <c r="AO1106" i="1"/>
  <c r="AN1106" i="1"/>
  <c r="AM1106" i="1"/>
  <c r="AL1106" i="1"/>
  <c r="AP1105" i="1"/>
  <c r="AO1105" i="1"/>
  <c r="AN1105" i="1"/>
  <c r="AM1105" i="1"/>
  <c r="AL1105" i="1"/>
  <c r="AP1104" i="1"/>
  <c r="AO1104" i="1"/>
  <c r="AN1104" i="1"/>
  <c r="AM1104" i="1"/>
  <c r="AL1104" i="1"/>
  <c r="AP1103" i="1"/>
  <c r="AO1103" i="1"/>
  <c r="AN1103" i="1"/>
  <c r="AM1103" i="1"/>
  <c r="AL1103" i="1"/>
  <c r="AP1102" i="1"/>
  <c r="AO1102" i="1"/>
  <c r="AN1102" i="1"/>
  <c r="AM1102" i="1"/>
  <c r="AL1102" i="1"/>
  <c r="AP1101" i="1"/>
  <c r="AO1101" i="1"/>
  <c r="AN1101" i="1"/>
  <c r="AM1101" i="1"/>
  <c r="AL1101" i="1"/>
  <c r="AP1100" i="1"/>
  <c r="AO1100" i="1"/>
  <c r="AN1100" i="1"/>
  <c r="AM1100" i="1"/>
  <c r="AL1100" i="1"/>
  <c r="AP1099" i="1"/>
  <c r="AO1099" i="1"/>
  <c r="AN1099" i="1"/>
  <c r="AM1099" i="1"/>
  <c r="AL1099" i="1"/>
  <c r="AP1098" i="1"/>
  <c r="AO1098" i="1"/>
  <c r="AN1098" i="1"/>
  <c r="AM1098" i="1"/>
  <c r="AL1098" i="1"/>
  <c r="AP1097" i="1"/>
  <c r="AO1097" i="1"/>
  <c r="AN1097" i="1"/>
  <c r="AM1097" i="1"/>
  <c r="AL1097" i="1"/>
  <c r="AP1096" i="1"/>
  <c r="AO1096" i="1"/>
  <c r="AN1096" i="1"/>
  <c r="AM1096" i="1"/>
  <c r="AL1096" i="1"/>
  <c r="AP1095" i="1"/>
  <c r="AO1095" i="1"/>
  <c r="AN1095" i="1"/>
  <c r="AM1095" i="1"/>
  <c r="AL1095" i="1"/>
  <c r="AP1094" i="1"/>
  <c r="AO1094" i="1"/>
  <c r="AN1094" i="1"/>
  <c r="AM1094" i="1"/>
  <c r="AL1094" i="1"/>
  <c r="AP1093" i="1"/>
  <c r="AO1093" i="1"/>
  <c r="AN1093" i="1"/>
  <c r="AM1093" i="1"/>
  <c r="AL1093" i="1"/>
  <c r="AP1092" i="1"/>
  <c r="AO1092" i="1"/>
  <c r="AN1092" i="1"/>
  <c r="AM1092" i="1"/>
  <c r="AL1092" i="1"/>
  <c r="AP1091" i="1"/>
  <c r="AO1091" i="1"/>
  <c r="AN1091" i="1"/>
  <c r="AM1091" i="1"/>
  <c r="AL1091" i="1"/>
  <c r="AP1090" i="1"/>
  <c r="AO1090" i="1"/>
  <c r="AN1090" i="1"/>
  <c r="AM1090" i="1"/>
  <c r="AL1090" i="1"/>
  <c r="AP1089" i="1"/>
  <c r="AO1089" i="1"/>
  <c r="AN1089" i="1"/>
  <c r="AM1089" i="1"/>
  <c r="AL1089" i="1"/>
  <c r="AP1088" i="1"/>
  <c r="AO1088" i="1"/>
  <c r="AN1088" i="1"/>
  <c r="AM1088" i="1"/>
  <c r="AL1088" i="1"/>
  <c r="AP1087" i="1"/>
  <c r="AO1087" i="1"/>
  <c r="AN1087" i="1"/>
  <c r="AM1087" i="1"/>
  <c r="AL1087" i="1"/>
  <c r="AP1086" i="1"/>
  <c r="AO1086" i="1"/>
  <c r="AN1086" i="1"/>
  <c r="AM1086" i="1"/>
  <c r="AL1086" i="1"/>
  <c r="AP1085" i="1"/>
  <c r="AO1085" i="1"/>
  <c r="AN1085" i="1"/>
  <c r="AM1085" i="1"/>
  <c r="AL1085" i="1"/>
  <c r="AP1084" i="1"/>
  <c r="AO1084" i="1"/>
  <c r="AN1084" i="1"/>
  <c r="AM1084" i="1"/>
  <c r="AL1084" i="1"/>
  <c r="AP1083" i="1"/>
  <c r="AO1083" i="1"/>
  <c r="AN1083" i="1"/>
  <c r="AM1083" i="1"/>
  <c r="AL1083" i="1"/>
  <c r="AP1082" i="1"/>
  <c r="AO1082" i="1"/>
  <c r="AN1082" i="1"/>
  <c r="AM1082" i="1"/>
  <c r="AL1082" i="1"/>
  <c r="AP1081" i="1"/>
  <c r="AO1081" i="1"/>
  <c r="AN1081" i="1"/>
  <c r="AM1081" i="1"/>
  <c r="AL1081" i="1"/>
  <c r="AP1080" i="1"/>
  <c r="AO1080" i="1"/>
  <c r="AN1080" i="1"/>
  <c r="AM1080" i="1"/>
  <c r="AL1080" i="1"/>
  <c r="AP1079" i="1"/>
  <c r="AO1079" i="1"/>
  <c r="AN1079" i="1"/>
  <c r="AM1079" i="1"/>
  <c r="AL1079" i="1"/>
  <c r="AP1078" i="1"/>
  <c r="AO1078" i="1"/>
  <c r="AN1078" i="1"/>
  <c r="AM1078" i="1"/>
  <c r="AL1078" i="1"/>
  <c r="AP1077" i="1"/>
  <c r="AO1077" i="1"/>
  <c r="AN1077" i="1"/>
  <c r="AM1077" i="1"/>
  <c r="AL1077" i="1"/>
  <c r="AP1076" i="1"/>
  <c r="AO1076" i="1"/>
  <c r="AN1076" i="1"/>
  <c r="AM1076" i="1"/>
  <c r="AL1076" i="1"/>
  <c r="AP1075" i="1"/>
  <c r="AO1075" i="1"/>
  <c r="AN1075" i="1"/>
  <c r="AM1075" i="1"/>
  <c r="AL1075" i="1"/>
  <c r="AP1074" i="1"/>
  <c r="AO1074" i="1"/>
  <c r="AN1074" i="1"/>
  <c r="AM1074" i="1"/>
  <c r="AL1074" i="1"/>
  <c r="AP1073" i="1"/>
  <c r="AO1073" i="1"/>
  <c r="AN1073" i="1"/>
  <c r="AM1073" i="1"/>
  <c r="AL1073" i="1"/>
  <c r="AP1072" i="1"/>
  <c r="AO1072" i="1"/>
  <c r="AN1072" i="1"/>
  <c r="AM1072" i="1"/>
  <c r="AL1072" i="1"/>
  <c r="AP1071" i="1"/>
  <c r="AO1071" i="1"/>
  <c r="AN1071" i="1"/>
  <c r="AM1071" i="1"/>
  <c r="AL1071" i="1"/>
  <c r="AP1070" i="1"/>
  <c r="AO1070" i="1"/>
  <c r="AN1070" i="1"/>
  <c r="AM1070" i="1"/>
  <c r="AL1070" i="1"/>
  <c r="AP1069" i="1"/>
  <c r="AO1069" i="1"/>
  <c r="AN1069" i="1"/>
  <c r="AM1069" i="1"/>
  <c r="AL1069" i="1"/>
  <c r="AP1068" i="1"/>
  <c r="AO1068" i="1"/>
  <c r="AN1068" i="1"/>
  <c r="AM1068" i="1"/>
  <c r="AL1068" i="1"/>
  <c r="AP1067" i="1"/>
  <c r="AO1067" i="1"/>
  <c r="AN1067" i="1"/>
  <c r="AM1067" i="1"/>
  <c r="AL1067" i="1"/>
  <c r="AP1066" i="1"/>
  <c r="AO1066" i="1"/>
  <c r="AN1066" i="1"/>
  <c r="AM1066" i="1"/>
  <c r="AL1066" i="1"/>
  <c r="AP1065" i="1"/>
  <c r="AO1065" i="1"/>
  <c r="AN1065" i="1"/>
  <c r="AM1065" i="1"/>
  <c r="AL1065" i="1"/>
  <c r="AP1064" i="1"/>
  <c r="AO1064" i="1"/>
  <c r="AN1064" i="1"/>
  <c r="AM1064" i="1"/>
  <c r="AL1064" i="1"/>
  <c r="AP1063" i="1"/>
  <c r="AO1063" i="1"/>
  <c r="AN1063" i="1"/>
  <c r="AM1063" i="1"/>
  <c r="AL1063" i="1"/>
  <c r="AP1062" i="1"/>
  <c r="AO1062" i="1"/>
  <c r="AN1062" i="1"/>
  <c r="AM1062" i="1"/>
  <c r="AL1062" i="1"/>
  <c r="AP1061" i="1"/>
  <c r="AO1061" i="1"/>
  <c r="AN1061" i="1"/>
  <c r="AM1061" i="1"/>
  <c r="AL1061" i="1"/>
  <c r="AP1060" i="1"/>
  <c r="AO1060" i="1"/>
  <c r="AN1060" i="1"/>
  <c r="AM1060" i="1"/>
  <c r="AL1060" i="1"/>
  <c r="AP1059" i="1"/>
  <c r="AO1059" i="1"/>
  <c r="AN1059" i="1"/>
  <c r="AM1059" i="1"/>
  <c r="AL1059" i="1"/>
  <c r="AP1058" i="1"/>
  <c r="AO1058" i="1"/>
  <c r="AN1058" i="1"/>
  <c r="AM1058" i="1"/>
  <c r="AL1058" i="1"/>
  <c r="AP1057" i="1"/>
  <c r="AO1057" i="1"/>
  <c r="AN1057" i="1"/>
  <c r="AM1057" i="1"/>
  <c r="AL1057" i="1"/>
  <c r="AP1056" i="1"/>
  <c r="AO1056" i="1"/>
  <c r="AN1056" i="1"/>
  <c r="AM1056" i="1"/>
  <c r="AL1056" i="1"/>
  <c r="AP1055" i="1"/>
  <c r="AO1055" i="1"/>
  <c r="AN1055" i="1"/>
  <c r="AM1055" i="1"/>
  <c r="AL1055" i="1"/>
  <c r="AP1054" i="1"/>
  <c r="AO1054" i="1"/>
  <c r="AN1054" i="1"/>
  <c r="AM1054" i="1"/>
  <c r="AL1054" i="1"/>
  <c r="AP1053" i="1"/>
  <c r="AO1053" i="1"/>
  <c r="AN1053" i="1"/>
  <c r="AM1053" i="1"/>
  <c r="AL1053" i="1"/>
  <c r="AP1052" i="1"/>
  <c r="AO1052" i="1"/>
  <c r="AN1052" i="1"/>
  <c r="AM1052" i="1"/>
  <c r="AL1052" i="1"/>
  <c r="AP1051" i="1"/>
  <c r="AO1051" i="1"/>
  <c r="AN1051" i="1"/>
  <c r="AM1051" i="1"/>
  <c r="AL1051" i="1"/>
  <c r="AP1050" i="1"/>
  <c r="AO1050" i="1"/>
  <c r="AN1050" i="1"/>
  <c r="AM1050" i="1"/>
  <c r="AL1050" i="1"/>
  <c r="AP1049" i="1"/>
  <c r="AO1049" i="1"/>
  <c r="AN1049" i="1"/>
  <c r="AM1049" i="1"/>
  <c r="AL1049" i="1"/>
  <c r="AP1048" i="1"/>
  <c r="AO1048" i="1"/>
  <c r="AN1048" i="1"/>
  <c r="AM1048" i="1"/>
  <c r="AL1048" i="1"/>
  <c r="AP1047" i="1"/>
  <c r="AO1047" i="1"/>
  <c r="AN1047" i="1"/>
  <c r="AM1047" i="1"/>
  <c r="AL1047" i="1"/>
  <c r="AP1046" i="1"/>
  <c r="AO1046" i="1"/>
  <c r="AN1046" i="1"/>
  <c r="AM1046" i="1"/>
  <c r="AL1046" i="1"/>
  <c r="AP1045" i="1"/>
  <c r="AO1045" i="1"/>
  <c r="AN1045" i="1"/>
  <c r="AM1045" i="1"/>
  <c r="AL1045" i="1"/>
  <c r="AP1044" i="1"/>
  <c r="AO1044" i="1"/>
  <c r="AN1044" i="1"/>
  <c r="AM1044" i="1"/>
  <c r="AL1044" i="1"/>
  <c r="AP1043" i="1"/>
  <c r="AO1043" i="1"/>
  <c r="AN1043" i="1"/>
  <c r="AM1043" i="1"/>
  <c r="AL1043" i="1"/>
  <c r="AP1042" i="1"/>
  <c r="AO1042" i="1"/>
  <c r="AN1042" i="1"/>
  <c r="AM1042" i="1"/>
  <c r="AL1042" i="1"/>
  <c r="AP1041" i="1"/>
  <c r="AO1041" i="1"/>
  <c r="AN1041" i="1"/>
  <c r="AM1041" i="1"/>
  <c r="AL1041" i="1"/>
  <c r="AP1040" i="1"/>
  <c r="AO1040" i="1"/>
  <c r="AN1040" i="1"/>
  <c r="AM1040" i="1"/>
  <c r="AL1040" i="1"/>
  <c r="AP1039" i="1"/>
  <c r="AO1039" i="1"/>
  <c r="AN1039" i="1"/>
  <c r="AM1039" i="1"/>
  <c r="AL1039" i="1"/>
  <c r="AP1038" i="1"/>
  <c r="AO1038" i="1"/>
  <c r="AN1038" i="1"/>
  <c r="AM1038" i="1"/>
  <c r="AL1038" i="1"/>
  <c r="AP1037" i="1"/>
  <c r="AO1037" i="1"/>
  <c r="AN1037" i="1"/>
  <c r="AM1037" i="1"/>
  <c r="AL1037" i="1"/>
  <c r="AP1036" i="1"/>
  <c r="AO1036" i="1"/>
  <c r="AN1036" i="1"/>
  <c r="AM1036" i="1"/>
  <c r="AL1036" i="1"/>
  <c r="AP1035" i="1"/>
  <c r="AO1035" i="1"/>
  <c r="AN1035" i="1"/>
  <c r="AM1035" i="1"/>
  <c r="AL1035" i="1"/>
  <c r="AP1034" i="1"/>
  <c r="AO1034" i="1"/>
  <c r="AN1034" i="1"/>
  <c r="AM1034" i="1"/>
  <c r="AL1034" i="1"/>
  <c r="AP1033" i="1"/>
  <c r="AO1033" i="1"/>
  <c r="AN1033" i="1"/>
  <c r="AM1033" i="1"/>
  <c r="AL1033" i="1"/>
  <c r="AP1032" i="1"/>
  <c r="AO1032" i="1"/>
  <c r="AN1032" i="1"/>
  <c r="AM1032" i="1"/>
  <c r="AL1032" i="1"/>
  <c r="AP1031" i="1"/>
  <c r="AO1031" i="1"/>
  <c r="AN1031" i="1"/>
  <c r="AM1031" i="1"/>
  <c r="AL1031" i="1"/>
  <c r="AP1030" i="1"/>
  <c r="AO1030" i="1"/>
  <c r="AN1030" i="1"/>
  <c r="AM1030" i="1"/>
  <c r="AL1030" i="1"/>
  <c r="AP1029" i="1"/>
  <c r="AO1029" i="1"/>
  <c r="AN1029" i="1"/>
  <c r="AM1029" i="1"/>
  <c r="AL1029" i="1"/>
  <c r="AP1028" i="1"/>
  <c r="AO1028" i="1"/>
  <c r="AN1028" i="1"/>
  <c r="AM1028" i="1"/>
  <c r="AL1028" i="1"/>
  <c r="AP1027" i="1"/>
  <c r="AO1027" i="1"/>
  <c r="AN1027" i="1"/>
  <c r="AM1027" i="1"/>
  <c r="AL1027" i="1"/>
  <c r="AP1026" i="1"/>
  <c r="AO1026" i="1"/>
  <c r="AN1026" i="1"/>
  <c r="AM1026" i="1"/>
  <c r="AL1026" i="1"/>
  <c r="AP1025" i="1"/>
  <c r="AO1025" i="1"/>
  <c r="AN1025" i="1"/>
  <c r="AM1025" i="1"/>
  <c r="AL1025" i="1"/>
  <c r="AP1024" i="1"/>
  <c r="AO1024" i="1"/>
  <c r="AN1024" i="1"/>
  <c r="AM1024" i="1"/>
  <c r="AL1024" i="1"/>
  <c r="AP1023" i="1"/>
  <c r="AO1023" i="1"/>
  <c r="AN1023" i="1"/>
  <c r="AM1023" i="1"/>
  <c r="AL1023" i="1"/>
  <c r="AP1022" i="1"/>
  <c r="AO1022" i="1"/>
  <c r="AN1022" i="1"/>
  <c r="AM1022" i="1"/>
  <c r="AL1022" i="1"/>
  <c r="AP1021" i="1"/>
  <c r="AO1021" i="1"/>
  <c r="AN1021" i="1"/>
  <c r="AM1021" i="1"/>
  <c r="AL1021" i="1"/>
  <c r="AP1020" i="1"/>
  <c r="AO1020" i="1"/>
  <c r="AN1020" i="1"/>
  <c r="AM1020" i="1"/>
  <c r="AL1020" i="1"/>
  <c r="AP1019" i="1"/>
  <c r="AO1019" i="1"/>
  <c r="AN1019" i="1"/>
  <c r="AM1019" i="1"/>
  <c r="AL1019" i="1"/>
  <c r="AP1018" i="1"/>
  <c r="AO1018" i="1"/>
  <c r="AN1018" i="1"/>
  <c r="AM1018" i="1"/>
  <c r="AL1018" i="1"/>
  <c r="AP1017" i="1"/>
  <c r="AO1017" i="1"/>
  <c r="AN1017" i="1"/>
  <c r="AM1017" i="1"/>
  <c r="AL1017" i="1"/>
  <c r="AP1016" i="1"/>
  <c r="AO1016" i="1"/>
  <c r="AN1016" i="1"/>
  <c r="AM1016" i="1"/>
  <c r="AL1016" i="1"/>
  <c r="AP1015" i="1"/>
  <c r="AO1015" i="1"/>
  <c r="AN1015" i="1"/>
  <c r="AM1015" i="1"/>
  <c r="AL1015" i="1"/>
  <c r="AP1014" i="1"/>
  <c r="AO1014" i="1"/>
  <c r="AN1014" i="1"/>
  <c r="AM1014" i="1"/>
  <c r="AL1014" i="1"/>
  <c r="AP1013" i="1"/>
  <c r="AO1013" i="1"/>
  <c r="AN1013" i="1"/>
  <c r="AM1013" i="1"/>
  <c r="AL1013" i="1"/>
  <c r="AP1012" i="1"/>
  <c r="AO1012" i="1"/>
  <c r="AN1012" i="1"/>
  <c r="AM1012" i="1"/>
  <c r="AL1012" i="1"/>
  <c r="AP1011" i="1"/>
  <c r="AO1011" i="1"/>
  <c r="AN1011" i="1"/>
  <c r="AM1011" i="1"/>
  <c r="AL1011" i="1"/>
  <c r="AP1010" i="1"/>
  <c r="AO1010" i="1"/>
  <c r="AN1010" i="1"/>
  <c r="AM1010" i="1"/>
  <c r="AL1010" i="1"/>
  <c r="AP1009" i="1"/>
  <c r="AO1009" i="1"/>
  <c r="AN1009" i="1"/>
  <c r="AM1009" i="1"/>
  <c r="AL1009" i="1"/>
  <c r="AP1008" i="1"/>
  <c r="AO1008" i="1"/>
  <c r="AN1008" i="1"/>
  <c r="AM1008" i="1"/>
  <c r="AL1008" i="1"/>
  <c r="AP1007" i="1"/>
  <c r="AO1007" i="1"/>
  <c r="AN1007" i="1"/>
  <c r="AM1007" i="1"/>
  <c r="AL1007" i="1"/>
  <c r="AP1006" i="1"/>
  <c r="AO1006" i="1"/>
  <c r="AN1006" i="1"/>
  <c r="AM1006" i="1"/>
  <c r="AL1006" i="1"/>
  <c r="AP1005" i="1"/>
  <c r="AO1005" i="1"/>
  <c r="AN1005" i="1"/>
  <c r="AM1005" i="1"/>
  <c r="AL1005" i="1"/>
  <c r="AP1004" i="1"/>
  <c r="AO1004" i="1"/>
  <c r="AN1004" i="1"/>
  <c r="AM1004" i="1"/>
  <c r="AL1004" i="1"/>
  <c r="AP1003" i="1"/>
  <c r="AO1003" i="1"/>
  <c r="AN1003" i="1"/>
  <c r="AM1003" i="1"/>
  <c r="AL1003" i="1"/>
  <c r="AP1002" i="1"/>
  <c r="AO1002" i="1"/>
  <c r="AN1002" i="1"/>
  <c r="AM1002" i="1"/>
  <c r="AL1002" i="1"/>
  <c r="AP1001" i="1"/>
  <c r="AO1001" i="1"/>
  <c r="AN1001" i="1"/>
  <c r="AM1001" i="1"/>
  <c r="AL1001" i="1"/>
  <c r="AP1000" i="1"/>
  <c r="AO1000" i="1"/>
  <c r="AN1000" i="1"/>
  <c r="AM1000" i="1"/>
  <c r="AL1000" i="1"/>
  <c r="AP999" i="1"/>
  <c r="AO999" i="1"/>
  <c r="AN999" i="1"/>
  <c r="AM999" i="1"/>
  <c r="AL999" i="1"/>
  <c r="AP998" i="1"/>
  <c r="AO998" i="1"/>
  <c r="AN998" i="1"/>
  <c r="AM998" i="1"/>
  <c r="AL998" i="1"/>
  <c r="AP997" i="1"/>
  <c r="AO997" i="1"/>
  <c r="AN997" i="1"/>
  <c r="AM997" i="1"/>
  <c r="AL997" i="1"/>
  <c r="AP996" i="1"/>
  <c r="AO996" i="1"/>
  <c r="AN996" i="1"/>
  <c r="AM996" i="1"/>
  <c r="AL996" i="1"/>
  <c r="AP995" i="1"/>
  <c r="AO995" i="1"/>
  <c r="AN995" i="1"/>
  <c r="AM995" i="1"/>
  <c r="AL995" i="1"/>
  <c r="AP994" i="1"/>
  <c r="AO994" i="1"/>
  <c r="AN994" i="1"/>
  <c r="AM994" i="1"/>
  <c r="AL994" i="1"/>
  <c r="AP993" i="1"/>
  <c r="AO993" i="1"/>
  <c r="AN993" i="1"/>
  <c r="AM993" i="1"/>
  <c r="AL993" i="1"/>
  <c r="AP992" i="1"/>
  <c r="AO992" i="1"/>
  <c r="AN992" i="1"/>
  <c r="AM992" i="1"/>
  <c r="AL992" i="1"/>
  <c r="AP991" i="1"/>
  <c r="AO991" i="1"/>
  <c r="AN991" i="1"/>
  <c r="AM991" i="1"/>
  <c r="AL991" i="1"/>
  <c r="AP990" i="1"/>
  <c r="AO990" i="1"/>
  <c r="AN990" i="1"/>
  <c r="AM990" i="1"/>
  <c r="AL990" i="1"/>
  <c r="AP989" i="1"/>
  <c r="AO989" i="1"/>
  <c r="AN989" i="1"/>
  <c r="AM989" i="1"/>
  <c r="AL989" i="1"/>
  <c r="AP988" i="1"/>
  <c r="AO988" i="1"/>
  <c r="AN988" i="1"/>
  <c r="AM988" i="1"/>
  <c r="AL988" i="1"/>
  <c r="AP987" i="1"/>
  <c r="AO987" i="1"/>
  <c r="AN987" i="1"/>
  <c r="AM987" i="1"/>
  <c r="AL987" i="1"/>
  <c r="AP986" i="1"/>
  <c r="AO986" i="1"/>
  <c r="AN986" i="1"/>
  <c r="AM986" i="1"/>
  <c r="AL986" i="1"/>
  <c r="AP985" i="1"/>
  <c r="AO985" i="1"/>
  <c r="AN985" i="1"/>
  <c r="AM985" i="1"/>
  <c r="AL985" i="1"/>
  <c r="AP984" i="1"/>
  <c r="AO984" i="1"/>
  <c r="AN984" i="1"/>
  <c r="AM984" i="1"/>
  <c r="AL984" i="1"/>
  <c r="AP983" i="1"/>
  <c r="AO983" i="1"/>
  <c r="AN983" i="1"/>
  <c r="AM983" i="1"/>
  <c r="AL983" i="1"/>
  <c r="AP982" i="1"/>
  <c r="AO982" i="1"/>
  <c r="AN982" i="1"/>
  <c r="AM982" i="1"/>
  <c r="AL982" i="1"/>
  <c r="AP981" i="1"/>
  <c r="AO981" i="1"/>
  <c r="AN981" i="1"/>
  <c r="AM981" i="1"/>
  <c r="AL981" i="1"/>
  <c r="AP980" i="1"/>
  <c r="AO980" i="1"/>
  <c r="AN980" i="1"/>
  <c r="AM980" i="1"/>
  <c r="AL980" i="1"/>
  <c r="AP979" i="1"/>
  <c r="AO979" i="1"/>
  <c r="AN979" i="1"/>
  <c r="AM979" i="1"/>
  <c r="AL979" i="1"/>
  <c r="AP978" i="1"/>
  <c r="AO978" i="1"/>
  <c r="AN978" i="1"/>
  <c r="AM978" i="1"/>
  <c r="AL978" i="1"/>
  <c r="AP977" i="1"/>
  <c r="AO977" i="1"/>
  <c r="AN977" i="1"/>
  <c r="AM977" i="1"/>
  <c r="AL977" i="1"/>
  <c r="AP976" i="1"/>
  <c r="AO976" i="1"/>
  <c r="AN976" i="1"/>
  <c r="AM976" i="1"/>
  <c r="AL976" i="1"/>
  <c r="AP975" i="1"/>
  <c r="AO975" i="1"/>
  <c r="AN975" i="1"/>
  <c r="AM975" i="1"/>
  <c r="AL975" i="1"/>
  <c r="AP974" i="1"/>
  <c r="AO974" i="1"/>
  <c r="AN974" i="1"/>
  <c r="AM974" i="1"/>
  <c r="AL974" i="1"/>
  <c r="AP973" i="1"/>
  <c r="AO973" i="1"/>
  <c r="AN973" i="1"/>
  <c r="AM973" i="1"/>
  <c r="AL973" i="1"/>
  <c r="AP972" i="1"/>
  <c r="AO972" i="1"/>
  <c r="AN972" i="1"/>
  <c r="AM972" i="1"/>
  <c r="AL972" i="1"/>
  <c r="AP971" i="1"/>
  <c r="AO971" i="1"/>
  <c r="AN971" i="1"/>
  <c r="AM971" i="1"/>
  <c r="AL971" i="1"/>
  <c r="AP970" i="1"/>
  <c r="AO970" i="1"/>
  <c r="AN970" i="1"/>
  <c r="AM970" i="1"/>
  <c r="AL970" i="1"/>
  <c r="AP969" i="1"/>
  <c r="AO969" i="1"/>
  <c r="AN969" i="1"/>
  <c r="AM969" i="1"/>
  <c r="AL969" i="1"/>
  <c r="AP968" i="1"/>
  <c r="AO968" i="1"/>
  <c r="AN968" i="1"/>
  <c r="AM968" i="1"/>
  <c r="AL968" i="1"/>
  <c r="AP967" i="1"/>
  <c r="AO967" i="1"/>
  <c r="AN967" i="1"/>
  <c r="AM967" i="1"/>
  <c r="AL967" i="1"/>
  <c r="AP966" i="1"/>
  <c r="AO966" i="1"/>
  <c r="AN966" i="1"/>
  <c r="AM966" i="1"/>
  <c r="AL966" i="1"/>
  <c r="AP965" i="1"/>
  <c r="AO965" i="1"/>
  <c r="AN965" i="1"/>
  <c r="AM965" i="1"/>
  <c r="AL965" i="1"/>
  <c r="AP964" i="1"/>
  <c r="AO964" i="1"/>
  <c r="AN964" i="1"/>
  <c r="AM964" i="1"/>
  <c r="AL964" i="1"/>
  <c r="AP963" i="1"/>
  <c r="AO963" i="1"/>
  <c r="AN963" i="1"/>
  <c r="AM963" i="1"/>
  <c r="AL963" i="1"/>
  <c r="AP962" i="1"/>
  <c r="AO962" i="1"/>
  <c r="AN962" i="1"/>
  <c r="AM962" i="1"/>
  <c r="AL962" i="1"/>
  <c r="AP961" i="1"/>
  <c r="AO961" i="1"/>
  <c r="AN961" i="1"/>
  <c r="AM961" i="1"/>
  <c r="AL961" i="1"/>
  <c r="AP960" i="1"/>
  <c r="AO960" i="1"/>
  <c r="AN960" i="1"/>
  <c r="AM960" i="1"/>
  <c r="AL960" i="1"/>
  <c r="AP959" i="1"/>
  <c r="AO959" i="1"/>
  <c r="AN959" i="1"/>
  <c r="AM959" i="1"/>
  <c r="AL959" i="1"/>
  <c r="AP958" i="1"/>
  <c r="AO958" i="1"/>
  <c r="AN958" i="1"/>
  <c r="AM958" i="1"/>
  <c r="AL958" i="1"/>
  <c r="AP957" i="1"/>
  <c r="AO957" i="1"/>
  <c r="AN957" i="1"/>
  <c r="AM957" i="1"/>
  <c r="AL957" i="1"/>
  <c r="AP956" i="1"/>
  <c r="AO956" i="1"/>
  <c r="AN956" i="1"/>
  <c r="AM956" i="1"/>
  <c r="AL956" i="1"/>
  <c r="AP955" i="1"/>
  <c r="AO955" i="1"/>
  <c r="AN955" i="1"/>
  <c r="AM955" i="1"/>
  <c r="AL955" i="1"/>
  <c r="AP954" i="1"/>
  <c r="AO954" i="1"/>
  <c r="AN954" i="1"/>
  <c r="AM954" i="1"/>
  <c r="AL954" i="1"/>
  <c r="AP953" i="1"/>
  <c r="AO953" i="1"/>
  <c r="AN953" i="1"/>
  <c r="AM953" i="1"/>
  <c r="AL953" i="1"/>
  <c r="AP952" i="1"/>
  <c r="AO952" i="1"/>
  <c r="AN952" i="1"/>
  <c r="AM952" i="1"/>
  <c r="AL952" i="1"/>
  <c r="AP951" i="1"/>
  <c r="AO951" i="1"/>
  <c r="AN951" i="1"/>
  <c r="AM951" i="1"/>
  <c r="AL951" i="1"/>
  <c r="AP950" i="1"/>
  <c r="AO950" i="1"/>
  <c r="AN950" i="1"/>
  <c r="AM950" i="1"/>
  <c r="AL950" i="1"/>
  <c r="AP949" i="1"/>
  <c r="AO949" i="1"/>
  <c r="AN949" i="1"/>
  <c r="AM949" i="1"/>
  <c r="AL949" i="1"/>
  <c r="AP948" i="1"/>
  <c r="AO948" i="1"/>
  <c r="AN948" i="1"/>
  <c r="AM948" i="1"/>
  <c r="AL948" i="1"/>
  <c r="AP947" i="1"/>
  <c r="AO947" i="1"/>
  <c r="AN947" i="1"/>
  <c r="AM947" i="1"/>
  <c r="AL947" i="1"/>
  <c r="AP946" i="1"/>
  <c r="AO946" i="1"/>
  <c r="AN946" i="1"/>
  <c r="AM946" i="1"/>
  <c r="AL946" i="1"/>
  <c r="AP945" i="1"/>
  <c r="AO945" i="1"/>
  <c r="AN945" i="1"/>
  <c r="AM945" i="1"/>
  <c r="AL945" i="1"/>
  <c r="AP944" i="1"/>
  <c r="AO944" i="1"/>
  <c r="AN944" i="1"/>
  <c r="AM944" i="1"/>
  <c r="AL944" i="1"/>
  <c r="AP943" i="1"/>
  <c r="AO943" i="1"/>
  <c r="AN943" i="1"/>
  <c r="AM943" i="1"/>
  <c r="AL943" i="1"/>
  <c r="AP942" i="1"/>
  <c r="AO942" i="1"/>
  <c r="AN942" i="1"/>
  <c r="AM942" i="1"/>
  <c r="AL942" i="1"/>
  <c r="AP941" i="1"/>
  <c r="AO941" i="1"/>
  <c r="AN941" i="1"/>
  <c r="AM941" i="1"/>
  <c r="AL941" i="1"/>
  <c r="AP940" i="1"/>
  <c r="AO940" i="1"/>
  <c r="AN940" i="1"/>
  <c r="AM940" i="1"/>
  <c r="AL940" i="1"/>
  <c r="AP939" i="1"/>
  <c r="AO939" i="1"/>
  <c r="AN939" i="1"/>
  <c r="AM939" i="1"/>
  <c r="AL939" i="1"/>
  <c r="AP938" i="1"/>
  <c r="AO938" i="1"/>
  <c r="AN938" i="1"/>
  <c r="AM938" i="1"/>
  <c r="AL938" i="1"/>
  <c r="AP937" i="1"/>
  <c r="AO937" i="1"/>
  <c r="AN937" i="1"/>
  <c r="AM937" i="1"/>
  <c r="AL937" i="1"/>
  <c r="AP936" i="1"/>
  <c r="AO936" i="1"/>
  <c r="AN936" i="1"/>
  <c r="AM936" i="1"/>
  <c r="AL936" i="1"/>
  <c r="AP935" i="1"/>
  <c r="AO935" i="1"/>
  <c r="AN935" i="1"/>
  <c r="AM935" i="1"/>
  <c r="AL935" i="1"/>
  <c r="AP934" i="1"/>
  <c r="AO934" i="1"/>
  <c r="AN934" i="1"/>
  <c r="AM934" i="1"/>
  <c r="AL934" i="1"/>
  <c r="AP933" i="1"/>
  <c r="AO933" i="1"/>
  <c r="AN933" i="1"/>
  <c r="AM933" i="1"/>
  <c r="AL933" i="1"/>
  <c r="AP932" i="1"/>
  <c r="AO932" i="1"/>
  <c r="AN932" i="1"/>
  <c r="AM932" i="1"/>
  <c r="AL932" i="1"/>
  <c r="AP931" i="1"/>
  <c r="AO931" i="1"/>
  <c r="AN931" i="1"/>
  <c r="AM931" i="1"/>
  <c r="AL931" i="1"/>
  <c r="AP930" i="1"/>
  <c r="AO930" i="1"/>
  <c r="AN930" i="1"/>
  <c r="AM930" i="1"/>
  <c r="AL930" i="1"/>
  <c r="AP929" i="1"/>
  <c r="AO929" i="1"/>
  <c r="AN929" i="1"/>
  <c r="AM929" i="1"/>
  <c r="AL929" i="1"/>
  <c r="AP928" i="1"/>
  <c r="AO928" i="1"/>
  <c r="AN928" i="1"/>
  <c r="AM928" i="1"/>
  <c r="AL928" i="1"/>
  <c r="AP927" i="1"/>
  <c r="AO927" i="1"/>
  <c r="AN927" i="1"/>
  <c r="AM927" i="1"/>
  <c r="AL927" i="1"/>
  <c r="AP926" i="1"/>
  <c r="AO926" i="1"/>
  <c r="AN926" i="1"/>
  <c r="AM926" i="1"/>
  <c r="AL926" i="1"/>
  <c r="AP925" i="1"/>
  <c r="AO925" i="1"/>
  <c r="AN925" i="1"/>
  <c r="AM925" i="1"/>
  <c r="AL925" i="1"/>
  <c r="AP924" i="1"/>
  <c r="AO924" i="1"/>
  <c r="AN924" i="1"/>
  <c r="AM924" i="1"/>
  <c r="AL924" i="1"/>
  <c r="AP923" i="1"/>
  <c r="AO923" i="1"/>
  <c r="AN923" i="1"/>
  <c r="AM923" i="1"/>
  <c r="AL923" i="1"/>
  <c r="AP922" i="1"/>
  <c r="AO922" i="1"/>
  <c r="AN922" i="1"/>
  <c r="AM922" i="1"/>
  <c r="AL922" i="1"/>
  <c r="AP921" i="1"/>
  <c r="AO921" i="1"/>
  <c r="AN921" i="1"/>
  <c r="AM921" i="1"/>
  <c r="AL921" i="1"/>
  <c r="AP920" i="1"/>
  <c r="AO920" i="1"/>
  <c r="AN920" i="1"/>
  <c r="AM920" i="1"/>
  <c r="AL920" i="1"/>
  <c r="AP919" i="1"/>
  <c r="AO919" i="1"/>
  <c r="AN919" i="1"/>
  <c r="AM919" i="1"/>
  <c r="AL919" i="1"/>
  <c r="AP918" i="1"/>
  <c r="AO918" i="1"/>
  <c r="AN918" i="1"/>
  <c r="AM918" i="1"/>
  <c r="AL918" i="1"/>
  <c r="AP917" i="1"/>
  <c r="AO917" i="1"/>
  <c r="AN917" i="1"/>
  <c r="AM917" i="1"/>
  <c r="AL917" i="1"/>
  <c r="AP916" i="1"/>
  <c r="AO916" i="1"/>
  <c r="AN916" i="1"/>
  <c r="AM916" i="1"/>
  <c r="AL916" i="1"/>
  <c r="AP915" i="1"/>
  <c r="AO915" i="1"/>
  <c r="AN915" i="1"/>
  <c r="AM915" i="1"/>
  <c r="AL915" i="1"/>
  <c r="AP914" i="1"/>
  <c r="AO914" i="1"/>
  <c r="AN914" i="1"/>
  <c r="AM914" i="1"/>
  <c r="AL914" i="1"/>
  <c r="AP913" i="1"/>
  <c r="AO913" i="1"/>
  <c r="AN913" i="1"/>
  <c r="AM913" i="1"/>
  <c r="AL913" i="1"/>
  <c r="AP912" i="1"/>
  <c r="AO912" i="1"/>
  <c r="AN912" i="1"/>
  <c r="AM912" i="1"/>
  <c r="AL912" i="1"/>
  <c r="AP911" i="1"/>
  <c r="AO911" i="1"/>
  <c r="AN911" i="1"/>
  <c r="AM911" i="1"/>
  <c r="AL911" i="1"/>
  <c r="AP910" i="1"/>
  <c r="AO910" i="1"/>
  <c r="AN910" i="1"/>
  <c r="AM910" i="1"/>
  <c r="AL910" i="1"/>
  <c r="AP909" i="1"/>
  <c r="AO909" i="1"/>
  <c r="AN909" i="1"/>
  <c r="AM909" i="1"/>
  <c r="AL909" i="1"/>
  <c r="AP908" i="1"/>
  <c r="AO908" i="1"/>
  <c r="AN908" i="1"/>
  <c r="AM908" i="1"/>
  <c r="AL908" i="1"/>
  <c r="AP907" i="1"/>
  <c r="AO907" i="1"/>
  <c r="AN907" i="1"/>
  <c r="AM907" i="1"/>
  <c r="AL907" i="1"/>
  <c r="AP906" i="1"/>
  <c r="AO906" i="1"/>
  <c r="AN906" i="1"/>
  <c r="AM906" i="1"/>
  <c r="AL906" i="1"/>
  <c r="AP905" i="1"/>
  <c r="AO905" i="1"/>
  <c r="AN905" i="1"/>
  <c r="AM905" i="1"/>
  <c r="AL905" i="1"/>
  <c r="AP904" i="1"/>
  <c r="AO904" i="1"/>
  <c r="AN904" i="1"/>
  <c r="AM904" i="1"/>
  <c r="AL904" i="1"/>
  <c r="AP903" i="1"/>
  <c r="AO903" i="1"/>
  <c r="AN903" i="1"/>
  <c r="AM903" i="1"/>
  <c r="AL903" i="1"/>
  <c r="AP902" i="1"/>
  <c r="AO902" i="1"/>
  <c r="AN902" i="1"/>
  <c r="AM902" i="1"/>
  <c r="AL902" i="1"/>
  <c r="AP901" i="1"/>
  <c r="AO901" i="1"/>
  <c r="AN901" i="1"/>
  <c r="AM901" i="1"/>
  <c r="AL901" i="1"/>
  <c r="AP900" i="1"/>
  <c r="AO900" i="1"/>
  <c r="AN900" i="1"/>
  <c r="AM900" i="1"/>
  <c r="AL900" i="1"/>
  <c r="AP899" i="1"/>
  <c r="AO899" i="1"/>
  <c r="AN899" i="1"/>
  <c r="AM899" i="1"/>
  <c r="AL899" i="1"/>
  <c r="AP898" i="1"/>
  <c r="AO898" i="1"/>
  <c r="AN898" i="1"/>
  <c r="AM898" i="1"/>
  <c r="AL898" i="1"/>
  <c r="AP897" i="1"/>
  <c r="AO897" i="1"/>
  <c r="AN897" i="1"/>
  <c r="AM897" i="1"/>
  <c r="AL897" i="1"/>
  <c r="AP896" i="1"/>
  <c r="AO896" i="1"/>
  <c r="AN896" i="1"/>
  <c r="AM896" i="1"/>
  <c r="AL896" i="1"/>
  <c r="AP895" i="1"/>
  <c r="AO895" i="1"/>
  <c r="AN895" i="1"/>
  <c r="AM895" i="1"/>
  <c r="AL895" i="1"/>
  <c r="AP894" i="1"/>
  <c r="AO894" i="1"/>
  <c r="AN894" i="1"/>
  <c r="AM894" i="1"/>
  <c r="AL894" i="1"/>
  <c r="AP893" i="1"/>
  <c r="AO893" i="1"/>
  <c r="AN893" i="1"/>
  <c r="AM893" i="1"/>
  <c r="AL893" i="1"/>
  <c r="AP892" i="1"/>
  <c r="AO892" i="1"/>
  <c r="AN892" i="1"/>
  <c r="AM892" i="1"/>
  <c r="AL892" i="1"/>
  <c r="AP891" i="1"/>
  <c r="AO891" i="1"/>
  <c r="AN891" i="1"/>
  <c r="AM891" i="1"/>
  <c r="AL891" i="1"/>
  <c r="AP890" i="1"/>
  <c r="AO890" i="1"/>
  <c r="AN890" i="1"/>
  <c r="AM890" i="1"/>
  <c r="AL890" i="1"/>
  <c r="AP889" i="1"/>
  <c r="AO889" i="1"/>
  <c r="AN889" i="1"/>
  <c r="AM889" i="1"/>
  <c r="AL889" i="1"/>
  <c r="AP888" i="1"/>
  <c r="AO888" i="1"/>
  <c r="AN888" i="1"/>
  <c r="AM888" i="1"/>
  <c r="AL888" i="1"/>
  <c r="AP887" i="1"/>
  <c r="AO887" i="1"/>
  <c r="AN887" i="1"/>
  <c r="AM887" i="1"/>
  <c r="AL887" i="1"/>
  <c r="AP886" i="1"/>
  <c r="AO886" i="1"/>
  <c r="AN886" i="1"/>
  <c r="AM886" i="1"/>
  <c r="AL886" i="1"/>
  <c r="AP885" i="1"/>
  <c r="AO885" i="1"/>
  <c r="AN885" i="1"/>
  <c r="AM885" i="1"/>
  <c r="AL885" i="1"/>
  <c r="AP884" i="1"/>
  <c r="AO884" i="1"/>
  <c r="AN884" i="1"/>
  <c r="AM884" i="1"/>
  <c r="AL884" i="1"/>
  <c r="AP883" i="1"/>
  <c r="AO883" i="1"/>
  <c r="AN883" i="1"/>
  <c r="AM883" i="1"/>
  <c r="AL883" i="1"/>
  <c r="AP882" i="1"/>
  <c r="AO882" i="1"/>
  <c r="AN882" i="1"/>
  <c r="AM882" i="1"/>
  <c r="AL882" i="1"/>
  <c r="AP881" i="1"/>
  <c r="AO881" i="1"/>
  <c r="AN881" i="1"/>
  <c r="AM881" i="1"/>
  <c r="AL881" i="1"/>
  <c r="AP880" i="1"/>
  <c r="AO880" i="1"/>
  <c r="AN880" i="1"/>
  <c r="AM880" i="1"/>
  <c r="AL880" i="1"/>
  <c r="AP879" i="1"/>
  <c r="AO879" i="1"/>
  <c r="AN879" i="1"/>
  <c r="AM879" i="1"/>
  <c r="AL879" i="1"/>
  <c r="AP878" i="1"/>
  <c r="AO878" i="1"/>
  <c r="AN878" i="1"/>
  <c r="AM878" i="1"/>
  <c r="AL878" i="1"/>
  <c r="AP877" i="1"/>
  <c r="AO877" i="1"/>
  <c r="AN877" i="1"/>
  <c r="AM877" i="1"/>
  <c r="AL877" i="1"/>
  <c r="AP876" i="1"/>
  <c r="AO876" i="1"/>
  <c r="AN876" i="1"/>
  <c r="AM876" i="1"/>
  <c r="AL876" i="1"/>
  <c r="AP875" i="1"/>
  <c r="AO875" i="1"/>
  <c r="AN875" i="1"/>
  <c r="AM875" i="1"/>
  <c r="AL875" i="1"/>
  <c r="AP874" i="1"/>
  <c r="AO874" i="1"/>
  <c r="AN874" i="1"/>
  <c r="AM874" i="1"/>
  <c r="AL874" i="1"/>
  <c r="AP873" i="1"/>
  <c r="AO873" i="1"/>
  <c r="AN873" i="1"/>
  <c r="AM873" i="1"/>
  <c r="AL873" i="1"/>
  <c r="AP872" i="1"/>
  <c r="AO872" i="1"/>
  <c r="AN872" i="1"/>
  <c r="AM872" i="1"/>
  <c r="AL872" i="1"/>
  <c r="AP871" i="1"/>
  <c r="AO871" i="1"/>
  <c r="AN871" i="1"/>
  <c r="AM871" i="1"/>
  <c r="AL871" i="1"/>
  <c r="AP870" i="1"/>
  <c r="AO870" i="1"/>
  <c r="AN870" i="1"/>
  <c r="AM870" i="1"/>
  <c r="AL870" i="1"/>
  <c r="AP869" i="1"/>
  <c r="AO869" i="1"/>
  <c r="AN869" i="1"/>
  <c r="AM869" i="1"/>
  <c r="AL869" i="1"/>
  <c r="AP868" i="1"/>
  <c r="AO868" i="1"/>
  <c r="AN868" i="1"/>
  <c r="AM868" i="1"/>
  <c r="AL868" i="1"/>
  <c r="AP867" i="1"/>
  <c r="AO867" i="1"/>
  <c r="AN867" i="1"/>
  <c r="AM867" i="1"/>
  <c r="AL867" i="1"/>
  <c r="AP866" i="1"/>
  <c r="AO866" i="1"/>
  <c r="AN866" i="1"/>
  <c r="AM866" i="1"/>
  <c r="AL866" i="1"/>
  <c r="AP865" i="1"/>
  <c r="AO865" i="1"/>
  <c r="AN865" i="1"/>
  <c r="AM865" i="1"/>
  <c r="AL865" i="1"/>
  <c r="AP864" i="1"/>
  <c r="AO864" i="1"/>
  <c r="AN864" i="1"/>
  <c r="AM864" i="1"/>
  <c r="AL864" i="1"/>
  <c r="AP863" i="1"/>
  <c r="AO863" i="1"/>
  <c r="AN863" i="1"/>
  <c r="AM863" i="1"/>
  <c r="AL863" i="1"/>
  <c r="AP862" i="1"/>
  <c r="AO862" i="1"/>
  <c r="AN862" i="1"/>
  <c r="AM862" i="1"/>
  <c r="AL862" i="1"/>
  <c r="AP861" i="1"/>
  <c r="AO861" i="1"/>
  <c r="AN861" i="1"/>
  <c r="AM861" i="1"/>
  <c r="AL861" i="1"/>
  <c r="AP860" i="1"/>
  <c r="AO860" i="1"/>
  <c r="AN860" i="1"/>
  <c r="AM860" i="1"/>
  <c r="AL860" i="1"/>
  <c r="AP859" i="1"/>
  <c r="AO859" i="1"/>
  <c r="AN859" i="1"/>
  <c r="AM859" i="1"/>
  <c r="AL859" i="1"/>
  <c r="AP858" i="1"/>
  <c r="AO858" i="1"/>
  <c r="AN858" i="1"/>
  <c r="AM858" i="1"/>
  <c r="AL858" i="1"/>
  <c r="AP857" i="1"/>
  <c r="AO857" i="1"/>
  <c r="AN857" i="1"/>
  <c r="AM857" i="1"/>
  <c r="AL857" i="1"/>
  <c r="AP856" i="1"/>
  <c r="AO856" i="1"/>
  <c r="AN856" i="1"/>
  <c r="AM856" i="1"/>
  <c r="AL856" i="1"/>
  <c r="AP855" i="1"/>
  <c r="AO855" i="1"/>
  <c r="AN855" i="1"/>
  <c r="AM855" i="1"/>
  <c r="AL855" i="1"/>
  <c r="AP854" i="1"/>
  <c r="AO854" i="1"/>
  <c r="AN854" i="1"/>
  <c r="AM854" i="1"/>
  <c r="AL854" i="1"/>
  <c r="AP853" i="1"/>
  <c r="AO853" i="1"/>
  <c r="AN853" i="1"/>
  <c r="AM853" i="1"/>
  <c r="AL853" i="1"/>
  <c r="AP852" i="1"/>
  <c r="AO852" i="1"/>
  <c r="AN852" i="1"/>
  <c r="AM852" i="1"/>
  <c r="AL852" i="1"/>
  <c r="AP851" i="1"/>
  <c r="AO851" i="1"/>
  <c r="AN851" i="1"/>
  <c r="AM851" i="1"/>
  <c r="AL851" i="1"/>
  <c r="AP850" i="1"/>
  <c r="AO850" i="1"/>
  <c r="AN850" i="1"/>
  <c r="AM850" i="1"/>
  <c r="AL850" i="1"/>
  <c r="AP849" i="1"/>
  <c r="AO849" i="1"/>
  <c r="AN849" i="1"/>
  <c r="AM849" i="1"/>
  <c r="AL849" i="1"/>
  <c r="AP848" i="1"/>
  <c r="AO848" i="1"/>
  <c r="AN848" i="1"/>
  <c r="AM848" i="1"/>
  <c r="AL848" i="1"/>
  <c r="AP847" i="1"/>
  <c r="AO847" i="1"/>
  <c r="AN847" i="1"/>
  <c r="AM847" i="1"/>
  <c r="AL847" i="1"/>
  <c r="AP846" i="1"/>
  <c r="AO846" i="1"/>
  <c r="AN846" i="1"/>
  <c r="AM846" i="1"/>
  <c r="AL846" i="1"/>
  <c r="AP845" i="1"/>
  <c r="AO845" i="1"/>
  <c r="AN845" i="1"/>
  <c r="AM845" i="1"/>
  <c r="AL845" i="1"/>
  <c r="AP844" i="1"/>
  <c r="AO844" i="1"/>
  <c r="AN844" i="1"/>
  <c r="AM844" i="1"/>
  <c r="AL844" i="1"/>
  <c r="AP843" i="1"/>
  <c r="AO843" i="1"/>
  <c r="AN843" i="1"/>
  <c r="AM843" i="1"/>
  <c r="AL843" i="1"/>
  <c r="AP842" i="1"/>
  <c r="AO842" i="1"/>
  <c r="AN842" i="1"/>
  <c r="AM842" i="1"/>
  <c r="AL842" i="1"/>
  <c r="AP841" i="1"/>
  <c r="AO841" i="1"/>
  <c r="AN841" i="1"/>
  <c r="AM841" i="1"/>
  <c r="AL841" i="1"/>
  <c r="AP840" i="1"/>
  <c r="AO840" i="1"/>
  <c r="AN840" i="1"/>
  <c r="AM840" i="1"/>
  <c r="AL840" i="1"/>
  <c r="AP839" i="1"/>
  <c r="AO839" i="1"/>
  <c r="AN839" i="1"/>
  <c r="AM839" i="1"/>
  <c r="AL839" i="1"/>
  <c r="AP838" i="1"/>
  <c r="AO838" i="1"/>
  <c r="AN838" i="1"/>
  <c r="AM838" i="1"/>
  <c r="AL838" i="1"/>
  <c r="AP837" i="1"/>
  <c r="AO837" i="1"/>
  <c r="AN837" i="1"/>
  <c r="AM837" i="1"/>
  <c r="AL837" i="1"/>
  <c r="AP836" i="1"/>
  <c r="AO836" i="1"/>
  <c r="AN836" i="1"/>
  <c r="AM836" i="1"/>
  <c r="AL836" i="1"/>
  <c r="AP835" i="1"/>
  <c r="AO835" i="1"/>
  <c r="AN835" i="1"/>
  <c r="AM835" i="1"/>
  <c r="AL835" i="1"/>
  <c r="AP834" i="1"/>
  <c r="AO834" i="1"/>
  <c r="AN834" i="1"/>
  <c r="AM834" i="1"/>
  <c r="AL834" i="1"/>
  <c r="AP833" i="1"/>
  <c r="AO833" i="1"/>
  <c r="AN833" i="1"/>
  <c r="AM833" i="1"/>
  <c r="AL833" i="1"/>
  <c r="AP832" i="1"/>
  <c r="AO832" i="1"/>
  <c r="AN832" i="1"/>
  <c r="AM832" i="1"/>
  <c r="AL832" i="1"/>
  <c r="AP831" i="1"/>
  <c r="AO831" i="1"/>
  <c r="AN831" i="1"/>
  <c r="AM831" i="1"/>
  <c r="AL831" i="1"/>
  <c r="AP830" i="1"/>
  <c r="AO830" i="1"/>
  <c r="AN830" i="1"/>
  <c r="AM830" i="1"/>
  <c r="AL830" i="1"/>
  <c r="AP829" i="1"/>
  <c r="AO829" i="1"/>
  <c r="AN829" i="1"/>
  <c r="AM829" i="1"/>
  <c r="AL829" i="1"/>
  <c r="AP828" i="1"/>
  <c r="AO828" i="1"/>
  <c r="AN828" i="1"/>
  <c r="AM828" i="1"/>
  <c r="AL828" i="1"/>
  <c r="AP827" i="1"/>
  <c r="AO827" i="1"/>
  <c r="AN827" i="1"/>
  <c r="AM827" i="1"/>
  <c r="AL827" i="1"/>
  <c r="AP826" i="1"/>
  <c r="AO826" i="1"/>
  <c r="AN826" i="1"/>
  <c r="AM826" i="1"/>
  <c r="AL826" i="1"/>
  <c r="AP825" i="1"/>
  <c r="AO825" i="1"/>
  <c r="AN825" i="1"/>
  <c r="AM825" i="1"/>
  <c r="AL825" i="1"/>
  <c r="AP824" i="1"/>
  <c r="AO824" i="1"/>
  <c r="AN824" i="1"/>
  <c r="AM824" i="1"/>
  <c r="AL824" i="1"/>
  <c r="AP823" i="1"/>
  <c r="AO823" i="1"/>
  <c r="AN823" i="1"/>
  <c r="AM823" i="1"/>
  <c r="AL823" i="1"/>
  <c r="AP822" i="1"/>
  <c r="AO822" i="1"/>
  <c r="AN822" i="1"/>
  <c r="AM822" i="1"/>
  <c r="AL822" i="1"/>
  <c r="AP821" i="1"/>
  <c r="AO821" i="1"/>
  <c r="AN821" i="1"/>
  <c r="AM821" i="1"/>
  <c r="AL821" i="1"/>
  <c r="AP820" i="1"/>
  <c r="AO820" i="1"/>
  <c r="AN820" i="1"/>
  <c r="AM820" i="1"/>
  <c r="AL820" i="1"/>
  <c r="AP819" i="1"/>
  <c r="AO819" i="1"/>
  <c r="AN819" i="1"/>
  <c r="AM819" i="1"/>
  <c r="AL819" i="1"/>
  <c r="AP818" i="1"/>
  <c r="AO818" i="1"/>
  <c r="AN818" i="1"/>
  <c r="AM818" i="1"/>
  <c r="AL818" i="1"/>
  <c r="AP817" i="1"/>
  <c r="AO817" i="1"/>
  <c r="AN817" i="1"/>
  <c r="AM817" i="1"/>
  <c r="AL817" i="1"/>
  <c r="AP816" i="1"/>
  <c r="AO816" i="1"/>
  <c r="AN816" i="1"/>
  <c r="AM816" i="1"/>
  <c r="AL816" i="1"/>
  <c r="AP815" i="1"/>
  <c r="AO815" i="1"/>
  <c r="AN815" i="1"/>
  <c r="AM815" i="1"/>
  <c r="AL815" i="1"/>
  <c r="AP814" i="1"/>
  <c r="AO814" i="1"/>
  <c r="AN814" i="1"/>
  <c r="AM814" i="1"/>
  <c r="AL814" i="1"/>
  <c r="AP813" i="1"/>
  <c r="AO813" i="1"/>
  <c r="AN813" i="1"/>
  <c r="AM813" i="1"/>
  <c r="AL813" i="1"/>
  <c r="AP812" i="1"/>
  <c r="AO812" i="1"/>
  <c r="AN812" i="1"/>
  <c r="AM812" i="1"/>
  <c r="AL812" i="1"/>
  <c r="AP811" i="1"/>
  <c r="AO811" i="1"/>
  <c r="AN811" i="1"/>
  <c r="AM811" i="1"/>
  <c r="AL811" i="1"/>
  <c r="AP810" i="1"/>
  <c r="AO810" i="1"/>
  <c r="AN810" i="1"/>
  <c r="AM810" i="1"/>
  <c r="AL810" i="1"/>
  <c r="AP809" i="1"/>
  <c r="AO809" i="1"/>
  <c r="AN809" i="1"/>
  <c r="AM809" i="1"/>
  <c r="AL809" i="1"/>
  <c r="AP808" i="1"/>
  <c r="AO808" i="1"/>
  <c r="AN808" i="1"/>
  <c r="AM808" i="1"/>
  <c r="AL808" i="1"/>
  <c r="AP807" i="1"/>
  <c r="AO807" i="1"/>
  <c r="AN807" i="1"/>
  <c r="AM807" i="1"/>
  <c r="AL807" i="1"/>
  <c r="AP806" i="1"/>
  <c r="AO806" i="1"/>
  <c r="AN806" i="1"/>
  <c r="AM806" i="1"/>
  <c r="AL806" i="1"/>
  <c r="AP805" i="1"/>
  <c r="AO805" i="1"/>
  <c r="AN805" i="1"/>
  <c r="AM805" i="1"/>
  <c r="AL805" i="1"/>
  <c r="AP804" i="1"/>
  <c r="AO804" i="1"/>
  <c r="AN804" i="1"/>
  <c r="AM804" i="1"/>
  <c r="AL804" i="1"/>
  <c r="AP803" i="1"/>
  <c r="AO803" i="1"/>
  <c r="AN803" i="1"/>
  <c r="AM803" i="1"/>
  <c r="AL803" i="1"/>
  <c r="AP802" i="1"/>
  <c r="AO802" i="1"/>
  <c r="AN802" i="1"/>
  <c r="AM802" i="1"/>
  <c r="AL802" i="1"/>
  <c r="AP801" i="1"/>
  <c r="AO801" i="1"/>
  <c r="AN801" i="1"/>
  <c r="AM801" i="1"/>
  <c r="AL801" i="1"/>
  <c r="AP800" i="1"/>
  <c r="AO800" i="1"/>
  <c r="AN800" i="1"/>
  <c r="AM800" i="1"/>
  <c r="AL800" i="1"/>
  <c r="AP799" i="1"/>
  <c r="AO799" i="1"/>
  <c r="AN799" i="1"/>
  <c r="AM799" i="1"/>
  <c r="AL799" i="1"/>
  <c r="AP798" i="1"/>
  <c r="AO798" i="1"/>
  <c r="AN798" i="1"/>
  <c r="AM798" i="1"/>
  <c r="AL798" i="1"/>
  <c r="AP797" i="1"/>
  <c r="AO797" i="1"/>
  <c r="AN797" i="1"/>
  <c r="AM797" i="1"/>
  <c r="AL797" i="1"/>
  <c r="AP796" i="1"/>
  <c r="AO796" i="1"/>
  <c r="AN796" i="1"/>
  <c r="AM796" i="1"/>
  <c r="AL796" i="1"/>
  <c r="AP795" i="1"/>
  <c r="AO795" i="1"/>
  <c r="AN795" i="1"/>
  <c r="AM795" i="1"/>
  <c r="AL795" i="1"/>
  <c r="AP794" i="1"/>
  <c r="AO794" i="1"/>
  <c r="AN794" i="1"/>
  <c r="AM794" i="1"/>
  <c r="AL794" i="1"/>
  <c r="AP793" i="1"/>
  <c r="AO793" i="1"/>
  <c r="AN793" i="1"/>
  <c r="AM793" i="1"/>
  <c r="AL793" i="1"/>
  <c r="AP792" i="1"/>
  <c r="AO792" i="1"/>
  <c r="AN792" i="1"/>
  <c r="AM792" i="1"/>
  <c r="AL792" i="1"/>
  <c r="AP791" i="1"/>
  <c r="AO791" i="1"/>
  <c r="AN791" i="1"/>
  <c r="AM791" i="1"/>
  <c r="AL791" i="1"/>
  <c r="AP790" i="1"/>
  <c r="AO790" i="1"/>
  <c r="AN790" i="1"/>
  <c r="AM790" i="1"/>
  <c r="AL790" i="1"/>
  <c r="AP789" i="1"/>
  <c r="AO789" i="1"/>
  <c r="AN789" i="1"/>
  <c r="AM789" i="1"/>
  <c r="AL789" i="1"/>
  <c r="AP788" i="1"/>
  <c r="AO788" i="1"/>
  <c r="AN788" i="1"/>
  <c r="AM788" i="1"/>
  <c r="AL788" i="1"/>
  <c r="AP787" i="1"/>
  <c r="AO787" i="1"/>
  <c r="AN787" i="1"/>
  <c r="AM787" i="1"/>
  <c r="AL787" i="1"/>
  <c r="AP786" i="1"/>
  <c r="AO786" i="1"/>
  <c r="AN786" i="1"/>
  <c r="AM786" i="1"/>
  <c r="AL786" i="1"/>
  <c r="AP785" i="1"/>
  <c r="AO785" i="1"/>
  <c r="AN785" i="1"/>
  <c r="AM785" i="1"/>
  <c r="AL785" i="1"/>
  <c r="AP784" i="1"/>
  <c r="AO784" i="1"/>
  <c r="AN784" i="1"/>
  <c r="AM784" i="1"/>
  <c r="AL784" i="1"/>
  <c r="AP783" i="1"/>
  <c r="AO783" i="1"/>
  <c r="AN783" i="1"/>
  <c r="AM783" i="1"/>
  <c r="AL783" i="1"/>
  <c r="AP782" i="1"/>
  <c r="AO782" i="1"/>
  <c r="AN782" i="1"/>
  <c r="AM782" i="1"/>
  <c r="AL782" i="1"/>
  <c r="AP781" i="1"/>
  <c r="AO781" i="1"/>
  <c r="AN781" i="1"/>
  <c r="AM781" i="1"/>
  <c r="AL781" i="1"/>
  <c r="AP780" i="1"/>
  <c r="AO780" i="1"/>
  <c r="AN780" i="1"/>
  <c r="AM780" i="1"/>
  <c r="AL780" i="1"/>
  <c r="AP779" i="1"/>
  <c r="AO779" i="1"/>
  <c r="AN779" i="1"/>
  <c r="AM779" i="1"/>
  <c r="AL779" i="1"/>
  <c r="AP778" i="1"/>
  <c r="AO778" i="1"/>
  <c r="AN778" i="1"/>
  <c r="AM778" i="1"/>
  <c r="AL778" i="1"/>
  <c r="AP777" i="1"/>
  <c r="AO777" i="1"/>
  <c r="AN777" i="1"/>
  <c r="AM777" i="1"/>
  <c r="AL777" i="1"/>
  <c r="AP776" i="1"/>
  <c r="AO776" i="1"/>
  <c r="AN776" i="1"/>
  <c r="AM776" i="1"/>
  <c r="AL776" i="1"/>
  <c r="AP775" i="1"/>
  <c r="AO775" i="1"/>
  <c r="AN775" i="1"/>
  <c r="AM775" i="1"/>
  <c r="AL775" i="1"/>
  <c r="AP774" i="1"/>
  <c r="AO774" i="1"/>
  <c r="AN774" i="1"/>
  <c r="AM774" i="1"/>
  <c r="AL774" i="1"/>
  <c r="AP773" i="1"/>
  <c r="AO773" i="1"/>
  <c r="AN773" i="1"/>
  <c r="AM773" i="1"/>
  <c r="AL773" i="1"/>
  <c r="AP772" i="1"/>
  <c r="AO772" i="1"/>
  <c r="AN772" i="1"/>
  <c r="AM772" i="1"/>
  <c r="AL772" i="1"/>
  <c r="AP771" i="1"/>
  <c r="AO771" i="1"/>
  <c r="AN771" i="1"/>
  <c r="AM771" i="1"/>
  <c r="AL771" i="1"/>
  <c r="AP770" i="1"/>
  <c r="AO770" i="1"/>
  <c r="AN770" i="1"/>
  <c r="AM770" i="1"/>
  <c r="AL770" i="1"/>
  <c r="AP769" i="1"/>
  <c r="AO769" i="1"/>
  <c r="AN769" i="1"/>
  <c r="AM769" i="1"/>
  <c r="AL769" i="1"/>
  <c r="AP768" i="1"/>
  <c r="AO768" i="1"/>
  <c r="AN768" i="1"/>
  <c r="AM768" i="1"/>
  <c r="AL768" i="1"/>
  <c r="AP767" i="1"/>
  <c r="AO767" i="1"/>
  <c r="AN767" i="1"/>
  <c r="AM767" i="1"/>
  <c r="AL767" i="1"/>
  <c r="AP766" i="1"/>
  <c r="AO766" i="1"/>
  <c r="AN766" i="1"/>
  <c r="AM766" i="1"/>
  <c r="AL766" i="1"/>
  <c r="AP765" i="1"/>
  <c r="AO765" i="1"/>
  <c r="AN765" i="1"/>
  <c r="AM765" i="1"/>
  <c r="AL765" i="1"/>
  <c r="AP764" i="1"/>
  <c r="AO764" i="1"/>
  <c r="AN764" i="1"/>
  <c r="AM764" i="1"/>
  <c r="AL764" i="1"/>
  <c r="AP763" i="1"/>
  <c r="AO763" i="1"/>
  <c r="AN763" i="1"/>
  <c r="AM763" i="1"/>
  <c r="AL763" i="1"/>
  <c r="AP762" i="1"/>
  <c r="AO762" i="1"/>
  <c r="AN762" i="1"/>
  <c r="AM762" i="1"/>
  <c r="AL762" i="1"/>
  <c r="AP761" i="1"/>
  <c r="AO761" i="1"/>
  <c r="AN761" i="1"/>
  <c r="AM761" i="1"/>
  <c r="AL761" i="1"/>
  <c r="AP760" i="1"/>
  <c r="AO760" i="1"/>
  <c r="AN760" i="1"/>
  <c r="AM760" i="1"/>
  <c r="AL760" i="1"/>
  <c r="AP759" i="1"/>
  <c r="AO759" i="1"/>
  <c r="AN759" i="1"/>
  <c r="AM759" i="1"/>
  <c r="AL759" i="1"/>
  <c r="AP758" i="1"/>
  <c r="AO758" i="1"/>
  <c r="AN758" i="1"/>
  <c r="AM758" i="1"/>
  <c r="AL758" i="1"/>
  <c r="AP757" i="1"/>
  <c r="AO757" i="1"/>
  <c r="AN757" i="1"/>
  <c r="AM757" i="1"/>
  <c r="AL757" i="1"/>
  <c r="AP756" i="1"/>
  <c r="AO756" i="1"/>
  <c r="AN756" i="1"/>
  <c r="AM756" i="1"/>
  <c r="AL756" i="1"/>
  <c r="AP755" i="1"/>
  <c r="AO755" i="1"/>
  <c r="AN755" i="1"/>
  <c r="AM755" i="1"/>
  <c r="AL755" i="1"/>
  <c r="AP754" i="1"/>
  <c r="AO754" i="1"/>
  <c r="AN754" i="1"/>
  <c r="AM754" i="1"/>
  <c r="AL754" i="1"/>
  <c r="AP753" i="1"/>
  <c r="AO753" i="1"/>
  <c r="AN753" i="1"/>
  <c r="AM753" i="1"/>
  <c r="AL753" i="1"/>
  <c r="AP752" i="1"/>
  <c r="AO752" i="1"/>
  <c r="AN752" i="1"/>
  <c r="AM752" i="1"/>
  <c r="AL752" i="1"/>
  <c r="AP751" i="1"/>
  <c r="AO751" i="1"/>
  <c r="AN751" i="1"/>
  <c r="AM751" i="1"/>
  <c r="AL751" i="1"/>
  <c r="AP750" i="1"/>
  <c r="AO750" i="1"/>
  <c r="AN750" i="1"/>
  <c r="AM750" i="1"/>
  <c r="AL750" i="1"/>
  <c r="AP749" i="1"/>
  <c r="AO749" i="1"/>
  <c r="AN749" i="1"/>
  <c r="AM749" i="1"/>
  <c r="AL749" i="1"/>
  <c r="AP748" i="1"/>
  <c r="AO748" i="1"/>
  <c r="AN748" i="1"/>
  <c r="AM748" i="1"/>
  <c r="AL748" i="1"/>
  <c r="AP747" i="1"/>
  <c r="AO747" i="1"/>
  <c r="AN747" i="1"/>
  <c r="AM747" i="1"/>
  <c r="AL747" i="1"/>
  <c r="AP746" i="1"/>
  <c r="AO746" i="1"/>
  <c r="AN746" i="1"/>
  <c r="AM746" i="1"/>
  <c r="AL746" i="1"/>
  <c r="AP745" i="1"/>
  <c r="AO745" i="1"/>
  <c r="AN745" i="1"/>
  <c r="AM745" i="1"/>
  <c r="AL745" i="1"/>
  <c r="AP744" i="1"/>
  <c r="AO744" i="1"/>
  <c r="AN744" i="1"/>
  <c r="AM744" i="1"/>
  <c r="AL744" i="1"/>
  <c r="AP743" i="1"/>
  <c r="AO743" i="1"/>
  <c r="AN743" i="1"/>
  <c r="AM743" i="1"/>
  <c r="AL743" i="1"/>
  <c r="AP742" i="1"/>
  <c r="AO742" i="1"/>
  <c r="AN742" i="1"/>
  <c r="AM742" i="1"/>
  <c r="AL742" i="1"/>
  <c r="AP741" i="1"/>
  <c r="AO741" i="1"/>
  <c r="AN741" i="1"/>
  <c r="AM741" i="1"/>
  <c r="AL741" i="1"/>
  <c r="AP740" i="1"/>
  <c r="AO740" i="1"/>
  <c r="AN740" i="1"/>
  <c r="AM740" i="1"/>
  <c r="AL740" i="1"/>
  <c r="AP739" i="1"/>
  <c r="AO739" i="1"/>
  <c r="AN739" i="1"/>
  <c r="AM739" i="1"/>
  <c r="AL739" i="1"/>
  <c r="AP738" i="1"/>
  <c r="AO738" i="1"/>
  <c r="AN738" i="1"/>
  <c r="AM738" i="1"/>
  <c r="AL738" i="1"/>
  <c r="AP737" i="1"/>
  <c r="AO737" i="1"/>
  <c r="AN737" i="1"/>
  <c r="AM737" i="1"/>
  <c r="AL737" i="1"/>
  <c r="AP736" i="1"/>
  <c r="AO736" i="1"/>
  <c r="AN736" i="1"/>
  <c r="AM736" i="1"/>
  <c r="AL736" i="1"/>
  <c r="AP735" i="1"/>
  <c r="AO735" i="1"/>
  <c r="AN735" i="1"/>
  <c r="AM735" i="1"/>
  <c r="AL735" i="1"/>
  <c r="AP734" i="1"/>
  <c r="AO734" i="1"/>
  <c r="AN734" i="1"/>
  <c r="AM734" i="1"/>
  <c r="AL734" i="1"/>
  <c r="AP733" i="1"/>
  <c r="AO733" i="1"/>
  <c r="AN733" i="1"/>
  <c r="AM733" i="1"/>
  <c r="AL733" i="1"/>
  <c r="AP732" i="1"/>
  <c r="AO732" i="1"/>
  <c r="AN732" i="1"/>
  <c r="AM732" i="1"/>
  <c r="AL732" i="1"/>
  <c r="AP731" i="1"/>
  <c r="AO731" i="1"/>
  <c r="AN731" i="1"/>
  <c r="AM731" i="1"/>
  <c r="AL731" i="1"/>
  <c r="AP730" i="1"/>
  <c r="AO730" i="1"/>
  <c r="AN730" i="1"/>
  <c r="AM730" i="1"/>
  <c r="AL730" i="1"/>
  <c r="AP729" i="1"/>
  <c r="AO729" i="1"/>
  <c r="AN729" i="1"/>
  <c r="AM729" i="1"/>
  <c r="AL729" i="1"/>
  <c r="AP728" i="1"/>
  <c r="AO728" i="1"/>
  <c r="AN728" i="1"/>
  <c r="AM728" i="1"/>
  <c r="AL728" i="1"/>
  <c r="AP727" i="1"/>
  <c r="AO727" i="1"/>
  <c r="AN727" i="1"/>
  <c r="AM727" i="1"/>
  <c r="AL727" i="1"/>
  <c r="AP726" i="1"/>
  <c r="AO726" i="1"/>
  <c r="AN726" i="1"/>
  <c r="AM726" i="1"/>
  <c r="AL726" i="1"/>
  <c r="AP725" i="1"/>
  <c r="AO725" i="1"/>
  <c r="AN725" i="1"/>
  <c r="AM725" i="1"/>
  <c r="AL725" i="1"/>
  <c r="AP724" i="1"/>
  <c r="AO724" i="1"/>
  <c r="AN724" i="1"/>
  <c r="AM724" i="1"/>
  <c r="AL724" i="1"/>
  <c r="AP723" i="1"/>
  <c r="AO723" i="1"/>
  <c r="AN723" i="1"/>
  <c r="AM723" i="1"/>
  <c r="AL723" i="1"/>
  <c r="AP722" i="1"/>
  <c r="AO722" i="1"/>
  <c r="AN722" i="1"/>
  <c r="AM722" i="1"/>
  <c r="AL722" i="1"/>
  <c r="AP721" i="1"/>
  <c r="AO721" i="1"/>
  <c r="AN721" i="1"/>
  <c r="AM721" i="1"/>
  <c r="AL721" i="1"/>
  <c r="AP720" i="1"/>
  <c r="AO720" i="1"/>
  <c r="AN720" i="1"/>
  <c r="AM720" i="1"/>
  <c r="AL720" i="1"/>
  <c r="AP719" i="1"/>
  <c r="AO719" i="1"/>
  <c r="AN719" i="1"/>
  <c r="AM719" i="1"/>
  <c r="AL719" i="1"/>
  <c r="AP718" i="1"/>
  <c r="AO718" i="1"/>
  <c r="AN718" i="1"/>
  <c r="AM718" i="1"/>
  <c r="AL718" i="1"/>
  <c r="AP717" i="1"/>
  <c r="AO717" i="1"/>
  <c r="AN717" i="1"/>
  <c r="AM717" i="1"/>
  <c r="AL717" i="1"/>
  <c r="AP716" i="1"/>
  <c r="AO716" i="1"/>
  <c r="AN716" i="1"/>
  <c r="AM716" i="1"/>
  <c r="AL716" i="1"/>
  <c r="AP715" i="1"/>
  <c r="AO715" i="1"/>
  <c r="AN715" i="1"/>
  <c r="AM715" i="1"/>
  <c r="AL715" i="1"/>
  <c r="AP714" i="1"/>
  <c r="AO714" i="1"/>
  <c r="AN714" i="1"/>
  <c r="AM714" i="1"/>
  <c r="AL714" i="1"/>
  <c r="AP713" i="1"/>
  <c r="AO713" i="1"/>
  <c r="AN713" i="1"/>
  <c r="AM713" i="1"/>
  <c r="AL713" i="1"/>
  <c r="AP712" i="1"/>
  <c r="AO712" i="1"/>
  <c r="AN712" i="1"/>
  <c r="AM712" i="1"/>
  <c r="AL712" i="1"/>
  <c r="AP711" i="1"/>
  <c r="AO711" i="1"/>
  <c r="AN711" i="1"/>
  <c r="AM711" i="1"/>
  <c r="AL711" i="1"/>
  <c r="AP710" i="1"/>
  <c r="AO710" i="1"/>
  <c r="AN710" i="1"/>
  <c r="AM710" i="1"/>
  <c r="AL710" i="1"/>
  <c r="AP709" i="1"/>
  <c r="AO709" i="1"/>
  <c r="AN709" i="1"/>
  <c r="AM709" i="1"/>
  <c r="AL709" i="1"/>
  <c r="AP708" i="1"/>
  <c r="AO708" i="1"/>
  <c r="AN708" i="1"/>
  <c r="AM708" i="1"/>
  <c r="AL708" i="1"/>
  <c r="AP707" i="1"/>
  <c r="AO707" i="1"/>
  <c r="AN707" i="1"/>
  <c r="AM707" i="1"/>
  <c r="AL707" i="1"/>
  <c r="AP706" i="1"/>
  <c r="AO706" i="1"/>
  <c r="AN706" i="1"/>
  <c r="AM706" i="1"/>
  <c r="AL706" i="1"/>
  <c r="AP705" i="1"/>
  <c r="AO705" i="1"/>
  <c r="AN705" i="1"/>
  <c r="AM705" i="1"/>
  <c r="AL705" i="1"/>
  <c r="AP704" i="1"/>
  <c r="AO704" i="1"/>
  <c r="AN704" i="1"/>
  <c r="AM704" i="1"/>
  <c r="AL704" i="1"/>
  <c r="AP703" i="1"/>
  <c r="AO703" i="1"/>
  <c r="AN703" i="1"/>
  <c r="AM703" i="1"/>
  <c r="AL703" i="1"/>
  <c r="AP702" i="1"/>
  <c r="AO702" i="1"/>
  <c r="AN702" i="1"/>
  <c r="AM702" i="1"/>
  <c r="AL702" i="1"/>
  <c r="AP701" i="1"/>
  <c r="AO701" i="1"/>
  <c r="AN701" i="1"/>
  <c r="AM701" i="1"/>
  <c r="AL701" i="1"/>
  <c r="AP700" i="1"/>
  <c r="AO700" i="1"/>
  <c r="AN700" i="1"/>
  <c r="AM700" i="1"/>
  <c r="AL700" i="1"/>
  <c r="AP699" i="1"/>
  <c r="AO699" i="1"/>
  <c r="AN699" i="1"/>
  <c r="AM699" i="1"/>
  <c r="AL699" i="1"/>
  <c r="AP698" i="1"/>
  <c r="AO698" i="1"/>
  <c r="AN698" i="1"/>
  <c r="AM698" i="1"/>
  <c r="AL698" i="1"/>
  <c r="AP697" i="1"/>
  <c r="AO697" i="1"/>
  <c r="AN697" i="1"/>
  <c r="AM697" i="1"/>
  <c r="AL697" i="1"/>
  <c r="AP696" i="1"/>
  <c r="AO696" i="1"/>
  <c r="AN696" i="1"/>
  <c r="AM696" i="1"/>
  <c r="AL696" i="1"/>
  <c r="AP695" i="1"/>
  <c r="AO695" i="1"/>
  <c r="AN695" i="1"/>
  <c r="AM695" i="1"/>
  <c r="AL695" i="1"/>
  <c r="AP694" i="1"/>
  <c r="AO694" i="1"/>
  <c r="AN694" i="1"/>
  <c r="AM694" i="1"/>
  <c r="AL694" i="1"/>
  <c r="AP693" i="1"/>
  <c r="AO693" i="1"/>
  <c r="AN693" i="1"/>
  <c r="AM693" i="1"/>
  <c r="AL693" i="1"/>
  <c r="AP692" i="1"/>
  <c r="AO692" i="1"/>
  <c r="AN692" i="1"/>
  <c r="AM692" i="1"/>
  <c r="AL692" i="1"/>
  <c r="AP691" i="1"/>
  <c r="AO691" i="1"/>
  <c r="AN691" i="1"/>
  <c r="AM691" i="1"/>
  <c r="AL691" i="1"/>
  <c r="AP690" i="1"/>
  <c r="AO690" i="1"/>
  <c r="AN690" i="1"/>
  <c r="AM690" i="1"/>
  <c r="AL690" i="1"/>
  <c r="AP689" i="1"/>
  <c r="AO689" i="1"/>
  <c r="AN689" i="1"/>
  <c r="AM689" i="1"/>
  <c r="AL689" i="1"/>
  <c r="AP688" i="1"/>
  <c r="AO688" i="1"/>
  <c r="AN688" i="1"/>
  <c r="AM688" i="1"/>
  <c r="AL688" i="1"/>
  <c r="AP687" i="1"/>
  <c r="AO687" i="1"/>
  <c r="AN687" i="1"/>
  <c r="AM687" i="1"/>
  <c r="AL687" i="1"/>
  <c r="AP686" i="1"/>
  <c r="AO686" i="1"/>
  <c r="AN686" i="1"/>
  <c r="AM686" i="1"/>
  <c r="AL686" i="1"/>
  <c r="AP685" i="1"/>
  <c r="AO685" i="1"/>
  <c r="AN685" i="1"/>
  <c r="AM685" i="1"/>
  <c r="AL685" i="1"/>
  <c r="AP684" i="1"/>
  <c r="AO684" i="1"/>
  <c r="AN684" i="1"/>
  <c r="AM684" i="1"/>
  <c r="AL684" i="1"/>
  <c r="AP683" i="1"/>
  <c r="AO683" i="1"/>
  <c r="AN683" i="1"/>
  <c r="AM683" i="1"/>
  <c r="AL683" i="1"/>
  <c r="AP682" i="1"/>
  <c r="AO682" i="1"/>
  <c r="AN682" i="1"/>
  <c r="AM682" i="1"/>
  <c r="AL682" i="1"/>
  <c r="AP681" i="1"/>
  <c r="AO681" i="1"/>
  <c r="AN681" i="1"/>
  <c r="AM681" i="1"/>
  <c r="AL681" i="1"/>
  <c r="AP680" i="1"/>
  <c r="AO680" i="1"/>
  <c r="AN680" i="1"/>
  <c r="AM680" i="1"/>
  <c r="AL680" i="1"/>
  <c r="AP679" i="1"/>
  <c r="AO679" i="1"/>
  <c r="AN679" i="1"/>
  <c r="AM679" i="1"/>
  <c r="AL679" i="1"/>
  <c r="AP678" i="1"/>
  <c r="AO678" i="1"/>
  <c r="AN678" i="1"/>
  <c r="AM678" i="1"/>
  <c r="AL678" i="1"/>
  <c r="AP677" i="1"/>
  <c r="AO677" i="1"/>
  <c r="AN677" i="1"/>
  <c r="AM677" i="1"/>
  <c r="AL677" i="1"/>
  <c r="AP676" i="1"/>
  <c r="AO676" i="1"/>
  <c r="AN676" i="1"/>
  <c r="AM676" i="1"/>
  <c r="AL676" i="1"/>
  <c r="AP675" i="1"/>
  <c r="AO675" i="1"/>
  <c r="AN675" i="1"/>
  <c r="AM675" i="1"/>
  <c r="AL675" i="1"/>
  <c r="AP674" i="1"/>
  <c r="AO674" i="1"/>
  <c r="AN674" i="1"/>
  <c r="AM674" i="1"/>
  <c r="AL674" i="1"/>
  <c r="AP673" i="1"/>
  <c r="AO673" i="1"/>
  <c r="AN673" i="1"/>
  <c r="AM673" i="1"/>
  <c r="AL673" i="1"/>
  <c r="AP672" i="1"/>
  <c r="AO672" i="1"/>
  <c r="AN672" i="1"/>
  <c r="AM672" i="1"/>
  <c r="AL672" i="1"/>
  <c r="AP671" i="1"/>
  <c r="AO671" i="1"/>
  <c r="AN671" i="1"/>
  <c r="AM671" i="1"/>
  <c r="AL671" i="1"/>
  <c r="AP670" i="1"/>
  <c r="AO670" i="1"/>
  <c r="AN670" i="1"/>
  <c r="AM670" i="1"/>
  <c r="AL670" i="1"/>
  <c r="AP669" i="1"/>
  <c r="AO669" i="1"/>
  <c r="AN669" i="1"/>
  <c r="AM669" i="1"/>
  <c r="AL669" i="1"/>
  <c r="AP668" i="1"/>
  <c r="AO668" i="1"/>
  <c r="AN668" i="1"/>
  <c r="AM668" i="1"/>
  <c r="AL668" i="1"/>
  <c r="AP667" i="1"/>
  <c r="AO667" i="1"/>
  <c r="AN667" i="1"/>
  <c r="AM667" i="1"/>
  <c r="AL667" i="1"/>
  <c r="AP666" i="1"/>
  <c r="AO666" i="1"/>
  <c r="AN666" i="1"/>
  <c r="AM666" i="1"/>
  <c r="AL666" i="1"/>
  <c r="AP665" i="1"/>
  <c r="AO665" i="1"/>
  <c r="AN665" i="1"/>
  <c r="AM665" i="1"/>
  <c r="AL665" i="1"/>
  <c r="AP664" i="1"/>
  <c r="AO664" i="1"/>
  <c r="AN664" i="1"/>
  <c r="AM664" i="1"/>
  <c r="AL664" i="1"/>
  <c r="AP663" i="1"/>
  <c r="AO663" i="1"/>
  <c r="AN663" i="1"/>
  <c r="AM663" i="1"/>
  <c r="AL663" i="1"/>
  <c r="AP662" i="1"/>
  <c r="AO662" i="1"/>
  <c r="AN662" i="1"/>
  <c r="AM662" i="1"/>
  <c r="AL662" i="1"/>
  <c r="AP661" i="1"/>
  <c r="AO661" i="1"/>
  <c r="AN661" i="1"/>
  <c r="AM661" i="1"/>
  <c r="AL661" i="1"/>
  <c r="AP660" i="1"/>
  <c r="AO660" i="1"/>
  <c r="AN660" i="1"/>
  <c r="AM660" i="1"/>
  <c r="AL660" i="1"/>
  <c r="AP659" i="1"/>
  <c r="AO659" i="1"/>
  <c r="AN659" i="1"/>
  <c r="AM659" i="1"/>
  <c r="AL659" i="1"/>
  <c r="AP658" i="1"/>
  <c r="AO658" i="1"/>
  <c r="AN658" i="1"/>
  <c r="AM658" i="1"/>
  <c r="AL658" i="1"/>
  <c r="AP657" i="1"/>
  <c r="AO657" i="1"/>
  <c r="AN657" i="1"/>
  <c r="AM657" i="1"/>
  <c r="AL657" i="1"/>
  <c r="AP656" i="1"/>
  <c r="AO656" i="1"/>
  <c r="AN656" i="1"/>
  <c r="AM656" i="1"/>
  <c r="AL656" i="1"/>
  <c r="AP655" i="1"/>
  <c r="AO655" i="1"/>
  <c r="AN655" i="1"/>
  <c r="AM655" i="1"/>
  <c r="AL655" i="1"/>
  <c r="AP654" i="1"/>
  <c r="AO654" i="1"/>
  <c r="AN654" i="1"/>
  <c r="AM654" i="1"/>
  <c r="AL654" i="1"/>
  <c r="AP653" i="1"/>
  <c r="AO653" i="1"/>
  <c r="AN653" i="1"/>
  <c r="AM653" i="1"/>
  <c r="AL653" i="1"/>
  <c r="AP652" i="1"/>
  <c r="AO652" i="1"/>
  <c r="AN652" i="1"/>
  <c r="AM652" i="1"/>
  <c r="AL652" i="1"/>
  <c r="AP651" i="1"/>
  <c r="AO651" i="1"/>
  <c r="AN651" i="1"/>
  <c r="AM651" i="1"/>
  <c r="AL651" i="1"/>
  <c r="AP650" i="1"/>
  <c r="AO650" i="1"/>
  <c r="AN650" i="1"/>
  <c r="AM650" i="1"/>
  <c r="AL650" i="1"/>
  <c r="AP649" i="1"/>
  <c r="AO649" i="1"/>
  <c r="AN649" i="1"/>
  <c r="AM649" i="1"/>
  <c r="AL649" i="1"/>
  <c r="AP648" i="1"/>
  <c r="AO648" i="1"/>
  <c r="AN648" i="1"/>
  <c r="AM648" i="1"/>
  <c r="AL648" i="1"/>
  <c r="AP647" i="1"/>
  <c r="AO647" i="1"/>
  <c r="AN647" i="1"/>
  <c r="AM647" i="1"/>
  <c r="AL647" i="1"/>
  <c r="AP646" i="1"/>
  <c r="AO646" i="1"/>
  <c r="AN646" i="1"/>
  <c r="AM646" i="1"/>
  <c r="AL646" i="1"/>
  <c r="AP645" i="1"/>
  <c r="AO645" i="1"/>
  <c r="AN645" i="1"/>
  <c r="AM645" i="1"/>
  <c r="AL645" i="1"/>
  <c r="AP644" i="1"/>
  <c r="AO644" i="1"/>
  <c r="AN644" i="1"/>
  <c r="AM644" i="1"/>
  <c r="AL644" i="1"/>
  <c r="AP643" i="1"/>
  <c r="AO643" i="1"/>
  <c r="AN643" i="1"/>
  <c r="AM643" i="1"/>
  <c r="AL643" i="1"/>
  <c r="AP642" i="1"/>
  <c r="AO642" i="1"/>
  <c r="AN642" i="1"/>
  <c r="AM642" i="1"/>
  <c r="AL642" i="1"/>
  <c r="AP641" i="1"/>
  <c r="AO641" i="1"/>
  <c r="AN641" i="1"/>
  <c r="AM641" i="1"/>
  <c r="AL641" i="1"/>
  <c r="AP640" i="1"/>
  <c r="AO640" i="1"/>
  <c r="AN640" i="1"/>
  <c r="AM640" i="1"/>
  <c r="AL640" i="1"/>
  <c r="AP639" i="1"/>
  <c r="AO639" i="1"/>
  <c r="AN639" i="1"/>
  <c r="AM639" i="1"/>
  <c r="AL639" i="1"/>
  <c r="AP638" i="1"/>
  <c r="AO638" i="1"/>
  <c r="AN638" i="1"/>
  <c r="AM638" i="1"/>
  <c r="AL638" i="1"/>
  <c r="AP637" i="1"/>
  <c r="AO637" i="1"/>
  <c r="AN637" i="1"/>
  <c r="AM637" i="1"/>
  <c r="AL637" i="1"/>
  <c r="AP636" i="1"/>
  <c r="AO636" i="1"/>
  <c r="AN636" i="1"/>
  <c r="AM636" i="1"/>
  <c r="AL636" i="1"/>
  <c r="AP635" i="1"/>
  <c r="AO635" i="1"/>
  <c r="AN635" i="1"/>
  <c r="AM635" i="1"/>
  <c r="AL635" i="1"/>
  <c r="AP634" i="1"/>
  <c r="AO634" i="1"/>
  <c r="AN634" i="1"/>
  <c r="AM634" i="1"/>
  <c r="AL634" i="1"/>
  <c r="AP633" i="1"/>
  <c r="AO633" i="1"/>
  <c r="AN633" i="1"/>
  <c r="AM633" i="1"/>
  <c r="AL633" i="1"/>
  <c r="AP632" i="1"/>
  <c r="AO632" i="1"/>
  <c r="AN632" i="1"/>
  <c r="AM632" i="1"/>
  <c r="AL632" i="1"/>
  <c r="AP631" i="1"/>
  <c r="AO631" i="1"/>
  <c r="AN631" i="1"/>
  <c r="AM631" i="1"/>
  <c r="AL631" i="1"/>
  <c r="AP630" i="1"/>
  <c r="AO630" i="1"/>
  <c r="AN630" i="1"/>
  <c r="AM630" i="1"/>
  <c r="AL630" i="1"/>
  <c r="AP629" i="1"/>
  <c r="AO629" i="1"/>
  <c r="AN629" i="1"/>
  <c r="AM629" i="1"/>
  <c r="AL629" i="1"/>
  <c r="AP628" i="1"/>
  <c r="AO628" i="1"/>
  <c r="AN628" i="1"/>
  <c r="AM628" i="1"/>
  <c r="AL628" i="1"/>
  <c r="AP627" i="1"/>
  <c r="AO627" i="1"/>
  <c r="AN627" i="1"/>
  <c r="AM627" i="1"/>
  <c r="AL627" i="1"/>
  <c r="AP626" i="1"/>
  <c r="AO626" i="1"/>
  <c r="AN626" i="1"/>
  <c r="AM626" i="1"/>
  <c r="AL626" i="1"/>
  <c r="AP625" i="1"/>
  <c r="AO625" i="1"/>
  <c r="AN625" i="1"/>
  <c r="AM625" i="1"/>
  <c r="AL625" i="1"/>
  <c r="AP624" i="1"/>
  <c r="AO624" i="1"/>
  <c r="AN624" i="1"/>
  <c r="AM624" i="1"/>
  <c r="AL624" i="1"/>
  <c r="AP623" i="1"/>
  <c r="AO623" i="1"/>
  <c r="AN623" i="1"/>
  <c r="AM623" i="1"/>
  <c r="AL623" i="1"/>
  <c r="AP622" i="1"/>
  <c r="AO622" i="1"/>
  <c r="AN622" i="1"/>
  <c r="AM622" i="1"/>
  <c r="AL622" i="1"/>
  <c r="AP621" i="1"/>
  <c r="AO621" i="1"/>
  <c r="AN621" i="1"/>
  <c r="AM621" i="1"/>
  <c r="AL621" i="1"/>
  <c r="AP620" i="1"/>
  <c r="AO620" i="1"/>
  <c r="AN620" i="1"/>
  <c r="AM620" i="1"/>
  <c r="AL620" i="1"/>
  <c r="AP619" i="1"/>
  <c r="AO619" i="1"/>
  <c r="AN619" i="1"/>
  <c r="AM619" i="1"/>
  <c r="AL619" i="1"/>
  <c r="AP618" i="1"/>
  <c r="AO618" i="1"/>
  <c r="AN618" i="1"/>
  <c r="AM618" i="1"/>
  <c r="AL618" i="1"/>
  <c r="AP617" i="1"/>
  <c r="AO617" i="1"/>
  <c r="AN617" i="1"/>
  <c r="AM617" i="1"/>
  <c r="AL617" i="1"/>
  <c r="AP616" i="1"/>
  <c r="AO616" i="1"/>
  <c r="AN616" i="1"/>
  <c r="AM616" i="1"/>
  <c r="AL616" i="1"/>
  <c r="AP615" i="1"/>
  <c r="AO615" i="1"/>
  <c r="AN615" i="1"/>
  <c r="AM615" i="1"/>
  <c r="AL615" i="1"/>
  <c r="AP614" i="1"/>
  <c r="AO614" i="1"/>
  <c r="AN614" i="1"/>
  <c r="AM614" i="1"/>
  <c r="AL614" i="1"/>
  <c r="AP613" i="1"/>
  <c r="AO613" i="1"/>
  <c r="AN613" i="1"/>
  <c r="AM613" i="1"/>
  <c r="AL613" i="1"/>
  <c r="AP612" i="1"/>
  <c r="AO612" i="1"/>
  <c r="AN612" i="1"/>
  <c r="AM612" i="1"/>
  <c r="AL612" i="1"/>
  <c r="AP611" i="1"/>
  <c r="AO611" i="1"/>
  <c r="AN611" i="1"/>
  <c r="AM611" i="1"/>
  <c r="AL611" i="1"/>
  <c r="AP610" i="1"/>
  <c r="AO610" i="1"/>
  <c r="AN610" i="1"/>
  <c r="AM610" i="1"/>
  <c r="AL610" i="1"/>
  <c r="AP609" i="1"/>
  <c r="AO609" i="1"/>
  <c r="AN609" i="1"/>
  <c r="AM609" i="1"/>
  <c r="AL609" i="1"/>
  <c r="AP608" i="1"/>
  <c r="AO608" i="1"/>
  <c r="AN608" i="1"/>
  <c r="AM608" i="1"/>
  <c r="AL608" i="1"/>
  <c r="AP607" i="1"/>
  <c r="AO607" i="1"/>
  <c r="AN607" i="1"/>
  <c r="AM607" i="1"/>
  <c r="AL607" i="1"/>
  <c r="AP606" i="1"/>
  <c r="AO606" i="1"/>
  <c r="AN606" i="1"/>
  <c r="AM606" i="1"/>
  <c r="AL606" i="1"/>
  <c r="AP605" i="1"/>
  <c r="AO605" i="1"/>
  <c r="AN605" i="1"/>
  <c r="AM605" i="1"/>
  <c r="AL605" i="1"/>
  <c r="AP604" i="1"/>
  <c r="AO604" i="1"/>
  <c r="AN604" i="1"/>
  <c r="AM604" i="1"/>
  <c r="AL604" i="1"/>
  <c r="AP603" i="1"/>
  <c r="AO603" i="1"/>
  <c r="AN603" i="1"/>
  <c r="AM603" i="1"/>
  <c r="AL603" i="1"/>
  <c r="AP602" i="1"/>
  <c r="AO602" i="1"/>
  <c r="AN602" i="1"/>
  <c r="AM602" i="1"/>
  <c r="AL602" i="1"/>
  <c r="AP601" i="1"/>
  <c r="AO601" i="1"/>
  <c r="AN601" i="1"/>
  <c r="AM601" i="1"/>
  <c r="AL601" i="1"/>
  <c r="AP600" i="1"/>
  <c r="AO600" i="1"/>
  <c r="AN600" i="1"/>
  <c r="AM600" i="1"/>
  <c r="AL600" i="1"/>
  <c r="AP599" i="1"/>
  <c r="AO599" i="1"/>
  <c r="AN599" i="1"/>
  <c r="AM599" i="1"/>
  <c r="AL599" i="1"/>
  <c r="AP598" i="1"/>
  <c r="AO598" i="1"/>
  <c r="AN598" i="1"/>
  <c r="AM598" i="1"/>
  <c r="AL598" i="1"/>
  <c r="AP597" i="1"/>
  <c r="AO597" i="1"/>
  <c r="AN597" i="1"/>
  <c r="AM597" i="1"/>
  <c r="AL597" i="1"/>
  <c r="AP596" i="1"/>
  <c r="AO596" i="1"/>
  <c r="AN596" i="1"/>
  <c r="AM596" i="1"/>
  <c r="AL596" i="1"/>
  <c r="AP595" i="1"/>
  <c r="AO595" i="1"/>
  <c r="AN595" i="1"/>
  <c r="AM595" i="1"/>
  <c r="AL595" i="1"/>
  <c r="AP594" i="1"/>
  <c r="AO594" i="1"/>
  <c r="AN594" i="1"/>
  <c r="AM594" i="1"/>
  <c r="AL594" i="1"/>
  <c r="AP593" i="1"/>
  <c r="AO593" i="1"/>
  <c r="AN593" i="1"/>
  <c r="AM593" i="1"/>
  <c r="AL593" i="1"/>
  <c r="AP592" i="1"/>
  <c r="AO592" i="1"/>
  <c r="AN592" i="1"/>
  <c r="AM592" i="1"/>
  <c r="AL592" i="1"/>
  <c r="AP591" i="1"/>
  <c r="AO591" i="1"/>
  <c r="AN591" i="1"/>
  <c r="AM591" i="1"/>
  <c r="AL591" i="1"/>
  <c r="AP590" i="1"/>
  <c r="AO590" i="1"/>
  <c r="AN590" i="1"/>
  <c r="AM590" i="1"/>
  <c r="AL590" i="1"/>
  <c r="AP589" i="1"/>
  <c r="AO589" i="1"/>
  <c r="AN589" i="1"/>
  <c r="AM589" i="1"/>
  <c r="AL589" i="1"/>
  <c r="AP588" i="1"/>
  <c r="AO588" i="1"/>
  <c r="AN588" i="1"/>
  <c r="AM588" i="1"/>
  <c r="AL588" i="1"/>
  <c r="AP587" i="1"/>
  <c r="AO587" i="1"/>
  <c r="AN587" i="1"/>
  <c r="AM587" i="1"/>
  <c r="AL587" i="1"/>
  <c r="AP586" i="1"/>
  <c r="AO586" i="1"/>
  <c r="AN586" i="1"/>
  <c r="AM586" i="1"/>
  <c r="AL586" i="1"/>
  <c r="AP585" i="1"/>
  <c r="AO585" i="1"/>
  <c r="AN585" i="1"/>
  <c r="AM585" i="1"/>
  <c r="AL585" i="1"/>
  <c r="AP584" i="1"/>
  <c r="AO584" i="1"/>
  <c r="AN584" i="1"/>
  <c r="AM584" i="1"/>
  <c r="AL584" i="1"/>
  <c r="AP583" i="1"/>
  <c r="AO583" i="1"/>
  <c r="AN583" i="1"/>
  <c r="AM583" i="1"/>
  <c r="AL583" i="1"/>
  <c r="AP582" i="1"/>
  <c r="AO582" i="1"/>
  <c r="AN582" i="1"/>
  <c r="AM582" i="1"/>
  <c r="AL582" i="1"/>
  <c r="AP581" i="1"/>
  <c r="AO581" i="1"/>
  <c r="AN581" i="1"/>
  <c r="AM581" i="1"/>
  <c r="AL581" i="1"/>
  <c r="AP580" i="1"/>
  <c r="AO580" i="1"/>
  <c r="AN580" i="1"/>
  <c r="AM580" i="1"/>
  <c r="AL580" i="1"/>
  <c r="AP579" i="1"/>
  <c r="AO579" i="1"/>
  <c r="AN579" i="1"/>
  <c r="AM579" i="1"/>
  <c r="AL579" i="1"/>
  <c r="AP578" i="1"/>
  <c r="AO578" i="1"/>
  <c r="AN578" i="1"/>
  <c r="AM578" i="1"/>
  <c r="AL578" i="1"/>
  <c r="AP577" i="1"/>
  <c r="AO577" i="1"/>
  <c r="AN577" i="1"/>
  <c r="AM577" i="1"/>
  <c r="AL577" i="1"/>
  <c r="AP576" i="1"/>
  <c r="AO576" i="1"/>
  <c r="AN576" i="1"/>
  <c r="AM576" i="1"/>
  <c r="AL576" i="1"/>
  <c r="AP575" i="1"/>
  <c r="AO575" i="1"/>
  <c r="AN575" i="1"/>
  <c r="AM575" i="1"/>
  <c r="AL575" i="1"/>
  <c r="AP574" i="1"/>
  <c r="AO574" i="1"/>
  <c r="AN574" i="1"/>
  <c r="AM574" i="1"/>
  <c r="AL574" i="1"/>
  <c r="AP573" i="1"/>
  <c r="AO573" i="1"/>
  <c r="AN573" i="1"/>
  <c r="AM573" i="1"/>
  <c r="AL573" i="1"/>
  <c r="AP572" i="1"/>
  <c r="AO572" i="1"/>
  <c r="AN572" i="1"/>
  <c r="AM572" i="1"/>
  <c r="AL572" i="1"/>
  <c r="AP571" i="1"/>
  <c r="AO571" i="1"/>
  <c r="AN571" i="1"/>
  <c r="AM571" i="1"/>
  <c r="AL571" i="1"/>
  <c r="AP570" i="1"/>
  <c r="AO570" i="1"/>
  <c r="AN570" i="1"/>
  <c r="AM570" i="1"/>
  <c r="AL570" i="1"/>
  <c r="AP569" i="1"/>
  <c r="AO569" i="1"/>
  <c r="AN569" i="1"/>
  <c r="AM569" i="1"/>
  <c r="AL569" i="1"/>
  <c r="AP568" i="1"/>
  <c r="AO568" i="1"/>
  <c r="AN568" i="1"/>
  <c r="AM568" i="1"/>
  <c r="AL568" i="1"/>
  <c r="AP567" i="1"/>
  <c r="AO567" i="1"/>
  <c r="AN567" i="1"/>
  <c r="AM567" i="1"/>
  <c r="AL567" i="1"/>
  <c r="AP566" i="1"/>
  <c r="AO566" i="1"/>
  <c r="AN566" i="1"/>
  <c r="AM566" i="1"/>
  <c r="AL566" i="1"/>
  <c r="AP565" i="1"/>
  <c r="AO565" i="1"/>
  <c r="AN565" i="1"/>
  <c r="AM565" i="1"/>
  <c r="AL565" i="1"/>
  <c r="AP564" i="1"/>
  <c r="AO564" i="1"/>
  <c r="AN564" i="1"/>
  <c r="AM564" i="1"/>
  <c r="AL564" i="1"/>
  <c r="AP563" i="1"/>
  <c r="AO563" i="1"/>
  <c r="AN563" i="1"/>
  <c r="AM563" i="1"/>
  <c r="AL563" i="1"/>
  <c r="AP562" i="1"/>
  <c r="AO562" i="1"/>
  <c r="AN562" i="1"/>
  <c r="AM562" i="1"/>
  <c r="AL562" i="1"/>
  <c r="AP561" i="1"/>
  <c r="AO561" i="1"/>
  <c r="AN561" i="1"/>
  <c r="AM561" i="1"/>
  <c r="AL561" i="1"/>
  <c r="AP560" i="1"/>
  <c r="AO560" i="1"/>
  <c r="AN560" i="1"/>
  <c r="AM560" i="1"/>
  <c r="AL560" i="1"/>
  <c r="AP559" i="1"/>
  <c r="AO559" i="1"/>
  <c r="AN559" i="1"/>
  <c r="AM559" i="1"/>
  <c r="AL559" i="1"/>
  <c r="AP558" i="1"/>
  <c r="AO558" i="1"/>
  <c r="AN558" i="1"/>
  <c r="AM558" i="1"/>
  <c r="AL558" i="1"/>
  <c r="AP557" i="1"/>
  <c r="AO557" i="1"/>
  <c r="AN557" i="1"/>
  <c r="AM557" i="1"/>
  <c r="AL557" i="1"/>
  <c r="AP556" i="1"/>
  <c r="AO556" i="1"/>
  <c r="AN556" i="1"/>
  <c r="AM556" i="1"/>
  <c r="AL556" i="1"/>
  <c r="AP555" i="1"/>
  <c r="AO555" i="1"/>
  <c r="AN555" i="1"/>
  <c r="AM555" i="1"/>
  <c r="AL555" i="1"/>
  <c r="AP554" i="1"/>
  <c r="AO554" i="1"/>
  <c r="AN554" i="1"/>
  <c r="AM554" i="1"/>
  <c r="AL554" i="1"/>
  <c r="AP553" i="1"/>
  <c r="AO553" i="1"/>
  <c r="AN553" i="1"/>
  <c r="AM553" i="1"/>
  <c r="AL553" i="1"/>
  <c r="AP552" i="1"/>
  <c r="AO552" i="1"/>
  <c r="AN552" i="1"/>
  <c r="AM552" i="1"/>
  <c r="AL552" i="1"/>
  <c r="AP551" i="1"/>
  <c r="AO551" i="1"/>
  <c r="AN551" i="1"/>
  <c r="AM551" i="1"/>
  <c r="AL551" i="1"/>
  <c r="AP550" i="1"/>
  <c r="AO550" i="1"/>
  <c r="AN550" i="1"/>
  <c r="AM550" i="1"/>
  <c r="AL550" i="1"/>
  <c r="AP549" i="1"/>
  <c r="AO549" i="1"/>
  <c r="AN549" i="1"/>
  <c r="AM549" i="1"/>
  <c r="AL549" i="1"/>
  <c r="AP548" i="1"/>
  <c r="AO548" i="1"/>
  <c r="AN548" i="1"/>
  <c r="AM548" i="1"/>
  <c r="AL548" i="1"/>
  <c r="AP547" i="1"/>
  <c r="AO547" i="1"/>
  <c r="AN547" i="1"/>
  <c r="AM547" i="1"/>
  <c r="AL547" i="1"/>
  <c r="AP546" i="1"/>
  <c r="AO546" i="1"/>
  <c r="AN546" i="1"/>
  <c r="AM546" i="1"/>
  <c r="AL546" i="1"/>
  <c r="AP545" i="1"/>
  <c r="AO545" i="1"/>
  <c r="AN545" i="1"/>
  <c r="AM545" i="1"/>
  <c r="AL545" i="1"/>
  <c r="AP544" i="1"/>
  <c r="AO544" i="1"/>
  <c r="AN544" i="1"/>
  <c r="AM544" i="1"/>
  <c r="AL544" i="1"/>
  <c r="AP543" i="1"/>
  <c r="AO543" i="1"/>
  <c r="AN543" i="1"/>
  <c r="AM543" i="1"/>
  <c r="AL543" i="1"/>
  <c r="AP542" i="1"/>
  <c r="AO542" i="1"/>
  <c r="AN542" i="1"/>
  <c r="AM542" i="1"/>
  <c r="AL542" i="1"/>
  <c r="AP541" i="1"/>
  <c r="AO541" i="1"/>
  <c r="AN541" i="1"/>
  <c r="AM541" i="1"/>
  <c r="AL541" i="1"/>
  <c r="AP540" i="1"/>
  <c r="AO540" i="1"/>
  <c r="AN540" i="1"/>
  <c r="AM540" i="1"/>
  <c r="AL540" i="1"/>
  <c r="AP539" i="1"/>
  <c r="AO539" i="1"/>
  <c r="AN539" i="1"/>
  <c r="AM539" i="1"/>
  <c r="AL539" i="1"/>
  <c r="AP538" i="1"/>
  <c r="AO538" i="1"/>
  <c r="AN538" i="1"/>
  <c r="AM538" i="1"/>
  <c r="AL538" i="1"/>
  <c r="AP537" i="1"/>
  <c r="AO537" i="1"/>
  <c r="AN537" i="1"/>
  <c r="AM537" i="1"/>
  <c r="AL537" i="1"/>
  <c r="AP536" i="1"/>
  <c r="AO536" i="1"/>
  <c r="AN536" i="1"/>
  <c r="AM536" i="1"/>
  <c r="AL536" i="1"/>
  <c r="AP535" i="1"/>
  <c r="AO535" i="1"/>
  <c r="AN535" i="1"/>
  <c r="AM535" i="1"/>
  <c r="AL535" i="1"/>
  <c r="AP534" i="1"/>
  <c r="AO534" i="1"/>
  <c r="AN534" i="1"/>
  <c r="AM534" i="1"/>
  <c r="AL534" i="1"/>
  <c r="AP533" i="1"/>
  <c r="AO533" i="1"/>
  <c r="AN533" i="1"/>
  <c r="AM533" i="1"/>
  <c r="AL533" i="1"/>
  <c r="AP532" i="1"/>
  <c r="AO532" i="1"/>
  <c r="AN532" i="1"/>
  <c r="AM532" i="1"/>
  <c r="AL532" i="1"/>
  <c r="AP531" i="1"/>
  <c r="AO531" i="1"/>
  <c r="AN531" i="1"/>
  <c r="AM531" i="1"/>
  <c r="AL531" i="1"/>
  <c r="AP530" i="1"/>
  <c r="AO530" i="1"/>
  <c r="AN530" i="1"/>
  <c r="AM530" i="1"/>
  <c r="AL530" i="1"/>
  <c r="AP529" i="1"/>
  <c r="AO529" i="1"/>
  <c r="AN529" i="1"/>
  <c r="AM529" i="1"/>
  <c r="AL529" i="1"/>
  <c r="AP528" i="1"/>
  <c r="AO528" i="1"/>
  <c r="AN528" i="1"/>
  <c r="AM528" i="1"/>
  <c r="AL528" i="1"/>
  <c r="AP527" i="1"/>
  <c r="AO527" i="1"/>
  <c r="AN527" i="1"/>
  <c r="AM527" i="1"/>
  <c r="AL527" i="1"/>
  <c r="AP526" i="1"/>
  <c r="AO526" i="1"/>
  <c r="AN526" i="1"/>
  <c r="AM526" i="1"/>
  <c r="AL526" i="1"/>
  <c r="AP525" i="1"/>
  <c r="AO525" i="1"/>
  <c r="AN525" i="1"/>
  <c r="AM525" i="1"/>
  <c r="AL525" i="1"/>
  <c r="AP524" i="1"/>
  <c r="AO524" i="1"/>
  <c r="AN524" i="1"/>
  <c r="AM524" i="1"/>
  <c r="AL524" i="1"/>
  <c r="AP523" i="1"/>
  <c r="AO523" i="1"/>
  <c r="AN523" i="1"/>
  <c r="AM523" i="1"/>
  <c r="AL523" i="1"/>
  <c r="AP522" i="1"/>
  <c r="AO522" i="1"/>
  <c r="AN522" i="1"/>
  <c r="AM522" i="1"/>
  <c r="AL522" i="1"/>
  <c r="AP521" i="1"/>
  <c r="AO521" i="1"/>
  <c r="AN521" i="1"/>
  <c r="AM521" i="1"/>
  <c r="AL521" i="1"/>
  <c r="AP520" i="1"/>
  <c r="AO520" i="1"/>
  <c r="AN520" i="1"/>
  <c r="AM520" i="1"/>
  <c r="AL520" i="1"/>
  <c r="AP519" i="1"/>
  <c r="AO519" i="1"/>
  <c r="AN519" i="1"/>
  <c r="AM519" i="1"/>
  <c r="AL519" i="1"/>
  <c r="AP518" i="1"/>
  <c r="AO518" i="1"/>
  <c r="AN518" i="1"/>
  <c r="AM518" i="1"/>
  <c r="AL518" i="1"/>
  <c r="AP517" i="1"/>
  <c r="AO517" i="1"/>
  <c r="AN517" i="1"/>
  <c r="AM517" i="1"/>
  <c r="AL517" i="1"/>
  <c r="AP516" i="1"/>
  <c r="AO516" i="1"/>
  <c r="AN516" i="1"/>
  <c r="AM516" i="1"/>
  <c r="AL516" i="1"/>
  <c r="AP515" i="1"/>
  <c r="AO515" i="1"/>
  <c r="AN515" i="1"/>
  <c r="AM515" i="1"/>
  <c r="AL515" i="1"/>
  <c r="AP514" i="1"/>
  <c r="AO514" i="1"/>
  <c r="AN514" i="1"/>
  <c r="AM514" i="1"/>
  <c r="AL514" i="1"/>
  <c r="AP513" i="1"/>
  <c r="AO513" i="1"/>
  <c r="AN513" i="1"/>
  <c r="AM513" i="1"/>
  <c r="AL513" i="1"/>
  <c r="AP512" i="1"/>
  <c r="AO512" i="1"/>
  <c r="AN512" i="1"/>
  <c r="AM512" i="1"/>
  <c r="AL512" i="1"/>
  <c r="AP511" i="1"/>
  <c r="AO511" i="1"/>
  <c r="AN511" i="1"/>
  <c r="AM511" i="1"/>
  <c r="AL511" i="1"/>
  <c r="AP510" i="1"/>
  <c r="AO510" i="1"/>
  <c r="AN510" i="1"/>
  <c r="AM510" i="1"/>
  <c r="AL510" i="1"/>
  <c r="AP509" i="1"/>
  <c r="AO509" i="1"/>
  <c r="AN509" i="1"/>
  <c r="AM509" i="1"/>
  <c r="AL509" i="1"/>
  <c r="AP508" i="1"/>
  <c r="AO508" i="1"/>
  <c r="AN508" i="1"/>
  <c r="AM508" i="1"/>
  <c r="AL508" i="1"/>
  <c r="AP507" i="1"/>
  <c r="AO507" i="1"/>
  <c r="AN507" i="1"/>
  <c r="AM507" i="1"/>
  <c r="AL507" i="1"/>
  <c r="AP506" i="1"/>
  <c r="AO506" i="1"/>
  <c r="AN506" i="1"/>
  <c r="AM506" i="1"/>
  <c r="AL506" i="1"/>
  <c r="AP505" i="1"/>
  <c r="AO505" i="1"/>
  <c r="AN505" i="1"/>
  <c r="AM505" i="1"/>
  <c r="AL505" i="1"/>
  <c r="AP504" i="1"/>
  <c r="AO504" i="1"/>
  <c r="AN504" i="1"/>
  <c r="AM504" i="1"/>
  <c r="AL504" i="1"/>
  <c r="AP503" i="1"/>
  <c r="AO503" i="1"/>
  <c r="AN503" i="1"/>
  <c r="AM503" i="1"/>
  <c r="AL503" i="1"/>
  <c r="AP502" i="1"/>
  <c r="AO502" i="1"/>
  <c r="AN502" i="1"/>
  <c r="AM502" i="1"/>
  <c r="AL502" i="1"/>
  <c r="AP501" i="1"/>
  <c r="AO501" i="1"/>
  <c r="AN501" i="1"/>
  <c r="AM501" i="1"/>
  <c r="AL501" i="1"/>
  <c r="AP500" i="1"/>
  <c r="AO500" i="1"/>
  <c r="AN500" i="1"/>
  <c r="AM500" i="1"/>
  <c r="AL500" i="1"/>
  <c r="AP499" i="1"/>
  <c r="AO499" i="1"/>
  <c r="AN499" i="1"/>
  <c r="AM499" i="1"/>
  <c r="AL499" i="1"/>
  <c r="AP498" i="1"/>
  <c r="AO498" i="1"/>
  <c r="AN498" i="1"/>
  <c r="AM498" i="1"/>
  <c r="AL498" i="1"/>
  <c r="AP497" i="1"/>
  <c r="AO497" i="1"/>
  <c r="AN497" i="1"/>
  <c r="AM497" i="1"/>
  <c r="AL497" i="1"/>
  <c r="AP496" i="1"/>
  <c r="AO496" i="1"/>
  <c r="AN496" i="1"/>
  <c r="AM496" i="1"/>
  <c r="AL496" i="1"/>
  <c r="AP495" i="1"/>
  <c r="AO495" i="1"/>
  <c r="AN495" i="1"/>
  <c r="AM495" i="1"/>
  <c r="AL495" i="1"/>
  <c r="AP494" i="1"/>
  <c r="AO494" i="1"/>
  <c r="AN494" i="1"/>
  <c r="AM494" i="1"/>
  <c r="AL494" i="1"/>
  <c r="AP493" i="1"/>
  <c r="AO493" i="1"/>
  <c r="AN493" i="1"/>
  <c r="AM493" i="1"/>
  <c r="AL493" i="1"/>
  <c r="AP492" i="1"/>
  <c r="AO492" i="1"/>
  <c r="AN492" i="1"/>
  <c r="AM492" i="1"/>
  <c r="AL492" i="1"/>
  <c r="AP491" i="1"/>
  <c r="AO491" i="1"/>
  <c r="AN491" i="1"/>
  <c r="AM491" i="1"/>
  <c r="AL491" i="1"/>
  <c r="AP490" i="1"/>
  <c r="AO490" i="1"/>
  <c r="AN490" i="1"/>
  <c r="AM490" i="1"/>
  <c r="AL490" i="1"/>
  <c r="AP489" i="1"/>
  <c r="AO489" i="1"/>
  <c r="AN489" i="1"/>
  <c r="AM489" i="1"/>
  <c r="AL489" i="1"/>
  <c r="AP488" i="1"/>
  <c r="AO488" i="1"/>
  <c r="AN488" i="1"/>
  <c r="AM488" i="1"/>
  <c r="AL488" i="1"/>
  <c r="AP487" i="1"/>
  <c r="AO487" i="1"/>
  <c r="AN487" i="1"/>
  <c r="AM487" i="1"/>
  <c r="AL487" i="1"/>
  <c r="AP486" i="1"/>
  <c r="AO486" i="1"/>
  <c r="AN486" i="1"/>
  <c r="AM486" i="1"/>
  <c r="AL486" i="1"/>
  <c r="AP485" i="1"/>
  <c r="AO485" i="1"/>
  <c r="AN485" i="1"/>
  <c r="AM485" i="1"/>
  <c r="AL485" i="1"/>
  <c r="AP484" i="1"/>
  <c r="AO484" i="1"/>
  <c r="AN484" i="1"/>
  <c r="AM484" i="1"/>
  <c r="AL484" i="1"/>
  <c r="AP483" i="1"/>
  <c r="AO483" i="1"/>
  <c r="AN483" i="1"/>
  <c r="AM483" i="1"/>
  <c r="AL483" i="1"/>
  <c r="AP482" i="1"/>
  <c r="AO482" i="1"/>
  <c r="AN482" i="1"/>
  <c r="AM482" i="1"/>
  <c r="AL482" i="1"/>
  <c r="AP481" i="1"/>
  <c r="AO481" i="1"/>
  <c r="AN481" i="1"/>
  <c r="AM481" i="1"/>
  <c r="AL481" i="1"/>
  <c r="AP480" i="1"/>
  <c r="AO480" i="1"/>
  <c r="AN480" i="1"/>
  <c r="AM480" i="1"/>
  <c r="AL480" i="1"/>
  <c r="AP479" i="1"/>
  <c r="AO479" i="1"/>
  <c r="AN479" i="1"/>
  <c r="AM479" i="1"/>
  <c r="AL479" i="1"/>
  <c r="AP478" i="1"/>
  <c r="AO478" i="1"/>
  <c r="AN478" i="1"/>
  <c r="AM478" i="1"/>
  <c r="AL478" i="1"/>
  <c r="AP477" i="1"/>
  <c r="AO477" i="1"/>
  <c r="AN477" i="1"/>
  <c r="AM477" i="1"/>
  <c r="AL477" i="1"/>
  <c r="AP476" i="1"/>
  <c r="AO476" i="1"/>
  <c r="AN476" i="1"/>
  <c r="AM476" i="1"/>
  <c r="AL476" i="1"/>
  <c r="AP475" i="1"/>
  <c r="AO475" i="1"/>
  <c r="AN475" i="1"/>
  <c r="AM475" i="1"/>
  <c r="AL475" i="1"/>
  <c r="AP474" i="1"/>
  <c r="AO474" i="1"/>
  <c r="AN474" i="1"/>
  <c r="AM474" i="1"/>
  <c r="AL474" i="1"/>
  <c r="AP473" i="1"/>
  <c r="AO473" i="1"/>
  <c r="AN473" i="1"/>
  <c r="AM473" i="1"/>
  <c r="AL473" i="1"/>
  <c r="AP472" i="1"/>
  <c r="AO472" i="1"/>
  <c r="AN472" i="1"/>
  <c r="AM472" i="1"/>
  <c r="AL472" i="1"/>
  <c r="AP471" i="1"/>
  <c r="AO471" i="1"/>
  <c r="AN471" i="1"/>
  <c r="AM471" i="1"/>
  <c r="AL471" i="1"/>
  <c r="AP470" i="1"/>
  <c r="AO470" i="1"/>
  <c r="AN470" i="1"/>
  <c r="AM470" i="1"/>
  <c r="AL470" i="1"/>
  <c r="AP469" i="1"/>
  <c r="AO469" i="1"/>
  <c r="AN469" i="1"/>
  <c r="AM469" i="1"/>
  <c r="AL469" i="1"/>
  <c r="AP468" i="1"/>
  <c r="AO468" i="1"/>
  <c r="AN468" i="1"/>
  <c r="AM468" i="1"/>
  <c r="AL468" i="1"/>
  <c r="AP467" i="1"/>
  <c r="AO467" i="1"/>
  <c r="AN467" i="1"/>
  <c r="AM467" i="1"/>
  <c r="AL467" i="1"/>
  <c r="AP466" i="1"/>
  <c r="AO466" i="1"/>
  <c r="AN466" i="1"/>
  <c r="AM466" i="1"/>
  <c r="AL466" i="1"/>
  <c r="AP465" i="1"/>
  <c r="AO465" i="1"/>
  <c r="AN465" i="1"/>
  <c r="AM465" i="1"/>
  <c r="AL465" i="1"/>
  <c r="AP464" i="1"/>
  <c r="AO464" i="1"/>
  <c r="AN464" i="1"/>
  <c r="AM464" i="1"/>
  <c r="AL464" i="1"/>
  <c r="AP463" i="1"/>
  <c r="AO463" i="1"/>
  <c r="AN463" i="1"/>
  <c r="AM463" i="1"/>
  <c r="AL463" i="1"/>
  <c r="AP462" i="1"/>
  <c r="AO462" i="1"/>
  <c r="AN462" i="1"/>
  <c r="AM462" i="1"/>
  <c r="AL462" i="1"/>
  <c r="AP461" i="1"/>
  <c r="AO461" i="1"/>
  <c r="AN461" i="1"/>
  <c r="AM461" i="1"/>
  <c r="AL461" i="1"/>
  <c r="AP460" i="1"/>
  <c r="AO460" i="1"/>
  <c r="AN460" i="1"/>
  <c r="AM460" i="1"/>
  <c r="AL460" i="1"/>
  <c r="AP459" i="1"/>
  <c r="AO459" i="1"/>
  <c r="AN459" i="1"/>
  <c r="AM459" i="1"/>
  <c r="AL459" i="1"/>
  <c r="AP458" i="1"/>
  <c r="AO458" i="1"/>
  <c r="AN458" i="1"/>
  <c r="AM458" i="1"/>
  <c r="AL458" i="1"/>
  <c r="AP457" i="1"/>
  <c r="AO457" i="1"/>
  <c r="AN457" i="1"/>
  <c r="AM457" i="1"/>
  <c r="AL457" i="1"/>
  <c r="AP456" i="1"/>
  <c r="AO456" i="1"/>
  <c r="AN456" i="1"/>
  <c r="AM456" i="1"/>
  <c r="AL456" i="1"/>
  <c r="AP455" i="1"/>
  <c r="AO455" i="1"/>
  <c r="AN455" i="1"/>
  <c r="AM455" i="1"/>
  <c r="AL455" i="1"/>
  <c r="AP454" i="1"/>
  <c r="AO454" i="1"/>
  <c r="AN454" i="1"/>
  <c r="AM454" i="1"/>
  <c r="AL454" i="1"/>
  <c r="AP453" i="1"/>
  <c r="AO453" i="1"/>
  <c r="AN453" i="1"/>
  <c r="AM453" i="1"/>
  <c r="AL453" i="1"/>
  <c r="AP452" i="1"/>
  <c r="AO452" i="1"/>
  <c r="AN452" i="1"/>
  <c r="AM452" i="1"/>
  <c r="AL452" i="1"/>
  <c r="AP451" i="1"/>
  <c r="AO451" i="1"/>
  <c r="AN451" i="1"/>
  <c r="AM451" i="1"/>
  <c r="AL451" i="1"/>
  <c r="AP450" i="1"/>
  <c r="AO450" i="1"/>
  <c r="AN450" i="1"/>
  <c r="AM450" i="1"/>
  <c r="AL450" i="1"/>
  <c r="AP449" i="1"/>
  <c r="AO449" i="1"/>
  <c r="AN449" i="1"/>
  <c r="AM449" i="1"/>
  <c r="AL449" i="1"/>
  <c r="AP448" i="1"/>
  <c r="AO448" i="1"/>
  <c r="AN448" i="1"/>
  <c r="AM448" i="1"/>
  <c r="AL448" i="1"/>
  <c r="AP447" i="1"/>
  <c r="AO447" i="1"/>
  <c r="AN447" i="1"/>
  <c r="AM447" i="1"/>
  <c r="AL447" i="1"/>
  <c r="AP446" i="1"/>
  <c r="AO446" i="1"/>
  <c r="AN446" i="1"/>
  <c r="AM446" i="1"/>
  <c r="AL446" i="1"/>
  <c r="AP445" i="1"/>
  <c r="AO445" i="1"/>
  <c r="AN445" i="1"/>
  <c r="AM445" i="1"/>
  <c r="AL445" i="1"/>
  <c r="AP444" i="1"/>
  <c r="AO444" i="1"/>
  <c r="AN444" i="1"/>
  <c r="AM444" i="1"/>
  <c r="AL444" i="1"/>
  <c r="AP443" i="1"/>
  <c r="AO443" i="1"/>
  <c r="AN443" i="1"/>
  <c r="AM443" i="1"/>
  <c r="AL443" i="1"/>
  <c r="AP442" i="1"/>
  <c r="AO442" i="1"/>
  <c r="AN442" i="1"/>
  <c r="AM442" i="1"/>
  <c r="AL442" i="1"/>
  <c r="AP441" i="1"/>
  <c r="AO441" i="1"/>
  <c r="AN441" i="1"/>
  <c r="AM441" i="1"/>
  <c r="AL441" i="1"/>
  <c r="AP440" i="1"/>
  <c r="AO440" i="1"/>
  <c r="AN440" i="1"/>
  <c r="AM440" i="1"/>
  <c r="AL440" i="1"/>
  <c r="AP439" i="1"/>
  <c r="AO439" i="1"/>
  <c r="AN439" i="1"/>
  <c r="AM439" i="1"/>
  <c r="AL439" i="1"/>
  <c r="AP438" i="1"/>
  <c r="AO438" i="1"/>
  <c r="AN438" i="1"/>
  <c r="AM438" i="1"/>
  <c r="AL438" i="1"/>
  <c r="AP437" i="1"/>
  <c r="AO437" i="1"/>
  <c r="AN437" i="1"/>
  <c r="AM437" i="1"/>
  <c r="AL437" i="1"/>
  <c r="AP436" i="1"/>
  <c r="AO436" i="1"/>
  <c r="AN436" i="1"/>
  <c r="AM436" i="1"/>
  <c r="AL436" i="1"/>
  <c r="AP435" i="1"/>
  <c r="AO435" i="1"/>
  <c r="AN435" i="1"/>
  <c r="AM435" i="1"/>
  <c r="AL435" i="1"/>
  <c r="AP434" i="1"/>
  <c r="AO434" i="1"/>
  <c r="AN434" i="1"/>
  <c r="AM434" i="1"/>
  <c r="AL434" i="1"/>
  <c r="AP433" i="1"/>
  <c r="AO433" i="1"/>
  <c r="AN433" i="1"/>
  <c r="AM433" i="1"/>
  <c r="AL433" i="1"/>
  <c r="AP432" i="1"/>
  <c r="AO432" i="1"/>
  <c r="AN432" i="1"/>
  <c r="AM432" i="1"/>
  <c r="AL432" i="1"/>
  <c r="AP431" i="1"/>
  <c r="AO431" i="1"/>
  <c r="AN431" i="1"/>
  <c r="AM431" i="1"/>
  <c r="AL431" i="1"/>
  <c r="AP430" i="1"/>
  <c r="AO430" i="1"/>
  <c r="AN430" i="1"/>
  <c r="AM430" i="1"/>
  <c r="AL430" i="1"/>
  <c r="AP429" i="1"/>
  <c r="AO429" i="1"/>
  <c r="AN429" i="1"/>
  <c r="AM429" i="1"/>
  <c r="AL429" i="1"/>
  <c r="AP428" i="1"/>
  <c r="AO428" i="1"/>
  <c r="AN428" i="1"/>
  <c r="AM428" i="1"/>
  <c r="AL428" i="1"/>
  <c r="AP427" i="1"/>
  <c r="AO427" i="1"/>
  <c r="AN427" i="1"/>
  <c r="AM427" i="1"/>
  <c r="AL427" i="1"/>
  <c r="AP426" i="1"/>
  <c r="AO426" i="1"/>
  <c r="AN426" i="1"/>
  <c r="AM426" i="1"/>
  <c r="AL426" i="1"/>
  <c r="AP425" i="1"/>
  <c r="AO425" i="1"/>
  <c r="AN425" i="1"/>
  <c r="AM425" i="1"/>
  <c r="AL425" i="1"/>
  <c r="AP424" i="1"/>
  <c r="AO424" i="1"/>
  <c r="AN424" i="1"/>
  <c r="AM424" i="1"/>
  <c r="AL424" i="1"/>
  <c r="AP423" i="1"/>
  <c r="AO423" i="1"/>
  <c r="AN423" i="1"/>
  <c r="AM423" i="1"/>
  <c r="AL423" i="1"/>
  <c r="AP422" i="1"/>
  <c r="AO422" i="1"/>
  <c r="AN422" i="1"/>
  <c r="AM422" i="1"/>
  <c r="AL422" i="1"/>
  <c r="AP421" i="1"/>
  <c r="AO421" i="1"/>
  <c r="AN421" i="1"/>
  <c r="AM421" i="1"/>
  <c r="AL421" i="1"/>
  <c r="AP420" i="1"/>
  <c r="AO420" i="1"/>
  <c r="AN420" i="1"/>
  <c r="AM420" i="1"/>
  <c r="AL420" i="1"/>
  <c r="AP419" i="1"/>
  <c r="AO419" i="1"/>
  <c r="AN419" i="1"/>
  <c r="AM419" i="1"/>
  <c r="AL419" i="1"/>
  <c r="AP418" i="1"/>
  <c r="AO418" i="1"/>
  <c r="AN418" i="1"/>
  <c r="AM418" i="1"/>
  <c r="AL418" i="1"/>
  <c r="AP417" i="1"/>
  <c r="AO417" i="1"/>
  <c r="AN417" i="1"/>
  <c r="AM417" i="1"/>
  <c r="AL417" i="1"/>
  <c r="AP416" i="1"/>
  <c r="AO416" i="1"/>
  <c r="AN416" i="1"/>
  <c r="AM416" i="1"/>
  <c r="AL416" i="1"/>
  <c r="AP415" i="1"/>
  <c r="AO415" i="1"/>
  <c r="AN415" i="1"/>
  <c r="AM415" i="1"/>
  <c r="AL415" i="1"/>
  <c r="AP414" i="1"/>
  <c r="AO414" i="1"/>
  <c r="AN414" i="1"/>
  <c r="AM414" i="1"/>
  <c r="AL414" i="1"/>
  <c r="AP413" i="1"/>
  <c r="AO413" i="1"/>
  <c r="AN413" i="1"/>
  <c r="AM413" i="1"/>
  <c r="AL413" i="1"/>
  <c r="AP412" i="1"/>
  <c r="AO412" i="1"/>
  <c r="AN412" i="1"/>
  <c r="AM412" i="1"/>
  <c r="AL412" i="1"/>
  <c r="AP411" i="1"/>
  <c r="AO411" i="1"/>
  <c r="AN411" i="1"/>
  <c r="AM411" i="1"/>
  <c r="AL411" i="1"/>
  <c r="AP410" i="1"/>
  <c r="AO410" i="1"/>
  <c r="AN410" i="1"/>
  <c r="AM410" i="1"/>
  <c r="AL410" i="1"/>
  <c r="AP409" i="1"/>
  <c r="AO409" i="1"/>
  <c r="AN409" i="1"/>
  <c r="AM409" i="1"/>
  <c r="AL409" i="1"/>
  <c r="AP408" i="1"/>
  <c r="AO408" i="1"/>
  <c r="AN408" i="1"/>
  <c r="AM408" i="1"/>
  <c r="AL408" i="1"/>
  <c r="AP407" i="1"/>
  <c r="AO407" i="1"/>
  <c r="AN407" i="1"/>
  <c r="AM407" i="1"/>
  <c r="AL407" i="1"/>
  <c r="AP406" i="1"/>
  <c r="AO406" i="1"/>
  <c r="AN406" i="1"/>
  <c r="AM406" i="1"/>
  <c r="AL406" i="1"/>
  <c r="AP405" i="1"/>
  <c r="AO405" i="1"/>
  <c r="AN405" i="1"/>
  <c r="AM405" i="1"/>
  <c r="AL405" i="1"/>
  <c r="AP404" i="1"/>
  <c r="AO404" i="1"/>
  <c r="AN404" i="1"/>
  <c r="AM404" i="1"/>
  <c r="AL404" i="1"/>
  <c r="AP403" i="1"/>
  <c r="AO403" i="1"/>
  <c r="AN403" i="1"/>
  <c r="AM403" i="1"/>
  <c r="AL403" i="1"/>
  <c r="AP402" i="1"/>
  <c r="AO402" i="1"/>
  <c r="AN402" i="1"/>
  <c r="AM402" i="1"/>
  <c r="AL402" i="1"/>
  <c r="AP401" i="1"/>
  <c r="AO401" i="1"/>
  <c r="AN401" i="1"/>
  <c r="AM401" i="1"/>
  <c r="AL401" i="1"/>
  <c r="AP400" i="1"/>
  <c r="AO400" i="1"/>
  <c r="AN400" i="1"/>
  <c r="AM400" i="1"/>
  <c r="AL400" i="1"/>
  <c r="AP399" i="1"/>
  <c r="AO399" i="1"/>
  <c r="AN399" i="1"/>
  <c r="AM399" i="1"/>
  <c r="AL399" i="1"/>
  <c r="AP398" i="1"/>
  <c r="AO398" i="1"/>
  <c r="AN398" i="1"/>
  <c r="AM398" i="1"/>
  <c r="AL398" i="1"/>
  <c r="AP397" i="1"/>
  <c r="AO397" i="1"/>
  <c r="AN397" i="1"/>
  <c r="AM397" i="1"/>
  <c r="AL397" i="1"/>
  <c r="AP396" i="1"/>
  <c r="AO396" i="1"/>
  <c r="AN396" i="1"/>
  <c r="AM396" i="1"/>
  <c r="AL396" i="1"/>
  <c r="AP395" i="1"/>
  <c r="AO395" i="1"/>
  <c r="AN395" i="1"/>
  <c r="AM395" i="1"/>
  <c r="AL395" i="1"/>
  <c r="AP394" i="1"/>
  <c r="AO394" i="1"/>
  <c r="AN394" i="1"/>
  <c r="AM394" i="1"/>
  <c r="AL394" i="1"/>
  <c r="AP393" i="1"/>
  <c r="AO393" i="1"/>
  <c r="AN393" i="1"/>
  <c r="AM393" i="1"/>
  <c r="AL393" i="1"/>
  <c r="AP392" i="1"/>
  <c r="AO392" i="1"/>
  <c r="AN392" i="1"/>
  <c r="AM392" i="1"/>
  <c r="AL392" i="1"/>
  <c r="AP391" i="1"/>
  <c r="AO391" i="1"/>
  <c r="AN391" i="1"/>
  <c r="AM391" i="1"/>
  <c r="AL391" i="1"/>
  <c r="AP390" i="1"/>
  <c r="AO390" i="1"/>
  <c r="AN390" i="1"/>
  <c r="AM390" i="1"/>
  <c r="AL390" i="1"/>
  <c r="AP389" i="1"/>
  <c r="AO389" i="1"/>
  <c r="AN389" i="1"/>
  <c r="AM389" i="1"/>
  <c r="AL389" i="1"/>
  <c r="AP388" i="1"/>
  <c r="AO388" i="1"/>
  <c r="AN388" i="1"/>
  <c r="AM388" i="1"/>
  <c r="AL388" i="1"/>
  <c r="AP387" i="1"/>
  <c r="AO387" i="1"/>
  <c r="AN387" i="1"/>
  <c r="AM387" i="1"/>
  <c r="AL387" i="1"/>
  <c r="AP386" i="1"/>
  <c r="AO386" i="1"/>
  <c r="AN386" i="1"/>
  <c r="AM386" i="1"/>
  <c r="AL386" i="1"/>
  <c r="AP385" i="1"/>
  <c r="AO385" i="1"/>
  <c r="AN385" i="1"/>
  <c r="AM385" i="1"/>
  <c r="AL385" i="1"/>
  <c r="AP384" i="1"/>
  <c r="AO384" i="1"/>
  <c r="AN384" i="1"/>
  <c r="AM384" i="1"/>
  <c r="AL384" i="1"/>
  <c r="AP383" i="1"/>
  <c r="AO383" i="1"/>
  <c r="AN383" i="1"/>
  <c r="AM383" i="1"/>
  <c r="AL383" i="1"/>
  <c r="AP382" i="1"/>
  <c r="AO382" i="1"/>
  <c r="AN382" i="1"/>
  <c r="AM382" i="1"/>
  <c r="AL382" i="1"/>
  <c r="AP381" i="1"/>
  <c r="AO381" i="1"/>
  <c r="AN381" i="1"/>
  <c r="AM381" i="1"/>
  <c r="AL381" i="1"/>
  <c r="AP380" i="1"/>
  <c r="AO380" i="1"/>
  <c r="AN380" i="1"/>
  <c r="AM380" i="1"/>
  <c r="AL380" i="1"/>
  <c r="AP379" i="1"/>
  <c r="AO379" i="1"/>
  <c r="AN379" i="1"/>
  <c r="AM379" i="1"/>
  <c r="AL379" i="1"/>
  <c r="AP378" i="1"/>
  <c r="AO378" i="1"/>
  <c r="AN378" i="1"/>
  <c r="AM378" i="1"/>
  <c r="AL378" i="1"/>
  <c r="AP377" i="1"/>
  <c r="AO377" i="1"/>
  <c r="AN377" i="1"/>
  <c r="AM377" i="1"/>
  <c r="AL377" i="1"/>
  <c r="AP376" i="1"/>
  <c r="AO376" i="1"/>
  <c r="AN376" i="1"/>
  <c r="AM376" i="1"/>
  <c r="AL376" i="1"/>
  <c r="AP375" i="1"/>
  <c r="AO375" i="1"/>
  <c r="AN375" i="1"/>
  <c r="AM375" i="1"/>
  <c r="AL375" i="1"/>
  <c r="AP374" i="1"/>
  <c r="AO374" i="1"/>
  <c r="AN374" i="1"/>
  <c r="AM374" i="1"/>
  <c r="AL374" i="1"/>
  <c r="AP373" i="1"/>
  <c r="AO373" i="1"/>
  <c r="AN373" i="1"/>
  <c r="AM373" i="1"/>
  <c r="AL373" i="1"/>
  <c r="AP372" i="1"/>
  <c r="AO372" i="1"/>
  <c r="AN372" i="1"/>
  <c r="AM372" i="1"/>
  <c r="AL372" i="1"/>
  <c r="AP371" i="1"/>
  <c r="AO371" i="1"/>
  <c r="AN371" i="1"/>
  <c r="AM371" i="1"/>
  <c r="AL371" i="1"/>
  <c r="AP370" i="1"/>
  <c r="AO370" i="1"/>
  <c r="AN370" i="1"/>
  <c r="AM370" i="1"/>
  <c r="AL370" i="1"/>
  <c r="AP369" i="1"/>
  <c r="AO369" i="1"/>
  <c r="AN369" i="1"/>
  <c r="AM369" i="1"/>
  <c r="AL369" i="1"/>
  <c r="AP368" i="1"/>
  <c r="AO368" i="1"/>
  <c r="AN368" i="1"/>
  <c r="AM368" i="1"/>
  <c r="AL368" i="1"/>
  <c r="AP367" i="1"/>
  <c r="AO367" i="1"/>
  <c r="AN367" i="1"/>
  <c r="AM367" i="1"/>
  <c r="AL367" i="1"/>
  <c r="AP366" i="1"/>
  <c r="AO366" i="1"/>
  <c r="AN366" i="1"/>
  <c r="AM366" i="1"/>
  <c r="AL366" i="1"/>
  <c r="AP365" i="1"/>
  <c r="AO365" i="1"/>
  <c r="AN365" i="1"/>
  <c r="AM365" i="1"/>
  <c r="AL365" i="1"/>
  <c r="AP364" i="1"/>
  <c r="AO364" i="1"/>
  <c r="AN364" i="1"/>
  <c r="AM364" i="1"/>
  <c r="AL364" i="1"/>
  <c r="AP363" i="1"/>
  <c r="AO363" i="1"/>
  <c r="AN363" i="1"/>
  <c r="AM363" i="1"/>
  <c r="AL363" i="1"/>
  <c r="AP362" i="1"/>
  <c r="AO362" i="1"/>
  <c r="AN362" i="1"/>
  <c r="AM362" i="1"/>
  <c r="AL362" i="1"/>
  <c r="AP361" i="1"/>
  <c r="AO361" i="1"/>
  <c r="AN361" i="1"/>
  <c r="AM361" i="1"/>
  <c r="AL361" i="1"/>
  <c r="AP360" i="1"/>
  <c r="AO360" i="1"/>
  <c r="AN360" i="1"/>
  <c r="AM360" i="1"/>
  <c r="AL360" i="1"/>
  <c r="AP359" i="1"/>
  <c r="AO359" i="1"/>
  <c r="AN359" i="1"/>
  <c r="AM359" i="1"/>
  <c r="AL359" i="1"/>
  <c r="AP358" i="1"/>
  <c r="AO358" i="1"/>
  <c r="AN358" i="1"/>
  <c r="AM358" i="1"/>
  <c r="AL358" i="1"/>
  <c r="AP357" i="1"/>
  <c r="AO357" i="1"/>
  <c r="AN357" i="1"/>
  <c r="AM357" i="1"/>
  <c r="AL357" i="1"/>
  <c r="AP356" i="1"/>
  <c r="AO356" i="1"/>
  <c r="AN356" i="1"/>
  <c r="AM356" i="1"/>
  <c r="AL356" i="1"/>
  <c r="AP355" i="1"/>
  <c r="AO355" i="1"/>
  <c r="AN355" i="1"/>
  <c r="AM355" i="1"/>
  <c r="AL355" i="1"/>
  <c r="AP354" i="1"/>
  <c r="AO354" i="1"/>
  <c r="AN354" i="1"/>
  <c r="AM354" i="1"/>
  <c r="AL354" i="1"/>
  <c r="AP353" i="1"/>
  <c r="AO353" i="1"/>
  <c r="AN353" i="1"/>
  <c r="AM353" i="1"/>
  <c r="AL353" i="1"/>
  <c r="AP352" i="1"/>
  <c r="AO352" i="1"/>
  <c r="AN352" i="1"/>
  <c r="AM352" i="1"/>
  <c r="AL352" i="1"/>
  <c r="AP351" i="1"/>
  <c r="AO351" i="1"/>
  <c r="AN351" i="1"/>
  <c r="AM351" i="1"/>
  <c r="AL351" i="1"/>
  <c r="AP350" i="1"/>
  <c r="AO350" i="1"/>
  <c r="AN350" i="1"/>
  <c r="AM350" i="1"/>
  <c r="AL350" i="1"/>
  <c r="AP349" i="1"/>
  <c r="AO349" i="1"/>
  <c r="AN349" i="1"/>
  <c r="AM349" i="1"/>
  <c r="AL349" i="1"/>
  <c r="AP348" i="1"/>
  <c r="AO348" i="1"/>
  <c r="AN348" i="1"/>
  <c r="AM348" i="1"/>
  <c r="AL348" i="1"/>
  <c r="AP347" i="1"/>
  <c r="AO347" i="1"/>
  <c r="AN347" i="1"/>
  <c r="AM347" i="1"/>
  <c r="AL347" i="1"/>
  <c r="AP346" i="1"/>
  <c r="AO346" i="1"/>
  <c r="AN346" i="1"/>
  <c r="AM346" i="1"/>
  <c r="AL346" i="1"/>
  <c r="AP345" i="1"/>
  <c r="AO345" i="1"/>
  <c r="AN345" i="1"/>
  <c r="AM345" i="1"/>
  <c r="AL345" i="1"/>
  <c r="AP344" i="1"/>
  <c r="AO344" i="1"/>
  <c r="AN344" i="1"/>
  <c r="AM344" i="1"/>
  <c r="AL344" i="1"/>
  <c r="AP343" i="1"/>
  <c r="AO343" i="1"/>
  <c r="AN343" i="1"/>
  <c r="AM343" i="1"/>
  <c r="AL343" i="1"/>
  <c r="AP342" i="1"/>
  <c r="AO342" i="1"/>
  <c r="AN342" i="1"/>
  <c r="AM342" i="1"/>
  <c r="AL342" i="1"/>
  <c r="AP341" i="1"/>
  <c r="AO341" i="1"/>
  <c r="AN341" i="1"/>
  <c r="AM341" i="1"/>
  <c r="AL341" i="1"/>
  <c r="AP340" i="1"/>
  <c r="AO340" i="1"/>
  <c r="AN340" i="1"/>
  <c r="AM340" i="1"/>
  <c r="AL340" i="1"/>
  <c r="AP339" i="1"/>
  <c r="AO339" i="1"/>
  <c r="AN339" i="1"/>
  <c r="AM339" i="1"/>
  <c r="AL339" i="1"/>
  <c r="AP338" i="1"/>
  <c r="AO338" i="1"/>
  <c r="AN338" i="1"/>
  <c r="AM338" i="1"/>
  <c r="AL338" i="1"/>
  <c r="AP337" i="1"/>
  <c r="AO337" i="1"/>
  <c r="AN337" i="1"/>
  <c r="AM337" i="1"/>
  <c r="AL337" i="1"/>
  <c r="AP336" i="1"/>
  <c r="AO336" i="1"/>
  <c r="AN336" i="1"/>
  <c r="AM336" i="1"/>
  <c r="AL336" i="1"/>
  <c r="AP335" i="1"/>
  <c r="AO335" i="1"/>
  <c r="AN335" i="1"/>
  <c r="AM335" i="1"/>
  <c r="AL335" i="1"/>
  <c r="AP334" i="1"/>
  <c r="AO334" i="1"/>
  <c r="AN334" i="1"/>
  <c r="AM334" i="1"/>
  <c r="AL334" i="1"/>
  <c r="AP333" i="1"/>
  <c r="AO333" i="1"/>
  <c r="AN333" i="1"/>
  <c r="AM333" i="1"/>
  <c r="AL333" i="1"/>
  <c r="AP332" i="1"/>
  <c r="AO332" i="1"/>
  <c r="AN332" i="1"/>
  <c r="AM332" i="1"/>
  <c r="AL332" i="1"/>
  <c r="AP331" i="1"/>
  <c r="AO331" i="1"/>
  <c r="AN331" i="1"/>
  <c r="AM331" i="1"/>
  <c r="AL331" i="1"/>
  <c r="AP330" i="1"/>
  <c r="AO330" i="1"/>
  <c r="AN330" i="1"/>
  <c r="AM330" i="1"/>
  <c r="AL330" i="1"/>
  <c r="AP329" i="1"/>
  <c r="AO329" i="1"/>
  <c r="AN329" i="1"/>
  <c r="AM329" i="1"/>
  <c r="AL329" i="1"/>
  <c r="AP328" i="1"/>
  <c r="AO328" i="1"/>
  <c r="AN328" i="1"/>
  <c r="AM328" i="1"/>
  <c r="AL328" i="1"/>
  <c r="AP327" i="1"/>
  <c r="AO327" i="1"/>
  <c r="AN327" i="1"/>
  <c r="AM327" i="1"/>
  <c r="AL327" i="1"/>
  <c r="AP326" i="1"/>
  <c r="AO326" i="1"/>
  <c r="AN326" i="1"/>
  <c r="AM326" i="1"/>
  <c r="AL326" i="1"/>
  <c r="AP325" i="1"/>
  <c r="AO325" i="1"/>
  <c r="AN325" i="1"/>
  <c r="AM325" i="1"/>
  <c r="AL325" i="1"/>
  <c r="AP324" i="1"/>
  <c r="AO324" i="1"/>
  <c r="AN324" i="1"/>
  <c r="AM324" i="1"/>
  <c r="AL324" i="1"/>
  <c r="AP323" i="1"/>
  <c r="AO323" i="1"/>
  <c r="AN323" i="1"/>
  <c r="AM323" i="1"/>
  <c r="AL323" i="1"/>
  <c r="AP322" i="1"/>
  <c r="AO322" i="1"/>
  <c r="AN322" i="1"/>
  <c r="AM322" i="1"/>
  <c r="AL322" i="1"/>
  <c r="AP321" i="1"/>
  <c r="AO321" i="1"/>
  <c r="AN321" i="1"/>
  <c r="AM321" i="1"/>
  <c r="AL321" i="1"/>
  <c r="AP320" i="1"/>
  <c r="AO320" i="1"/>
  <c r="AN320" i="1"/>
  <c r="AM320" i="1"/>
  <c r="AL320" i="1"/>
  <c r="AP319" i="1"/>
  <c r="AO319" i="1"/>
  <c r="AN319" i="1"/>
  <c r="AM319" i="1"/>
  <c r="AL319" i="1"/>
  <c r="AP318" i="1"/>
  <c r="AO318" i="1"/>
  <c r="AN318" i="1"/>
  <c r="AM318" i="1"/>
  <c r="AL318" i="1"/>
  <c r="AP317" i="1"/>
  <c r="AO317" i="1"/>
  <c r="AN317" i="1"/>
  <c r="AM317" i="1"/>
  <c r="AL317" i="1"/>
  <c r="AP316" i="1"/>
  <c r="AO316" i="1"/>
  <c r="AN316" i="1"/>
  <c r="AM316" i="1"/>
  <c r="AL316" i="1"/>
  <c r="AP315" i="1"/>
  <c r="AO315" i="1"/>
  <c r="AN315" i="1"/>
  <c r="AM315" i="1"/>
  <c r="AL315" i="1"/>
  <c r="AP314" i="1"/>
  <c r="AO314" i="1"/>
  <c r="AN314" i="1"/>
  <c r="AM314" i="1"/>
  <c r="AL314" i="1"/>
  <c r="AP313" i="1"/>
  <c r="AO313" i="1"/>
  <c r="AN313" i="1"/>
  <c r="AM313" i="1"/>
  <c r="AL313" i="1"/>
  <c r="AP312" i="1"/>
  <c r="AO312" i="1"/>
  <c r="AN312" i="1"/>
  <c r="AM312" i="1"/>
  <c r="AL312" i="1"/>
  <c r="AP311" i="1"/>
  <c r="AO311" i="1"/>
  <c r="AN311" i="1"/>
  <c r="AM311" i="1"/>
  <c r="AL311" i="1"/>
  <c r="AP310" i="1"/>
  <c r="AO310" i="1"/>
  <c r="AN310" i="1"/>
  <c r="AM310" i="1"/>
  <c r="AL310" i="1"/>
  <c r="AP309" i="1"/>
  <c r="AO309" i="1"/>
  <c r="AN309" i="1"/>
  <c r="AM309" i="1"/>
  <c r="AL309" i="1"/>
  <c r="AP308" i="1"/>
  <c r="AO308" i="1"/>
  <c r="AN308" i="1"/>
  <c r="AM308" i="1"/>
  <c r="AL308" i="1"/>
  <c r="AP307" i="1"/>
  <c r="AO307" i="1"/>
  <c r="AN307" i="1"/>
  <c r="AM307" i="1"/>
  <c r="AL307" i="1"/>
  <c r="AP306" i="1"/>
  <c r="AO306" i="1"/>
  <c r="AN306" i="1"/>
  <c r="AM306" i="1"/>
  <c r="AL306" i="1"/>
  <c r="AP305" i="1"/>
  <c r="AO305" i="1"/>
  <c r="AN305" i="1"/>
  <c r="AM305" i="1"/>
  <c r="AL305" i="1"/>
  <c r="AP304" i="1"/>
  <c r="AO304" i="1"/>
  <c r="AN304" i="1"/>
  <c r="AM304" i="1"/>
  <c r="AL304" i="1"/>
  <c r="AP303" i="1"/>
  <c r="AO303" i="1"/>
  <c r="AN303" i="1"/>
  <c r="AM303" i="1"/>
  <c r="AL303" i="1"/>
  <c r="AP302" i="1"/>
  <c r="AO302" i="1"/>
  <c r="AN302" i="1"/>
  <c r="AM302" i="1"/>
  <c r="AL302" i="1"/>
  <c r="AP301" i="1"/>
  <c r="AO301" i="1"/>
  <c r="AN301" i="1"/>
  <c r="AM301" i="1"/>
  <c r="AL301" i="1"/>
  <c r="AP300" i="1"/>
  <c r="AO300" i="1"/>
  <c r="AN300" i="1"/>
  <c r="AM300" i="1"/>
  <c r="AL300" i="1"/>
  <c r="AP299" i="1"/>
  <c r="AO299" i="1"/>
  <c r="AN299" i="1"/>
  <c r="AM299" i="1"/>
  <c r="AL299" i="1"/>
  <c r="AP298" i="1"/>
  <c r="AO298" i="1"/>
  <c r="AN298" i="1"/>
  <c r="AM298" i="1"/>
  <c r="AL298" i="1"/>
  <c r="AP297" i="1"/>
  <c r="AO297" i="1"/>
  <c r="AN297" i="1"/>
  <c r="AM297" i="1"/>
  <c r="AL297" i="1"/>
  <c r="AP296" i="1"/>
  <c r="AO296" i="1"/>
  <c r="AN296" i="1"/>
  <c r="AM296" i="1"/>
  <c r="AL296" i="1"/>
  <c r="AP295" i="1"/>
  <c r="AO295" i="1"/>
  <c r="AN295" i="1"/>
  <c r="AM295" i="1"/>
  <c r="AL295" i="1"/>
  <c r="AP294" i="1"/>
  <c r="AO294" i="1"/>
  <c r="AN294" i="1"/>
  <c r="AM294" i="1"/>
  <c r="AL294" i="1"/>
  <c r="AP293" i="1"/>
  <c r="AO293" i="1"/>
  <c r="AN293" i="1"/>
  <c r="AM293" i="1"/>
  <c r="AL293" i="1"/>
  <c r="AP292" i="1"/>
  <c r="AO292" i="1"/>
  <c r="AN292" i="1"/>
  <c r="AM292" i="1"/>
  <c r="AL292" i="1"/>
  <c r="AP291" i="1"/>
  <c r="AO291" i="1"/>
  <c r="AN291" i="1"/>
  <c r="AM291" i="1"/>
  <c r="AL291" i="1"/>
  <c r="AP290" i="1"/>
  <c r="AO290" i="1"/>
  <c r="AN290" i="1"/>
  <c r="AM290" i="1"/>
  <c r="AL290" i="1"/>
  <c r="AP289" i="1"/>
  <c r="AO289" i="1"/>
  <c r="AN289" i="1"/>
  <c r="AM289" i="1"/>
  <c r="AL289" i="1"/>
  <c r="AP288" i="1"/>
  <c r="AO288" i="1"/>
  <c r="AN288" i="1"/>
  <c r="AM288" i="1"/>
  <c r="AL288" i="1"/>
  <c r="AP287" i="1"/>
  <c r="AO287" i="1"/>
  <c r="AN287" i="1"/>
  <c r="AM287" i="1"/>
  <c r="AL287" i="1"/>
  <c r="AP286" i="1"/>
  <c r="AO286" i="1"/>
  <c r="AN286" i="1"/>
  <c r="AM286" i="1"/>
  <c r="AL286" i="1"/>
  <c r="AP285" i="1"/>
  <c r="AO285" i="1"/>
  <c r="AN285" i="1"/>
  <c r="AM285" i="1"/>
  <c r="AL285" i="1"/>
  <c r="AP284" i="1"/>
  <c r="AO284" i="1"/>
  <c r="AN284" i="1"/>
  <c r="AM284" i="1"/>
  <c r="AL284" i="1"/>
  <c r="AP283" i="1"/>
  <c r="AO283" i="1"/>
  <c r="AN283" i="1"/>
  <c r="AM283" i="1"/>
  <c r="AL283" i="1"/>
  <c r="AP282" i="1"/>
  <c r="AO282" i="1"/>
  <c r="AN282" i="1"/>
  <c r="AM282" i="1"/>
  <c r="AL282" i="1"/>
  <c r="AP281" i="1"/>
  <c r="AO281" i="1"/>
  <c r="AN281" i="1"/>
  <c r="AM281" i="1"/>
  <c r="AL281" i="1"/>
  <c r="AP280" i="1"/>
  <c r="AO280" i="1"/>
  <c r="AN280" i="1"/>
  <c r="AM280" i="1"/>
  <c r="AL280" i="1"/>
  <c r="AP279" i="1"/>
  <c r="AO279" i="1"/>
  <c r="AN279" i="1"/>
  <c r="AM279" i="1"/>
  <c r="AL279" i="1"/>
  <c r="AP278" i="1"/>
  <c r="AO278" i="1"/>
  <c r="AN278" i="1"/>
  <c r="AM278" i="1"/>
  <c r="AL278" i="1"/>
  <c r="AP277" i="1"/>
  <c r="AO277" i="1"/>
  <c r="AN277" i="1"/>
  <c r="AM277" i="1"/>
  <c r="AL277" i="1"/>
  <c r="AP276" i="1"/>
  <c r="AO276" i="1"/>
  <c r="AN276" i="1"/>
  <c r="AM276" i="1"/>
  <c r="AL276" i="1"/>
  <c r="AP275" i="1"/>
  <c r="AO275" i="1"/>
  <c r="AN275" i="1"/>
  <c r="AM275" i="1"/>
  <c r="AL275" i="1"/>
  <c r="AP274" i="1"/>
  <c r="AO274" i="1"/>
  <c r="AN274" i="1"/>
  <c r="AM274" i="1"/>
  <c r="AL274" i="1"/>
  <c r="AP273" i="1"/>
  <c r="AO273" i="1"/>
  <c r="AN273" i="1"/>
  <c r="AM273" i="1"/>
  <c r="AL273" i="1"/>
  <c r="AP272" i="1"/>
  <c r="AO272" i="1"/>
  <c r="AN272" i="1"/>
  <c r="AM272" i="1"/>
  <c r="AL272" i="1"/>
  <c r="AP271" i="1"/>
  <c r="AO271" i="1"/>
  <c r="AN271" i="1"/>
  <c r="AM271" i="1"/>
  <c r="AL271" i="1"/>
  <c r="AP270" i="1"/>
  <c r="AO270" i="1"/>
  <c r="AN270" i="1"/>
  <c r="AM270" i="1"/>
  <c r="AL270" i="1"/>
  <c r="AP269" i="1"/>
  <c r="AO269" i="1"/>
  <c r="AN269" i="1"/>
  <c r="AM269" i="1"/>
  <c r="AL269" i="1"/>
  <c r="AP268" i="1"/>
  <c r="AO268" i="1"/>
  <c r="AN268" i="1"/>
  <c r="AM268" i="1"/>
  <c r="AL268" i="1"/>
  <c r="AP267" i="1"/>
  <c r="AO267" i="1"/>
  <c r="AN267" i="1"/>
  <c r="AM267" i="1"/>
  <c r="AL267" i="1"/>
  <c r="AP266" i="1"/>
  <c r="AO266" i="1"/>
  <c r="AN266" i="1"/>
  <c r="AM266" i="1"/>
  <c r="AL266" i="1"/>
  <c r="AP265" i="1"/>
  <c r="AO265" i="1"/>
  <c r="AN265" i="1"/>
  <c r="AM265" i="1"/>
  <c r="AL265" i="1"/>
  <c r="AP264" i="1"/>
  <c r="AO264" i="1"/>
  <c r="AN264" i="1"/>
  <c r="AM264" i="1"/>
  <c r="AL264" i="1"/>
  <c r="AP263" i="1"/>
  <c r="AO263" i="1"/>
  <c r="AN263" i="1"/>
  <c r="AM263" i="1"/>
  <c r="AL263" i="1"/>
  <c r="AP262" i="1"/>
  <c r="AO262" i="1"/>
  <c r="AN262" i="1"/>
  <c r="AM262" i="1"/>
  <c r="AL262" i="1"/>
  <c r="AP261" i="1"/>
  <c r="AO261" i="1"/>
  <c r="AN261" i="1"/>
  <c r="AM261" i="1"/>
  <c r="AL261" i="1"/>
  <c r="AP260" i="1"/>
  <c r="AO260" i="1"/>
  <c r="AN260" i="1"/>
  <c r="AM260" i="1"/>
  <c r="AL260" i="1"/>
  <c r="AP259" i="1"/>
  <c r="AO259" i="1"/>
  <c r="AN259" i="1"/>
  <c r="AM259" i="1"/>
  <c r="AL259" i="1"/>
  <c r="AP258" i="1"/>
  <c r="AO258" i="1"/>
  <c r="AN258" i="1"/>
  <c r="AM258" i="1"/>
  <c r="AL258" i="1"/>
  <c r="AP257" i="1"/>
  <c r="AO257" i="1"/>
  <c r="AN257" i="1"/>
  <c r="AM257" i="1"/>
  <c r="AL257" i="1"/>
  <c r="AP256" i="1"/>
  <c r="AO256" i="1"/>
  <c r="AN256" i="1"/>
  <c r="AM256" i="1"/>
  <c r="AL256" i="1"/>
  <c r="AP255" i="1"/>
  <c r="AO255" i="1"/>
  <c r="AN255" i="1"/>
  <c r="AM255" i="1"/>
  <c r="AL255" i="1"/>
  <c r="AP254" i="1"/>
  <c r="AO254" i="1"/>
  <c r="AN254" i="1"/>
  <c r="AM254" i="1"/>
  <c r="AL254" i="1"/>
  <c r="AP253" i="1"/>
  <c r="AO253" i="1"/>
  <c r="AN253" i="1"/>
  <c r="AM253" i="1"/>
  <c r="AL253" i="1"/>
  <c r="AP252" i="1"/>
  <c r="AO252" i="1"/>
  <c r="AN252" i="1"/>
  <c r="AM252" i="1"/>
  <c r="AL252" i="1"/>
  <c r="AP251" i="1"/>
  <c r="AO251" i="1"/>
  <c r="AN251" i="1"/>
  <c r="AM251" i="1"/>
  <c r="AL251" i="1"/>
  <c r="AP250" i="1"/>
  <c r="AO250" i="1"/>
  <c r="AN250" i="1"/>
  <c r="AM250" i="1"/>
  <c r="AL250" i="1"/>
  <c r="AP249" i="1"/>
  <c r="AO249" i="1"/>
  <c r="AN249" i="1"/>
  <c r="AM249" i="1"/>
  <c r="AL249" i="1"/>
  <c r="AP248" i="1"/>
  <c r="AO248" i="1"/>
  <c r="AN248" i="1"/>
  <c r="AM248" i="1"/>
  <c r="AL248" i="1"/>
  <c r="AP247" i="1"/>
  <c r="AO247" i="1"/>
  <c r="AN247" i="1"/>
  <c r="AM247" i="1"/>
  <c r="AL247" i="1"/>
  <c r="AP246" i="1"/>
  <c r="AO246" i="1"/>
  <c r="AN246" i="1"/>
  <c r="AM246" i="1"/>
  <c r="AL246" i="1"/>
  <c r="AP245" i="1"/>
  <c r="AO245" i="1"/>
  <c r="AN245" i="1"/>
  <c r="AM245" i="1"/>
  <c r="AL245" i="1"/>
  <c r="AP244" i="1"/>
  <c r="AO244" i="1"/>
  <c r="AN244" i="1"/>
  <c r="AM244" i="1"/>
  <c r="AL244" i="1"/>
  <c r="AP243" i="1"/>
  <c r="AO243" i="1"/>
  <c r="AN243" i="1"/>
  <c r="AM243" i="1"/>
  <c r="AL243" i="1"/>
  <c r="AP242" i="1"/>
  <c r="AO242" i="1"/>
  <c r="AN242" i="1"/>
  <c r="AM242" i="1"/>
  <c r="AL242" i="1"/>
  <c r="AP241" i="1"/>
  <c r="AO241" i="1"/>
  <c r="AN241" i="1"/>
  <c r="AM241" i="1"/>
  <c r="AL241" i="1"/>
  <c r="AP240" i="1"/>
  <c r="AO240" i="1"/>
  <c r="AN240" i="1"/>
  <c r="AM240" i="1"/>
  <c r="AL240" i="1"/>
  <c r="AP239" i="1"/>
  <c r="AO239" i="1"/>
  <c r="AN239" i="1"/>
  <c r="AM239" i="1"/>
  <c r="AL239" i="1"/>
  <c r="AP238" i="1"/>
  <c r="AO238" i="1"/>
  <c r="AN238" i="1"/>
  <c r="AM238" i="1"/>
  <c r="AL238" i="1"/>
  <c r="AP237" i="1"/>
  <c r="AO237" i="1"/>
  <c r="AN237" i="1"/>
  <c r="AM237" i="1"/>
  <c r="AL237" i="1"/>
  <c r="AP236" i="1"/>
  <c r="AO236" i="1"/>
  <c r="AN236" i="1"/>
  <c r="AM236" i="1"/>
  <c r="AL236" i="1"/>
  <c r="AP235" i="1"/>
  <c r="AO235" i="1"/>
  <c r="AN235" i="1"/>
  <c r="AM235" i="1"/>
  <c r="AL235" i="1"/>
  <c r="AP234" i="1"/>
  <c r="AO234" i="1"/>
  <c r="AN234" i="1"/>
  <c r="AM234" i="1"/>
  <c r="AL234" i="1"/>
  <c r="AP233" i="1"/>
  <c r="AO233" i="1"/>
  <c r="AN233" i="1"/>
  <c r="AM233" i="1"/>
  <c r="AL233" i="1"/>
  <c r="AP232" i="1"/>
  <c r="AO232" i="1"/>
  <c r="AN232" i="1"/>
  <c r="AM232" i="1"/>
  <c r="AL232" i="1"/>
  <c r="AP231" i="1"/>
  <c r="AO231" i="1"/>
  <c r="AN231" i="1"/>
  <c r="AM231" i="1"/>
  <c r="AL231" i="1"/>
  <c r="AP230" i="1"/>
  <c r="AO230" i="1"/>
  <c r="AN230" i="1"/>
  <c r="AM230" i="1"/>
  <c r="AL230" i="1"/>
  <c r="AP229" i="1"/>
  <c r="AO229" i="1"/>
  <c r="AN229" i="1"/>
  <c r="AM229" i="1"/>
  <c r="AL229" i="1"/>
  <c r="AP228" i="1"/>
  <c r="AO228" i="1"/>
  <c r="AN228" i="1"/>
  <c r="AM228" i="1"/>
  <c r="AL228" i="1"/>
  <c r="AP227" i="1"/>
  <c r="AO227" i="1"/>
  <c r="AN227" i="1"/>
  <c r="AM227" i="1"/>
  <c r="AL227" i="1"/>
  <c r="AP226" i="1"/>
  <c r="AO226" i="1"/>
  <c r="AN226" i="1"/>
  <c r="AM226" i="1"/>
  <c r="AL226" i="1"/>
  <c r="AP225" i="1"/>
  <c r="AO225" i="1"/>
  <c r="AN225" i="1"/>
  <c r="AM225" i="1"/>
  <c r="AL225" i="1"/>
  <c r="AP224" i="1"/>
  <c r="AO224" i="1"/>
  <c r="AN224" i="1"/>
  <c r="AM224" i="1"/>
  <c r="AL224" i="1"/>
  <c r="AP223" i="1"/>
  <c r="AO223" i="1"/>
  <c r="AN223" i="1"/>
  <c r="AM223" i="1"/>
  <c r="AL223" i="1"/>
  <c r="AP222" i="1"/>
  <c r="AO222" i="1"/>
  <c r="AN222" i="1"/>
  <c r="AM222" i="1"/>
  <c r="AL222" i="1"/>
  <c r="AP221" i="1"/>
  <c r="AO221" i="1"/>
  <c r="AN221" i="1"/>
  <c r="AM221" i="1"/>
  <c r="AL221" i="1"/>
  <c r="AP220" i="1"/>
  <c r="AO220" i="1"/>
  <c r="AN220" i="1"/>
  <c r="AM220" i="1"/>
  <c r="AL220" i="1"/>
  <c r="AP219" i="1"/>
  <c r="AO219" i="1"/>
  <c r="AN219" i="1"/>
  <c r="AM219" i="1"/>
  <c r="AL219" i="1"/>
  <c r="AP218" i="1"/>
  <c r="AO218" i="1"/>
  <c r="AN218" i="1"/>
  <c r="AM218" i="1"/>
  <c r="AL218" i="1"/>
  <c r="AP217" i="1"/>
  <c r="AO217" i="1"/>
  <c r="AN217" i="1"/>
  <c r="AM217" i="1"/>
  <c r="AL217" i="1"/>
  <c r="AP216" i="1"/>
  <c r="AO216" i="1"/>
  <c r="AN216" i="1"/>
  <c r="AM216" i="1"/>
  <c r="AL216" i="1"/>
  <c r="AP215" i="1"/>
  <c r="AO215" i="1"/>
  <c r="AN215" i="1"/>
  <c r="AM215" i="1"/>
  <c r="AL215" i="1"/>
  <c r="AP214" i="1"/>
  <c r="AO214" i="1"/>
  <c r="AN214" i="1"/>
  <c r="AM214" i="1"/>
  <c r="AL214" i="1"/>
  <c r="AP213" i="1"/>
  <c r="AO213" i="1"/>
  <c r="AN213" i="1"/>
  <c r="AM213" i="1"/>
  <c r="AL213" i="1"/>
  <c r="AP212" i="1"/>
  <c r="AO212" i="1"/>
  <c r="AN212" i="1"/>
  <c r="AM212" i="1"/>
  <c r="AL212" i="1"/>
  <c r="AP211" i="1"/>
  <c r="AO211" i="1"/>
  <c r="AN211" i="1"/>
  <c r="AM211" i="1"/>
  <c r="AL211" i="1"/>
  <c r="AP210" i="1"/>
  <c r="AO210" i="1"/>
  <c r="AN210" i="1"/>
  <c r="AM210" i="1"/>
  <c r="AL210" i="1"/>
  <c r="AP209" i="1"/>
  <c r="AO209" i="1"/>
  <c r="AN209" i="1"/>
  <c r="AM209" i="1"/>
  <c r="AL209" i="1"/>
  <c r="AP208" i="1"/>
  <c r="AO208" i="1"/>
  <c r="AN208" i="1"/>
  <c r="AM208" i="1"/>
  <c r="AL208" i="1"/>
  <c r="AP207" i="1"/>
  <c r="AO207" i="1"/>
  <c r="AN207" i="1"/>
  <c r="AM207" i="1"/>
  <c r="AL207" i="1"/>
  <c r="AP206" i="1"/>
  <c r="AO206" i="1"/>
  <c r="AN206" i="1"/>
  <c r="AM206" i="1"/>
  <c r="AL206" i="1"/>
  <c r="AP205" i="1"/>
  <c r="AO205" i="1"/>
  <c r="AN205" i="1"/>
  <c r="AM205" i="1"/>
  <c r="AL205" i="1"/>
  <c r="AP204" i="1"/>
  <c r="AO204" i="1"/>
  <c r="AN204" i="1"/>
  <c r="AM204" i="1"/>
  <c r="AL204" i="1"/>
  <c r="AP203" i="1"/>
  <c r="AO203" i="1"/>
  <c r="AN203" i="1"/>
  <c r="AM203" i="1"/>
  <c r="AL203" i="1"/>
  <c r="AP202" i="1"/>
  <c r="AO202" i="1"/>
  <c r="AN202" i="1"/>
  <c r="AM202" i="1"/>
  <c r="AL202" i="1"/>
  <c r="AO201" i="1"/>
  <c r="AN201" i="1"/>
  <c r="AM201" i="1"/>
  <c r="AL201" i="1"/>
  <c r="AO200" i="1"/>
  <c r="AN200" i="1"/>
  <c r="AM200" i="1"/>
  <c r="AL200" i="1"/>
  <c r="AO199" i="1"/>
  <c r="AN199" i="1"/>
  <c r="AM199" i="1"/>
  <c r="AL199" i="1"/>
  <c r="AO198" i="1"/>
  <c r="AN198" i="1"/>
  <c r="AM198" i="1"/>
  <c r="AL198" i="1"/>
  <c r="AO197" i="1"/>
  <c r="AN197" i="1"/>
  <c r="AM197" i="1"/>
  <c r="AL197" i="1"/>
  <c r="AO196" i="1"/>
  <c r="AN196" i="1"/>
  <c r="AM196" i="1"/>
  <c r="AL196" i="1"/>
  <c r="AO195" i="1"/>
  <c r="AN195" i="1"/>
  <c r="AM195" i="1"/>
  <c r="AL195" i="1"/>
  <c r="AO194" i="1"/>
  <c r="AN194" i="1"/>
  <c r="AM194" i="1"/>
  <c r="AL194" i="1"/>
  <c r="AO193" i="1"/>
  <c r="AN193" i="1"/>
  <c r="AM193" i="1"/>
  <c r="AL193" i="1"/>
  <c r="AO192" i="1"/>
  <c r="AN192" i="1"/>
  <c r="AM192" i="1"/>
  <c r="AL192" i="1"/>
  <c r="AO191" i="1"/>
  <c r="AN191" i="1"/>
  <c r="AM191" i="1"/>
  <c r="AL191" i="1"/>
  <c r="AO190" i="1"/>
  <c r="AN190" i="1"/>
  <c r="AM190" i="1"/>
  <c r="AL190" i="1"/>
  <c r="AO189" i="1"/>
  <c r="AN189" i="1"/>
  <c r="AM189" i="1"/>
  <c r="AL189" i="1"/>
  <c r="AO188" i="1"/>
  <c r="AN188" i="1"/>
  <c r="AM188" i="1"/>
  <c r="AL188" i="1"/>
  <c r="AO187" i="1"/>
  <c r="AN187" i="1"/>
  <c r="AM187" i="1"/>
  <c r="AL187" i="1"/>
  <c r="AO186" i="1"/>
  <c r="AN186" i="1"/>
  <c r="AM186" i="1"/>
  <c r="AL186" i="1"/>
  <c r="AO185" i="1"/>
  <c r="AN185" i="1"/>
  <c r="AM185" i="1"/>
  <c r="AL185" i="1"/>
  <c r="AO184" i="1"/>
  <c r="AN184" i="1"/>
  <c r="AM184" i="1"/>
  <c r="AL184" i="1"/>
  <c r="AO183" i="1"/>
  <c r="AN183" i="1"/>
  <c r="AM183" i="1"/>
  <c r="AL183" i="1"/>
  <c r="AO182" i="1"/>
  <c r="AN182" i="1"/>
  <c r="AM182" i="1"/>
  <c r="AL182" i="1"/>
  <c r="AO181" i="1"/>
  <c r="AN181" i="1"/>
  <c r="AM181" i="1"/>
  <c r="AL181" i="1"/>
  <c r="AO180" i="1"/>
  <c r="AN180" i="1"/>
  <c r="AM180" i="1"/>
  <c r="AL180" i="1"/>
  <c r="AO179" i="1"/>
  <c r="AN179" i="1"/>
  <c r="AM179" i="1"/>
  <c r="AL179" i="1"/>
  <c r="AO178" i="1"/>
  <c r="AN178" i="1"/>
  <c r="AM178" i="1"/>
  <c r="AL178" i="1"/>
  <c r="AO177" i="1"/>
  <c r="AN177" i="1"/>
  <c r="AM177" i="1"/>
  <c r="AL177" i="1"/>
  <c r="AO176" i="1"/>
  <c r="AN176" i="1"/>
  <c r="AM176" i="1"/>
  <c r="AL176" i="1"/>
  <c r="AO175" i="1"/>
  <c r="AN175" i="1"/>
  <c r="AM175" i="1"/>
  <c r="AL175" i="1"/>
  <c r="AO174" i="1"/>
  <c r="AN174" i="1"/>
  <c r="AM174" i="1"/>
  <c r="AL174" i="1"/>
  <c r="AO173" i="1"/>
  <c r="AN173" i="1"/>
  <c r="AM173" i="1"/>
  <c r="AL173" i="1"/>
  <c r="AO172" i="1"/>
  <c r="AN172" i="1"/>
  <c r="AM172" i="1"/>
  <c r="AL172" i="1"/>
  <c r="AO171" i="1"/>
  <c r="AN171" i="1"/>
  <c r="AM171" i="1"/>
  <c r="AL171" i="1"/>
  <c r="AO170" i="1"/>
  <c r="AN170" i="1"/>
  <c r="AM170" i="1"/>
  <c r="AL170" i="1"/>
  <c r="AO169" i="1"/>
  <c r="AN169" i="1"/>
  <c r="AM169" i="1"/>
  <c r="AL169" i="1"/>
  <c r="AO168" i="1"/>
  <c r="AN168" i="1"/>
  <c r="AM168" i="1"/>
  <c r="AL168" i="1"/>
  <c r="AO167" i="1"/>
  <c r="AN167" i="1"/>
  <c r="AM167" i="1"/>
  <c r="AL167" i="1"/>
  <c r="AO166" i="1"/>
  <c r="AN166" i="1"/>
  <c r="AM166" i="1"/>
  <c r="AL166" i="1"/>
  <c r="AO165" i="1"/>
  <c r="AN165" i="1"/>
  <c r="AM165" i="1"/>
  <c r="AL165" i="1"/>
  <c r="AO164" i="1"/>
  <c r="AN164" i="1"/>
  <c r="AM164" i="1"/>
  <c r="AL164" i="1"/>
  <c r="AO163" i="1"/>
  <c r="AN163" i="1"/>
  <c r="AM163" i="1"/>
  <c r="AL163" i="1"/>
  <c r="AO162" i="1"/>
  <c r="AN162" i="1"/>
  <c r="AM162" i="1"/>
  <c r="AL162" i="1"/>
  <c r="AO161" i="1"/>
  <c r="AN161" i="1"/>
  <c r="AM161" i="1"/>
  <c r="AL161" i="1"/>
  <c r="AO160" i="1"/>
  <c r="AN160" i="1"/>
  <c r="AM160" i="1"/>
  <c r="AL160" i="1"/>
  <c r="AO159" i="1"/>
  <c r="AN159" i="1"/>
  <c r="AM159" i="1"/>
  <c r="AL159" i="1"/>
  <c r="AO158" i="1"/>
  <c r="AN158" i="1"/>
  <c r="AM158" i="1"/>
  <c r="AL158" i="1"/>
  <c r="AO157" i="1"/>
  <c r="AN157" i="1"/>
  <c r="AM157" i="1"/>
  <c r="AL157" i="1"/>
  <c r="AO156" i="1"/>
  <c r="AN156" i="1"/>
  <c r="AM156" i="1"/>
  <c r="AL156" i="1"/>
  <c r="AO155" i="1"/>
  <c r="AN155" i="1"/>
  <c r="AM155" i="1"/>
  <c r="AL155" i="1"/>
  <c r="AO154" i="1"/>
  <c r="AN154" i="1"/>
  <c r="AM154" i="1"/>
  <c r="AL154" i="1"/>
  <c r="AO153" i="1"/>
  <c r="AN153" i="1"/>
  <c r="AM153" i="1"/>
  <c r="AL153" i="1"/>
  <c r="AO152" i="1"/>
  <c r="AN152" i="1"/>
  <c r="AM152" i="1"/>
  <c r="AL152" i="1"/>
  <c r="AO151" i="1"/>
  <c r="AN151" i="1"/>
  <c r="AM151" i="1"/>
  <c r="AL151" i="1"/>
  <c r="AO150" i="1"/>
  <c r="AN150" i="1"/>
  <c r="AM150" i="1"/>
  <c r="AL150" i="1"/>
  <c r="AO149" i="1"/>
  <c r="AN149" i="1"/>
  <c r="AM149" i="1"/>
  <c r="AL149" i="1"/>
  <c r="AO148" i="1"/>
  <c r="AN148" i="1"/>
  <c r="AM148" i="1"/>
  <c r="AL148" i="1"/>
  <c r="AO147" i="1"/>
  <c r="AN147" i="1"/>
  <c r="AM147" i="1"/>
  <c r="AL147" i="1"/>
  <c r="AO146" i="1"/>
  <c r="AN146" i="1"/>
  <c r="AM146" i="1"/>
  <c r="AL146" i="1"/>
  <c r="AO145" i="1"/>
  <c r="AN145" i="1"/>
  <c r="AM145" i="1"/>
  <c r="AL145" i="1"/>
  <c r="AO144" i="1"/>
  <c r="AN144" i="1"/>
  <c r="AM144" i="1"/>
  <c r="AL144" i="1"/>
  <c r="AO143" i="1"/>
  <c r="AN143" i="1"/>
  <c r="AM143" i="1"/>
  <c r="AL143" i="1"/>
  <c r="AO142" i="1"/>
  <c r="AN142" i="1"/>
  <c r="AM142" i="1"/>
  <c r="AL142" i="1"/>
  <c r="AO141" i="1"/>
  <c r="AN141" i="1"/>
  <c r="AM141" i="1"/>
  <c r="AL141" i="1"/>
  <c r="AO140" i="1"/>
  <c r="AN140" i="1"/>
  <c r="AM140" i="1"/>
  <c r="AL140" i="1"/>
  <c r="AO139" i="1"/>
  <c r="AN139" i="1"/>
  <c r="AM139" i="1"/>
  <c r="AL139" i="1"/>
  <c r="AO138" i="1"/>
  <c r="AN138" i="1"/>
  <c r="AM138" i="1"/>
  <c r="AL138" i="1"/>
  <c r="AO137" i="1"/>
  <c r="AN137" i="1"/>
  <c r="AM137" i="1"/>
  <c r="AL137" i="1"/>
  <c r="AO136" i="1"/>
  <c r="AN136" i="1"/>
  <c r="AM136" i="1"/>
  <c r="AL136" i="1"/>
  <c r="AO135" i="1"/>
  <c r="AN135" i="1"/>
  <c r="AM135" i="1"/>
  <c r="AL135" i="1"/>
  <c r="AO134" i="1"/>
  <c r="AN134" i="1"/>
  <c r="AM134" i="1"/>
  <c r="AL134" i="1"/>
  <c r="AO133" i="1"/>
  <c r="AN133" i="1"/>
  <c r="AM133" i="1"/>
  <c r="AL133" i="1"/>
  <c r="AO132" i="1"/>
  <c r="AN132" i="1"/>
  <c r="AM132" i="1"/>
  <c r="AL132" i="1"/>
  <c r="AO131" i="1"/>
  <c r="AN131" i="1"/>
  <c r="AM131" i="1"/>
  <c r="AL131" i="1"/>
  <c r="AO130" i="1"/>
  <c r="AN130" i="1"/>
  <c r="AM130" i="1"/>
  <c r="AL130" i="1"/>
  <c r="AO129" i="1"/>
  <c r="AN129" i="1"/>
  <c r="AM129" i="1"/>
  <c r="AL129" i="1"/>
  <c r="AO128" i="1"/>
  <c r="AN128" i="1"/>
  <c r="AM128" i="1"/>
  <c r="AL128" i="1"/>
  <c r="AO127" i="1"/>
  <c r="AN127" i="1"/>
  <c r="AM127" i="1"/>
  <c r="AL127" i="1"/>
  <c r="AO126" i="1"/>
  <c r="AN126" i="1"/>
  <c r="AM126" i="1"/>
  <c r="AL126" i="1"/>
  <c r="AO125" i="1"/>
  <c r="AN125" i="1"/>
  <c r="AM125" i="1"/>
  <c r="AL125" i="1"/>
  <c r="AO124" i="1"/>
  <c r="AN124" i="1"/>
  <c r="AM124" i="1"/>
  <c r="AL124" i="1"/>
  <c r="AO123" i="1"/>
  <c r="AN123" i="1"/>
  <c r="AM123" i="1"/>
  <c r="AL123" i="1"/>
  <c r="AO122" i="1"/>
  <c r="AN122" i="1"/>
  <c r="AM122" i="1"/>
  <c r="AL122" i="1"/>
  <c r="AO121" i="1"/>
  <c r="AN121" i="1"/>
  <c r="AM121" i="1"/>
  <c r="AL121" i="1"/>
  <c r="AO120" i="1"/>
  <c r="AN120" i="1"/>
  <c r="AM120" i="1"/>
  <c r="AL120" i="1"/>
  <c r="AO119" i="1"/>
  <c r="AN119" i="1"/>
  <c r="AM119" i="1"/>
  <c r="AL119" i="1"/>
  <c r="AO118" i="1"/>
  <c r="AN118" i="1"/>
  <c r="AM118" i="1"/>
  <c r="AL118" i="1"/>
  <c r="AO117" i="1"/>
  <c r="AN117" i="1"/>
  <c r="AM117" i="1"/>
  <c r="AL117" i="1"/>
  <c r="AO116" i="1"/>
  <c r="AN116" i="1"/>
  <c r="AM116" i="1"/>
  <c r="AL116" i="1"/>
  <c r="AO115" i="1"/>
  <c r="AN115" i="1"/>
  <c r="AM115" i="1"/>
  <c r="AL115" i="1"/>
  <c r="AO114" i="1"/>
  <c r="AN114" i="1"/>
  <c r="AM114" i="1"/>
  <c r="AL114" i="1"/>
  <c r="AO113" i="1"/>
  <c r="AN113" i="1"/>
  <c r="AM113" i="1"/>
  <c r="AL113" i="1"/>
  <c r="AO112" i="1"/>
  <c r="AN112" i="1"/>
  <c r="AM112" i="1"/>
  <c r="AL112" i="1"/>
  <c r="AO111" i="1"/>
  <c r="AN111" i="1"/>
  <c r="AM111" i="1"/>
  <c r="AL111" i="1"/>
  <c r="AO110" i="1"/>
  <c r="AN110" i="1"/>
  <c r="AM110" i="1"/>
  <c r="AL110" i="1"/>
  <c r="AO109" i="1"/>
  <c r="AN109" i="1"/>
  <c r="AM109" i="1"/>
  <c r="AL109" i="1"/>
  <c r="AO108" i="1"/>
  <c r="AN108" i="1"/>
  <c r="AM108" i="1"/>
  <c r="AL108" i="1"/>
  <c r="AO107" i="1"/>
  <c r="AN107" i="1"/>
  <c r="AM107" i="1"/>
  <c r="AL107" i="1"/>
  <c r="AO106" i="1"/>
  <c r="AN106" i="1"/>
  <c r="AM106" i="1"/>
  <c r="AL106" i="1"/>
  <c r="AO105" i="1"/>
  <c r="AN105" i="1"/>
  <c r="AM105" i="1"/>
  <c r="AL105" i="1"/>
  <c r="AO104" i="1"/>
  <c r="AN104" i="1"/>
  <c r="AM104" i="1"/>
  <c r="AL104" i="1"/>
  <c r="AO103" i="1"/>
  <c r="AN103" i="1"/>
  <c r="AM103" i="1"/>
  <c r="AL103" i="1"/>
  <c r="AO102" i="1"/>
  <c r="AN102" i="1"/>
  <c r="AM102" i="1"/>
  <c r="AL102" i="1"/>
  <c r="AO101" i="1"/>
  <c r="AN101" i="1"/>
  <c r="AM101" i="1"/>
  <c r="AL101" i="1"/>
  <c r="AO100" i="1"/>
  <c r="AN100" i="1"/>
  <c r="AM100" i="1"/>
  <c r="AL100" i="1"/>
  <c r="AO99" i="1"/>
  <c r="AN99" i="1"/>
  <c r="AM99" i="1"/>
  <c r="AL99" i="1"/>
  <c r="AO98" i="1"/>
  <c r="AN98" i="1"/>
  <c r="AM98" i="1"/>
  <c r="AL98" i="1"/>
  <c r="AO97" i="1"/>
  <c r="AN97" i="1"/>
  <c r="AM97" i="1"/>
  <c r="AL97" i="1"/>
  <c r="AO96" i="1"/>
  <c r="AN96" i="1"/>
  <c r="AM96" i="1"/>
  <c r="AL96" i="1"/>
  <c r="AO95" i="1"/>
  <c r="AN95" i="1"/>
  <c r="AM95" i="1"/>
  <c r="AL95" i="1"/>
  <c r="AO94" i="1"/>
  <c r="AN94" i="1"/>
  <c r="AM94" i="1"/>
  <c r="AL94" i="1"/>
  <c r="AO93" i="1"/>
  <c r="AN93" i="1"/>
  <c r="AM93" i="1"/>
  <c r="AL93" i="1"/>
  <c r="AO92" i="1"/>
  <c r="AN92" i="1"/>
  <c r="AM92" i="1"/>
  <c r="AL92" i="1"/>
  <c r="AO91" i="1"/>
  <c r="AN91" i="1"/>
  <c r="AM91" i="1"/>
  <c r="AL91" i="1"/>
  <c r="AO90" i="1"/>
  <c r="AN90" i="1"/>
  <c r="AM90" i="1"/>
  <c r="AL90" i="1"/>
  <c r="AO89" i="1"/>
  <c r="AN89" i="1"/>
  <c r="AM89" i="1"/>
  <c r="AL89" i="1"/>
  <c r="AO88" i="1"/>
  <c r="AN88" i="1"/>
  <c r="AM88" i="1"/>
  <c r="AL88" i="1"/>
  <c r="AO87" i="1"/>
  <c r="AN87" i="1"/>
  <c r="AM87" i="1"/>
  <c r="AL87" i="1"/>
  <c r="AO86" i="1"/>
  <c r="AN86" i="1"/>
  <c r="AM86" i="1"/>
  <c r="AL86" i="1"/>
  <c r="AO85" i="1"/>
  <c r="AN85" i="1"/>
  <c r="AM85" i="1"/>
  <c r="AL85" i="1"/>
  <c r="AO84" i="1"/>
  <c r="AN84" i="1"/>
  <c r="AM84" i="1"/>
  <c r="AL84" i="1"/>
  <c r="AO83" i="1"/>
  <c r="AN83" i="1"/>
  <c r="AM83" i="1"/>
  <c r="AL83" i="1"/>
  <c r="AO82" i="1"/>
  <c r="AN82" i="1"/>
  <c r="AM82" i="1"/>
  <c r="AL82" i="1"/>
  <c r="AO81" i="1"/>
  <c r="AN81" i="1"/>
  <c r="AM81" i="1"/>
  <c r="AL81" i="1"/>
  <c r="AO80" i="1"/>
  <c r="AN80" i="1"/>
  <c r="AM80" i="1"/>
  <c r="AL80" i="1"/>
  <c r="AO79" i="1"/>
  <c r="AN79" i="1"/>
  <c r="AM79" i="1"/>
  <c r="AL79" i="1"/>
  <c r="AO78" i="1"/>
  <c r="AN78" i="1"/>
  <c r="AM78" i="1"/>
  <c r="AL78" i="1"/>
  <c r="AO77" i="1"/>
  <c r="AN77" i="1"/>
  <c r="AM77" i="1"/>
  <c r="AL77" i="1"/>
  <c r="AO76" i="1"/>
  <c r="AN76" i="1"/>
  <c r="AM76" i="1"/>
  <c r="AL76" i="1"/>
  <c r="AO75" i="1"/>
  <c r="AN75" i="1"/>
  <c r="AM75" i="1"/>
  <c r="AL75" i="1"/>
  <c r="AO74" i="1"/>
  <c r="AN74" i="1"/>
  <c r="AM74" i="1"/>
  <c r="AL74" i="1"/>
  <c r="AO73" i="1"/>
  <c r="AN73" i="1"/>
  <c r="AM73" i="1"/>
  <c r="AL73" i="1"/>
  <c r="AO72" i="1"/>
  <c r="AN72" i="1"/>
  <c r="AM72" i="1"/>
  <c r="AL72" i="1"/>
  <c r="AO71" i="1"/>
  <c r="AN71" i="1"/>
  <c r="AM71" i="1"/>
  <c r="AL71" i="1"/>
  <c r="AO70" i="1"/>
  <c r="AN70" i="1"/>
  <c r="AM70" i="1"/>
  <c r="AL70" i="1"/>
  <c r="AO69" i="1"/>
  <c r="AN69" i="1"/>
  <c r="AM69" i="1"/>
  <c r="AL69" i="1"/>
  <c r="AO68" i="1"/>
  <c r="AN68" i="1"/>
  <c r="AM68" i="1"/>
  <c r="AL68" i="1"/>
  <c r="AO67" i="1"/>
  <c r="AN67" i="1"/>
  <c r="AM67" i="1"/>
  <c r="AL67" i="1"/>
  <c r="AO66" i="1"/>
  <c r="AN66" i="1"/>
  <c r="AM66" i="1"/>
  <c r="AL66" i="1"/>
  <c r="AO65" i="1"/>
  <c r="AN65" i="1"/>
  <c r="AM65" i="1"/>
  <c r="AL65" i="1"/>
  <c r="AO64" i="1"/>
  <c r="AN64" i="1"/>
  <c r="AM64" i="1"/>
  <c r="AL64" i="1"/>
  <c r="AO63" i="1"/>
  <c r="AN63" i="1"/>
  <c r="AM63" i="1"/>
  <c r="AL63" i="1"/>
  <c r="AO62" i="1"/>
  <c r="AN62" i="1"/>
  <c r="AM62" i="1"/>
  <c r="AL62" i="1"/>
  <c r="AO61" i="1"/>
  <c r="AN61" i="1"/>
  <c r="AM61" i="1"/>
  <c r="AL61" i="1"/>
  <c r="AO60" i="1"/>
  <c r="AN60" i="1"/>
  <c r="AM60" i="1"/>
  <c r="AL60" i="1"/>
  <c r="AO59" i="1"/>
  <c r="AN59" i="1"/>
  <c r="AM59" i="1"/>
  <c r="AL59" i="1"/>
  <c r="AO58" i="1"/>
  <c r="AN58" i="1"/>
  <c r="AM58" i="1"/>
  <c r="AL58" i="1"/>
  <c r="AO57" i="1"/>
  <c r="AN57" i="1"/>
  <c r="AM57" i="1"/>
  <c r="AL57" i="1"/>
  <c r="AO56" i="1"/>
  <c r="AN56" i="1"/>
  <c r="AM56" i="1"/>
  <c r="AL56" i="1"/>
  <c r="AO55" i="1"/>
  <c r="AN55" i="1"/>
  <c r="AM55" i="1"/>
  <c r="AL55" i="1"/>
  <c r="AO54" i="1"/>
  <c r="AN54" i="1"/>
  <c r="AM54" i="1"/>
  <c r="AL54" i="1"/>
  <c r="AO53" i="1"/>
  <c r="AN53" i="1"/>
  <c r="AM53" i="1"/>
  <c r="AL53" i="1"/>
  <c r="AO52" i="1"/>
  <c r="AN52" i="1"/>
  <c r="AM52" i="1"/>
  <c r="AL52" i="1"/>
  <c r="AO51" i="1"/>
  <c r="AN51" i="1"/>
  <c r="AM51" i="1"/>
  <c r="AL51" i="1"/>
  <c r="AO50" i="1"/>
  <c r="AN50" i="1"/>
  <c r="AM50" i="1"/>
  <c r="AL50" i="1"/>
  <c r="AO49" i="1"/>
  <c r="AN49" i="1"/>
  <c r="AM49" i="1"/>
  <c r="AL49" i="1"/>
  <c r="AO48" i="1"/>
  <c r="AN48" i="1"/>
  <c r="AM48" i="1"/>
  <c r="AL48" i="1"/>
  <c r="AO47" i="1"/>
  <c r="AN47" i="1"/>
  <c r="AM47" i="1"/>
  <c r="AL47" i="1"/>
  <c r="AO46" i="1"/>
  <c r="AN46" i="1"/>
  <c r="AM46" i="1"/>
  <c r="AL46" i="1"/>
  <c r="AO45" i="1"/>
  <c r="AN45" i="1"/>
  <c r="AM45" i="1"/>
  <c r="AL45" i="1"/>
  <c r="AO44" i="1"/>
  <c r="AN44" i="1"/>
  <c r="AM44" i="1"/>
  <c r="AL44" i="1"/>
  <c r="AO43" i="1"/>
  <c r="AN43" i="1"/>
  <c r="AM43" i="1"/>
  <c r="AL43" i="1"/>
  <c r="AO42" i="1"/>
  <c r="AN42" i="1"/>
  <c r="AM42" i="1"/>
  <c r="AL42" i="1"/>
  <c r="AO41" i="1"/>
  <c r="AN41" i="1"/>
  <c r="AM41" i="1"/>
  <c r="AL41" i="1"/>
  <c r="AO40" i="1"/>
  <c r="AN40" i="1"/>
  <c r="AM40" i="1"/>
  <c r="AL40" i="1"/>
  <c r="AO39" i="1"/>
  <c r="AN39" i="1"/>
  <c r="AM39" i="1"/>
  <c r="AL39" i="1"/>
  <c r="AO38" i="1"/>
  <c r="AN38" i="1"/>
  <c r="AM38" i="1"/>
  <c r="AL38" i="1"/>
  <c r="AO37" i="1"/>
  <c r="AN37" i="1"/>
  <c r="AM37" i="1"/>
  <c r="AL37" i="1"/>
  <c r="AO36" i="1"/>
  <c r="AN36" i="1"/>
  <c r="AM36" i="1"/>
  <c r="AL36" i="1"/>
  <c r="AO35" i="1"/>
  <c r="AN35" i="1"/>
  <c r="AM35" i="1"/>
  <c r="AL35" i="1"/>
  <c r="AO34" i="1"/>
  <c r="AN34" i="1"/>
  <c r="AM34" i="1"/>
  <c r="AL34" i="1"/>
  <c r="AO33" i="1"/>
  <c r="AN33" i="1"/>
  <c r="AM33" i="1"/>
  <c r="AL33" i="1"/>
  <c r="AO32" i="1"/>
  <c r="AN32" i="1"/>
  <c r="AM32" i="1"/>
  <c r="AL32" i="1"/>
  <c r="AO31" i="1"/>
  <c r="AN31" i="1"/>
  <c r="AM31" i="1"/>
  <c r="AL31" i="1"/>
  <c r="AO30" i="1"/>
  <c r="AN30" i="1"/>
  <c r="AM30" i="1"/>
  <c r="AL30" i="1"/>
  <c r="AO29" i="1"/>
  <c r="AN29" i="1"/>
  <c r="AM29" i="1"/>
  <c r="AL29" i="1"/>
  <c r="AO28" i="1"/>
  <c r="AN28" i="1"/>
  <c r="AM28" i="1"/>
  <c r="AL28" i="1"/>
  <c r="AO27" i="1"/>
  <c r="AN27" i="1"/>
  <c r="AM27" i="1"/>
  <c r="AL27" i="1"/>
  <c r="AO26" i="1"/>
  <c r="AN26" i="1"/>
  <c r="AM26" i="1"/>
  <c r="AL26" i="1"/>
  <c r="AO25" i="1"/>
  <c r="AN25" i="1"/>
  <c r="AM25" i="1"/>
  <c r="AL25" i="1"/>
  <c r="AO24" i="1"/>
  <c r="AN24" i="1"/>
  <c r="AM24" i="1"/>
  <c r="AL24" i="1"/>
  <c r="AO23" i="1"/>
  <c r="AN23" i="1"/>
  <c r="AM23" i="1"/>
  <c r="AL23" i="1"/>
  <c r="AO22" i="1"/>
  <c r="AN22" i="1"/>
  <c r="AM22" i="1"/>
  <c r="AL22" i="1"/>
  <c r="AO21" i="1"/>
  <c r="AN21" i="1"/>
  <c r="AM21" i="1"/>
  <c r="AL21" i="1"/>
  <c r="AO20" i="1"/>
  <c r="AN20" i="1"/>
  <c r="AM20" i="1"/>
  <c r="AL20" i="1"/>
  <c r="AO19" i="1"/>
  <c r="AN19" i="1"/>
  <c r="AM19" i="1"/>
  <c r="AL19" i="1"/>
  <c r="AO18" i="1"/>
  <c r="AN18" i="1"/>
  <c r="AM18" i="1"/>
  <c r="AL18" i="1"/>
  <c r="AO17" i="1"/>
  <c r="AN17" i="1"/>
  <c r="AM17" i="1"/>
  <c r="AL17" i="1"/>
  <c r="AO16" i="1"/>
  <c r="AN16" i="1"/>
  <c r="AM16" i="1"/>
  <c r="AL16" i="1"/>
  <c r="AO15" i="1"/>
  <c r="AN15" i="1"/>
  <c r="AM15" i="1"/>
  <c r="AL15" i="1"/>
  <c r="AO14" i="1"/>
  <c r="AN14" i="1"/>
  <c r="AM14" i="1"/>
  <c r="AL14" i="1"/>
  <c r="AO13" i="1"/>
  <c r="AN13" i="1"/>
  <c r="AM13" i="1"/>
  <c r="AL13" i="1"/>
  <c r="AO12" i="1"/>
  <c r="AN12" i="1"/>
  <c r="AM12" i="1"/>
  <c r="AL12" i="1"/>
  <c r="AO11" i="1"/>
  <c r="AN11" i="1"/>
  <c r="AM11" i="1"/>
  <c r="AL11" i="1"/>
  <c r="AO10" i="1"/>
  <c r="AN10" i="1"/>
  <c r="AM10" i="1"/>
  <c r="AL10" i="1"/>
  <c r="AO9" i="1"/>
  <c r="AN9" i="1"/>
  <c r="AM9" i="1"/>
  <c r="AL9" i="1"/>
  <c r="AO8" i="1"/>
  <c r="AN8" i="1"/>
  <c r="AM8" i="1"/>
  <c r="AL8" i="1"/>
  <c r="AO7" i="1"/>
  <c r="AN7" i="1"/>
  <c r="AM7" i="1"/>
  <c r="AL7" i="1"/>
  <c r="AO6" i="1"/>
  <c r="AN6" i="1"/>
  <c r="AM6" i="1"/>
  <c r="AL6" i="1"/>
  <c r="AO5" i="1"/>
  <c r="AN5" i="1"/>
  <c r="AM5" i="1"/>
  <c r="AL5" i="1"/>
  <c r="AO4" i="1"/>
  <c r="AN4" i="1"/>
  <c r="AM4" i="1"/>
  <c r="AL4" i="1"/>
  <c r="AO3" i="1"/>
  <c r="AN3" i="1"/>
  <c r="AM3" i="1"/>
  <c r="AL3" i="1"/>
  <c r="AO2" i="1"/>
  <c r="AN2" i="1"/>
  <c r="AM2" i="1"/>
  <c r="I27" i="2" s="1" a="1"/>
  <c r="I27" i="2" s="1"/>
  <c r="AL2" i="1"/>
  <c r="M81" i="2" l="1" a="1"/>
  <c r="M81" i="2" s="1"/>
  <c r="I26" i="2" a="1"/>
  <c r="I26" i="2" s="1"/>
  <c r="I80" i="2" a="1"/>
  <c r="I80" i="2" s="1"/>
  <c r="M80" i="2" a="1"/>
  <c r="M80" i="2" s="1"/>
  <c r="F80" i="2" a="1"/>
  <c r="F80" i="2" s="1"/>
  <c r="H74" i="2" a="1"/>
  <c r="H74" i="2" s="1"/>
  <c r="F124" i="2" a="1"/>
  <c r="F124" i="2" s="1"/>
  <c r="H34" i="2" a="1"/>
  <c r="H34" i="2" s="1"/>
  <c r="H38" i="2" a="1"/>
  <c r="H38" i="2" s="1"/>
  <c r="H67" i="2" a="1"/>
  <c r="H67" i="2" s="1"/>
  <c r="I69" i="2" a="1"/>
  <c r="I69" i="2" s="1"/>
  <c r="H29" i="2" a="1"/>
  <c r="H29" i="2" s="1"/>
  <c r="H43" i="2" a="1"/>
  <c r="H43" i="2" s="1"/>
  <c r="I54" i="2" a="1"/>
  <c r="I54" i="2" s="1"/>
  <c r="I29" i="2" a="1"/>
  <c r="I29" i="2" s="1"/>
  <c r="I36" i="2" a="1"/>
  <c r="I36" i="2" s="1"/>
  <c r="I38" i="2" a="1"/>
  <c r="I38" i="2" s="1"/>
  <c r="I45" i="2" a="1"/>
  <c r="I45" i="2" s="1"/>
  <c r="I47" i="2" a="1"/>
  <c r="I47" i="2" s="1"/>
  <c r="I52" i="2" a="1"/>
  <c r="I52" i="2" s="1"/>
  <c r="H55" i="2" a="1"/>
  <c r="H55" i="2" s="1"/>
  <c r="I57" i="2" a="1"/>
  <c r="I57" i="2" s="1"/>
  <c r="I59" i="2" a="1"/>
  <c r="I59" i="2" s="1"/>
  <c r="H62" i="2" a="1"/>
  <c r="H62" i="2" s="1"/>
  <c r="I64" i="2" a="1"/>
  <c r="I64" i="2" s="1"/>
  <c r="H70" i="2" a="1"/>
  <c r="H70" i="2" s="1"/>
  <c r="H72" i="2" a="1"/>
  <c r="H72" i="2" s="1"/>
  <c r="I40" i="2" a="1"/>
  <c r="I40" i="2" s="1"/>
  <c r="H45" i="2" a="1"/>
  <c r="H45" i="2" s="1"/>
  <c r="H47" i="2" a="1"/>
  <c r="H47" i="2" s="1"/>
  <c r="H52" i="2" a="1"/>
  <c r="H52" i="2" s="1"/>
  <c r="H57" i="2" a="1"/>
  <c r="H57" i="2" s="1"/>
  <c r="H30" i="2" a="1"/>
  <c r="H30" i="2" s="1"/>
  <c r="H32" i="2" a="1"/>
  <c r="H32" i="2" s="1"/>
  <c r="I34" i="2" a="1"/>
  <c r="I34" i="2" s="1"/>
  <c r="H37" i="2" a="1"/>
  <c r="H37" i="2" s="1"/>
  <c r="H39" i="2" a="1"/>
  <c r="H39" i="2" s="1"/>
  <c r="H41" i="2" a="1"/>
  <c r="H41" i="2" s="1"/>
  <c r="I43" i="2" a="1"/>
  <c r="I43" i="2" s="1"/>
  <c r="H46" i="2" a="1"/>
  <c r="H46" i="2" s="1"/>
  <c r="H48" i="2" a="1"/>
  <c r="H48" i="2" s="1"/>
  <c r="H50" i="2" a="1"/>
  <c r="H50" i="2" s="1"/>
  <c r="H58" i="2" a="1"/>
  <c r="H58" i="2" s="1"/>
  <c r="H60" i="2" a="1"/>
  <c r="H60" i="2" s="1"/>
  <c r="I62" i="2" a="1"/>
  <c r="I62" i="2" s="1"/>
  <c r="H65" i="2" a="1"/>
  <c r="H65" i="2" s="1"/>
  <c r="I67" i="2" a="1"/>
  <c r="I67" i="2" s="1"/>
  <c r="I70" i="2" a="1"/>
  <c r="I70" i="2" s="1"/>
  <c r="I72" i="2" a="1"/>
  <c r="I72" i="2" s="1"/>
  <c r="H36" i="2" a="1"/>
  <c r="H36" i="2" s="1"/>
  <c r="I49" i="2" a="1"/>
  <c r="I49" i="2" s="1"/>
  <c r="H59" i="2" a="1"/>
  <c r="H59" i="2" s="1"/>
  <c r="H28" i="2" a="1"/>
  <c r="H28" i="2" s="1"/>
  <c r="I30" i="2" a="1"/>
  <c r="I30" i="2" s="1"/>
  <c r="I32" i="2" a="1"/>
  <c r="I32" i="2" s="1"/>
  <c r="I39" i="2" a="1"/>
  <c r="I39" i="2" s="1"/>
  <c r="I41" i="2" a="1"/>
  <c r="I41" i="2" s="1"/>
  <c r="I48" i="2" a="1"/>
  <c r="I48" i="2" s="1"/>
  <c r="I50" i="2" a="1"/>
  <c r="I50" i="2" s="1"/>
  <c r="H53" i="2" a="1"/>
  <c r="H53" i="2" s="1"/>
  <c r="I55" i="2" a="1"/>
  <c r="I55" i="2" s="1"/>
  <c r="I60" i="2" a="1"/>
  <c r="I60" i="2" s="1"/>
  <c r="H63" i="2" a="1"/>
  <c r="H63" i="2" s="1"/>
  <c r="I65" i="2" a="1"/>
  <c r="I65" i="2" s="1"/>
  <c r="H68" i="2" a="1"/>
  <c r="H68" i="2" s="1"/>
  <c r="H73" i="2" a="1"/>
  <c r="H73" i="2" s="1"/>
  <c r="I31" i="2" a="1"/>
  <c r="I31" i="2" s="1"/>
  <c r="I28" i="2" a="1"/>
  <c r="I28" i="2" s="1"/>
  <c r="H31" i="2" a="1"/>
  <c r="H31" i="2" s="1"/>
  <c r="H33" i="2" a="1"/>
  <c r="H33" i="2" s="1"/>
  <c r="H35" i="2" a="1"/>
  <c r="H35" i="2" s="1"/>
  <c r="I37" i="2" a="1"/>
  <c r="I37" i="2" s="1"/>
  <c r="H40" i="2" a="1"/>
  <c r="H40" i="2" s="1"/>
  <c r="H42" i="2" a="1"/>
  <c r="H42" i="2" s="1"/>
  <c r="H44" i="2" a="1"/>
  <c r="H44" i="2" s="1"/>
  <c r="I46" i="2" a="1"/>
  <c r="I46" i="2" s="1"/>
  <c r="H49" i="2" a="1"/>
  <c r="H49" i="2" s="1"/>
  <c r="H51" i="2" a="1"/>
  <c r="H51" i="2" s="1"/>
  <c r="I53" i="2" a="1"/>
  <c r="I53" i="2" s="1"/>
  <c r="H56" i="2" a="1"/>
  <c r="H56" i="2" s="1"/>
  <c r="I58" i="2" a="1"/>
  <c r="I58" i="2" s="1"/>
  <c r="H61" i="2" a="1"/>
  <c r="H61" i="2" s="1"/>
  <c r="I63" i="2" a="1"/>
  <c r="I63" i="2" s="1"/>
  <c r="H66" i="2" a="1"/>
  <c r="H66" i="2" s="1"/>
  <c r="I68" i="2" a="1"/>
  <c r="I68" i="2" s="1"/>
  <c r="H71" i="2" a="1"/>
  <c r="H71" i="2" s="1"/>
  <c r="I73" i="2" a="1"/>
  <c r="I73" i="2" s="1"/>
  <c r="H27" i="2" a="1"/>
  <c r="H27" i="2" s="1"/>
  <c r="H26" i="2" a="1"/>
  <c r="H26" i="2" s="1"/>
  <c r="I33" i="2" a="1"/>
  <c r="I33" i="2" s="1"/>
  <c r="I35" i="2" a="1"/>
  <c r="I35" i="2" s="1"/>
  <c r="I42" i="2" a="1"/>
  <c r="I42" i="2" s="1"/>
  <c r="I44" i="2" a="1"/>
  <c r="I44" i="2" s="1"/>
  <c r="I51" i="2" a="1"/>
  <c r="I51" i="2" s="1"/>
  <c r="H54" i="2" a="1"/>
  <c r="H54" i="2" s="1"/>
  <c r="I56" i="2" a="1"/>
  <c r="I56" i="2" s="1"/>
  <c r="I61" i="2" a="1"/>
  <c r="I61" i="2" s="1"/>
  <c r="H64" i="2" a="1"/>
  <c r="H64" i="2" s="1"/>
  <c r="I66" i="2" a="1"/>
  <c r="I66" i="2" s="1"/>
  <c r="H69" i="2" a="1"/>
  <c r="H69" i="2" s="1"/>
  <c r="I71" i="2" a="1"/>
  <c r="I71" i="2" s="1"/>
  <c r="AY91" i="2" a="1"/>
  <c r="AY91" i="2" s="1"/>
  <c r="CM80" i="2" a="1"/>
  <c r="CM80" i="2" s="1"/>
  <c r="AU81" i="2" a="1"/>
  <c r="AU81" i="2" s="1"/>
  <c r="CG99" i="2" a="1"/>
  <c r="CG99" i="2" s="1"/>
  <c r="AH80" i="2" a="1"/>
  <c r="AH80" i="2" s="1"/>
  <c r="Q80" i="2" a="1"/>
  <c r="Q80" i="2" s="1"/>
  <c r="AL80" i="2" a="1"/>
  <c r="AL80" i="2" s="1"/>
  <c r="BE80" i="2" a="1"/>
  <c r="BE80" i="2" s="1"/>
  <c r="BY80" i="2" a="1"/>
  <c r="BY80" i="2" s="1"/>
  <c r="AH81" i="2" a="1"/>
  <c r="AH81" i="2" s="1"/>
  <c r="BC81" i="2" a="1"/>
  <c r="BC81" i="2" s="1"/>
  <c r="BV81" i="2" a="1"/>
  <c r="BV81" i="2" s="1"/>
  <c r="I82" i="2" a="1"/>
  <c r="I82" i="2" s="1"/>
  <c r="AD82" i="2" a="1"/>
  <c r="AD82" i="2" s="1"/>
  <c r="AY82" i="2" a="1"/>
  <c r="AY82" i="2" s="1"/>
  <c r="BT82" i="2" a="1"/>
  <c r="BT82" i="2" s="1"/>
  <c r="CM82" i="2" a="1"/>
  <c r="CM82" i="2" s="1"/>
  <c r="Z83" i="2" a="1"/>
  <c r="Z83" i="2" s="1"/>
  <c r="AU83" i="2" a="1"/>
  <c r="AU83" i="2" s="1"/>
  <c r="BP83" i="2" a="1"/>
  <c r="BP83" i="2" s="1"/>
  <c r="CK83" i="2" a="1"/>
  <c r="CK83" i="2" s="1"/>
  <c r="AQ84" i="2" a="1"/>
  <c r="AQ84" i="2" s="1"/>
  <c r="BL84" i="2" a="1"/>
  <c r="BL84" i="2" s="1"/>
  <c r="CG84" i="2" a="1"/>
  <c r="CG84" i="2" s="1"/>
  <c r="U85" i="2" a="1"/>
  <c r="U85" i="2" s="1"/>
  <c r="AN85" i="2" a="1"/>
  <c r="AN85" i="2" s="1"/>
  <c r="BH85" i="2" a="1"/>
  <c r="BH85" i="2" s="1"/>
  <c r="CC85" i="2" a="1"/>
  <c r="CC85" i="2" s="1"/>
  <c r="Q86" i="2" a="1"/>
  <c r="Q86" i="2" s="1"/>
  <c r="AL86" i="2" a="1"/>
  <c r="AL86" i="2" s="1"/>
  <c r="BE86" i="2" a="1"/>
  <c r="BE86" i="2" s="1"/>
  <c r="BY86" i="2" a="1"/>
  <c r="BY86" i="2" s="1"/>
  <c r="M87" i="2" a="1"/>
  <c r="M87" i="2" s="1"/>
  <c r="AH87" i="2" a="1"/>
  <c r="AH87" i="2" s="1"/>
  <c r="BC87" i="2" a="1"/>
  <c r="BC87" i="2" s="1"/>
  <c r="BV87" i="2" a="1"/>
  <c r="BV87" i="2" s="1"/>
  <c r="I88" i="2" a="1"/>
  <c r="I88" i="2" s="1"/>
  <c r="AD88" i="2" a="1"/>
  <c r="AD88" i="2" s="1"/>
  <c r="AY88" i="2" a="1"/>
  <c r="AY88" i="2" s="1"/>
  <c r="BT88" i="2" a="1"/>
  <c r="BT88" i="2" s="1"/>
  <c r="CM88" i="2" a="1"/>
  <c r="CM88" i="2" s="1"/>
  <c r="Z89" i="2" a="1"/>
  <c r="Z89" i="2" s="1"/>
  <c r="AU89" i="2" a="1"/>
  <c r="AU89" i="2" s="1"/>
  <c r="BP89" i="2" a="1"/>
  <c r="BP89" i="2" s="1"/>
  <c r="CK89" i="2" a="1"/>
  <c r="CK89" i="2" s="1"/>
  <c r="AQ90" i="2" a="1"/>
  <c r="AQ90" i="2" s="1"/>
  <c r="BP90" i="2" a="1"/>
  <c r="BP90" i="2" s="1"/>
  <c r="M91" i="2" a="1"/>
  <c r="M91" i="2" s="1"/>
  <c r="CC93" i="2" a="1"/>
  <c r="CC93" i="2" s="1"/>
  <c r="BH93" i="2" a="1"/>
  <c r="BH93" i="2" s="1"/>
  <c r="AY93" i="2" a="1"/>
  <c r="AY93" i="2" s="1"/>
  <c r="AD93" i="2" a="1"/>
  <c r="AD93" i="2" s="1"/>
  <c r="I93" i="2" a="1"/>
  <c r="I93" i="2" s="1"/>
  <c r="BV92" i="2" a="1"/>
  <c r="BV92" i="2" s="1"/>
  <c r="BC92" i="2" a="1"/>
  <c r="BC92" i="2" s="1"/>
  <c r="AH92" i="2" a="1"/>
  <c r="AH92" i="2" s="1"/>
  <c r="M92" i="2" a="1"/>
  <c r="M92" i="2" s="1"/>
  <c r="BY91" i="2" a="1"/>
  <c r="BY91" i="2" s="1"/>
  <c r="BE91" i="2" a="1"/>
  <c r="BE91" i="2" s="1"/>
  <c r="AL91" i="2" a="1"/>
  <c r="AL91" i="2" s="1"/>
  <c r="Q91" i="2" a="1"/>
  <c r="Q91" i="2" s="1"/>
  <c r="CC90" i="2" a="1"/>
  <c r="CC90" i="2" s="1"/>
  <c r="BH90" i="2" a="1"/>
  <c r="BH90" i="2" s="1"/>
  <c r="U95" i="2" a="1"/>
  <c r="U95" i="2" s="1"/>
  <c r="BV94" i="2" a="1"/>
  <c r="BV94" i="2" s="1"/>
  <c r="BC94" i="2" a="1"/>
  <c r="BC94" i="2" s="1"/>
  <c r="AH94" i="2" a="1"/>
  <c r="AH94" i="2" s="1"/>
  <c r="CK93" i="2" a="1"/>
  <c r="CK93" i="2" s="1"/>
  <c r="BP93" i="2" a="1"/>
  <c r="BP93" i="2" s="1"/>
  <c r="AU93" i="2" a="1"/>
  <c r="AU93" i="2" s="1"/>
  <c r="Z93" i="2" a="1"/>
  <c r="Z93" i="2" s="1"/>
  <c r="CM92" i="2" a="1"/>
  <c r="CM92" i="2" s="1"/>
  <c r="BT92" i="2" a="1"/>
  <c r="BT92" i="2" s="1"/>
  <c r="AN92" i="2" a="1"/>
  <c r="AN92" i="2" s="1"/>
  <c r="U92" i="2" a="1"/>
  <c r="U92" i="2" s="1"/>
  <c r="CG91" i="2" a="1"/>
  <c r="CG91" i="2" s="1"/>
  <c r="BC91" i="2" a="1"/>
  <c r="BC91" i="2" s="1"/>
  <c r="I95" i="2" a="1"/>
  <c r="I95" i="2" s="1"/>
  <c r="CG94" i="2" a="1"/>
  <c r="CG94" i="2" s="1"/>
  <c r="BL94" i="2" a="1"/>
  <c r="BL94" i="2" s="1"/>
  <c r="AQ94" i="2" a="1"/>
  <c r="AQ94" i="2" s="1"/>
  <c r="M94" i="2" a="1"/>
  <c r="M94" i="2" s="1"/>
  <c r="BY93" i="2" a="1"/>
  <c r="BY93" i="2" s="1"/>
  <c r="BE93" i="2" a="1"/>
  <c r="BE93" i="2" s="1"/>
  <c r="AL93" i="2" a="1"/>
  <c r="AL93" i="2" s="1"/>
  <c r="Q93" i="2" a="1"/>
  <c r="Q93" i="2" s="1"/>
  <c r="CC92" i="2" a="1"/>
  <c r="CC92" i="2" s="1"/>
  <c r="BH92" i="2" a="1"/>
  <c r="BH92" i="2" s="1"/>
  <c r="AY92" i="2" a="1"/>
  <c r="AY92" i="2" s="1"/>
  <c r="AD92" i="2" a="1"/>
  <c r="AD92" i="2" s="1"/>
  <c r="I92" i="2" a="1"/>
  <c r="I92" i="2" s="1"/>
  <c r="BV91" i="2" a="1"/>
  <c r="BV91" i="2" s="1"/>
  <c r="BL91" i="2" a="1"/>
  <c r="BL91" i="2" s="1"/>
  <c r="AQ91" i="2" a="1"/>
  <c r="AQ91" i="2" s="1"/>
  <c r="BE95" i="2" a="1"/>
  <c r="BE95" i="2" s="1"/>
  <c r="AL95" i="2" a="1"/>
  <c r="AL95" i="2" s="1"/>
  <c r="Q95" i="2" a="1"/>
  <c r="Q95" i="2" s="1"/>
  <c r="CC94" i="2" a="1"/>
  <c r="CC94" i="2" s="1"/>
  <c r="AY94" i="2" a="1"/>
  <c r="AY94" i="2" s="1"/>
  <c r="AD94" i="2" a="1"/>
  <c r="AD94" i="2" s="1"/>
  <c r="I94" i="2" a="1"/>
  <c r="I94" i="2" s="1"/>
  <c r="BL93" i="2" a="1"/>
  <c r="BL93" i="2" s="1"/>
  <c r="AH93" i="2" a="1"/>
  <c r="AH93" i="2" s="1"/>
  <c r="M93" i="2" a="1"/>
  <c r="M93" i="2" s="1"/>
  <c r="BY92" i="2" a="1"/>
  <c r="BY92" i="2" s="1"/>
  <c r="BE92" i="2" a="1"/>
  <c r="BE92" i="2" s="1"/>
  <c r="Z92" i="2" a="1"/>
  <c r="Z92" i="2" s="1"/>
  <c r="CM91" i="2" a="1"/>
  <c r="CM91" i="2" s="1"/>
  <c r="AU95" i="2" a="1"/>
  <c r="AU95" i="2" s="1"/>
  <c r="Z95" i="2" a="1"/>
  <c r="Z95" i="2" s="1"/>
  <c r="CM94" i="2" a="1"/>
  <c r="CM94" i="2" s="1"/>
  <c r="BT94" i="2" a="1"/>
  <c r="BT94" i="2" s="1"/>
  <c r="BH94" i="2" a="1"/>
  <c r="BH94" i="2" s="1"/>
  <c r="AN94" i="2" a="1"/>
  <c r="AN94" i="2" s="1"/>
  <c r="U94" i="2" a="1"/>
  <c r="U94" i="2" s="1"/>
  <c r="CG93" i="2" a="1"/>
  <c r="CG93" i="2" s="1"/>
  <c r="BV93" i="2" a="1"/>
  <c r="BV93" i="2" s="1"/>
  <c r="BC93" i="2" a="1"/>
  <c r="BC93" i="2" s="1"/>
  <c r="AQ93" i="2" a="1"/>
  <c r="AQ93" i="2" s="1"/>
  <c r="CK92" i="2" a="1"/>
  <c r="CK92" i="2" s="1"/>
  <c r="BP92" i="2" a="1"/>
  <c r="BP92" i="2" s="1"/>
  <c r="AU92" i="2" a="1"/>
  <c r="AU92" i="2" s="1"/>
  <c r="AL92" i="2" a="1"/>
  <c r="AL92" i="2" s="1"/>
  <c r="Q92" i="2" a="1"/>
  <c r="Q92" i="2" s="1"/>
  <c r="CM93" i="2" a="1"/>
  <c r="CM93" i="2" s="1"/>
  <c r="BT93" i="2" a="1"/>
  <c r="BT93" i="2" s="1"/>
  <c r="AN93" i="2" a="1"/>
  <c r="AN93" i="2" s="1"/>
  <c r="U93" i="2" a="1"/>
  <c r="U93" i="2" s="1"/>
  <c r="CG92" i="2" a="1"/>
  <c r="CG92" i="2" s="1"/>
  <c r="BL92" i="2" a="1"/>
  <c r="BL92" i="2" s="1"/>
  <c r="AQ92" i="2" a="1"/>
  <c r="AQ92" i="2" s="1"/>
  <c r="CK91" i="2" a="1"/>
  <c r="CK91" i="2" s="1"/>
  <c r="BP91" i="2" a="1"/>
  <c r="BP91" i="2" s="1"/>
  <c r="AU91" i="2" a="1"/>
  <c r="AU91" i="2" s="1"/>
  <c r="Z91" i="2" a="1"/>
  <c r="Z91" i="2" s="1"/>
  <c r="CM90" i="2" a="1"/>
  <c r="CM90" i="2" s="1"/>
  <c r="BT90" i="2" a="1"/>
  <c r="BT90" i="2" s="1"/>
  <c r="U80" i="2" a="1"/>
  <c r="U80" i="2" s="1"/>
  <c r="AN80" i="2" a="1"/>
  <c r="AN80" i="2" s="1"/>
  <c r="BH80" i="2" a="1"/>
  <c r="BH80" i="2" s="1"/>
  <c r="CC80" i="2" a="1"/>
  <c r="CC80" i="2" s="1"/>
  <c r="Q81" i="2" a="1"/>
  <c r="Q81" i="2" s="1"/>
  <c r="AL81" i="2" a="1"/>
  <c r="AL81" i="2" s="1"/>
  <c r="BE81" i="2" a="1"/>
  <c r="BE81" i="2" s="1"/>
  <c r="BY81" i="2" a="1"/>
  <c r="BY81" i="2" s="1"/>
  <c r="M82" i="2" a="1"/>
  <c r="M82" i="2" s="1"/>
  <c r="AH82" i="2" a="1"/>
  <c r="AH82" i="2" s="1"/>
  <c r="BC82" i="2" a="1"/>
  <c r="BC82" i="2" s="1"/>
  <c r="BV82" i="2" a="1"/>
  <c r="BV82" i="2" s="1"/>
  <c r="I83" i="2" a="1"/>
  <c r="I83" i="2" s="1"/>
  <c r="AD83" i="2" a="1"/>
  <c r="AD83" i="2" s="1"/>
  <c r="AY83" i="2" a="1"/>
  <c r="AY83" i="2" s="1"/>
  <c r="BT83" i="2" a="1"/>
  <c r="BT83" i="2" s="1"/>
  <c r="CM83" i="2" a="1"/>
  <c r="CM83" i="2" s="1"/>
  <c r="Z84" i="2" a="1"/>
  <c r="Z84" i="2" s="1"/>
  <c r="AU84" i="2" a="1"/>
  <c r="AU84" i="2" s="1"/>
  <c r="BP84" i="2" a="1"/>
  <c r="BP84" i="2" s="1"/>
  <c r="CK84" i="2" a="1"/>
  <c r="CK84" i="2" s="1"/>
  <c r="AQ85" i="2" a="1"/>
  <c r="AQ85" i="2" s="1"/>
  <c r="BL85" i="2" a="1"/>
  <c r="BL85" i="2" s="1"/>
  <c r="CG85" i="2" a="1"/>
  <c r="CG85" i="2" s="1"/>
  <c r="U86" i="2" a="1"/>
  <c r="U86" i="2" s="1"/>
  <c r="AN86" i="2" a="1"/>
  <c r="AN86" i="2" s="1"/>
  <c r="BH86" i="2" a="1"/>
  <c r="BH86" i="2" s="1"/>
  <c r="CC86" i="2" a="1"/>
  <c r="CC86" i="2" s="1"/>
  <c r="Q87" i="2" a="1"/>
  <c r="Q87" i="2" s="1"/>
  <c r="AL87" i="2" a="1"/>
  <c r="AL87" i="2" s="1"/>
  <c r="BE87" i="2" a="1"/>
  <c r="BE87" i="2" s="1"/>
  <c r="BY87" i="2" a="1"/>
  <c r="BY87" i="2" s="1"/>
  <c r="M88" i="2" a="1"/>
  <c r="M88" i="2" s="1"/>
  <c r="AH88" i="2" a="1"/>
  <c r="AH88" i="2" s="1"/>
  <c r="BC88" i="2" a="1"/>
  <c r="BC88" i="2" s="1"/>
  <c r="BV88" i="2" a="1"/>
  <c r="BV88" i="2" s="1"/>
  <c r="I89" i="2" a="1"/>
  <c r="I89" i="2" s="1"/>
  <c r="AD89" i="2" a="1"/>
  <c r="AD89" i="2" s="1"/>
  <c r="AY89" i="2" a="1"/>
  <c r="AY89" i="2" s="1"/>
  <c r="BT89" i="2" a="1"/>
  <c r="BT89" i="2" s="1"/>
  <c r="CM89" i="2" a="1"/>
  <c r="CM89" i="2" s="1"/>
  <c r="Z90" i="2" a="1"/>
  <c r="Z90" i="2" s="1"/>
  <c r="AU90" i="2" a="1"/>
  <c r="AU90" i="2" s="1"/>
  <c r="BV90" i="2" a="1"/>
  <c r="BV90" i="2" s="1"/>
  <c r="U91" i="2" a="1"/>
  <c r="U91" i="2" s="1"/>
  <c r="BH91" i="2" a="1"/>
  <c r="BH91" i="2" s="1"/>
  <c r="AD80" i="2" a="1"/>
  <c r="AD80" i="2" s="1"/>
  <c r="AQ80" i="2" a="1"/>
  <c r="AQ80" i="2" s="1"/>
  <c r="CG80" i="2" a="1"/>
  <c r="CG80" i="2" s="1"/>
  <c r="BH81" i="2" a="1"/>
  <c r="BH81" i="2" s="1"/>
  <c r="AL82" i="2" a="1"/>
  <c r="AL82" i="2" s="1"/>
  <c r="BY82" i="2" a="1"/>
  <c r="BY82" i="2" s="1"/>
  <c r="M83" i="2" a="1"/>
  <c r="M83" i="2" s="1"/>
  <c r="AH83" i="2" a="1"/>
  <c r="AH83" i="2" s="1"/>
  <c r="BC83" i="2" a="1"/>
  <c r="BC83" i="2" s="1"/>
  <c r="BV83" i="2" a="1"/>
  <c r="BV83" i="2" s="1"/>
  <c r="I84" i="2" a="1"/>
  <c r="I84" i="2" s="1"/>
  <c r="AD84" i="2" a="1"/>
  <c r="AD84" i="2" s="1"/>
  <c r="AY84" i="2" a="1"/>
  <c r="AY84" i="2" s="1"/>
  <c r="BT84" i="2" a="1"/>
  <c r="BT84" i="2" s="1"/>
  <c r="CM84" i="2" a="1"/>
  <c r="CM84" i="2" s="1"/>
  <c r="Z85" i="2" a="1"/>
  <c r="Z85" i="2" s="1"/>
  <c r="AU85" i="2" a="1"/>
  <c r="AU85" i="2" s="1"/>
  <c r="BP85" i="2" a="1"/>
  <c r="BP85" i="2" s="1"/>
  <c r="CK85" i="2" a="1"/>
  <c r="CK85" i="2" s="1"/>
  <c r="AQ86" i="2" a="1"/>
  <c r="AQ86" i="2" s="1"/>
  <c r="BL86" i="2" a="1"/>
  <c r="BL86" i="2" s="1"/>
  <c r="CG86" i="2" a="1"/>
  <c r="CG86" i="2" s="1"/>
  <c r="U87" i="2" a="1"/>
  <c r="U87" i="2" s="1"/>
  <c r="AN87" i="2" a="1"/>
  <c r="AN87" i="2" s="1"/>
  <c r="BH87" i="2" a="1"/>
  <c r="BH87" i="2" s="1"/>
  <c r="CC87" i="2" a="1"/>
  <c r="CC87" i="2" s="1"/>
  <c r="Q88" i="2" a="1"/>
  <c r="Q88" i="2" s="1"/>
  <c r="AL88" i="2" a="1"/>
  <c r="AL88" i="2" s="1"/>
  <c r="BE88" i="2" a="1"/>
  <c r="BE88" i="2" s="1"/>
  <c r="BY88" i="2" a="1"/>
  <c r="BY88" i="2" s="1"/>
  <c r="M89" i="2" a="1"/>
  <c r="M89" i="2" s="1"/>
  <c r="AH89" i="2" a="1"/>
  <c r="AH89" i="2" s="1"/>
  <c r="BC89" i="2" a="1"/>
  <c r="BC89" i="2" s="1"/>
  <c r="BV89" i="2" a="1"/>
  <c r="BV89" i="2" s="1"/>
  <c r="I90" i="2" a="1"/>
  <c r="I90" i="2" s="1"/>
  <c r="AD90" i="2" a="1"/>
  <c r="AD90" i="2" s="1"/>
  <c r="AY90" i="2" a="1"/>
  <c r="AY90" i="2" s="1"/>
  <c r="BY90" i="2" a="1"/>
  <c r="BY90" i="2" s="1"/>
  <c r="BT91" i="2" a="1"/>
  <c r="BT91" i="2" s="1"/>
  <c r="BT80" i="2" a="1"/>
  <c r="BT80" i="2" s="1"/>
  <c r="BL80" i="2" a="1"/>
  <c r="BL80" i="2" s="1"/>
  <c r="U81" i="2" a="1"/>
  <c r="U81" i="2" s="1"/>
  <c r="AN81" i="2" a="1"/>
  <c r="AN81" i="2" s="1"/>
  <c r="CC81" i="2" a="1"/>
  <c r="CC81" i="2" s="1"/>
  <c r="Q82" i="2" a="1"/>
  <c r="Q82" i="2" s="1"/>
  <c r="BE82" i="2" a="1"/>
  <c r="BE82" i="2" s="1"/>
  <c r="Z80" i="2" a="1"/>
  <c r="Z80" i="2" s="1"/>
  <c r="AU80" i="2" a="1"/>
  <c r="AU80" i="2" s="1"/>
  <c r="BP80" i="2" a="1"/>
  <c r="BP80" i="2" s="1"/>
  <c r="CK80" i="2" a="1"/>
  <c r="CK80" i="2" s="1"/>
  <c r="AQ81" i="2" a="1"/>
  <c r="AQ81" i="2" s="1"/>
  <c r="BL81" i="2" a="1"/>
  <c r="BL81" i="2" s="1"/>
  <c r="CG81" i="2" a="1"/>
  <c r="CG81" i="2" s="1"/>
  <c r="U82" i="2" a="1"/>
  <c r="U82" i="2" s="1"/>
  <c r="AN82" i="2" a="1"/>
  <c r="AN82" i="2" s="1"/>
  <c r="BH82" i="2" a="1"/>
  <c r="BH82" i="2" s="1"/>
  <c r="CC82" i="2" a="1"/>
  <c r="CC82" i="2" s="1"/>
  <c r="Q83" i="2" a="1"/>
  <c r="Q83" i="2" s="1"/>
  <c r="AL83" i="2" a="1"/>
  <c r="AL83" i="2" s="1"/>
  <c r="BE83" i="2" a="1"/>
  <c r="BE83" i="2" s="1"/>
  <c r="BY83" i="2" a="1"/>
  <c r="BY83" i="2" s="1"/>
  <c r="M84" i="2" a="1"/>
  <c r="M84" i="2" s="1"/>
  <c r="AH84" i="2" a="1"/>
  <c r="AH84" i="2" s="1"/>
  <c r="BC84" i="2" a="1"/>
  <c r="BC84" i="2" s="1"/>
  <c r="BV84" i="2" a="1"/>
  <c r="BV84" i="2" s="1"/>
  <c r="I85" i="2" a="1"/>
  <c r="I85" i="2" s="1"/>
  <c r="AD85" i="2" a="1"/>
  <c r="AD85" i="2" s="1"/>
  <c r="AY85" i="2" a="1"/>
  <c r="AY85" i="2" s="1"/>
  <c r="BT85" i="2" a="1"/>
  <c r="BT85" i="2" s="1"/>
  <c r="CM85" i="2" a="1"/>
  <c r="CM85" i="2" s="1"/>
  <c r="Z86" i="2" a="1"/>
  <c r="Z86" i="2" s="1"/>
  <c r="AU86" i="2" a="1"/>
  <c r="AU86" i="2" s="1"/>
  <c r="BP86" i="2" a="1"/>
  <c r="BP86" i="2" s="1"/>
  <c r="CK86" i="2" a="1"/>
  <c r="CK86" i="2" s="1"/>
  <c r="AQ87" i="2" a="1"/>
  <c r="AQ87" i="2" s="1"/>
  <c r="BL87" i="2" a="1"/>
  <c r="BL87" i="2" s="1"/>
  <c r="CG87" i="2" a="1"/>
  <c r="CG87" i="2" s="1"/>
  <c r="U88" i="2" a="1"/>
  <c r="U88" i="2" s="1"/>
  <c r="AN88" i="2" a="1"/>
  <c r="AN88" i="2" s="1"/>
  <c r="BH88" i="2" a="1"/>
  <c r="BH88" i="2" s="1"/>
  <c r="CC88" i="2" a="1"/>
  <c r="CC88" i="2" s="1"/>
  <c r="Q89" i="2" a="1"/>
  <c r="Q89" i="2" s="1"/>
  <c r="AL89" i="2" a="1"/>
  <c r="AL89" i="2" s="1"/>
  <c r="BE89" i="2" a="1"/>
  <c r="BE89" i="2" s="1"/>
  <c r="BY89" i="2" a="1"/>
  <c r="BY89" i="2" s="1"/>
  <c r="M90" i="2" a="1"/>
  <c r="M90" i="2" s="1"/>
  <c r="AH90" i="2" a="1"/>
  <c r="AH90" i="2" s="1"/>
  <c r="BC90" i="2" a="1"/>
  <c r="BC90" i="2" s="1"/>
  <c r="CG90" i="2" a="1"/>
  <c r="CG90" i="2" s="1"/>
  <c r="AD91" i="2" a="1"/>
  <c r="AD91" i="2" s="1"/>
  <c r="CC91" i="2" a="1"/>
  <c r="CC91" i="2" s="1"/>
  <c r="Z81" i="2" a="1"/>
  <c r="Z81" i="2" s="1"/>
  <c r="CK81" i="2" a="1"/>
  <c r="CK81" i="2" s="1"/>
  <c r="AQ82" i="2" a="1"/>
  <c r="AQ82" i="2" s="1"/>
  <c r="BL82" i="2" a="1"/>
  <c r="BL82" i="2" s="1"/>
  <c r="CG82" i="2" a="1"/>
  <c r="CG82" i="2" s="1"/>
  <c r="U83" i="2" a="1"/>
  <c r="U83" i="2" s="1"/>
  <c r="AN83" i="2" a="1"/>
  <c r="AN83" i="2" s="1"/>
  <c r="BH83" i="2" a="1"/>
  <c r="BH83" i="2" s="1"/>
  <c r="CC83" i="2" a="1"/>
  <c r="CC83" i="2" s="1"/>
  <c r="Q84" i="2" a="1"/>
  <c r="Q84" i="2" s="1"/>
  <c r="AL84" i="2" a="1"/>
  <c r="AL84" i="2" s="1"/>
  <c r="BE84" i="2" a="1"/>
  <c r="BE84" i="2" s="1"/>
  <c r="BY84" i="2" a="1"/>
  <c r="BY84" i="2" s="1"/>
  <c r="M85" i="2" a="1"/>
  <c r="M85" i="2" s="1"/>
  <c r="AH85" i="2" a="1"/>
  <c r="AH85" i="2" s="1"/>
  <c r="BC85" i="2" a="1"/>
  <c r="BC85" i="2" s="1"/>
  <c r="BV85" i="2" a="1"/>
  <c r="BV85" i="2" s="1"/>
  <c r="I86" i="2" a="1"/>
  <c r="I86" i="2" s="1"/>
  <c r="AD86" i="2" a="1"/>
  <c r="AD86" i="2" s="1"/>
  <c r="AY86" i="2" a="1"/>
  <c r="AY86" i="2" s="1"/>
  <c r="BT86" i="2" a="1"/>
  <c r="BT86" i="2" s="1"/>
  <c r="CM86" i="2" a="1"/>
  <c r="CM86" i="2" s="1"/>
  <c r="Z87" i="2" a="1"/>
  <c r="Z87" i="2" s="1"/>
  <c r="AU87" i="2" a="1"/>
  <c r="AU87" i="2" s="1"/>
  <c r="BP87" i="2" a="1"/>
  <c r="BP87" i="2" s="1"/>
  <c r="CK87" i="2" a="1"/>
  <c r="CK87" i="2" s="1"/>
  <c r="AQ88" i="2" a="1"/>
  <c r="AQ88" i="2" s="1"/>
  <c r="BL88" i="2" a="1"/>
  <c r="BL88" i="2" s="1"/>
  <c r="CG88" i="2" a="1"/>
  <c r="CG88" i="2" s="1"/>
  <c r="U89" i="2" a="1"/>
  <c r="U89" i="2" s="1"/>
  <c r="AN89" i="2" a="1"/>
  <c r="AN89" i="2" s="1"/>
  <c r="BH89" i="2" a="1"/>
  <c r="BH89" i="2" s="1"/>
  <c r="CC89" i="2" a="1"/>
  <c r="CC89" i="2" s="1"/>
  <c r="Q90" i="2" a="1"/>
  <c r="Q90" i="2" s="1"/>
  <c r="AL90" i="2" a="1"/>
  <c r="AL90" i="2" s="1"/>
  <c r="BE90" i="2" a="1"/>
  <c r="BE90" i="2" s="1"/>
  <c r="CK90" i="2" a="1"/>
  <c r="CK90" i="2" s="1"/>
  <c r="AH91" i="2" a="1"/>
  <c r="AH91" i="2" s="1"/>
  <c r="AY80" i="2" a="1"/>
  <c r="AY80" i="2" s="1"/>
  <c r="BP81" i="2" a="1"/>
  <c r="BP81" i="2" s="1"/>
  <c r="BC80" i="2" a="1"/>
  <c r="BC80" i="2" s="1"/>
  <c r="BV80" i="2" a="1"/>
  <c r="BV80" i="2" s="1"/>
  <c r="I81" i="2" a="1"/>
  <c r="I81" i="2" s="1"/>
  <c r="AD81" i="2" a="1"/>
  <c r="AD81" i="2" s="1"/>
  <c r="AY81" i="2" a="1"/>
  <c r="AY81" i="2" s="1"/>
  <c r="BT81" i="2" a="1"/>
  <c r="BT81" i="2" s="1"/>
  <c r="CM81" i="2" a="1"/>
  <c r="CM81" i="2" s="1"/>
  <c r="Z82" i="2" a="1"/>
  <c r="Z82" i="2" s="1"/>
  <c r="AU82" i="2" a="1"/>
  <c r="AU82" i="2" s="1"/>
  <c r="BP82" i="2" a="1"/>
  <c r="BP82" i="2" s="1"/>
  <c r="CK82" i="2" a="1"/>
  <c r="CK82" i="2" s="1"/>
  <c r="AQ83" i="2" a="1"/>
  <c r="AQ83" i="2" s="1"/>
  <c r="BL83" i="2" a="1"/>
  <c r="BL83" i="2" s="1"/>
  <c r="CG83" i="2" a="1"/>
  <c r="CG83" i="2" s="1"/>
  <c r="U84" i="2" a="1"/>
  <c r="U84" i="2" s="1"/>
  <c r="AN84" i="2" a="1"/>
  <c r="AN84" i="2" s="1"/>
  <c r="BH84" i="2" a="1"/>
  <c r="BH84" i="2" s="1"/>
  <c r="CC84" i="2" a="1"/>
  <c r="CC84" i="2" s="1"/>
  <c r="Q85" i="2" a="1"/>
  <c r="Q85" i="2" s="1"/>
  <c r="AL85" i="2" a="1"/>
  <c r="AL85" i="2" s="1"/>
  <c r="BE85" i="2" a="1"/>
  <c r="BE85" i="2" s="1"/>
  <c r="BY85" i="2" a="1"/>
  <c r="BY85" i="2" s="1"/>
  <c r="M86" i="2" a="1"/>
  <c r="M86" i="2" s="1"/>
  <c r="AH86" i="2" a="1"/>
  <c r="AH86" i="2" s="1"/>
  <c r="BC86" i="2" a="1"/>
  <c r="BC86" i="2" s="1"/>
  <c r="BV86" i="2" a="1"/>
  <c r="BV86" i="2" s="1"/>
  <c r="I87" i="2" a="1"/>
  <c r="I87" i="2" s="1"/>
  <c r="AD87" i="2" a="1"/>
  <c r="AD87" i="2" s="1"/>
  <c r="AY87" i="2" a="1"/>
  <c r="AY87" i="2" s="1"/>
  <c r="BT87" i="2" a="1"/>
  <c r="BT87" i="2" s="1"/>
  <c r="CM87" i="2" a="1"/>
  <c r="CM87" i="2" s="1"/>
  <c r="Z88" i="2" a="1"/>
  <c r="Z88" i="2" s="1"/>
  <c r="AU88" i="2" a="1"/>
  <c r="AU88" i="2" s="1"/>
  <c r="BP88" i="2" a="1"/>
  <c r="BP88" i="2" s="1"/>
  <c r="CK88" i="2" a="1"/>
  <c r="CK88" i="2" s="1"/>
  <c r="AQ89" i="2" a="1"/>
  <c r="AQ89" i="2" s="1"/>
  <c r="BL89" i="2" a="1"/>
  <c r="BL89" i="2" s="1"/>
  <c r="CG89" i="2" a="1"/>
  <c r="CG89" i="2" s="1"/>
  <c r="U90" i="2" a="1"/>
  <c r="U90" i="2" s="1"/>
  <c r="AN90" i="2" a="1"/>
  <c r="AN90" i="2" s="1"/>
  <c r="BL90" i="2" a="1"/>
  <c r="BL90" i="2" s="1"/>
  <c r="I91" i="2" a="1"/>
  <c r="I91" i="2" s="1"/>
  <c r="AN91" i="2" a="1"/>
  <c r="AN91" i="2" s="1"/>
  <c r="AL94" i="2" a="1"/>
  <c r="AL94" i="2" s="1"/>
  <c r="BE94" i="2" a="1"/>
  <c r="BE94" i="2" s="1"/>
  <c r="BY94" i="2" a="1"/>
  <c r="BY94" i="2" s="1"/>
  <c r="BC96" i="2" a="1"/>
  <c r="BC96" i="2" s="1"/>
  <c r="BP96" i="2" a="1"/>
  <c r="BP96" i="2" s="1"/>
  <c r="CM96" i="2" a="1"/>
  <c r="CM96" i="2" s="1"/>
  <c r="AD97" i="2" a="1"/>
  <c r="AD97" i="2" s="1"/>
  <c r="AQ97" i="2" a="1"/>
  <c r="AQ97" i="2" s="1"/>
  <c r="BP97" i="2" a="1"/>
  <c r="BP97" i="2" s="1"/>
  <c r="CM97" i="2" a="1"/>
  <c r="CM97" i="2" s="1"/>
  <c r="AN98" i="2" a="1"/>
  <c r="AN98" i="2" s="1"/>
  <c r="AD99" i="2" a="1"/>
  <c r="AD99" i="2" s="1"/>
  <c r="BL99" i="2" a="1"/>
  <c r="BL99" i="2" s="1"/>
  <c r="BP95" i="2" a="1"/>
  <c r="BP95" i="2" s="1"/>
  <c r="BY95" i="2" a="1"/>
  <c r="BY95" i="2" s="1"/>
  <c r="CK95" i="2" a="1"/>
  <c r="CK95" i="2" s="1"/>
  <c r="M96" i="2" a="1"/>
  <c r="M96" i="2" s="1"/>
  <c r="AH96" i="2" a="1"/>
  <c r="AH96" i="2" s="1"/>
  <c r="AQ96" i="2" a="1"/>
  <c r="AQ96" i="2" s="1"/>
  <c r="BE96" i="2" a="1"/>
  <c r="BE96" i="2" s="1"/>
  <c r="CC96" i="2" a="1"/>
  <c r="CC96" i="2" s="1"/>
  <c r="U97" i="2" a="1"/>
  <c r="U97" i="2" s="1"/>
  <c r="AH97" i="2" a="1"/>
  <c r="AH97" i="2" s="1"/>
  <c r="BE97" i="2" a="1"/>
  <c r="BE97" i="2" s="1"/>
  <c r="CC97" i="2" a="1"/>
  <c r="CC97" i="2" s="1"/>
  <c r="BH98" i="2" a="1"/>
  <c r="BH98" i="2" s="1"/>
  <c r="BY98" i="2" a="1"/>
  <c r="BY98" i="2" s="1"/>
  <c r="AL99" i="2" a="1"/>
  <c r="AL99" i="2" s="1"/>
  <c r="AN100" i="2" a="1"/>
  <c r="AN100" i="2" s="1"/>
  <c r="AU96" i="2" a="1"/>
  <c r="AU96" i="2" s="1"/>
  <c r="BT96" i="2" a="1"/>
  <c r="BT96" i="2" s="1"/>
  <c r="I97" i="2" a="1"/>
  <c r="I97" i="2" s="1"/>
  <c r="AU97" i="2" a="1"/>
  <c r="AU97" i="2" s="1"/>
  <c r="BT97" i="2" a="1"/>
  <c r="BT97" i="2" s="1"/>
  <c r="CG97" i="2" a="1"/>
  <c r="CG97" i="2" s="1"/>
  <c r="M98" i="2" a="1"/>
  <c r="M98" i="2" s="1"/>
  <c r="Z98" i="2" a="1"/>
  <c r="Z98" i="2" s="1"/>
  <c r="AQ98" i="2" a="1"/>
  <c r="AQ98" i="2" s="1"/>
  <c r="BL98" i="2" a="1"/>
  <c r="BL98" i="2" s="1"/>
  <c r="CC98" i="2" a="1"/>
  <c r="CC98" i="2" s="1"/>
  <c r="Q99" i="2" a="1"/>
  <c r="Q99" i="2" s="1"/>
  <c r="AN99" i="2" a="1"/>
  <c r="AN99" i="2" s="1"/>
  <c r="BY99" i="2" a="1"/>
  <c r="BY99" i="2" s="1"/>
  <c r="BC100" i="2" a="1"/>
  <c r="BC100" i="2" s="1"/>
  <c r="AD95" i="2" a="1"/>
  <c r="AD95" i="2" s="1"/>
  <c r="AN95" i="2" a="1"/>
  <c r="AN95" i="2" s="1"/>
  <c r="AY95" i="2" a="1"/>
  <c r="AY95" i="2" s="1"/>
  <c r="BH95" i="2" a="1"/>
  <c r="BH95" i="2" s="1"/>
  <c r="BT95" i="2" a="1"/>
  <c r="BT95" i="2" s="1"/>
  <c r="CC95" i="2" a="1"/>
  <c r="CC95" i="2" s="1"/>
  <c r="CM95" i="2" a="1"/>
  <c r="CM95" i="2" s="1"/>
  <c r="Q96" i="2" a="1"/>
  <c r="Q96" i="2" s="1"/>
  <c r="Z96" i="2" a="1"/>
  <c r="Z96" i="2" s="1"/>
  <c r="AL96" i="2" a="1"/>
  <c r="AL96" i="2" s="1"/>
  <c r="BH96" i="2" a="1"/>
  <c r="BH96" i="2" s="1"/>
  <c r="CG96" i="2" a="1"/>
  <c r="CG96" i="2" s="1"/>
  <c r="M97" i="2" a="1"/>
  <c r="M97" i="2" s="1"/>
  <c r="AL97" i="2" a="1"/>
  <c r="AL97" i="2" s="1"/>
  <c r="BH97" i="2" a="1"/>
  <c r="BH97" i="2" s="1"/>
  <c r="BV97" i="2" a="1"/>
  <c r="BV97" i="2" s="1"/>
  <c r="AD98" i="2" a="1"/>
  <c r="AD98" i="2" s="1"/>
  <c r="AU98" i="2" a="1"/>
  <c r="AU98" i="2" s="1"/>
  <c r="CG98" i="2" a="1"/>
  <c r="CG98" i="2" s="1"/>
  <c r="BY125" i="2" a="1"/>
  <c r="BY125" i="2" s="1"/>
  <c r="BC125" i="2" a="1"/>
  <c r="BC125" i="2" s="1"/>
  <c r="AN125" i="2" a="1"/>
  <c r="AN125" i="2" s="1"/>
  <c r="Q125" i="2" a="1"/>
  <c r="Q125" i="2" s="1"/>
  <c r="BY124" i="2" a="1"/>
  <c r="BY124" i="2" s="1"/>
  <c r="BL124" i="2" a="1"/>
  <c r="BL124" i="2" s="1"/>
  <c r="AN124" i="2" a="1"/>
  <c r="AN124" i="2" s="1"/>
  <c r="Q124" i="2" a="1"/>
  <c r="Q124" i="2" s="1"/>
  <c r="CK123" i="2" a="1"/>
  <c r="CK123" i="2" s="1"/>
  <c r="BL123" i="2" a="1"/>
  <c r="BL123" i="2" s="1"/>
  <c r="AN123" i="2" a="1"/>
  <c r="AN123" i="2" s="1"/>
  <c r="Z123" i="2" a="1"/>
  <c r="Z123" i="2" s="1"/>
  <c r="CK122" i="2" a="1"/>
  <c r="CK122" i="2" s="1"/>
  <c r="BL122" i="2" a="1"/>
  <c r="BL122" i="2" s="1"/>
  <c r="AY122" i="2" a="1"/>
  <c r="AY122" i="2" s="1"/>
  <c r="Z122" i="2" a="1"/>
  <c r="Z122" i="2" s="1"/>
  <c r="CK121" i="2" a="1"/>
  <c r="CK121" i="2" s="1"/>
  <c r="BV121" i="2" a="1"/>
  <c r="BV121" i="2" s="1"/>
  <c r="BL121" i="2" a="1"/>
  <c r="BL121" i="2" s="1"/>
  <c r="BC121" i="2" a="1"/>
  <c r="BC121" i="2" s="1"/>
  <c r="AQ121" i="2" a="1"/>
  <c r="AQ121" i="2" s="1"/>
  <c r="AH121" i="2" a="1"/>
  <c r="AH121" i="2" s="1"/>
  <c r="CK125" i="2" a="1"/>
  <c r="CK125" i="2" s="1"/>
  <c r="BL125" i="2" a="1"/>
  <c r="BL125" i="2" s="1"/>
  <c r="AY125" i="2" a="1"/>
  <c r="AY125" i="2" s="1"/>
  <c r="Z125" i="2" a="1"/>
  <c r="Z125" i="2" s="1"/>
  <c r="CK124" i="2" a="1"/>
  <c r="CK124" i="2" s="1"/>
  <c r="BV124" i="2" a="1"/>
  <c r="BV124" i="2" s="1"/>
  <c r="AY124" i="2" a="1"/>
  <c r="AY124" i="2" s="1"/>
  <c r="Z124" i="2" a="1"/>
  <c r="Z124" i="2" s="1"/>
  <c r="M124" i="2" a="1"/>
  <c r="M124" i="2" s="1"/>
  <c r="BV123" i="2" a="1"/>
  <c r="BV123" i="2" s="1"/>
  <c r="AY123" i="2" a="1"/>
  <c r="AY123" i="2" s="1"/>
  <c r="BV125" i="2" a="1"/>
  <c r="BV125" i="2" s="1"/>
  <c r="BH125" i="2" a="1"/>
  <c r="BH125" i="2" s="1"/>
  <c r="AL125" i="2" a="1"/>
  <c r="AL125" i="2" s="1"/>
  <c r="M125" i="2" a="1"/>
  <c r="M125" i="2" s="1"/>
  <c r="CG124" i="2" a="1"/>
  <c r="CG124" i="2" s="1"/>
  <c r="BH124" i="2" a="1"/>
  <c r="BH124" i="2" s="1"/>
  <c r="AL124" i="2" a="1"/>
  <c r="AL124" i="2" s="1"/>
  <c r="CG123" i="2" a="1"/>
  <c r="CG123" i="2" s="1"/>
  <c r="BH123" i="2" a="1"/>
  <c r="BH123" i="2" s="1"/>
  <c r="AU123" i="2" a="1"/>
  <c r="AU123" i="2" s="1"/>
  <c r="CG122" i="2" a="1"/>
  <c r="CG122" i="2" s="1"/>
  <c r="BT122" i="2" a="1"/>
  <c r="BT122" i="2" s="1"/>
  <c r="AU122" i="2" a="1"/>
  <c r="AU122" i="2" s="1"/>
  <c r="I122" i="2" a="1"/>
  <c r="I122" i="2" s="1"/>
  <c r="BT121" i="2" a="1"/>
  <c r="BT121" i="2" s="1"/>
  <c r="BH121" i="2" a="1"/>
  <c r="BH121" i="2" s="1"/>
  <c r="AY121" i="2" a="1"/>
  <c r="AY121" i="2" s="1"/>
  <c r="CG125" i="2" a="1"/>
  <c r="CG125" i="2" s="1"/>
  <c r="BT125" i="2" a="1"/>
  <c r="BT125" i="2" s="1"/>
  <c r="AU125" i="2" a="1"/>
  <c r="AU125" i="2" s="1"/>
  <c r="I125" i="2" a="1"/>
  <c r="I125" i="2" s="1"/>
  <c r="BT124" i="2" a="1"/>
  <c r="BT124" i="2" s="1"/>
  <c r="AU124" i="2" a="1"/>
  <c r="AU124" i="2" s="1"/>
  <c r="AH124" i="2" a="1"/>
  <c r="AH124" i="2" s="1"/>
  <c r="I124" i="2" a="1"/>
  <c r="I124" i="2" s="1"/>
  <c r="BT123" i="2" a="1"/>
  <c r="BT123" i="2" s="1"/>
  <c r="BE123" i="2" a="1"/>
  <c r="BE123" i="2" s="1"/>
  <c r="AH123" i="2" a="1"/>
  <c r="AH123" i="2" s="1"/>
  <c r="I123" i="2" a="1"/>
  <c r="I123" i="2" s="1"/>
  <c r="CC122" i="2" a="1"/>
  <c r="CC122" i="2" s="1"/>
  <c r="BE122" i="2" a="1"/>
  <c r="BE122" i="2" s="1"/>
  <c r="AH122" i="2" a="1"/>
  <c r="AH122" i="2" s="1"/>
  <c r="U122" i="2" a="1"/>
  <c r="U122" i="2" s="1"/>
  <c r="CC121" i="2" a="1"/>
  <c r="CC121" i="2" s="1"/>
  <c r="CC125" i="2" a="1"/>
  <c r="CC125" i="2" s="1"/>
  <c r="BE125" i="2" a="1"/>
  <c r="BE125" i="2" s="1"/>
  <c r="AH125" i="2" a="1"/>
  <c r="AH125" i="2" s="1"/>
  <c r="U125" i="2" a="1"/>
  <c r="U125" i="2" s="1"/>
  <c r="CC124" i="2" a="1"/>
  <c r="CC124" i="2" s="1"/>
  <c r="BE124" i="2" a="1"/>
  <c r="BE124" i="2" s="1"/>
  <c r="AQ124" i="2" a="1"/>
  <c r="AQ124" i="2" s="1"/>
  <c r="U124" i="2" a="1"/>
  <c r="U124" i="2" s="1"/>
  <c r="CC123" i="2" a="1"/>
  <c r="CC123" i="2" s="1"/>
  <c r="BP123" i="2" a="1"/>
  <c r="BP123" i="2" s="1"/>
  <c r="AQ123" i="2" a="1"/>
  <c r="AQ123" i="2" s="1"/>
  <c r="U123" i="2" a="1"/>
  <c r="U123" i="2" s="1"/>
  <c r="CM122" i="2" a="1"/>
  <c r="CM122" i="2" s="1"/>
  <c r="BP122" i="2" a="1"/>
  <c r="BP122" i="2" s="1"/>
  <c r="AQ122" i="2" a="1"/>
  <c r="AQ122" i="2" s="1"/>
  <c r="AD122" i="2" a="1"/>
  <c r="AD122" i="2" s="1"/>
  <c r="CM121" i="2" a="1"/>
  <c r="CM121" i="2" s="1"/>
  <c r="BP121" i="2" a="1"/>
  <c r="BP121" i="2" s="1"/>
  <c r="BE121" i="2" a="1"/>
  <c r="BE121" i="2" s="1"/>
  <c r="AU121" i="2" a="1"/>
  <c r="AU121" i="2" s="1"/>
  <c r="AL121" i="2" a="1"/>
  <c r="AL121" i="2" s="1"/>
  <c r="Z121" i="2" a="1"/>
  <c r="Z121" i="2" s="1"/>
  <c r="Q121" i="2" a="1"/>
  <c r="Q121" i="2" s="1"/>
  <c r="BP125" i="2" a="1"/>
  <c r="BP125" i="2" s="1"/>
  <c r="CM123" i="2" a="1"/>
  <c r="CM123" i="2" s="1"/>
  <c r="AD123" i="2" a="1"/>
  <c r="AD123" i="2" s="1"/>
  <c r="BY122" i="2" a="1"/>
  <c r="BY122" i="2" s="1"/>
  <c r="AN122" i="2" a="1"/>
  <c r="AN122" i="2" s="1"/>
  <c r="M121" i="2" a="1"/>
  <c r="M121" i="2" s="1"/>
  <c r="BV120" i="2" a="1"/>
  <c r="BV120" i="2" s="1"/>
  <c r="BH120" i="2" a="1"/>
  <c r="BH120" i="2" s="1"/>
  <c r="AL120" i="2" a="1"/>
  <c r="AL120" i="2" s="1"/>
  <c r="M120" i="2" a="1"/>
  <c r="M120" i="2" s="1"/>
  <c r="CG119" i="2" a="1"/>
  <c r="CG119" i="2" s="1"/>
  <c r="BH119" i="2" a="1"/>
  <c r="BH119" i="2" s="1"/>
  <c r="AL119" i="2" a="1"/>
  <c r="AL119" i="2" s="1"/>
  <c r="CG118" i="2" a="1"/>
  <c r="CG118" i="2" s="1"/>
  <c r="BH118" i="2" a="1"/>
  <c r="BH118" i="2" s="1"/>
  <c r="AU118" i="2" a="1"/>
  <c r="AU118" i="2" s="1"/>
  <c r="CG117" i="2" a="1"/>
  <c r="CG117" i="2" s="1"/>
  <c r="BT117" i="2" a="1"/>
  <c r="BT117" i="2" s="1"/>
  <c r="BP124" i="2" a="1"/>
  <c r="BP124" i="2" s="1"/>
  <c r="BY123" i="2" a="1"/>
  <c r="BY123" i="2" s="1"/>
  <c r="BV122" i="2" a="1"/>
  <c r="BV122" i="2" s="1"/>
  <c r="AL122" i="2" a="1"/>
  <c r="AL122" i="2" s="1"/>
  <c r="CG121" i="2" a="1"/>
  <c r="CG121" i="2" s="1"/>
  <c r="AD121" i="2" a="1"/>
  <c r="AD121" i="2" s="1"/>
  <c r="CG120" i="2" a="1"/>
  <c r="CG120" i="2" s="1"/>
  <c r="BT120" i="2" a="1"/>
  <c r="BT120" i="2" s="1"/>
  <c r="AU120" i="2" a="1"/>
  <c r="AU120" i="2" s="1"/>
  <c r="I120" i="2" a="1"/>
  <c r="I120" i="2" s="1"/>
  <c r="BT119" i="2" a="1"/>
  <c r="BT119" i="2" s="1"/>
  <c r="AU119" i="2" a="1"/>
  <c r="AU119" i="2" s="1"/>
  <c r="AH119" i="2" a="1"/>
  <c r="AH119" i="2" s="1"/>
  <c r="I119" i="2" a="1"/>
  <c r="I119" i="2" s="1"/>
  <c r="BT118" i="2" a="1"/>
  <c r="BT118" i="2" s="1"/>
  <c r="BE118" i="2" a="1"/>
  <c r="BE118" i="2" s="1"/>
  <c r="AH118" i="2" a="1"/>
  <c r="AH118" i="2" s="1"/>
  <c r="AQ125" i="2" a="1"/>
  <c r="AQ125" i="2" s="1"/>
  <c r="BC124" i="2" a="1"/>
  <c r="BC124" i="2" s="1"/>
  <c r="Q123" i="2" a="1"/>
  <c r="Q123" i="2" s="1"/>
  <c r="BY121" i="2" a="1"/>
  <c r="BY121" i="2" s="1"/>
  <c r="I121" i="2" a="1"/>
  <c r="I121" i="2" s="1"/>
  <c r="CC120" i="2" a="1"/>
  <c r="CC120" i="2" s="1"/>
  <c r="BE120" i="2" a="1"/>
  <c r="BE120" i="2" s="1"/>
  <c r="AH120" i="2" a="1"/>
  <c r="AH120" i="2" s="1"/>
  <c r="U120" i="2" a="1"/>
  <c r="U120" i="2" s="1"/>
  <c r="CC119" i="2" a="1"/>
  <c r="CC119" i="2" s="1"/>
  <c r="BE119" i="2" a="1"/>
  <c r="BE119" i="2" s="1"/>
  <c r="AQ119" i="2" a="1"/>
  <c r="AQ119" i="2" s="1"/>
  <c r="U119" i="2" a="1"/>
  <c r="U119" i="2" s="1"/>
  <c r="AD125" i="2" a="1"/>
  <c r="AD125" i="2" s="1"/>
  <c r="BC123" i="2" a="1"/>
  <c r="BC123" i="2" s="1"/>
  <c r="M123" i="2" a="1"/>
  <c r="M123" i="2" s="1"/>
  <c r="BH122" i="2" a="1"/>
  <c r="BH122" i="2" s="1"/>
  <c r="CM120" i="2" a="1"/>
  <c r="CM120" i="2" s="1"/>
  <c r="BP120" i="2" a="1"/>
  <c r="BP120" i="2" s="1"/>
  <c r="AQ120" i="2" a="1"/>
  <c r="AQ120" i="2" s="1"/>
  <c r="AD120" i="2" a="1"/>
  <c r="AD120" i="2" s="1"/>
  <c r="CM119" i="2" a="1"/>
  <c r="CM119" i="2" s="1"/>
  <c r="BP119" i="2" a="1"/>
  <c r="BP119" i="2" s="1"/>
  <c r="BC119" i="2" a="1"/>
  <c r="BC119" i="2" s="1"/>
  <c r="AD119" i="2" a="1"/>
  <c r="AD119" i="2" s="1"/>
  <c r="CM118" i="2" a="1"/>
  <c r="CM118" i="2" s="1"/>
  <c r="BY118" i="2" a="1"/>
  <c r="BY118" i="2" s="1"/>
  <c r="BC118" i="2" a="1"/>
  <c r="BC118" i="2" s="1"/>
  <c r="AD118" i="2" a="1"/>
  <c r="AD118" i="2" s="1"/>
  <c r="Q118" i="2" a="1"/>
  <c r="Q118" i="2" s="1"/>
  <c r="BY117" i="2" a="1"/>
  <c r="BY117" i="2" s="1"/>
  <c r="CM125" i="2" a="1"/>
  <c r="CM125" i="2" s="1"/>
  <c r="AD124" i="2" a="1"/>
  <c r="AD124" i="2" s="1"/>
  <c r="BC122" i="2" a="1"/>
  <c r="BC122" i="2" s="1"/>
  <c r="Q122" i="2" a="1"/>
  <c r="Q122" i="2" s="1"/>
  <c r="AN121" i="2" a="1"/>
  <c r="AN121" i="2" s="1"/>
  <c r="U121" i="2" a="1"/>
  <c r="U121" i="2" s="1"/>
  <c r="BY120" i="2" a="1"/>
  <c r="BY120" i="2" s="1"/>
  <c r="BC120" i="2" a="1"/>
  <c r="BC120" i="2" s="1"/>
  <c r="AN120" i="2" a="1"/>
  <c r="AN120" i="2" s="1"/>
  <c r="Q120" i="2" a="1"/>
  <c r="Q120" i="2" s="1"/>
  <c r="BY119" i="2" a="1"/>
  <c r="BY119" i="2" s="1"/>
  <c r="BL119" i="2" a="1"/>
  <c r="BL119" i="2" s="1"/>
  <c r="AN119" i="2" a="1"/>
  <c r="AN119" i="2" s="1"/>
  <c r="Q119" i="2" a="1"/>
  <c r="Q119" i="2" s="1"/>
  <c r="CK118" i="2" a="1"/>
  <c r="CK118" i="2" s="1"/>
  <c r="BL118" i="2" a="1"/>
  <c r="BL118" i="2" s="1"/>
  <c r="AN118" i="2" a="1"/>
  <c r="AN118" i="2" s="1"/>
  <c r="Z118" i="2" a="1"/>
  <c r="Z118" i="2" s="1"/>
  <c r="CK117" i="2" a="1"/>
  <c r="CK117" i="2" s="1"/>
  <c r="BL117" i="2" a="1"/>
  <c r="BL117" i="2" s="1"/>
  <c r="CM124" i="2" a="1"/>
  <c r="CM124" i="2" s="1"/>
  <c r="AL123" i="2" a="1"/>
  <c r="AL123" i="2" s="1"/>
  <c r="M122" i="2" a="1"/>
  <c r="M122" i="2" s="1"/>
  <c r="CK120" i="2" a="1"/>
  <c r="CK120" i="2" s="1"/>
  <c r="BL120" i="2" a="1"/>
  <c r="BL120" i="2" s="1"/>
  <c r="AY120" i="2" a="1"/>
  <c r="AY120" i="2" s="1"/>
  <c r="Z120" i="2" a="1"/>
  <c r="Z120" i="2" s="1"/>
  <c r="CK119" i="2" a="1"/>
  <c r="CK119" i="2" s="1"/>
  <c r="BV119" i="2" a="1"/>
  <c r="BV119" i="2" s="1"/>
  <c r="AY119" i="2" a="1"/>
  <c r="AY119" i="2" s="1"/>
  <c r="Z119" i="2" a="1"/>
  <c r="Z119" i="2" s="1"/>
  <c r="M119" i="2" a="1"/>
  <c r="M119" i="2" s="1"/>
  <c r="BV118" i="2" a="1"/>
  <c r="BV118" i="2" s="1"/>
  <c r="AY118" i="2" a="1"/>
  <c r="AY118" i="2" s="1"/>
  <c r="AL118" i="2" a="1"/>
  <c r="AL118" i="2" s="1"/>
  <c r="M118" i="2" a="1"/>
  <c r="M118" i="2" s="1"/>
  <c r="BV117" i="2" a="1"/>
  <c r="BV117" i="2" s="1"/>
  <c r="BH117" i="2" a="1"/>
  <c r="BH117" i="2" s="1"/>
  <c r="AL117" i="2" a="1"/>
  <c r="AL117" i="2" s="1"/>
  <c r="M117" i="2" a="1"/>
  <c r="M117" i="2" s="1"/>
  <c r="AQ118" i="2" a="1"/>
  <c r="AQ118" i="2" s="1"/>
  <c r="CC117" i="2" a="1"/>
  <c r="CC117" i="2" s="1"/>
  <c r="BE117" i="2" a="1"/>
  <c r="BE117" i="2" s="1"/>
  <c r="AQ117" i="2" a="1"/>
  <c r="AQ117" i="2" s="1"/>
  <c r="CG116" i="2" a="1"/>
  <c r="CG116" i="2" s="1"/>
  <c r="BH116" i="2" a="1"/>
  <c r="BH116" i="2" s="1"/>
  <c r="AL116" i="2" a="1"/>
  <c r="AL116" i="2" s="1"/>
  <c r="CG115" i="2" a="1"/>
  <c r="CG115" i="2" s="1"/>
  <c r="BH115" i="2" a="1"/>
  <c r="BH115" i="2" s="1"/>
  <c r="AU115" i="2" a="1"/>
  <c r="AU115" i="2" s="1"/>
  <c r="CG114" i="2" a="1"/>
  <c r="CG114" i="2" s="1"/>
  <c r="BT114" i="2" a="1"/>
  <c r="BT114" i="2" s="1"/>
  <c r="AU114" i="2" a="1"/>
  <c r="AU114" i="2" s="1"/>
  <c r="I114" i="2" a="1"/>
  <c r="I114" i="2" s="1"/>
  <c r="BT113" i="2" a="1"/>
  <c r="BT113" i="2" s="1"/>
  <c r="AU113" i="2" a="1"/>
  <c r="AU113" i="2" s="1"/>
  <c r="AH113" i="2" a="1"/>
  <c r="AH113" i="2" s="1"/>
  <c r="I113" i="2" a="1"/>
  <c r="I113" i="2" s="1"/>
  <c r="BT112" i="2" a="1"/>
  <c r="BT112" i="2" s="1"/>
  <c r="BE112" i="2" a="1"/>
  <c r="BE112" i="2" s="1"/>
  <c r="AH112" i="2" a="1"/>
  <c r="AH112" i="2" s="1"/>
  <c r="I112" i="2" a="1"/>
  <c r="I112" i="2" s="1"/>
  <c r="CC111" i="2" a="1"/>
  <c r="CC111" i="2" s="1"/>
  <c r="AN117" i="2" a="1"/>
  <c r="AN117" i="2" s="1"/>
  <c r="Z117" i="2" a="1"/>
  <c r="Z117" i="2" s="1"/>
  <c r="I117" i="2" a="1"/>
  <c r="I117" i="2" s="1"/>
  <c r="BT116" i="2" a="1"/>
  <c r="BT116" i="2" s="1"/>
  <c r="AU116" i="2" a="1"/>
  <c r="AU116" i="2" s="1"/>
  <c r="AH116" i="2" a="1"/>
  <c r="AH116" i="2" s="1"/>
  <c r="I116" i="2" a="1"/>
  <c r="I116" i="2" s="1"/>
  <c r="BT115" i="2" a="1"/>
  <c r="BT115" i="2" s="1"/>
  <c r="BE115" i="2" a="1"/>
  <c r="BE115" i="2" s="1"/>
  <c r="AH115" i="2" a="1"/>
  <c r="AH115" i="2" s="1"/>
  <c r="I115" i="2" a="1"/>
  <c r="I115" i="2" s="1"/>
  <c r="CC114" i="2" a="1"/>
  <c r="CC114" i="2" s="1"/>
  <c r="BE114" i="2" a="1"/>
  <c r="BE114" i="2" s="1"/>
  <c r="AH114" i="2" a="1"/>
  <c r="AH114" i="2" s="1"/>
  <c r="U114" i="2" a="1"/>
  <c r="U114" i="2" s="1"/>
  <c r="CC113" i="2" a="1"/>
  <c r="CC113" i="2" s="1"/>
  <c r="BE113" i="2" a="1"/>
  <c r="BE113" i="2" s="1"/>
  <c r="AQ113" i="2" a="1"/>
  <c r="AQ113" i="2" s="1"/>
  <c r="U113" i="2" a="1"/>
  <c r="U113" i="2" s="1"/>
  <c r="CC112" i="2" a="1"/>
  <c r="CC112" i="2" s="1"/>
  <c r="BP112" i="2" a="1"/>
  <c r="BP112" i="2" s="1"/>
  <c r="AQ112" i="2" a="1"/>
  <c r="AQ112" i="2" s="1"/>
  <c r="U112" i="2" a="1"/>
  <c r="U112" i="2" s="1"/>
  <c r="CM111" i="2" a="1"/>
  <c r="CM111" i="2" s="1"/>
  <c r="BP111" i="2" a="1"/>
  <c r="BP111" i="2" s="1"/>
  <c r="AQ111" i="2" a="1"/>
  <c r="AQ111" i="2" s="1"/>
  <c r="BC117" i="2" a="1"/>
  <c r="BC117" i="2" s="1"/>
  <c r="CC116" i="2" a="1"/>
  <c r="CC116" i="2" s="1"/>
  <c r="BE116" i="2" a="1"/>
  <c r="BE116" i="2" s="1"/>
  <c r="AQ116" i="2" a="1"/>
  <c r="AQ116" i="2" s="1"/>
  <c r="U116" i="2" a="1"/>
  <c r="U116" i="2" s="1"/>
  <c r="CC115" i="2" a="1"/>
  <c r="CC115" i="2" s="1"/>
  <c r="BP115" i="2" a="1"/>
  <c r="BP115" i="2" s="1"/>
  <c r="AQ115" i="2" a="1"/>
  <c r="AQ115" i="2" s="1"/>
  <c r="U115" i="2" a="1"/>
  <c r="U115" i="2" s="1"/>
  <c r="CM114" i="2" a="1"/>
  <c r="CM114" i="2" s="1"/>
  <c r="BP114" i="2" a="1"/>
  <c r="BP114" i="2" s="1"/>
  <c r="AQ114" i="2" a="1"/>
  <c r="AQ114" i="2" s="1"/>
  <c r="AD114" i="2" a="1"/>
  <c r="AD114" i="2" s="1"/>
  <c r="CM113" i="2" a="1"/>
  <c r="CM113" i="2" s="1"/>
  <c r="BP113" i="2" a="1"/>
  <c r="BP113" i="2" s="1"/>
  <c r="BC113" i="2" a="1"/>
  <c r="BC113" i="2" s="1"/>
  <c r="AD113" i="2" a="1"/>
  <c r="AD113" i="2" s="1"/>
  <c r="CM112" i="2" a="1"/>
  <c r="CM112" i="2" s="1"/>
  <c r="BY112" i="2" a="1"/>
  <c r="BY112" i="2" s="1"/>
  <c r="BC112" i="2" a="1"/>
  <c r="BC112" i="2" s="1"/>
  <c r="AD112" i="2" a="1"/>
  <c r="AD112" i="2" s="1"/>
  <c r="Q112" i="2" a="1"/>
  <c r="Q112" i="2" s="1"/>
  <c r="BY111" i="2" a="1"/>
  <c r="BY111" i="2" s="1"/>
  <c r="BC111" i="2" a="1"/>
  <c r="BC111" i="2" s="1"/>
  <c r="AN111" i="2" a="1"/>
  <c r="AN111" i="2" s="1"/>
  <c r="CC118" i="2" a="1"/>
  <c r="CC118" i="2" s="1"/>
  <c r="U118" i="2" a="1"/>
  <c r="U118" i="2" s="1"/>
  <c r="BP117" i="2" a="1"/>
  <c r="BP117" i="2" s="1"/>
  <c r="AY117" i="2" a="1"/>
  <c r="AY117" i="2" s="1"/>
  <c r="U117" i="2" a="1"/>
  <c r="U117" i="2" s="1"/>
  <c r="CM116" i="2" a="1"/>
  <c r="CM116" i="2" s="1"/>
  <c r="BP116" i="2" a="1"/>
  <c r="BP116" i="2" s="1"/>
  <c r="BC116" i="2" a="1"/>
  <c r="BC116" i="2" s="1"/>
  <c r="AD116" i="2" a="1"/>
  <c r="AD116" i="2" s="1"/>
  <c r="CM115" i="2" a="1"/>
  <c r="CM115" i="2" s="1"/>
  <c r="BY115" i="2" a="1"/>
  <c r="BY115" i="2" s="1"/>
  <c r="BC115" i="2" a="1"/>
  <c r="BC115" i="2" s="1"/>
  <c r="AD115" i="2" a="1"/>
  <c r="AD115" i="2" s="1"/>
  <c r="Q115" i="2" a="1"/>
  <c r="Q115" i="2" s="1"/>
  <c r="BY114" i="2" a="1"/>
  <c r="BY114" i="2" s="1"/>
  <c r="BC114" i="2" a="1"/>
  <c r="BC114" i="2" s="1"/>
  <c r="AN114" i="2" a="1"/>
  <c r="AN114" i="2" s="1"/>
  <c r="Q114" i="2" a="1"/>
  <c r="Q114" i="2" s="1"/>
  <c r="BY113" i="2" a="1"/>
  <c r="BY113" i="2" s="1"/>
  <c r="BL113" i="2" a="1"/>
  <c r="BL113" i="2" s="1"/>
  <c r="AN113" i="2" a="1"/>
  <c r="AN113" i="2" s="1"/>
  <c r="Q113" i="2" a="1"/>
  <c r="Q113" i="2" s="1"/>
  <c r="CK112" i="2" a="1"/>
  <c r="CK112" i="2" s="1"/>
  <c r="BL112" i="2" a="1"/>
  <c r="BL112" i="2" s="1"/>
  <c r="AN112" i="2" a="1"/>
  <c r="AN112" i="2" s="1"/>
  <c r="BP118" i="2" a="1"/>
  <c r="BP118" i="2" s="1"/>
  <c r="I118" i="2" a="1"/>
  <c r="I118" i="2" s="1"/>
  <c r="AU117" i="2" a="1"/>
  <c r="AU117" i="2" s="1"/>
  <c r="AH117" i="2" a="1"/>
  <c r="AH117" i="2" s="1"/>
  <c r="BY116" i="2" a="1"/>
  <c r="BY116" i="2" s="1"/>
  <c r="BL116" i="2" a="1"/>
  <c r="BL116" i="2" s="1"/>
  <c r="AN116" i="2" a="1"/>
  <c r="AN116" i="2" s="1"/>
  <c r="Q116" i="2" a="1"/>
  <c r="Q116" i="2" s="1"/>
  <c r="CK115" i="2" a="1"/>
  <c r="CK115" i="2" s="1"/>
  <c r="BL115" i="2" a="1"/>
  <c r="BL115" i="2" s="1"/>
  <c r="AN115" i="2" a="1"/>
  <c r="AN115" i="2" s="1"/>
  <c r="Z115" i="2" a="1"/>
  <c r="Z115" i="2" s="1"/>
  <c r="CK114" i="2" a="1"/>
  <c r="CK114" i="2" s="1"/>
  <c r="BL114" i="2" a="1"/>
  <c r="BL114" i="2" s="1"/>
  <c r="AY114" i="2" a="1"/>
  <c r="AY114" i="2" s="1"/>
  <c r="Z114" i="2" a="1"/>
  <c r="Z114" i="2" s="1"/>
  <c r="CK113" i="2" a="1"/>
  <c r="CK113" i="2" s="1"/>
  <c r="BV113" i="2" a="1"/>
  <c r="BV113" i="2" s="1"/>
  <c r="AY113" i="2" a="1"/>
  <c r="AY113" i="2" s="1"/>
  <c r="Z113" i="2" a="1"/>
  <c r="Z113" i="2" s="1"/>
  <c r="M113" i="2" a="1"/>
  <c r="M113" i="2" s="1"/>
  <c r="BV112" i="2" a="1"/>
  <c r="BV112" i="2" s="1"/>
  <c r="AY112" i="2" a="1"/>
  <c r="AY112" i="2" s="1"/>
  <c r="AL112" i="2" a="1"/>
  <c r="AL112" i="2" s="1"/>
  <c r="M112" i="2" a="1"/>
  <c r="M112" i="2" s="1"/>
  <c r="BV111" i="2" a="1"/>
  <c r="BV111" i="2" s="1"/>
  <c r="CM117" i="2" a="1"/>
  <c r="CM117" i="2" s="1"/>
  <c r="AD117" i="2" a="1"/>
  <c r="AD117" i="2" s="1"/>
  <c r="Q117" i="2" a="1"/>
  <c r="Q117" i="2" s="1"/>
  <c r="CK116" i="2" a="1"/>
  <c r="CK116" i="2" s="1"/>
  <c r="BV116" i="2" a="1"/>
  <c r="BV116" i="2" s="1"/>
  <c r="AY116" i="2" a="1"/>
  <c r="AY116" i="2" s="1"/>
  <c r="Z116" i="2" a="1"/>
  <c r="Z116" i="2" s="1"/>
  <c r="M116" i="2" a="1"/>
  <c r="M116" i="2" s="1"/>
  <c r="BV115" i="2" a="1"/>
  <c r="BV115" i="2" s="1"/>
  <c r="AY115" i="2" a="1"/>
  <c r="AY115" i="2" s="1"/>
  <c r="AL115" i="2" a="1"/>
  <c r="AL115" i="2" s="1"/>
  <c r="M115" i="2" a="1"/>
  <c r="M115" i="2" s="1"/>
  <c r="BV114" i="2" a="1"/>
  <c r="BV114" i="2" s="1"/>
  <c r="BH114" i="2" a="1"/>
  <c r="BH114" i="2" s="1"/>
  <c r="AL114" i="2" a="1"/>
  <c r="AL114" i="2" s="1"/>
  <c r="M114" i="2" a="1"/>
  <c r="M114" i="2" s="1"/>
  <c r="CG113" i="2" a="1"/>
  <c r="CG113" i="2" s="1"/>
  <c r="BH113" i="2" a="1"/>
  <c r="BH113" i="2" s="1"/>
  <c r="AL113" i="2" a="1"/>
  <c r="AL113" i="2" s="1"/>
  <c r="CG112" i="2" a="1"/>
  <c r="CG112" i="2" s="1"/>
  <c r="BH112" i="2" a="1"/>
  <c r="BH112" i="2" s="1"/>
  <c r="AU112" i="2" a="1"/>
  <c r="AU112" i="2" s="1"/>
  <c r="CG111" i="2" a="1"/>
  <c r="CG111" i="2" s="1"/>
  <c r="BT111" i="2" a="1"/>
  <c r="BT111" i="2" s="1"/>
  <c r="AU111" i="2" a="1"/>
  <c r="AU111" i="2" s="1"/>
  <c r="Q111" i="2" a="1"/>
  <c r="Q111" i="2" s="1"/>
  <c r="CK110" i="2" a="1"/>
  <c r="CK110" i="2" s="1"/>
  <c r="BL110" i="2" a="1"/>
  <c r="BL110" i="2" s="1"/>
  <c r="AN110" i="2" a="1"/>
  <c r="AN110" i="2" s="1"/>
  <c r="Z110" i="2" a="1"/>
  <c r="Z110" i="2" s="1"/>
  <c r="CK109" i="2" a="1"/>
  <c r="CK109" i="2" s="1"/>
  <c r="BL109" i="2" a="1"/>
  <c r="BL109" i="2" s="1"/>
  <c r="AY109" i="2" a="1"/>
  <c r="AY109" i="2" s="1"/>
  <c r="Z109" i="2" a="1"/>
  <c r="Z109" i="2" s="1"/>
  <c r="CK108" i="2" a="1"/>
  <c r="CK108" i="2" s="1"/>
  <c r="BV108" i="2" a="1"/>
  <c r="BV108" i="2" s="1"/>
  <c r="AY108" i="2" a="1"/>
  <c r="AY108" i="2" s="1"/>
  <c r="Z108" i="2" a="1"/>
  <c r="Z108" i="2" s="1"/>
  <c r="M108" i="2" a="1"/>
  <c r="M108" i="2" s="1"/>
  <c r="BV107" i="2" a="1"/>
  <c r="BV107" i="2" s="1"/>
  <c r="AY107" i="2" a="1"/>
  <c r="AY107" i="2" s="1"/>
  <c r="AL107" i="2" a="1"/>
  <c r="AL107" i="2" s="1"/>
  <c r="M107" i="2" a="1"/>
  <c r="M107" i="2" s="1"/>
  <c r="BV106" i="2" a="1"/>
  <c r="BV106" i="2" s="1"/>
  <c r="BH106" i="2" a="1"/>
  <c r="BH106" i="2" s="1"/>
  <c r="AL106" i="2" a="1"/>
  <c r="AL106" i="2" s="1"/>
  <c r="M106" i="2" a="1"/>
  <c r="M106" i="2" s="1"/>
  <c r="CG105" i="2" a="1"/>
  <c r="CG105" i="2" s="1"/>
  <c r="BH105" i="2" a="1"/>
  <c r="BH105" i="2" s="1"/>
  <c r="AL105" i="2" a="1"/>
  <c r="AL105" i="2" s="1"/>
  <c r="CG104" i="2" a="1"/>
  <c r="CG104" i="2" s="1"/>
  <c r="BH104" i="2" a="1"/>
  <c r="BH104" i="2" s="1"/>
  <c r="AU104" i="2" a="1"/>
  <c r="AU104" i="2" s="1"/>
  <c r="CG103" i="2" a="1"/>
  <c r="CG103" i="2" s="1"/>
  <c r="BT103" i="2" a="1"/>
  <c r="BT103" i="2" s="1"/>
  <c r="AU103" i="2" a="1"/>
  <c r="AU103" i="2" s="1"/>
  <c r="I103" i="2" a="1"/>
  <c r="I103" i="2" s="1"/>
  <c r="BT102" i="2" a="1"/>
  <c r="BT102" i="2" s="1"/>
  <c r="AU102" i="2" a="1"/>
  <c r="AU102" i="2" s="1"/>
  <c r="AH102" i="2" a="1"/>
  <c r="AH102" i="2" s="1"/>
  <c r="I102" i="2" a="1"/>
  <c r="I102" i="2" s="1"/>
  <c r="BT101" i="2" a="1"/>
  <c r="BT101" i="2" s="1"/>
  <c r="BE101" i="2" a="1"/>
  <c r="BE101" i="2" s="1"/>
  <c r="AH101" i="2" a="1"/>
  <c r="AH101" i="2" s="1"/>
  <c r="I101" i="2" a="1"/>
  <c r="I101" i="2" s="1"/>
  <c r="CC100" i="2" a="1"/>
  <c r="CC100" i="2" s="1"/>
  <c r="BE100" i="2" a="1"/>
  <c r="BE100" i="2" s="1"/>
  <c r="AH100" i="2" a="1"/>
  <c r="AH100" i="2" s="1"/>
  <c r="U100" i="2" a="1"/>
  <c r="U100" i="2" s="1"/>
  <c r="CC99" i="2" a="1"/>
  <c r="CC99" i="2" s="1"/>
  <c r="BE99" i="2" a="1"/>
  <c r="BE99" i="2" s="1"/>
  <c r="AQ99" i="2" a="1"/>
  <c r="AQ99" i="2" s="1"/>
  <c r="U99" i="2" a="1"/>
  <c r="U99" i="2" s="1"/>
  <c r="BL111" i="2" a="1"/>
  <c r="BL111" i="2" s="1"/>
  <c r="Z111" i="2" a="1"/>
  <c r="Z111" i="2" s="1"/>
  <c r="M111" i="2" a="1"/>
  <c r="M111" i="2" s="1"/>
  <c r="BV110" i="2" a="1"/>
  <c r="BV110" i="2" s="1"/>
  <c r="AY110" i="2" a="1"/>
  <c r="AY110" i="2" s="1"/>
  <c r="AL110" i="2" a="1"/>
  <c r="AL110" i="2" s="1"/>
  <c r="M110" i="2" a="1"/>
  <c r="M110" i="2" s="1"/>
  <c r="BV109" i="2" a="1"/>
  <c r="BV109" i="2" s="1"/>
  <c r="BH109" i="2" a="1"/>
  <c r="BH109" i="2" s="1"/>
  <c r="AL109" i="2" a="1"/>
  <c r="AL109" i="2" s="1"/>
  <c r="M109" i="2" a="1"/>
  <c r="M109" i="2" s="1"/>
  <c r="CG108" i="2" a="1"/>
  <c r="CG108" i="2" s="1"/>
  <c r="BH108" i="2" a="1"/>
  <c r="BH108" i="2" s="1"/>
  <c r="AL108" i="2" a="1"/>
  <c r="AL108" i="2" s="1"/>
  <c r="CG107" i="2" a="1"/>
  <c r="CG107" i="2" s="1"/>
  <c r="BH107" i="2" a="1"/>
  <c r="BH107" i="2" s="1"/>
  <c r="AU107" i="2" a="1"/>
  <c r="AU107" i="2" s="1"/>
  <c r="CG106" i="2" a="1"/>
  <c r="CG106" i="2" s="1"/>
  <c r="BT106" i="2" a="1"/>
  <c r="BT106" i="2" s="1"/>
  <c r="AU106" i="2" a="1"/>
  <c r="AU106" i="2" s="1"/>
  <c r="I106" i="2" a="1"/>
  <c r="I106" i="2" s="1"/>
  <c r="BT105" i="2" a="1"/>
  <c r="BT105" i="2" s="1"/>
  <c r="AU105" i="2" a="1"/>
  <c r="AU105" i="2" s="1"/>
  <c r="AH105" i="2" a="1"/>
  <c r="AH105" i="2" s="1"/>
  <c r="I105" i="2" a="1"/>
  <c r="I105" i="2" s="1"/>
  <c r="BT104" i="2" a="1"/>
  <c r="BT104" i="2" s="1"/>
  <c r="BE104" i="2" a="1"/>
  <c r="BE104" i="2" s="1"/>
  <c r="AH104" i="2" a="1"/>
  <c r="AH104" i="2" s="1"/>
  <c r="I104" i="2" a="1"/>
  <c r="I104" i="2" s="1"/>
  <c r="CC103" i="2" a="1"/>
  <c r="CC103" i="2" s="1"/>
  <c r="BE103" i="2" a="1"/>
  <c r="BE103" i="2" s="1"/>
  <c r="AH103" i="2" a="1"/>
  <c r="AH103" i="2" s="1"/>
  <c r="U103" i="2" a="1"/>
  <c r="U103" i="2" s="1"/>
  <c r="CC102" i="2" a="1"/>
  <c r="CC102" i="2" s="1"/>
  <c r="BE102" i="2" a="1"/>
  <c r="BE102" i="2" s="1"/>
  <c r="AQ102" i="2" a="1"/>
  <c r="AQ102" i="2" s="1"/>
  <c r="U102" i="2" a="1"/>
  <c r="U102" i="2" s="1"/>
  <c r="CC101" i="2" a="1"/>
  <c r="CC101" i="2" s="1"/>
  <c r="BP101" i="2" a="1"/>
  <c r="BP101" i="2" s="1"/>
  <c r="AQ101" i="2" a="1"/>
  <c r="AQ101" i="2" s="1"/>
  <c r="U101" i="2" a="1"/>
  <c r="U101" i="2" s="1"/>
  <c r="CM100" i="2" a="1"/>
  <c r="CM100" i="2" s="1"/>
  <c r="BP100" i="2" a="1"/>
  <c r="BP100" i="2" s="1"/>
  <c r="AQ100" i="2" a="1"/>
  <c r="AQ100" i="2" s="1"/>
  <c r="AD100" i="2" a="1"/>
  <c r="AD100" i="2" s="1"/>
  <c r="CM99" i="2" a="1"/>
  <c r="CM99" i="2" s="1"/>
  <c r="BP99" i="2" a="1"/>
  <c r="BP99" i="2" s="1"/>
  <c r="BC99" i="2" a="1"/>
  <c r="BC99" i="2" s="1"/>
  <c r="Z112" i="2" a="1"/>
  <c r="Z112" i="2" s="1"/>
  <c r="BH111" i="2" a="1"/>
  <c r="BH111" i="2" s="1"/>
  <c r="AL111" i="2" a="1"/>
  <c r="AL111" i="2" s="1"/>
  <c r="CG110" i="2" a="1"/>
  <c r="CG110" i="2" s="1"/>
  <c r="BH110" i="2" a="1"/>
  <c r="BH110" i="2" s="1"/>
  <c r="AU110" i="2" a="1"/>
  <c r="AU110" i="2" s="1"/>
  <c r="CG109" i="2" a="1"/>
  <c r="CG109" i="2" s="1"/>
  <c r="BT109" i="2" a="1"/>
  <c r="BT109" i="2" s="1"/>
  <c r="AU109" i="2" a="1"/>
  <c r="AU109" i="2" s="1"/>
  <c r="I109" i="2" a="1"/>
  <c r="I109" i="2" s="1"/>
  <c r="BT108" i="2" a="1"/>
  <c r="BT108" i="2" s="1"/>
  <c r="AU108" i="2" a="1"/>
  <c r="AU108" i="2" s="1"/>
  <c r="AH108" i="2" a="1"/>
  <c r="AH108" i="2" s="1"/>
  <c r="I108" i="2" a="1"/>
  <c r="I108" i="2" s="1"/>
  <c r="BT107" i="2" a="1"/>
  <c r="BT107" i="2" s="1"/>
  <c r="BE107" i="2" a="1"/>
  <c r="BE107" i="2" s="1"/>
  <c r="AH107" i="2" a="1"/>
  <c r="AH107" i="2" s="1"/>
  <c r="I107" i="2" a="1"/>
  <c r="I107" i="2" s="1"/>
  <c r="CC106" i="2" a="1"/>
  <c r="CC106" i="2" s="1"/>
  <c r="BE106" i="2" a="1"/>
  <c r="BE106" i="2" s="1"/>
  <c r="AH106" i="2" a="1"/>
  <c r="AH106" i="2" s="1"/>
  <c r="U106" i="2" a="1"/>
  <c r="U106" i="2" s="1"/>
  <c r="CC105" i="2" a="1"/>
  <c r="CC105" i="2" s="1"/>
  <c r="BE105" i="2" a="1"/>
  <c r="BE105" i="2" s="1"/>
  <c r="AQ105" i="2" a="1"/>
  <c r="AQ105" i="2" s="1"/>
  <c r="U105" i="2" a="1"/>
  <c r="U105" i="2" s="1"/>
  <c r="CC104" i="2" a="1"/>
  <c r="CC104" i="2" s="1"/>
  <c r="BP104" i="2" a="1"/>
  <c r="BP104" i="2" s="1"/>
  <c r="AQ104" i="2" a="1"/>
  <c r="AQ104" i="2" s="1"/>
  <c r="U104" i="2" a="1"/>
  <c r="U104" i="2" s="1"/>
  <c r="CM103" i="2" a="1"/>
  <c r="CM103" i="2" s="1"/>
  <c r="BP103" i="2" a="1"/>
  <c r="BP103" i="2" s="1"/>
  <c r="AQ103" i="2" a="1"/>
  <c r="AQ103" i="2" s="1"/>
  <c r="AD103" i="2" a="1"/>
  <c r="AD103" i="2" s="1"/>
  <c r="CM102" i="2" a="1"/>
  <c r="CM102" i="2" s="1"/>
  <c r="BP102" i="2" a="1"/>
  <c r="BP102" i="2" s="1"/>
  <c r="BC102" i="2" a="1"/>
  <c r="BC102" i="2" s="1"/>
  <c r="AD102" i="2" a="1"/>
  <c r="AD102" i="2" s="1"/>
  <c r="CM101" i="2" a="1"/>
  <c r="CM101" i="2" s="1"/>
  <c r="BY101" i="2" a="1"/>
  <c r="BY101" i="2" s="1"/>
  <c r="BC101" i="2" a="1"/>
  <c r="BC101" i="2" s="1"/>
  <c r="AD101" i="2" a="1"/>
  <c r="AD101" i="2" s="1"/>
  <c r="Q101" i="2" a="1"/>
  <c r="Q101" i="2" s="1"/>
  <c r="BY100" i="2" a="1"/>
  <c r="BY100" i="2" s="1"/>
  <c r="BE111" i="2" a="1"/>
  <c r="BE111" i="2" s="1"/>
  <c r="AH111" i="2" a="1"/>
  <c r="AH111" i="2" s="1"/>
  <c r="I111" i="2" a="1"/>
  <c r="I111" i="2" s="1"/>
  <c r="BT110" i="2" a="1"/>
  <c r="BT110" i="2" s="1"/>
  <c r="BE110" i="2" a="1"/>
  <c r="BE110" i="2" s="1"/>
  <c r="AH110" i="2" a="1"/>
  <c r="AH110" i="2" s="1"/>
  <c r="I110" i="2" a="1"/>
  <c r="I110" i="2" s="1"/>
  <c r="CC109" i="2" a="1"/>
  <c r="CC109" i="2" s="1"/>
  <c r="BE109" i="2" a="1"/>
  <c r="BE109" i="2" s="1"/>
  <c r="AH109" i="2" a="1"/>
  <c r="AH109" i="2" s="1"/>
  <c r="U109" i="2" a="1"/>
  <c r="U109" i="2" s="1"/>
  <c r="CC108" i="2" a="1"/>
  <c r="CC108" i="2" s="1"/>
  <c r="BE108" i="2" a="1"/>
  <c r="BE108" i="2" s="1"/>
  <c r="AQ108" i="2" a="1"/>
  <c r="AQ108" i="2" s="1"/>
  <c r="U108" i="2" a="1"/>
  <c r="U108" i="2" s="1"/>
  <c r="CC107" i="2" a="1"/>
  <c r="CC107" i="2" s="1"/>
  <c r="BP107" i="2" a="1"/>
  <c r="BP107" i="2" s="1"/>
  <c r="AQ107" i="2" a="1"/>
  <c r="AQ107" i="2" s="1"/>
  <c r="U107" i="2" a="1"/>
  <c r="U107" i="2" s="1"/>
  <c r="CM106" i="2" a="1"/>
  <c r="CM106" i="2" s="1"/>
  <c r="BP106" i="2" a="1"/>
  <c r="BP106" i="2" s="1"/>
  <c r="AQ106" i="2" a="1"/>
  <c r="AQ106" i="2" s="1"/>
  <c r="AD106" i="2" a="1"/>
  <c r="AD106" i="2" s="1"/>
  <c r="CM105" i="2" a="1"/>
  <c r="CM105" i="2" s="1"/>
  <c r="BP105" i="2" a="1"/>
  <c r="BP105" i="2" s="1"/>
  <c r="BC105" i="2" a="1"/>
  <c r="BC105" i="2" s="1"/>
  <c r="AD105" i="2" a="1"/>
  <c r="AD105" i="2" s="1"/>
  <c r="CM104" i="2" a="1"/>
  <c r="CM104" i="2" s="1"/>
  <c r="BY104" i="2" a="1"/>
  <c r="BY104" i="2" s="1"/>
  <c r="BC104" i="2" a="1"/>
  <c r="BC104" i="2" s="1"/>
  <c r="AD104" i="2" a="1"/>
  <c r="AD104" i="2" s="1"/>
  <c r="Q104" i="2" a="1"/>
  <c r="Q104" i="2" s="1"/>
  <c r="BY103" i="2" a="1"/>
  <c r="BY103" i="2" s="1"/>
  <c r="BC103" i="2" a="1"/>
  <c r="BC103" i="2" s="1"/>
  <c r="AN103" i="2" a="1"/>
  <c r="AN103" i="2" s="1"/>
  <c r="Q103" i="2" a="1"/>
  <c r="Q103" i="2" s="1"/>
  <c r="BY102" i="2" a="1"/>
  <c r="BY102" i="2" s="1"/>
  <c r="BL102" i="2" a="1"/>
  <c r="BL102" i="2" s="1"/>
  <c r="AN102" i="2" a="1"/>
  <c r="AN102" i="2" s="1"/>
  <c r="Q102" i="2" a="1"/>
  <c r="Q102" i="2" s="1"/>
  <c r="CK101" i="2" a="1"/>
  <c r="CK101" i="2" s="1"/>
  <c r="BL101" i="2" a="1"/>
  <c r="BL101" i="2" s="1"/>
  <c r="AN101" i="2" a="1"/>
  <c r="AN101" i="2" s="1"/>
  <c r="Z101" i="2" a="1"/>
  <c r="Z101" i="2" s="1"/>
  <c r="CK100" i="2" a="1"/>
  <c r="CK100" i="2" s="1"/>
  <c r="BL100" i="2" a="1"/>
  <c r="BL100" i="2" s="1"/>
  <c r="AY100" i="2" a="1"/>
  <c r="AY100" i="2" s="1"/>
  <c r="Z100" i="2" a="1"/>
  <c r="Z100" i="2" s="1"/>
  <c r="CK99" i="2" a="1"/>
  <c r="CK99" i="2" s="1"/>
  <c r="BV99" i="2" a="1"/>
  <c r="BV99" i="2" s="1"/>
  <c r="AY99" i="2" a="1"/>
  <c r="AY99" i="2" s="1"/>
  <c r="Z99" i="2" a="1"/>
  <c r="Z99" i="2" s="1"/>
  <c r="M99" i="2" a="1"/>
  <c r="M99" i="2" s="1"/>
  <c r="BV98" i="2" a="1"/>
  <c r="BV98" i="2" s="1"/>
  <c r="AY98" i="2" a="1"/>
  <c r="AY98" i="2" s="1"/>
  <c r="AL98" i="2" a="1"/>
  <c r="AL98" i="2" s="1"/>
  <c r="CK111" i="2" a="1"/>
  <c r="CK111" i="2" s="1"/>
  <c r="AY111" i="2" a="1"/>
  <c r="AY111" i="2" s="1"/>
  <c r="U111" i="2" a="1"/>
  <c r="U111" i="2" s="1"/>
  <c r="CC110" i="2" a="1"/>
  <c r="CC110" i="2" s="1"/>
  <c r="BP110" i="2" a="1"/>
  <c r="BP110" i="2" s="1"/>
  <c r="AQ110" i="2" a="1"/>
  <c r="AQ110" i="2" s="1"/>
  <c r="U110" i="2" a="1"/>
  <c r="U110" i="2" s="1"/>
  <c r="CM109" i="2" a="1"/>
  <c r="CM109" i="2" s="1"/>
  <c r="BP109" i="2" a="1"/>
  <c r="BP109" i="2" s="1"/>
  <c r="AQ109" i="2" a="1"/>
  <c r="AQ109" i="2" s="1"/>
  <c r="AD109" i="2" a="1"/>
  <c r="AD109" i="2" s="1"/>
  <c r="CM108" i="2" a="1"/>
  <c r="CM108" i="2" s="1"/>
  <c r="BP108" i="2" a="1"/>
  <c r="BP108" i="2" s="1"/>
  <c r="BC108" i="2" a="1"/>
  <c r="BC108" i="2" s="1"/>
  <c r="AD108" i="2" a="1"/>
  <c r="AD108" i="2" s="1"/>
  <c r="CM107" i="2" a="1"/>
  <c r="CM107" i="2" s="1"/>
  <c r="BY107" i="2" a="1"/>
  <c r="BY107" i="2" s="1"/>
  <c r="BC107" i="2" a="1"/>
  <c r="BC107" i="2" s="1"/>
  <c r="AD107" i="2" a="1"/>
  <c r="AD107" i="2" s="1"/>
  <c r="Q107" i="2" a="1"/>
  <c r="Q107" i="2" s="1"/>
  <c r="BY106" i="2" a="1"/>
  <c r="BY106" i="2" s="1"/>
  <c r="BC106" i="2" a="1"/>
  <c r="BC106" i="2" s="1"/>
  <c r="AN106" i="2" a="1"/>
  <c r="AN106" i="2" s="1"/>
  <c r="Q106" i="2" a="1"/>
  <c r="Q106" i="2" s="1"/>
  <c r="BY105" i="2" a="1"/>
  <c r="BY105" i="2" s="1"/>
  <c r="BL105" i="2" a="1"/>
  <c r="BL105" i="2" s="1"/>
  <c r="AN105" i="2" a="1"/>
  <c r="AN105" i="2" s="1"/>
  <c r="Q105" i="2" a="1"/>
  <c r="Q105" i="2" s="1"/>
  <c r="CK104" i="2" a="1"/>
  <c r="CK104" i="2" s="1"/>
  <c r="BL104" i="2" a="1"/>
  <c r="BL104" i="2" s="1"/>
  <c r="AN104" i="2" a="1"/>
  <c r="AN104" i="2" s="1"/>
  <c r="Z104" i="2" a="1"/>
  <c r="Z104" i="2" s="1"/>
  <c r="CK103" i="2" a="1"/>
  <c r="CK103" i="2" s="1"/>
  <c r="BL103" i="2" a="1"/>
  <c r="BL103" i="2" s="1"/>
  <c r="AY103" i="2" a="1"/>
  <c r="AY103" i="2" s="1"/>
  <c r="Z103" i="2" a="1"/>
  <c r="Z103" i="2" s="1"/>
  <c r="CK102" i="2" a="1"/>
  <c r="CK102" i="2" s="1"/>
  <c r="BV102" i="2" a="1"/>
  <c r="BV102" i="2" s="1"/>
  <c r="AY102" i="2" a="1"/>
  <c r="AY102" i="2" s="1"/>
  <c r="Z102" i="2" a="1"/>
  <c r="Z102" i="2" s="1"/>
  <c r="M102" i="2" a="1"/>
  <c r="M102" i="2" s="1"/>
  <c r="BV101" i="2" a="1"/>
  <c r="BV101" i="2" s="1"/>
  <c r="AY101" i="2" a="1"/>
  <c r="AY101" i="2" s="1"/>
  <c r="AL101" i="2" a="1"/>
  <c r="AL101" i="2" s="1"/>
  <c r="M101" i="2" a="1"/>
  <c r="M101" i="2" s="1"/>
  <c r="BV100" i="2" a="1"/>
  <c r="BV100" i="2" s="1"/>
  <c r="BH100" i="2" a="1"/>
  <c r="BH100" i="2" s="1"/>
  <c r="AL100" i="2" a="1"/>
  <c r="AL100" i="2" s="1"/>
  <c r="M100" i="2" a="1"/>
  <c r="M100" i="2" s="1"/>
  <c r="AD111" i="2" a="1"/>
  <c r="AD111" i="2" s="1"/>
  <c r="CM110" i="2" a="1"/>
  <c r="CM110" i="2" s="1"/>
  <c r="BY110" i="2" a="1"/>
  <c r="BY110" i="2" s="1"/>
  <c r="BC110" i="2" a="1"/>
  <c r="BC110" i="2" s="1"/>
  <c r="AD110" i="2" a="1"/>
  <c r="AD110" i="2" s="1"/>
  <c r="Q110" i="2" a="1"/>
  <c r="Q110" i="2" s="1"/>
  <c r="BY109" i="2" a="1"/>
  <c r="BY109" i="2" s="1"/>
  <c r="BC109" i="2" a="1"/>
  <c r="BC109" i="2" s="1"/>
  <c r="AN109" i="2" a="1"/>
  <c r="AN109" i="2" s="1"/>
  <c r="Q109" i="2" a="1"/>
  <c r="Q109" i="2" s="1"/>
  <c r="BY108" i="2" a="1"/>
  <c r="BY108" i="2" s="1"/>
  <c r="BL108" i="2" a="1"/>
  <c r="BL108" i="2" s="1"/>
  <c r="AN108" i="2" a="1"/>
  <c r="AN108" i="2" s="1"/>
  <c r="Q108" i="2" a="1"/>
  <c r="Q108" i="2" s="1"/>
  <c r="CK107" i="2" a="1"/>
  <c r="CK107" i="2" s="1"/>
  <c r="BL107" i="2" a="1"/>
  <c r="BL107" i="2" s="1"/>
  <c r="AN107" i="2" a="1"/>
  <c r="AN107" i="2" s="1"/>
  <c r="Z107" i="2" a="1"/>
  <c r="Z107" i="2" s="1"/>
  <c r="CK106" i="2" a="1"/>
  <c r="CK106" i="2" s="1"/>
  <c r="BL106" i="2" a="1"/>
  <c r="BL106" i="2" s="1"/>
  <c r="AY106" i="2" a="1"/>
  <c r="AY106" i="2" s="1"/>
  <c r="Z106" i="2" a="1"/>
  <c r="Z106" i="2" s="1"/>
  <c r="CK105" i="2" a="1"/>
  <c r="CK105" i="2" s="1"/>
  <c r="BV105" i="2" a="1"/>
  <c r="BV105" i="2" s="1"/>
  <c r="AY105" i="2" a="1"/>
  <c r="AY105" i="2" s="1"/>
  <c r="Z105" i="2" a="1"/>
  <c r="Z105" i="2" s="1"/>
  <c r="M105" i="2" a="1"/>
  <c r="M105" i="2" s="1"/>
  <c r="BV104" i="2" a="1"/>
  <c r="BV104" i="2" s="1"/>
  <c r="AY104" i="2" a="1"/>
  <c r="AY104" i="2" s="1"/>
  <c r="AL104" i="2" a="1"/>
  <c r="AL104" i="2" s="1"/>
  <c r="M104" i="2" a="1"/>
  <c r="M104" i="2" s="1"/>
  <c r="BV103" i="2" a="1"/>
  <c r="BV103" i="2" s="1"/>
  <c r="BH103" i="2" a="1"/>
  <c r="BH103" i="2" s="1"/>
  <c r="AL103" i="2" a="1"/>
  <c r="AL103" i="2" s="1"/>
  <c r="M103" i="2" a="1"/>
  <c r="M103" i="2" s="1"/>
  <c r="CG102" i="2" a="1"/>
  <c r="CG102" i="2" s="1"/>
  <c r="BH102" i="2" a="1"/>
  <c r="BH102" i="2" s="1"/>
  <c r="AL102" i="2" a="1"/>
  <c r="AL102" i="2" s="1"/>
  <c r="CG101" i="2" a="1"/>
  <c r="CG101" i="2" s="1"/>
  <c r="BH101" i="2" a="1"/>
  <c r="BH101" i="2" s="1"/>
  <c r="AU101" i="2" a="1"/>
  <c r="AU101" i="2" s="1"/>
  <c r="CG100" i="2" a="1"/>
  <c r="CG100" i="2" s="1"/>
  <c r="BT100" i="2" a="1"/>
  <c r="BT100" i="2" s="1"/>
  <c r="AU100" i="2" a="1"/>
  <c r="AU100" i="2" s="1"/>
  <c r="I100" i="2" a="1"/>
  <c r="I100" i="2" s="1"/>
  <c r="BT99" i="2" a="1"/>
  <c r="BT99" i="2" s="1"/>
  <c r="AU99" i="2" a="1"/>
  <c r="AU99" i="2" s="1"/>
  <c r="AH99" i="2" a="1"/>
  <c r="AH99" i="2" s="1"/>
  <c r="I99" i="2" a="1"/>
  <c r="I99" i="2" s="1"/>
  <c r="BT98" i="2" a="1"/>
  <c r="BT98" i="2" s="1"/>
  <c r="BE98" i="2" a="1"/>
  <c r="BE98" i="2" s="1"/>
  <c r="AH98" i="2" a="1"/>
  <c r="AH98" i="2" s="1"/>
  <c r="I98" i="2" a="1"/>
  <c r="I98" i="2" s="1"/>
  <c r="AY96" i="2" a="1"/>
  <c r="AY96" i="2" s="1"/>
  <c r="BV96" i="2" a="1"/>
  <c r="BV96" i="2" s="1"/>
  <c r="CK96" i="2" a="1"/>
  <c r="CK96" i="2" s="1"/>
  <c r="Z97" i="2" a="1"/>
  <c r="Z97" i="2" s="1"/>
  <c r="AY97" i="2" a="1"/>
  <c r="AY97" i="2" s="1"/>
  <c r="BL97" i="2" a="1"/>
  <c r="BL97" i="2" s="1"/>
  <c r="CK97" i="2" a="1"/>
  <c r="CK97" i="2" s="1"/>
  <c r="Q98" i="2" a="1"/>
  <c r="Q98" i="2" s="1"/>
  <c r="BP98" i="2" a="1"/>
  <c r="BP98" i="2" s="1"/>
  <c r="CK98" i="2" a="1"/>
  <c r="CK98" i="2" s="1"/>
  <c r="Q94" i="2" a="1"/>
  <c r="Q94" i="2" s="1"/>
  <c r="Z94" i="2" a="1"/>
  <c r="Z94" i="2" s="1"/>
  <c r="AU94" i="2" a="1"/>
  <c r="AU94" i="2" s="1"/>
  <c r="BP94" i="2" a="1"/>
  <c r="BP94" i="2" s="1"/>
  <c r="CK94" i="2" a="1"/>
  <c r="CK94" i="2" s="1"/>
  <c r="M95" i="2" a="1"/>
  <c r="M95" i="2" s="1"/>
  <c r="AH95" i="2" a="1"/>
  <c r="AH95" i="2" s="1"/>
  <c r="AQ95" i="2" a="1"/>
  <c r="AQ95" i="2" s="1"/>
  <c r="BC95" i="2" a="1"/>
  <c r="BC95" i="2" s="1"/>
  <c r="BL95" i="2" a="1"/>
  <c r="BL95" i="2" s="1"/>
  <c r="BV95" i="2" a="1"/>
  <c r="BV95" i="2" s="1"/>
  <c r="CG95" i="2" a="1"/>
  <c r="CG95" i="2" s="1"/>
  <c r="I96" i="2" a="1"/>
  <c r="I96" i="2" s="1"/>
  <c r="U96" i="2" a="1"/>
  <c r="U96" i="2" s="1"/>
  <c r="AD96" i="2" a="1"/>
  <c r="AD96" i="2" s="1"/>
  <c r="AN96" i="2" a="1"/>
  <c r="AN96" i="2" s="1"/>
  <c r="BL96" i="2" a="1"/>
  <c r="BL96" i="2" s="1"/>
  <c r="BY96" i="2" a="1"/>
  <c r="BY96" i="2" s="1"/>
  <c r="Q97" i="2" a="1"/>
  <c r="Q97" i="2" s="1"/>
  <c r="AN97" i="2" a="1"/>
  <c r="AN97" i="2" s="1"/>
  <c r="BC97" i="2" a="1"/>
  <c r="BC97" i="2" s="1"/>
  <c r="BY97" i="2" a="1"/>
  <c r="BY97" i="2" s="1"/>
  <c r="U98" i="2" a="1"/>
  <c r="U98" i="2" s="1"/>
  <c r="BC98" i="2" a="1"/>
  <c r="BC98" i="2" s="1"/>
  <c r="CM98" i="2" a="1"/>
  <c r="CM98" i="2" s="1"/>
  <c r="BH99" i="2" a="1"/>
  <c r="BH99" i="2" s="1"/>
  <c r="Q100" i="2" a="1"/>
  <c r="Q100" i="2" s="1"/>
  <c r="H16" i="2"/>
  <c r="BS125" i="2"/>
  <c r="BG125" i="2"/>
  <c r="AO125" i="2"/>
  <c r="AG125" i="2"/>
  <c r="BU124" i="2"/>
  <c r="BK124" i="2"/>
  <c r="AK124" i="2"/>
  <c r="Y124" i="2"/>
  <c r="G124" i="2"/>
  <c r="BW123" i="2"/>
  <c r="BO123" i="2"/>
  <c r="AM123" i="2"/>
  <c r="AC123" i="2"/>
  <c r="BS122" i="2"/>
  <c r="CJ125" i="2"/>
  <c r="BX125" i="2"/>
  <c r="BF125" i="2"/>
  <c r="AX125" i="2"/>
  <c r="L125" i="2"/>
  <c r="CL124" i="2"/>
  <c r="CB124" i="2"/>
  <c r="BB124" i="2"/>
  <c r="AP124" i="2"/>
  <c r="X124" i="2"/>
  <c r="P124" i="2"/>
  <c r="CF123" i="2"/>
  <c r="BD123" i="2"/>
  <c r="AT123" i="2"/>
  <c r="T123" i="2"/>
  <c r="H123" i="2"/>
  <c r="CJ122" i="2"/>
  <c r="BX122" i="2"/>
  <c r="BF122" i="2"/>
  <c r="AX122" i="2"/>
  <c r="L122" i="2"/>
  <c r="CL121" i="2"/>
  <c r="CB121" i="2"/>
  <c r="BB121" i="2"/>
  <c r="AP121" i="2"/>
  <c r="X121" i="2"/>
  <c r="P121" i="2"/>
  <c r="F121" i="2"/>
  <c r="CF120" i="2"/>
  <c r="BW125" i="2"/>
  <c r="BO125" i="2"/>
  <c r="AM125" i="2"/>
  <c r="AC125" i="2"/>
  <c r="BS124" i="2"/>
  <c r="BG124" i="2"/>
  <c r="AO124" i="2"/>
  <c r="AG124" i="2"/>
  <c r="BU123" i="2"/>
  <c r="BK123" i="2"/>
  <c r="AK123" i="2"/>
  <c r="Y123" i="2"/>
  <c r="G123" i="2"/>
  <c r="BW122" i="2"/>
  <c r="BO122" i="2"/>
  <c r="AM122" i="2"/>
  <c r="AC122" i="2"/>
  <c r="BS121" i="2"/>
  <c r="CF125" i="2"/>
  <c r="BD125" i="2"/>
  <c r="AT125" i="2"/>
  <c r="T125" i="2"/>
  <c r="H125" i="2"/>
  <c r="CJ124" i="2"/>
  <c r="BX124" i="2"/>
  <c r="BF124" i="2"/>
  <c r="AX124" i="2"/>
  <c r="L124" i="2"/>
  <c r="CL123" i="2"/>
  <c r="CB123" i="2"/>
  <c r="BB123" i="2"/>
  <c r="AP123" i="2"/>
  <c r="X123" i="2"/>
  <c r="P123" i="2"/>
  <c r="F123" i="2"/>
  <c r="CF122" i="2"/>
  <c r="BD122" i="2"/>
  <c r="AT122" i="2"/>
  <c r="T122" i="2"/>
  <c r="H122" i="2"/>
  <c r="CJ121" i="2"/>
  <c r="BX121" i="2"/>
  <c r="BF121" i="2"/>
  <c r="AX121" i="2"/>
  <c r="BU125" i="2"/>
  <c r="BK125" i="2"/>
  <c r="AK125" i="2"/>
  <c r="Y125" i="2"/>
  <c r="G125" i="2"/>
  <c r="BW124" i="2"/>
  <c r="BO124" i="2"/>
  <c r="AM124" i="2"/>
  <c r="CL125" i="2"/>
  <c r="CB125" i="2"/>
  <c r="BB125" i="2"/>
  <c r="AP125" i="2"/>
  <c r="X125" i="2"/>
  <c r="P125" i="2"/>
  <c r="F125" i="2"/>
  <c r="CF124" i="2"/>
  <c r="BD124" i="2"/>
  <c r="AT124" i="2"/>
  <c r="T124" i="2"/>
  <c r="H124" i="2"/>
  <c r="CJ123" i="2"/>
  <c r="BX123" i="2"/>
  <c r="BF123" i="2"/>
  <c r="AX123" i="2"/>
  <c r="L123" i="2"/>
  <c r="CL122" i="2"/>
  <c r="CB122" i="2"/>
  <c r="BB122" i="2"/>
  <c r="AP122" i="2"/>
  <c r="X122" i="2"/>
  <c r="P122" i="2"/>
  <c r="F122" i="2"/>
  <c r="CF121" i="2"/>
  <c r="BD121" i="2"/>
  <c r="AT121" i="2"/>
  <c r="AC124" i="2"/>
  <c r="BG123" i="2"/>
  <c r="AM121" i="2"/>
  <c r="Y121" i="2"/>
  <c r="L121" i="2"/>
  <c r="BX120" i="2"/>
  <c r="BO120" i="2"/>
  <c r="BD120" i="2"/>
  <c r="AT120" i="2"/>
  <c r="T120" i="2"/>
  <c r="H120" i="2"/>
  <c r="CJ119" i="2"/>
  <c r="BX119" i="2"/>
  <c r="BF119" i="2"/>
  <c r="AX119" i="2"/>
  <c r="L119" i="2"/>
  <c r="CL118" i="2"/>
  <c r="CB118" i="2"/>
  <c r="BB118" i="2"/>
  <c r="AP118" i="2"/>
  <c r="X118" i="2"/>
  <c r="P118" i="2"/>
  <c r="F118" i="2"/>
  <c r="CF117" i="2"/>
  <c r="BD117" i="2"/>
  <c r="AT117" i="2"/>
  <c r="T117" i="2"/>
  <c r="H117" i="2"/>
  <c r="CJ116" i="2"/>
  <c r="BX116" i="2"/>
  <c r="BF116" i="2"/>
  <c r="AX116" i="2"/>
  <c r="L116" i="2"/>
  <c r="CL115" i="2"/>
  <c r="CB115" i="2"/>
  <c r="BB115" i="2"/>
  <c r="AP115" i="2"/>
  <c r="X115" i="2"/>
  <c r="P115" i="2"/>
  <c r="BW121" i="2"/>
  <c r="CJ120" i="2"/>
  <c r="BW120" i="2"/>
  <c r="BK120" i="2"/>
  <c r="AK120" i="2"/>
  <c r="Y120" i="2"/>
  <c r="G120" i="2"/>
  <c r="BW119" i="2"/>
  <c r="BO119" i="2"/>
  <c r="AM119" i="2"/>
  <c r="AC119" i="2"/>
  <c r="BS118" i="2"/>
  <c r="BG118" i="2"/>
  <c r="AO118" i="2"/>
  <c r="AG118" i="2"/>
  <c r="BU117" i="2"/>
  <c r="BK117" i="2"/>
  <c r="AK117" i="2"/>
  <c r="Y117" i="2"/>
  <c r="G117" i="2"/>
  <c r="BW116" i="2"/>
  <c r="BO116" i="2"/>
  <c r="AM116" i="2"/>
  <c r="AC116" i="2"/>
  <c r="BS115" i="2"/>
  <c r="BG115" i="2"/>
  <c r="AO115" i="2"/>
  <c r="AG115" i="2"/>
  <c r="BU114" i="2"/>
  <c r="BK114" i="2"/>
  <c r="AK114" i="2"/>
  <c r="Y114" i="2"/>
  <c r="G114" i="2"/>
  <c r="BW113" i="2"/>
  <c r="BO113" i="2"/>
  <c r="AM113" i="2"/>
  <c r="AC113" i="2"/>
  <c r="BS112" i="2"/>
  <c r="AO123" i="2"/>
  <c r="BU122" i="2"/>
  <c r="AO122" i="2"/>
  <c r="BU121" i="2"/>
  <c r="AK121" i="2"/>
  <c r="H121" i="2"/>
  <c r="BU120" i="2"/>
  <c r="BB120" i="2"/>
  <c r="AP120" i="2"/>
  <c r="X120" i="2"/>
  <c r="P120" i="2"/>
  <c r="F120" i="2"/>
  <c r="CF119" i="2"/>
  <c r="BD119" i="2"/>
  <c r="AT119" i="2"/>
  <c r="T119" i="2"/>
  <c r="H119" i="2"/>
  <c r="CJ118" i="2"/>
  <c r="BX118" i="2"/>
  <c r="BF118" i="2"/>
  <c r="AX118" i="2"/>
  <c r="L118" i="2"/>
  <c r="CL117" i="2"/>
  <c r="CB117" i="2"/>
  <c r="BB117" i="2"/>
  <c r="AP117" i="2"/>
  <c r="X117" i="2"/>
  <c r="P117" i="2"/>
  <c r="F117" i="2"/>
  <c r="CF116" i="2"/>
  <c r="BD116" i="2"/>
  <c r="AT116" i="2"/>
  <c r="T116" i="2"/>
  <c r="H116" i="2"/>
  <c r="CJ115" i="2"/>
  <c r="AG123" i="2"/>
  <c r="BK122" i="2"/>
  <c r="AK122" i="2"/>
  <c r="G122" i="2"/>
  <c r="BO121" i="2"/>
  <c r="AG121" i="2"/>
  <c r="T121" i="2"/>
  <c r="G121" i="2"/>
  <c r="BG120" i="2"/>
  <c r="AO120" i="2"/>
  <c r="AG120" i="2"/>
  <c r="BU119" i="2"/>
  <c r="BK119" i="2"/>
  <c r="AK119" i="2"/>
  <c r="Y119" i="2"/>
  <c r="G119" i="2"/>
  <c r="BW118" i="2"/>
  <c r="BO118" i="2"/>
  <c r="AM118" i="2"/>
  <c r="AC118" i="2"/>
  <c r="BS117" i="2"/>
  <c r="BG117" i="2"/>
  <c r="AO117" i="2"/>
  <c r="AG117" i="2"/>
  <c r="BU116" i="2"/>
  <c r="BK116" i="2"/>
  <c r="AK116" i="2"/>
  <c r="Y116" i="2"/>
  <c r="G116" i="2"/>
  <c r="BW115" i="2"/>
  <c r="BO115" i="2"/>
  <c r="AM115" i="2"/>
  <c r="AC115" i="2"/>
  <c r="BS114" i="2"/>
  <c r="BG114" i="2"/>
  <c r="AO114" i="2"/>
  <c r="AG114" i="2"/>
  <c r="BG122" i="2"/>
  <c r="AG122" i="2"/>
  <c r="BK121" i="2"/>
  <c r="AC121" i="2"/>
  <c r="CB120" i="2"/>
  <c r="BS120" i="2"/>
  <c r="BF120" i="2"/>
  <c r="AX120" i="2"/>
  <c r="L120" i="2"/>
  <c r="CL119" i="2"/>
  <c r="CB119" i="2"/>
  <c r="BB119" i="2"/>
  <c r="AP119" i="2"/>
  <c r="X119" i="2"/>
  <c r="P119" i="2"/>
  <c r="F119" i="2"/>
  <c r="CF118" i="2"/>
  <c r="BD118" i="2"/>
  <c r="AT118" i="2"/>
  <c r="T118" i="2"/>
  <c r="H118" i="2"/>
  <c r="CJ117" i="2"/>
  <c r="BX117" i="2"/>
  <c r="BF117" i="2"/>
  <c r="AX117" i="2"/>
  <c r="L117" i="2"/>
  <c r="CL116" i="2"/>
  <c r="CB116" i="2"/>
  <c r="BB116" i="2"/>
  <c r="AP116" i="2"/>
  <c r="X116" i="2"/>
  <c r="P116" i="2"/>
  <c r="BS123" i="2"/>
  <c r="Y122" i="2"/>
  <c r="BG121" i="2"/>
  <c r="AO121" i="2"/>
  <c r="CL120" i="2"/>
  <c r="AM120" i="2"/>
  <c r="AC120" i="2"/>
  <c r="BS119" i="2"/>
  <c r="BG119" i="2"/>
  <c r="AO119" i="2"/>
  <c r="AG119" i="2"/>
  <c r="BU118" i="2"/>
  <c r="BK118" i="2"/>
  <c r="AK118" i="2"/>
  <c r="Y118" i="2"/>
  <c r="G118" i="2"/>
  <c r="BW117" i="2"/>
  <c r="BO117" i="2"/>
  <c r="AM117" i="2"/>
  <c r="AC117" i="2"/>
  <c r="BS116" i="2"/>
  <c r="BG116" i="2"/>
  <c r="AO116" i="2"/>
  <c r="AG116" i="2"/>
  <c r="BU115" i="2"/>
  <c r="BK115" i="2"/>
  <c r="AK115" i="2"/>
  <c r="Y115" i="2"/>
  <c r="G115" i="2"/>
  <c r="BW114" i="2"/>
  <c r="BO114" i="2"/>
  <c r="AM114" i="2"/>
  <c r="AC114" i="2"/>
  <c r="BS113" i="2"/>
  <c r="BG113" i="2"/>
  <c r="AO113" i="2"/>
  <c r="AG113" i="2"/>
  <c r="F116" i="2"/>
  <c r="BF115" i="2"/>
  <c r="F115" i="2"/>
  <c r="BD114" i="2"/>
  <c r="F114" i="2"/>
  <c r="CB113" i="2"/>
  <c r="BB113" i="2"/>
  <c r="X113" i="2"/>
  <c r="H113" i="2"/>
  <c r="CF112" i="2"/>
  <c r="BG112" i="2"/>
  <c r="AO112" i="2"/>
  <c r="AG112" i="2"/>
  <c r="BU111" i="2"/>
  <c r="BK111" i="2"/>
  <c r="AK111" i="2"/>
  <c r="Y111" i="2"/>
  <c r="G111" i="2"/>
  <c r="BW110" i="2"/>
  <c r="BO110" i="2"/>
  <c r="AM110" i="2"/>
  <c r="AC110" i="2"/>
  <c r="BS109" i="2"/>
  <c r="BG109" i="2"/>
  <c r="AO109" i="2"/>
  <c r="AG109" i="2"/>
  <c r="BU108" i="2"/>
  <c r="BK108" i="2"/>
  <c r="AK108" i="2"/>
  <c r="Y108" i="2"/>
  <c r="G108" i="2"/>
  <c r="BW107" i="2"/>
  <c r="BO107" i="2"/>
  <c r="AM107" i="2"/>
  <c r="AC107" i="2"/>
  <c r="BS106" i="2"/>
  <c r="BG106" i="2"/>
  <c r="AO106" i="2"/>
  <c r="AG106" i="2"/>
  <c r="CF115" i="2"/>
  <c r="BD115" i="2"/>
  <c r="CL114" i="2"/>
  <c r="BB114" i="2"/>
  <c r="T114" i="2"/>
  <c r="BX113" i="2"/>
  <c r="BK113" i="2"/>
  <c r="AX113" i="2"/>
  <c r="AK113" i="2"/>
  <c r="G113" i="2"/>
  <c r="CB112" i="2"/>
  <c r="BF112" i="2"/>
  <c r="AX112" i="2"/>
  <c r="L112" i="2"/>
  <c r="CL111" i="2"/>
  <c r="CB111" i="2"/>
  <c r="BB111" i="2"/>
  <c r="AP111" i="2"/>
  <c r="X111" i="2"/>
  <c r="P111" i="2"/>
  <c r="F111" i="2"/>
  <c r="CF110" i="2"/>
  <c r="BD110" i="2"/>
  <c r="AT110" i="2"/>
  <c r="T110" i="2"/>
  <c r="H110" i="2"/>
  <c r="CJ109" i="2"/>
  <c r="BX109" i="2"/>
  <c r="BF109" i="2"/>
  <c r="AX109" i="2"/>
  <c r="L109" i="2"/>
  <c r="CL108" i="2"/>
  <c r="CB108" i="2"/>
  <c r="BB108" i="2"/>
  <c r="AP108" i="2"/>
  <c r="X108" i="2"/>
  <c r="P108" i="2"/>
  <c r="F108" i="2"/>
  <c r="CF107" i="2"/>
  <c r="BD107" i="2"/>
  <c r="AT107" i="2"/>
  <c r="T107" i="2"/>
  <c r="H107" i="2"/>
  <c r="CJ106" i="2"/>
  <c r="BX106" i="2"/>
  <c r="BF106" i="2"/>
  <c r="AX106" i="2"/>
  <c r="BX115" i="2"/>
  <c r="AX115" i="2"/>
  <c r="CJ114" i="2"/>
  <c r="AX114" i="2"/>
  <c r="P114" i="2"/>
  <c r="CL113" i="2"/>
  <c r="AT113" i="2"/>
  <c r="T113" i="2"/>
  <c r="F113" i="2"/>
  <c r="BX112" i="2"/>
  <c r="BO112" i="2"/>
  <c r="AM112" i="2"/>
  <c r="AC112" i="2"/>
  <c r="BS111" i="2"/>
  <c r="BG111" i="2"/>
  <c r="AO111" i="2"/>
  <c r="AG111" i="2"/>
  <c r="BU110" i="2"/>
  <c r="BK110" i="2"/>
  <c r="AK110" i="2"/>
  <c r="Y110" i="2"/>
  <c r="G110" i="2"/>
  <c r="BW109" i="2"/>
  <c r="BO109" i="2"/>
  <c r="AM109" i="2"/>
  <c r="AC109" i="2"/>
  <c r="BS108" i="2"/>
  <c r="BG108" i="2"/>
  <c r="AO108" i="2"/>
  <c r="AG108" i="2"/>
  <c r="BU107" i="2"/>
  <c r="BK107" i="2"/>
  <c r="AK107" i="2"/>
  <c r="Y107" i="2"/>
  <c r="G107" i="2"/>
  <c r="BW106" i="2"/>
  <c r="BO106" i="2"/>
  <c r="AM106" i="2"/>
  <c r="AC106" i="2"/>
  <c r="BS105" i="2"/>
  <c r="BG105" i="2"/>
  <c r="AO105" i="2"/>
  <c r="AT115" i="2"/>
  <c r="T115" i="2"/>
  <c r="CF114" i="2"/>
  <c r="AT114" i="2"/>
  <c r="CJ113" i="2"/>
  <c r="BU113" i="2"/>
  <c r="BF113" i="2"/>
  <c r="CL112" i="2"/>
  <c r="BW112" i="2"/>
  <c r="BD112" i="2"/>
  <c r="AT112" i="2"/>
  <c r="T112" i="2"/>
  <c r="H112" i="2"/>
  <c r="CJ111" i="2"/>
  <c r="BX111" i="2"/>
  <c r="BF111" i="2"/>
  <c r="AX111" i="2"/>
  <c r="L111" i="2"/>
  <c r="CL110" i="2"/>
  <c r="CB110" i="2"/>
  <c r="BB110" i="2"/>
  <c r="AP110" i="2"/>
  <c r="X110" i="2"/>
  <c r="P110" i="2"/>
  <c r="F110" i="2"/>
  <c r="CF109" i="2"/>
  <c r="BD109" i="2"/>
  <c r="AT109" i="2"/>
  <c r="T109" i="2"/>
  <c r="H109" i="2"/>
  <c r="CJ108" i="2"/>
  <c r="BX108" i="2"/>
  <c r="BF108" i="2"/>
  <c r="AX108" i="2"/>
  <c r="L108" i="2"/>
  <c r="CL107" i="2"/>
  <c r="CB107" i="2"/>
  <c r="BB107" i="2"/>
  <c r="AP107" i="2"/>
  <c r="X107" i="2"/>
  <c r="P107" i="2"/>
  <c r="F107" i="2"/>
  <c r="CF106" i="2"/>
  <c r="L115" i="2"/>
  <c r="CB114" i="2"/>
  <c r="AP114" i="2"/>
  <c r="X114" i="2"/>
  <c r="L114" i="2"/>
  <c r="CF113" i="2"/>
  <c r="BD113" i="2"/>
  <c r="AP113" i="2"/>
  <c r="P113" i="2"/>
  <c r="CJ112" i="2"/>
  <c r="BK112" i="2"/>
  <c r="AK112" i="2"/>
  <c r="Y112" i="2"/>
  <c r="G112" i="2"/>
  <c r="BW111" i="2"/>
  <c r="BO111" i="2"/>
  <c r="AM111" i="2"/>
  <c r="AC111" i="2"/>
  <c r="BS110" i="2"/>
  <c r="BG110" i="2"/>
  <c r="AO110" i="2"/>
  <c r="AG110" i="2"/>
  <c r="BU109" i="2"/>
  <c r="BK109" i="2"/>
  <c r="AK109" i="2"/>
  <c r="Y109" i="2"/>
  <c r="G109" i="2"/>
  <c r="BW108" i="2"/>
  <c r="BO108" i="2"/>
  <c r="AM108" i="2"/>
  <c r="AC108" i="2"/>
  <c r="BS107" i="2"/>
  <c r="BG107" i="2"/>
  <c r="AO107" i="2"/>
  <c r="AG107" i="2"/>
  <c r="BU106" i="2"/>
  <c r="BK106" i="2"/>
  <c r="AK106" i="2"/>
  <c r="Y106" i="2"/>
  <c r="G106" i="2"/>
  <c r="BW105" i="2"/>
  <c r="H115" i="2"/>
  <c r="BX114" i="2"/>
  <c r="BF114" i="2"/>
  <c r="H114" i="2"/>
  <c r="Y113" i="2"/>
  <c r="L113" i="2"/>
  <c r="BU112" i="2"/>
  <c r="BB112" i="2"/>
  <c r="AP112" i="2"/>
  <c r="X112" i="2"/>
  <c r="P112" i="2"/>
  <c r="F112" i="2"/>
  <c r="CF111" i="2"/>
  <c r="BD111" i="2"/>
  <c r="AT111" i="2"/>
  <c r="T111" i="2"/>
  <c r="H111" i="2"/>
  <c r="CJ110" i="2"/>
  <c r="BX110" i="2"/>
  <c r="BF110" i="2"/>
  <c r="AX110" i="2"/>
  <c r="L110" i="2"/>
  <c r="CL109" i="2"/>
  <c r="CB109" i="2"/>
  <c r="BB109" i="2"/>
  <c r="AP109" i="2"/>
  <c r="X109" i="2"/>
  <c r="P109" i="2"/>
  <c r="F109" i="2"/>
  <c r="CF108" i="2"/>
  <c r="BD108" i="2"/>
  <c r="AT108" i="2"/>
  <c r="T108" i="2"/>
  <c r="H108" i="2"/>
  <c r="CJ107" i="2"/>
  <c r="BX107" i="2"/>
  <c r="BF107" i="2"/>
  <c r="AX107" i="2"/>
  <c r="L107" i="2"/>
  <c r="CL106" i="2"/>
  <c r="CB106" i="2"/>
  <c r="BB106" i="2"/>
  <c r="AP106" i="2"/>
  <c r="X106" i="2"/>
  <c r="P106" i="2"/>
  <c r="F106" i="2"/>
  <c r="CF105" i="2"/>
  <c r="BD105" i="2"/>
  <c r="AT105" i="2"/>
  <c r="T105" i="2"/>
  <c r="H105" i="2"/>
  <c r="CJ104" i="2"/>
  <c r="BX104" i="2"/>
  <c r="L106" i="2"/>
  <c r="CB105" i="2"/>
  <c r="BK105" i="2"/>
  <c r="AX105" i="2"/>
  <c r="AK105" i="2"/>
  <c r="X105" i="2"/>
  <c r="CL104" i="2"/>
  <c r="BF104" i="2"/>
  <c r="AX104" i="2"/>
  <c r="L104" i="2"/>
  <c r="CL103" i="2"/>
  <c r="CB103" i="2"/>
  <c r="BB103" i="2"/>
  <c r="AP103" i="2"/>
  <c r="X103" i="2"/>
  <c r="P103" i="2"/>
  <c r="F103" i="2"/>
  <c r="CF102" i="2"/>
  <c r="BD102" i="2"/>
  <c r="AT102" i="2"/>
  <c r="T102" i="2"/>
  <c r="H102" i="2"/>
  <c r="CJ101" i="2"/>
  <c r="BX101" i="2"/>
  <c r="BF101" i="2"/>
  <c r="AX101" i="2"/>
  <c r="L101" i="2"/>
  <c r="CL100" i="2"/>
  <c r="CB100" i="2"/>
  <c r="BB100" i="2"/>
  <c r="AP100" i="2"/>
  <c r="X100" i="2"/>
  <c r="P100" i="2"/>
  <c r="F100" i="2"/>
  <c r="CF99" i="2"/>
  <c r="BD99" i="2"/>
  <c r="AT99" i="2"/>
  <c r="T99" i="2"/>
  <c r="H99" i="2"/>
  <c r="CJ98" i="2"/>
  <c r="BX98" i="2"/>
  <c r="BF98" i="2"/>
  <c r="AX98" i="2"/>
  <c r="L98" i="2"/>
  <c r="CL97" i="2"/>
  <c r="CB97" i="2"/>
  <c r="BB97" i="2"/>
  <c r="H106" i="2"/>
  <c r="BX105" i="2"/>
  <c r="L105" i="2"/>
  <c r="BW104" i="2"/>
  <c r="BO104" i="2"/>
  <c r="AM104" i="2"/>
  <c r="AC104" i="2"/>
  <c r="BS103" i="2"/>
  <c r="BG103" i="2"/>
  <c r="AO103" i="2"/>
  <c r="AG103" i="2"/>
  <c r="BU102" i="2"/>
  <c r="BK102" i="2"/>
  <c r="AK102" i="2"/>
  <c r="Y102" i="2"/>
  <c r="G102" i="2"/>
  <c r="BW101" i="2"/>
  <c r="BO101" i="2"/>
  <c r="AM101" i="2"/>
  <c r="AC101" i="2"/>
  <c r="BS100" i="2"/>
  <c r="BG100" i="2"/>
  <c r="AO100" i="2"/>
  <c r="AG100" i="2"/>
  <c r="BU99" i="2"/>
  <c r="BK99" i="2"/>
  <c r="AK99" i="2"/>
  <c r="Y99" i="2"/>
  <c r="G99" i="2"/>
  <c r="BW98" i="2"/>
  <c r="BO98" i="2"/>
  <c r="AM98" i="2"/>
  <c r="AC98" i="2"/>
  <c r="BS97" i="2"/>
  <c r="BG97" i="2"/>
  <c r="AO97" i="2"/>
  <c r="AG97" i="2"/>
  <c r="BU96" i="2"/>
  <c r="BK96" i="2"/>
  <c r="AK96" i="2"/>
  <c r="Y96" i="2"/>
  <c r="G96" i="2"/>
  <c r="BW95" i="2"/>
  <c r="BO95" i="2"/>
  <c r="BD106" i="2"/>
  <c r="BU105" i="2"/>
  <c r="BF105" i="2"/>
  <c r="AG105" i="2"/>
  <c r="BD104" i="2"/>
  <c r="AT104" i="2"/>
  <c r="T104" i="2"/>
  <c r="H104" i="2"/>
  <c r="CJ103" i="2"/>
  <c r="BX103" i="2"/>
  <c r="BF103" i="2"/>
  <c r="AX103" i="2"/>
  <c r="L103" i="2"/>
  <c r="CL102" i="2"/>
  <c r="CB102" i="2"/>
  <c r="BB102" i="2"/>
  <c r="AP102" i="2"/>
  <c r="X102" i="2"/>
  <c r="P102" i="2"/>
  <c r="F102" i="2"/>
  <c r="CF101" i="2"/>
  <c r="BD101" i="2"/>
  <c r="AT101" i="2"/>
  <c r="T101" i="2"/>
  <c r="H101" i="2"/>
  <c r="CJ100" i="2"/>
  <c r="BX100" i="2"/>
  <c r="BF100" i="2"/>
  <c r="AX100" i="2"/>
  <c r="L100" i="2"/>
  <c r="CL99" i="2"/>
  <c r="CB99" i="2"/>
  <c r="AT106" i="2"/>
  <c r="CL105" i="2"/>
  <c r="AP105" i="2"/>
  <c r="G105" i="2"/>
  <c r="CF104" i="2"/>
  <c r="BU104" i="2"/>
  <c r="BK104" i="2"/>
  <c r="AK104" i="2"/>
  <c r="Y104" i="2"/>
  <c r="G104" i="2"/>
  <c r="BW103" i="2"/>
  <c r="BO103" i="2"/>
  <c r="AM103" i="2"/>
  <c r="AC103" i="2"/>
  <c r="BS102" i="2"/>
  <c r="BG102" i="2"/>
  <c r="AO102" i="2"/>
  <c r="AG102" i="2"/>
  <c r="BU101" i="2"/>
  <c r="BK101" i="2"/>
  <c r="AK101" i="2"/>
  <c r="Y101" i="2"/>
  <c r="G101" i="2"/>
  <c r="BW100" i="2"/>
  <c r="BO100" i="2"/>
  <c r="AM100" i="2"/>
  <c r="AC100" i="2"/>
  <c r="BS99" i="2"/>
  <c r="BG99" i="2"/>
  <c r="AO99" i="2"/>
  <c r="AG99" i="2"/>
  <c r="BU98" i="2"/>
  <c r="BK98" i="2"/>
  <c r="AK98" i="2"/>
  <c r="Y98" i="2"/>
  <c r="G98" i="2"/>
  <c r="BW97" i="2"/>
  <c r="BO97" i="2"/>
  <c r="AM97" i="2"/>
  <c r="AC97" i="2"/>
  <c r="T106" i="2"/>
  <c r="CJ105" i="2"/>
  <c r="AC105" i="2"/>
  <c r="F105" i="2"/>
  <c r="BB104" i="2"/>
  <c r="AP104" i="2"/>
  <c r="X104" i="2"/>
  <c r="P104" i="2"/>
  <c r="F104" i="2"/>
  <c r="CF103" i="2"/>
  <c r="BD103" i="2"/>
  <c r="AT103" i="2"/>
  <c r="T103" i="2"/>
  <c r="H103" i="2"/>
  <c r="CJ102" i="2"/>
  <c r="BX102" i="2"/>
  <c r="BF102" i="2"/>
  <c r="AX102" i="2"/>
  <c r="L102" i="2"/>
  <c r="CL101" i="2"/>
  <c r="CB101" i="2"/>
  <c r="BB101" i="2"/>
  <c r="AP101" i="2"/>
  <c r="X101" i="2"/>
  <c r="P101" i="2"/>
  <c r="F101" i="2"/>
  <c r="CF100" i="2"/>
  <c r="BD100" i="2"/>
  <c r="AT100" i="2"/>
  <c r="T100" i="2"/>
  <c r="H100" i="2"/>
  <c r="CJ99" i="2"/>
  <c r="BX99" i="2"/>
  <c r="BF99" i="2"/>
  <c r="AX99" i="2"/>
  <c r="L99" i="2"/>
  <c r="CL98" i="2"/>
  <c r="CB98" i="2"/>
  <c r="BB98" i="2"/>
  <c r="AP98" i="2"/>
  <c r="X98" i="2"/>
  <c r="P98" i="2"/>
  <c r="BO105" i="2"/>
  <c r="BB105" i="2"/>
  <c r="AM105" i="2"/>
  <c r="Y105" i="2"/>
  <c r="P105" i="2"/>
  <c r="CB104" i="2"/>
  <c r="BS104" i="2"/>
  <c r="BG104" i="2"/>
  <c r="AO104" i="2"/>
  <c r="AG104" i="2"/>
  <c r="BU103" i="2"/>
  <c r="BK103" i="2"/>
  <c r="AK103" i="2"/>
  <c r="Y103" i="2"/>
  <c r="G103" i="2"/>
  <c r="BW102" i="2"/>
  <c r="BO102" i="2"/>
  <c r="AM102" i="2"/>
  <c r="AC102" i="2"/>
  <c r="BS101" i="2"/>
  <c r="BG101" i="2"/>
  <c r="AO101" i="2"/>
  <c r="AG101" i="2"/>
  <c r="BU100" i="2"/>
  <c r="BK100" i="2"/>
  <c r="AK100" i="2"/>
  <c r="Y100" i="2"/>
  <c r="G100" i="2"/>
  <c r="BW99" i="2"/>
  <c r="BO99" i="2"/>
  <c r="AM99" i="2"/>
  <c r="AC99" i="2"/>
  <c r="BS98" i="2"/>
  <c r="BG98" i="2"/>
  <c r="AO98" i="2"/>
  <c r="AG98" i="2"/>
  <c r="BU97" i="2"/>
  <c r="BK97" i="2"/>
  <c r="AK97" i="2"/>
  <c r="Y97" i="2"/>
  <c r="G97" i="2"/>
  <c r="BW96" i="2"/>
  <c r="BO96" i="2"/>
  <c r="AM96" i="2"/>
  <c r="AC96" i="2"/>
  <c r="P99" i="2"/>
  <c r="AT98" i="2"/>
  <c r="CJ97" i="2"/>
  <c r="BF97" i="2"/>
  <c r="T97" i="2"/>
  <c r="CJ96" i="2"/>
  <c r="BS96" i="2"/>
  <c r="BD96" i="2"/>
  <c r="AO96" i="2"/>
  <c r="P96" i="2"/>
  <c r="CB95" i="2"/>
  <c r="BS95" i="2"/>
  <c r="BF95" i="2"/>
  <c r="AX95" i="2"/>
  <c r="L95" i="2"/>
  <c r="CL94" i="2"/>
  <c r="CB94" i="2"/>
  <c r="BB94" i="2"/>
  <c r="AP94" i="2"/>
  <c r="X94" i="2"/>
  <c r="P94" i="2"/>
  <c r="F94" i="2"/>
  <c r="CF93" i="2"/>
  <c r="BD93" i="2"/>
  <c r="AT93" i="2"/>
  <c r="T93" i="2"/>
  <c r="H93" i="2"/>
  <c r="CJ92" i="2"/>
  <c r="BX92" i="2"/>
  <c r="BF92" i="2"/>
  <c r="AX92" i="2"/>
  <c r="L92" i="2"/>
  <c r="CL91" i="2"/>
  <c r="CB91" i="2"/>
  <c r="BB91" i="2"/>
  <c r="AP91" i="2"/>
  <c r="X91" i="2"/>
  <c r="P91" i="2"/>
  <c r="F91" i="2"/>
  <c r="CF90" i="2"/>
  <c r="BD90" i="2"/>
  <c r="AT90" i="2"/>
  <c r="T90" i="2"/>
  <c r="H90" i="2"/>
  <c r="CJ89" i="2"/>
  <c r="BX89" i="2"/>
  <c r="BF89" i="2"/>
  <c r="AX89" i="2"/>
  <c r="L89" i="2"/>
  <c r="CL88" i="2"/>
  <c r="CB88" i="2"/>
  <c r="BB88" i="2"/>
  <c r="F99" i="2"/>
  <c r="CF97" i="2"/>
  <c r="BD97" i="2"/>
  <c r="P97" i="2"/>
  <c r="CF96" i="2"/>
  <c r="BB96" i="2"/>
  <c r="X96" i="2"/>
  <c r="CL95" i="2"/>
  <c r="AM95" i="2"/>
  <c r="AC95" i="2"/>
  <c r="BS94" i="2"/>
  <c r="BG94" i="2"/>
  <c r="AO94" i="2"/>
  <c r="AG94" i="2"/>
  <c r="BU93" i="2"/>
  <c r="BK93" i="2"/>
  <c r="AK93" i="2"/>
  <c r="Y93" i="2"/>
  <c r="G93" i="2"/>
  <c r="BW92" i="2"/>
  <c r="BO92" i="2"/>
  <c r="AM92" i="2"/>
  <c r="AC92" i="2"/>
  <c r="BS91" i="2"/>
  <c r="BG91" i="2"/>
  <c r="AO91" i="2"/>
  <c r="AG91" i="2"/>
  <c r="BU90" i="2"/>
  <c r="BK90" i="2"/>
  <c r="AK90" i="2"/>
  <c r="Y90" i="2"/>
  <c r="G90" i="2"/>
  <c r="BW89" i="2"/>
  <c r="BO89" i="2"/>
  <c r="AM89" i="2"/>
  <c r="AC89" i="2"/>
  <c r="BS88" i="2"/>
  <c r="BG88" i="2"/>
  <c r="AO88" i="2"/>
  <c r="AG88" i="2"/>
  <c r="BU87" i="2"/>
  <c r="BK87" i="2"/>
  <c r="AK87" i="2"/>
  <c r="Y87" i="2"/>
  <c r="G87" i="2"/>
  <c r="BW86" i="2"/>
  <c r="BO86" i="2"/>
  <c r="AM86" i="2"/>
  <c r="AC86" i="2"/>
  <c r="BS85" i="2"/>
  <c r="BB99" i="2"/>
  <c r="CF98" i="2"/>
  <c r="BX97" i="2"/>
  <c r="AX97" i="2"/>
  <c r="L97" i="2"/>
  <c r="CB96" i="2"/>
  <c r="L96" i="2"/>
  <c r="BX95" i="2"/>
  <c r="BD95" i="2"/>
  <c r="AT95" i="2"/>
  <c r="T95" i="2"/>
  <c r="H95" i="2"/>
  <c r="CJ94" i="2"/>
  <c r="BX94" i="2"/>
  <c r="BF94" i="2"/>
  <c r="AX94" i="2"/>
  <c r="L94" i="2"/>
  <c r="CL93" i="2"/>
  <c r="CB93" i="2"/>
  <c r="BB93" i="2"/>
  <c r="AP93" i="2"/>
  <c r="X93" i="2"/>
  <c r="P93" i="2"/>
  <c r="F93" i="2"/>
  <c r="CF92" i="2"/>
  <c r="BD92" i="2"/>
  <c r="AT92" i="2"/>
  <c r="T92" i="2"/>
  <c r="H92" i="2"/>
  <c r="CJ91" i="2"/>
  <c r="BX91" i="2"/>
  <c r="BF91" i="2"/>
  <c r="AX91" i="2"/>
  <c r="L91" i="2"/>
  <c r="CL90" i="2"/>
  <c r="CB90" i="2"/>
  <c r="BB90" i="2"/>
  <c r="AP90" i="2"/>
  <c r="X90" i="2"/>
  <c r="P90" i="2"/>
  <c r="F90" i="2"/>
  <c r="CF89" i="2"/>
  <c r="BD89" i="2"/>
  <c r="AT89" i="2"/>
  <c r="T89" i="2"/>
  <c r="H89" i="2"/>
  <c r="CJ88" i="2"/>
  <c r="BX88" i="2"/>
  <c r="BF88" i="2"/>
  <c r="AX88" i="2"/>
  <c r="L88" i="2"/>
  <c r="CL87" i="2"/>
  <c r="AP99" i="2"/>
  <c r="T98" i="2"/>
  <c r="AT97" i="2"/>
  <c r="H97" i="2"/>
  <c r="BX96" i="2"/>
  <c r="AX96" i="2"/>
  <c r="CJ95" i="2"/>
  <c r="BK95" i="2"/>
  <c r="AK95" i="2"/>
  <c r="Y95" i="2"/>
  <c r="G95" i="2"/>
  <c r="BW94" i="2"/>
  <c r="BO94" i="2"/>
  <c r="AM94" i="2"/>
  <c r="AC94" i="2"/>
  <c r="BS93" i="2"/>
  <c r="BG93" i="2"/>
  <c r="AO93" i="2"/>
  <c r="AG93" i="2"/>
  <c r="BU92" i="2"/>
  <c r="BK92" i="2"/>
  <c r="AK92" i="2"/>
  <c r="Y92" i="2"/>
  <c r="G92" i="2"/>
  <c r="BW91" i="2"/>
  <c r="BO91" i="2"/>
  <c r="AM91" i="2"/>
  <c r="AC91" i="2"/>
  <c r="BS90" i="2"/>
  <c r="BG90" i="2"/>
  <c r="AO90" i="2"/>
  <c r="AG90" i="2"/>
  <c r="BU89" i="2"/>
  <c r="BK89" i="2"/>
  <c r="AK89" i="2"/>
  <c r="Y89" i="2"/>
  <c r="G89" i="2"/>
  <c r="BW88" i="2"/>
  <c r="BO88" i="2"/>
  <c r="AM88" i="2"/>
  <c r="AC88" i="2"/>
  <c r="BS87" i="2"/>
  <c r="BG87" i="2"/>
  <c r="AO87" i="2"/>
  <c r="AG87" i="2"/>
  <c r="BU86" i="2"/>
  <c r="H98" i="2"/>
  <c r="AP97" i="2"/>
  <c r="X97" i="2"/>
  <c r="F97" i="2"/>
  <c r="BG96" i="2"/>
  <c r="AT96" i="2"/>
  <c r="AG96" i="2"/>
  <c r="H96" i="2"/>
  <c r="CF95" i="2"/>
  <c r="BU95" i="2"/>
  <c r="BB95" i="2"/>
  <c r="AP95" i="2"/>
  <c r="X95" i="2"/>
  <c r="P95" i="2"/>
  <c r="F95" i="2"/>
  <c r="CF94" i="2"/>
  <c r="BD94" i="2"/>
  <c r="AT94" i="2"/>
  <c r="T94" i="2"/>
  <c r="H94" i="2"/>
  <c r="CJ93" i="2"/>
  <c r="BX93" i="2"/>
  <c r="BF93" i="2"/>
  <c r="AX93" i="2"/>
  <c r="L93" i="2"/>
  <c r="CL92" i="2"/>
  <c r="CB92" i="2"/>
  <c r="BB92" i="2"/>
  <c r="AP92" i="2"/>
  <c r="X92" i="2"/>
  <c r="P92" i="2"/>
  <c r="F92" i="2"/>
  <c r="CF91" i="2"/>
  <c r="BD91" i="2"/>
  <c r="AT91" i="2"/>
  <c r="T91" i="2"/>
  <c r="H91" i="2"/>
  <c r="CJ90" i="2"/>
  <c r="BX90" i="2"/>
  <c r="BF90" i="2"/>
  <c r="AX90" i="2"/>
  <c r="L90" i="2"/>
  <c r="CL89" i="2"/>
  <c r="CB89" i="2"/>
  <c r="BB89" i="2"/>
  <c r="AP89" i="2"/>
  <c r="X89" i="2"/>
  <c r="P89" i="2"/>
  <c r="F89" i="2"/>
  <c r="CF88" i="2"/>
  <c r="BD88" i="2"/>
  <c r="AT88" i="2"/>
  <c r="X99" i="2"/>
  <c r="BD98" i="2"/>
  <c r="F98" i="2"/>
  <c r="CL96" i="2"/>
  <c r="BF96" i="2"/>
  <c r="AP96" i="2"/>
  <c r="T96" i="2"/>
  <c r="F96" i="2"/>
  <c r="BG95" i="2"/>
  <c r="AO95" i="2"/>
  <c r="AG95" i="2"/>
  <c r="BU94" i="2"/>
  <c r="BK94" i="2"/>
  <c r="AK94" i="2"/>
  <c r="Y94" i="2"/>
  <c r="G94" i="2"/>
  <c r="BW93" i="2"/>
  <c r="BO93" i="2"/>
  <c r="AM93" i="2"/>
  <c r="AC93" i="2"/>
  <c r="BS92" i="2"/>
  <c r="BG92" i="2"/>
  <c r="AO92" i="2"/>
  <c r="AG92" i="2"/>
  <c r="BU91" i="2"/>
  <c r="BK91" i="2"/>
  <c r="AK91" i="2"/>
  <c r="Y91" i="2"/>
  <c r="G91" i="2"/>
  <c r="BW90" i="2"/>
  <c r="BO90" i="2"/>
  <c r="AM90" i="2"/>
  <c r="AC90" i="2"/>
  <c r="BS89" i="2"/>
  <c r="BG89" i="2"/>
  <c r="AO89" i="2"/>
  <c r="AG89" i="2"/>
  <c r="BU88" i="2"/>
  <c r="BK88" i="2"/>
  <c r="AK88" i="2"/>
  <c r="Y88" i="2"/>
  <c r="G88" i="2"/>
  <c r="BW87" i="2"/>
  <c r="BO87" i="2"/>
  <c r="AM87" i="2"/>
  <c r="AC87" i="2"/>
  <c r="BS86" i="2"/>
  <c r="BG86" i="2"/>
  <c r="AO86" i="2"/>
  <c r="AG86" i="2"/>
  <c r="BU85" i="2"/>
  <c r="BK85" i="2"/>
  <c r="AK85" i="2"/>
  <c r="Y85" i="2"/>
  <c r="G85" i="2"/>
  <c r="BW84" i="2"/>
  <c r="BO84" i="2"/>
  <c r="AM84" i="2"/>
  <c r="AC84" i="2"/>
  <c r="BS83" i="2"/>
  <c r="BG83" i="2"/>
  <c r="AO83" i="2"/>
  <c r="AG83" i="2"/>
  <c r="BU82" i="2"/>
  <c r="BK82" i="2"/>
  <c r="AK82" i="2"/>
  <c r="Y82" i="2"/>
  <c r="G82" i="2"/>
  <c r="F13" i="2"/>
  <c r="L16" i="2"/>
  <c r="L17" i="2"/>
  <c r="L18" i="2"/>
  <c r="L19" i="2"/>
  <c r="L20" i="2"/>
  <c r="L21" i="2"/>
  <c r="L80" i="2"/>
  <c r="AX80" i="2"/>
  <c r="BF80" i="2"/>
  <c r="BX80" i="2"/>
  <c r="CJ80" i="2"/>
  <c r="H81" i="2"/>
  <c r="T81" i="2"/>
  <c r="AT81" i="2"/>
  <c r="BD81" i="2"/>
  <c r="CF81" i="2"/>
  <c r="F82" i="2"/>
  <c r="T82" i="2"/>
  <c r="AC82" i="2"/>
  <c r="H83" i="2"/>
  <c r="AP83" i="2"/>
  <c r="BW83" i="2"/>
  <c r="CJ83" i="2"/>
  <c r="L84" i="2"/>
  <c r="BD84" i="2"/>
  <c r="CL84" i="2"/>
  <c r="X85" i="2"/>
  <c r="BF85" i="2"/>
  <c r="L86" i="2"/>
  <c r="Y86" i="2"/>
  <c r="CJ86" i="2"/>
  <c r="T87" i="2"/>
  <c r="BD87" i="2"/>
  <c r="H88" i="2"/>
  <c r="J13" i="2"/>
  <c r="N16" i="2"/>
  <c r="N17" i="2"/>
  <c r="N18" i="2"/>
  <c r="N19" i="2"/>
  <c r="N20" i="2"/>
  <c r="N21" i="2"/>
  <c r="AG80" i="2"/>
  <c r="AO80" i="2"/>
  <c r="BG80" i="2"/>
  <c r="BS80" i="2"/>
  <c r="AC81" i="2"/>
  <c r="AM81" i="2"/>
  <c r="BO81" i="2"/>
  <c r="BW81" i="2"/>
  <c r="H82" i="2"/>
  <c r="AO82" i="2"/>
  <c r="BB82" i="2"/>
  <c r="BW82" i="2"/>
  <c r="CJ82" i="2"/>
  <c r="BD83" i="2"/>
  <c r="BO83" i="2"/>
  <c r="BX83" i="2"/>
  <c r="CL83" i="2"/>
  <c r="X84" i="2"/>
  <c r="AK84" i="2"/>
  <c r="AT84" i="2"/>
  <c r="BF84" i="2"/>
  <c r="BS84" i="2"/>
  <c r="CB84" i="2"/>
  <c r="P85" i="2"/>
  <c r="AM85" i="2"/>
  <c r="AX85" i="2"/>
  <c r="BG85" i="2"/>
  <c r="CJ85" i="2"/>
  <c r="P86" i="2"/>
  <c r="AP86" i="2"/>
  <c r="BD86" i="2"/>
  <c r="CL86" i="2"/>
  <c r="BF87" i="2"/>
  <c r="BX87" i="2"/>
  <c r="P88" i="2"/>
  <c r="D17" i="2"/>
  <c r="D18" i="2"/>
  <c r="D19" i="2"/>
  <c r="D20" i="2"/>
  <c r="D21" i="2"/>
  <c r="P80" i="2"/>
  <c r="X80" i="2"/>
  <c r="AP80" i="2"/>
  <c r="BB80" i="2"/>
  <c r="CB80" i="2"/>
  <c r="CL80" i="2"/>
  <c r="L81" i="2"/>
  <c r="AX81" i="2"/>
  <c r="BF81" i="2"/>
  <c r="BX81" i="2"/>
  <c r="CJ81" i="2"/>
  <c r="AG82" i="2"/>
  <c r="AP82" i="2"/>
  <c r="BD82" i="2"/>
  <c r="BO82" i="2"/>
  <c r="BX82" i="2"/>
  <c r="L83" i="2"/>
  <c r="X83" i="2"/>
  <c r="AK83" i="2"/>
  <c r="AT83" i="2"/>
  <c r="CB83" i="2"/>
  <c r="P84" i="2"/>
  <c r="Y84" i="2"/>
  <c r="AX84" i="2"/>
  <c r="BG84" i="2"/>
  <c r="F85" i="2"/>
  <c r="T85" i="2"/>
  <c r="AC85" i="2"/>
  <c r="BW85" i="2"/>
  <c r="CL85" i="2"/>
  <c r="BF86" i="2"/>
  <c r="F87" i="2"/>
  <c r="X87" i="2"/>
  <c r="AP87" i="2"/>
  <c r="CB87" i="2"/>
  <c r="T88" i="2"/>
  <c r="D16" i="2"/>
  <c r="F16" i="2"/>
  <c r="F17" i="2"/>
  <c r="F18" i="2"/>
  <c r="F19" i="2"/>
  <c r="F20" i="2"/>
  <c r="F21" i="2"/>
  <c r="G80" i="2"/>
  <c r="Y80" i="2"/>
  <c r="AK80" i="2"/>
  <c r="BK80" i="2"/>
  <c r="BU80" i="2"/>
  <c r="AG81" i="2"/>
  <c r="AO81" i="2"/>
  <c r="BG81" i="2"/>
  <c r="BS81" i="2"/>
  <c r="L82" i="2"/>
  <c r="AT82" i="2"/>
  <c r="CL82" i="2"/>
  <c r="P83" i="2"/>
  <c r="Y83" i="2"/>
  <c r="BF83" i="2"/>
  <c r="F84" i="2"/>
  <c r="BU84" i="2"/>
  <c r="CF84" i="2"/>
  <c r="H85" i="2"/>
  <c r="AO85" i="2"/>
  <c r="BB85" i="2"/>
  <c r="BX85" i="2"/>
  <c r="F86" i="2"/>
  <c r="T86" i="2"/>
  <c r="AT86" i="2"/>
  <c r="BX86" i="2"/>
  <c r="H87" i="2"/>
  <c r="AT87" i="2"/>
  <c r="CF87" i="2"/>
  <c r="X88" i="2"/>
  <c r="H17" i="2"/>
  <c r="H18" i="2"/>
  <c r="H19" i="2"/>
  <c r="H20" i="2"/>
  <c r="H21" i="2"/>
  <c r="H80" i="2"/>
  <c r="T80" i="2"/>
  <c r="AT80" i="2"/>
  <c r="BD80" i="2"/>
  <c r="CF80" i="2"/>
  <c r="F81" i="2"/>
  <c r="P81" i="2"/>
  <c r="X81" i="2"/>
  <c r="AP81" i="2"/>
  <c r="BB81" i="2"/>
  <c r="CB81" i="2"/>
  <c r="CL81" i="2"/>
  <c r="X82" i="2"/>
  <c r="BF82" i="2"/>
  <c r="BS82" i="2"/>
  <c r="CB82" i="2"/>
  <c r="F83" i="2"/>
  <c r="AM83" i="2"/>
  <c r="AX83" i="2"/>
  <c r="BU83" i="2"/>
  <c r="CF83" i="2"/>
  <c r="G84" i="2"/>
  <c r="T84" i="2"/>
  <c r="AO84" i="2"/>
  <c r="BB84" i="2"/>
  <c r="BK84" i="2"/>
  <c r="CJ84" i="2"/>
  <c r="AG85" i="2"/>
  <c r="AP85" i="2"/>
  <c r="BD85" i="2"/>
  <c r="BO85" i="2"/>
  <c r="CB85" i="2"/>
  <c r="G86" i="2"/>
  <c r="AK86" i="2"/>
  <c r="AX86" i="2"/>
  <c r="BK86" i="2"/>
  <c r="CB86" i="2"/>
  <c r="L87" i="2"/>
  <c r="AX87" i="2"/>
  <c r="CJ87" i="2"/>
  <c r="B13" i="2"/>
  <c r="J16" i="2"/>
  <c r="J17" i="2"/>
  <c r="J18" i="2"/>
  <c r="J19" i="2"/>
  <c r="J20" i="2"/>
  <c r="J21" i="2"/>
  <c r="AC80" i="2"/>
  <c r="AM80" i="2"/>
  <c r="BO80" i="2"/>
  <c r="BW80" i="2"/>
  <c r="G81" i="2"/>
  <c r="Y81" i="2"/>
  <c r="AK81" i="2"/>
  <c r="BK81" i="2"/>
  <c r="BU81" i="2"/>
  <c r="P82" i="2"/>
  <c r="AM82" i="2"/>
  <c r="AX82" i="2"/>
  <c r="BG82" i="2"/>
  <c r="CF82" i="2"/>
  <c r="G83" i="2"/>
  <c r="T83" i="2"/>
  <c r="AC83" i="2"/>
  <c r="BB83" i="2"/>
  <c r="BK83" i="2"/>
  <c r="H84" i="2"/>
  <c r="AG84" i="2"/>
  <c r="AP84" i="2"/>
  <c r="BX84" i="2"/>
  <c r="L85" i="2"/>
  <c r="AT85" i="2"/>
  <c r="CF85" i="2"/>
  <c r="H86" i="2"/>
  <c r="X86" i="2"/>
  <c r="BB86" i="2"/>
  <c r="CF86" i="2"/>
  <c r="P87" i="2"/>
  <c r="BB87" i="2"/>
  <c r="F88" i="2"/>
  <c r="AP88" i="2"/>
  <c r="F126" i="2" l="1"/>
  <c r="BW126" i="2"/>
  <c r="BX126" i="2"/>
  <c r="CB126" i="2"/>
  <c r="CF126" i="2"/>
  <c r="CJ126" i="2"/>
  <c r="BK126" i="2"/>
  <c r="BS126" i="2"/>
  <c r="BF126" i="2"/>
  <c r="BG126" i="2"/>
  <c r="AT126" i="2"/>
  <c r="BO126" i="2"/>
  <c r="AP126" i="2"/>
  <c r="AO126" i="2"/>
  <c r="BB126" i="2"/>
  <c r="AX126" i="2"/>
  <c r="AK126" i="2"/>
  <c r="Y126" i="2"/>
  <c r="X126" i="2"/>
  <c r="AG126" i="2"/>
  <c r="AC126" i="2"/>
  <c r="T126" i="2"/>
  <c r="P126" i="2"/>
  <c r="L126" i="2"/>
  <c r="G126" i="2"/>
  <c r="H12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<sst xmlns="http://schemas.openxmlformats.org/spreadsheetml/2006/main" count="1970" uniqueCount="345">
  <si>
    <t>ApplyReceptionNo</t>
  </si>
  <si>
    <t>ApplyStaffId</t>
  </si>
  <si>
    <t>ApplyStaffName</t>
  </si>
  <si>
    <t>CenterMatterStatusCD</t>
  </si>
  <si>
    <t>CenterMatterStatusName</t>
  </si>
  <si>
    <t>HistoryExistCD</t>
  </si>
  <si>
    <t>HistoryExistName</t>
  </si>
  <si>
    <t>ReasonGenerateDate</t>
  </si>
  <si>
    <t>ApplyDate</t>
  </si>
  <si>
    <t>ApplyReceptionDate</t>
  </si>
  <si>
    <t>ContactPersonRegistDate</t>
  </si>
  <si>
    <t>ApprovedRegistDate</t>
  </si>
  <si>
    <t>ApplyDataOutputDate</t>
  </si>
  <si>
    <t>CompletedRegistDate</t>
  </si>
  <si>
    <t>CenterProcessTypeText</t>
  </si>
  <si>
    <t>hasTenpu</t>
  </si>
  <si>
    <t>hasJyumin</t>
  </si>
  <si>
    <t>hasHassin</t>
  </si>
  <si>
    <t>hasKakunin</t>
  </si>
  <si>
    <t>hasKanri</t>
  </si>
  <si>
    <t>hasSV</t>
  </si>
  <si>
    <t>hasData</t>
  </si>
  <si>
    <t>hasSakujyo</t>
  </si>
  <si>
    <t>hasTokubetsu</t>
  </si>
  <si>
    <t>hasTokubetsu1</t>
  </si>
  <si>
    <t>hasTokubetsu2</t>
  </si>
  <si>
    <t>hasTokubetsu3</t>
  </si>
  <si>
    <t>NotificationReasonCD</t>
  </si>
  <si>
    <t>NotificationReasonKbn</t>
  </si>
  <si>
    <t>NotificationReasonKbnText</t>
  </si>
  <si>
    <t>NotificationReasonKbnContent</t>
  </si>
  <si>
    <t>AlimonyFlg</t>
  </si>
  <si>
    <t>HealthInsuranceFlg</t>
  </si>
  <si>
    <t>TaxBiteFlg</t>
  </si>
  <si>
    <t>cancelFlgText</t>
  </si>
  <si>
    <t>TemporaryText</t>
  </si>
  <si>
    <t>ApplyContent</t>
  </si>
  <si>
    <t>★最下行</t>
  </si>
  <si>
    <t>★経過日数</t>
  </si>
  <si>
    <t>★未完了</t>
  </si>
  <si>
    <t>★共済あり</t>
  </si>
  <si>
    <t>★フラグ文字列</t>
  </si>
  <si>
    <t>31 ＯＰ確認中</t>
  </si>
  <si>
    <t>21 担当者登録</t>
  </si>
  <si>
    <t>減</t>
  </si>
  <si>
    <t>47 扶養親族の就職</t>
  </si>
  <si>
    <t>対応不要　該当職員無し</t>
  </si>
  <si>
    <t>増</t>
  </si>
  <si>
    <t>22 扶養親族の退職</t>
  </si>
  <si>
    <t>対応不要</t>
  </si>
  <si>
    <t>20 差戻し</t>
  </si>
  <si>
    <t>23 本人の結婚</t>
  </si>
  <si>
    <t>23 結婚</t>
  </si>
  <si>
    <t>25 育休</t>
  </si>
  <si>
    <t>21 出生</t>
  </si>
  <si>
    <t>22 担当者変更</t>
  </si>
  <si>
    <t>26 扶養者の変更</t>
  </si>
  <si>
    <t>確</t>
  </si>
  <si>
    <t>50 扶養者の変更</t>
  </si>
  <si>
    <t>添</t>
  </si>
  <si>
    <t>99 その他</t>
  </si>
  <si>
    <t>57 削除待ち登録</t>
  </si>
  <si>
    <t>削</t>
  </si>
  <si>
    <t>管</t>
  </si>
  <si>
    <t>09 死亡</t>
  </si>
  <si>
    <t>27 収入限度額以下</t>
  </si>
  <si>
    <t>55 添付書類待ち登録</t>
  </si>
  <si>
    <t>Ｓ</t>
  </si>
  <si>
    <t>20 確認待ち</t>
  </si>
  <si>
    <t>99 データメンテナンス</t>
  </si>
  <si>
    <t>発</t>
  </si>
  <si>
    <t>51 収入限度額以上</t>
  </si>
  <si>
    <t>03 離婚</t>
  </si>
  <si>
    <t>32 ＳＶ確認中</t>
  </si>
  <si>
    <t>30 登録</t>
  </si>
  <si>
    <t>98 年金支給に係る変更</t>
  </si>
  <si>
    <t>30 却下</t>
  </si>
  <si>
    <t>51 管理スタッフ却下</t>
  </si>
  <si>
    <t>デ</t>
  </si>
  <si>
    <t>一時保存</t>
  </si>
  <si>
    <t>10 申請</t>
  </si>
  <si>
    <t>31 差戻し</t>
  </si>
  <si>
    <t>49 復職</t>
  </si>
  <si>
    <t>34 廃業</t>
  </si>
  <si>
    <t>54 別居</t>
  </si>
  <si>
    <t>11 差戻し申請</t>
  </si>
  <si>
    <t>56 添付書類待ち解除</t>
  </si>
  <si>
    <t>24 雇用保険受給終了</t>
  </si>
  <si>
    <t>31 同居</t>
  </si>
  <si>
    <t>30 申請受付</t>
  </si>
  <si>
    <t>20 申請受付</t>
  </si>
  <si>
    <t>55 扶養親族の結婚</t>
  </si>
  <si>
    <t>48 雇用保険受給開始</t>
  </si>
  <si>
    <t>28 障害程度の変更</t>
  </si>
  <si>
    <t>97 扶養親族の同別居変更</t>
  </si>
  <si>
    <t>30 養子縁組</t>
  </si>
  <si>
    <t>扶養異動申請　進捗ダッシュボード</t>
  </si>
  <si>
    <t>▼ 使い方</t>
  </si>
  <si>
    <t>手順①</t>
  </si>
  <si>
    <t>元データシートを開き、既存データを「一括クリア」マクロで削除する</t>
  </si>
  <si>
    <t>手順②</t>
  </si>
  <si>
    <t>アプリから「扶養検索_YYYYMMDD.xlsx」をダウンロードする</t>
  </si>
  <si>
    <t>手順③</t>
  </si>
  <si>
    <t>ダウンロードしたファイルをこのファイルと同じフォルダに保存する</t>
  </si>
  <si>
    <t>手順④</t>
  </si>
  <si>
    <t>「ファイル読込」マクロを実行すると元データシートに自動展開される</t>
  </si>
  <si>
    <t>手順⑤</t>
  </si>
  <si>
    <t>ダッシュボードシートに戻ると件数・申請番号がすべて自動で集計・更新される</t>
  </si>
  <si>
    <t>注意</t>
  </si>
  <si>
    <t>★黄色列（元データシート右端4列）は作業列。削除・上書き不可</t>
  </si>
  <si>
    <t>▼ 未完了案件サマリー</t>
  </si>
  <si>
    <t>未完了 総件数</t>
  </si>
  <si>
    <t>センター対応中</t>
  </si>
  <si>
    <t>差戻し中</t>
  </si>
  <si>
    <t>▼ ステータス別 件数</t>
  </si>
  <si>
    <t>ステータス</t>
  </si>
  <si>
    <t>総件数</t>
  </si>
  <si>
    <t>申請日から7日以内</t>
  </si>
  <si>
    <t>申請日から8〜14日</t>
  </si>
  <si>
    <t>申請日から15〜21日</t>
  </si>
  <si>
    <t>申請日から1か月超</t>
  </si>
  <si>
    <t>申請日から2か月超</t>
  </si>
  <si>
    <t>確認待ち</t>
  </si>
  <si>
    <t>申請受付</t>
  </si>
  <si>
    <t>OP確認中</t>
  </si>
  <si>
    <t>SV確認中</t>
  </si>
  <si>
    <t>差戻し</t>
  </si>
  <si>
    <t>合計</t>
  </si>
  <si>
    <t>▼ 事由別 件数（共済あり／なし）</t>
  </si>
  <si>
    <t>優先順位</t>
  </si>
  <si>
    <t>事由</t>
  </si>
  <si>
    <t>共済</t>
  </si>
  <si>
    <t>件数</t>
  </si>
  <si>
    <t>あり</t>
  </si>
  <si>
    <t>なし</t>
  </si>
  <si>
    <t>▼ 絞り込みビュー（ステータス×日数帯域）</t>
  </si>
  <si>
    <t>ステータス：</t>
  </si>
  <si>
    <t>日数帯域：</t>
  </si>
  <si>
    <t>申請番号（フラグ）</t>
  </si>
  <si>
    <t>VBAコード　― 元データ一括クリア ―　設定手順</t>
  </si>
  <si>
    <t>手順①　Excelでこのファイルを開いた状態で Alt+F11 を押す（VBAエディタが開く）</t>
  </si>
  <si>
    <t>手順②　メニューバーの「挿入」→「標準モジュール」をクリック</t>
  </si>
  <si>
    <t>手順③　下のコードをすべてコピーして貼り付ける</t>
  </si>
  <si>
    <t>手順④　Ctrl+S で保存（「マクロが含まれています」と表示されたら「はい」を選択）</t>
  </si>
  <si>
    <t>手順⑤　VBAエディタを閉じて「ダッシュボード」シートに戻る</t>
  </si>
  <si>
    <t>手順⑥　赤いセル「⬛ 元データ一括クリア」を右クリック → 「マクロの登録」→「ClearData」を選択 → OK</t>
  </si>
  <si>
    <t>▼ コード（下記をすべてコピーしてVBAエディタに貼り付ける）</t>
  </si>
  <si>
    <t>Sub ClearData()</t>
  </si>
  <si>
    <t xml:space="preserve">    Dim ws As Worksheet</t>
  </si>
  <si>
    <t xml:space="preserve">    Dim lastRow As Long</t>
  </si>
  <si>
    <t xml:space="preserve">    Set ws = ThisWorkbook.Sheets("元データ")</t>
  </si>
  <si>
    <t xml:space="preserve">    lastRow = ws.Cells(ws.Rows.Count, 1).End(xlUp).Row</t>
  </si>
  <si>
    <t xml:space="preserve">    If lastRow &lt; 2 Then</t>
  </si>
  <si>
    <t xml:space="preserve">        MsgBox "削除するデータがありません。", vbInformation</t>
  </si>
  <si>
    <t xml:space="preserve">        Exit Sub</t>
  </si>
  <si>
    <t xml:space="preserve">    End If</t>
  </si>
  <si>
    <t xml:space="preserve">    Dim ans As Integer</t>
  </si>
  <si>
    <t xml:space="preserve">    ans = MsgBox("元データの2行目以降（" &amp; lastRow - 1 &amp; "行）を削除します。よろしいですか？", _</t>
  </si>
  <si>
    <t xml:space="preserve">                 vbYesNo + vbQuestion, "一括クリア確認")</t>
  </si>
  <si>
    <t xml:space="preserve">    If ans = vbYes Then</t>
  </si>
  <si>
    <t xml:space="preserve">        ws.Range(ws.Cells(2, 1), ws.Cells(lastRow, 37)).ClearContents</t>
  </si>
  <si>
    <t xml:space="preserve">        MsgBox "削除完了しました。新しいデータを貼り付けてください。", vbInformation</t>
  </si>
  <si>
    <t>End Sub</t>
  </si>
  <si>
    <t>01172212 阪口　優二</t>
  </si>
  <si>
    <t>01122099 原田　亮</t>
  </si>
  <si>
    <t>00910247 農座　美保</t>
  </si>
  <si>
    <t>01012009 堀場　千夏子</t>
  </si>
  <si>
    <t>01026051 木内　賢</t>
  </si>
  <si>
    <t>01111322 藤村　咲野</t>
  </si>
  <si>
    <t>01134002 芦田　幸太</t>
  </si>
  <si>
    <t>01126104 山口　拓也</t>
  </si>
  <si>
    <t>01201022 石井　亮祐</t>
  </si>
  <si>
    <t>01162079 中屋　和博</t>
  </si>
  <si>
    <t>00890689 井上　大介</t>
  </si>
  <si>
    <t>00950451 片受　明</t>
  </si>
  <si>
    <t>01151128 椎名　優希</t>
  </si>
  <si>
    <t>01024122 小山　美郷</t>
  </si>
  <si>
    <t>01224092 守屋　翔</t>
  </si>
  <si>
    <t>01083011 北之園　聡子</t>
  </si>
  <si>
    <t>00951199 永井　一</t>
  </si>
  <si>
    <t>00920832 川村　貞代</t>
  </si>
  <si>
    <t>01201069 岡村　直人</t>
  </si>
  <si>
    <t>01066030 長島　弘明</t>
  </si>
  <si>
    <t>00920602 森本　洋一</t>
  </si>
  <si>
    <t>01191368 山下　武</t>
  </si>
  <si>
    <t>01110061 熊澤　健</t>
  </si>
  <si>
    <t>00900638 小林　清美</t>
  </si>
  <si>
    <t>01031250 駒沢　留美</t>
  </si>
  <si>
    <t>01251500 椎橋　新</t>
  </si>
  <si>
    <t>01216008 上田　徳貴</t>
  </si>
  <si>
    <t>01016076 吉田　裕二</t>
  </si>
  <si>
    <t>00860583 鈴木　幸子</t>
  </si>
  <si>
    <t>01250002 加藤　孝宣</t>
  </si>
  <si>
    <t>00920490 天野　武</t>
  </si>
  <si>
    <t>04965367 山下　謙一郎</t>
  </si>
  <si>
    <t>01224076 橋本　凌</t>
  </si>
  <si>
    <t>01214007 池之座　隼斗</t>
  </si>
  <si>
    <t>01032012 小菅　達矢</t>
  </si>
  <si>
    <t>00972007 土谷　桂</t>
  </si>
  <si>
    <t>01151503 松島　崇将</t>
  </si>
  <si>
    <t>01262043 利根川　潤</t>
  </si>
  <si>
    <t>01221095 小倉　沙紀</t>
  </si>
  <si>
    <t>01152127 野上　弘行</t>
  </si>
  <si>
    <t>01234106 堀川　裕也</t>
  </si>
  <si>
    <t>01211007 安達　友香</t>
  </si>
  <si>
    <t>01101223 中田　真希子</t>
  </si>
  <si>
    <t>01106070 渡辺　和也</t>
  </si>
  <si>
    <t>00840419 江口　頼幸</t>
  </si>
  <si>
    <t>01212515 若尾　英之</t>
  </si>
  <si>
    <t>01014039 伊藤　祐介</t>
  </si>
  <si>
    <t>01211501 秋元　ちなみ</t>
  </si>
  <si>
    <t>00950187 酒井　茂則</t>
  </si>
  <si>
    <t>00840202 岩崎　正彦</t>
  </si>
  <si>
    <t>01121121 寺田　亮</t>
  </si>
  <si>
    <t>00971027 小林　広明</t>
  </si>
  <si>
    <t>00890601 伊藤　英幸</t>
  </si>
  <si>
    <t>01196068 渡邉　紘資</t>
  </si>
  <si>
    <t>01021098 塩原　史子</t>
  </si>
  <si>
    <t>01211171 武井　このみ</t>
  </si>
  <si>
    <t>00910756 加藤　照美</t>
  </si>
  <si>
    <t>01221034 上江洲　安史</t>
  </si>
  <si>
    <t>01216028 磧本　和典</t>
  </si>
  <si>
    <t>01026012 栗本　誠喜</t>
  </si>
  <si>
    <t>00960287 勅使川原　朋宏</t>
  </si>
  <si>
    <t>01156082 野田　晴斗</t>
  </si>
  <si>
    <t>01231161 堀池　遼太</t>
  </si>
  <si>
    <t>01001211 佐藤　恵美</t>
  </si>
  <si>
    <t>01191086 川畑　敦志</t>
  </si>
  <si>
    <t>01186113 高野　健吾</t>
  </si>
  <si>
    <t>00994229 佐藤　聖子</t>
  </si>
  <si>
    <t>01151271 柚木原　美帆</t>
  </si>
  <si>
    <t>申請日から
7日以内</t>
    <phoneticPr fontId="14"/>
  </si>
  <si>
    <t>申請日から
8〜14日</t>
    <phoneticPr fontId="14"/>
  </si>
  <si>
    <t>申請日から
15〜21日</t>
    <phoneticPr fontId="14"/>
  </si>
  <si>
    <t>申請日から
1か月超</t>
    <phoneticPr fontId="14"/>
  </si>
  <si>
    <t>申請日から
2か月超</t>
    <phoneticPr fontId="14"/>
  </si>
  <si>
    <t>7日以内</t>
  </si>
  <si>
    <t>確認待</t>
  </si>
  <si>
    <t>受付</t>
    <phoneticPr fontId="14"/>
  </si>
  <si>
    <t>OP</t>
    <phoneticPr fontId="14"/>
  </si>
  <si>
    <t>SV</t>
    <phoneticPr fontId="14"/>
  </si>
  <si>
    <t>件数</t>
    <phoneticPr fontId="14"/>
  </si>
  <si>
    <t>合計</t>
    <rPh sb="0" eb="2">
      <t>ゴウケイ</t>
    </rPh>
    <phoneticPr fontId="14"/>
  </si>
  <si>
    <t>申請番号</t>
    <phoneticPr fontId="14"/>
  </si>
  <si>
    <t>-</t>
    <phoneticPr fontId="14"/>
  </si>
  <si>
    <r>
      <rPr>
        <u/>
        <sz val="11"/>
        <color theme="10"/>
        <rFont val="Meiryo UI"/>
        <family val="3"/>
        <charset val="128"/>
      </rPr>
      <t>▲上に戻る</t>
    </r>
    <rPh sb="1" eb="2">
      <t>ウエ</t>
    </rPh>
    <rPh sb="3" eb="4">
      <t>モド</t>
    </rPh>
    <phoneticPr fontId="14"/>
  </si>
  <si>
    <r>
      <rPr>
        <u/>
        <sz val="11"/>
        <color theme="10"/>
        <rFont val="Segoe UI Symbol"/>
        <family val="3"/>
      </rPr>
      <t>▲</t>
    </r>
    <r>
      <rPr>
        <u/>
        <sz val="11"/>
        <color theme="10"/>
        <rFont val="Meiryo UI"/>
        <family val="3"/>
        <charset val="128"/>
      </rPr>
      <t>「事由別</t>
    </r>
    <r>
      <rPr>
        <u/>
        <sz val="11"/>
        <color theme="10"/>
        <rFont val="Calibri"/>
        <family val="2"/>
        <charset val="1"/>
      </rPr>
      <t xml:space="preserve"> </t>
    </r>
    <r>
      <rPr>
        <u/>
        <sz val="11"/>
        <color theme="10"/>
        <rFont val="Meiryo UI"/>
        <family val="3"/>
        <charset val="128"/>
      </rPr>
      <t>件数」トップに戻る</t>
    </r>
    <rPh sb="13" eb="14">
      <t>モド</t>
    </rPh>
    <phoneticPr fontId="14"/>
  </si>
  <si>
    <r>
      <rPr>
        <u/>
        <sz val="11"/>
        <color theme="10"/>
        <rFont val="Segoe UI Symbol"/>
        <family val="3"/>
      </rPr>
      <t>▼</t>
    </r>
    <r>
      <rPr>
        <u/>
        <sz val="11"/>
        <color theme="10"/>
        <rFont val="Meiryo UI"/>
        <family val="3"/>
        <charset val="128"/>
      </rPr>
      <t>「事由別</t>
    </r>
    <r>
      <rPr>
        <u/>
        <sz val="11"/>
        <color theme="10"/>
        <rFont val="Calibri"/>
        <family val="2"/>
        <charset val="1"/>
      </rPr>
      <t xml:space="preserve"> </t>
    </r>
    <r>
      <rPr>
        <u/>
        <sz val="11"/>
        <color theme="10"/>
        <rFont val="Meiryo UI"/>
        <family val="3"/>
        <charset val="128"/>
      </rPr>
      <t>件数」トップを見る</t>
    </r>
    <rPh sb="13" eb="14">
      <t>ミ</t>
    </rPh>
    <phoneticPr fontId="14"/>
  </si>
  <si>
    <t>40 差戻し</t>
  </si>
  <si>
    <t>40 ＳＶ承認</t>
  </si>
  <si>
    <t>00910460 中村　浩</t>
  </si>
  <si>
    <t>00887937 森田　岳史</t>
  </si>
  <si>
    <t>01132115 曽田　尚史</t>
  </si>
  <si>
    <t>00910704 前原　幹弘</t>
  </si>
  <si>
    <t>00910205 谷川　みちる</t>
  </si>
  <si>
    <t>01023009 大西　祐子</t>
  </si>
  <si>
    <t>01246014 奥野　稔明</t>
  </si>
  <si>
    <t>01211102 黒古　水月</t>
  </si>
  <si>
    <t>01162074 鈴木　大輝</t>
  </si>
  <si>
    <t>01151044 上田　智也</t>
  </si>
  <si>
    <t>00960341 遠藤　充</t>
  </si>
  <si>
    <t>01111162 西　和輝</t>
  </si>
  <si>
    <t>00991275 原田　弥江</t>
  </si>
  <si>
    <t>01021232 田中　未絵</t>
  </si>
  <si>
    <t>36 送付中</t>
  </si>
  <si>
    <t>70 申請データ出力</t>
  </si>
  <si>
    <t>01107035 丹羽　正昇</t>
  </si>
  <si>
    <t>00920076 西塚　泰士</t>
  </si>
  <si>
    <t>33 確認済</t>
  </si>
  <si>
    <t>01122166 山中　晋</t>
  </si>
  <si>
    <t>00880721 金子　哲人</t>
  </si>
  <si>
    <t>01234070 滝口　裕士</t>
  </si>
  <si>
    <t>01146056 都地　文治</t>
  </si>
  <si>
    <t>34 決裁依頼中</t>
  </si>
  <si>
    <t>52 確認済申請書出力</t>
  </si>
  <si>
    <t>01246022 佐藤　威流</t>
  </si>
  <si>
    <t>01231123 寺嶋　直哉</t>
  </si>
  <si>
    <t>01216089 渡邊　颯人</t>
  </si>
  <si>
    <t>01206008 大峠　翔</t>
  </si>
  <si>
    <t>01151265 青鹿　達也</t>
  </si>
  <si>
    <t>01131326 閏間　亮輔</t>
  </si>
  <si>
    <t>00920135 星野　正実</t>
  </si>
  <si>
    <t>01186098 木村　大智</t>
  </si>
  <si>
    <t>05047894 中島　裕美</t>
  </si>
  <si>
    <t>00830457 小林　勉</t>
  </si>
  <si>
    <t>01042009 落合　剣人</t>
  </si>
  <si>
    <t>01161171 徳橋　ひかり</t>
  </si>
  <si>
    <t>01191418 丸山　哲平</t>
  </si>
  <si>
    <t>00971053 長尾　和也</t>
  </si>
  <si>
    <t>01146009 井手　亮佑</t>
  </si>
  <si>
    <t>01224090 森　翔太</t>
  </si>
  <si>
    <t>01186028 竹原　佑宜</t>
  </si>
  <si>
    <t>00930614 内田　義人</t>
  </si>
  <si>
    <t>01191118 齋藤　晶</t>
  </si>
  <si>
    <t>01086114 児玉　寛史</t>
  </si>
  <si>
    <t>00940483 横田　大輔</t>
  </si>
  <si>
    <t>01141151 藤井　拓也</t>
  </si>
  <si>
    <t>01167018 麻野　仁</t>
  </si>
  <si>
    <t>00820188 上四元　清己</t>
  </si>
  <si>
    <t>01151488 藤間　寛之</t>
  </si>
  <si>
    <t>00950163 小倉　明子</t>
  </si>
  <si>
    <t>01032003 磯田　伸吾</t>
  </si>
  <si>
    <t>01251493 大胡　純子</t>
  </si>
  <si>
    <t>01161342 矢吹　夢華</t>
  </si>
  <si>
    <t>01126114 我妻　和幸</t>
  </si>
  <si>
    <t>01166048 吉井　新</t>
  </si>
  <si>
    <t>01202303 大崎　十夢</t>
  </si>
  <si>
    <t>00870361 稲垣　紀明</t>
  </si>
  <si>
    <t>01151295 西垣　潤</t>
  </si>
  <si>
    <t>01024179 安野　典昌</t>
  </si>
  <si>
    <t>01186038 幡野　皓也</t>
  </si>
  <si>
    <t>00940493 吉田　達馬</t>
  </si>
  <si>
    <t>41 ＳＶ却下</t>
  </si>
  <si>
    <t>01236010 金子　雅弥</t>
  </si>
  <si>
    <t>00960031 古尾谷　昌平</t>
  </si>
  <si>
    <t>01042043 板倉　健一</t>
  </si>
  <si>
    <t>01166062 一松　元</t>
  </si>
  <si>
    <t>01183017 瀧崎　琴乃</t>
  </si>
  <si>
    <t>01091228 福岡　俊祐</t>
  </si>
  <si>
    <t>01196062 矢島　慎太郎</t>
  </si>
  <si>
    <t>01154008 井上　貴之</t>
  </si>
  <si>
    <t>01102052 齋藤　優太</t>
  </si>
  <si>
    <t>01161047 大橋　沙綺乃</t>
  </si>
  <si>
    <t>01142120 村山　友彦</t>
  </si>
  <si>
    <t>00885522 会沢　優子</t>
  </si>
  <si>
    <t>01234113 宮本　耕丞</t>
  </si>
  <si>
    <t>01171349 葛川　翼</t>
  </si>
  <si>
    <t>01176062 鎌田　将吾</t>
  </si>
  <si>
    <t>00850341 西野　智世</t>
  </si>
  <si>
    <t>01171045 遠藤　未菜</t>
  </si>
  <si>
    <t>01201148 新海　行</t>
  </si>
  <si>
    <t>01146012 岩本　裕介</t>
  </si>
  <si>
    <t>01001072 舩戸　一将</t>
  </si>
  <si>
    <t>01182055 保田　莞司</t>
  </si>
  <si>
    <t>01166138 山形　捷人</t>
  </si>
  <si>
    <t>・確認事項</t>
  </si>
  <si>
    <t>・添待ち</t>
  </si>
  <si>
    <t>・削除</t>
  </si>
  <si>
    <t>・管</t>
  </si>
  <si>
    <t>・添待ち・SV</t>
  </si>
  <si>
    <t>・発信・削除</t>
  </si>
  <si>
    <t>・SV</t>
  </si>
  <si>
    <t>・データ送付待ち</t>
  </si>
  <si>
    <t>・発信</t>
  </si>
  <si>
    <t>・発信・SV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</si>
</sst>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\ h:mm:ss"/>
    <numFmt numFmtId="177" formatCode="yyyy/mm/dd"/>
    <numFmt numFmtId="178" formatCode="&quot;基準日：&quot;yyyy/mm/dd"/>
    <numFmt numFmtId="179" formatCode="0&quot; 件&quot;"/>
    <numFmt numFmtId="180" formatCode="0;\-0;\-"/>
    <numFmt numFmtId="181" formatCode="0;\-0;&quot;-&quot;"/>
  </numFmts>
  <fonts count="37">
    <font>
      <sz val="11"/>
      <color theme="1"/>
      <name val="Calibri"/>
      <family val="2"/>
      <charset val="1"/>
    </font>
    <font>
      <b/>
      <sz val="8"/>
      <color rgb="FFFFFFFF"/>
      <name val="Arial"/>
      <family val="2"/>
    </font>
    <font>
      <b/>
      <sz val="8"/>
      <color rgb="FF7F6000"/>
      <name val="Noto Sans CJK SC"/>
      <family val="2"/>
      <charset val="1"/>
    </font>
    <font>
      <sz val="8"/>
      <color rgb="FF000000"/>
      <name val="Arial"/>
      <family val="2"/>
    </font>
    <font>
      <sz val="8"/>
      <color rgb="FF000000"/>
      <name val="Noto Sans CJK SC"/>
      <family val="2"/>
      <charset val="1"/>
    </font>
    <font>
      <sz val="8"/>
      <color rgb="FF7F6000"/>
      <name val="Arial"/>
      <family val="2"/>
    </font>
    <font>
      <b/>
      <sz val="9"/>
      <color rgb="FF1F3864"/>
      <name val="Noto Sans CJK SC"/>
      <family val="2"/>
      <charset val="1"/>
    </font>
    <font>
      <b/>
      <sz val="9"/>
      <color rgb="FFC00000"/>
      <name val="Noto Sans CJK SC"/>
      <family val="2"/>
      <charset val="1"/>
    </font>
    <font>
      <b/>
      <sz val="13"/>
      <color rgb="FFFFFFFF"/>
      <name val="Arial"/>
      <family val="2"/>
    </font>
    <font>
      <sz val="9"/>
      <color rgb="FF1F3864"/>
      <name val="Noto Sans CJK SC"/>
      <family val="2"/>
      <charset val="1"/>
    </font>
    <font>
      <b/>
      <sz val="10"/>
      <color rgb="FFC00000"/>
      <name val="Noto Sans CJK SC"/>
      <family val="2"/>
      <charset val="1"/>
    </font>
    <font>
      <sz val="9"/>
      <color rgb="FF000000"/>
      <name val="Courier New"/>
      <family val="3"/>
    </font>
    <font>
      <b/>
      <sz val="8"/>
      <color rgb="FF7F6000"/>
      <name val="Arial"/>
      <family val="2"/>
    </font>
    <font>
      <sz val="8"/>
      <color rgb="FF7F6000"/>
      <name val="Arial"/>
      <family val="2"/>
    </font>
    <font>
      <sz val="6"/>
      <name val="ＭＳ Ｐゴシック"/>
      <family val="3"/>
      <charset val="128"/>
    </font>
    <font>
      <b/>
      <sz val="10"/>
      <color rgb="FF000000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b/>
      <sz val="10"/>
      <color rgb="FF1F3864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sz val="12"/>
      <color rgb="FFFFFFFF"/>
      <name val="Meiryo UI"/>
      <family val="3"/>
      <charset val="128"/>
    </font>
    <font>
      <b/>
      <sz val="12"/>
      <color rgb="FF2E75B6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6"/>
      <color rgb="FFFFFFFF"/>
      <name val="Meiryo UI"/>
      <family val="3"/>
      <charset val="128"/>
    </font>
    <font>
      <sz val="16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0"/>
      <color rgb="FFED7D31"/>
      <name val="Meiryo UI"/>
      <family val="3"/>
      <charset val="128"/>
    </font>
    <font>
      <sz val="10"/>
      <color rgb="FF767676"/>
      <name val="Meiryo UI"/>
      <family val="3"/>
      <charset val="128"/>
    </font>
    <font>
      <b/>
      <sz val="10"/>
      <color rgb="FF1F6B75"/>
      <name val="Meiryo UI"/>
      <family val="3"/>
      <charset val="128"/>
    </font>
    <font>
      <sz val="10"/>
      <color rgb="FF404040"/>
      <name val="Meiryo UI"/>
      <family val="3"/>
      <charset val="128"/>
    </font>
    <font>
      <sz val="10"/>
      <color rgb="FFC00000"/>
      <name val="Meiryo UI"/>
      <family val="3"/>
      <charset val="128"/>
    </font>
    <font>
      <u/>
      <sz val="11"/>
      <color theme="10"/>
      <name val="Calibri"/>
      <family val="2"/>
      <charset val="1"/>
    </font>
    <font>
      <u/>
      <sz val="11"/>
      <color theme="10"/>
      <name val="Meiryo UI"/>
      <family val="3"/>
      <charset val="128"/>
    </font>
    <font>
      <u/>
      <sz val="11"/>
      <color theme="10"/>
      <name val="Segoe UI Symbol"/>
      <family val="3"/>
    </font>
    <font>
      <u/>
      <sz val="11"/>
      <color theme="10"/>
      <name val="Calibri"/>
      <family val="3"/>
      <charset val="1"/>
    </font>
  </fonts>
  <fills count="31">
    <fill>
      <patternFill patternType="none"/>
    </fill>
    <fill>
      <patternFill patternType="gray125"/>
    </fill>
    <fill>
      <patternFill patternType="solid">
        <fgColor rgb="FF404040"/>
        <bgColor rgb="FF375623"/>
      </patternFill>
    </fill>
    <fill>
      <patternFill patternType="solid">
        <fgColor rgb="FFFFFF00"/>
        <bgColor rgb="FFFFFF00"/>
      </patternFill>
    </fill>
    <fill>
      <patternFill patternType="solid">
        <fgColor rgb="FFFFFF99"/>
        <bgColor rgb="FFFFF2CC"/>
      </patternFill>
    </fill>
    <fill>
      <patternFill patternType="solid">
        <fgColor rgb="FF1F3864"/>
        <bgColor rgb="FF333399"/>
      </patternFill>
    </fill>
    <fill>
      <patternFill patternType="solid">
        <fgColor rgb="FFEEF4FB"/>
        <bgColor rgb="FFF2F2F2"/>
      </patternFill>
    </fill>
    <fill>
      <patternFill patternType="solid">
        <fgColor rgb="FFC00000"/>
        <bgColor rgb="FF800000"/>
      </patternFill>
    </fill>
    <fill>
      <patternFill patternType="solid">
        <fgColor rgb="FFFFF2CC"/>
        <bgColor rgb="FFFCE4D6"/>
      </patternFill>
    </fill>
    <fill>
      <patternFill patternType="solid">
        <fgColor rgb="FFF2F2F2"/>
        <bgColor rgb="FFEEF4FB"/>
      </patternFill>
    </fill>
    <fill>
      <patternFill patternType="solid">
        <fgColor rgb="FF2E75B6"/>
        <bgColor rgb="FF1F6B75"/>
      </patternFill>
    </fill>
    <fill>
      <patternFill patternType="solid">
        <fgColor rgb="FFFFFFFF"/>
        <bgColor rgb="FFEEF4FB"/>
      </patternFill>
    </fill>
    <fill>
      <patternFill patternType="solid">
        <fgColor rgb="FFFFD966"/>
        <bgColor rgb="FFFFFF99"/>
      </patternFill>
    </fill>
    <fill>
      <patternFill patternType="solid">
        <fgColor rgb="FFFCE4D6"/>
        <bgColor rgb="FFFFF2CC"/>
      </patternFill>
    </fill>
    <fill>
      <patternFill patternType="solid">
        <fgColor rgb="FF375623"/>
        <bgColor rgb="FF404040"/>
      </patternFill>
    </fill>
    <fill>
      <patternFill patternType="solid">
        <fgColor rgb="FF1F6B75"/>
        <bgColor rgb="FF008080"/>
      </patternFill>
    </fill>
    <fill>
      <patternFill patternType="solid">
        <fgColor rgb="FFE2EFDA"/>
        <bgColor rgb="FFD9EEF0"/>
      </patternFill>
    </fill>
    <fill>
      <patternFill patternType="solid">
        <fgColor rgb="FFD9EEF0"/>
        <bgColor rgb="FFE2EFDA"/>
      </patternFill>
    </fill>
    <fill>
      <patternFill patternType="solid">
        <fgColor rgb="FFEEF4FB"/>
      </patternFill>
    </fill>
    <fill>
      <patternFill patternType="solid">
        <fgColor rgb="FFD9EEF0"/>
      </patternFill>
    </fill>
    <fill>
      <patternFill patternType="solid">
        <fgColor rgb="FFFFFF99"/>
      </patternFill>
    </fill>
    <fill>
      <patternFill patternType="solid">
        <fgColor rgb="FFFFD966"/>
      </patternFill>
    </fill>
    <fill>
      <patternFill patternType="solid">
        <fgColor rgb="FFFCE4D6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FFF2CC"/>
      </patternFill>
    </fill>
    <fill>
      <patternFill patternType="solid">
        <fgColor rgb="FF375623"/>
      </patternFill>
    </fill>
    <fill>
      <patternFill patternType="solid">
        <fgColor rgb="FF1F6B75"/>
      </patternFill>
    </fill>
    <fill>
      <patternFill patternType="solid">
        <fgColor rgb="FFE2EFDA"/>
      </patternFill>
    </fill>
    <fill>
      <patternFill patternType="solid">
        <fgColor rgb="FFFFFF00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  <diagonal/>
    </border>
    <border>
      <left style="thin">
        <color rgb="FFCCCC00"/>
      </left>
      <right style="thin">
        <color rgb="FFCCCC00"/>
      </right>
      <top style="thin">
        <color rgb="FFCCCC00"/>
      </top>
      <bottom style="thin">
        <color rgb="FFCCCC0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B8B8B8"/>
      </top>
      <bottom style="thin">
        <color rgb="FFB8B8B8"/>
      </bottom>
      <diagonal/>
    </border>
    <border>
      <left/>
      <right style="thin">
        <color rgb="FFB8B8B8"/>
      </right>
      <top style="thin">
        <color rgb="FFB8B8B8"/>
      </top>
      <bottom style="thin">
        <color rgb="FFB8B8B8"/>
      </bottom>
      <diagonal/>
    </border>
    <border>
      <left style="thin">
        <color rgb="FFCCCC00"/>
      </left>
      <right style="thin">
        <color rgb="FFCCCC00"/>
      </right>
      <top style="thin">
        <color rgb="FFCCCC00"/>
      </top>
      <bottom style="thin">
        <color rgb="FFCCCC00"/>
      </bottom>
      <diagonal/>
    </border>
    <border>
      <left/>
      <right/>
      <top/>
      <bottom/>
      <diagonal/>
    </border>
    <border>
      <left style="thin">
        <color rgb="FFB8B8B8"/>
      </left>
      <right/>
      <top/>
      <bottom/>
      <diagonal/>
    </border>
    <border>
      <left/>
      <right style="thin">
        <color rgb="FFB8B8B8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rgb="FFCCAA00"/>
      </right>
      <top/>
      <bottom/>
      <diagonal/>
    </border>
    <border>
      <left style="thin">
        <color rgb="FFCCAA00"/>
      </left>
      <right/>
      <top/>
      <bottom/>
      <diagonal/>
    </border>
    <border>
      <left style="thin">
        <color rgb="FFB8B8B8"/>
      </left>
      <right/>
      <top/>
      <bottom style="thin">
        <color rgb="FFB8B8B8"/>
      </bottom>
      <diagonal/>
    </border>
    <border>
      <left/>
      <right/>
      <top/>
      <bottom style="thin">
        <color rgb="FFB8B8B8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33" fillId="0" borderId="0" applyNumberFormat="0" applyFill="0" applyBorder="0" applyAlignment="0" applyProtection="0"/>
  </cellStyleXfs>
  <cellXfs count="10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2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1" fillId="9" borderId="3" xfId="0" applyFont="1" applyFill="1" applyBorder="1" applyAlignment="1">
      <alignment horizontal="left" vertical="center"/>
    </xf>
    <xf numFmtId="0" fontId="12" fillId="29" borderId="6" xfId="0" applyFont="1" applyFill="1" applyBorder="1" applyAlignment="1">
      <alignment horizontal="center" vertical="center"/>
    </xf>
    <xf numFmtId="0" fontId="13" fillId="20" borderId="6" xfId="0" applyFont="1" applyFill="1" applyBorder="1" applyAlignment="1">
      <alignment horizontal="left" vertical="center"/>
    </xf>
    <xf numFmtId="0" fontId="18" fillId="0" borderId="0" xfId="0" applyFont="1"/>
    <xf numFmtId="0" fontId="18" fillId="5" borderId="0" xfId="0" applyFont="1" applyFill="1"/>
    <xf numFmtId="0" fontId="21" fillId="0" borderId="0" xfId="0" applyFont="1"/>
    <xf numFmtId="0" fontId="18" fillId="23" borderId="7" xfId="0" applyFont="1" applyFill="1" applyBorder="1"/>
    <xf numFmtId="0" fontId="27" fillId="0" borderId="0" xfId="0" applyFont="1"/>
    <xf numFmtId="0" fontId="16" fillId="10" borderId="10" xfId="0" applyFont="1" applyFill="1" applyBorder="1" applyAlignment="1">
      <alignment horizontal="center" vertical="center" wrapText="1"/>
    </xf>
    <xf numFmtId="0" fontId="29" fillId="23" borderId="7" xfId="0" applyFont="1" applyFill="1" applyBorder="1" applyAlignment="1">
      <alignment horizontal="left" vertical="center"/>
    </xf>
    <xf numFmtId="0" fontId="18" fillId="0" borderId="7" xfId="0" applyFont="1" applyBorder="1"/>
    <xf numFmtId="0" fontId="16" fillId="0" borderId="8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16" fillId="24" borderId="10" xfId="0" applyFont="1" applyFill="1" applyBorder="1" applyAlignment="1">
      <alignment horizontal="center" vertical="center" wrapText="1"/>
    </xf>
    <xf numFmtId="0" fontId="16" fillId="27" borderId="10" xfId="0" applyFont="1" applyFill="1" applyBorder="1" applyAlignment="1">
      <alignment horizontal="center" vertical="center" wrapText="1"/>
    </xf>
    <xf numFmtId="0" fontId="30" fillId="19" borderId="10" xfId="0" applyFont="1" applyFill="1" applyBorder="1" applyAlignment="1">
      <alignment horizontal="center" vertical="center"/>
    </xf>
    <xf numFmtId="181" fontId="15" fillId="19" borderId="10" xfId="0" applyNumberFormat="1" applyFont="1" applyFill="1" applyBorder="1" applyAlignment="1">
      <alignment horizontal="center" vertical="center"/>
    </xf>
    <xf numFmtId="0" fontId="31" fillId="23" borderId="10" xfId="0" applyFont="1" applyFill="1" applyBorder="1" applyAlignment="1">
      <alignment horizontal="center" vertical="center"/>
    </xf>
    <xf numFmtId="181" fontId="15" fillId="23" borderId="10" xfId="0" applyNumberFormat="1" applyFont="1" applyFill="1" applyBorder="1" applyAlignment="1">
      <alignment horizontal="center" vertical="center"/>
    </xf>
    <xf numFmtId="0" fontId="16" fillId="24" borderId="10" xfId="0" applyFont="1" applyFill="1" applyBorder="1" applyAlignment="1">
      <alignment vertical="center"/>
    </xf>
    <xf numFmtId="0" fontId="27" fillId="24" borderId="10" xfId="0" applyFont="1" applyFill="1" applyBorder="1"/>
    <xf numFmtId="0" fontId="16" fillId="24" borderId="10" xfId="0" applyFont="1" applyFill="1" applyBorder="1" applyAlignment="1">
      <alignment horizontal="center" vertical="center"/>
    </xf>
    <xf numFmtId="0" fontId="27" fillId="28" borderId="15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9" fillId="0" borderId="0" xfId="0" applyFont="1"/>
    <xf numFmtId="0" fontId="27" fillId="23" borderId="7" xfId="0" applyFont="1" applyFill="1" applyBorder="1"/>
    <xf numFmtId="0" fontId="30" fillId="17" borderId="10" xfId="0" applyFont="1" applyFill="1" applyBorder="1" applyAlignment="1">
      <alignment horizontal="center" vertical="center"/>
    </xf>
    <xf numFmtId="180" fontId="15" fillId="17" borderId="10" xfId="0" applyNumberFormat="1" applyFont="1" applyFill="1" applyBorder="1" applyAlignment="1">
      <alignment horizontal="center" vertical="center"/>
    </xf>
    <xf numFmtId="181" fontId="25" fillId="19" borderId="10" xfId="0" applyNumberFormat="1" applyFont="1" applyFill="1" applyBorder="1" applyAlignment="1">
      <alignment horizontal="center" vertical="center"/>
    </xf>
    <xf numFmtId="181" fontId="15" fillId="20" borderId="10" xfId="0" applyNumberFormat="1" applyFont="1" applyFill="1" applyBorder="1" applyAlignment="1">
      <alignment horizontal="center" vertical="center"/>
    </xf>
    <xf numFmtId="181" fontId="15" fillId="21" borderId="10" xfId="0" applyNumberFormat="1" applyFont="1" applyFill="1" applyBorder="1" applyAlignment="1">
      <alignment horizontal="center" vertical="center"/>
    </xf>
    <xf numFmtId="181" fontId="15" fillId="22" borderId="10" xfId="0" applyNumberFormat="1" applyFont="1" applyFill="1" applyBorder="1" applyAlignment="1">
      <alignment horizontal="center" vertical="center"/>
    </xf>
    <xf numFmtId="0" fontId="31" fillId="11" borderId="10" xfId="0" applyFont="1" applyFill="1" applyBorder="1" applyAlignment="1">
      <alignment horizontal="center" vertical="center"/>
    </xf>
    <xf numFmtId="180" fontId="15" fillId="11" borderId="10" xfId="0" applyNumberFormat="1" applyFont="1" applyFill="1" applyBorder="1" applyAlignment="1">
      <alignment horizontal="center" vertical="center"/>
    </xf>
    <xf numFmtId="181" fontId="25" fillId="23" borderId="10" xfId="0" applyNumberFormat="1" applyFont="1" applyFill="1" applyBorder="1" applyAlignment="1">
      <alignment horizontal="center" vertical="center"/>
    </xf>
    <xf numFmtId="181" fontId="25" fillId="30" borderId="10" xfId="0" applyNumberFormat="1" applyFont="1" applyFill="1" applyBorder="1" applyAlignment="1">
      <alignment horizontal="center" vertical="center"/>
    </xf>
    <xf numFmtId="181" fontId="15" fillId="30" borderId="10" xfId="0" applyNumberFormat="1" applyFont="1" applyFill="1" applyBorder="1" applyAlignment="1">
      <alignment horizontal="center" vertical="center"/>
    </xf>
    <xf numFmtId="0" fontId="33" fillId="0" borderId="0" xfId="1"/>
    <xf numFmtId="0" fontId="36" fillId="0" borderId="0" xfId="1" applyFont="1"/>
    <xf numFmtId="181" fontId="25" fillId="30" borderId="10" xfId="0" applyNumberFormat="1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32" fillId="22" borderId="10" xfId="0" applyFont="1" applyFill="1" applyBorder="1" applyAlignment="1">
      <alignment horizontal="left" vertical="top" wrapText="1"/>
    </xf>
    <xf numFmtId="0" fontId="25" fillId="23" borderId="10" xfId="0" applyFont="1" applyFill="1" applyBorder="1" applyAlignment="1">
      <alignment vertical="top" wrapText="1"/>
    </xf>
    <xf numFmtId="0" fontId="25" fillId="20" borderId="10" xfId="0" applyFont="1" applyFill="1" applyBorder="1" applyAlignment="1">
      <alignment vertical="top" wrapText="1"/>
    </xf>
    <xf numFmtId="0" fontId="25" fillId="21" borderId="10" xfId="0" applyFont="1" applyFill="1" applyBorder="1" applyAlignment="1">
      <alignment vertical="top" wrapText="1"/>
    </xf>
    <xf numFmtId="0" fontId="25" fillId="21" borderId="10" xfId="0" applyFont="1" applyFill="1" applyBorder="1" applyAlignment="1">
      <alignment horizontal="center" vertical="top" wrapText="1"/>
    </xf>
    <xf numFmtId="0" fontId="25" fillId="19" borderId="10" xfId="0" applyFont="1" applyFill="1" applyBorder="1" applyAlignment="1">
      <alignment vertical="top" wrapText="1"/>
    </xf>
    <xf numFmtId="0" fontId="16" fillId="10" borderId="10" xfId="0" applyFont="1" applyFill="1" applyBorder="1" applyAlignment="1">
      <alignment horizontal="center" vertical="center" wrapText="1"/>
    </xf>
    <xf numFmtId="0" fontId="25" fillId="6" borderId="10" xfId="0" applyFont="1" applyFill="1" applyBorder="1" applyAlignment="1">
      <alignment vertical="center" wrapText="1"/>
    </xf>
    <xf numFmtId="0" fontId="16" fillId="5" borderId="10" xfId="0" applyFont="1" applyFill="1" applyBorder="1" applyAlignment="1">
      <alignment horizontal="center" vertical="center" wrapText="1"/>
    </xf>
    <xf numFmtId="0" fontId="25" fillId="19" borderId="10" xfId="0" applyFont="1" applyFill="1" applyBorder="1" applyAlignment="1">
      <alignment horizontal="left" vertical="top" wrapText="1"/>
    </xf>
    <xf numFmtId="0" fontId="16" fillId="24" borderId="10" xfId="0" applyFont="1" applyFill="1" applyBorder="1" applyAlignment="1">
      <alignment horizontal="center" vertical="center" wrapText="1"/>
    </xf>
    <xf numFmtId="0" fontId="25" fillId="18" borderId="10" xfId="0" applyFont="1" applyFill="1" applyBorder="1" applyAlignment="1">
      <alignment vertical="center" wrapText="1"/>
    </xf>
    <xf numFmtId="0" fontId="16" fillId="26" borderId="10" xfId="0" applyFont="1" applyFill="1" applyBorder="1" applyAlignment="1">
      <alignment horizontal="center" vertical="center" wrapText="1"/>
    </xf>
    <xf numFmtId="0" fontId="16" fillId="24" borderId="8" xfId="0" applyFont="1" applyFill="1" applyBorder="1" applyAlignment="1">
      <alignment horizontal="center" vertical="center"/>
    </xf>
    <xf numFmtId="0" fontId="16" fillId="24" borderId="1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/>
    </xf>
    <xf numFmtId="0" fontId="17" fillId="25" borderId="7" xfId="0" applyFont="1" applyFill="1" applyBorder="1" applyAlignment="1">
      <alignment horizontal="center" vertical="center"/>
    </xf>
    <xf numFmtId="0" fontId="17" fillId="25" borderId="9" xfId="0" applyFont="1" applyFill="1" applyBorder="1" applyAlignment="1">
      <alignment horizontal="center" vertical="center"/>
    </xf>
    <xf numFmtId="0" fontId="16" fillId="24" borderId="13" xfId="0" applyFont="1" applyFill="1" applyBorder="1" applyAlignment="1">
      <alignment horizontal="center" vertical="center"/>
    </xf>
    <xf numFmtId="0" fontId="16" fillId="24" borderId="14" xfId="0" applyFont="1" applyFill="1" applyBorder="1" applyAlignment="1">
      <alignment horizontal="center" vertical="center"/>
    </xf>
    <xf numFmtId="180" fontId="28" fillId="12" borderId="10" xfId="0" applyNumberFormat="1" applyFont="1" applyFill="1" applyBorder="1" applyAlignment="1">
      <alignment horizontal="center" vertical="center"/>
    </xf>
    <xf numFmtId="180" fontId="26" fillId="13" borderId="10" xfId="0" applyNumberFormat="1" applyFont="1" applyFill="1" applyBorder="1" applyAlignment="1">
      <alignment horizontal="center" vertical="center"/>
    </xf>
    <xf numFmtId="180" fontId="25" fillId="13" borderId="10" xfId="0" applyNumberFormat="1" applyFont="1" applyFill="1" applyBorder="1" applyAlignment="1">
      <alignment horizontal="center" vertical="center"/>
    </xf>
    <xf numFmtId="180" fontId="25" fillId="6" borderId="10" xfId="0" applyNumberFormat="1" applyFont="1" applyFill="1" applyBorder="1" applyAlignment="1">
      <alignment horizontal="center" vertical="center"/>
    </xf>
    <xf numFmtId="180" fontId="25" fillId="11" borderId="10" xfId="0" applyNumberFormat="1" applyFont="1" applyFill="1" applyBorder="1" applyAlignment="1">
      <alignment horizontal="center" vertical="center"/>
    </xf>
    <xf numFmtId="0" fontId="26" fillId="13" borderId="10" xfId="0" applyFont="1" applyFill="1" applyBorder="1" applyAlignment="1">
      <alignment horizontal="center" vertical="center"/>
    </xf>
    <xf numFmtId="0" fontId="25" fillId="6" borderId="10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15" fillId="13" borderId="10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17" fillId="18" borderId="10" xfId="0" applyFont="1" applyFill="1" applyBorder="1" applyAlignment="1">
      <alignment horizontal="center" vertical="center"/>
    </xf>
    <xf numFmtId="0" fontId="26" fillId="18" borderId="10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24" fillId="0" borderId="0" xfId="0" applyFont="1"/>
    <xf numFmtId="0" fontId="27" fillId="16" borderId="10" xfId="0" applyFont="1" applyFill="1" applyBorder="1" applyAlignment="1">
      <alignment horizontal="center" vertical="center"/>
    </xf>
    <xf numFmtId="0" fontId="27" fillId="0" borderId="10" xfId="0" applyFont="1" applyBorder="1"/>
    <xf numFmtId="179" fontId="19" fillId="10" borderId="1" xfId="0" applyNumberFormat="1" applyFont="1" applyFill="1" applyBorder="1" applyAlignment="1">
      <alignment horizontal="center" vertical="center"/>
    </xf>
    <xf numFmtId="0" fontId="18" fillId="0" borderId="4" xfId="0" applyFont="1" applyBorder="1"/>
    <xf numFmtId="0" fontId="18" fillId="0" borderId="5" xfId="0" applyFont="1" applyBorder="1"/>
    <xf numFmtId="178" fontId="20" fillId="5" borderId="0" xfId="0" applyNumberFormat="1" applyFont="1" applyFill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179" fontId="19" fillId="5" borderId="1" xfId="0" applyNumberFormat="1" applyFont="1" applyFill="1" applyBorder="1" applyAlignment="1">
      <alignment horizontal="center" vertical="center"/>
    </xf>
    <xf numFmtId="179" fontId="19" fillId="7" borderId="1" xfId="0" applyNumberFormat="1" applyFont="1" applyFill="1" applyBorder="1" applyAlignment="1">
      <alignment horizontal="center" vertical="center"/>
    </xf>
    <xf numFmtId="0" fontId="16" fillId="14" borderId="10" xfId="0" applyFont="1" applyFill="1" applyBorder="1" applyAlignment="1">
      <alignment horizontal="center" vertical="center" wrapText="1"/>
    </xf>
    <xf numFmtId="0" fontId="16" fillId="15" borderId="10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F6000"/>
      <rgbColor rgb="FF800080"/>
      <rgbColor rgb="FF1F6B75"/>
      <rgbColor rgb="FFB8B8B8"/>
      <rgbColor rgb="FF767676"/>
      <rgbColor rgb="FF9999FF"/>
      <rgbColor rgb="FF993366"/>
      <rgbColor rgb="FFFFF2CC"/>
      <rgbColor rgb="FFD9EEF0"/>
      <rgbColor rgb="FF660066"/>
      <rgbColor rgb="FFFF8080"/>
      <rgbColor rgb="FF0066CC"/>
      <rgbColor rgb="FFD0D0D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4FB"/>
      <rgbColor rgb="FFE2EFDA"/>
      <rgbColor rgb="FFFFFF99"/>
      <rgbColor rgb="FFF2F2F2"/>
      <rgbColor rgb="FFFCE4D6"/>
      <rgbColor rgb="FFCC99FF"/>
      <rgbColor rgb="FFFFD966"/>
      <rgbColor rgb="FF2E75B6"/>
      <rgbColor rgb="FF33CCCC"/>
      <rgbColor rgb="FFCCCC00"/>
      <rgbColor rgb="FFFFCC00"/>
      <rgbColor rgb="FFCCAA00"/>
      <rgbColor rgb="FFED7D31"/>
      <rgbColor rgb="FF666699"/>
      <rgbColor rgb="FF9E9E9E"/>
      <rgbColor rgb="FF1F3864"/>
      <rgbColor rgb="FF70AD47"/>
      <rgbColor rgb="FF003300"/>
      <rgbColor rgb="FF375623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57978</xdr:colOff>
      <xdr:row>4</xdr:row>
      <xdr:rowOff>49696</xdr:rowOff>
    </xdr:from>
    <xdr:to>
      <xdr:col>12</xdr:col>
      <xdr:colOff>66260</xdr:colOff>
      <xdr:row>4</xdr:row>
      <xdr:rowOff>190500</xdr:rowOff>
    </xdr:to>
    <xdr:sp macro="[0]!ClearData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8056B75-67E4-8A96-E98F-2DE0F1D6762A}"/>
            </a:ext>
          </a:extLst>
        </xdr:cNvPr>
        <xdr:cNvSpPr txBox="1"/>
      </xdr:nvSpPr>
      <xdr:spPr>
        <a:xfrm>
          <a:off x="4257261" y="993913"/>
          <a:ext cx="389282" cy="1408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クリア</a:t>
          </a:r>
        </a:p>
      </xdr:txBody>
    </xdr:sp>
    <xdr:clientData/>
  </xdr:twoCellAnchor>
  <xdr:twoCellAnchor>
    <xdr:from>
      <xdr:col>11</xdr:col>
      <xdr:colOff>107674</xdr:colOff>
      <xdr:row>7</xdr:row>
      <xdr:rowOff>33130</xdr:rowOff>
    </xdr:from>
    <xdr:to>
      <xdr:col>12</xdr:col>
      <xdr:colOff>115956</xdr:colOff>
      <xdr:row>7</xdr:row>
      <xdr:rowOff>173934</xdr:rowOff>
    </xdr:to>
    <xdr:sp macro="[0]!扶養検索データ取込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3F207D6-EEED-41A5-A4B4-8D6501C1497A}"/>
            </a:ext>
          </a:extLst>
        </xdr:cNvPr>
        <xdr:cNvSpPr txBox="1"/>
      </xdr:nvSpPr>
      <xdr:spPr>
        <a:xfrm>
          <a:off x="4306957" y="1673087"/>
          <a:ext cx="389282" cy="1408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読込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O143"/>
  <sheetViews>
    <sheetView showGridLines="0" tabSelected="1" zoomScale="115" zoomScaleNormal="115" workbookViewId="0">
      <selection activeCell="R17" sqref="R17"/>
    </sheetView>
  </sheetViews>
  <sheetFormatPr defaultColWidth="5.7109375" defaultRowHeight="14.25"/>
  <cols>
    <col min="1" max="1" width="1.28515625" style="20" customWidth="1"/>
    <col min="2" max="2" width="5.7109375" style="20"/>
    <col min="3" max="5" width="6.7109375" style="20" bestFit="1" customWidth="1"/>
    <col min="6" max="6" width="6.28515625" style="20" bestFit="1" customWidth="1"/>
    <col min="7" max="7" width="5.85546875" style="20" bestFit="1" customWidth="1"/>
    <col min="8" max="9" width="6" style="20" bestFit="1" customWidth="1"/>
    <col min="10" max="10" width="5.85546875" style="20" bestFit="1" customWidth="1"/>
    <col min="11" max="11" width="6" style="20" bestFit="1" customWidth="1"/>
    <col min="12" max="12" width="5.7109375" style="20"/>
    <col min="13" max="13" width="5.85546875" style="20" bestFit="1" customWidth="1"/>
    <col min="14" max="14" width="5.7109375" style="20"/>
    <col min="15" max="15" width="5.85546875" style="20" bestFit="1" customWidth="1"/>
    <col min="16" max="16" width="5.7109375" style="20"/>
    <col min="17" max="18" width="5.85546875" style="20" bestFit="1" customWidth="1"/>
    <col min="19" max="19" width="5.7109375" style="20"/>
    <col min="20" max="20" width="5.85546875" style="20" bestFit="1" customWidth="1"/>
    <col min="21" max="21" width="5.7109375" style="20"/>
    <col min="22" max="22" width="5.85546875" style="20" bestFit="1" customWidth="1"/>
    <col min="23" max="23" width="5.7109375" style="20"/>
    <col min="24" max="24" width="5.85546875" style="20" bestFit="1" customWidth="1"/>
    <col min="25" max="25" width="5.7109375" style="20"/>
    <col min="26" max="26" width="5.85546875" style="20" bestFit="1" customWidth="1"/>
    <col min="27" max="27" width="5.7109375" style="20"/>
    <col min="28" max="29" width="5.85546875" style="20" bestFit="1" customWidth="1"/>
    <col min="30" max="30" width="5.7109375" style="20"/>
    <col min="31" max="31" width="5.85546875" style="20" bestFit="1" customWidth="1"/>
    <col min="32" max="32" width="5.7109375" style="20"/>
    <col min="33" max="33" width="5.85546875" style="20" bestFit="1" customWidth="1"/>
    <col min="34" max="34" width="5.7109375" style="20"/>
    <col min="35" max="35" width="5.85546875" style="20" bestFit="1" customWidth="1"/>
    <col min="36" max="36" width="5.7109375" style="20"/>
    <col min="37" max="37" width="5.85546875" style="20" bestFit="1" customWidth="1"/>
    <col min="38" max="38" width="5.7109375" style="20"/>
    <col min="39" max="40" width="5.85546875" style="20" bestFit="1" customWidth="1"/>
    <col min="41" max="41" width="5.7109375" style="20"/>
    <col min="42" max="42" width="5.85546875" style="20" bestFit="1" customWidth="1"/>
    <col min="43" max="43" width="5.7109375" style="20"/>
    <col min="44" max="44" width="5.85546875" style="20" bestFit="1" customWidth="1"/>
    <col min="45" max="45" width="5.7109375" style="20"/>
    <col min="46" max="46" width="5.85546875" style="20" bestFit="1" customWidth="1"/>
    <col min="47" max="47" width="5.7109375" style="20"/>
    <col min="48" max="48" width="5.85546875" style="20" bestFit="1" customWidth="1"/>
    <col min="49" max="49" width="5.7109375" style="20"/>
    <col min="50" max="51" width="5.85546875" style="20" bestFit="1" customWidth="1"/>
    <col min="52" max="52" width="5.7109375" style="20"/>
    <col min="53" max="53" width="5.85546875" style="20" bestFit="1" customWidth="1"/>
    <col min="54" max="54" width="5.7109375" style="20"/>
    <col min="55" max="55" width="5.85546875" style="20" bestFit="1" customWidth="1"/>
    <col min="56" max="56" width="5.7109375" style="20"/>
    <col min="57" max="57" width="5.85546875" style="20" bestFit="1" customWidth="1"/>
    <col min="58" max="58" width="5.7109375" style="20"/>
    <col min="59" max="59" width="5.85546875" style="20" bestFit="1" customWidth="1"/>
    <col min="60" max="16384" width="5.7109375" style="20"/>
  </cols>
  <sheetData>
    <row r="1" spans="1:18" s="16" customFormat="1" ht="6" customHeight="1"/>
    <row r="2" spans="1:18" s="16" customFormat="1" ht="36" customHeight="1">
      <c r="A2" s="17"/>
      <c r="B2" s="89" t="s">
        <v>96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6">
        <f ca="1">TODAY()</f>
        <v>46297</v>
      </c>
      <c r="O2" s="96"/>
      <c r="P2" s="96"/>
      <c r="Q2" s="96"/>
      <c r="R2" s="96"/>
    </row>
    <row r="3" spans="1:18" s="16" customFormat="1" ht="7.5" customHeight="1"/>
    <row r="4" spans="1:18" s="16" customFormat="1" ht="24.95" customHeight="1">
      <c r="B4" s="18" t="s">
        <v>97</v>
      </c>
    </row>
    <row r="5" spans="1:18" s="16" customFormat="1" ht="18" customHeight="1">
      <c r="B5" s="87" t="s">
        <v>98</v>
      </c>
      <c r="C5" s="87"/>
      <c r="D5" s="67" t="s">
        <v>99</v>
      </c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</row>
    <row r="6" spans="1:18" s="16" customFormat="1" ht="18" customHeight="1">
      <c r="B6" s="87" t="s">
        <v>100</v>
      </c>
      <c r="C6" s="87"/>
      <c r="D6" s="67" t="s">
        <v>101</v>
      </c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</row>
    <row r="7" spans="1:18" s="16" customFormat="1" ht="18" customHeight="1">
      <c r="B7" s="87" t="s">
        <v>102</v>
      </c>
      <c r="C7" s="87"/>
      <c r="D7" s="67" t="s">
        <v>103</v>
      </c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</row>
    <row r="8" spans="1:18" s="16" customFormat="1" ht="18" customHeight="1">
      <c r="B8" s="87" t="s">
        <v>104</v>
      </c>
      <c r="C8" s="87"/>
      <c r="D8" s="67" t="s">
        <v>105</v>
      </c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</row>
    <row r="9" spans="1:18" s="16" customFormat="1" ht="18" customHeight="1">
      <c r="B9" s="87" t="s">
        <v>106</v>
      </c>
      <c r="C9" s="87"/>
      <c r="D9" s="67" t="s">
        <v>107</v>
      </c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</row>
    <row r="10" spans="1:18" s="16" customFormat="1" ht="18" customHeight="1">
      <c r="B10" s="88" t="s">
        <v>108</v>
      </c>
      <c r="C10" s="88"/>
      <c r="D10" s="67" t="s">
        <v>109</v>
      </c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</row>
    <row r="11" spans="1:18" s="16" customFormat="1" ht="24.95" customHeight="1">
      <c r="B11" s="18" t="s">
        <v>110</v>
      </c>
    </row>
    <row r="12" spans="1:18" s="16" customFormat="1" ht="24.95" customHeight="1">
      <c r="B12" s="97" t="s">
        <v>111</v>
      </c>
      <c r="C12" s="94"/>
      <c r="D12" s="94"/>
      <c r="E12" s="95"/>
      <c r="F12" s="97" t="s">
        <v>112</v>
      </c>
      <c r="G12" s="94"/>
      <c r="H12" s="94"/>
      <c r="I12" s="95"/>
      <c r="J12" s="97" t="s">
        <v>113</v>
      </c>
      <c r="K12" s="94"/>
      <c r="L12" s="94"/>
      <c r="M12" s="95"/>
    </row>
    <row r="13" spans="1:18" s="16" customFormat="1" ht="24.95" customHeight="1">
      <c r="B13" s="98">
        <f>SUMPRODUCT((元データ!$AL$2:$AL$2001=1)*(元データ!$AN$2:$AN$2001=1))</f>
        <v>176</v>
      </c>
      <c r="C13" s="94"/>
      <c r="D13" s="94"/>
      <c r="E13" s="95"/>
      <c r="F13" s="93">
        <f>SUMPRODUCT((元データ!$AL$2:$AL$2001=1)*(元データ!$AN$2:$AN$2001=1))-SUMPRODUCT((元データ!$AL$2:$AL$2001=1)*(元データ!$AN$2:$AN$2001=1)*(元データ!$E$2:$E$2001="40 差戻し"))</f>
        <v>128</v>
      </c>
      <c r="G13" s="94"/>
      <c r="H13" s="94"/>
      <c r="I13" s="95"/>
      <c r="J13" s="99">
        <f>SUMPRODUCT((元データ!$AL$2:$AL$2001=1)*(元データ!$AN$2:$AN$2001=1)*(元データ!$E$2:$E$2001="40 差戻し"))</f>
        <v>48</v>
      </c>
      <c r="K13" s="94"/>
      <c r="L13" s="94"/>
      <c r="M13" s="95"/>
    </row>
    <row r="14" spans="1:18" s="16" customFormat="1" ht="24.95" customHeight="1">
      <c r="B14" s="18" t="s">
        <v>114</v>
      </c>
    </row>
    <row r="15" spans="1:18" s="16" customFormat="1" ht="24.95" customHeight="1">
      <c r="B15" s="62" t="s">
        <v>115</v>
      </c>
      <c r="C15" s="62"/>
      <c r="D15" s="62" t="s">
        <v>116</v>
      </c>
      <c r="E15" s="62"/>
      <c r="F15" s="62" t="s">
        <v>231</v>
      </c>
      <c r="G15" s="62"/>
      <c r="H15" s="62" t="s">
        <v>232</v>
      </c>
      <c r="I15" s="62"/>
      <c r="J15" s="62" t="s">
        <v>233</v>
      </c>
      <c r="K15" s="62"/>
      <c r="L15" s="62" t="s">
        <v>234</v>
      </c>
      <c r="M15" s="62"/>
      <c r="N15" s="62" t="s">
        <v>235</v>
      </c>
      <c r="O15" s="62"/>
    </row>
    <row r="16" spans="1:18" s="16" customFormat="1" ht="24.95" customHeight="1">
      <c r="B16" s="83" t="s">
        <v>122</v>
      </c>
      <c r="C16" s="83"/>
      <c r="D16" s="85">
        <f>SUMPRODUCT((元データ!$AL$2:$AL$2001=1)*(元データ!$AN$2:$AN$2001=1)*(元データ!$E$2:$E$2001="20 確認待ち"))</f>
        <v>26</v>
      </c>
      <c r="E16" s="85"/>
      <c r="F16" s="80">
        <f ca="1">SUMPRODUCT((元データ!$AL$2:$AL$2001=1)*(元データ!$AN$2:$AN$2001=1)*(元データ!$E$2:$E$2001="20 確認待ち")*(元データ!$AM$2:$AM$2001&lt;=7))</f>
        <v>0</v>
      </c>
      <c r="G16" s="80"/>
      <c r="H16" s="80">
        <f ca="1">SUMPRODUCT((元データ!$AL$2:$AL$2001=1)*(元データ!$AN$2:$AN$2001=1)*(元データ!$E$2:$E$2001="20 確認待ち")*(元データ!$AM$2:$AM$2001&gt;=8)*(元データ!$AM$2:$AM$2001&lt;=14))</f>
        <v>1</v>
      </c>
      <c r="I16" s="80"/>
      <c r="J16" s="76">
        <f ca="1">SUMPRODUCT((元データ!$AL$2:$AL$2001=1)*(元データ!$AN$2:$AN$2001=1)*(元データ!$E$2:$E$2001="20 確認待ち")*(元データ!$AM$2:$AM$2001&gt;=15)*(元データ!$AM$2:$AM$2001&lt;=21))</f>
        <v>1</v>
      </c>
      <c r="K16" s="76"/>
      <c r="L16" s="76">
        <f ca="1">SUMPRODUCT((元データ!$AL$2:$AL$2001=1)*(元データ!$AN$2:$AN$2001=1)*(元データ!$E$2:$E$2001="20 確認待ち")*(元データ!$AM$2:$AM$2001&gt;=22)*(元データ!$AM$2:$AM$2001&lt;=30))</f>
        <v>4</v>
      </c>
      <c r="M16" s="76"/>
      <c r="N16" s="77">
        <f ca="1">SUMPRODUCT((元データ!$AL$2:$AL$2001=1)*(元データ!$AN$2:$AN$2001=1)*(元データ!$E$2:$E$2001="20 確認待ち")*(元データ!$AM$2:$AM$2001&gt;=31))</f>
        <v>20</v>
      </c>
      <c r="O16" s="77"/>
    </row>
    <row r="17" spans="1:18" s="16" customFormat="1" ht="24.95" customHeight="1">
      <c r="B17" s="82" t="s">
        <v>123</v>
      </c>
      <c r="C17" s="82"/>
      <c r="D17" s="86">
        <f>SUMPRODUCT((元データ!$AL$2:$AL$2001=1)*(元データ!$AN$2:$AN$2001=1)*(元データ!$E$2:$E$2001="30 申請受付"))</f>
        <v>8</v>
      </c>
      <c r="E17" s="86"/>
      <c r="F17" s="79">
        <f ca="1">SUMPRODUCT((元データ!$AL$2:$AL$2001=1)*(元データ!$AN$2:$AN$2001=1)*(元データ!$E$2:$E$2001="30 申請受付")*(元データ!$AM$2:$AM$2001&lt;=7))</f>
        <v>0</v>
      </c>
      <c r="G17" s="79"/>
      <c r="H17" s="79">
        <f ca="1">SUMPRODUCT((元データ!$AL$2:$AL$2001=1)*(元データ!$AN$2:$AN$2001=1)*(元データ!$E$2:$E$2001="30 申請受付")*(元データ!$AM$2:$AM$2001&gt;=8)*(元データ!$AM$2:$AM$2001&lt;=14))</f>
        <v>0</v>
      </c>
      <c r="I17" s="79"/>
      <c r="J17" s="76">
        <f ca="1">SUMPRODUCT((元データ!$AL$2:$AL$2001=1)*(元データ!$AN$2:$AN$2001=1)*(元データ!$E$2:$E$2001="30 申請受付")*(元データ!$AM$2:$AM$2001&gt;=15)*(元データ!$AM$2:$AM$2001&lt;=21))</f>
        <v>0</v>
      </c>
      <c r="K17" s="76"/>
      <c r="L17" s="76">
        <f ca="1">SUMPRODUCT((元データ!$AL$2:$AL$2001=1)*(元データ!$AN$2:$AN$2001=1)*(元データ!$E$2:$E$2001="30 申請受付")*(元データ!$AM$2:$AM$2001&gt;=22)*(元データ!$AM$2:$AM$2001&lt;=30))</f>
        <v>2</v>
      </c>
      <c r="M17" s="76"/>
      <c r="N17" s="77">
        <f ca="1">SUMPRODUCT((元データ!$AL$2:$AL$2001=1)*(元データ!$AN$2:$AN$2001=1)*(元データ!$E$2:$E$2001="30 申請受付")*(元データ!$AM$2:$AM$2001&gt;=31))</f>
        <v>6</v>
      </c>
      <c r="O17" s="77"/>
    </row>
    <row r="18" spans="1:18" s="16" customFormat="1" ht="24.95" customHeight="1">
      <c r="B18" s="83" t="s">
        <v>124</v>
      </c>
      <c r="C18" s="83"/>
      <c r="D18" s="85">
        <f>SUMPRODUCT((元データ!$AL$2:$AL$2001=1)*(元データ!$AN$2:$AN$2001=1)*(元データ!$E$2:$E$2001="31 ＯＰ確認中"))</f>
        <v>47</v>
      </c>
      <c r="E18" s="85"/>
      <c r="F18" s="80">
        <f ca="1">SUMPRODUCT((元データ!$AL$2:$AL$2001=1)*(元データ!$AN$2:$AN$2001=1)*(元データ!$E$2:$E$2001="31 ＯＰ確認中")*(元データ!$AM$2:$AM$2001&lt;=7))</f>
        <v>0</v>
      </c>
      <c r="G18" s="80"/>
      <c r="H18" s="80">
        <f ca="1">SUMPRODUCT((元データ!$AL$2:$AL$2001=1)*(元データ!$AN$2:$AN$2001=1)*(元データ!$E$2:$E$2001="31 ＯＰ確認中")*(元データ!$AM$2:$AM$2001&gt;=8)*(元データ!$AM$2:$AM$2001&lt;=14))</f>
        <v>0</v>
      </c>
      <c r="I18" s="80"/>
      <c r="J18" s="76">
        <f ca="1">SUMPRODUCT((元データ!$AL$2:$AL$2001=1)*(元データ!$AN$2:$AN$2001=1)*(元データ!$E$2:$E$2001="31 ＯＰ確認中")*(元データ!$AM$2:$AM$2001&gt;=15)*(元データ!$AM$2:$AM$2001&lt;=21))</f>
        <v>3</v>
      </c>
      <c r="K18" s="76"/>
      <c r="L18" s="76">
        <f ca="1">SUMPRODUCT((元データ!$AL$2:$AL$2001=1)*(元データ!$AN$2:$AN$2001=1)*(元データ!$E$2:$E$2001="31 ＯＰ確認中")*(元データ!$AM$2:$AM$2001&gt;=22)*(元データ!$AM$2:$AM$2001&lt;=30))</f>
        <v>5</v>
      </c>
      <c r="M18" s="76"/>
      <c r="N18" s="77">
        <f ca="1">SUMPRODUCT((元データ!$AL$2:$AL$2001=1)*(元データ!$AN$2:$AN$2001=1)*(元データ!$E$2:$E$2001="31 ＯＰ確認中")*(元データ!$AM$2:$AM$2001&gt;=31))</f>
        <v>39</v>
      </c>
      <c r="O18" s="77"/>
    </row>
    <row r="19" spans="1:18" s="16" customFormat="1" ht="24.95" customHeight="1">
      <c r="B19" s="82" t="s">
        <v>125</v>
      </c>
      <c r="C19" s="82"/>
      <c r="D19" s="86">
        <f>SUMPRODUCT((元データ!$AL$2:$AL$2001=1)*(元データ!$AN$2:$AN$2001=1)*(元データ!$E$2:$E$2001="32 ＳＶ確認中"))</f>
        <v>36</v>
      </c>
      <c r="E19" s="86"/>
      <c r="F19" s="79">
        <f ca="1">SUMPRODUCT((元データ!$AL$2:$AL$2001=1)*(元データ!$AN$2:$AN$2001=1)*(元データ!$E$2:$E$2001="32 ＳＶ確認中")*(元データ!$AM$2:$AM$2001&lt;=7))</f>
        <v>0</v>
      </c>
      <c r="G19" s="79"/>
      <c r="H19" s="79">
        <f ca="1">SUMPRODUCT((元データ!$AL$2:$AL$2001=1)*(元データ!$AN$2:$AN$2001=1)*(元データ!$E$2:$E$2001="32 ＳＶ確認中")*(元データ!$AM$2:$AM$2001&gt;=8)*(元データ!$AM$2:$AM$2001&lt;=14))</f>
        <v>0</v>
      </c>
      <c r="I19" s="79"/>
      <c r="J19" s="76">
        <f ca="1">SUMPRODUCT((元データ!$AL$2:$AL$2001=1)*(元データ!$AN$2:$AN$2001=1)*(元データ!$E$2:$E$2001="32 ＳＶ確認中")*(元データ!$AM$2:$AM$2001&gt;=15)*(元データ!$AM$2:$AM$2001&lt;=21))</f>
        <v>2</v>
      </c>
      <c r="K19" s="76"/>
      <c r="L19" s="76">
        <f ca="1">SUMPRODUCT((元データ!$AL$2:$AL$2001=1)*(元データ!$AN$2:$AN$2001=1)*(元データ!$E$2:$E$2001="32 ＳＶ確認中")*(元データ!$AM$2:$AM$2001&gt;=22)*(元データ!$AM$2:$AM$2001&lt;=30))</f>
        <v>11</v>
      </c>
      <c r="M19" s="76"/>
      <c r="N19" s="77">
        <f ca="1">SUMPRODUCT((元データ!$AL$2:$AL$2001=1)*(元データ!$AN$2:$AN$2001=1)*(元データ!$E$2:$E$2001="32 ＳＶ確認中")*(元データ!$AM$2:$AM$2001&gt;=31))</f>
        <v>23</v>
      </c>
      <c r="O19" s="77"/>
    </row>
    <row r="20" spans="1:18" s="16" customFormat="1" ht="24.95" customHeight="1">
      <c r="B20" s="81" t="s">
        <v>126</v>
      </c>
      <c r="C20" s="81"/>
      <c r="D20" s="84">
        <f>SUMPRODUCT((元データ!$AL$2:$AL$2001=1)*(元データ!$AN$2:$AN$2001=1)*(元データ!$E$2:$E$2001="40 差戻し"))</f>
        <v>48</v>
      </c>
      <c r="E20" s="84"/>
      <c r="F20" s="78">
        <f ca="1">SUMPRODUCT((元データ!$AL$2:$AL$2001=1)*(元データ!$AN$2:$AN$2001=1)*(元データ!$E$2:$E$2001="40 差戻し")*(元データ!$AM$2:$AM$2001&lt;=7))</f>
        <v>0</v>
      </c>
      <c r="G20" s="78"/>
      <c r="H20" s="78">
        <f ca="1">SUMPRODUCT((元データ!$AL$2:$AL$2001=1)*(元データ!$AN$2:$AN$2001=1)*(元データ!$E$2:$E$2001="40 差戻し")*(元データ!$AM$2:$AM$2001&gt;=8)*(元データ!$AM$2:$AM$2001&lt;=14))</f>
        <v>0</v>
      </c>
      <c r="I20" s="78"/>
      <c r="J20" s="76">
        <f ca="1">SUMPRODUCT((元データ!$AL$2:$AL$2001=1)*(元データ!$AN$2:$AN$2001=1)*(元データ!$E$2:$E$2001="40 差戻し")*(元データ!$AM$2:$AM$2001&gt;=15)*(元データ!$AM$2:$AM$2001&lt;=21))</f>
        <v>0</v>
      </c>
      <c r="K20" s="76"/>
      <c r="L20" s="76">
        <f ca="1">SUMPRODUCT((元データ!$AL$2:$AL$2001=1)*(元データ!$AN$2:$AN$2001=1)*(元データ!$E$2:$E$2001="40 差戻し")*(元データ!$AM$2:$AM$2001&gt;=22)*(元データ!$AM$2:$AM$2001&lt;=30))</f>
        <v>3</v>
      </c>
      <c r="M20" s="76"/>
      <c r="N20" s="77">
        <f ca="1">SUMPRODUCT((元データ!$AL$2:$AL$2001=1)*(元データ!$AN$2:$AN$2001=1)*(元データ!$E$2:$E$2001="40 差戻し")*(元データ!$AM$2:$AM$2001&gt;=31))</f>
        <v>45</v>
      </c>
      <c r="O20" s="77"/>
    </row>
    <row r="21" spans="1:18" s="16" customFormat="1" ht="24.95" customHeight="1">
      <c r="B21" s="55" t="s">
        <v>127</v>
      </c>
      <c r="C21" s="55"/>
      <c r="D21" s="55">
        <f>SUMPRODUCT((元データ!$AL$2:$AL$2001=1)*(元データ!$AN$2:$AN$2001=1))</f>
        <v>176</v>
      </c>
      <c r="E21" s="55"/>
      <c r="F21" s="55">
        <f ca="1">SUMPRODUCT((元データ!$AL$2:$AL$2001=1)*(元データ!$AN$2:$AN$2001=1)*(元データ!$AM$2:$AM$2001&lt;=7))</f>
        <v>0</v>
      </c>
      <c r="G21" s="55"/>
      <c r="H21" s="55">
        <f ca="1">SUMPRODUCT((元データ!$AL$2:$AL$2001=1)*(元データ!$AN$2:$AN$2001=1)*(元データ!$AM$2:$AM$2001&gt;=8)*(元データ!$AM$2:$AM$2001&lt;=14))</f>
        <v>1</v>
      </c>
      <c r="I21" s="55"/>
      <c r="J21" s="55">
        <f ca="1">SUMPRODUCT((元データ!$AL$2:$AL$2001=1)*(元データ!$AN$2:$AN$2001=1)*(元データ!$AM$2:$AM$2001&gt;=15)*(元データ!$AM$2:$AM$2001&lt;=21))</f>
        <v>6</v>
      </c>
      <c r="K21" s="55"/>
      <c r="L21" s="55">
        <f ca="1">SUMPRODUCT((元データ!$AL$2:$AL$2001=1)*(元データ!$AN$2:$AN$2001=1)*(元データ!$AM$2:$AM$2001&gt;=22)*(元データ!$AM$2:$AM$2001&lt;=30))</f>
        <v>28</v>
      </c>
      <c r="M21" s="55"/>
      <c r="N21" s="55">
        <f ca="1">SUMPRODUCT((元データ!$AL$2:$AL$2001=1)*(元データ!$AN$2:$AN$2001=1)*(元データ!$AM$2:$AM$2001&gt;=31))</f>
        <v>141</v>
      </c>
      <c r="O21" s="55"/>
    </row>
    <row r="22" spans="1:18" s="16" customFormat="1" ht="24.95" customHeight="1">
      <c r="B22" s="18" t="s">
        <v>135</v>
      </c>
    </row>
    <row r="23" spans="1:18" s="16" customFormat="1" ht="24.95" customHeight="1">
      <c r="A23" s="19"/>
      <c r="B23" s="69" t="s">
        <v>136</v>
      </c>
      <c r="C23" s="70"/>
      <c r="D23" s="71" t="s">
        <v>122</v>
      </c>
      <c r="E23" s="72"/>
      <c r="F23" s="73"/>
      <c r="G23" s="74" t="s">
        <v>137</v>
      </c>
      <c r="H23" s="75"/>
      <c r="I23" s="71" t="s">
        <v>236</v>
      </c>
      <c r="J23" s="72"/>
      <c r="K23" s="22"/>
      <c r="O23" s="52" t="s">
        <v>245</v>
      </c>
      <c r="R23" s="53" t="s">
        <v>247</v>
      </c>
    </row>
    <row r="24" spans="1:18" s="16" customFormat="1" ht="6" customHeight="1">
      <c r="A24" s="23"/>
      <c r="B24" s="24"/>
      <c r="C24" s="25"/>
      <c r="D24" s="26"/>
      <c r="E24" s="26"/>
      <c r="F24" s="26"/>
      <c r="G24" s="24"/>
      <c r="H24" s="25"/>
      <c r="I24" s="26"/>
      <c r="J24" s="26"/>
      <c r="K24" s="27"/>
      <c r="L24" s="23"/>
      <c r="M24" s="23"/>
    </row>
    <row r="25" spans="1:18" s="16" customFormat="1" ht="24.95" customHeight="1">
      <c r="A25" s="19"/>
      <c r="B25" s="68" t="s">
        <v>129</v>
      </c>
      <c r="C25" s="68"/>
      <c r="D25" s="66" t="s">
        <v>130</v>
      </c>
      <c r="E25" s="66"/>
      <c r="F25" s="66"/>
      <c r="G25" s="29" t="s">
        <v>131</v>
      </c>
      <c r="H25" s="28" t="s">
        <v>132</v>
      </c>
      <c r="I25" s="66" t="s">
        <v>138</v>
      </c>
      <c r="J25" s="66"/>
      <c r="K25" s="66"/>
      <c r="L25" s="66"/>
      <c r="M25" s="66"/>
    </row>
    <row r="26" spans="1:18" s="16" customFormat="1" ht="28.5" customHeight="1">
      <c r="A26" s="19"/>
      <c r="B26" s="37"/>
      <c r="C26" s="38"/>
      <c r="D26" s="67" t="s">
        <v>54</v>
      </c>
      <c r="E26" s="67"/>
      <c r="F26" s="67"/>
      <c r="G26" s="30" t="s">
        <v>133</v>
      </c>
      <c r="H26" s="31" cm="1">
        <f t="array" aca="1" ref="H26" ca="1">SUMPRODUCT((元データ!$AL$2:$AL$2001=1)*(元データ!$AN$2:$AN$2001=1)*(元データ!$AE$2:$AE$2001=$D$26)*(元データ!$AO$2:$AO$2001=1)*IF($D$23="全件",1,(元データ!$E$2:$E$2001=IF($D$23="確認待ち","20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26" s="65" t="str" cm="1">
        <f t="array" aca="1" ref="I26" ca="1">IFERROR(_xlfn.TEXTJOIN(CHAR(10),TRUE,IF((元データ!$AL$2:$AL$2001=1)*(元データ!$AN$2:$AN$2001=1)*(元データ!$AE$2:$AE$2001=$D$26)*(元データ!$AO$2:$AO$2001=1)*IF($D$23="全件",1,(元データ!$E$2:$E$2001=IF($D$23="確認待ち","20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26" s="65"/>
      <c r="K26" s="65"/>
      <c r="L26" s="65"/>
      <c r="M26" s="65"/>
    </row>
    <row r="27" spans="1:18" s="16" customFormat="1" ht="93.75" customHeight="1">
      <c r="A27" s="19"/>
      <c r="B27" s="37"/>
      <c r="C27" s="38"/>
      <c r="D27" s="67"/>
      <c r="E27" s="67"/>
      <c r="F27" s="67"/>
      <c r="G27" s="32" t="s">
        <v>134</v>
      </c>
      <c r="H27" s="33" cm="1">
        <f t="array" aca="1" ref="H27" ca="1">SUMPRODUCT((元データ!$AL$2:$AL$2001=1)*(元データ!$AN$2:$AN$2001=1)*(元データ!$AE$2:$AE$2001=$D$26)*(元データ!$AO$2:$AO$2001=0)*IF($D$23="全件",1,(元データ!$E$2:$E$2001=IF($D$23="確認待ち","20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27" s="57" t="str" cm="1">
        <f t="array" aca="1" ref="I27" ca="1">IFERROR(_xlfn.TEXTJOIN(CHAR(10),TRUE,IF((元データ!$AL$2:$AL$2001=1)*(元データ!$AN$2:$AN$2001=1)*(元データ!$AE$2:$AE$2001=$D$26)*(元データ!$AO$2:$AO$2001=0)*IF($D$23="全件",1,(元データ!$E$2:$E$2001=IF($D$23="確認待ち","20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27" s="57"/>
      <c r="K27" s="57"/>
      <c r="L27" s="57"/>
      <c r="M27" s="57"/>
    </row>
    <row r="28" spans="1:18" s="16" customFormat="1" ht="24.95" customHeight="1">
      <c r="A28" s="19"/>
      <c r="B28" s="37"/>
      <c r="C28" s="38"/>
      <c r="D28" s="67" t="s">
        <v>52</v>
      </c>
      <c r="E28" s="67"/>
      <c r="F28" s="67"/>
      <c r="G28" s="30" t="s">
        <v>133</v>
      </c>
      <c r="H28" s="31" cm="1">
        <f t="array" aca="1" ref="H28" ca="1">SUMPRODUCT((元データ!$AL$2:$AL$2001=1)*(元データ!$AN$2:$AN$2001=1)*(元データ!$AE$2:$AE$2001=$D$28)*(元データ!$AO$2:$AO$2001=1)*IF($D$23="全件",1,(元データ!$E$2:$E$2001=IF($D$23="確認待ち","20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28" s="65" t="str" cm="1">
        <f t="array" aca="1" ref="I28" ca="1">IFERROR(_xlfn.TEXTJOIN(CHAR(10),TRUE,IF((元データ!$AL$2:$AL$2001=1)*(元データ!$AN$2:$AN$2001=1)*(元データ!$AE$2:$AE$2001=$D$28)*(元データ!$AO$2:$AO$2001=1)*IF($D$23="全件",1,(元データ!$E$2:$E$2001=IF($D$23="確認待ち","20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28" s="65"/>
      <c r="K28" s="65"/>
      <c r="L28" s="65"/>
      <c r="M28" s="65"/>
    </row>
    <row r="29" spans="1:18" s="16" customFormat="1" ht="24.95" customHeight="1">
      <c r="A29" s="19"/>
      <c r="B29" s="37"/>
      <c r="C29" s="38"/>
      <c r="D29" s="67"/>
      <c r="E29" s="67"/>
      <c r="F29" s="67"/>
      <c r="G29" s="32" t="s">
        <v>134</v>
      </c>
      <c r="H29" s="33" cm="1">
        <f t="array" aca="1" ref="H29" ca="1">SUMPRODUCT((元データ!$AL$2:$AL$2001=1)*(元データ!$AN$2:$AN$2001=1)*(元データ!$AE$2:$AE$2001=$D$28)*(元データ!$AO$2:$AO$2001=0)*IF($D$23="全件",1,(元データ!$E$2:$E$2001=IF($D$23="確認待ち","20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29" s="57" t="str" cm="1">
        <f t="array" aca="1" ref="I29" ca="1">IFERROR(_xlfn.TEXTJOIN(CHAR(10),TRUE,IF((元データ!$AL$2:$AL$2001=1)*(元データ!$AN$2:$AN$2001=1)*(元データ!$AE$2:$AE$2001=$D$28)*(元データ!$AO$2:$AO$2001=0)*IF($D$23="全件",1,(元データ!$E$2:$E$2001=IF($D$23="確認待ち","20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29" s="57"/>
      <c r="K29" s="57"/>
      <c r="L29" s="57"/>
      <c r="M29" s="57"/>
    </row>
    <row r="30" spans="1:18" s="16" customFormat="1" ht="24.95" customHeight="1">
      <c r="A30" s="19"/>
      <c r="B30" s="37"/>
      <c r="C30" s="38"/>
      <c r="D30" s="67" t="s">
        <v>95</v>
      </c>
      <c r="E30" s="67"/>
      <c r="F30" s="67"/>
      <c r="G30" s="30" t="s">
        <v>133</v>
      </c>
      <c r="H30" s="31" cm="1">
        <f t="array" aca="1" ref="H30" ca="1">SUMPRODUCT((元データ!$AL$2:$AL$2001=1)*(元データ!$AN$2:$AN$2001=1)*(元データ!$AE$2:$AE$2001=$D$30)*(元データ!$AO$2:$AO$2001=1)*IF($D$23="全件",1,(元データ!$E$2:$E$2001=IF($D$23="確認待ち","20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0" s="65" t="str" cm="1">
        <f t="array" aca="1" ref="I30" ca="1">IFERROR(_xlfn.TEXTJOIN(CHAR(10),TRUE,IF((元データ!$AL$2:$AL$2001=1)*(元データ!$AN$2:$AN$2001=1)*(元データ!$AE$2:$AE$2001=$D$30)*(元データ!$AO$2:$AO$2001=1)*IF($D$23="全件",1,(元データ!$E$2:$E$2001=IF($D$23="確認待ち","20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0" s="65"/>
      <c r="K30" s="65"/>
      <c r="L30" s="65"/>
      <c r="M30" s="65"/>
    </row>
    <row r="31" spans="1:18" s="16" customFormat="1" ht="24.95" customHeight="1">
      <c r="A31" s="19"/>
      <c r="B31" s="37"/>
      <c r="C31" s="38"/>
      <c r="D31" s="67"/>
      <c r="E31" s="67"/>
      <c r="F31" s="67"/>
      <c r="G31" s="32" t="s">
        <v>134</v>
      </c>
      <c r="H31" s="33" cm="1">
        <f t="array" aca="1" ref="H31" ca="1">SUMPRODUCT((元データ!$AL$2:$AL$2001=1)*(元データ!$AN$2:$AN$2001=1)*(元データ!$AE$2:$AE$2001=$D$30)*(元データ!$AO$2:$AO$2001=0)*IF($D$23="全件",1,(元データ!$E$2:$E$2001=IF($D$23="確認待ち","20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1" s="57" t="str" cm="1">
        <f t="array" aca="1" ref="I31" ca="1">IFERROR(_xlfn.TEXTJOIN(CHAR(10),TRUE,IF((元データ!$AL$2:$AL$2001=1)*(元データ!$AN$2:$AN$2001=1)*(元データ!$AE$2:$AE$2001=$D$30)*(元データ!$AO$2:$AO$2001=0)*IF($D$23="全件",1,(元データ!$E$2:$E$2001=IF($D$23="確認待ち","20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1" s="57"/>
      <c r="K31" s="57"/>
      <c r="L31" s="57"/>
      <c r="M31" s="57"/>
    </row>
    <row r="32" spans="1:18" s="16" customFormat="1" ht="24.95" customHeight="1">
      <c r="A32" s="19"/>
      <c r="B32" s="37"/>
      <c r="C32" s="38"/>
      <c r="D32" s="67" t="s">
        <v>91</v>
      </c>
      <c r="E32" s="67"/>
      <c r="F32" s="67"/>
      <c r="G32" s="30" t="s">
        <v>133</v>
      </c>
      <c r="H32" s="31" cm="1">
        <f t="array" aca="1" ref="H32" ca="1">SUMPRODUCT((元データ!$AL$2:$AL$2001=1)*(元データ!$AN$2:$AN$2001=1)*(元データ!$AE$2:$AE$2001=$D$32)*(元データ!$AO$2:$AO$2001=1)*IF($D$23="全件",1,(元データ!$E$2:$E$2001=IF($D$23="確認待ち","20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2" s="65" t="str" cm="1">
        <f t="array" aca="1" ref="I32" ca="1">IFERROR(_xlfn.TEXTJOIN(CHAR(10),TRUE,IF((元データ!$AL$2:$AL$2001=1)*(元データ!$AN$2:$AN$2001=1)*(元データ!$AE$2:$AE$2001=$D$32)*(元データ!$AO$2:$AO$2001=1)*IF($D$23="全件",1,(元データ!$E$2:$E$2001=IF($D$23="確認待ち","20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2" s="65"/>
      <c r="K32" s="65"/>
      <c r="L32" s="65"/>
      <c r="M32" s="65"/>
    </row>
    <row r="33" spans="1:13" s="16" customFormat="1" ht="24.95" customHeight="1">
      <c r="A33" s="19"/>
      <c r="B33" s="37"/>
      <c r="C33" s="38"/>
      <c r="D33" s="67"/>
      <c r="E33" s="67"/>
      <c r="F33" s="67"/>
      <c r="G33" s="32" t="s">
        <v>134</v>
      </c>
      <c r="H33" s="33" cm="1">
        <f t="array" aca="1" ref="H33" ca="1">SUMPRODUCT((元データ!$AL$2:$AL$2001=1)*(元データ!$AN$2:$AN$2001=1)*(元データ!$AE$2:$AE$2001=$D$32)*(元データ!$AO$2:$AO$2001=0)*IF($D$23="全件",1,(元データ!$E$2:$E$2001=IF($D$23="確認待ち","20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3" s="57" t="str" cm="1">
        <f t="array" aca="1" ref="I33" ca="1">IFERROR(_xlfn.TEXTJOIN(CHAR(10),TRUE,IF((元データ!$AL$2:$AL$2001=1)*(元データ!$AN$2:$AN$2001=1)*(元データ!$AE$2:$AE$2001=$D$32)*(元データ!$AO$2:$AO$2001=0)*IF($D$23="全件",1,(元データ!$E$2:$E$2001=IF($D$23="確認待ち","20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3" s="57"/>
      <c r="K33" s="57"/>
      <c r="L33" s="57"/>
      <c r="M33" s="57"/>
    </row>
    <row r="34" spans="1:13" s="16" customFormat="1" ht="24.95" customHeight="1">
      <c r="A34" s="19"/>
      <c r="B34" s="37"/>
      <c r="C34" s="38"/>
      <c r="D34" s="67" t="s">
        <v>48</v>
      </c>
      <c r="E34" s="67"/>
      <c r="F34" s="67"/>
      <c r="G34" s="30" t="s">
        <v>133</v>
      </c>
      <c r="H34" s="31" cm="1">
        <f t="array" aca="1" ref="H34" ca="1">SUMPRODUCT((元データ!$AL$2:$AL$2001=1)*(元データ!$AN$2:$AN$2001=1)*(元データ!$AE$2:$AE$2001=$D$34)*(元データ!$AO$2:$AO$2001=1)*IF($D$23="全件",1,(元データ!$E$2:$E$2001=IF($D$23="確認待ち","20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4" s="65" t="str" cm="1">
        <f t="array" aca="1" ref="I34" ca="1">IFERROR(_xlfn.TEXTJOIN(CHAR(10),TRUE,IF((元データ!$AL$2:$AL$2001=1)*(元データ!$AN$2:$AN$2001=1)*(元データ!$AE$2:$AE$2001=$D$34)*(元データ!$AO$2:$AO$2001=1)*IF($D$23="全件",1,(元データ!$E$2:$E$2001=IF($D$23="確認待ち","20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4" s="65"/>
      <c r="K34" s="65"/>
      <c r="L34" s="65"/>
      <c r="M34" s="65"/>
    </row>
    <row r="35" spans="1:13" s="16" customFormat="1" ht="24.95" customHeight="1">
      <c r="A35" s="19"/>
      <c r="B35" s="37"/>
      <c r="C35" s="38"/>
      <c r="D35" s="67"/>
      <c r="E35" s="67"/>
      <c r="F35" s="67"/>
      <c r="G35" s="32" t="s">
        <v>134</v>
      </c>
      <c r="H35" s="33" cm="1">
        <f t="array" aca="1" ref="H35" ca="1">SUMPRODUCT((元データ!$AL$2:$AL$2001=1)*(元データ!$AN$2:$AN$2001=1)*(元データ!$AE$2:$AE$2001=$D$34)*(元データ!$AO$2:$AO$2001=0)*IF($D$23="全件",1,(元データ!$E$2:$E$2001=IF($D$23="確認待ち","20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5" s="57" t="str" cm="1">
        <f t="array" aca="1" ref="I35" ca="1">IFERROR(_xlfn.TEXTJOIN(CHAR(10),TRUE,IF((元データ!$AL$2:$AL$2001=1)*(元データ!$AN$2:$AN$2001=1)*(元データ!$AE$2:$AE$2001=$D$34)*(元データ!$AO$2:$AO$2001=0)*IF($D$23="全件",1,(元データ!$E$2:$E$2001=IF($D$23="確認待ち","20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5" s="57"/>
      <c r="K35" s="57"/>
      <c r="L35" s="57"/>
      <c r="M35" s="57"/>
    </row>
    <row r="36" spans="1:13" s="16" customFormat="1" ht="24.95" customHeight="1">
      <c r="A36" s="19"/>
      <c r="B36" s="37"/>
      <c r="C36" s="38"/>
      <c r="D36" s="67" t="s">
        <v>87</v>
      </c>
      <c r="E36" s="67"/>
      <c r="F36" s="67"/>
      <c r="G36" s="30" t="s">
        <v>133</v>
      </c>
      <c r="H36" s="31" cm="1">
        <f t="array" aca="1" ref="H36" ca="1">SUMPRODUCT((元データ!$AL$2:$AL$2001=1)*(元データ!$AN$2:$AN$2001=1)*(元データ!$AE$2:$AE$2001=$D$36)*(元データ!$AO$2:$AO$2001=1)*IF($D$23="全件",1,(元データ!$E$2:$E$2001=IF($D$23="確認待ち","20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6" s="65" t="str" cm="1">
        <f t="array" aca="1" ref="I36" ca="1">IFERROR(_xlfn.TEXTJOIN(CHAR(10),TRUE,IF((元データ!$AL$2:$AL$2001=1)*(元データ!$AN$2:$AN$2001=1)*(元データ!$AE$2:$AE$2001=$D$36)*(元データ!$AO$2:$AO$2001=1)*IF($D$23="全件",1,(元データ!$E$2:$E$2001=IF($D$23="確認待ち","20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6" s="65"/>
      <c r="K36" s="65"/>
      <c r="L36" s="65"/>
      <c r="M36" s="65"/>
    </row>
    <row r="37" spans="1:13" s="16" customFormat="1" ht="24.95" customHeight="1">
      <c r="A37" s="19"/>
      <c r="B37" s="37"/>
      <c r="C37" s="38"/>
      <c r="D37" s="67"/>
      <c r="E37" s="67"/>
      <c r="F37" s="67"/>
      <c r="G37" s="32" t="s">
        <v>134</v>
      </c>
      <c r="H37" s="33" cm="1">
        <f t="array" aca="1" ref="H37" ca="1">SUMPRODUCT((元データ!$AL$2:$AL$2001=1)*(元データ!$AN$2:$AN$2001=1)*(元データ!$AE$2:$AE$2001=$D$36)*(元データ!$AO$2:$AO$2001=0)*IF($D$23="全件",1,(元データ!$E$2:$E$2001=IF($D$23="確認待ち","20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7" s="57" t="str" cm="1">
        <f t="array" aca="1" ref="I37" ca="1">IFERROR(_xlfn.TEXTJOIN(CHAR(10),TRUE,IF((元データ!$AL$2:$AL$2001=1)*(元データ!$AN$2:$AN$2001=1)*(元データ!$AE$2:$AE$2001=$D$36)*(元データ!$AO$2:$AO$2001=0)*IF($D$23="全件",1,(元データ!$E$2:$E$2001=IF($D$23="確認待ち","20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7" s="57"/>
      <c r="K37" s="57"/>
      <c r="L37" s="57"/>
      <c r="M37" s="57"/>
    </row>
    <row r="38" spans="1:13" s="16" customFormat="1" ht="24.95" customHeight="1">
      <c r="A38" s="19"/>
      <c r="B38" s="37"/>
      <c r="C38" s="38"/>
      <c r="D38" s="67" t="s">
        <v>65</v>
      </c>
      <c r="E38" s="67"/>
      <c r="F38" s="67"/>
      <c r="G38" s="30" t="s">
        <v>133</v>
      </c>
      <c r="H38" s="31" cm="1">
        <f t="array" aca="1" ref="H38" ca="1">SUMPRODUCT((元データ!$AL$2:$AL$2001=1)*(元データ!$AN$2:$AN$2001=1)*(元データ!$AE$2:$AE$2001=$D$38)*(元データ!$AO$2:$AO$2001=1)*IF($D$23="全件",1,(元データ!$E$2:$E$2001=IF($D$23="確認待ち","20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8" s="65" t="str" cm="1">
        <f t="array" aca="1" ref="I38" ca="1">IFERROR(_xlfn.TEXTJOIN(CHAR(10),TRUE,IF((元データ!$AL$2:$AL$2001=1)*(元データ!$AN$2:$AN$2001=1)*(元データ!$AE$2:$AE$2001=$D$38)*(元データ!$AO$2:$AO$2001=1)*IF($D$23="全件",1,(元データ!$E$2:$E$2001=IF($D$23="確認待ち","20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8" s="65"/>
      <c r="K38" s="65"/>
      <c r="L38" s="65"/>
      <c r="M38" s="65"/>
    </row>
    <row r="39" spans="1:13" s="16" customFormat="1" ht="24.95" customHeight="1">
      <c r="A39" s="19"/>
      <c r="B39" s="37"/>
      <c r="C39" s="38"/>
      <c r="D39" s="67"/>
      <c r="E39" s="67"/>
      <c r="F39" s="67"/>
      <c r="G39" s="32" t="s">
        <v>134</v>
      </c>
      <c r="H39" s="33" cm="1">
        <f t="array" aca="1" ref="H39" ca="1">SUMPRODUCT((元データ!$AL$2:$AL$2001=1)*(元データ!$AN$2:$AN$2001=1)*(元データ!$AE$2:$AE$2001=$D$38)*(元データ!$AO$2:$AO$2001=0)*IF($D$23="全件",1,(元データ!$E$2:$E$2001=IF($D$23="確認待ち","20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39" s="57" t="str" cm="1">
        <f t="array" aca="1" ref="I39" ca="1">IFERROR(_xlfn.TEXTJOIN(CHAR(10),TRUE,IF((元データ!$AL$2:$AL$2001=1)*(元データ!$AN$2:$AN$2001=1)*(元データ!$AE$2:$AE$2001=$D$38)*(元データ!$AO$2:$AO$2001=0)*IF($D$23="全件",1,(元データ!$E$2:$E$2001=IF($D$23="確認待ち","20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39" s="57"/>
      <c r="K39" s="57"/>
      <c r="L39" s="57"/>
      <c r="M39" s="57"/>
    </row>
    <row r="40" spans="1:13" s="16" customFormat="1" ht="24.95" customHeight="1">
      <c r="A40" s="19"/>
      <c r="B40" s="37"/>
      <c r="C40" s="38"/>
      <c r="D40" s="67" t="s">
        <v>53</v>
      </c>
      <c r="E40" s="67"/>
      <c r="F40" s="67"/>
      <c r="G40" s="30" t="s">
        <v>133</v>
      </c>
      <c r="H40" s="31" cm="1">
        <f t="array" aca="1" ref="H40" ca="1">SUMPRODUCT((元データ!$AL$2:$AL$2001=1)*(元データ!$AN$2:$AN$2001=1)*(元データ!$AE$2:$AE$2001=$D$40)*(元データ!$AO$2:$AO$2001=1)*IF($D$23="全件",1,(元データ!$E$2:$E$2001=IF($D$23="確認待ち","20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0" s="65" t="str" cm="1">
        <f t="array" aca="1" ref="I40" ca="1">IFERROR(_xlfn.TEXTJOIN(CHAR(10),TRUE,IF((元データ!$AL$2:$AL$2001=1)*(元データ!$AN$2:$AN$2001=1)*(元データ!$AE$2:$AE$2001=$D$40)*(元データ!$AO$2:$AO$2001=1)*IF($D$23="全件",1,(元データ!$E$2:$E$2001=IF($D$23="確認待ち","20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0" s="65"/>
      <c r="K40" s="65"/>
      <c r="L40" s="65"/>
      <c r="M40" s="65"/>
    </row>
    <row r="41" spans="1:13" s="16" customFormat="1" ht="24.95" customHeight="1">
      <c r="A41" s="19"/>
      <c r="B41" s="37"/>
      <c r="C41" s="38"/>
      <c r="D41" s="67"/>
      <c r="E41" s="67"/>
      <c r="F41" s="67"/>
      <c r="G41" s="32" t="s">
        <v>134</v>
      </c>
      <c r="H41" s="33" cm="1">
        <f t="array" aca="1" ref="H41" ca="1">SUMPRODUCT((元データ!$AL$2:$AL$2001=1)*(元データ!$AN$2:$AN$2001=1)*(元データ!$AE$2:$AE$2001=$D$40)*(元データ!$AO$2:$AO$2001=0)*IF($D$23="全件",1,(元データ!$E$2:$E$2001=IF($D$23="確認待ち","20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1" s="57" t="str" cm="1">
        <f t="array" aca="1" ref="I41" ca="1">IFERROR(_xlfn.TEXTJOIN(CHAR(10),TRUE,IF((元データ!$AL$2:$AL$2001=1)*(元データ!$AN$2:$AN$2001=1)*(元データ!$AE$2:$AE$2001=$D$40)*(元データ!$AO$2:$AO$2001=0)*IF($D$23="全件",1,(元データ!$E$2:$E$2001=IF($D$23="確認待ち","20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1" s="57"/>
      <c r="K41" s="57"/>
      <c r="L41" s="57"/>
      <c r="M41" s="57"/>
    </row>
    <row r="42" spans="1:13" s="16" customFormat="1" ht="24.95" customHeight="1">
      <c r="A42" s="19"/>
      <c r="B42" s="37"/>
      <c r="C42" s="38"/>
      <c r="D42" s="67" t="s">
        <v>56</v>
      </c>
      <c r="E42" s="67"/>
      <c r="F42" s="67"/>
      <c r="G42" s="30" t="s">
        <v>133</v>
      </c>
      <c r="H42" s="31" cm="1">
        <f t="array" aca="1" ref="H42" ca="1">SUMPRODUCT((元データ!$AL$2:$AL$2001=1)*(元データ!$AN$2:$AN$2001=1)*(元データ!$AE$2:$AE$2001=$D$42)*(元データ!$AO$2:$AO$2001=1)*IF($D$23="全件",1,(元データ!$E$2:$E$2001=IF($D$23="確認待ち","20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2" s="65" t="str" cm="1">
        <f t="array" aca="1" ref="I42" ca="1">IFERROR(_xlfn.TEXTJOIN(CHAR(10),TRUE,IF((元データ!$AL$2:$AL$2001=1)*(元データ!$AN$2:$AN$2001=1)*(元データ!$AE$2:$AE$2001=$D$42)*(元データ!$AO$2:$AO$2001=1)*IF($D$23="全件",1,(元データ!$E$2:$E$2001=IF($D$23="確認待ち","20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2" s="65"/>
      <c r="K42" s="65"/>
      <c r="L42" s="65"/>
      <c r="M42" s="65"/>
    </row>
    <row r="43" spans="1:13" s="16" customFormat="1" ht="24.95" customHeight="1">
      <c r="A43" s="19"/>
      <c r="B43" s="37"/>
      <c r="C43" s="38"/>
      <c r="D43" s="67"/>
      <c r="E43" s="67"/>
      <c r="F43" s="67"/>
      <c r="G43" s="32" t="s">
        <v>134</v>
      </c>
      <c r="H43" s="33" cm="1">
        <f t="array" aca="1" ref="H43" ca="1">SUMPRODUCT((元データ!$AL$2:$AL$2001=1)*(元データ!$AN$2:$AN$2001=1)*(元データ!$AE$2:$AE$2001=$D$42)*(元データ!$AO$2:$AO$2001=0)*IF($D$23="全件",1,(元データ!$E$2:$E$2001=IF($D$23="確認待ち","20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3" s="57" t="str" cm="1">
        <f t="array" aca="1" ref="I43" ca="1">IFERROR(_xlfn.TEXTJOIN(CHAR(10),TRUE,IF((元データ!$AL$2:$AL$2001=1)*(元データ!$AN$2:$AN$2001=1)*(元データ!$AE$2:$AE$2001=$D$42)*(元データ!$AO$2:$AO$2001=0)*IF($D$23="全件",1,(元データ!$E$2:$E$2001=IF($D$23="確認待ち","20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3" s="57"/>
      <c r="K43" s="57"/>
      <c r="L43" s="57"/>
      <c r="M43" s="57"/>
    </row>
    <row r="44" spans="1:13" s="16" customFormat="1" ht="24.95" customHeight="1">
      <c r="A44" s="19"/>
      <c r="B44" s="37"/>
      <c r="C44" s="38"/>
      <c r="D44" s="67" t="s">
        <v>93</v>
      </c>
      <c r="E44" s="67"/>
      <c r="F44" s="67"/>
      <c r="G44" s="30" t="s">
        <v>133</v>
      </c>
      <c r="H44" s="31" cm="1">
        <f t="array" aca="1" ref="H44" ca="1">SUMPRODUCT((元データ!$AL$2:$AL$2001=1)*(元データ!$AN$2:$AN$2001=1)*(元データ!$AE$2:$AE$2001=$D$44)*(元データ!$AO$2:$AO$2001=1)*IF($D$23="全件",1,(元データ!$E$2:$E$2001=IF($D$23="確認待ち","20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4" s="65" t="str" cm="1">
        <f t="array" aca="1" ref="I44" ca="1">IFERROR(_xlfn.TEXTJOIN(CHAR(10),TRUE,IF((元データ!$AL$2:$AL$2001=1)*(元データ!$AN$2:$AN$2001=1)*(元データ!$AE$2:$AE$2001=$D$44)*(元データ!$AO$2:$AO$2001=1)*IF($D$23="全件",1,(元データ!$E$2:$E$2001=IF($D$23="確認待ち","20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4" s="65"/>
      <c r="K44" s="65"/>
      <c r="L44" s="65"/>
      <c r="M44" s="65"/>
    </row>
    <row r="45" spans="1:13" s="16" customFormat="1" ht="24.95" customHeight="1">
      <c r="A45" s="19"/>
      <c r="B45" s="37"/>
      <c r="C45" s="38"/>
      <c r="D45" s="67"/>
      <c r="E45" s="67"/>
      <c r="F45" s="67"/>
      <c r="G45" s="32" t="s">
        <v>134</v>
      </c>
      <c r="H45" s="33" cm="1">
        <f t="array" aca="1" ref="H45" ca="1">SUMPRODUCT((元データ!$AL$2:$AL$2001=1)*(元データ!$AN$2:$AN$2001=1)*(元データ!$AE$2:$AE$2001=$D$44)*(元データ!$AO$2:$AO$2001=0)*IF($D$23="全件",1,(元データ!$E$2:$E$2001=IF($D$23="確認待ち","20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5" s="57" t="str" cm="1">
        <f t="array" aca="1" ref="I45" ca="1">IFERROR(_xlfn.TEXTJOIN(CHAR(10),TRUE,IF((元データ!$AL$2:$AL$2001=1)*(元データ!$AN$2:$AN$2001=1)*(元データ!$AE$2:$AE$2001=$D$44)*(元データ!$AO$2:$AO$2001=0)*IF($D$23="全件",1,(元データ!$E$2:$E$2001=IF($D$23="確認待ち","20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5" s="57"/>
      <c r="K45" s="57"/>
      <c r="L45" s="57"/>
      <c r="M45" s="57"/>
    </row>
    <row r="46" spans="1:13" s="16" customFormat="1" ht="24.95" customHeight="1">
      <c r="A46" s="19"/>
      <c r="B46" s="37"/>
      <c r="C46" s="38"/>
      <c r="D46" s="67" t="s">
        <v>83</v>
      </c>
      <c r="E46" s="67"/>
      <c r="F46" s="67"/>
      <c r="G46" s="30" t="s">
        <v>133</v>
      </c>
      <c r="H46" s="31" cm="1">
        <f t="array" aca="1" ref="H46" ca="1">SUMPRODUCT((元データ!$AL$2:$AL$2001=1)*(元データ!$AN$2:$AN$2001=1)*(元データ!$AE$2:$AE$2001=$D$46)*(元データ!$AO$2:$AO$2001=1)*IF($D$23="全件",1,(元データ!$E$2:$E$2001=IF($D$23="確認待ち","20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6" s="65" t="str" cm="1">
        <f t="array" aca="1" ref="I46" ca="1">IFERROR(_xlfn.TEXTJOIN(CHAR(10),TRUE,IF((元データ!$AL$2:$AL$2001=1)*(元データ!$AN$2:$AN$2001=1)*(元データ!$AE$2:$AE$2001=$D$46)*(元データ!$AO$2:$AO$2001=1)*IF($D$23="全件",1,(元データ!$E$2:$E$2001=IF($D$23="確認待ち","20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6" s="65"/>
      <c r="K46" s="65"/>
      <c r="L46" s="65"/>
      <c r="M46" s="65"/>
    </row>
    <row r="47" spans="1:13" s="16" customFormat="1" ht="24.95" customHeight="1">
      <c r="A47" s="19"/>
      <c r="B47" s="37"/>
      <c r="C47" s="38"/>
      <c r="D47" s="67"/>
      <c r="E47" s="67"/>
      <c r="F47" s="67"/>
      <c r="G47" s="32" t="s">
        <v>134</v>
      </c>
      <c r="H47" s="33" cm="1">
        <f t="array" aca="1" ref="H47" ca="1">SUMPRODUCT((元データ!$AL$2:$AL$2001=1)*(元データ!$AN$2:$AN$2001=1)*(元データ!$AE$2:$AE$2001=$D$46)*(元データ!$AO$2:$AO$2001=0)*IF($D$23="全件",1,(元データ!$E$2:$E$2001=IF($D$23="確認待ち","20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7" s="57" t="str" cm="1">
        <f t="array" aca="1" ref="I47" ca="1">IFERROR(_xlfn.TEXTJOIN(CHAR(10),TRUE,IF((元データ!$AL$2:$AL$2001=1)*(元データ!$AN$2:$AN$2001=1)*(元データ!$AE$2:$AE$2001=$D$46)*(元データ!$AO$2:$AO$2001=0)*IF($D$23="全件",1,(元データ!$E$2:$E$2001=IF($D$23="確認待ち","20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7" s="57"/>
      <c r="K47" s="57"/>
      <c r="L47" s="57"/>
      <c r="M47" s="57"/>
    </row>
    <row r="48" spans="1:13" s="16" customFormat="1" ht="24.95" customHeight="1">
      <c r="A48" s="19"/>
      <c r="B48" s="37"/>
      <c r="C48" s="38"/>
      <c r="D48" s="67" t="s">
        <v>92</v>
      </c>
      <c r="E48" s="67"/>
      <c r="F48" s="67"/>
      <c r="G48" s="30" t="s">
        <v>133</v>
      </c>
      <c r="H48" s="31" cm="1">
        <f t="array" aca="1" ref="H48" ca="1">SUMPRODUCT((元データ!$AL$2:$AL$2001=1)*(元データ!$AN$2:$AN$2001=1)*(元データ!$AE$2:$AE$2001=$D$48)*(元データ!$AO$2:$AO$2001=1)*IF($D$23="全件",1,(元データ!$E$2:$E$2001=IF($D$23="確認待ち","20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8" s="65" t="str" cm="1">
        <f t="array" aca="1" ref="I48" ca="1">IFERROR(_xlfn.TEXTJOIN(CHAR(10),TRUE,IF((元データ!$AL$2:$AL$2001=1)*(元データ!$AN$2:$AN$2001=1)*(元データ!$AE$2:$AE$2001=$D$48)*(元データ!$AO$2:$AO$2001=1)*IF($D$23="全件",1,(元データ!$E$2:$E$2001=IF($D$23="確認待ち","20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8" s="65"/>
      <c r="K48" s="65"/>
      <c r="L48" s="65"/>
      <c r="M48" s="65"/>
    </row>
    <row r="49" spans="1:13" s="16" customFormat="1" ht="24.95" customHeight="1">
      <c r="A49" s="19"/>
      <c r="B49" s="37"/>
      <c r="C49" s="38"/>
      <c r="D49" s="67"/>
      <c r="E49" s="67"/>
      <c r="F49" s="67"/>
      <c r="G49" s="32" t="s">
        <v>134</v>
      </c>
      <c r="H49" s="33" cm="1">
        <f t="array" aca="1" ref="H49" ca="1">SUMPRODUCT((元データ!$AL$2:$AL$2001=1)*(元データ!$AN$2:$AN$2001=1)*(元データ!$AE$2:$AE$2001=$D$48)*(元データ!$AO$2:$AO$2001=0)*IF($D$23="全件",1,(元データ!$E$2:$E$2001=IF($D$23="確認待ち","20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49" s="57" t="str" cm="1">
        <f t="array" aca="1" ref="I49" ca="1">IFERROR(_xlfn.TEXTJOIN(CHAR(10),TRUE,IF((元データ!$AL$2:$AL$2001=1)*(元データ!$AN$2:$AN$2001=1)*(元データ!$AE$2:$AE$2001=$D$48)*(元データ!$AO$2:$AO$2001=0)*IF($D$23="全件",1,(元データ!$E$2:$E$2001=IF($D$23="確認待ち","20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49" s="57"/>
      <c r="K49" s="57"/>
      <c r="L49" s="57"/>
      <c r="M49" s="57"/>
    </row>
    <row r="50" spans="1:13" s="16" customFormat="1" ht="24.95" customHeight="1">
      <c r="A50" s="19"/>
      <c r="B50" s="37"/>
      <c r="C50" s="38"/>
      <c r="D50" s="67" t="s">
        <v>94</v>
      </c>
      <c r="E50" s="67"/>
      <c r="F50" s="67"/>
      <c r="G50" s="30" t="s">
        <v>133</v>
      </c>
      <c r="H50" s="31" cm="1">
        <f t="array" aca="1" ref="H50" ca="1">SUMPRODUCT((元データ!$AL$2:$AL$2001=1)*(元データ!$AN$2:$AN$2001=1)*(元データ!$AE$2:$AE$2001=$D$50)*(元データ!$AO$2:$AO$2001=1)*IF($D$23="全件",1,(元データ!$E$2:$E$2001=IF($D$23="確認待ち","20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0" s="65" t="str" cm="1">
        <f t="array" aca="1" ref="I50" ca="1">IFERROR(_xlfn.TEXTJOIN(CHAR(10),TRUE,IF((元データ!$AL$2:$AL$2001=1)*(元データ!$AN$2:$AN$2001=1)*(元データ!$AE$2:$AE$2001=$D$50)*(元データ!$AO$2:$AO$2001=1)*IF($D$23="全件",1,(元データ!$E$2:$E$2001=IF($D$23="確認待ち","20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0" s="65"/>
      <c r="K50" s="65"/>
      <c r="L50" s="65"/>
      <c r="M50" s="65"/>
    </row>
    <row r="51" spans="1:13" s="16" customFormat="1" ht="24.95" customHeight="1">
      <c r="A51" s="19"/>
      <c r="B51" s="37"/>
      <c r="C51" s="38"/>
      <c r="D51" s="67"/>
      <c r="E51" s="67"/>
      <c r="F51" s="67"/>
      <c r="G51" s="32" t="s">
        <v>134</v>
      </c>
      <c r="H51" s="33" cm="1">
        <f t="array" aca="1" ref="H51" ca="1">SUMPRODUCT((元データ!$AL$2:$AL$2001=1)*(元データ!$AN$2:$AN$2001=1)*(元データ!$AE$2:$AE$2001=$D$50)*(元データ!$AO$2:$AO$2001=0)*IF($D$23="全件",1,(元データ!$E$2:$E$2001=IF($D$23="確認待ち","20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1" s="57" t="str" cm="1">
        <f t="array" aca="1" ref="I51" ca="1">IFERROR(_xlfn.TEXTJOIN(CHAR(10),TRUE,IF((元データ!$AL$2:$AL$2001=1)*(元データ!$AN$2:$AN$2001=1)*(元データ!$AE$2:$AE$2001=$D$50)*(元データ!$AO$2:$AO$2001=0)*IF($D$23="全件",1,(元データ!$E$2:$E$2001=IF($D$23="確認待ち","20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1" s="57"/>
      <c r="K51" s="57"/>
      <c r="L51" s="57"/>
      <c r="M51" s="57"/>
    </row>
    <row r="52" spans="1:13" s="16" customFormat="1" ht="24.95" customHeight="1">
      <c r="A52" s="19"/>
      <c r="B52" s="37"/>
      <c r="C52" s="38"/>
      <c r="D52" s="67" t="s">
        <v>88</v>
      </c>
      <c r="E52" s="67"/>
      <c r="F52" s="67"/>
      <c r="G52" s="30" t="s">
        <v>133</v>
      </c>
      <c r="H52" s="31" cm="1">
        <f t="array" aca="1" ref="H52" ca="1">SUMPRODUCT((元データ!$AL$2:$AL$2001=1)*(元データ!$AN$2:$AN$2001=1)*(元データ!$AE$2:$AE$2001=$D$52)*(元データ!$AO$2:$AO$2001=1)*IF($D$23="全件",1,(元データ!$E$2:$E$2001=IF($D$23="確認待ち","20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2" s="65" t="str" cm="1">
        <f t="array" aca="1" ref="I52" ca="1">IFERROR(_xlfn.TEXTJOIN(CHAR(10),TRUE,IF((元データ!$AL$2:$AL$2001=1)*(元データ!$AN$2:$AN$2001=1)*(元データ!$AE$2:$AE$2001=$D$52)*(元データ!$AO$2:$AO$2001=1)*IF($D$23="全件",1,(元データ!$E$2:$E$2001=IF($D$23="確認待ち","20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2" s="65"/>
      <c r="K52" s="65"/>
      <c r="L52" s="65"/>
      <c r="M52" s="65"/>
    </row>
    <row r="53" spans="1:13" s="16" customFormat="1" ht="24.95" customHeight="1">
      <c r="A53" s="19"/>
      <c r="B53" s="37"/>
      <c r="C53" s="38"/>
      <c r="D53" s="67"/>
      <c r="E53" s="67"/>
      <c r="F53" s="67"/>
      <c r="G53" s="32" t="s">
        <v>134</v>
      </c>
      <c r="H53" s="33" cm="1">
        <f t="array" aca="1" ref="H53" ca="1">SUMPRODUCT((元データ!$AL$2:$AL$2001=1)*(元データ!$AN$2:$AN$2001=1)*(元データ!$AE$2:$AE$2001=$D$52)*(元データ!$AO$2:$AO$2001=0)*IF($D$23="全件",1,(元データ!$E$2:$E$2001=IF($D$23="確認待ち","20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3" s="57" t="str" cm="1">
        <f t="array" aca="1" ref="I53" ca="1">IFERROR(_xlfn.TEXTJOIN(CHAR(10),TRUE,IF((元データ!$AL$2:$AL$2001=1)*(元データ!$AN$2:$AN$2001=1)*(元データ!$AE$2:$AE$2001=$D$52)*(元データ!$AO$2:$AO$2001=0)*IF($D$23="全件",1,(元データ!$E$2:$E$2001=IF($D$23="確認待ち","20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3" s="57"/>
      <c r="K53" s="57"/>
      <c r="L53" s="57"/>
      <c r="M53" s="57"/>
    </row>
    <row r="54" spans="1:13" s="16" customFormat="1" ht="24.95" customHeight="1">
      <c r="A54" s="19"/>
      <c r="B54" s="37"/>
      <c r="C54" s="38"/>
      <c r="D54" s="67" t="s">
        <v>60</v>
      </c>
      <c r="E54" s="67"/>
      <c r="F54" s="67"/>
      <c r="G54" s="30" t="s">
        <v>133</v>
      </c>
      <c r="H54" s="31" cm="1">
        <f t="array" aca="1" ref="H54" ca="1">SUMPRODUCT((元データ!$AL$2:$AL$2001=1)*(元データ!$AN$2:$AN$2001=1)*(元データ!$AE$2:$AE$2001=$D$54)*(元データ!$AO$2:$AO$2001=1)*IF($D$23="全件",1,(元データ!$E$2:$E$2001=IF($D$23="確認待ち","20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4" s="65" t="str" cm="1">
        <f t="array" aca="1" ref="I54" ca="1">IFERROR(_xlfn.TEXTJOIN(CHAR(10),TRUE,IF((元データ!$AL$2:$AL$2001=1)*(元データ!$AN$2:$AN$2001=1)*(元データ!$AE$2:$AE$2001=$D$54)*(元データ!$AO$2:$AO$2001=1)*IF($D$23="全件",1,(元データ!$E$2:$E$2001=IF($D$23="確認待ち","20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4" s="65"/>
      <c r="K54" s="65"/>
      <c r="L54" s="65"/>
      <c r="M54" s="65"/>
    </row>
    <row r="55" spans="1:13" s="16" customFormat="1" ht="24.95" customHeight="1">
      <c r="A55" s="19"/>
      <c r="B55" s="37"/>
      <c r="C55" s="38"/>
      <c r="D55" s="67"/>
      <c r="E55" s="67"/>
      <c r="F55" s="67"/>
      <c r="G55" s="32" t="s">
        <v>134</v>
      </c>
      <c r="H55" s="33" cm="1">
        <f t="array" aca="1" ref="H55" ca="1">SUMPRODUCT((元データ!$AL$2:$AL$2001=1)*(元データ!$AN$2:$AN$2001=1)*(元データ!$AE$2:$AE$2001=$D$54)*(元データ!$AO$2:$AO$2001=0)*IF($D$23="全件",1,(元データ!$E$2:$E$2001=IF($D$23="確認待ち","20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5" s="57" t="str" cm="1">
        <f t="array" aca="1" ref="I55" ca="1">IFERROR(_xlfn.TEXTJOIN(CHAR(10),TRUE,IF((元データ!$AL$2:$AL$2001=1)*(元データ!$AN$2:$AN$2001=1)*(元データ!$AE$2:$AE$2001=$D$54)*(元データ!$AO$2:$AO$2001=0)*IF($D$23="全件",1,(元データ!$E$2:$E$2001=IF($D$23="確認待ち","20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5" s="57"/>
      <c r="K55" s="57"/>
      <c r="L55" s="57"/>
      <c r="M55" s="57"/>
    </row>
    <row r="56" spans="1:13" s="16" customFormat="1" ht="24.95" customHeight="1">
      <c r="A56" s="19"/>
      <c r="B56" s="37"/>
      <c r="C56" s="38"/>
      <c r="D56" s="67" t="s">
        <v>72</v>
      </c>
      <c r="E56" s="67"/>
      <c r="F56" s="67"/>
      <c r="G56" s="30" t="s">
        <v>133</v>
      </c>
      <c r="H56" s="31" cm="1">
        <f t="array" aca="1" ref="H56" ca="1">SUMPRODUCT((元データ!$AL$2:$AL$2001=1)*(元データ!$AN$2:$AN$2001=1)*(元データ!$AE$2:$AE$2001=$D$56)*(元データ!$AO$2:$AO$2001=1)*IF($D$23="全件",1,(元データ!$E$2:$E$2001=IF($D$23="確認待ち","20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6" s="65" t="str" cm="1">
        <f t="array" aca="1" ref="I56" ca="1">IFERROR(_xlfn.TEXTJOIN(CHAR(10),TRUE,IF((元データ!$AL$2:$AL$2001=1)*(元データ!$AN$2:$AN$2001=1)*(元データ!$AE$2:$AE$2001=$D$56)*(元データ!$AO$2:$AO$2001=1)*IF($D$23="全件",1,(元データ!$E$2:$E$2001=IF($D$23="確認待ち","20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6" s="65"/>
      <c r="K56" s="65"/>
      <c r="L56" s="65"/>
      <c r="M56" s="65"/>
    </row>
    <row r="57" spans="1:13" s="16" customFormat="1" ht="24.95" customHeight="1">
      <c r="A57" s="19"/>
      <c r="B57" s="37"/>
      <c r="C57" s="38"/>
      <c r="D57" s="67"/>
      <c r="E57" s="67"/>
      <c r="F57" s="67"/>
      <c r="G57" s="32" t="s">
        <v>134</v>
      </c>
      <c r="H57" s="33" cm="1">
        <f t="array" aca="1" ref="H57" ca="1">SUMPRODUCT((元データ!$AL$2:$AL$2001=1)*(元データ!$AN$2:$AN$2001=1)*(元データ!$AE$2:$AE$2001=$D$56)*(元データ!$AO$2:$AO$2001=0)*IF($D$23="全件",1,(元データ!$E$2:$E$2001=IF($D$23="確認待ち","20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7" s="57" t="str" cm="1">
        <f t="array" aca="1" ref="I57" ca="1">IFERROR(_xlfn.TEXTJOIN(CHAR(10),TRUE,IF((元データ!$AL$2:$AL$2001=1)*(元データ!$AN$2:$AN$2001=1)*(元データ!$AE$2:$AE$2001=$D$56)*(元データ!$AO$2:$AO$2001=0)*IF($D$23="全件",1,(元データ!$E$2:$E$2001=IF($D$23="確認待ち","20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7" s="57"/>
      <c r="K57" s="57"/>
      <c r="L57" s="57"/>
      <c r="M57" s="57"/>
    </row>
    <row r="58" spans="1:13" s="16" customFormat="1" ht="24.95" customHeight="1">
      <c r="A58" s="19"/>
      <c r="B58" s="37"/>
      <c r="C58" s="38"/>
      <c r="D58" s="67" t="s">
        <v>64</v>
      </c>
      <c r="E58" s="67"/>
      <c r="F58" s="67"/>
      <c r="G58" s="30" t="s">
        <v>133</v>
      </c>
      <c r="H58" s="31" cm="1">
        <f t="array" aca="1" ref="H58" ca="1">SUMPRODUCT((元データ!$AL$2:$AL$2001=1)*(元データ!$AN$2:$AN$2001=1)*(元データ!$AE$2:$AE$2001=$D$58)*(元データ!$AO$2:$AO$2001=1)*IF($D$23="全件",1,(元データ!$E$2:$E$2001=IF($D$23="確認待ち","20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8" s="65" t="str" cm="1">
        <f t="array" aca="1" ref="I58" ca="1">IFERROR(_xlfn.TEXTJOIN(CHAR(10),TRUE,IF((元データ!$AL$2:$AL$2001=1)*(元データ!$AN$2:$AN$2001=1)*(元データ!$AE$2:$AE$2001=$D$58)*(元データ!$AO$2:$AO$2001=1)*IF($D$23="全件",1,(元データ!$E$2:$E$2001=IF($D$23="確認待ち","20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8" s="65"/>
      <c r="K58" s="65"/>
      <c r="L58" s="65"/>
      <c r="M58" s="65"/>
    </row>
    <row r="59" spans="1:13" s="16" customFormat="1" ht="24.95" customHeight="1">
      <c r="A59" s="19"/>
      <c r="B59" s="37"/>
      <c r="C59" s="38"/>
      <c r="D59" s="67"/>
      <c r="E59" s="67"/>
      <c r="F59" s="67"/>
      <c r="G59" s="32" t="s">
        <v>134</v>
      </c>
      <c r="H59" s="33" cm="1">
        <f t="array" aca="1" ref="H59" ca="1">SUMPRODUCT((元データ!$AL$2:$AL$2001=1)*(元データ!$AN$2:$AN$2001=1)*(元データ!$AE$2:$AE$2001=$D$58)*(元データ!$AO$2:$AO$2001=0)*IF($D$23="全件",1,(元データ!$E$2:$E$2001=IF($D$23="確認待ち","20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59" s="57" t="str" cm="1">
        <f t="array" aca="1" ref="I59" ca="1">IFERROR(_xlfn.TEXTJOIN(CHAR(10),TRUE,IF((元データ!$AL$2:$AL$2001=1)*(元データ!$AN$2:$AN$2001=1)*(元データ!$AE$2:$AE$2001=$D$58)*(元データ!$AO$2:$AO$2001=0)*IF($D$23="全件",1,(元データ!$E$2:$E$2001=IF($D$23="確認待ち","20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59" s="57"/>
      <c r="K59" s="57"/>
      <c r="L59" s="57"/>
      <c r="M59" s="57"/>
    </row>
    <row r="60" spans="1:13" s="16" customFormat="1" ht="24.95" customHeight="1">
      <c r="A60" s="19"/>
      <c r="B60" s="37"/>
      <c r="C60" s="38"/>
      <c r="D60" s="67" t="s">
        <v>45</v>
      </c>
      <c r="E60" s="67"/>
      <c r="F60" s="67"/>
      <c r="G60" s="30" t="s">
        <v>133</v>
      </c>
      <c r="H60" s="31" cm="1">
        <f t="array" aca="1" ref="H60" ca="1">SUMPRODUCT((元データ!$AL$2:$AL$2001=1)*(元データ!$AN$2:$AN$2001=1)*(元データ!$AE$2:$AE$2001=$D$60)*(元データ!$AO$2:$AO$2001=1)*IF($D$23="全件",1,(元データ!$E$2:$E$2001=IF($D$23="確認待ち","20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0" s="65" t="str" cm="1">
        <f t="array" aca="1" ref="I60" ca="1">IFERROR(_xlfn.TEXTJOIN(CHAR(10),TRUE,IF((元データ!$AL$2:$AL$2001=1)*(元データ!$AN$2:$AN$2001=1)*(元データ!$AE$2:$AE$2001=$D$60)*(元データ!$AO$2:$AO$2001=1)*IF($D$23="全件",1,(元データ!$E$2:$E$2001=IF($D$23="確認待ち","20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0" s="65"/>
      <c r="K60" s="65"/>
      <c r="L60" s="65"/>
      <c r="M60" s="65"/>
    </row>
    <row r="61" spans="1:13" s="16" customFormat="1" ht="24.95" customHeight="1">
      <c r="A61" s="19"/>
      <c r="B61" s="37"/>
      <c r="C61" s="38"/>
      <c r="D61" s="67"/>
      <c r="E61" s="67"/>
      <c r="F61" s="67"/>
      <c r="G61" s="32" t="s">
        <v>134</v>
      </c>
      <c r="H61" s="33" cm="1">
        <f t="array" aca="1" ref="H61" ca="1">SUMPRODUCT((元データ!$AL$2:$AL$2001=1)*(元データ!$AN$2:$AN$2001=1)*(元データ!$AE$2:$AE$2001=$D$60)*(元データ!$AO$2:$AO$2001=0)*IF($D$23="全件",1,(元データ!$E$2:$E$2001=IF($D$23="確認待ち","20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1" s="57" t="str" cm="1">
        <f t="array" aca="1" ref="I61" ca="1">IFERROR(_xlfn.TEXTJOIN(CHAR(10),TRUE,IF((元データ!$AL$2:$AL$2001=1)*(元データ!$AN$2:$AN$2001=1)*(元データ!$AE$2:$AE$2001=$D$60)*(元データ!$AO$2:$AO$2001=0)*IF($D$23="全件",1,(元データ!$E$2:$E$2001=IF($D$23="確認待ち","20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1" s="57"/>
      <c r="K61" s="57"/>
      <c r="L61" s="57"/>
      <c r="M61" s="57"/>
    </row>
    <row r="62" spans="1:13" s="16" customFormat="1" ht="24.95" customHeight="1">
      <c r="A62" s="19"/>
      <c r="B62" s="37"/>
      <c r="C62" s="38"/>
      <c r="D62" s="67" t="s">
        <v>82</v>
      </c>
      <c r="E62" s="67"/>
      <c r="F62" s="67"/>
      <c r="G62" s="30" t="s">
        <v>133</v>
      </c>
      <c r="H62" s="31" cm="1">
        <f t="array" aca="1" ref="H62" ca="1">SUMPRODUCT((元データ!$AL$2:$AL$2001=1)*(元データ!$AN$2:$AN$2001=1)*(元データ!$AE$2:$AE$2001=$D$62)*(元データ!$AO$2:$AO$2001=1)*IF($D$23="全件",1,(元データ!$E$2:$E$2001=IF($D$23="確認待ち","20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2" s="65" t="str" cm="1">
        <f t="array" aca="1" ref="I62" ca="1">IFERROR(_xlfn.TEXTJOIN(CHAR(10),TRUE,IF((元データ!$AL$2:$AL$2001=1)*(元データ!$AN$2:$AN$2001=1)*(元データ!$AE$2:$AE$2001=$D$62)*(元データ!$AO$2:$AO$2001=1)*IF($D$23="全件",1,(元データ!$E$2:$E$2001=IF($D$23="確認待ち","20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2" s="65"/>
      <c r="K62" s="65"/>
      <c r="L62" s="65"/>
      <c r="M62" s="65"/>
    </row>
    <row r="63" spans="1:13" s="16" customFormat="1" ht="24.95" customHeight="1">
      <c r="A63" s="19"/>
      <c r="B63" s="37"/>
      <c r="C63" s="38"/>
      <c r="D63" s="67"/>
      <c r="E63" s="67"/>
      <c r="F63" s="67"/>
      <c r="G63" s="32" t="s">
        <v>134</v>
      </c>
      <c r="H63" s="33" cm="1">
        <f t="array" aca="1" ref="H63" ca="1">SUMPRODUCT((元データ!$AL$2:$AL$2001=1)*(元データ!$AN$2:$AN$2001=1)*(元データ!$AE$2:$AE$2001=$D$62)*(元データ!$AO$2:$AO$2001=0)*IF($D$23="全件",1,(元データ!$E$2:$E$2001=IF($D$23="確認待ち","20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3" s="57" t="str" cm="1">
        <f t="array" aca="1" ref="I63" ca="1">IFERROR(_xlfn.TEXTJOIN(CHAR(10),TRUE,IF((元データ!$AL$2:$AL$2001=1)*(元データ!$AN$2:$AN$2001=1)*(元データ!$AE$2:$AE$2001=$D$62)*(元データ!$AO$2:$AO$2001=0)*IF($D$23="全件",1,(元データ!$E$2:$E$2001=IF($D$23="確認待ち","20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3" s="57"/>
      <c r="K63" s="57"/>
      <c r="L63" s="57"/>
      <c r="M63" s="57"/>
    </row>
    <row r="64" spans="1:13" s="16" customFormat="1" ht="24.95" customHeight="1">
      <c r="A64" s="19"/>
      <c r="B64" s="37"/>
      <c r="C64" s="38"/>
      <c r="D64" s="67" t="s">
        <v>58</v>
      </c>
      <c r="E64" s="67"/>
      <c r="F64" s="67"/>
      <c r="G64" s="30" t="s">
        <v>133</v>
      </c>
      <c r="H64" s="31" cm="1">
        <f t="array" aca="1" ref="H64" ca="1">SUMPRODUCT((元データ!$AL$2:$AL$2001=1)*(元データ!$AN$2:$AN$2001=1)*(元データ!$AE$2:$AE$2001=$D$64)*(元データ!$AO$2:$AO$2001=1)*IF($D$23="全件",1,(元データ!$E$2:$E$2001=IF($D$23="確認待ち","20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4" s="65" t="str" cm="1">
        <f t="array" aca="1" ref="I64" ca="1">IFERROR(_xlfn.TEXTJOIN(CHAR(10),TRUE,IF((元データ!$AL$2:$AL$2001=1)*(元データ!$AN$2:$AN$2001=1)*(元データ!$AE$2:$AE$2001=$D$64)*(元データ!$AO$2:$AO$2001=1)*IF($D$23="全件",1,(元データ!$E$2:$E$2001=IF($D$23="確認待ち","20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4" s="65"/>
      <c r="K64" s="65"/>
      <c r="L64" s="65"/>
      <c r="M64" s="65"/>
    </row>
    <row r="65" spans="1:93" s="16" customFormat="1" ht="24.95" customHeight="1">
      <c r="A65" s="19"/>
      <c r="B65" s="37"/>
      <c r="C65" s="38"/>
      <c r="D65" s="67"/>
      <c r="E65" s="67"/>
      <c r="F65" s="67"/>
      <c r="G65" s="32" t="s">
        <v>134</v>
      </c>
      <c r="H65" s="33" cm="1">
        <f t="array" aca="1" ref="H65" ca="1">SUMPRODUCT((元データ!$AL$2:$AL$2001=1)*(元データ!$AN$2:$AN$2001=1)*(元データ!$AE$2:$AE$2001=$D$64)*(元データ!$AO$2:$AO$2001=0)*IF($D$23="全件",1,(元データ!$E$2:$E$2001=IF($D$23="確認待ち","20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5" s="57" t="str" cm="1">
        <f t="array" aca="1" ref="I65" ca="1">IFERROR(_xlfn.TEXTJOIN(CHAR(10),TRUE,IF((元データ!$AL$2:$AL$2001=1)*(元データ!$AN$2:$AN$2001=1)*(元データ!$AE$2:$AE$2001=$D$64)*(元データ!$AO$2:$AO$2001=0)*IF($D$23="全件",1,(元データ!$E$2:$E$2001=IF($D$23="確認待ち","20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5" s="57"/>
      <c r="K65" s="57"/>
      <c r="L65" s="57"/>
      <c r="M65" s="57"/>
    </row>
    <row r="66" spans="1:93" s="16" customFormat="1" ht="24.95" customHeight="1">
      <c r="A66" s="19"/>
      <c r="B66" s="37"/>
      <c r="C66" s="38"/>
      <c r="D66" s="67" t="s">
        <v>71</v>
      </c>
      <c r="E66" s="67"/>
      <c r="F66" s="67"/>
      <c r="G66" s="30" t="s">
        <v>133</v>
      </c>
      <c r="H66" s="31" cm="1">
        <f t="array" aca="1" ref="H66" ca="1">SUMPRODUCT((元データ!$AL$2:$AL$2001=1)*(元データ!$AN$2:$AN$2001=1)*(元データ!$AE$2:$AE$2001=$D$66)*(元データ!$AO$2:$AO$2001=1)*IF($D$23="全件",1,(元データ!$E$2:$E$2001=IF($D$23="確認待ち","20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6" s="65" t="str" cm="1">
        <f t="array" aca="1" ref="I66" ca="1">IFERROR(_xlfn.TEXTJOIN(CHAR(10),TRUE,IF((元データ!$AL$2:$AL$2001=1)*(元データ!$AN$2:$AN$2001=1)*(元データ!$AE$2:$AE$2001=$D$66)*(元データ!$AO$2:$AO$2001=1)*IF($D$23="全件",1,(元データ!$E$2:$E$2001=IF($D$23="確認待ち","20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6" s="65"/>
      <c r="K66" s="65"/>
      <c r="L66" s="65"/>
      <c r="M66" s="65"/>
    </row>
    <row r="67" spans="1:93" s="16" customFormat="1" ht="24.95" customHeight="1">
      <c r="A67" s="19"/>
      <c r="B67" s="37"/>
      <c r="C67" s="38"/>
      <c r="D67" s="67"/>
      <c r="E67" s="67"/>
      <c r="F67" s="67"/>
      <c r="G67" s="32" t="s">
        <v>134</v>
      </c>
      <c r="H67" s="33" cm="1">
        <f t="array" aca="1" ref="H67" ca="1">SUMPRODUCT((元データ!$AL$2:$AL$2001=1)*(元データ!$AN$2:$AN$2001=1)*(元データ!$AE$2:$AE$2001=$D$66)*(元データ!$AO$2:$AO$2001=0)*IF($D$23="全件",1,(元データ!$E$2:$E$2001=IF($D$23="確認待ち","20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7" s="57" t="str" cm="1">
        <f t="array" aca="1" ref="I67" ca="1">IFERROR(_xlfn.TEXTJOIN(CHAR(10),TRUE,IF((元データ!$AL$2:$AL$2001=1)*(元データ!$AN$2:$AN$2001=1)*(元データ!$AE$2:$AE$2001=$D$66)*(元データ!$AO$2:$AO$2001=0)*IF($D$23="全件",1,(元データ!$E$2:$E$2001=IF($D$23="確認待ち","20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7" s="57"/>
      <c r="K67" s="57"/>
      <c r="L67" s="57"/>
      <c r="M67" s="57"/>
    </row>
    <row r="68" spans="1:93" s="16" customFormat="1" ht="24.95" customHeight="1">
      <c r="A68" s="19"/>
      <c r="B68" s="37"/>
      <c r="C68" s="38"/>
      <c r="D68" s="67" t="s">
        <v>84</v>
      </c>
      <c r="E68" s="67"/>
      <c r="F68" s="67"/>
      <c r="G68" s="30" t="s">
        <v>133</v>
      </c>
      <c r="H68" s="31" cm="1">
        <f t="array" aca="1" ref="H68" ca="1">SUMPRODUCT((元データ!$AL$2:$AL$2001=1)*(元データ!$AN$2:$AN$2001=1)*(元データ!$AE$2:$AE$2001=$D$68)*(元データ!$AO$2:$AO$2001=1)*IF($D$23="全件",1,(元データ!$E$2:$E$2001=IF($D$23="確認待ち","20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8" s="65" t="str" cm="1">
        <f t="array" aca="1" ref="I68" ca="1">IFERROR(_xlfn.TEXTJOIN(CHAR(10),TRUE,IF((元データ!$AL$2:$AL$2001=1)*(元データ!$AN$2:$AN$2001=1)*(元データ!$AE$2:$AE$2001=$D$68)*(元データ!$AO$2:$AO$2001=1)*IF($D$23="全件",1,(元データ!$E$2:$E$2001=IF($D$23="確認待ち","20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8" s="65"/>
      <c r="K68" s="65"/>
      <c r="L68" s="65"/>
      <c r="M68" s="65"/>
    </row>
    <row r="69" spans="1:93" s="16" customFormat="1" ht="24.95" customHeight="1">
      <c r="A69" s="19"/>
      <c r="B69" s="37"/>
      <c r="C69" s="38"/>
      <c r="D69" s="67"/>
      <c r="E69" s="67"/>
      <c r="F69" s="67"/>
      <c r="G69" s="32" t="s">
        <v>134</v>
      </c>
      <c r="H69" s="33" cm="1">
        <f t="array" aca="1" ref="H69" ca="1">SUMPRODUCT((元データ!$AL$2:$AL$2001=1)*(元データ!$AN$2:$AN$2001=1)*(元データ!$AE$2:$AE$2001=$D$68)*(元データ!$AO$2:$AO$2001=0)*IF($D$23="全件",1,(元データ!$E$2:$E$2001=IF($D$23="確認待ち","20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69" s="57" t="str" cm="1">
        <f t="array" aca="1" ref="I69" ca="1">IFERROR(_xlfn.TEXTJOIN(CHAR(10),TRUE,IF((元データ!$AL$2:$AL$2001=1)*(元データ!$AN$2:$AN$2001=1)*(元データ!$AE$2:$AE$2001=$D$68)*(元データ!$AO$2:$AO$2001=0)*IF($D$23="全件",1,(元データ!$E$2:$E$2001=IF($D$23="確認待ち","20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69" s="57"/>
      <c r="K69" s="57"/>
      <c r="L69" s="57"/>
      <c r="M69" s="57"/>
    </row>
    <row r="70" spans="1:93" s="16" customFormat="1" ht="24.95" customHeight="1">
      <c r="A70" s="19"/>
      <c r="B70" s="37"/>
      <c r="C70" s="38"/>
      <c r="D70" s="67" t="s">
        <v>75</v>
      </c>
      <c r="E70" s="67"/>
      <c r="F70" s="67"/>
      <c r="G70" s="30" t="s">
        <v>133</v>
      </c>
      <c r="H70" s="31" cm="1">
        <f t="array" aca="1" ref="H70" ca="1">SUMPRODUCT((元データ!$AL$2:$AL$2001=1)*(元データ!$AN$2:$AN$2001=1)*(元データ!$AE$2:$AE$2001=$D$70)*(元データ!$AO$2:$AO$2001=1)*IF($D$23="全件",1,(元データ!$E$2:$E$2001=IF($D$23="確認待ち","20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70" s="65" t="str" cm="1">
        <f t="array" aca="1" ref="I70" ca="1">IFERROR(_xlfn.TEXTJOIN(CHAR(10),TRUE,IF((元データ!$AL$2:$AL$2001=1)*(元データ!$AN$2:$AN$2001=1)*(元データ!$AE$2:$AE$2001=$D$70)*(元データ!$AO$2:$AO$2001=1)*IF($D$23="全件",1,(元データ!$E$2:$E$2001=IF($D$23="確認待ち","20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70" s="65"/>
      <c r="K70" s="65"/>
      <c r="L70" s="65"/>
      <c r="M70" s="65"/>
    </row>
    <row r="71" spans="1:93" s="16" customFormat="1" ht="24.95" customHeight="1">
      <c r="A71" s="19"/>
      <c r="B71" s="37"/>
      <c r="C71" s="38"/>
      <c r="D71" s="67"/>
      <c r="E71" s="67"/>
      <c r="F71" s="67"/>
      <c r="G71" s="32" t="s">
        <v>134</v>
      </c>
      <c r="H71" s="33" cm="1">
        <f t="array" aca="1" ref="H71" ca="1">SUMPRODUCT((元データ!$AL$2:$AL$2001=1)*(元データ!$AN$2:$AN$2001=1)*(元データ!$AE$2:$AE$2001=$D$70)*(元データ!$AO$2:$AO$2001=0)*IF($D$23="全件",1,(元データ!$E$2:$E$2001=IF($D$23="確認待ち","20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71" s="57" t="str" cm="1">
        <f t="array" aca="1" ref="I71" ca="1">IFERROR(_xlfn.TEXTJOIN(CHAR(10),TRUE,IF((元データ!$AL$2:$AL$2001=1)*(元データ!$AN$2:$AN$2001=1)*(元データ!$AE$2:$AE$2001=$D$70)*(元データ!$AO$2:$AO$2001=0)*IF($D$23="全件",1,(元データ!$E$2:$E$2001=IF($D$23="確認待ち","20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71" s="57"/>
      <c r="K71" s="57"/>
      <c r="L71" s="57"/>
      <c r="M71" s="57"/>
    </row>
    <row r="72" spans="1:93" s="16" customFormat="1" ht="24.95" customHeight="1">
      <c r="A72" s="19"/>
      <c r="B72" s="37"/>
      <c r="C72" s="38"/>
      <c r="D72" s="67" t="s">
        <v>51</v>
      </c>
      <c r="E72" s="67"/>
      <c r="F72" s="67"/>
      <c r="G72" s="30" t="s">
        <v>133</v>
      </c>
      <c r="H72" s="31" cm="1">
        <f t="array" aca="1" ref="H72" ca="1">SUMPRODUCT((元データ!$AL$2:$AL$2001=1)*(元データ!$AN$2:$AN$2001=1)*(元データ!$AE$2:$AE$2001=$D$72)*(元データ!$AO$2:$AO$2001=1)*IF($D$23="全件",1,(元データ!$E$2:$E$2001=IF($D$23="確認待ち","20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72" s="65" t="str" cm="1">
        <f t="array" aca="1" ref="I72" ca="1">IFERROR(_xlfn.TEXTJOIN(CHAR(10),TRUE,IF((元データ!$AL$2:$AL$2001=1)*(元データ!$AN$2:$AN$2001=1)*(元データ!$AE$2:$AE$2001=$D$72)*(元データ!$AO$2:$AO$2001=1)*IF($D$23="全件",1,(元データ!$E$2:$E$2001=IF($D$23="確認待ち","20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72" s="65"/>
      <c r="K72" s="65"/>
      <c r="L72" s="65"/>
      <c r="M72" s="65"/>
    </row>
    <row r="73" spans="1:93" s="16" customFormat="1" ht="24.95" customHeight="1">
      <c r="A73" s="19"/>
      <c r="B73" s="37"/>
      <c r="C73" s="38"/>
      <c r="D73" s="67"/>
      <c r="E73" s="67"/>
      <c r="F73" s="67"/>
      <c r="G73" s="32" t="s">
        <v>134</v>
      </c>
      <c r="H73" s="33" cm="1">
        <f t="array" aca="1" ref="H73" ca="1">SUMPRODUCT((元データ!$AL$2:$AL$2001=1)*(元データ!$AN$2:$AN$2001=1)*(元データ!$AE$2:$AE$2001=$D$72)*(元データ!$AO$2:$AO$2001=0)*IF($D$23="全件",1,(元データ!$E$2:$E$2001=IF($D$23="確認待ち","20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73" s="57" t="str" cm="1">
        <f t="array" aca="1" ref="I73" ca="1">IFERROR(_xlfn.TEXTJOIN(CHAR(10),TRUE,IF((元データ!$AL$2:$AL$2001=1)*(元データ!$AN$2:$AN$2001=1)*(元データ!$AE$2:$AE$2001=$D$72)*(元データ!$AO$2:$AO$2001=0)*IF($D$23="全件",1,(元データ!$E$2:$E$2001=IF($D$23="確認待ち","20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,元データ!$A$2:$A$2001&amp;IF(元データ!$AP$2:$AP$2001&lt;&gt;"","（"&amp;MID(元データ!$AP$2:$AP$2001,2,100)&amp;")",""),"")),"")</f>
        <v/>
      </c>
      <c r="J73" s="57"/>
      <c r="K73" s="57"/>
      <c r="L73" s="57"/>
      <c r="M73" s="57"/>
    </row>
    <row r="74" spans="1:93" s="16" customFormat="1" ht="24.95" customHeight="1">
      <c r="A74" s="19"/>
      <c r="B74" s="35"/>
      <c r="C74" s="35"/>
      <c r="D74" s="35"/>
      <c r="E74" s="35"/>
      <c r="F74" s="35"/>
      <c r="G74" s="34" t="s">
        <v>127</v>
      </c>
      <c r="H74" s="36" cm="1">
        <f t="array" aca="1" ref="H74" ca="1">SUMPRODUCT((元データ!$AL$2:$AL$2001=1)*(元データ!$AN$2:$AN$2001=1)*IF($D$23="全件",1,(元データ!$E$2:$E$2001=IF($D$23="確認待ち","20 確認待ち",IF($D$23="申請受付","30 申請受付",IF($D$23="OP確認中","31 ＯＰ確認中",IF($D$23="SV確認中","32 ＳＶ確認中","40 差戻し"))))))*IF($I$23="全期間",1,IF($I$23="7日以内",(元データ!$AM$2:$AM$2001&lt;=7),IF($I$23="8〜14日",(元データ!$AM$2:$AM$2001&gt;=8)*(元データ!$AM$2:$AM$2001&lt;=14),IF($I$23="15〜21日",(元データ!$AM$2:$AM$2001&gt;=15)*(元データ!$AM$2:$AM$2001&lt;=21),IF($I$23="1か月超",(元データ!$AM$2:$AM$2001&gt;=22)*(元データ!$AM$2:$AM$2001&lt;=30),(元データ!$AM$2:$AM$2001&gt;=31)))))))</f>
        <v>0</v>
      </c>
      <c r="I74" s="35"/>
      <c r="J74" s="35"/>
      <c r="K74" s="35"/>
      <c r="L74" s="35"/>
      <c r="M74" s="35"/>
    </row>
    <row r="75" spans="1:93" s="16" customFormat="1" ht="11.25" customHeight="1"/>
    <row r="76" spans="1:93" s="16" customFormat="1" ht="24.95" customHeight="1">
      <c r="B76" s="18" t="s">
        <v>128</v>
      </c>
      <c r="H76" s="52" t="s">
        <v>245</v>
      </c>
      <c r="CO76" s="52" t="s">
        <v>245</v>
      </c>
    </row>
    <row r="77" spans="1:93" ht="24.95" customHeight="1">
      <c r="B77" s="100" t="s">
        <v>129</v>
      </c>
      <c r="C77" s="64" t="s">
        <v>130</v>
      </c>
      <c r="D77" s="64"/>
      <c r="E77" s="101" t="s">
        <v>131</v>
      </c>
      <c r="F77" s="64" t="s">
        <v>116</v>
      </c>
      <c r="G77" s="62" t="s">
        <v>117</v>
      </c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 t="s">
        <v>118</v>
      </c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 t="s">
        <v>119</v>
      </c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 t="s">
        <v>120</v>
      </c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 t="s">
        <v>121</v>
      </c>
      <c r="BX77" s="62"/>
      <c r="BY77" s="62"/>
      <c r="BZ77" s="62"/>
      <c r="CA77" s="62"/>
      <c r="CB77" s="62"/>
      <c r="CC77" s="62"/>
      <c r="CD77" s="62"/>
      <c r="CE77" s="62"/>
      <c r="CF77" s="62"/>
      <c r="CG77" s="62"/>
      <c r="CH77" s="62"/>
      <c r="CI77" s="62"/>
      <c r="CJ77" s="62"/>
      <c r="CK77" s="62"/>
      <c r="CL77" s="62"/>
      <c r="CM77" s="62"/>
    </row>
    <row r="78" spans="1:93" ht="24.95" customHeight="1">
      <c r="B78" s="100"/>
      <c r="C78" s="64"/>
      <c r="D78" s="64"/>
      <c r="E78" s="101"/>
      <c r="F78" s="64"/>
      <c r="G78" s="62" t="s">
        <v>242</v>
      </c>
      <c r="H78" s="62" t="s">
        <v>237</v>
      </c>
      <c r="I78" s="62"/>
      <c r="J78" s="62"/>
      <c r="K78" s="62"/>
      <c r="L78" s="62" t="s">
        <v>238</v>
      </c>
      <c r="M78" s="62"/>
      <c r="N78" s="62"/>
      <c r="O78" s="62"/>
      <c r="P78" s="62" t="s">
        <v>239</v>
      </c>
      <c r="Q78" s="62"/>
      <c r="R78" s="62"/>
      <c r="S78" s="62"/>
      <c r="T78" s="62" t="s">
        <v>240</v>
      </c>
      <c r="U78" s="62"/>
      <c r="V78" s="62"/>
      <c r="W78" s="62"/>
      <c r="X78" s="62" t="s">
        <v>242</v>
      </c>
      <c r="Y78" s="62" t="s">
        <v>237</v>
      </c>
      <c r="Z78" s="62"/>
      <c r="AA78" s="62"/>
      <c r="AB78" s="62"/>
      <c r="AC78" s="62" t="s">
        <v>238</v>
      </c>
      <c r="AD78" s="62"/>
      <c r="AE78" s="62"/>
      <c r="AF78" s="62"/>
      <c r="AG78" s="62" t="s">
        <v>239</v>
      </c>
      <c r="AH78" s="62"/>
      <c r="AI78" s="62"/>
      <c r="AJ78" s="62"/>
      <c r="AK78" s="62" t="s">
        <v>240</v>
      </c>
      <c r="AL78" s="62"/>
      <c r="AM78" s="62"/>
      <c r="AN78" s="62"/>
      <c r="AO78" s="62" t="s">
        <v>242</v>
      </c>
      <c r="AP78" s="62" t="s">
        <v>237</v>
      </c>
      <c r="AQ78" s="62"/>
      <c r="AR78" s="62"/>
      <c r="AS78" s="62"/>
      <c r="AT78" s="62" t="s">
        <v>238</v>
      </c>
      <c r="AU78" s="62"/>
      <c r="AV78" s="62"/>
      <c r="AW78" s="62"/>
      <c r="AX78" s="62" t="s">
        <v>239</v>
      </c>
      <c r="AY78" s="62"/>
      <c r="AZ78" s="62"/>
      <c r="BA78" s="62"/>
      <c r="BB78" s="62" t="s">
        <v>240</v>
      </c>
      <c r="BC78" s="62"/>
      <c r="BD78" s="62"/>
      <c r="BE78" s="62"/>
      <c r="BF78" s="62" t="s">
        <v>242</v>
      </c>
      <c r="BG78" s="62" t="s">
        <v>237</v>
      </c>
      <c r="BH78" s="62"/>
      <c r="BI78" s="62"/>
      <c r="BJ78" s="62"/>
      <c r="BK78" s="62" t="s">
        <v>238</v>
      </c>
      <c r="BL78" s="62"/>
      <c r="BM78" s="62"/>
      <c r="BN78" s="62"/>
      <c r="BO78" s="62" t="s">
        <v>239</v>
      </c>
      <c r="BP78" s="62"/>
      <c r="BQ78" s="62"/>
      <c r="BR78" s="62"/>
      <c r="BS78" s="62" t="s">
        <v>240</v>
      </c>
      <c r="BT78" s="62"/>
      <c r="BU78" s="62"/>
      <c r="BV78" s="62"/>
      <c r="BW78" s="62" t="s">
        <v>242</v>
      </c>
      <c r="BX78" s="62" t="s">
        <v>237</v>
      </c>
      <c r="BY78" s="62"/>
      <c r="BZ78" s="62"/>
      <c r="CA78" s="62"/>
      <c r="CB78" s="62" t="s">
        <v>238</v>
      </c>
      <c r="CC78" s="62"/>
      <c r="CD78" s="62"/>
      <c r="CE78" s="62"/>
      <c r="CF78" s="62" t="s">
        <v>239</v>
      </c>
      <c r="CG78" s="62"/>
      <c r="CH78" s="62"/>
      <c r="CI78" s="62"/>
      <c r="CJ78" s="62" t="s">
        <v>240</v>
      </c>
      <c r="CK78" s="62"/>
      <c r="CL78" s="62"/>
      <c r="CM78" s="62"/>
    </row>
    <row r="79" spans="1:93" ht="24.95" customHeight="1">
      <c r="B79" s="92"/>
      <c r="C79" s="64"/>
      <c r="D79" s="64"/>
      <c r="E79" s="92"/>
      <c r="F79" s="92"/>
      <c r="G79" s="62"/>
      <c r="H79" s="21" t="s">
        <v>241</v>
      </c>
      <c r="I79" s="62" t="s">
        <v>243</v>
      </c>
      <c r="J79" s="62"/>
      <c r="K79" s="62"/>
      <c r="L79" s="21" t="s">
        <v>241</v>
      </c>
      <c r="M79" s="62" t="s">
        <v>243</v>
      </c>
      <c r="N79" s="62"/>
      <c r="O79" s="62"/>
      <c r="P79" s="21" t="s">
        <v>241</v>
      </c>
      <c r="Q79" s="62" t="s">
        <v>243</v>
      </c>
      <c r="R79" s="62"/>
      <c r="S79" s="62"/>
      <c r="T79" s="21" t="s">
        <v>241</v>
      </c>
      <c r="U79" s="62" t="s">
        <v>243</v>
      </c>
      <c r="V79" s="62"/>
      <c r="W79" s="62"/>
      <c r="X79" s="62"/>
      <c r="Y79" s="21" t="s">
        <v>241</v>
      </c>
      <c r="Z79" s="62" t="s">
        <v>243</v>
      </c>
      <c r="AA79" s="62"/>
      <c r="AB79" s="62"/>
      <c r="AC79" s="21" t="s">
        <v>241</v>
      </c>
      <c r="AD79" s="62" t="s">
        <v>243</v>
      </c>
      <c r="AE79" s="62"/>
      <c r="AF79" s="62"/>
      <c r="AG79" s="21" t="s">
        <v>241</v>
      </c>
      <c r="AH79" s="62" t="s">
        <v>243</v>
      </c>
      <c r="AI79" s="62"/>
      <c r="AJ79" s="62"/>
      <c r="AK79" s="21" t="s">
        <v>241</v>
      </c>
      <c r="AL79" s="62" t="s">
        <v>243</v>
      </c>
      <c r="AM79" s="62"/>
      <c r="AN79" s="62"/>
      <c r="AO79" s="62"/>
      <c r="AP79" s="21" t="s">
        <v>241</v>
      </c>
      <c r="AQ79" s="62" t="s">
        <v>243</v>
      </c>
      <c r="AR79" s="62"/>
      <c r="AS79" s="62"/>
      <c r="AT79" s="21" t="s">
        <v>241</v>
      </c>
      <c r="AU79" s="62" t="s">
        <v>243</v>
      </c>
      <c r="AV79" s="62"/>
      <c r="AW79" s="62"/>
      <c r="AX79" s="21" t="s">
        <v>241</v>
      </c>
      <c r="AY79" s="62" t="s">
        <v>243</v>
      </c>
      <c r="AZ79" s="62"/>
      <c r="BA79" s="62"/>
      <c r="BB79" s="21" t="s">
        <v>241</v>
      </c>
      <c r="BC79" s="62" t="s">
        <v>243</v>
      </c>
      <c r="BD79" s="62"/>
      <c r="BE79" s="62"/>
      <c r="BF79" s="62"/>
      <c r="BG79" s="21" t="s">
        <v>241</v>
      </c>
      <c r="BH79" s="62" t="s">
        <v>243</v>
      </c>
      <c r="BI79" s="62"/>
      <c r="BJ79" s="62"/>
      <c r="BK79" s="21" t="s">
        <v>241</v>
      </c>
      <c r="BL79" s="62" t="s">
        <v>243</v>
      </c>
      <c r="BM79" s="62"/>
      <c r="BN79" s="62"/>
      <c r="BO79" s="21" t="s">
        <v>241</v>
      </c>
      <c r="BP79" s="62" t="s">
        <v>243</v>
      </c>
      <c r="BQ79" s="62"/>
      <c r="BR79" s="62"/>
      <c r="BS79" s="21" t="s">
        <v>241</v>
      </c>
      <c r="BT79" s="62" t="s">
        <v>243</v>
      </c>
      <c r="BU79" s="62"/>
      <c r="BV79" s="62"/>
      <c r="BW79" s="62"/>
      <c r="BX79" s="21" t="s">
        <v>241</v>
      </c>
      <c r="BY79" s="62" t="s">
        <v>243</v>
      </c>
      <c r="BZ79" s="62"/>
      <c r="CA79" s="62"/>
      <c r="CB79" s="21" t="s">
        <v>241</v>
      </c>
      <c r="CC79" s="62" t="s">
        <v>243</v>
      </c>
      <c r="CD79" s="62"/>
      <c r="CE79" s="62"/>
      <c r="CF79" s="21" t="s">
        <v>241</v>
      </c>
      <c r="CG79" s="62" t="s">
        <v>243</v>
      </c>
      <c r="CH79" s="62"/>
      <c r="CI79" s="62"/>
      <c r="CJ79" s="21" t="s">
        <v>241</v>
      </c>
      <c r="CK79" s="62" t="s">
        <v>243</v>
      </c>
      <c r="CL79" s="62"/>
      <c r="CM79" s="62"/>
    </row>
    <row r="80" spans="1:93" ht="143.25" customHeight="1">
      <c r="B80" s="91"/>
      <c r="C80" s="63" t="s">
        <v>54</v>
      </c>
      <c r="D80" s="63"/>
      <c r="E80" s="41" t="s">
        <v>133</v>
      </c>
      <c r="F80" s="42" cm="1">
        <f t="array" ref="F80">SUMPRODUCT((元データ!$AL$2:$AL$2001=1)*(元データ!$AN$2:$AN$2001=1)*(元データ!$AE$2:$AE$2001=$C$80)*(元データ!$AO$2:$AO$2001=1))</f>
        <v>25</v>
      </c>
      <c r="G80" s="43">
        <f ca="1">SUMPRODUCT((元データ!$AL$2:$AL$2001=1)*(元データ!$AN$2:$AN$2001=1)*(元データ!$AE$2:$AE$2001=$C$80)*(元データ!$AO$2:$AO$2001=1)*(元データ!$AM$2:$AM$2001&lt;=7))</f>
        <v>0</v>
      </c>
      <c r="H80" s="43">
        <f ca="1">SUMPRODUCT((元データ!$AL$2:$AL$2001=1)*(元データ!$AN$2:$AN$2001=1)*(元データ!$AE$2:$AE$2001=$C$80)*(元データ!$AO$2:$AO$2001=1)*(元データ!$AM$2:$AM$2001&lt;=7)*(元データ!$E$2:$E$2001="20 確認待ち"))</f>
        <v>0</v>
      </c>
      <c r="I80" s="61" t="str" cm="1">
        <f t="array" aca="1" ref="I80" ca="1">IFERROR(_xlfn.TEXTJOIN(CHAR(10),TRUE,IF((元データ!$AL$2:$AL$2001=1)*(元データ!$AN$2:$AN$2001=1)*(元データ!$AE$2:$AE$2001=$C$80)*(元データ!$AO$2:$AO$2001=1)*(元データ!$AM$2:$AM$2001&lt;=7)*(元データ!$E$2:$E$2001="20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80" s="61"/>
      <c r="K80" s="61"/>
      <c r="L80" s="43">
        <f ca="1">SUMPRODUCT((元データ!$AL$2:$AL$2001=1)*(元データ!$AN$2:$AN$2001=1)*(元データ!$AE$2:$AE$2001=$C$80)*(元データ!$AO$2:$AO$2001=1)*(元データ!$AM$2:$AM$2001&lt;=7)*(元データ!$E$2:$E$2001="30 申請受付"))</f>
        <v>0</v>
      </c>
      <c r="M80" s="61" t="str" cm="1">
        <f t="array" aca="1" ref="M80" ca="1">IFERROR(_xlfn.TEXTJOIN(CHAR(10),TRUE,IF((元データ!$AL$2:$AL$2001=1)*(元データ!$AN$2:$AN$2001=1)*(元データ!$AE$2:$AE$2001=$C$80)*(元データ!$AO$2:$AO$2001=1)*(元データ!$AM$2:$AM$2001&lt;=7)*(元データ!$E$2:$E$2001="30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80" s="61"/>
      <c r="O80" s="61"/>
      <c r="P80" s="43">
        <f ca="1">SUMPRODUCT((元データ!$AL$2:$AL$2001=1)*(元データ!$AN$2:$AN$2001=1)*(元データ!$AE$2:$AE$2001=$C$80)*(元データ!$AO$2:$AO$2001=1)*(元データ!$AM$2:$AM$2001&lt;=7)*(元データ!$E$2:$E$2001="31 ＯＰ確認中"))</f>
        <v>0</v>
      </c>
      <c r="Q80" s="61" t="str" cm="1">
        <f t="array" aca="1" ref="Q80" ca="1">IFERROR(_xlfn.TEXTJOIN(CHAR(10),TRUE,IF((元データ!$AL$2:$AL$2001=1)*(元データ!$AN$2:$AN$2001=1)*(元データ!$AE$2:$AE$2001=$C$80)*(元データ!$AO$2:$AO$2001=1)*(元データ!$AM$2:$AM$2001&lt;=7)*(元データ!$E$2:$E$2001="31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80" s="61"/>
      <c r="S80" s="61"/>
      <c r="T80" s="43">
        <f ca="1">SUMPRODUCT((元データ!$AL$2:$AL$2001=1)*(元データ!$AN$2:$AN$2001=1)*(元データ!$AE$2:$AE$2001=$C$80)*(元データ!$AO$2:$AO$2001=1)*(元データ!$AM$2:$AM$2001&lt;=7)*(元データ!$E$2:$E$2001="32 ＳＶ確認中"))</f>
        <v>0</v>
      </c>
      <c r="U80" s="61" t="str" cm="1">
        <f t="array" aca="1" ref="U80" ca="1">IFERROR(_xlfn.TEXTJOIN(CHAR(10),TRUE,IF((元データ!$AL$2:$AL$2001=1)*(元データ!$AN$2:$AN$2001=1)*(元データ!$AE$2:$AE$2001=$C$80)*(元データ!$AO$2:$AO$2001=1)*(元データ!$AM$2:$AM$2001&lt;=7)*(元データ!$E$2:$E$2001="32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80" s="61"/>
      <c r="W80" s="61"/>
      <c r="X80" s="43">
        <f ca="1">SUMPRODUCT((元データ!$AL$2:$AL$2001=1)*(元データ!$AN$2:$AN$2001=1)*(元データ!$AE$2:$AE$2001=$C$80)*(元データ!$AO$2:$AO$2001=1)*(元データ!$AM$2:$AM$2001&gt;=8)*(元データ!$AM$2:$AM$2001&lt;=14))</f>
        <v>0</v>
      </c>
      <c r="Y80" s="43">
        <f ca="1">SUMPRODUCT((元データ!$AL$2:$AL$2001=1)*(元データ!$AN$2:$AN$2001=1)*(元データ!$AE$2:$AE$2001=$C$80)*(元データ!$AO$2:$AO$2001=1)*(元データ!$AM$2:$AM$2001&gt;=8)*(元データ!$AM$2:$AM$2001&lt;=14)*(元データ!$E$2:$E$2001="20 確認待ち"))</f>
        <v>0</v>
      </c>
      <c r="Z80" s="61" t="str" cm="1">
        <f t="array" aca="1" ref="Z80" ca="1">IFERROR(_xlfn.TEXTJOIN(CHAR(10),TRUE,IF((元データ!$AL$2:$AL$2001=1)*(元データ!$AN$2:$AN$2001=1)*(元データ!$AE$2:$AE$2001=$C$80)*(元データ!$AO$2:$AO$2001=1)*(元データ!$AM$2:$AM$2001&gt;=8)*(元データ!$AM$2:$AM$2001&lt;=14)*(元データ!$E$2:$E$2001="20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0" s="61"/>
      <c r="AB80" s="61"/>
      <c r="AC80" s="43">
        <f ca="1">SUMPRODUCT((元データ!$AL$2:$AL$2001=1)*(元データ!$AN$2:$AN$2001=1)*(元データ!$AE$2:$AE$2001=$C$80)*(元データ!$AO$2:$AO$2001=1)*(元データ!$AM$2:$AM$2001&gt;=8)*(元データ!$AM$2:$AM$2001&lt;=14)*(元データ!$E$2:$E$2001="30 申請受付"))</f>
        <v>0</v>
      </c>
      <c r="AD80" s="61" t="str" cm="1">
        <f t="array" aca="1" ref="AD80" ca="1">IFERROR(_xlfn.TEXTJOIN(CHAR(10),TRUE,IF((元データ!$AL$2:$AL$2001=1)*(元データ!$AN$2:$AN$2001=1)*(元データ!$AE$2:$AE$2001=$C$80)*(元データ!$AO$2:$AO$2001=1)*(元データ!$AM$2:$AM$2001&gt;=8)*(元データ!$AM$2:$AM$2001&lt;=14)*(元データ!$E$2:$E$2001="30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0" s="61"/>
      <c r="AF80" s="61"/>
      <c r="AG80" s="43">
        <f ca="1">SUMPRODUCT((元データ!$AL$2:$AL$2001=1)*(元データ!$AN$2:$AN$2001=1)*(元データ!$AE$2:$AE$2001=$C$80)*(元データ!$AO$2:$AO$2001=1)*(元データ!$AM$2:$AM$2001&gt;=8)*(元データ!$AM$2:$AM$2001&lt;=14)*(元データ!$E$2:$E$2001="31 ＯＰ確認中"))</f>
        <v>0</v>
      </c>
      <c r="AH80" s="61" t="str" cm="1">
        <f t="array" aca="1" ref="AH80" ca="1">IFERROR(_xlfn.TEXTJOIN(CHAR(10),TRUE,IF((元データ!$AL$2:$AL$2001=1)*(元データ!$AN$2:$AN$2001=1)*(元データ!$AE$2:$AE$2001=$C$80)*(元データ!$AO$2:$AO$2001=1)*(元データ!$AM$2:$AM$2001&gt;=8)*(元データ!$AM$2:$AM$2001&lt;=14)*(元データ!$E$2:$E$2001="31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0" s="61"/>
      <c r="AJ80" s="61"/>
      <c r="AK80" s="43">
        <f ca="1">SUMPRODUCT((元データ!$AL$2:$AL$2001=1)*(元データ!$AN$2:$AN$2001=1)*(元データ!$AE$2:$AE$2001=$C$80)*(元データ!$AO$2:$AO$2001=1)*(元データ!$AM$2:$AM$2001&gt;=8)*(元データ!$AM$2:$AM$2001&lt;=14)*(元データ!$E$2:$E$2001="32 ＳＶ確認中"))</f>
        <v>0</v>
      </c>
      <c r="AL80" s="61" t="str" cm="1">
        <f t="array" aca="1" ref="AL80" ca="1">IFERROR(_xlfn.TEXTJOIN(CHAR(10),TRUE,IF((元データ!$AL$2:$AL$2001=1)*(元データ!$AN$2:$AN$2001=1)*(元データ!$AE$2:$AE$2001=$C$80)*(元データ!$AO$2:$AO$2001=1)*(元データ!$AM$2:$AM$2001&gt;=8)*(元データ!$AM$2:$AM$2001&lt;=14)*(元データ!$E$2:$E$2001="32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0" s="61">
        <f ca="1">SUMPRODUCT((元データ!$AL$2:$AL$2001=1)*(元データ!$AN$2:$AN$2001=1)*(元データ!$AE$2:$AE$2001=$C$80)*(元データ!$AO$2:$AO$2001=1)*(元データ!$AM$2:$AM$2001&gt;=8)*(元データ!$AM$2:$AM$2001&lt;=14)*(元データ!$E$2:$E$2001="40 差戻し"))</f>
        <v>0</v>
      </c>
      <c r="AN80" s="61" t="str" cm="1">
        <f t="array" aca="1" ref="AN80" ca="1">IFERROR(_xlfn.TEXTJOIN(CHAR(10),TRUE,IF((元データ!$AL$2:$AL$2001=1)*(元データ!$AN$2:$AN$2001=1)*(元データ!$AE$2:$AE$2001=$C$80)*(元データ!$AO$2:$AO$2001=1)*(元データ!$AM$2:$AM$2001&gt;=8)*(元データ!$AM$2:$AM$2001&lt;=14)*(元データ!$E$2:$E$2001="40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0" s="44">
        <f ca="1">SUMPRODUCT((元データ!$AL$2:$AL$2001=1)*(元データ!$AN$2:$AN$2001=1)*(元データ!$AE$2:$AE$2001=$C$80)*(元データ!$AO$2:$AO$2001=1)*(元データ!$AM$2:$AM$2001&gt;=15)*(元データ!$AM$2:$AM$2001&lt;=21))</f>
        <v>4</v>
      </c>
      <c r="AP80" s="44">
        <f ca="1">SUMPRODUCT((元データ!$AL$2:$AL$2001=1)*(元データ!$AN$2:$AN$2001=1)*(元データ!$AE$2:$AE$2001=$C$80)*(元データ!$AO$2:$AO$2001=1)*(元データ!$AM$2:$AM$2001&gt;=15)*(元データ!$AM$2:$AM$2001&lt;=21)*(元データ!$E$2:$E$2001="20 確認待ち"))</f>
        <v>0</v>
      </c>
      <c r="AQ80" s="58" t="str" cm="1">
        <f t="array" aca="1" ref="AQ80" ca="1">IFERROR(_xlfn.TEXTJOIN(CHAR(10),TRUE,IF((元データ!$AL$2:$AL$2001=1)*(元データ!$AN$2:$AN$2001=1)*(元データ!$AE$2:$AE$2001=$C$80)*(元データ!$AO$2:$AO$2001=1)*(元データ!$AM$2:$AM$2001&gt;=15)*(元データ!$AM$2:$AM$2001&lt;=21)*(元データ!$E$2:$E$2001="20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0" s="58"/>
      <c r="AS80" s="58"/>
      <c r="AT80" s="44">
        <f ca="1">SUMPRODUCT((元データ!$AL$2:$AL$2001=1)*(元データ!$AN$2:$AN$2001=1)*(元データ!$AE$2:$AE$2001=$C$80)*(元データ!$AO$2:$AO$2001=1)*(元データ!$AM$2:$AM$2001&gt;=15)*(元データ!$AM$2:$AM$2001&lt;=21)*(元データ!$E$2:$E$2001="30 申請受付"))</f>
        <v>0</v>
      </c>
      <c r="AU80" s="58" t="str" cm="1">
        <f t="array" aca="1" ref="AU80" ca="1">IFERROR(_xlfn.TEXTJOIN(CHAR(10),TRUE,IF((元データ!$AL$2:$AL$2001=1)*(元データ!$AN$2:$AN$2001=1)*(元データ!$AE$2:$AE$2001=$C$80)*(元データ!$AO$2:$AO$2001=1)*(元データ!$AM$2:$AM$2001&gt;=15)*(元データ!$AM$2:$AM$2001&lt;=21)*(元データ!$E$2:$E$2001="30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0" s="58"/>
      <c r="AW80" s="58"/>
      <c r="AX80" s="44">
        <f ca="1">SUMPRODUCT((元データ!$AL$2:$AL$2001=1)*(元データ!$AN$2:$AN$2001=1)*(元データ!$AE$2:$AE$2001=$C$80)*(元データ!$AO$2:$AO$2001=1)*(元データ!$AM$2:$AM$2001&gt;=15)*(元データ!$AM$2:$AM$2001&lt;=21)*(元データ!$E$2:$E$2001="31 ＯＰ確認中"))</f>
        <v>2</v>
      </c>
      <c r="AY80" s="58" t="str" cm="1">
        <f t="array" aca="1" ref="AY80" ca="1">IFERROR(_xlfn.TEXTJOIN(CHAR(10),TRUE,IF((元データ!$AL$2:$AL$2001=1)*(元データ!$AN$2:$AN$2001=1)*(元データ!$AE$2:$AE$2001=$C$80)*(元データ!$AO$2:$AO$2001=1)*(元データ!$AM$2:$AM$2001&gt;=15)*(元データ!$AM$2:$AM$2001&lt;=21)*(元データ!$E$2:$E$2001="31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>202660001313
202660001345</v>
      </c>
      <c r="AZ80" s="58"/>
      <c r="BA80" s="58"/>
      <c r="BB80" s="44">
        <f ca="1">SUMPRODUCT((元データ!$AL$2:$AL$2001=1)*(元データ!$AN$2:$AN$2001=1)*(元データ!$AE$2:$AE$2001=$C$80)*(元データ!$AO$2:$AO$2001=1)*(元データ!$AM$2:$AM$2001&gt;=15)*(元データ!$AM$2:$AM$2001&lt;=21)*(元データ!$E$2:$E$2001="32 ＳＶ確認中"))</f>
        <v>2</v>
      </c>
      <c r="BC80" s="58" t="str" cm="1">
        <f t="array" aca="1" ref="BC80" ca="1">IFERROR(_xlfn.TEXTJOIN(CHAR(10),TRUE,IF((元データ!$AL$2:$AL$2001=1)*(元データ!$AN$2:$AN$2001=1)*(元データ!$AE$2:$AE$2001=$C$80)*(元データ!$AO$2:$AO$2001=1)*(元データ!$AM$2:$AM$2001&gt;=15)*(元データ!$AM$2:$AM$2001&lt;=21)*(元データ!$E$2:$E$2001="32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>202660001327
202660001351</v>
      </c>
      <c r="BD80" s="58">
        <f ca="1">SUMPRODUCT((元データ!$AL$2:$AL$2001=1)*(元データ!$AN$2:$AN$2001=1)*(元データ!$AE$2:$AE$2001=$C$80)*(元データ!$AO$2:$AO$2001=1)*(元データ!$AM$2:$AM$2001&gt;=15)*(元データ!$AM$2:$AM$2001&lt;=21)*(元データ!$E$2:$E$2001="40 差戻し"))</f>
        <v>0</v>
      </c>
      <c r="BE80" s="58" t="str" cm="1">
        <f t="array" aca="1" ref="BE80" ca="1">IFERROR(_xlfn.TEXTJOIN(CHAR(10),TRUE,IF((元データ!$AL$2:$AL$2001=1)*(元データ!$AN$2:$AN$2001=1)*(元データ!$AE$2:$AE$2001=$C$80)*(元データ!$AO$2:$AO$2001=1)*(元データ!$AM$2:$AM$2001&gt;=15)*(元データ!$AM$2:$AM$2001&lt;=21)*(元データ!$E$2:$E$2001="40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0" s="45">
        <f ca="1">SUMPRODUCT((元データ!$AL$2:$AL$2001=1)*(元データ!$AN$2:$AN$2001=1)*(元データ!$AE$2:$AE$2001=$C$80)*(元データ!$AO$2:$AO$2001=1)*(元データ!$AM$2:$AM$2001&gt;=22)*(元データ!$AM$2:$AM$2001&lt;=30))</f>
        <v>6</v>
      </c>
      <c r="BG80" s="45">
        <f ca="1">SUMPRODUCT((元データ!$AL$2:$AL$2001=1)*(元データ!$AN$2:$AN$2001=1)*(元データ!$AE$2:$AE$2001=$C$80)*(元データ!$AO$2:$AO$2001=1)*(元データ!$AM$2:$AM$2001&gt;=22)*(元データ!$AM$2:$AM$2001&lt;=30)*(元データ!$E$2:$E$2001="20 確認待ち"))</f>
        <v>3</v>
      </c>
      <c r="BH80" s="60" t="str" cm="1">
        <f t="array" aca="1" ref="BH80" ca="1">IFERROR(_xlfn.TEXTJOIN(CHAR(10),TRUE,IF((元データ!$AL$2:$AL$2001=1)*(元データ!$AN$2:$AN$2001=1)*(元データ!$AE$2:$AE$2001=$C$80)*(元データ!$AO$2:$AO$2001=1)*(元データ!$AM$2:$AM$2001&gt;=22)*(元データ!$AM$2:$AM$2001&lt;=30)*(元データ!$E$2:$E$2001="20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>202660001310（削除)
202660001334（添待ち)
202660001337（添待ち)</v>
      </c>
      <c r="BI80" s="60"/>
      <c r="BJ80" s="60"/>
      <c r="BK80" s="45">
        <f ca="1">SUMPRODUCT((元データ!$AL$2:$AL$2001=1)*(元データ!$AN$2:$AN$2001=1)*(元データ!$AE$2:$AE$2001=$C$80)*(元データ!$AO$2:$AO$2001=1)*(元データ!$AM$2:$AM$2001&gt;=22)*(元データ!$AM$2:$AM$2001&lt;=30)*(元データ!$E$2:$E$2001="30 申請受付"))</f>
        <v>0</v>
      </c>
      <c r="BL80" s="59" t="str" cm="1">
        <f t="array" aca="1" ref="BL80" ca="1">IFERROR(_xlfn.TEXTJOIN(CHAR(10),TRUE,IF((元データ!$AL$2:$AL$2001=1)*(元データ!$AN$2:$AN$2001=1)*(元データ!$AE$2:$AE$2001=$C$80)*(元データ!$AO$2:$AO$2001=1)*(元データ!$AM$2:$AM$2001&gt;=22)*(元データ!$AM$2:$AM$2001&lt;=30)*(元データ!$E$2:$E$2001="30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0" s="59"/>
      <c r="BN80" s="59"/>
      <c r="BO80" s="45">
        <f ca="1">SUMPRODUCT((元データ!$AL$2:$AL$2001=1)*(元データ!$AN$2:$AN$2001=1)*(元データ!$AE$2:$AE$2001=$C$80)*(元データ!$AO$2:$AO$2001=1)*(元データ!$AM$2:$AM$2001&gt;=22)*(元データ!$AM$2:$AM$2001&lt;=30)*(元データ!$E$2:$E$2001="31 ＯＰ確認中"))</f>
        <v>1</v>
      </c>
      <c r="BP80" s="59" t="str" cm="1">
        <f t="array" aca="1" ref="BP80" ca="1">IFERROR(_xlfn.TEXTJOIN(CHAR(10),TRUE,IF((元データ!$AL$2:$AL$2001=1)*(元データ!$AN$2:$AN$2001=1)*(元データ!$AE$2:$AE$2001=$C$80)*(元データ!$AO$2:$AO$2001=1)*(元データ!$AM$2:$AM$2001&gt;=22)*(元データ!$AM$2:$AM$2001&lt;=30)*(元データ!$E$2:$E$2001="31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>202660001349</v>
      </c>
      <c r="BQ80" s="59"/>
      <c r="BR80" s="59"/>
      <c r="BS80" s="45">
        <f ca="1">SUMPRODUCT((元データ!$AL$2:$AL$2001=1)*(元データ!$AN$2:$AN$2001=1)*(元データ!$AE$2:$AE$2001=$C$80)*(元データ!$AO$2:$AO$2001=1)*(元データ!$AM$2:$AM$2001&gt;=22)*(元データ!$AM$2:$AM$2001&lt;=30)*(元データ!$E$2:$E$2001="32 ＳＶ確認中"))</f>
        <v>1</v>
      </c>
      <c r="BT80" s="59" t="str" cm="1">
        <f t="array" aca="1" ref="BT80" ca="1">IFERROR(_xlfn.TEXTJOIN(CHAR(10),TRUE,IF((元データ!$AL$2:$AL$2001=1)*(元データ!$AN$2:$AN$2001=1)*(元データ!$AE$2:$AE$2001=$C$80)*(元データ!$AO$2:$AO$2001=1)*(元データ!$AM$2:$AM$2001&gt;=22)*(元データ!$AM$2:$AM$2001&lt;=30)*(元データ!$E$2:$E$2001="32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>202660001331</v>
      </c>
      <c r="BU80" s="59">
        <f ca="1">SUMPRODUCT((元データ!$AL$2:$AL$2001=1)*(元データ!$AN$2:$AN$2001=1)*(元データ!$AE$2:$AE$2001=$C$80)*(元データ!$AO$2:$AO$2001=1)*(元データ!$AM$2:$AM$2001&gt;=22)*(元データ!$AM$2:$AM$2001&lt;=30)*(元データ!$E$2:$E$2001="40 差戻し"))</f>
        <v>0</v>
      </c>
      <c r="BV80" s="59" t="str" cm="1">
        <f t="array" aca="1" ref="BV80" ca="1">IFERROR(_xlfn.TEXTJOIN(CHAR(10),TRUE,IF((元データ!$AL$2:$AL$2001=1)*(元データ!$AN$2:$AN$2001=1)*(元データ!$AE$2:$AE$2001=$C$80)*(元データ!$AO$2:$AO$2001=1)*(元データ!$AM$2:$AM$2001&gt;=22)*(元データ!$AM$2:$AM$2001&lt;=30)*(元データ!$E$2:$E$2001="40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0" s="46">
        <f ca="1">SUMPRODUCT((元データ!$AL$2:$AL$2001=1)*(元データ!$AN$2:$AN$2001=1)*(元データ!$AE$2:$AE$2001=$C$80)*(元データ!$AO$2:$AO$2001=1)*(元データ!$AM$2:$AM$2001&gt;=31))</f>
        <v>15</v>
      </c>
      <c r="BX80" s="46">
        <f ca="1">SUMPRODUCT((元データ!$AL$2:$AL$2001=1)*(元データ!$AN$2:$AN$2001=1)*(元データ!$AE$2:$AE$2001=$C$80)*(元データ!$AO$2:$AO$2001=1)*(元データ!$AM$2:$AM$2001&gt;=31)*(元データ!$E$2:$E$2001="20 確認待ち"))</f>
        <v>1</v>
      </c>
      <c r="BY80" s="56" t="str" cm="1">
        <f t="array" aca="1" ref="BY80" ca="1">IFERROR(_xlfn.TEXTJOIN(CHAR(10),TRUE,IF((元データ!$AL$2:$AL$2001=1)*(元データ!$AN$2:$AN$2001=1)*(元データ!$AE$2:$AE$2001=$C$80)*(元データ!$AO$2:$AO$2001=1)*(元データ!$AM$2:$AM$2001&gt;=31)*(元データ!$E$2:$E$2001="20 確認待ち"),元データ!$A$2:$A$2001&amp;IF(元データ!$AP$2:$AP$2001&lt;&gt;"","（"&amp;MID(元データ!$AP$2:$AP$2001,2,100)&amp;")",""),"")),"")</f>
        <v>202660001153（添待ち)</v>
      </c>
      <c r="BZ80" s="56"/>
      <c r="CA80" s="56"/>
      <c r="CB80" s="46">
        <f ca="1">SUMPRODUCT((元データ!$AL$2:$AL$2001=1)*(元データ!$AN$2:$AN$2001=1)*(元データ!$AE$2:$AE$2001=$C$80)*(元データ!$AO$2:$AO$2001=1)*(元データ!$AM$2:$AM$2001&gt;=31)*(元データ!$E$2:$E$2001="30 申請受付"))</f>
        <v>0</v>
      </c>
      <c r="CC80" s="56" t="str" cm="1">
        <f t="array" aca="1" ref="CC80" ca="1">IFERROR(_xlfn.TEXTJOIN(CHAR(10),TRUE,IF((元データ!$AL$2:$AL$2001=1)*(元データ!$AN$2:$AN$2001=1)*(元データ!$AE$2:$AE$2001=$C$80)*(元データ!$AO$2:$AO$2001=1)*(元データ!$AM$2:$AM$2001&gt;=31)*(元データ!$E$2:$E$2001="30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80" s="56"/>
      <c r="CE80" s="56"/>
      <c r="CF80" s="46">
        <f ca="1">SUMPRODUCT((元データ!$AL$2:$AL$2001=1)*(元データ!$AN$2:$AN$2001=1)*(元データ!$AE$2:$AE$2001=$C$80)*(元データ!$AO$2:$AO$2001=1)*(元データ!$AM$2:$AM$2001&gt;=31)*(元データ!$E$2:$E$2001="31 ＯＰ確認中"))</f>
        <v>1</v>
      </c>
      <c r="CG80" s="56" t="str" cm="1">
        <f t="array" aca="1" ref="CG80" ca="1">IFERROR(_xlfn.TEXTJOIN(CHAR(10),TRUE,IF((元データ!$AL$2:$AL$2001=1)*(元データ!$AN$2:$AN$2001=1)*(元データ!$AE$2:$AE$2001=$C$80)*(元データ!$AO$2:$AO$2001=1)*(元データ!$AM$2:$AM$2001&gt;=31)*(元データ!$E$2:$E$2001="31 ＯＰ確認中"),元データ!$A$2:$A$2001&amp;IF(元データ!$AP$2:$AP$2001&lt;&gt;"","（"&amp;MID(元データ!$AP$2:$AP$2001,2,100)&amp;")",""),"")),"")</f>
        <v>200960002933</v>
      </c>
      <c r="CH80" s="56"/>
      <c r="CI80" s="56"/>
      <c r="CJ80" s="46">
        <f ca="1">SUMPRODUCT((元データ!$AL$2:$AL$2001=1)*(元データ!$AN$2:$AN$2001=1)*(元データ!$AE$2:$AE$2001=$C$80)*(元データ!$AO$2:$AO$2001=1)*(元データ!$AM$2:$AM$2001&gt;=31)*(元データ!$E$2:$E$2001="32 ＳＶ確認中"))</f>
        <v>3</v>
      </c>
      <c r="CK80" s="56" t="str" cm="1">
        <f t="array" aca="1" ref="CK80" ca="1">IFERROR(_xlfn.TEXTJOIN(CHAR(10),TRUE,IF((元データ!$AL$2:$AL$2001=1)*(元データ!$AN$2:$AN$2001=1)*(元データ!$AE$2:$AE$2001=$C$80)*(元データ!$AO$2:$AO$2001=1)*(元データ!$AM$2:$AM$2001&gt;=31)*(元データ!$E$2:$E$2001="32 ＳＶ確認中"),元データ!$A$2:$A$2001&amp;IF(元データ!$AP$2:$AP$2001&lt;&gt;"","（"&amp;MID(元データ!$AP$2:$AP$2001,2,100)&amp;")",""),"")),"")</f>
        <v>202660001033
202660001203
202660001253</v>
      </c>
      <c r="CL80" s="56">
        <f ca="1">SUMPRODUCT((元データ!$AL$2:$AL$2001=1)*(元データ!$AN$2:$AN$2001=1)*(元データ!$AE$2:$AE$2001=$C$80)*(元データ!$AO$2:$AO$2001=1)*(元データ!$AM$2:$AM$2001&gt;=31)*(元データ!$E$2:$E$2001="40 差戻し"))</f>
        <v>5</v>
      </c>
      <c r="CM80" s="56" t="str" cm="1">
        <f t="array" aca="1" ref="CM80" ca="1">IFERROR(_xlfn.TEXTJOIN(CHAR(10),TRUE,IF((元データ!$AL$2:$AL$2001=1)*(元データ!$AN$2:$AN$2001=1)*(元データ!$AE$2:$AE$2001=$C$80)*(元データ!$AO$2:$AO$2001=1)*(元データ!$AM$2:$AM$2001&gt;=31)*(元データ!$E$2:$E$2001="40 差戻し"),元データ!$A$2:$A$2001&amp;IF(元データ!$AP$2:$AP$2001&lt;&gt;"","（"&amp;MID(元データ!$AP$2:$AP$2001,2,100)&amp;")",""),"")),"")</f>
        <v>201860001388（添待ち・SV)
202660001060（添待ち)
202660001211（添待ち)
202660001270（添待ち)
202660001271（添待ち)</v>
      </c>
    </row>
    <row r="81" spans="2:91" ht="24.95" customHeight="1">
      <c r="B81" s="92"/>
      <c r="C81" s="63"/>
      <c r="D81" s="63"/>
      <c r="E81" s="47" t="s">
        <v>134</v>
      </c>
      <c r="F81" s="48">
        <f>SUMPRODUCT((元データ!$AL$2:$AL$2001=1)*(元データ!$AN$2:$AN$2001=1)*(元データ!$AE$2:$AE$2001=$C$80)*(元データ!$AO$2:$AO$2001=0))</f>
        <v>4</v>
      </c>
      <c r="G81" s="49">
        <f ca="1">SUMPRODUCT((元データ!$AL$2:$AL$2001=1)*(元データ!$AN$2:$AN$2001=1)*(元データ!$AE$2:$AE$2001=$C$80)*(元データ!$AO$2:$AO$2001=0)*(元データ!$AM$2:$AM$2001&lt;=7))</f>
        <v>0</v>
      </c>
      <c r="H81" s="49">
        <f ca="1">SUMPRODUCT((元データ!$AL$2:$AL$2001=1)*(元データ!$AN$2:$AN$2001=1)*(元データ!$AE$2:$AE$2001=$C$80)*(元データ!$AO$2:$AO$2001=0)*(元データ!$AM$2:$AM$2001&lt;=7)*(元データ!$E$2:$E$2001="20 確認待ち"))</f>
        <v>0</v>
      </c>
      <c r="I81" s="57" t="str" cm="1">
        <f t="array" aca="1" ref="I81" ca="1">IFERROR(_xlfn.TEXTJOIN(CHAR(10),TRUE,IF((元データ!$AL$2:$AL$2001=1)*(元データ!$AN$2:$AN$2001=1)*(元データ!$AE$2:$AE$2001=$C$80)*(元データ!$AO$2:$AO$2001=0)*(元データ!$AM$2:$AM$2001&lt;=7)*(元データ!$E$2:$E$2001="20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81" s="57"/>
      <c r="K81" s="57"/>
      <c r="L81" s="49">
        <f ca="1">SUMPRODUCT((元データ!$AL$2:$AL$2001=1)*(元データ!$AN$2:$AN$2001=1)*(元データ!$AE$2:$AE$2001=$C$80)*(元データ!$AO$2:$AO$2001=0)*(元データ!$AM$2:$AM$2001&lt;=7)*(元データ!$E$2:$E$2001="30 申請受付"))</f>
        <v>0</v>
      </c>
      <c r="M81" s="57" t="str" cm="1">
        <f t="array" aca="1" ref="M81" ca="1">IFERROR(_xlfn.TEXTJOIN(CHAR(10),TRUE,IF((元データ!$AL$2:$AL$2001=1)*(元データ!$AN$2:$AN$2001=1)*(元データ!$AE$2:$AE$2001=$C$80)*(元データ!$AO$2:$AO$2001=0)*(元データ!$AM$2:$AM$2001&lt;=7)*(元データ!$E$2:$E$2001="30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81" s="57"/>
      <c r="O81" s="57"/>
      <c r="P81" s="49">
        <f ca="1">SUMPRODUCT((元データ!$AL$2:$AL$2001=1)*(元データ!$AN$2:$AN$2001=1)*(元データ!$AE$2:$AE$2001=$C$80)*(元データ!$AO$2:$AO$2001=0)*(元データ!$AM$2:$AM$2001&lt;=7)*(元データ!$E$2:$E$2001="31 ＯＰ確認中"))</f>
        <v>0</v>
      </c>
      <c r="Q81" s="57" t="str" cm="1">
        <f t="array" aca="1" ref="Q81" ca="1">IFERROR(_xlfn.TEXTJOIN(CHAR(10),TRUE,IF((元データ!$AL$2:$AL$2001=1)*(元データ!$AN$2:$AN$2001=1)*(元データ!$AE$2:$AE$2001=$C$80)*(元データ!$AO$2:$AO$2001=0)*(元データ!$AM$2:$AM$2001&lt;=7)*(元データ!$E$2:$E$2001="31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81" s="57"/>
      <c r="S81" s="57"/>
      <c r="T81" s="49">
        <f ca="1">SUMPRODUCT((元データ!$AL$2:$AL$2001=1)*(元データ!$AN$2:$AN$2001=1)*(元データ!$AE$2:$AE$2001=$C$80)*(元データ!$AO$2:$AO$2001=0)*(元データ!$AM$2:$AM$2001&lt;=7)*(元データ!$E$2:$E$2001="32 ＳＶ確認中"))</f>
        <v>0</v>
      </c>
      <c r="U81" s="57" t="str" cm="1">
        <f t="array" aca="1" ref="U81" ca="1">IFERROR(_xlfn.TEXTJOIN(CHAR(10),TRUE,IF((元データ!$AL$2:$AL$2001=1)*(元データ!$AN$2:$AN$2001=1)*(元データ!$AE$2:$AE$2001=$C$80)*(元データ!$AO$2:$AO$2001=0)*(元データ!$AM$2:$AM$2001&lt;=7)*(元データ!$E$2:$E$2001="32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81" s="57"/>
      <c r="W81" s="57"/>
      <c r="X81" s="49">
        <f ca="1">SUMPRODUCT((元データ!$AL$2:$AL$2001=1)*(元データ!$AN$2:$AN$2001=1)*(元データ!$AE$2:$AE$2001=$C$80)*(元データ!$AO$2:$AO$2001=0)*(元データ!$AM$2:$AM$2001&gt;=8)*(元データ!$AM$2:$AM$2001&lt;=14))</f>
        <v>0</v>
      </c>
      <c r="Y81" s="49">
        <f ca="1">SUMPRODUCT((元データ!$AL$2:$AL$2001=1)*(元データ!$AN$2:$AN$2001=1)*(元データ!$AE$2:$AE$2001=$C$80)*(元データ!$AO$2:$AO$2001=0)*(元データ!$AM$2:$AM$2001&gt;=8)*(元データ!$AM$2:$AM$2001&lt;=14)*(元データ!$E$2:$E$2001="20 確認待ち"))</f>
        <v>0</v>
      </c>
      <c r="Z81" s="57" t="str" cm="1">
        <f t="array" aca="1" ref="Z81" ca="1">IFERROR(_xlfn.TEXTJOIN(CHAR(10),TRUE,IF((元データ!$AL$2:$AL$2001=1)*(元データ!$AN$2:$AN$2001=1)*(元データ!$AE$2:$AE$2001=$C$80)*(元データ!$AO$2:$AO$2001=0)*(元データ!$AM$2:$AM$2001&gt;=8)*(元データ!$AM$2:$AM$2001&lt;=14)*(元データ!$E$2:$E$2001="20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1" s="57"/>
      <c r="AB81" s="57"/>
      <c r="AC81" s="49">
        <f ca="1">SUMPRODUCT((元データ!$AL$2:$AL$2001=1)*(元データ!$AN$2:$AN$2001=1)*(元データ!$AE$2:$AE$2001=$C$80)*(元データ!$AO$2:$AO$2001=0)*(元データ!$AM$2:$AM$2001&gt;=8)*(元データ!$AM$2:$AM$2001&lt;=14)*(元データ!$E$2:$E$2001="30 申請受付"))</f>
        <v>0</v>
      </c>
      <c r="AD81" s="57" t="str" cm="1">
        <f t="array" aca="1" ref="AD81" ca="1">IFERROR(_xlfn.TEXTJOIN(CHAR(10),TRUE,IF((元データ!$AL$2:$AL$2001=1)*(元データ!$AN$2:$AN$2001=1)*(元データ!$AE$2:$AE$2001=$C$80)*(元データ!$AO$2:$AO$2001=0)*(元データ!$AM$2:$AM$2001&gt;=8)*(元データ!$AM$2:$AM$2001&lt;=14)*(元データ!$E$2:$E$2001="30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1" s="57"/>
      <c r="AF81" s="57"/>
      <c r="AG81" s="49">
        <f ca="1">SUMPRODUCT((元データ!$AL$2:$AL$2001=1)*(元データ!$AN$2:$AN$2001=1)*(元データ!$AE$2:$AE$2001=$C$80)*(元データ!$AO$2:$AO$2001=0)*(元データ!$AM$2:$AM$2001&gt;=8)*(元データ!$AM$2:$AM$2001&lt;=14)*(元データ!$E$2:$E$2001="31 ＯＰ確認中"))</f>
        <v>0</v>
      </c>
      <c r="AH81" s="57" t="str" cm="1">
        <f t="array" aca="1" ref="AH81" ca="1">IFERROR(_xlfn.TEXTJOIN(CHAR(10),TRUE,IF((元データ!$AL$2:$AL$2001=1)*(元データ!$AN$2:$AN$2001=1)*(元データ!$AE$2:$AE$2001=$C$80)*(元データ!$AO$2:$AO$2001=0)*(元データ!$AM$2:$AM$2001&gt;=8)*(元データ!$AM$2:$AM$2001&lt;=14)*(元データ!$E$2:$E$2001="31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1" s="57"/>
      <c r="AJ81" s="57"/>
      <c r="AK81" s="49">
        <f ca="1">SUMPRODUCT((元データ!$AL$2:$AL$2001=1)*(元データ!$AN$2:$AN$2001=1)*(元データ!$AE$2:$AE$2001=$C$80)*(元データ!$AO$2:$AO$2001=0)*(元データ!$AM$2:$AM$2001&gt;=8)*(元データ!$AM$2:$AM$2001&lt;=14)*(元データ!$E$2:$E$2001="32 ＳＶ確認中"))</f>
        <v>0</v>
      </c>
      <c r="AL81" s="57" t="str" cm="1">
        <f t="array" aca="1" ref="AL81" ca="1">IFERROR(_xlfn.TEXTJOIN(CHAR(10),TRUE,IF((元データ!$AL$2:$AL$2001=1)*(元データ!$AN$2:$AN$2001=1)*(元データ!$AE$2:$AE$2001=$C$80)*(元データ!$AO$2:$AO$2001=0)*(元データ!$AM$2:$AM$2001&gt;=8)*(元データ!$AM$2:$AM$2001&lt;=14)*(元データ!$E$2:$E$2001="32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1" s="57">
        <f ca="1">SUMPRODUCT((元データ!$AL$2:$AL$2001=1)*(元データ!$AN$2:$AN$2001=1)*(元データ!$AE$2:$AE$2001=$C$80)*(元データ!$AO$2:$AO$2001=0)*(元データ!$AM$2:$AM$2001&gt;=8)*(元データ!$AM$2:$AM$2001&lt;=14)*(元データ!$E$2:$E$2001="40 差戻し"))</f>
        <v>0</v>
      </c>
      <c r="AN81" s="57" t="str" cm="1">
        <f t="array" aca="1" ref="AN81" ca="1">IFERROR(_xlfn.TEXTJOIN(CHAR(10),TRUE,IF((元データ!$AL$2:$AL$2001=1)*(元データ!$AN$2:$AN$2001=1)*(元データ!$AE$2:$AE$2001=$C$80)*(元データ!$AO$2:$AO$2001=0)*(元データ!$AM$2:$AM$2001&gt;=8)*(元データ!$AM$2:$AM$2001&lt;=14)*(元データ!$E$2:$E$2001="40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1" s="44">
        <f ca="1">SUMPRODUCT((元データ!$AL$2:$AL$2001=1)*(元データ!$AN$2:$AN$2001=1)*(元データ!$AE$2:$AE$2001=$C$80)*(元データ!$AO$2:$AO$2001=0)*(元データ!$AM$2:$AM$2001&gt;=15)*(元データ!$AM$2:$AM$2001&lt;=21))</f>
        <v>0</v>
      </c>
      <c r="AP81" s="44">
        <f ca="1">SUMPRODUCT((元データ!$AL$2:$AL$2001=1)*(元データ!$AN$2:$AN$2001=1)*(元データ!$AE$2:$AE$2001=$C$80)*(元データ!$AO$2:$AO$2001=0)*(元データ!$AM$2:$AM$2001&gt;=15)*(元データ!$AM$2:$AM$2001&lt;=21)*(元データ!$E$2:$E$2001="20 確認待ち"))</f>
        <v>0</v>
      </c>
      <c r="AQ81" s="58" t="str" cm="1">
        <f t="array" aca="1" ref="AQ81" ca="1">IFERROR(_xlfn.TEXTJOIN(CHAR(10),TRUE,IF((元データ!$AL$2:$AL$2001=1)*(元データ!$AN$2:$AN$2001=1)*(元データ!$AE$2:$AE$2001=$C$80)*(元データ!$AO$2:$AO$2001=0)*(元データ!$AM$2:$AM$2001&gt;=15)*(元データ!$AM$2:$AM$2001&lt;=21)*(元データ!$E$2:$E$2001="20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1" s="58"/>
      <c r="AS81" s="58"/>
      <c r="AT81" s="44">
        <f ca="1">SUMPRODUCT((元データ!$AL$2:$AL$2001=1)*(元データ!$AN$2:$AN$2001=1)*(元データ!$AE$2:$AE$2001=$C$80)*(元データ!$AO$2:$AO$2001=0)*(元データ!$AM$2:$AM$2001&gt;=15)*(元データ!$AM$2:$AM$2001&lt;=21)*(元データ!$E$2:$E$2001="30 申請受付"))</f>
        <v>0</v>
      </c>
      <c r="AU81" s="58" t="str" cm="1">
        <f t="array" aca="1" ref="AU81" ca="1">IFERROR(_xlfn.TEXTJOIN(CHAR(10),TRUE,IF((元データ!$AL$2:$AL$2001=1)*(元データ!$AN$2:$AN$2001=1)*(元データ!$AE$2:$AE$2001=$C$80)*(元データ!$AO$2:$AO$2001=0)*(元データ!$AM$2:$AM$2001&gt;=15)*(元データ!$AM$2:$AM$2001&lt;=21)*(元データ!$E$2:$E$2001="30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1" s="58"/>
      <c r="AW81" s="58"/>
      <c r="AX81" s="44">
        <f ca="1">SUMPRODUCT((元データ!$AL$2:$AL$2001=1)*(元データ!$AN$2:$AN$2001=1)*(元データ!$AE$2:$AE$2001=$C$80)*(元データ!$AO$2:$AO$2001=0)*(元データ!$AM$2:$AM$2001&gt;=15)*(元データ!$AM$2:$AM$2001&lt;=21)*(元データ!$E$2:$E$2001="31 ＯＰ確認中"))</f>
        <v>0</v>
      </c>
      <c r="AY81" s="58" t="str" cm="1">
        <f t="array" aca="1" ref="AY81" ca="1">IFERROR(_xlfn.TEXTJOIN(CHAR(10),TRUE,IF((元データ!$AL$2:$AL$2001=1)*(元データ!$AN$2:$AN$2001=1)*(元データ!$AE$2:$AE$2001=$C$80)*(元データ!$AO$2:$AO$2001=0)*(元データ!$AM$2:$AM$2001&gt;=15)*(元データ!$AM$2:$AM$2001&lt;=21)*(元データ!$E$2:$E$2001="31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1" s="58"/>
      <c r="BA81" s="58"/>
      <c r="BB81" s="44">
        <f ca="1">SUMPRODUCT((元データ!$AL$2:$AL$2001=1)*(元データ!$AN$2:$AN$2001=1)*(元データ!$AE$2:$AE$2001=$C$80)*(元データ!$AO$2:$AO$2001=0)*(元データ!$AM$2:$AM$2001&gt;=15)*(元データ!$AM$2:$AM$2001&lt;=21)*(元データ!$E$2:$E$2001="32 ＳＶ確認中"))</f>
        <v>0</v>
      </c>
      <c r="BC81" s="58" t="str" cm="1">
        <f t="array" aca="1" ref="BC81" ca="1">IFERROR(_xlfn.TEXTJOIN(CHAR(10),TRUE,IF((元データ!$AL$2:$AL$2001=1)*(元データ!$AN$2:$AN$2001=1)*(元データ!$AE$2:$AE$2001=$C$80)*(元データ!$AO$2:$AO$2001=0)*(元データ!$AM$2:$AM$2001&gt;=15)*(元データ!$AM$2:$AM$2001&lt;=21)*(元データ!$E$2:$E$2001="32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1" s="58">
        <f ca="1">SUMPRODUCT((元データ!$AL$2:$AL$2001=1)*(元データ!$AN$2:$AN$2001=1)*(元データ!$AE$2:$AE$2001=$C$80)*(元データ!$AO$2:$AO$2001=0)*(元データ!$AM$2:$AM$2001&gt;=15)*(元データ!$AM$2:$AM$2001&lt;=21)*(元データ!$E$2:$E$2001="40 差戻し"))</f>
        <v>0</v>
      </c>
      <c r="BE81" s="58" t="str" cm="1">
        <f t="array" aca="1" ref="BE81" ca="1">IFERROR(_xlfn.TEXTJOIN(CHAR(10),TRUE,IF((元データ!$AL$2:$AL$2001=1)*(元データ!$AN$2:$AN$2001=1)*(元データ!$AE$2:$AE$2001=$C$80)*(元データ!$AO$2:$AO$2001=0)*(元データ!$AM$2:$AM$2001&gt;=15)*(元データ!$AM$2:$AM$2001&lt;=21)*(元データ!$E$2:$E$2001="40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1" s="45">
        <f ca="1">SUMPRODUCT((元データ!$AL$2:$AL$2001=1)*(元データ!$AN$2:$AN$2001=1)*(元データ!$AE$2:$AE$2001=$C$80)*(元データ!$AO$2:$AO$2001=0)*(元データ!$AM$2:$AM$2001&gt;=22)*(元データ!$AM$2:$AM$2001&lt;=30))</f>
        <v>1</v>
      </c>
      <c r="BG81" s="45">
        <f ca="1">SUMPRODUCT((元データ!$AL$2:$AL$2001=1)*(元データ!$AN$2:$AN$2001=1)*(元データ!$AE$2:$AE$2001=$C$80)*(元データ!$AO$2:$AO$2001=0)*(元データ!$AM$2:$AM$2001&gt;=22)*(元データ!$AM$2:$AM$2001&lt;=30)*(元データ!$E$2:$E$2001="20 確認待ち"))</f>
        <v>0</v>
      </c>
      <c r="BH81" s="59" t="str" cm="1">
        <f t="array" aca="1" ref="BH81" ca="1">IFERROR(_xlfn.TEXTJOIN(CHAR(10),TRUE,IF((元データ!$AL$2:$AL$2001=1)*(元データ!$AN$2:$AN$2001=1)*(元データ!$AE$2:$AE$2001=$C$80)*(元データ!$AO$2:$AO$2001=0)*(元データ!$AM$2:$AM$2001&gt;=22)*(元データ!$AM$2:$AM$2001&lt;=30)*(元データ!$E$2:$E$2001="20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1" s="59"/>
      <c r="BJ81" s="59"/>
      <c r="BK81" s="45">
        <f ca="1">SUMPRODUCT((元データ!$AL$2:$AL$2001=1)*(元データ!$AN$2:$AN$2001=1)*(元データ!$AE$2:$AE$2001=$C$80)*(元データ!$AO$2:$AO$2001=0)*(元データ!$AM$2:$AM$2001&gt;=22)*(元データ!$AM$2:$AM$2001&lt;=30)*(元データ!$E$2:$E$2001="30 申請受付"))</f>
        <v>0</v>
      </c>
      <c r="BL81" s="59" t="str" cm="1">
        <f t="array" aca="1" ref="BL81" ca="1">IFERROR(_xlfn.TEXTJOIN(CHAR(10),TRUE,IF((元データ!$AL$2:$AL$2001=1)*(元データ!$AN$2:$AN$2001=1)*(元データ!$AE$2:$AE$2001=$C$80)*(元データ!$AO$2:$AO$2001=0)*(元データ!$AM$2:$AM$2001&gt;=22)*(元データ!$AM$2:$AM$2001&lt;=30)*(元データ!$E$2:$E$2001="30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1" s="59"/>
      <c r="BN81" s="59"/>
      <c r="BO81" s="45">
        <f ca="1">SUMPRODUCT((元データ!$AL$2:$AL$2001=1)*(元データ!$AN$2:$AN$2001=1)*(元データ!$AE$2:$AE$2001=$C$80)*(元データ!$AO$2:$AO$2001=0)*(元データ!$AM$2:$AM$2001&gt;=22)*(元データ!$AM$2:$AM$2001&lt;=30)*(元データ!$E$2:$E$2001="31 ＯＰ確認中"))</f>
        <v>1</v>
      </c>
      <c r="BP81" s="59" t="str" cm="1">
        <f t="array" aca="1" ref="BP81" ca="1">IFERROR(_xlfn.TEXTJOIN(CHAR(10),TRUE,IF((元データ!$AL$2:$AL$2001=1)*(元データ!$AN$2:$AN$2001=1)*(元データ!$AE$2:$AE$2001=$C$80)*(元データ!$AO$2:$AO$2001=0)*(元データ!$AM$2:$AM$2001&gt;=22)*(元データ!$AM$2:$AM$2001&lt;=30)*(元データ!$E$2:$E$2001="31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>202660001307</v>
      </c>
      <c r="BQ81" s="59"/>
      <c r="BR81" s="59"/>
      <c r="BS81" s="45">
        <f ca="1">SUMPRODUCT((元データ!$AL$2:$AL$2001=1)*(元データ!$AN$2:$AN$2001=1)*(元データ!$AE$2:$AE$2001=$C$80)*(元データ!$AO$2:$AO$2001=0)*(元データ!$AM$2:$AM$2001&gt;=22)*(元データ!$AM$2:$AM$2001&lt;=30)*(元データ!$E$2:$E$2001="32 ＳＶ確認中"))</f>
        <v>0</v>
      </c>
      <c r="BT81" s="59" t="str" cm="1">
        <f t="array" aca="1" ref="BT81" ca="1">IFERROR(_xlfn.TEXTJOIN(CHAR(10),TRUE,IF((元データ!$AL$2:$AL$2001=1)*(元データ!$AN$2:$AN$2001=1)*(元データ!$AE$2:$AE$2001=$C$80)*(元データ!$AO$2:$AO$2001=0)*(元データ!$AM$2:$AM$2001&gt;=22)*(元データ!$AM$2:$AM$2001&lt;=30)*(元データ!$E$2:$E$2001="32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1" s="59">
        <f ca="1">SUMPRODUCT((元データ!$AL$2:$AL$2001=1)*(元データ!$AN$2:$AN$2001=1)*(元データ!$AE$2:$AE$2001=$C$80)*(元データ!$AO$2:$AO$2001=0)*(元データ!$AM$2:$AM$2001&gt;=22)*(元データ!$AM$2:$AM$2001&lt;=30)*(元データ!$E$2:$E$2001="40 差戻し"))</f>
        <v>0</v>
      </c>
      <c r="BV81" s="59" t="str" cm="1">
        <f t="array" aca="1" ref="BV81" ca="1">IFERROR(_xlfn.TEXTJOIN(CHAR(10),TRUE,IF((元データ!$AL$2:$AL$2001=1)*(元データ!$AN$2:$AN$2001=1)*(元データ!$AE$2:$AE$2001=$C$80)*(元データ!$AO$2:$AO$2001=0)*(元データ!$AM$2:$AM$2001&gt;=22)*(元データ!$AM$2:$AM$2001&lt;=30)*(元データ!$E$2:$E$2001="40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1" s="46">
        <f ca="1">SUMPRODUCT((元データ!$AL$2:$AL$2001=1)*(元データ!$AN$2:$AN$2001=1)*(元データ!$AE$2:$AE$2001=$C$80)*(元データ!$AO$2:$AO$2001=0)*(元データ!$AM$2:$AM$2001&gt;=31))</f>
        <v>3</v>
      </c>
      <c r="BX81" s="46">
        <f ca="1">SUMPRODUCT((元データ!$AL$2:$AL$2001=1)*(元データ!$AN$2:$AN$2001=1)*(元データ!$AE$2:$AE$2001=$C$80)*(元データ!$AO$2:$AO$2001=0)*(元データ!$AM$2:$AM$2001&gt;=31)*(元データ!$E$2:$E$2001="20 確認待ち"))</f>
        <v>0</v>
      </c>
      <c r="BY81" s="56" t="str" cm="1">
        <f t="array" aca="1" ref="BY81" ca="1">IFERROR(_xlfn.TEXTJOIN(CHAR(10),TRUE,IF((元データ!$AL$2:$AL$2001=1)*(元データ!$AN$2:$AN$2001=1)*(元データ!$AE$2:$AE$2001=$C$80)*(元データ!$AO$2:$AO$2001=0)*(元データ!$AM$2:$AM$2001&gt;=31)*(元データ!$E$2:$E$2001="20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81" s="56"/>
      <c r="CA81" s="56"/>
      <c r="CB81" s="46">
        <f ca="1">SUMPRODUCT((元データ!$AL$2:$AL$2001=1)*(元データ!$AN$2:$AN$2001=1)*(元データ!$AE$2:$AE$2001=$C$80)*(元データ!$AO$2:$AO$2001=0)*(元データ!$AM$2:$AM$2001&gt;=31)*(元データ!$E$2:$E$2001="30 申請受付"))</f>
        <v>0</v>
      </c>
      <c r="CC81" s="56" t="str" cm="1">
        <f t="array" aca="1" ref="CC81" ca="1">IFERROR(_xlfn.TEXTJOIN(CHAR(10),TRUE,IF((元データ!$AL$2:$AL$2001=1)*(元データ!$AN$2:$AN$2001=1)*(元データ!$AE$2:$AE$2001=$C$80)*(元データ!$AO$2:$AO$2001=0)*(元データ!$AM$2:$AM$2001&gt;=31)*(元データ!$E$2:$E$2001="30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81" s="56"/>
      <c r="CE81" s="56"/>
      <c r="CF81" s="46">
        <f ca="1">SUMPRODUCT((元データ!$AL$2:$AL$2001=1)*(元データ!$AN$2:$AN$2001=1)*(元データ!$AE$2:$AE$2001=$C$80)*(元データ!$AO$2:$AO$2001=0)*(元データ!$AM$2:$AM$2001&gt;=31)*(元データ!$E$2:$E$2001="31 ＯＰ確認中"))</f>
        <v>1</v>
      </c>
      <c r="CG81" s="56" t="str" cm="1">
        <f t="array" aca="1" ref="CG81" ca="1">IFERROR(_xlfn.TEXTJOIN(CHAR(10),TRUE,IF((元データ!$AL$2:$AL$2001=1)*(元データ!$AN$2:$AN$2001=1)*(元データ!$AE$2:$AE$2001=$C$80)*(元データ!$AO$2:$AO$2001=0)*(元データ!$AM$2:$AM$2001&gt;=31)*(元データ!$E$2:$E$2001="31 ＯＰ確認中"),元データ!$A$2:$A$2001&amp;IF(元データ!$AP$2:$AP$2001&lt;&gt;"","（"&amp;MID(元データ!$AP$2:$AP$2001,2,100)&amp;")",""),"")),"")</f>
        <v>202660001212</v>
      </c>
      <c r="CH81" s="56"/>
      <c r="CI81" s="56"/>
      <c r="CJ81" s="46">
        <f ca="1">SUMPRODUCT((元データ!$AL$2:$AL$2001=1)*(元データ!$AN$2:$AN$2001=1)*(元データ!$AE$2:$AE$2001=$C$80)*(元データ!$AO$2:$AO$2001=0)*(元データ!$AM$2:$AM$2001&gt;=31)*(元データ!$E$2:$E$2001="32 ＳＶ確認中"))</f>
        <v>1</v>
      </c>
      <c r="CK81" s="56" t="str" cm="1">
        <f t="array" aca="1" ref="CK81" ca="1">IFERROR(_xlfn.TEXTJOIN(CHAR(10),TRUE,IF((元データ!$AL$2:$AL$2001=1)*(元データ!$AN$2:$AN$2001=1)*(元データ!$AE$2:$AE$2001=$C$80)*(元データ!$AO$2:$AO$2001=0)*(元データ!$AM$2:$AM$2001&gt;=31)*(元データ!$E$2:$E$2001="32 ＳＶ確認中"),元データ!$A$2:$A$2001&amp;IF(元データ!$AP$2:$AP$2001&lt;&gt;"","（"&amp;MID(元データ!$AP$2:$AP$2001,2,100)&amp;")",""),"")),"")</f>
        <v>202660001115</v>
      </c>
      <c r="CL81" s="56">
        <f ca="1">SUMPRODUCT((元データ!$AL$2:$AL$2001=1)*(元データ!$AN$2:$AN$2001=1)*(元データ!$AE$2:$AE$2001=$C$80)*(元データ!$AO$2:$AO$2001=0)*(元データ!$AM$2:$AM$2001&gt;=31)*(元データ!$E$2:$E$2001="40 差戻し"))</f>
        <v>0</v>
      </c>
      <c r="CM81" s="56" t="str" cm="1">
        <f t="array" aca="1" ref="CM81" ca="1">IFERROR(_xlfn.TEXTJOIN(CHAR(10),TRUE,IF((元データ!$AL$2:$AL$2001=1)*(元データ!$AN$2:$AN$2001=1)*(元データ!$AE$2:$AE$2001=$C$80)*(元データ!$AO$2:$AO$2001=0)*(元データ!$AM$2:$AM$2001&gt;=31)*(元データ!$E$2:$E$2001="40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82" spans="2:91" ht="24.95" customHeight="1">
      <c r="B82" s="91"/>
      <c r="C82" s="63" t="s">
        <v>52</v>
      </c>
      <c r="D82" s="63"/>
      <c r="E82" s="41" t="s">
        <v>133</v>
      </c>
      <c r="F82" s="42">
        <f>SUMPRODUCT((元データ!$AL$2:$AL$2001=1)*(元データ!$AN$2:$AN$2001=1)*(元データ!$AE$2:$AE$2001=$C$82)*(元データ!$AO$2:$AO$2001=1))</f>
        <v>2</v>
      </c>
      <c r="G82" s="43">
        <f ca="1">SUMPRODUCT((元データ!$AL$2:$AL$2001=1)*(元データ!$AN$2:$AN$2001=1)*(元データ!$AE$2:$AE$2001=$C$82)*(元データ!$AO$2:$AO$2001=1)*(元データ!$AM$2:$AM$2001&lt;=7))</f>
        <v>0</v>
      </c>
      <c r="H82" s="43">
        <f ca="1">SUMPRODUCT((元データ!$AL$2:$AL$2001=1)*(元データ!$AN$2:$AN$2001=1)*(元データ!$AE$2:$AE$2001=$C$82)*(元データ!$AO$2:$AO$2001=1)*(元データ!$AM$2:$AM$2001&lt;=7)*(元データ!$E$2:$E$2001="20 確認待ち"))</f>
        <v>0</v>
      </c>
      <c r="I82" s="61" t="str" cm="1">
        <f t="array" aca="1" ref="I82" ca="1">IFERROR(_xlfn.TEXTJOIN(CHAR(10),TRUE,IF((元データ!$AL$2:$AL$2001=1)*(元データ!$AN$2:$AN$2001=1)*(元データ!$AE$2:$AE$2001=$C$82)*(元データ!$AO$2:$AO$2001=1)*(元データ!$AM$2:$AM$2001&lt;=7)*(元データ!$E$2:$E$2001="20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82" s="61"/>
      <c r="K82" s="61"/>
      <c r="L82" s="43">
        <f ca="1">SUMPRODUCT((元データ!$AL$2:$AL$2001=1)*(元データ!$AN$2:$AN$2001=1)*(元データ!$AE$2:$AE$2001=$C$82)*(元データ!$AO$2:$AO$2001=1)*(元データ!$AM$2:$AM$2001&lt;=7)*(元データ!$E$2:$E$2001="30 申請受付"))</f>
        <v>0</v>
      </c>
      <c r="M82" s="61" t="str" cm="1">
        <f t="array" aca="1" ref="M82" ca="1">IFERROR(_xlfn.TEXTJOIN(CHAR(10),TRUE,IF((元データ!$AL$2:$AL$2001=1)*(元データ!$AN$2:$AN$2001=1)*(元データ!$AE$2:$AE$2001=$C$82)*(元データ!$AO$2:$AO$2001=1)*(元データ!$AM$2:$AM$2001&lt;=7)*(元データ!$E$2:$E$2001="30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82" s="61"/>
      <c r="O82" s="61"/>
      <c r="P82" s="43">
        <f ca="1">SUMPRODUCT((元データ!$AL$2:$AL$2001=1)*(元データ!$AN$2:$AN$2001=1)*(元データ!$AE$2:$AE$2001=$C$82)*(元データ!$AO$2:$AO$2001=1)*(元データ!$AM$2:$AM$2001&lt;=7)*(元データ!$E$2:$E$2001="31 ＯＰ確認中"))</f>
        <v>0</v>
      </c>
      <c r="Q82" s="61" t="str" cm="1">
        <f t="array" aca="1" ref="Q82" ca="1">IFERROR(_xlfn.TEXTJOIN(CHAR(10),TRUE,IF((元データ!$AL$2:$AL$2001=1)*(元データ!$AN$2:$AN$2001=1)*(元データ!$AE$2:$AE$2001=$C$82)*(元データ!$AO$2:$AO$2001=1)*(元データ!$AM$2:$AM$2001&lt;=7)*(元データ!$E$2:$E$2001="31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82" s="61"/>
      <c r="S82" s="61"/>
      <c r="T82" s="43">
        <f ca="1">SUMPRODUCT((元データ!$AL$2:$AL$2001=1)*(元データ!$AN$2:$AN$2001=1)*(元データ!$AE$2:$AE$2001=$C$82)*(元データ!$AO$2:$AO$2001=1)*(元データ!$AM$2:$AM$2001&lt;=7)*(元データ!$E$2:$E$2001="32 ＳＶ確認中"))</f>
        <v>0</v>
      </c>
      <c r="U82" s="61" t="str" cm="1">
        <f t="array" aca="1" ref="U82" ca="1">IFERROR(_xlfn.TEXTJOIN(CHAR(10),TRUE,IF((元データ!$AL$2:$AL$2001=1)*(元データ!$AN$2:$AN$2001=1)*(元データ!$AE$2:$AE$2001=$C$82)*(元データ!$AO$2:$AO$2001=1)*(元データ!$AM$2:$AM$2001&lt;=7)*(元データ!$E$2:$E$2001="32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82" s="61"/>
      <c r="W82" s="61"/>
      <c r="X82" s="43">
        <f ca="1">SUMPRODUCT((元データ!$AL$2:$AL$2001=1)*(元データ!$AN$2:$AN$2001=1)*(元データ!$AE$2:$AE$2001=$C$82)*(元データ!$AO$2:$AO$2001=1)*(元データ!$AM$2:$AM$2001&gt;=8)*(元データ!$AM$2:$AM$2001&lt;=14))</f>
        <v>0</v>
      </c>
      <c r="Y82" s="43">
        <f ca="1">SUMPRODUCT((元データ!$AL$2:$AL$2001=1)*(元データ!$AN$2:$AN$2001=1)*(元データ!$AE$2:$AE$2001=$C$82)*(元データ!$AO$2:$AO$2001=1)*(元データ!$AM$2:$AM$2001&gt;=8)*(元データ!$AM$2:$AM$2001&lt;=14)*(元データ!$E$2:$E$2001="20 確認待ち"))</f>
        <v>0</v>
      </c>
      <c r="Z82" s="61" t="str" cm="1">
        <f t="array" aca="1" ref="Z82" ca="1">IFERROR(_xlfn.TEXTJOIN(CHAR(10),TRUE,IF((元データ!$AL$2:$AL$2001=1)*(元データ!$AN$2:$AN$2001=1)*(元データ!$AE$2:$AE$2001=$C$82)*(元データ!$AO$2:$AO$2001=1)*(元データ!$AM$2:$AM$2001&gt;=8)*(元データ!$AM$2:$AM$2001&lt;=14)*(元データ!$E$2:$E$2001="20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2" s="61"/>
      <c r="AB82" s="61"/>
      <c r="AC82" s="43">
        <f ca="1">SUMPRODUCT((元データ!$AL$2:$AL$2001=1)*(元データ!$AN$2:$AN$2001=1)*(元データ!$AE$2:$AE$2001=$C$82)*(元データ!$AO$2:$AO$2001=1)*(元データ!$AM$2:$AM$2001&gt;=8)*(元データ!$AM$2:$AM$2001&lt;=14)*(元データ!$E$2:$E$2001="30 申請受付"))</f>
        <v>0</v>
      </c>
      <c r="AD82" s="61" t="str" cm="1">
        <f t="array" aca="1" ref="AD82" ca="1">IFERROR(_xlfn.TEXTJOIN(CHAR(10),TRUE,IF((元データ!$AL$2:$AL$2001=1)*(元データ!$AN$2:$AN$2001=1)*(元データ!$AE$2:$AE$2001=$C$82)*(元データ!$AO$2:$AO$2001=1)*(元データ!$AM$2:$AM$2001&gt;=8)*(元データ!$AM$2:$AM$2001&lt;=14)*(元データ!$E$2:$E$2001="30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2" s="61"/>
      <c r="AF82" s="61"/>
      <c r="AG82" s="43">
        <f ca="1">SUMPRODUCT((元データ!$AL$2:$AL$2001=1)*(元データ!$AN$2:$AN$2001=1)*(元データ!$AE$2:$AE$2001=$C$82)*(元データ!$AO$2:$AO$2001=1)*(元データ!$AM$2:$AM$2001&gt;=8)*(元データ!$AM$2:$AM$2001&lt;=14)*(元データ!$E$2:$E$2001="31 ＯＰ確認中"))</f>
        <v>0</v>
      </c>
      <c r="AH82" s="61" t="str" cm="1">
        <f t="array" aca="1" ref="AH82" ca="1">IFERROR(_xlfn.TEXTJOIN(CHAR(10),TRUE,IF((元データ!$AL$2:$AL$2001=1)*(元データ!$AN$2:$AN$2001=1)*(元データ!$AE$2:$AE$2001=$C$82)*(元データ!$AO$2:$AO$2001=1)*(元データ!$AM$2:$AM$2001&gt;=8)*(元データ!$AM$2:$AM$2001&lt;=14)*(元データ!$E$2:$E$2001="31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2" s="61"/>
      <c r="AJ82" s="61"/>
      <c r="AK82" s="43">
        <f ca="1">SUMPRODUCT((元データ!$AL$2:$AL$2001=1)*(元データ!$AN$2:$AN$2001=1)*(元データ!$AE$2:$AE$2001=$C$82)*(元データ!$AO$2:$AO$2001=1)*(元データ!$AM$2:$AM$2001&gt;=8)*(元データ!$AM$2:$AM$2001&lt;=14)*(元データ!$E$2:$E$2001="32 ＳＶ確認中"))</f>
        <v>0</v>
      </c>
      <c r="AL82" s="61" t="str" cm="1">
        <f t="array" aca="1" ref="AL82" ca="1">IFERROR(_xlfn.TEXTJOIN(CHAR(10),TRUE,IF((元データ!$AL$2:$AL$2001=1)*(元データ!$AN$2:$AN$2001=1)*(元データ!$AE$2:$AE$2001=$C$82)*(元データ!$AO$2:$AO$2001=1)*(元データ!$AM$2:$AM$2001&gt;=8)*(元データ!$AM$2:$AM$2001&lt;=14)*(元データ!$E$2:$E$2001="32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2" s="61">
        <f ca="1">SUMPRODUCT((元データ!$AL$2:$AL$2001=1)*(元データ!$AN$2:$AN$2001=1)*(元データ!$AE$2:$AE$2001=$C$82)*(元データ!$AO$2:$AO$2001=1)*(元データ!$AM$2:$AM$2001&gt;=8)*(元データ!$AM$2:$AM$2001&lt;=14)*(元データ!$E$2:$E$2001="40 差戻し"))</f>
        <v>0</v>
      </c>
      <c r="AN82" s="61" t="str" cm="1">
        <f t="array" aca="1" ref="AN82" ca="1">IFERROR(_xlfn.TEXTJOIN(CHAR(10),TRUE,IF((元データ!$AL$2:$AL$2001=1)*(元データ!$AN$2:$AN$2001=1)*(元データ!$AE$2:$AE$2001=$C$82)*(元データ!$AO$2:$AO$2001=1)*(元データ!$AM$2:$AM$2001&gt;=8)*(元データ!$AM$2:$AM$2001&lt;=14)*(元データ!$E$2:$E$2001="40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2" s="44">
        <f ca="1">SUMPRODUCT((元データ!$AL$2:$AL$2001=1)*(元データ!$AN$2:$AN$2001=1)*(元データ!$AE$2:$AE$2001=$C$82)*(元データ!$AO$2:$AO$2001=1)*(元データ!$AM$2:$AM$2001&gt;=15)*(元データ!$AM$2:$AM$2001&lt;=21))</f>
        <v>0</v>
      </c>
      <c r="AP82" s="44">
        <f ca="1">SUMPRODUCT((元データ!$AL$2:$AL$2001=1)*(元データ!$AN$2:$AN$2001=1)*(元データ!$AE$2:$AE$2001=$C$82)*(元データ!$AO$2:$AO$2001=1)*(元データ!$AM$2:$AM$2001&gt;=15)*(元データ!$AM$2:$AM$2001&lt;=21)*(元データ!$E$2:$E$2001="20 確認待ち"))</f>
        <v>0</v>
      </c>
      <c r="AQ82" s="58" t="str" cm="1">
        <f t="array" aca="1" ref="AQ82" ca="1">IFERROR(_xlfn.TEXTJOIN(CHAR(10),TRUE,IF((元データ!$AL$2:$AL$2001=1)*(元データ!$AN$2:$AN$2001=1)*(元データ!$AE$2:$AE$2001=$C$82)*(元データ!$AO$2:$AO$2001=1)*(元データ!$AM$2:$AM$2001&gt;=15)*(元データ!$AM$2:$AM$2001&lt;=21)*(元データ!$E$2:$E$2001="20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2" s="58"/>
      <c r="AS82" s="58"/>
      <c r="AT82" s="44">
        <f ca="1">SUMPRODUCT((元データ!$AL$2:$AL$2001=1)*(元データ!$AN$2:$AN$2001=1)*(元データ!$AE$2:$AE$2001=$C$82)*(元データ!$AO$2:$AO$2001=1)*(元データ!$AM$2:$AM$2001&gt;=15)*(元データ!$AM$2:$AM$2001&lt;=21)*(元データ!$E$2:$E$2001="30 申請受付"))</f>
        <v>0</v>
      </c>
      <c r="AU82" s="58" t="str" cm="1">
        <f t="array" aca="1" ref="AU82" ca="1">IFERROR(_xlfn.TEXTJOIN(CHAR(10),TRUE,IF((元データ!$AL$2:$AL$2001=1)*(元データ!$AN$2:$AN$2001=1)*(元データ!$AE$2:$AE$2001=$C$82)*(元データ!$AO$2:$AO$2001=1)*(元データ!$AM$2:$AM$2001&gt;=15)*(元データ!$AM$2:$AM$2001&lt;=21)*(元データ!$E$2:$E$2001="30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2" s="58"/>
      <c r="AW82" s="58"/>
      <c r="AX82" s="44">
        <f ca="1">SUMPRODUCT((元データ!$AL$2:$AL$2001=1)*(元データ!$AN$2:$AN$2001=1)*(元データ!$AE$2:$AE$2001=$C$82)*(元データ!$AO$2:$AO$2001=1)*(元データ!$AM$2:$AM$2001&gt;=15)*(元データ!$AM$2:$AM$2001&lt;=21)*(元データ!$E$2:$E$2001="31 ＯＰ確認中"))</f>
        <v>0</v>
      </c>
      <c r="AY82" s="58" t="str" cm="1">
        <f t="array" aca="1" ref="AY82" ca="1">IFERROR(_xlfn.TEXTJOIN(CHAR(10),TRUE,IF((元データ!$AL$2:$AL$2001=1)*(元データ!$AN$2:$AN$2001=1)*(元データ!$AE$2:$AE$2001=$C$82)*(元データ!$AO$2:$AO$2001=1)*(元データ!$AM$2:$AM$2001&gt;=15)*(元データ!$AM$2:$AM$2001&lt;=21)*(元データ!$E$2:$E$2001="31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2" s="58"/>
      <c r="BA82" s="58"/>
      <c r="BB82" s="44">
        <f ca="1">SUMPRODUCT((元データ!$AL$2:$AL$2001=1)*(元データ!$AN$2:$AN$2001=1)*(元データ!$AE$2:$AE$2001=$C$82)*(元データ!$AO$2:$AO$2001=1)*(元データ!$AM$2:$AM$2001&gt;=15)*(元データ!$AM$2:$AM$2001&lt;=21)*(元データ!$E$2:$E$2001="32 ＳＶ確認中"))</f>
        <v>0</v>
      </c>
      <c r="BC82" s="58" t="str" cm="1">
        <f t="array" aca="1" ref="BC82" ca="1">IFERROR(_xlfn.TEXTJOIN(CHAR(10),TRUE,IF((元データ!$AL$2:$AL$2001=1)*(元データ!$AN$2:$AN$2001=1)*(元データ!$AE$2:$AE$2001=$C$82)*(元データ!$AO$2:$AO$2001=1)*(元データ!$AM$2:$AM$2001&gt;=15)*(元データ!$AM$2:$AM$2001&lt;=21)*(元データ!$E$2:$E$2001="32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2" s="58">
        <f ca="1">SUMPRODUCT((元データ!$AL$2:$AL$2001=1)*(元データ!$AN$2:$AN$2001=1)*(元データ!$AE$2:$AE$2001=$C$82)*(元データ!$AO$2:$AO$2001=1)*(元データ!$AM$2:$AM$2001&gt;=15)*(元データ!$AM$2:$AM$2001&lt;=21)*(元データ!$E$2:$E$2001="40 差戻し"))</f>
        <v>0</v>
      </c>
      <c r="BE82" s="58" t="str" cm="1">
        <f t="array" aca="1" ref="BE82" ca="1">IFERROR(_xlfn.TEXTJOIN(CHAR(10),TRUE,IF((元データ!$AL$2:$AL$2001=1)*(元データ!$AN$2:$AN$2001=1)*(元データ!$AE$2:$AE$2001=$C$82)*(元データ!$AO$2:$AO$2001=1)*(元データ!$AM$2:$AM$2001&gt;=15)*(元データ!$AM$2:$AM$2001&lt;=21)*(元データ!$E$2:$E$2001="40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2" s="45">
        <f ca="1">SUMPRODUCT((元データ!$AL$2:$AL$2001=1)*(元データ!$AN$2:$AN$2001=1)*(元データ!$AE$2:$AE$2001=$C$82)*(元データ!$AO$2:$AO$2001=1)*(元データ!$AM$2:$AM$2001&gt;=22)*(元データ!$AM$2:$AM$2001&lt;=30))</f>
        <v>0</v>
      </c>
      <c r="BG82" s="45">
        <f ca="1">SUMPRODUCT((元データ!$AL$2:$AL$2001=1)*(元データ!$AN$2:$AN$2001=1)*(元データ!$AE$2:$AE$2001=$C$82)*(元データ!$AO$2:$AO$2001=1)*(元データ!$AM$2:$AM$2001&gt;=22)*(元データ!$AM$2:$AM$2001&lt;=30)*(元データ!$E$2:$E$2001="20 確認待ち"))</f>
        <v>0</v>
      </c>
      <c r="BH82" s="60" t="str" cm="1">
        <f t="array" aca="1" ref="BH82" ca="1">IFERROR(_xlfn.TEXTJOIN(CHAR(10),TRUE,IF((元データ!$AL$2:$AL$2001=1)*(元データ!$AN$2:$AN$2001=1)*(元データ!$AE$2:$AE$2001=$C$82)*(元データ!$AO$2:$AO$2001=1)*(元データ!$AM$2:$AM$2001&gt;=22)*(元データ!$AM$2:$AM$2001&lt;=30)*(元データ!$E$2:$E$2001="20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2" s="60"/>
      <c r="BJ82" s="60"/>
      <c r="BK82" s="45">
        <f ca="1">SUMPRODUCT((元データ!$AL$2:$AL$2001=1)*(元データ!$AN$2:$AN$2001=1)*(元データ!$AE$2:$AE$2001=$C$82)*(元データ!$AO$2:$AO$2001=1)*(元データ!$AM$2:$AM$2001&gt;=22)*(元データ!$AM$2:$AM$2001&lt;=30)*(元データ!$E$2:$E$2001="30 申請受付"))</f>
        <v>0</v>
      </c>
      <c r="BL82" s="59" t="str" cm="1">
        <f t="array" aca="1" ref="BL82" ca="1">IFERROR(_xlfn.TEXTJOIN(CHAR(10),TRUE,IF((元データ!$AL$2:$AL$2001=1)*(元データ!$AN$2:$AN$2001=1)*(元データ!$AE$2:$AE$2001=$C$82)*(元データ!$AO$2:$AO$2001=1)*(元データ!$AM$2:$AM$2001&gt;=22)*(元データ!$AM$2:$AM$2001&lt;=30)*(元データ!$E$2:$E$2001="30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2" s="59"/>
      <c r="BN82" s="59"/>
      <c r="BO82" s="45">
        <f ca="1">SUMPRODUCT((元データ!$AL$2:$AL$2001=1)*(元データ!$AN$2:$AN$2001=1)*(元データ!$AE$2:$AE$2001=$C$82)*(元データ!$AO$2:$AO$2001=1)*(元データ!$AM$2:$AM$2001&gt;=22)*(元データ!$AM$2:$AM$2001&lt;=30)*(元データ!$E$2:$E$2001="31 ＯＰ確認中"))</f>
        <v>0</v>
      </c>
      <c r="BP82" s="59" t="str" cm="1">
        <f t="array" aca="1" ref="BP82" ca="1">IFERROR(_xlfn.TEXTJOIN(CHAR(10),TRUE,IF((元データ!$AL$2:$AL$2001=1)*(元データ!$AN$2:$AN$2001=1)*(元データ!$AE$2:$AE$2001=$C$82)*(元データ!$AO$2:$AO$2001=1)*(元データ!$AM$2:$AM$2001&gt;=22)*(元データ!$AM$2:$AM$2001&lt;=30)*(元データ!$E$2:$E$2001="31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2" s="59"/>
      <c r="BR82" s="59"/>
      <c r="BS82" s="45">
        <f ca="1">SUMPRODUCT((元データ!$AL$2:$AL$2001=1)*(元データ!$AN$2:$AN$2001=1)*(元データ!$AE$2:$AE$2001=$C$82)*(元データ!$AO$2:$AO$2001=1)*(元データ!$AM$2:$AM$2001&gt;=22)*(元データ!$AM$2:$AM$2001&lt;=30)*(元データ!$E$2:$E$2001="32 ＳＶ確認中"))</f>
        <v>0</v>
      </c>
      <c r="BT82" s="59" t="str" cm="1">
        <f t="array" aca="1" ref="BT82" ca="1">IFERROR(_xlfn.TEXTJOIN(CHAR(10),TRUE,IF((元データ!$AL$2:$AL$2001=1)*(元データ!$AN$2:$AN$2001=1)*(元データ!$AE$2:$AE$2001=$C$82)*(元データ!$AO$2:$AO$2001=1)*(元データ!$AM$2:$AM$2001&gt;=22)*(元データ!$AM$2:$AM$2001&lt;=30)*(元データ!$E$2:$E$2001="32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2" s="59">
        <f ca="1">SUMPRODUCT((元データ!$AL$2:$AL$2001=1)*(元データ!$AN$2:$AN$2001=1)*(元データ!$AE$2:$AE$2001=$C$82)*(元データ!$AO$2:$AO$2001=1)*(元データ!$AM$2:$AM$2001&gt;=22)*(元データ!$AM$2:$AM$2001&lt;=30)*(元データ!$E$2:$E$2001="40 差戻し"))</f>
        <v>0</v>
      </c>
      <c r="BV82" s="59" t="str" cm="1">
        <f t="array" aca="1" ref="BV82" ca="1">IFERROR(_xlfn.TEXTJOIN(CHAR(10),TRUE,IF((元データ!$AL$2:$AL$2001=1)*(元データ!$AN$2:$AN$2001=1)*(元データ!$AE$2:$AE$2001=$C$82)*(元データ!$AO$2:$AO$2001=1)*(元データ!$AM$2:$AM$2001&gt;=22)*(元データ!$AM$2:$AM$2001&lt;=30)*(元データ!$E$2:$E$2001="40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2" s="46">
        <f ca="1">SUMPRODUCT((元データ!$AL$2:$AL$2001=1)*(元データ!$AN$2:$AN$2001=1)*(元データ!$AE$2:$AE$2001=$C$82)*(元データ!$AO$2:$AO$2001=1)*(元データ!$AM$2:$AM$2001&gt;=31))</f>
        <v>2</v>
      </c>
      <c r="BX82" s="46">
        <f ca="1">SUMPRODUCT((元データ!$AL$2:$AL$2001=1)*(元データ!$AN$2:$AN$2001=1)*(元データ!$AE$2:$AE$2001=$C$82)*(元データ!$AO$2:$AO$2001=1)*(元データ!$AM$2:$AM$2001&gt;=31)*(元データ!$E$2:$E$2001="20 確認待ち"))</f>
        <v>0</v>
      </c>
      <c r="BY82" s="56" t="str" cm="1">
        <f t="array" aca="1" ref="BY82" ca="1">IFERROR(_xlfn.TEXTJOIN(CHAR(10),TRUE,IF((元データ!$AL$2:$AL$2001=1)*(元データ!$AN$2:$AN$2001=1)*(元データ!$AE$2:$AE$2001=$C$82)*(元データ!$AO$2:$AO$2001=1)*(元データ!$AM$2:$AM$2001&gt;=31)*(元データ!$E$2:$E$2001="20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82" s="56"/>
      <c r="CA82" s="56"/>
      <c r="CB82" s="46">
        <f ca="1">SUMPRODUCT((元データ!$AL$2:$AL$2001=1)*(元データ!$AN$2:$AN$2001=1)*(元データ!$AE$2:$AE$2001=$C$82)*(元データ!$AO$2:$AO$2001=1)*(元データ!$AM$2:$AM$2001&gt;=31)*(元データ!$E$2:$E$2001="30 申請受付"))</f>
        <v>0</v>
      </c>
      <c r="CC82" s="56" t="str" cm="1">
        <f t="array" aca="1" ref="CC82" ca="1">IFERROR(_xlfn.TEXTJOIN(CHAR(10),TRUE,IF((元データ!$AL$2:$AL$2001=1)*(元データ!$AN$2:$AN$2001=1)*(元データ!$AE$2:$AE$2001=$C$82)*(元データ!$AO$2:$AO$2001=1)*(元データ!$AM$2:$AM$2001&gt;=31)*(元データ!$E$2:$E$2001="30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82" s="56"/>
      <c r="CE82" s="56"/>
      <c r="CF82" s="46">
        <f ca="1">SUMPRODUCT((元データ!$AL$2:$AL$2001=1)*(元データ!$AN$2:$AN$2001=1)*(元データ!$AE$2:$AE$2001=$C$82)*(元データ!$AO$2:$AO$2001=1)*(元データ!$AM$2:$AM$2001&gt;=31)*(元データ!$E$2:$E$2001="31 ＯＰ確認中"))</f>
        <v>0</v>
      </c>
      <c r="CG82" s="56" t="str" cm="1">
        <f t="array" aca="1" ref="CG82" ca="1">IFERROR(_xlfn.TEXTJOIN(CHAR(10),TRUE,IF((元データ!$AL$2:$AL$2001=1)*(元データ!$AN$2:$AN$2001=1)*(元データ!$AE$2:$AE$2001=$C$82)*(元データ!$AO$2:$AO$2001=1)*(元データ!$AM$2:$AM$2001&gt;=31)*(元データ!$E$2:$E$2001="31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82" s="56"/>
      <c r="CI82" s="56"/>
      <c r="CJ82" s="46">
        <f ca="1">SUMPRODUCT((元データ!$AL$2:$AL$2001=1)*(元データ!$AN$2:$AN$2001=1)*(元データ!$AE$2:$AE$2001=$C$82)*(元データ!$AO$2:$AO$2001=1)*(元データ!$AM$2:$AM$2001&gt;=31)*(元データ!$E$2:$E$2001="32 ＳＶ確認中"))</f>
        <v>0</v>
      </c>
      <c r="CK82" s="56" t="str" cm="1">
        <f t="array" aca="1" ref="CK82" ca="1">IFERROR(_xlfn.TEXTJOIN(CHAR(10),TRUE,IF((元データ!$AL$2:$AL$2001=1)*(元データ!$AN$2:$AN$2001=1)*(元データ!$AE$2:$AE$2001=$C$82)*(元データ!$AO$2:$AO$2001=1)*(元データ!$AM$2:$AM$2001&gt;=31)*(元データ!$E$2:$E$2001="32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82" s="56">
        <f ca="1">SUMPRODUCT((元データ!$AL$2:$AL$2001=1)*(元データ!$AN$2:$AN$2001=1)*(元データ!$AE$2:$AE$2001=$C$82)*(元データ!$AO$2:$AO$2001=1)*(元データ!$AM$2:$AM$2001&gt;=31)*(元データ!$E$2:$E$2001="40 差戻し"))</f>
        <v>2</v>
      </c>
      <c r="CM82" s="56" t="str" cm="1">
        <f t="array" aca="1" ref="CM82" ca="1">IFERROR(_xlfn.TEXTJOIN(CHAR(10),TRUE,IF((元データ!$AL$2:$AL$2001=1)*(元データ!$AN$2:$AN$2001=1)*(元データ!$AE$2:$AE$2001=$C$82)*(元データ!$AO$2:$AO$2001=1)*(元データ!$AM$2:$AM$2001&gt;=31)*(元データ!$E$2:$E$2001="40 差戻し"),元データ!$A$2:$A$2001&amp;IF(元データ!$AP$2:$AP$2001&lt;&gt;"","（"&amp;MID(元データ!$AP$2:$AP$2001,2,100)&amp;")",""),"")),"")</f>
        <v>201360002263（削除)
202560002505（添待ち)</v>
      </c>
    </row>
    <row r="83" spans="2:91" ht="24.95" customHeight="1">
      <c r="B83" s="92"/>
      <c r="C83" s="63"/>
      <c r="D83" s="63"/>
      <c r="E83" s="47" t="s">
        <v>134</v>
      </c>
      <c r="F83" s="48">
        <f>SUMPRODUCT((元データ!$AL$2:$AL$2001=1)*(元データ!$AN$2:$AN$2001=1)*(元データ!$AE$2:$AE$2001=$C$82)*(元データ!$AO$2:$AO$2001=0))</f>
        <v>13</v>
      </c>
      <c r="G83" s="49">
        <f ca="1">SUMPRODUCT((元データ!$AL$2:$AL$2001=1)*(元データ!$AN$2:$AN$2001=1)*(元データ!$AE$2:$AE$2001=$C$82)*(元データ!$AO$2:$AO$2001=0)*(元データ!$AM$2:$AM$2001&lt;=7))</f>
        <v>0</v>
      </c>
      <c r="H83" s="49">
        <f ca="1">SUMPRODUCT((元データ!$AL$2:$AL$2001=1)*(元データ!$AN$2:$AN$2001=1)*(元データ!$AE$2:$AE$2001=$C$82)*(元データ!$AO$2:$AO$2001=0)*(元データ!$AM$2:$AM$2001&lt;=7)*(元データ!$E$2:$E$2001="20 確認待ち"))</f>
        <v>0</v>
      </c>
      <c r="I83" s="57" t="str" cm="1">
        <f t="array" aca="1" ref="I83" ca="1">IFERROR(_xlfn.TEXTJOIN(CHAR(10),TRUE,IF((元データ!$AL$2:$AL$2001=1)*(元データ!$AN$2:$AN$2001=1)*(元データ!$AE$2:$AE$2001=$C$82)*(元データ!$AO$2:$AO$2001=0)*(元データ!$AM$2:$AM$2001&lt;=7)*(元データ!$E$2:$E$2001="20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83" s="57"/>
      <c r="K83" s="57"/>
      <c r="L83" s="49">
        <f ca="1">SUMPRODUCT((元データ!$AL$2:$AL$2001=1)*(元データ!$AN$2:$AN$2001=1)*(元データ!$AE$2:$AE$2001=$C$82)*(元データ!$AO$2:$AO$2001=0)*(元データ!$AM$2:$AM$2001&lt;=7)*(元データ!$E$2:$E$2001="30 申請受付"))</f>
        <v>0</v>
      </c>
      <c r="M83" s="57" t="str" cm="1">
        <f t="array" aca="1" ref="M83" ca="1">IFERROR(_xlfn.TEXTJOIN(CHAR(10),TRUE,IF((元データ!$AL$2:$AL$2001=1)*(元データ!$AN$2:$AN$2001=1)*(元データ!$AE$2:$AE$2001=$C$82)*(元データ!$AO$2:$AO$2001=0)*(元データ!$AM$2:$AM$2001&lt;=7)*(元データ!$E$2:$E$2001="30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83" s="57"/>
      <c r="O83" s="57"/>
      <c r="P83" s="49">
        <f ca="1">SUMPRODUCT((元データ!$AL$2:$AL$2001=1)*(元データ!$AN$2:$AN$2001=1)*(元データ!$AE$2:$AE$2001=$C$82)*(元データ!$AO$2:$AO$2001=0)*(元データ!$AM$2:$AM$2001&lt;=7)*(元データ!$E$2:$E$2001="31 ＯＰ確認中"))</f>
        <v>0</v>
      </c>
      <c r="Q83" s="57" t="str" cm="1">
        <f t="array" aca="1" ref="Q83" ca="1">IFERROR(_xlfn.TEXTJOIN(CHAR(10),TRUE,IF((元データ!$AL$2:$AL$2001=1)*(元データ!$AN$2:$AN$2001=1)*(元データ!$AE$2:$AE$2001=$C$82)*(元データ!$AO$2:$AO$2001=0)*(元データ!$AM$2:$AM$2001&lt;=7)*(元データ!$E$2:$E$2001="31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83" s="57"/>
      <c r="S83" s="57"/>
      <c r="T83" s="49">
        <f ca="1">SUMPRODUCT((元データ!$AL$2:$AL$2001=1)*(元データ!$AN$2:$AN$2001=1)*(元データ!$AE$2:$AE$2001=$C$82)*(元データ!$AO$2:$AO$2001=0)*(元データ!$AM$2:$AM$2001&lt;=7)*(元データ!$E$2:$E$2001="32 ＳＶ確認中"))</f>
        <v>0</v>
      </c>
      <c r="U83" s="57" t="str" cm="1">
        <f t="array" aca="1" ref="U83" ca="1">IFERROR(_xlfn.TEXTJOIN(CHAR(10),TRUE,IF((元データ!$AL$2:$AL$2001=1)*(元データ!$AN$2:$AN$2001=1)*(元データ!$AE$2:$AE$2001=$C$82)*(元データ!$AO$2:$AO$2001=0)*(元データ!$AM$2:$AM$2001&lt;=7)*(元データ!$E$2:$E$2001="32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83" s="57"/>
      <c r="W83" s="57"/>
      <c r="X83" s="49">
        <f ca="1">SUMPRODUCT((元データ!$AL$2:$AL$2001=1)*(元データ!$AN$2:$AN$2001=1)*(元データ!$AE$2:$AE$2001=$C$82)*(元データ!$AO$2:$AO$2001=0)*(元データ!$AM$2:$AM$2001&gt;=8)*(元データ!$AM$2:$AM$2001&lt;=14))</f>
        <v>0</v>
      </c>
      <c r="Y83" s="49">
        <f ca="1">SUMPRODUCT((元データ!$AL$2:$AL$2001=1)*(元データ!$AN$2:$AN$2001=1)*(元データ!$AE$2:$AE$2001=$C$82)*(元データ!$AO$2:$AO$2001=0)*(元データ!$AM$2:$AM$2001&gt;=8)*(元データ!$AM$2:$AM$2001&lt;=14)*(元データ!$E$2:$E$2001="20 確認待ち"))</f>
        <v>0</v>
      </c>
      <c r="Z83" s="57" t="str" cm="1">
        <f t="array" aca="1" ref="Z83" ca="1">IFERROR(_xlfn.TEXTJOIN(CHAR(10),TRUE,IF((元データ!$AL$2:$AL$2001=1)*(元データ!$AN$2:$AN$2001=1)*(元データ!$AE$2:$AE$2001=$C$82)*(元データ!$AO$2:$AO$2001=0)*(元データ!$AM$2:$AM$2001&gt;=8)*(元データ!$AM$2:$AM$2001&lt;=14)*(元データ!$E$2:$E$2001="20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3" s="57"/>
      <c r="AB83" s="57"/>
      <c r="AC83" s="49">
        <f ca="1">SUMPRODUCT((元データ!$AL$2:$AL$2001=1)*(元データ!$AN$2:$AN$2001=1)*(元データ!$AE$2:$AE$2001=$C$82)*(元データ!$AO$2:$AO$2001=0)*(元データ!$AM$2:$AM$2001&gt;=8)*(元データ!$AM$2:$AM$2001&lt;=14)*(元データ!$E$2:$E$2001="30 申請受付"))</f>
        <v>0</v>
      </c>
      <c r="AD83" s="57" t="str" cm="1">
        <f t="array" aca="1" ref="AD83" ca="1">IFERROR(_xlfn.TEXTJOIN(CHAR(10),TRUE,IF((元データ!$AL$2:$AL$2001=1)*(元データ!$AN$2:$AN$2001=1)*(元データ!$AE$2:$AE$2001=$C$82)*(元データ!$AO$2:$AO$2001=0)*(元データ!$AM$2:$AM$2001&gt;=8)*(元データ!$AM$2:$AM$2001&lt;=14)*(元データ!$E$2:$E$2001="30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3" s="57"/>
      <c r="AF83" s="57"/>
      <c r="AG83" s="49">
        <f ca="1">SUMPRODUCT((元データ!$AL$2:$AL$2001=1)*(元データ!$AN$2:$AN$2001=1)*(元データ!$AE$2:$AE$2001=$C$82)*(元データ!$AO$2:$AO$2001=0)*(元データ!$AM$2:$AM$2001&gt;=8)*(元データ!$AM$2:$AM$2001&lt;=14)*(元データ!$E$2:$E$2001="31 ＯＰ確認中"))</f>
        <v>0</v>
      </c>
      <c r="AH83" s="57" t="str" cm="1">
        <f t="array" aca="1" ref="AH83" ca="1">IFERROR(_xlfn.TEXTJOIN(CHAR(10),TRUE,IF((元データ!$AL$2:$AL$2001=1)*(元データ!$AN$2:$AN$2001=1)*(元データ!$AE$2:$AE$2001=$C$82)*(元データ!$AO$2:$AO$2001=0)*(元データ!$AM$2:$AM$2001&gt;=8)*(元データ!$AM$2:$AM$2001&lt;=14)*(元データ!$E$2:$E$2001="31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3" s="57"/>
      <c r="AJ83" s="57"/>
      <c r="AK83" s="49">
        <f ca="1">SUMPRODUCT((元データ!$AL$2:$AL$2001=1)*(元データ!$AN$2:$AN$2001=1)*(元データ!$AE$2:$AE$2001=$C$82)*(元データ!$AO$2:$AO$2001=0)*(元データ!$AM$2:$AM$2001&gt;=8)*(元データ!$AM$2:$AM$2001&lt;=14)*(元データ!$E$2:$E$2001="32 ＳＶ確認中"))</f>
        <v>0</v>
      </c>
      <c r="AL83" s="57" t="str" cm="1">
        <f t="array" aca="1" ref="AL83" ca="1">IFERROR(_xlfn.TEXTJOIN(CHAR(10),TRUE,IF((元データ!$AL$2:$AL$2001=1)*(元データ!$AN$2:$AN$2001=1)*(元データ!$AE$2:$AE$2001=$C$82)*(元データ!$AO$2:$AO$2001=0)*(元データ!$AM$2:$AM$2001&gt;=8)*(元データ!$AM$2:$AM$2001&lt;=14)*(元データ!$E$2:$E$2001="32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3" s="57">
        <f ca="1">SUMPRODUCT((元データ!$AL$2:$AL$2001=1)*(元データ!$AN$2:$AN$2001=1)*(元データ!$AE$2:$AE$2001=$C$82)*(元データ!$AO$2:$AO$2001=0)*(元データ!$AM$2:$AM$2001&gt;=8)*(元データ!$AM$2:$AM$2001&lt;=14)*(元データ!$E$2:$E$2001="40 差戻し"))</f>
        <v>0</v>
      </c>
      <c r="AN83" s="57" t="str" cm="1">
        <f t="array" aca="1" ref="AN83" ca="1">IFERROR(_xlfn.TEXTJOIN(CHAR(10),TRUE,IF((元データ!$AL$2:$AL$2001=1)*(元データ!$AN$2:$AN$2001=1)*(元データ!$AE$2:$AE$2001=$C$82)*(元データ!$AO$2:$AO$2001=0)*(元データ!$AM$2:$AM$2001&gt;=8)*(元データ!$AM$2:$AM$2001&lt;=14)*(元データ!$E$2:$E$2001="40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3" s="44">
        <f ca="1">SUMPRODUCT((元データ!$AL$2:$AL$2001=1)*(元データ!$AN$2:$AN$2001=1)*(元データ!$AE$2:$AE$2001=$C$82)*(元データ!$AO$2:$AO$2001=0)*(元データ!$AM$2:$AM$2001&gt;=15)*(元データ!$AM$2:$AM$2001&lt;=21))</f>
        <v>1</v>
      </c>
      <c r="AP83" s="44">
        <f ca="1">SUMPRODUCT((元データ!$AL$2:$AL$2001=1)*(元データ!$AN$2:$AN$2001=1)*(元データ!$AE$2:$AE$2001=$C$82)*(元データ!$AO$2:$AO$2001=0)*(元データ!$AM$2:$AM$2001&gt;=15)*(元データ!$AM$2:$AM$2001&lt;=21)*(元データ!$E$2:$E$2001="20 確認待ち"))</f>
        <v>0</v>
      </c>
      <c r="AQ83" s="58" t="str" cm="1">
        <f t="array" aca="1" ref="AQ83" ca="1">IFERROR(_xlfn.TEXTJOIN(CHAR(10),TRUE,IF((元データ!$AL$2:$AL$2001=1)*(元データ!$AN$2:$AN$2001=1)*(元データ!$AE$2:$AE$2001=$C$82)*(元データ!$AO$2:$AO$2001=0)*(元データ!$AM$2:$AM$2001&gt;=15)*(元データ!$AM$2:$AM$2001&lt;=21)*(元データ!$E$2:$E$2001="20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3" s="58"/>
      <c r="AS83" s="58"/>
      <c r="AT83" s="44">
        <f ca="1">SUMPRODUCT((元データ!$AL$2:$AL$2001=1)*(元データ!$AN$2:$AN$2001=1)*(元データ!$AE$2:$AE$2001=$C$82)*(元データ!$AO$2:$AO$2001=0)*(元データ!$AM$2:$AM$2001&gt;=15)*(元データ!$AM$2:$AM$2001&lt;=21)*(元データ!$E$2:$E$2001="30 申請受付"))</f>
        <v>0</v>
      </c>
      <c r="AU83" s="58" t="str" cm="1">
        <f t="array" aca="1" ref="AU83" ca="1">IFERROR(_xlfn.TEXTJOIN(CHAR(10),TRUE,IF((元データ!$AL$2:$AL$2001=1)*(元データ!$AN$2:$AN$2001=1)*(元データ!$AE$2:$AE$2001=$C$82)*(元データ!$AO$2:$AO$2001=0)*(元データ!$AM$2:$AM$2001&gt;=15)*(元データ!$AM$2:$AM$2001&lt;=21)*(元データ!$E$2:$E$2001="30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3" s="58"/>
      <c r="AW83" s="58"/>
      <c r="AX83" s="44">
        <f ca="1">SUMPRODUCT((元データ!$AL$2:$AL$2001=1)*(元データ!$AN$2:$AN$2001=1)*(元データ!$AE$2:$AE$2001=$C$82)*(元データ!$AO$2:$AO$2001=0)*(元データ!$AM$2:$AM$2001&gt;=15)*(元データ!$AM$2:$AM$2001&lt;=21)*(元データ!$E$2:$E$2001="31 ＯＰ確認中"))</f>
        <v>1</v>
      </c>
      <c r="AY83" s="58" t="str" cm="1">
        <f t="array" aca="1" ref="AY83" ca="1">IFERROR(_xlfn.TEXTJOIN(CHAR(10),TRUE,IF((元データ!$AL$2:$AL$2001=1)*(元データ!$AN$2:$AN$2001=1)*(元データ!$AE$2:$AE$2001=$C$82)*(元データ!$AO$2:$AO$2001=0)*(元データ!$AM$2:$AM$2001&gt;=15)*(元データ!$AM$2:$AM$2001&lt;=21)*(元データ!$E$2:$E$2001="31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>202660001356</v>
      </c>
      <c r="AZ83" s="58"/>
      <c r="BA83" s="58"/>
      <c r="BB83" s="44">
        <f ca="1">SUMPRODUCT((元データ!$AL$2:$AL$2001=1)*(元データ!$AN$2:$AN$2001=1)*(元データ!$AE$2:$AE$2001=$C$82)*(元データ!$AO$2:$AO$2001=0)*(元データ!$AM$2:$AM$2001&gt;=15)*(元データ!$AM$2:$AM$2001&lt;=21)*(元データ!$E$2:$E$2001="32 ＳＶ確認中"))</f>
        <v>0</v>
      </c>
      <c r="BC83" s="58" t="str" cm="1">
        <f t="array" aca="1" ref="BC83" ca="1">IFERROR(_xlfn.TEXTJOIN(CHAR(10),TRUE,IF((元データ!$AL$2:$AL$2001=1)*(元データ!$AN$2:$AN$2001=1)*(元データ!$AE$2:$AE$2001=$C$82)*(元データ!$AO$2:$AO$2001=0)*(元データ!$AM$2:$AM$2001&gt;=15)*(元データ!$AM$2:$AM$2001&lt;=21)*(元データ!$E$2:$E$2001="32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3" s="58">
        <f ca="1">SUMPRODUCT((元データ!$AL$2:$AL$2001=1)*(元データ!$AN$2:$AN$2001=1)*(元データ!$AE$2:$AE$2001=$C$82)*(元データ!$AO$2:$AO$2001=0)*(元データ!$AM$2:$AM$2001&gt;=15)*(元データ!$AM$2:$AM$2001&lt;=21)*(元データ!$E$2:$E$2001="40 差戻し"))</f>
        <v>0</v>
      </c>
      <c r="BE83" s="58" t="str" cm="1">
        <f t="array" aca="1" ref="BE83" ca="1">IFERROR(_xlfn.TEXTJOIN(CHAR(10),TRUE,IF((元データ!$AL$2:$AL$2001=1)*(元データ!$AN$2:$AN$2001=1)*(元データ!$AE$2:$AE$2001=$C$82)*(元データ!$AO$2:$AO$2001=0)*(元データ!$AM$2:$AM$2001&gt;=15)*(元データ!$AM$2:$AM$2001&lt;=21)*(元データ!$E$2:$E$2001="40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3" s="45">
        <f ca="1">SUMPRODUCT((元データ!$AL$2:$AL$2001=1)*(元データ!$AN$2:$AN$2001=1)*(元データ!$AE$2:$AE$2001=$C$82)*(元データ!$AO$2:$AO$2001=0)*(元データ!$AM$2:$AM$2001&gt;=22)*(元データ!$AM$2:$AM$2001&lt;=30))</f>
        <v>3</v>
      </c>
      <c r="BG83" s="45">
        <f ca="1">SUMPRODUCT((元データ!$AL$2:$AL$2001=1)*(元データ!$AN$2:$AN$2001=1)*(元データ!$AE$2:$AE$2001=$C$82)*(元データ!$AO$2:$AO$2001=0)*(元データ!$AM$2:$AM$2001&gt;=22)*(元データ!$AM$2:$AM$2001&lt;=30)*(元データ!$E$2:$E$2001="20 確認待ち"))</f>
        <v>0</v>
      </c>
      <c r="BH83" s="59" t="str" cm="1">
        <f t="array" aca="1" ref="BH83" ca="1">IFERROR(_xlfn.TEXTJOIN(CHAR(10),TRUE,IF((元データ!$AL$2:$AL$2001=1)*(元データ!$AN$2:$AN$2001=1)*(元データ!$AE$2:$AE$2001=$C$82)*(元データ!$AO$2:$AO$2001=0)*(元データ!$AM$2:$AM$2001&gt;=22)*(元データ!$AM$2:$AM$2001&lt;=30)*(元データ!$E$2:$E$2001="20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3" s="59"/>
      <c r="BJ83" s="59"/>
      <c r="BK83" s="45">
        <f ca="1">SUMPRODUCT((元データ!$AL$2:$AL$2001=1)*(元データ!$AN$2:$AN$2001=1)*(元データ!$AE$2:$AE$2001=$C$82)*(元データ!$AO$2:$AO$2001=0)*(元データ!$AM$2:$AM$2001&gt;=22)*(元データ!$AM$2:$AM$2001&lt;=30)*(元データ!$E$2:$E$2001="30 申請受付"))</f>
        <v>0</v>
      </c>
      <c r="BL83" s="59" t="str" cm="1">
        <f t="array" aca="1" ref="BL83" ca="1">IFERROR(_xlfn.TEXTJOIN(CHAR(10),TRUE,IF((元データ!$AL$2:$AL$2001=1)*(元データ!$AN$2:$AN$2001=1)*(元データ!$AE$2:$AE$2001=$C$82)*(元データ!$AO$2:$AO$2001=0)*(元データ!$AM$2:$AM$2001&gt;=22)*(元データ!$AM$2:$AM$2001&lt;=30)*(元データ!$E$2:$E$2001="30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3" s="59"/>
      <c r="BN83" s="59"/>
      <c r="BO83" s="45">
        <f ca="1">SUMPRODUCT((元データ!$AL$2:$AL$2001=1)*(元データ!$AN$2:$AN$2001=1)*(元データ!$AE$2:$AE$2001=$C$82)*(元データ!$AO$2:$AO$2001=0)*(元データ!$AM$2:$AM$2001&gt;=22)*(元データ!$AM$2:$AM$2001&lt;=30)*(元データ!$E$2:$E$2001="31 ＯＰ確認中"))</f>
        <v>0</v>
      </c>
      <c r="BP83" s="59" t="str" cm="1">
        <f t="array" aca="1" ref="BP83" ca="1">IFERROR(_xlfn.TEXTJOIN(CHAR(10),TRUE,IF((元データ!$AL$2:$AL$2001=1)*(元データ!$AN$2:$AN$2001=1)*(元データ!$AE$2:$AE$2001=$C$82)*(元データ!$AO$2:$AO$2001=0)*(元データ!$AM$2:$AM$2001&gt;=22)*(元データ!$AM$2:$AM$2001&lt;=30)*(元データ!$E$2:$E$2001="31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3" s="59"/>
      <c r="BR83" s="59"/>
      <c r="BS83" s="45">
        <f ca="1">SUMPRODUCT((元データ!$AL$2:$AL$2001=1)*(元データ!$AN$2:$AN$2001=1)*(元データ!$AE$2:$AE$2001=$C$82)*(元データ!$AO$2:$AO$2001=0)*(元データ!$AM$2:$AM$2001&gt;=22)*(元データ!$AM$2:$AM$2001&lt;=30)*(元データ!$E$2:$E$2001="32 ＳＶ確認中"))</f>
        <v>3</v>
      </c>
      <c r="BT83" s="59" t="str" cm="1">
        <f t="array" aca="1" ref="BT83" ca="1">IFERROR(_xlfn.TEXTJOIN(CHAR(10),TRUE,IF((元データ!$AL$2:$AL$2001=1)*(元データ!$AN$2:$AN$2001=1)*(元データ!$AE$2:$AE$2001=$C$82)*(元データ!$AO$2:$AO$2001=0)*(元データ!$AM$2:$AM$2001&gt;=22)*(元データ!$AM$2:$AM$2001&lt;=30)*(元データ!$E$2:$E$2001="32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>202660001321
202660001328
202660001338</v>
      </c>
      <c r="BU83" s="59">
        <f ca="1">SUMPRODUCT((元データ!$AL$2:$AL$2001=1)*(元データ!$AN$2:$AN$2001=1)*(元データ!$AE$2:$AE$2001=$C$82)*(元データ!$AO$2:$AO$2001=0)*(元データ!$AM$2:$AM$2001&gt;=22)*(元データ!$AM$2:$AM$2001&lt;=30)*(元データ!$E$2:$E$2001="40 差戻し"))</f>
        <v>0</v>
      </c>
      <c r="BV83" s="59" t="str" cm="1">
        <f t="array" aca="1" ref="BV83" ca="1">IFERROR(_xlfn.TEXTJOIN(CHAR(10),TRUE,IF((元データ!$AL$2:$AL$2001=1)*(元データ!$AN$2:$AN$2001=1)*(元データ!$AE$2:$AE$2001=$C$82)*(元データ!$AO$2:$AO$2001=0)*(元データ!$AM$2:$AM$2001&gt;=22)*(元データ!$AM$2:$AM$2001&lt;=30)*(元データ!$E$2:$E$2001="40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3" s="46">
        <f ca="1">SUMPRODUCT((元データ!$AL$2:$AL$2001=1)*(元データ!$AN$2:$AN$2001=1)*(元データ!$AE$2:$AE$2001=$C$82)*(元データ!$AO$2:$AO$2001=0)*(元データ!$AM$2:$AM$2001&gt;=31))</f>
        <v>9</v>
      </c>
      <c r="BX83" s="46">
        <f ca="1">SUMPRODUCT((元データ!$AL$2:$AL$2001=1)*(元データ!$AN$2:$AN$2001=1)*(元データ!$AE$2:$AE$2001=$C$82)*(元データ!$AO$2:$AO$2001=0)*(元データ!$AM$2:$AM$2001&gt;=31)*(元データ!$E$2:$E$2001="20 確認待ち"))</f>
        <v>1</v>
      </c>
      <c r="BY83" s="56" t="str" cm="1">
        <f t="array" aca="1" ref="BY83" ca="1">IFERROR(_xlfn.TEXTJOIN(CHAR(10),TRUE,IF((元データ!$AL$2:$AL$2001=1)*(元データ!$AN$2:$AN$2001=1)*(元データ!$AE$2:$AE$2001=$C$82)*(元データ!$AO$2:$AO$2001=0)*(元データ!$AM$2:$AM$2001&gt;=31)*(元データ!$E$2:$E$2001="20 確認待ち"),元データ!$A$2:$A$2001&amp;IF(元データ!$AP$2:$AP$2001&lt;&gt;"","（"&amp;MID(元データ!$AP$2:$AP$2001,2,100)&amp;")",""),"")),"")</f>
        <v>202660000721（確認事項)</v>
      </c>
      <c r="BZ83" s="56"/>
      <c r="CA83" s="56"/>
      <c r="CB83" s="46">
        <f ca="1">SUMPRODUCT((元データ!$AL$2:$AL$2001=1)*(元データ!$AN$2:$AN$2001=1)*(元データ!$AE$2:$AE$2001=$C$82)*(元データ!$AO$2:$AO$2001=0)*(元データ!$AM$2:$AM$2001&gt;=31)*(元データ!$E$2:$E$2001="30 申請受付"))</f>
        <v>0</v>
      </c>
      <c r="CC83" s="56" t="str" cm="1">
        <f t="array" aca="1" ref="CC83" ca="1">IFERROR(_xlfn.TEXTJOIN(CHAR(10),TRUE,IF((元データ!$AL$2:$AL$2001=1)*(元データ!$AN$2:$AN$2001=1)*(元データ!$AE$2:$AE$2001=$C$82)*(元データ!$AO$2:$AO$2001=0)*(元データ!$AM$2:$AM$2001&gt;=31)*(元データ!$E$2:$E$2001="30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83" s="56"/>
      <c r="CE83" s="56"/>
      <c r="CF83" s="46">
        <f ca="1">SUMPRODUCT((元データ!$AL$2:$AL$2001=1)*(元データ!$AN$2:$AN$2001=1)*(元データ!$AE$2:$AE$2001=$C$82)*(元データ!$AO$2:$AO$2001=0)*(元データ!$AM$2:$AM$2001&gt;=31)*(元データ!$E$2:$E$2001="31 ＯＰ確認中"))</f>
        <v>5</v>
      </c>
      <c r="CG83" s="56" t="str" cm="1">
        <f t="array" aca="1" ref="CG83" ca="1">IFERROR(_xlfn.TEXTJOIN(CHAR(10),TRUE,IF((元データ!$AL$2:$AL$2001=1)*(元データ!$AN$2:$AN$2001=1)*(元データ!$AE$2:$AE$2001=$C$82)*(元データ!$AO$2:$AO$2001=0)*(元データ!$AM$2:$AM$2001&gt;=31)*(元データ!$E$2:$E$2001="31 ＯＰ確認中"),元データ!$A$2:$A$2001&amp;IF(元データ!$AP$2:$AP$2001&lt;&gt;"","（"&amp;MID(元データ!$AP$2:$AP$2001,2,100)&amp;")",""),"")),"")</f>
        <v>200960003028（確認事項)
202360003320
202460003283
202660000808
202660001209</v>
      </c>
      <c r="CH83" s="56"/>
      <c r="CI83" s="56"/>
      <c r="CJ83" s="46">
        <f ca="1">SUMPRODUCT((元データ!$AL$2:$AL$2001=1)*(元データ!$AN$2:$AN$2001=1)*(元データ!$AE$2:$AE$2001=$C$82)*(元データ!$AO$2:$AO$2001=0)*(元データ!$AM$2:$AM$2001&gt;=31)*(元データ!$E$2:$E$2001="32 ＳＶ確認中"))</f>
        <v>1</v>
      </c>
      <c r="CK83" s="56" t="str" cm="1">
        <f t="array" aca="1" ref="CK83" ca="1">IFERROR(_xlfn.TEXTJOIN(CHAR(10),TRUE,IF((元データ!$AL$2:$AL$2001=1)*(元データ!$AN$2:$AN$2001=1)*(元データ!$AE$2:$AE$2001=$C$82)*(元データ!$AO$2:$AO$2001=0)*(元データ!$AM$2:$AM$2001&gt;=31)*(元データ!$E$2:$E$2001="32 ＳＶ確認中"),元データ!$A$2:$A$2001&amp;IF(元データ!$AP$2:$AP$2001&lt;&gt;"","（"&amp;MID(元データ!$AP$2:$AP$2001,2,100)&amp;")",""),"")),"")</f>
        <v>202660001204</v>
      </c>
      <c r="CL83" s="56">
        <f ca="1">SUMPRODUCT((元データ!$AL$2:$AL$2001=1)*(元データ!$AN$2:$AN$2001=1)*(元データ!$AE$2:$AE$2001=$C$82)*(元データ!$AO$2:$AO$2001=0)*(元データ!$AM$2:$AM$2001&gt;=31)*(元データ!$E$2:$E$2001="40 差戻し"))</f>
        <v>2</v>
      </c>
      <c r="CM83" s="56" t="str" cm="1">
        <f t="array" aca="1" ref="CM83" ca="1">IFERROR(_xlfn.TEXTJOIN(CHAR(10),TRUE,IF((元データ!$AL$2:$AL$2001=1)*(元データ!$AN$2:$AN$2001=1)*(元データ!$AE$2:$AE$2001=$C$82)*(元データ!$AO$2:$AO$2001=0)*(元データ!$AM$2:$AM$2001&gt;=31)*(元データ!$E$2:$E$2001="40 差戻し"),元データ!$A$2:$A$2001&amp;IF(元データ!$AP$2:$AP$2001&lt;&gt;"","（"&amp;MID(元データ!$AP$2:$AP$2001,2,100)&amp;")",""),"")),"")</f>
        <v>200960002795
202560002534（削除)</v>
      </c>
    </row>
    <row r="84" spans="2:91" ht="24.95" customHeight="1">
      <c r="B84" s="91"/>
      <c r="C84" s="63" t="s">
        <v>95</v>
      </c>
      <c r="D84" s="63"/>
      <c r="E84" s="41" t="s">
        <v>133</v>
      </c>
      <c r="F84" s="42">
        <f>SUMPRODUCT((元データ!$AL$2:$AL$2001=1)*(元データ!$AN$2:$AN$2001=1)*(元データ!$AE$2:$AE$2001=$C$84)*(元データ!$AO$2:$AO$2001=1))</f>
        <v>0</v>
      </c>
      <c r="G84" s="43">
        <f ca="1">SUMPRODUCT((元データ!$AL$2:$AL$2001=1)*(元データ!$AN$2:$AN$2001=1)*(元データ!$AE$2:$AE$2001=$C$84)*(元データ!$AO$2:$AO$2001=1)*(元データ!$AM$2:$AM$2001&lt;=7))</f>
        <v>0</v>
      </c>
      <c r="H84" s="43">
        <f ca="1">SUMPRODUCT((元データ!$AL$2:$AL$2001=1)*(元データ!$AN$2:$AN$2001=1)*(元データ!$AE$2:$AE$2001=$C$84)*(元データ!$AO$2:$AO$2001=1)*(元データ!$AM$2:$AM$2001&lt;=7)*(元データ!$E$2:$E$2001="20 確認待ち"))</f>
        <v>0</v>
      </c>
      <c r="I84" s="61" t="str" cm="1">
        <f t="array" aca="1" ref="I84" ca="1">IFERROR(_xlfn.TEXTJOIN(CHAR(10),TRUE,IF((元データ!$AL$2:$AL$2001=1)*(元データ!$AN$2:$AN$2001=1)*(元データ!$AE$2:$AE$2001=$C$84)*(元データ!$AO$2:$AO$2001=1)*(元データ!$AM$2:$AM$2001&lt;=7)*(元データ!$E$2:$E$2001="20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84" s="61"/>
      <c r="K84" s="61"/>
      <c r="L84" s="43">
        <f ca="1">SUMPRODUCT((元データ!$AL$2:$AL$2001=1)*(元データ!$AN$2:$AN$2001=1)*(元データ!$AE$2:$AE$2001=$C$84)*(元データ!$AO$2:$AO$2001=1)*(元データ!$AM$2:$AM$2001&lt;=7)*(元データ!$E$2:$E$2001="30 申請受付"))</f>
        <v>0</v>
      </c>
      <c r="M84" s="61" t="str" cm="1">
        <f t="array" aca="1" ref="M84" ca="1">IFERROR(_xlfn.TEXTJOIN(CHAR(10),TRUE,IF((元データ!$AL$2:$AL$2001=1)*(元データ!$AN$2:$AN$2001=1)*(元データ!$AE$2:$AE$2001=$C$84)*(元データ!$AO$2:$AO$2001=1)*(元データ!$AM$2:$AM$2001&lt;=7)*(元データ!$E$2:$E$2001="30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84" s="61"/>
      <c r="O84" s="61"/>
      <c r="P84" s="43">
        <f ca="1">SUMPRODUCT((元データ!$AL$2:$AL$2001=1)*(元データ!$AN$2:$AN$2001=1)*(元データ!$AE$2:$AE$2001=$C$84)*(元データ!$AO$2:$AO$2001=1)*(元データ!$AM$2:$AM$2001&lt;=7)*(元データ!$E$2:$E$2001="31 ＯＰ確認中"))</f>
        <v>0</v>
      </c>
      <c r="Q84" s="61" t="str" cm="1">
        <f t="array" aca="1" ref="Q84" ca="1">IFERROR(_xlfn.TEXTJOIN(CHAR(10),TRUE,IF((元データ!$AL$2:$AL$2001=1)*(元データ!$AN$2:$AN$2001=1)*(元データ!$AE$2:$AE$2001=$C$84)*(元データ!$AO$2:$AO$2001=1)*(元データ!$AM$2:$AM$2001&lt;=7)*(元データ!$E$2:$E$2001="31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84" s="61"/>
      <c r="S84" s="61"/>
      <c r="T84" s="43">
        <f ca="1">SUMPRODUCT((元データ!$AL$2:$AL$2001=1)*(元データ!$AN$2:$AN$2001=1)*(元データ!$AE$2:$AE$2001=$C$84)*(元データ!$AO$2:$AO$2001=1)*(元データ!$AM$2:$AM$2001&lt;=7)*(元データ!$E$2:$E$2001="32 ＳＶ確認中"))</f>
        <v>0</v>
      </c>
      <c r="U84" s="61" t="str" cm="1">
        <f t="array" aca="1" ref="U84" ca="1">IFERROR(_xlfn.TEXTJOIN(CHAR(10),TRUE,IF((元データ!$AL$2:$AL$2001=1)*(元データ!$AN$2:$AN$2001=1)*(元データ!$AE$2:$AE$2001=$C$84)*(元データ!$AO$2:$AO$2001=1)*(元データ!$AM$2:$AM$2001&lt;=7)*(元データ!$E$2:$E$2001="32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84" s="61"/>
      <c r="W84" s="61"/>
      <c r="X84" s="43">
        <f ca="1">SUMPRODUCT((元データ!$AL$2:$AL$2001=1)*(元データ!$AN$2:$AN$2001=1)*(元データ!$AE$2:$AE$2001=$C$84)*(元データ!$AO$2:$AO$2001=1)*(元データ!$AM$2:$AM$2001&gt;=8)*(元データ!$AM$2:$AM$2001&lt;=14))</f>
        <v>0</v>
      </c>
      <c r="Y84" s="43">
        <f ca="1">SUMPRODUCT((元データ!$AL$2:$AL$2001=1)*(元データ!$AN$2:$AN$2001=1)*(元データ!$AE$2:$AE$2001=$C$84)*(元データ!$AO$2:$AO$2001=1)*(元データ!$AM$2:$AM$2001&gt;=8)*(元データ!$AM$2:$AM$2001&lt;=14)*(元データ!$E$2:$E$2001="20 確認待ち"))</f>
        <v>0</v>
      </c>
      <c r="Z84" s="61" t="str" cm="1">
        <f t="array" aca="1" ref="Z84" ca="1">IFERROR(_xlfn.TEXTJOIN(CHAR(10),TRUE,IF((元データ!$AL$2:$AL$2001=1)*(元データ!$AN$2:$AN$2001=1)*(元データ!$AE$2:$AE$2001=$C$84)*(元データ!$AO$2:$AO$2001=1)*(元データ!$AM$2:$AM$2001&gt;=8)*(元データ!$AM$2:$AM$2001&lt;=14)*(元データ!$E$2:$E$2001="20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4" s="61"/>
      <c r="AB84" s="61"/>
      <c r="AC84" s="43">
        <f ca="1">SUMPRODUCT((元データ!$AL$2:$AL$2001=1)*(元データ!$AN$2:$AN$2001=1)*(元データ!$AE$2:$AE$2001=$C$84)*(元データ!$AO$2:$AO$2001=1)*(元データ!$AM$2:$AM$2001&gt;=8)*(元データ!$AM$2:$AM$2001&lt;=14)*(元データ!$E$2:$E$2001="30 申請受付"))</f>
        <v>0</v>
      </c>
      <c r="AD84" s="61" t="str" cm="1">
        <f t="array" aca="1" ref="AD84" ca="1">IFERROR(_xlfn.TEXTJOIN(CHAR(10),TRUE,IF((元データ!$AL$2:$AL$2001=1)*(元データ!$AN$2:$AN$2001=1)*(元データ!$AE$2:$AE$2001=$C$84)*(元データ!$AO$2:$AO$2001=1)*(元データ!$AM$2:$AM$2001&gt;=8)*(元データ!$AM$2:$AM$2001&lt;=14)*(元データ!$E$2:$E$2001="30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4" s="61"/>
      <c r="AF84" s="61"/>
      <c r="AG84" s="43">
        <f ca="1">SUMPRODUCT((元データ!$AL$2:$AL$2001=1)*(元データ!$AN$2:$AN$2001=1)*(元データ!$AE$2:$AE$2001=$C$84)*(元データ!$AO$2:$AO$2001=1)*(元データ!$AM$2:$AM$2001&gt;=8)*(元データ!$AM$2:$AM$2001&lt;=14)*(元データ!$E$2:$E$2001="31 ＯＰ確認中"))</f>
        <v>0</v>
      </c>
      <c r="AH84" s="61" t="str" cm="1">
        <f t="array" aca="1" ref="AH84" ca="1">IFERROR(_xlfn.TEXTJOIN(CHAR(10),TRUE,IF((元データ!$AL$2:$AL$2001=1)*(元データ!$AN$2:$AN$2001=1)*(元データ!$AE$2:$AE$2001=$C$84)*(元データ!$AO$2:$AO$2001=1)*(元データ!$AM$2:$AM$2001&gt;=8)*(元データ!$AM$2:$AM$2001&lt;=14)*(元データ!$E$2:$E$2001="31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4" s="61"/>
      <c r="AJ84" s="61"/>
      <c r="AK84" s="43">
        <f ca="1">SUMPRODUCT((元データ!$AL$2:$AL$2001=1)*(元データ!$AN$2:$AN$2001=1)*(元データ!$AE$2:$AE$2001=$C$84)*(元データ!$AO$2:$AO$2001=1)*(元データ!$AM$2:$AM$2001&gt;=8)*(元データ!$AM$2:$AM$2001&lt;=14)*(元データ!$E$2:$E$2001="32 ＳＶ確認中"))</f>
        <v>0</v>
      </c>
      <c r="AL84" s="61" t="str" cm="1">
        <f t="array" aca="1" ref="AL84" ca="1">IFERROR(_xlfn.TEXTJOIN(CHAR(10),TRUE,IF((元データ!$AL$2:$AL$2001=1)*(元データ!$AN$2:$AN$2001=1)*(元データ!$AE$2:$AE$2001=$C$84)*(元データ!$AO$2:$AO$2001=1)*(元データ!$AM$2:$AM$2001&gt;=8)*(元データ!$AM$2:$AM$2001&lt;=14)*(元データ!$E$2:$E$2001="32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4" s="61">
        <f ca="1">SUMPRODUCT((元データ!$AL$2:$AL$2001=1)*(元データ!$AN$2:$AN$2001=1)*(元データ!$AE$2:$AE$2001=$C$84)*(元データ!$AO$2:$AO$2001=1)*(元データ!$AM$2:$AM$2001&gt;=8)*(元データ!$AM$2:$AM$2001&lt;=14)*(元データ!$E$2:$E$2001="40 差戻し"))</f>
        <v>0</v>
      </c>
      <c r="AN84" s="61" t="str" cm="1">
        <f t="array" aca="1" ref="AN84" ca="1">IFERROR(_xlfn.TEXTJOIN(CHAR(10),TRUE,IF((元データ!$AL$2:$AL$2001=1)*(元データ!$AN$2:$AN$2001=1)*(元データ!$AE$2:$AE$2001=$C$84)*(元データ!$AO$2:$AO$2001=1)*(元データ!$AM$2:$AM$2001&gt;=8)*(元データ!$AM$2:$AM$2001&lt;=14)*(元データ!$E$2:$E$2001="40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4" s="44">
        <f ca="1">SUMPRODUCT((元データ!$AL$2:$AL$2001=1)*(元データ!$AN$2:$AN$2001=1)*(元データ!$AE$2:$AE$2001=$C$84)*(元データ!$AO$2:$AO$2001=1)*(元データ!$AM$2:$AM$2001&gt;=15)*(元データ!$AM$2:$AM$2001&lt;=21))</f>
        <v>0</v>
      </c>
      <c r="AP84" s="44">
        <f ca="1">SUMPRODUCT((元データ!$AL$2:$AL$2001=1)*(元データ!$AN$2:$AN$2001=1)*(元データ!$AE$2:$AE$2001=$C$84)*(元データ!$AO$2:$AO$2001=1)*(元データ!$AM$2:$AM$2001&gt;=15)*(元データ!$AM$2:$AM$2001&lt;=21)*(元データ!$E$2:$E$2001="20 確認待ち"))</f>
        <v>0</v>
      </c>
      <c r="AQ84" s="58" t="str" cm="1">
        <f t="array" aca="1" ref="AQ84" ca="1">IFERROR(_xlfn.TEXTJOIN(CHAR(10),TRUE,IF((元データ!$AL$2:$AL$2001=1)*(元データ!$AN$2:$AN$2001=1)*(元データ!$AE$2:$AE$2001=$C$84)*(元データ!$AO$2:$AO$2001=1)*(元データ!$AM$2:$AM$2001&gt;=15)*(元データ!$AM$2:$AM$2001&lt;=21)*(元データ!$E$2:$E$2001="20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4" s="58"/>
      <c r="AS84" s="58"/>
      <c r="AT84" s="44">
        <f ca="1">SUMPRODUCT((元データ!$AL$2:$AL$2001=1)*(元データ!$AN$2:$AN$2001=1)*(元データ!$AE$2:$AE$2001=$C$84)*(元データ!$AO$2:$AO$2001=1)*(元データ!$AM$2:$AM$2001&gt;=15)*(元データ!$AM$2:$AM$2001&lt;=21)*(元データ!$E$2:$E$2001="30 申請受付"))</f>
        <v>0</v>
      </c>
      <c r="AU84" s="58" t="str" cm="1">
        <f t="array" aca="1" ref="AU84" ca="1">IFERROR(_xlfn.TEXTJOIN(CHAR(10),TRUE,IF((元データ!$AL$2:$AL$2001=1)*(元データ!$AN$2:$AN$2001=1)*(元データ!$AE$2:$AE$2001=$C$84)*(元データ!$AO$2:$AO$2001=1)*(元データ!$AM$2:$AM$2001&gt;=15)*(元データ!$AM$2:$AM$2001&lt;=21)*(元データ!$E$2:$E$2001="30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4" s="58"/>
      <c r="AW84" s="58"/>
      <c r="AX84" s="44">
        <f ca="1">SUMPRODUCT((元データ!$AL$2:$AL$2001=1)*(元データ!$AN$2:$AN$2001=1)*(元データ!$AE$2:$AE$2001=$C$84)*(元データ!$AO$2:$AO$2001=1)*(元データ!$AM$2:$AM$2001&gt;=15)*(元データ!$AM$2:$AM$2001&lt;=21)*(元データ!$E$2:$E$2001="31 ＯＰ確認中"))</f>
        <v>0</v>
      </c>
      <c r="AY84" s="58" t="str" cm="1">
        <f t="array" aca="1" ref="AY84" ca="1">IFERROR(_xlfn.TEXTJOIN(CHAR(10),TRUE,IF((元データ!$AL$2:$AL$2001=1)*(元データ!$AN$2:$AN$2001=1)*(元データ!$AE$2:$AE$2001=$C$84)*(元データ!$AO$2:$AO$2001=1)*(元データ!$AM$2:$AM$2001&gt;=15)*(元データ!$AM$2:$AM$2001&lt;=21)*(元データ!$E$2:$E$2001="31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4" s="58"/>
      <c r="BA84" s="58"/>
      <c r="BB84" s="44">
        <f ca="1">SUMPRODUCT((元データ!$AL$2:$AL$2001=1)*(元データ!$AN$2:$AN$2001=1)*(元データ!$AE$2:$AE$2001=$C$84)*(元データ!$AO$2:$AO$2001=1)*(元データ!$AM$2:$AM$2001&gt;=15)*(元データ!$AM$2:$AM$2001&lt;=21)*(元データ!$E$2:$E$2001="32 ＳＶ確認中"))</f>
        <v>0</v>
      </c>
      <c r="BC84" s="58" t="str" cm="1">
        <f t="array" aca="1" ref="BC84" ca="1">IFERROR(_xlfn.TEXTJOIN(CHAR(10),TRUE,IF((元データ!$AL$2:$AL$2001=1)*(元データ!$AN$2:$AN$2001=1)*(元データ!$AE$2:$AE$2001=$C$84)*(元データ!$AO$2:$AO$2001=1)*(元データ!$AM$2:$AM$2001&gt;=15)*(元データ!$AM$2:$AM$2001&lt;=21)*(元データ!$E$2:$E$2001="32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4" s="58">
        <f ca="1">SUMPRODUCT((元データ!$AL$2:$AL$2001=1)*(元データ!$AN$2:$AN$2001=1)*(元データ!$AE$2:$AE$2001=$C$84)*(元データ!$AO$2:$AO$2001=1)*(元データ!$AM$2:$AM$2001&gt;=15)*(元データ!$AM$2:$AM$2001&lt;=21)*(元データ!$E$2:$E$2001="40 差戻し"))</f>
        <v>0</v>
      </c>
      <c r="BE84" s="58" t="str" cm="1">
        <f t="array" aca="1" ref="BE84" ca="1">IFERROR(_xlfn.TEXTJOIN(CHAR(10),TRUE,IF((元データ!$AL$2:$AL$2001=1)*(元データ!$AN$2:$AN$2001=1)*(元データ!$AE$2:$AE$2001=$C$84)*(元データ!$AO$2:$AO$2001=1)*(元データ!$AM$2:$AM$2001&gt;=15)*(元データ!$AM$2:$AM$2001&lt;=21)*(元データ!$E$2:$E$2001="40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4" s="45">
        <f ca="1">SUMPRODUCT((元データ!$AL$2:$AL$2001=1)*(元データ!$AN$2:$AN$2001=1)*(元データ!$AE$2:$AE$2001=$C$84)*(元データ!$AO$2:$AO$2001=1)*(元データ!$AM$2:$AM$2001&gt;=22)*(元データ!$AM$2:$AM$2001&lt;=30))</f>
        <v>0</v>
      </c>
      <c r="BG84" s="45">
        <f ca="1">SUMPRODUCT((元データ!$AL$2:$AL$2001=1)*(元データ!$AN$2:$AN$2001=1)*(元データ!$AE$2:$AE$2001=$C$84)*(元データ!$AO$2:$AO$2001=1)*(元データ!$AM$2:$AM$2001&gt;=22)*(元データ!$AM$2:$AM$2001&lt;=30)*(元データ!$E$2:$E$2001="20 確認待ち"))</f>
        <v>0</v>
      </c>
      <c r="BH84" s="60" t="str" cm="1">
        <f t="array" aca="1" ref="BH84" ca="1">IFERROR(_xlfn.TEXTJOIN(CHAR(10),TRUE,IF((元データ!$AL$2:$AL$2001=1)*(元データ!$AN$2:$AN$2001=1)*(元データ!$AE$2:$AE$2001=$C$84)*(元データ!$AO$2:$AO$2001=1)*(元データ!$AM$2:$AM$2001&gt;=22)*(元データ!$AM$2:$AM$2001&lt;=30)*(元データ!$E$2:$E$2001="20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4" s="60"/>
      <c r="BJ84" s="60"/>
      <c r="BK84" s="45">
        <f ca="1">SUMPRODUCT((元データ!$AL$2:$AL$2001=1)*(元データ!$AN$2:$AN$2001=1)*(元データ!$AE$2:$AE$2001=$C$84)*(元データ!$AO$2:$AO$2001=1)*(元データ!$AM$2:$AM$2001&gt;=22)*(元データ!$AM$2:$AM$2001&lt;=30)*(元データ!$E$2:$E$2001="30 申請受付"))</f>
        <v>0</v>
      </c>
      <c r="BL84" s="59" t="str" cm="1">
        <f t="array" aca="1" ref="BL84" ca="1">IFERROR(_xlfn.TEXTJOIN(CHAR(10),TRUE,IF((元データ!$AL$2:$AL$2001=1)*(元データ!$AN$2:$AN$2001=1)*(元データ!$AE$2:$AE$2001=$C$84)*(元データ!$AO$2:$AO$2001=1)*(元データ!$AM$2:$AM$2001&gt;=22)*(元データ!$AM$2:$AM$2001&lt;=30)*(元データ!$E$2:$E$2001="30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4" s="59"/>
      <c r="BN84" s="59"/>
      <c r="BO84" s="45">
        <f ca="1">SUMPRODUCT((元データ!$AL$2:$AL$2001=1)*(元データ!$AN$2:$AN$2001=1)*(元データ!$AE$2:$AE$2001=$C$84)*(元データ!$AO$2:$AO$2001=1)*(元データ!$AM$2:$AM$2001&gt;=22)*(元データ!$AM$2:$AM$2001&lt;=30)*(元データ!$E$2:$E$2001="31 ＯＰ確認中"))</f>
        <v>0</v>
      </c>
      <c r="BP84" s="59" t="str" cm="1">
        <f t="array" aca="1" ref="BP84" ca="1">IFERROR(_xlfn.TEXTJOIN(CHAR(10),TRUE,IF((元データ!$AL$2:$AL$2001=1)*(元データ!$AN$2:$AN$2001=1)*(元データ!$AE$2:$AE$2001=$C$84)*(元データ!$AO$2:$AO$2001=1)*(元データ!$AM$2:$AM$2001&gt;=22)*(元データ!$AM$2:$AM$2001&lt;=30)*(元データ!$E$2:$E$2001="31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4" s="59"/>
      <c r="BR84" s="59"/>
      <c r="BS84" s="45">
        <f ca="1">SUMPRODUCT((元データ!$AL$2:$AL$2001=1)*(元データ!$AN$2:$AN$2001=1)*(元データ!$AE$2:$AE$2001=$C$84)*(元データ!$AO$2:$AO$2001=1)*(元データ!$AM$2:$AM$2001&gt;=22)*(元データ!$AM$2:$AM$2001&lt;=30)*(元データ!$E$2:$E$2001="32 ＳＶ確認中"))</f>
        <v>0</v>
      </c>
      <c r="BT84" s="59" t="str" cm="1">
        <f t="array" aca="1" ref="BT84" ca="1">IFERROR(_xlfn.TEXTJOIN(CHAR(10),TRUE,IF((元データ!$AL$2:$AL$2001=1)*(元データ!$AN$2:$AN$2001=1)*(元データ!$AE$2:$AE$2001=$C$84)*(元データ!$AO$2:$AO$2001=1)*(元データ!$AM$2:$AM$2001&gt;=22)*(元データ!$AM$2:$AM$2001&lt;=30)*(元データ!$E$2:$E$2001="32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4" s="59">
        <f ca="1">SUMPRODUCT((元データ!$AL$2:$AL$2001=1)*(元データ!$AN$2:$AN$2001=1)*(元データ!$AE$2:$AE$2001=$C$84)*(元データ!$AO$2:$AO$2001=1)*(元データ!$AM$2:$AM$2001&gt;=22)*(元データ!$AM$2:$AM$2001&lt;=30)*(元データ!$E$2:$E$2001="40 差戻し"))</f>
        <v>0</v>
      </c>
      <c r="BV84" s="59" t="str" cm="1">
        <f t="array" aca="1" ref="BV84" ca="1">IFERROR(_xlfn.TEXTJOIN(CHAR(10),TRUE,IF((元データ!$AL$2:$AL$2001=1)*(元データ!$AN$2:$AN$2001=1)*(元データ!$AE$2:$AE$2001=$C$84)*(元データ!$AO$2:$AO$2001=1)*(元データ!$AM$2:$AM$2001&gt;=22)*(元データ!$AM$2:$AM$2001&lt;=30)*(元データ!$E$2:$E$2001="40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4" s="46">
        <f ca="1">SUMPRODUCT((元データ!$AL$2:$AL$2001=1)*(元データ!$AN$2:$AN$2001=1)*(元データ!$AE$2:$AE$2001=$C$84)*(元データ!$AO$2:$AO$2001=1)*(元データ!$AM$2:$AM$2001&gt;=31))</f>
        <v>0</v>
      </c>
      <c r="BX84" s="46">
        <f ca="1">SUMPRODUCT((元データ!$AL$2:$AL$2001=1)*(元データ!$AN$2:$AN$2001=1)*(元データ!$AE$2:$AE$2001=$C$84)*(元データ!$AO$2:$AO$2001=1)*(元データ!$AM$2:$AM$2001&gt;=31)*(元データ!$E$2:$E$2001="20 確認待ち"))</f>
        <v>0</v>
      </c>
      <c r="BY84" s="56" t="str" cm="1">
        <f t="array" aca="1" ref="BY84" ca="1">IFERROR(_xlfn.TEXTJOIN(CHAR(10),TRUE,IF((元データ!$AL$2:$AL$2001=1)*(元データ!$AN$2:$AN$2001=1)*(元データ!$AE$2:$AE$2001=$C$84)*(元データ!$AO$2:$AO$2001=1)*(元データ!$AM$2:$AM$2001&gt;=31)*(元データ!$E$2:$E$2001="20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84" s="56"/>
      <c r="CA84" s="56"/>
      <c r="CB84" s="46">
        <f ca="1">SUMPRODUCT((元データ!$AL$2:$AL$2001=1)*(元データ!$AN$2:$AN$2001=1)*(元データ!$AE$2:$AE$2001=$C$84)*(元データ!$AO$2:$AO$2001=1)*(元データ!$AM$2:$AM$2001&gt;=31)*(元データ!$E$2:$E$2001="30 申請受付"))</f>
        <v>0</v>
      </c>
      <c r="CC84" s="56" t="str" cm="1">
        <f t="array" aca="1" ref="CC84" ca="1">IFERROR(_xlfn.TEXTJOIN(CHAR(10),TRUE,IF((元データ!$AL$2:$AL$2001=1)*(元データ!$AN$2:$AN$2001=1)*(元データ!$AE$2:$AE$2001=$C$84)*(元データ!$AO$2:$AO$2001=1)*(元データ!$AM$2:$AM$2001&gt;=31)*(元データ!$E$2:$E$2001="30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84" s="56"/>
      <c r="CE84" s="56"/>
      <c r="CF84" s="46">
        <f ca="1">SUMPRODUCT((元データ!$AL$2:$AL$2001=1)*(元データ!$AN$2:$AN$2001=1)*(元データ!$AE$2:$AE$2001=$C$84)*(元データ!$AO$2:$AO$2001=1)*(元データ!$AM$2:$AM$2001&gt;=31)*(元データ!$E$2:$E$2001="31 ＯＰ確認中"))</f>
        <v>0</v>
      </c>
      <c r="CG84" s="56" t="str" cm="1">
        <f t="array" aca="1" ref="CG84" ca="1">IFERROR(_xlfn.TEXTJOIN(CHAR(10),TRUE,IF((元データ!$AL$2:$AL$2001=1)*(元データ!$AN$2:$AN$2001=1)*(元データ!$AE$2:$AE$2001=$C$84)*(元データ!$AO$2:$AO$2001=1)*(元データ!$AM$2:$AM$2001&gt;=31)*(元データ!$E$2:$E$2001="31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84" s="56"/>
      <c r="CI84" s="56"/>
      <c r="CJ84" s="46">
        <f ca="1">SUMPRODUCT((元データ!$AL$2:$AL$2001=1)*(元データ!$AN$2:$AN$2001=1)*(元データ!$AE$2:$AE$2001=$C$84)*(元データ!$AO$2:$AO$2001=1)*(元データ!$AM$2:$AM$2001&gt;=31)*(元データ!$E$2:$E$2001="32 ＳＶ確認中"))</f>
        <v>0</v>
      </c>
      <c r="CK84" s="56" t="str" cm="1">
        <f t="array" aca="1" ref="CK84" ca="1">IFERROR(_xlfn.TEXTJOIN(CHAR(10),TRUE,IF((元データ!$AL$2:$AL$2001=1)*(元データ!$AN$2:$AN$2001=1)*(元データ!$AE$2:$AE$2001=$C$84)*(元データ!$AO$2:$AO$2001=1)*(元データ!$AM$2:$AM$2001&gt;=31)*(元データ!$E$2:$E$2001="32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84" s="56">
        <f ca="1">SUMPRODUCT((元データ!$AL$2:$AL$2001=1)*(元データ!$AN$2:$AN$2001=1)*(元データ!$AE$2:$AE$2001=$C$84)*(元データ!$AO$2:$AO$2001=1)*(元データ!$AM$2:$AM$2001&gt;=31)*(元データ!$E$2:$E$2001="40 差戻し"))</f>
        <v>0</v>
      </c>
      <c r="CM84" s="56" t="str" cm="1">
        <f t="array" aca="1" ref="CM84" ca="1">IFERROR(_xlfn.TEXTJOIN(CHAR(10),TRUE,IF((元データ!$AL$2:$AL$2001=1)*(元データ!$AN$2:$AN$2001=1)*(元データ!$AE$2:$AE$2001=$C$84)*(元データ!$AO$2:$AO$2001=1)*(元データ!$AM$2:$AM$2001&gt;=31)*(元データ!$E$2:$E$2001="40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85" spans="2:91" ht="24.95" customHeight="1">
      <c r="B85" s="92"/>
      <c r="C85" s="63"/>
      <c r="D85" s="63"/>
      <c r="E85" s="47" t="s">
        <v>134</v>
      </c>
      <c r="F85" s="48">
        <f>SUMPRODUCT((元データ!$AL$2:$AL$2001=1)*(元データ!$AN$2:$AN$2001=1)*(元データ!$AE$2:$AE$2001=$C$84)*(元データ!$AO$2:$AO$2001=0))</f>
        <v>0</v>
      </c>
      <c r="G85" s="49">
        <f ca="1">SUMPRODUCT((元データ!$AL$2:$AL$2001=1)*(元データ!$AN$2:$AN$2001=1)*(元データ!$AE$2:$AE$2001=$C$84)*(元データ!$AO$2:$AO$2001=0)*(元データ!$AM$2:$AM$2001&lt;=7))</f>
        <v>0</v>
      </c>
      <c r="H85" s="49">
        <f ca="1">SUMPRODUCT((元データ!$AL$2:$AL$2001=1)*(元データ!$AN$2:$AN$2001=1)*(元データ!$AE$2:$AE$2001=$C$84)*(元データ!$AO$2:$AO$2001=0)*(元データ!$AM$2:$AM$2001&lt;=7)*(元データ!$E$2:$E$2001="20 確認待ち"))</f>
        <v>0</v>
      </c>
      <c r="I85" s="57" t="str" cm="1">
        <f t="array" aca="1" ref="I85" ca="1">IFERROR(_xlfn.TEXTJOIN(CHAR(10),TRUE,IF((元データ!$AL$2:$AL$2001=1)*(元データ!$AN$2:$AN$2001=1)*(元データ!$AE$2:$AE$2001=$C$84)*(元データ!$AO$2:$AO$2001=0)*(元データ!$AM$2:$AM$2001&lt;=7)*(元データ!$E$2:$E$2001="20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85" s="57"/>
      <c r="K85" s="57"/>
      <c r="L85" s="49">
        <f ca="1">SUMPRODUCT((元データ!$AL$2:$AL$2001=1)*(元データ!$AN$2:$AN$2001=1)*(元データ!$AE$2:$AE$2001=$C$84)*(元データ!$AO$2:$AO$2001=0)*(元データ!$AM$2:$AM$2001&lt;=7)*(元データ!$E$2:$E$2001="30 申請受付"))</f>
        <v>0</v>
      </c>
      <c r="M85" s="57" t="str" cm="1">
        <f t="array" aca="1" ref="M85" ca="1">IFERROR(_xlfn.TEXTJOIN(CHAR(10),TRUE,IF((元データ!$AL$2:$AL$2001=1)*(元データ!$AN$2:$AN$2001=1)*(元データ!$AE$2:$AE$2001=$C$84)*(元データ!$AO$2:$AO$2001=0)*(元データ!$AM$2:$AM$2001&lt;=7)*(元データ!$E$2:$E$2001="30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85" s="57"/>
      <c r="O85" s="57"/>
      <c r="P85" s="49">
        <f ca="1">SUMPRODUCT((元データ!$AL$2:$AL$2001=1)*(元データ!$AN$2:$AN$2001=1)*(元データ!$AE$2:$AE$2001=$C$84)*(元データ!$AO$2:$AO$2001=0)*(元データ!$AM$2:$AM$2001&lt;=7)*(元データ!$E$2:$E$2001="31 ＯＰ確認中"))</f>
        <v>0</v>
      </c>
      <c r="Q85" s="57" t="str" cm="1">
        <f t="array" aca="1" ref="Q85" ca="1">IFERROR(_xlfn.TEXTJOIN(CHAR(10),TRUE,IF((元データ!$AL$2:$AL$2001=1)*(元データ!$AN$2:$AN$2001=1)*(元データ!$AE$2:$AE$2001=$C$84)*(元データ!$AO$2:$AO$2001=0)*(元データ!$AM$2:$AM$2001&lt;=7)*(元データ!$E$2:$E$2001="31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85" s="57"/>
      <c r="S85" s="57"/>
      <c r="T85" s="49">
        <f ca="1">SUMPRODUCT((元データ!$AL$2:$AL$2001=1)*(元データ!$AN$2:$AN$2001=1)*(元データ!$AE$2:$AE$2001=$C$84)*(元データ!$AO$2:$AO$2001=0)*(元データ!$AM$2:$AM$2001&lt;=7)*(元データ!$E$2:$E$2001="32 ＳＶ確認中"))</f>
        <v>0</v>
      </c>
      <c r="U85" s="57" t="str" cm="1">
        <f t="array" aca="1" ref="U85" ca="1">IFERROR(_xlfn.TEXTJOIN(CHAR(10),TRUE,IF((元データ!$AL$2:$AL$2001=1)*(元データ!$AN$2:$AN$2001=1)*(元データ!$AE$2:$AE$2001=$C$84)*(元データ!$AO$2:$AO$2001=0)*(元データ!$AM$2:$AM$2001&lt;=7)*(元データ!$E$2:$E$2001="32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85" s="57"/>
      <c r="W85" s="57"/>
      <c r="X85" s="49">
        <f ca="1">SUMPRODUCT((元データ!$AL$2:$AL$2001=1)*(元データ!$AN$2:$AN$2001=1)*(元データ!$AE$2:$AE$2001=$C$84)*(元データ!$AO$2:$AO$2001=0)*(元データ!$AM$2:$AM$2001&gt;=8)*(元データ!$AM$2:$AM$2001&lt;=14))</f>
        <v>0</v>
      </c>
      <c r="Y85" s="49">
        <f ca="1">SUMPRODUCT((元データ!$AL$2:$AL$2001=1)*(元データ!$AN$2:$AN$2001=1)*(元データ!$AE$2:$AE$2001=$C$84)*(元データ!$AO$2:$AO$2001=0)*(元データ!$AM$2:$AM$2001&gt;=8)*(元データ!$AM$2:$AM$2001&lt;=14)*(元データ!$E$2:$E$2001="20 確認待ち"))</f>
        <v>0</v>
      </c>
      <c r="Z85" s="57" t="str" cm="1">
        <f t="array" aca="1" ref="Z85" ca="1">IFERROR(_xlfn.TEXTJOIN(CHAR(10),TRUE,IF((元データ!$AL$2:$AL$2001=1)*(元データ!$AN$2:$AN$2001=1)*(元データ!$AE$2:$AE$2001=$C$84)*(元データ!$AO$2:$AO$2001=0)*(元データ!$AM$2:$AM$2001&gt;=8)*(元データ!$AM$2:$AM$2001&lt;=14)*(元データ!$E$2:$E$2001="20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5" s="57"/>
      <c r="AB85" s="57"/>
      <c r="AC85" s="49">
        <f ca="1">SUMPRODUCT((元データ!$AL$2:$AL$2001=1)*(元データ!$AN$2:$AN$2001=1)*(元データ!$AE$2:$AE$2001=$C$84)*(元データ!$AO$2:$AO$2001=0)*(元データ!$AM$2:$AM$2001&gt;=8)*(元データ!$AM$2:$AM$2001&lt;=14)*(元データ!$E$2:$E$2001="30 申請受付"))</f>
        <v>0</v>
      </c>
      <c r="AD85" s="57" t="str" cm="1">
        <f t="array" aca="1" ref="AD85" ca="1">IFERROR(_xlfn.TEXTJOIN(CHAR(10),TRUE,IF((元データ!$AL$2:$AL$2001=1)*(元データ!$AN$2:$AN$2001=1)*(元データ!$AE$2:$AE$2001=$C$84)*(元データ!$AO$2:$AO$2001=0)*(元データ!$AM$2:$AM$2001&gt;=8)*(元データ!$AM$2:$AM$2001&lt;=14)*(元データ!$E$2:$E$2001="30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5" s="57"/>
      <c r="AF85" s="57"/>
      <c r="AG85" s="49">
        <f ca="1">SUMPRODUCT((元データ!$AL$2:$AL$2001=1)*(元データ!$AN$2:$AN$2001=1)*(元データ!$AE$2:$AE$2001=$C$84)*(元データ!$AO$2:$AO$2001=0)*(元データ!$AM$2:$AM$2001&gt;=8)*(元データ!$AM$2:$AM$2001&lt;=14)*(元データ!$E$2:$E$2001="31 ＯＰ確認中"))</f>
        <v>0</v>
      </c>
      <c r="AH85" s="57" t="str" cm="1">
        <f t="array" aca="1" ref="AH85" ca="1">IFERROR(_xlfn.TEXTJOIN(CHAR(10),TRUE,IF((元データ!$AL$2:$AL$2001=1)*(元データ!$AN$2:$AN$2001=1)*(元データ!$AE$2:$AE$2001=$C$84)*(元データ!$AO$2:$AO$2001=0)*(元データ!$AM$2:$AM$2001&gt;=8)*(元データ!$AM$2:$AM$2001&lt;=14)*(元データ!$E$2:$E$2001="31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5" s="57"/>
      <c r="AJ85" s="57"/>
      <c r="AK85" s="49">
        <f ca="1">SUMPRODUCT((元データ!$AL$2:$AL$2001=1)*(元データ!$AN$2:$AN$2001=1)*(元データ!$AE$2:$AE$2001=$C$84)*(元データ!$AO$2:$AO$2001=0)*(元データ!$AM$2:$AM$2001&gt;=8)*(元データ!$AM$2:$AM$2001&lt;=14)*(元データ!$E$2:$E$2001="32 ＳＶ確認中"))</f>
        <v>0</v>
      </c>
      <c r="AL85" s="57" t="str" cm="1">
        <f t="array" aca="1" ref="AL85" ca="1">IFERROR(_xlfn.TEXTJOIN(CHAR(10),TRUE,IF((元データ!$AL$2:$AL$2001=1)*(元データ!$AN$2:$AN$2001=1)*(元データ!$AE$2:$AE$2001=$C$84)*(元データ!$AO$2:$AO$2001=0)*(元データ!$AM$2:$AM$2001&gt;=8)*(元データ!$AM$2:$AM$2001&lt;=14)*(元データ!$E$2:$E$2001="32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5" s="57">
        <f ca="1">SUMPRODUCT((元データ!$AL$2:$AL$2001=1)*(元データ!$AN$2:$AN$2001=1)*(元データ!$AE$2:$AE$2001=$C$84)*(元データ!$AO$2:$AO$2001=0)*(元データ!$AM$2:$AM$2001&gt;=8)*(元データ!$AM$2:$AM$2001&lt;=14)*(元データ!$E$2:$E$2001="40 差戻し"))</f>
        <v>0</v>
      </c>
      <c r="AN85" s="57" t="str" cm="1">
        <f t="array" aca="1" ref="AN85" ca="1">IFERROR(_xlfn.TEXTJOIN(CHAR(10),TRUE,IF((元データ!$AL$2:$AL$2001=1)*(元データ!$AN$2:$AN$2001=1)*(元データ!$AE$2:$AE$2001=$C$84)*(元データ!$AO$2:$AO$2001=0)*(元データ!$AM$2:$AM$2001&gt;=8)*(元データ!$AM$2:$AM$2001&lt;=14)*(元データ!$E$2:$E$2001="40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5" s="44">
        <f ca="1">SUMPRODUCT((元データ!$AL$2:$AL$2001=1)*(元データ!$AN$2:$AN$2001=1)*(元データ!$AE$2:$AE$2001=$C$84)*(元データ!$AO$2:$AO$2001=0)*(元データ!$AM$2:$AM$2001&gt;=15)*(元データ!$AM$2:$AM$2001&lt;=21))</f>
        <v>0</v>
      </c>
      <c r="AP85" s="44">
        <f ca="1">SUMPRODUCT((元データ!$AL$2:$AL$2001=1)*(元データ!$AN$2:$AN$2001=1)*(元データ!$AE$2:$AE$2001=$C$84)*(元データ!$AO$2:$AO$2001=0)*(元データ!$AM$2:$AM$2001&gt;=15)*(元データ!$AM$2:$AM$2001&lt;=21)*(元データ!$E$2:$E$2001="20 確認待ち"))</f>
        <v>0</v>
      </c>
      <c r="AQ85" s="58" t="str" cm="1">
        <f t="array" aca="1" ref="AQ85" ca="1">IFERROR(_xlfn.TEXTJOIN(CHAR(10),TRUE,IF((元データ!$AL$2:$AL$2001=1)*(元データ!$AN$2:$AN$2001=1)*(元データ!$AE$2:$AE$2001=$C$84)*(元データ!$AO$2:$AO$2001=0)*(元データ!$AM$2:$AM$2001&gt;=15)*(元データ!$AM$2:$AM$2001&lt;=21)*(元データ!$E$2:$E$2001="20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5" s="58"/>
      <c r="AS85" s="58"/>
      <c r="AT85" s="44">
        <f ca="1">SUMPRODUCT((元データ!$AL$2:$AL$2001=1)*(元データ!$AN$2:$AN$2001=1)*(元データ!$AE$2:$AE$2001=$C$84)*(元データ!$AO$2:$AO$2001=0)*(元データ!$AM$2:$AM$2001&gt;=15)*(元データ!$AM$2:$AM$2001&lt;=21)*(元データ!$E$2:$E$2001="30 申請受付"))</f>
        <v>0</v>
      </c>
      <c r="AU85" s="58" t="str" cm="1">
        <f t="array" aca="1" ref="AU85" ca="1">IFERROR(_xlfn.TEXTJOIN(CHAR(10),TRUE,IF((元データ!$AL$2:$AL$2001=1)*(元データ!$AN$2:$AN$2001=1)*(元データ!$AE$2:$AE$2001=$C$84)*(元データ!$AO$2:$AO$2001=0)*(元データ!$AM$2:$AM$2001&gt;=15)*(元データ!$AM$2:$AM$2001&lt;=21)*(元データ!$E$2:$E$2001="30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5" s="58"/>
      <c r="AW85" s="58"/>
      <c r="AX85" s="44">
        <f ca="1">SUMPRODUCT((元データ!$AL$2:$AL$2001=1)*(元データ!$AN$2:$AN$2001=1)*(元データ!$AE$2:$AE$2001=$C$84)*(元データ!$AO$2:$AO$2001=0)*(元データ!$AM$2:$AM$2001&gt;=15)*(元データ!$AM$2:$AM$2001&lt;=21)*(元データ!$E$2:$E$2001="31 ＯＰ確認中"))</f>
        <v>0</v>
      </c>
      <c r="AY85" s="58" t="str" cm="1">
        <f t="array" aca="1" ref="AY85" ca="1">IFERROR(_xlfn.TEXTJOIN(CHAR(10),TRUE,IF((元データ!$AL$2:$AL$2001=1)*(元データ!$AN$2:$AN$2001=1)*(元データ!$AE$2:$AE$2001=$C$84)*(元データ!$AO$2:$AO$2001=0)*(元データ!$AM$2:$AM$2001&gt;=15)*(元データ!$AM$2:$AM$2001&lt;=21)*(元データ!$E$2:$E$2001="31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5" s="58"/>
      <c r="BA85" s="58"/>
      <c r="BB85" s="44">
        <f ca="1">SUMPRODUCT((元データ!$AL$2:$AL$2001=1)*(元データ!$AN$2:$AN$2001=1)*(元データ!$AE$2:$AE$2001=$C$84)*(元データ!$AO$2:$AO$2001=0)*(元データ!$AM$2:$AM$2001&gt;=15)*(元データ!$AM$2:$AM$2001&lt;=21)*(元データ!$E$2:$E$2001="32 ＳＶ確認中"))</f>
        <v>0</v>
      </c>
      <c r="BC85" s="58" t="str" cm="1">
        <f t="array" aca="1" ref="BC85" ca="1">IFERROR(_xlfn.TEXTJOIN(CHAR(10),TRUE,IF((元データ!$AL$2:$AL$2001=1)*(元データ!$AN$2:$AN$2001=1)*(元データ!$AE$2:$AE$2001=$C$84)*(元データ!$AO$2:$AO$2001=0)*(元データ!$AM$2:$AM$2001&gt;=15)*(元データ!$AM$2:$AM$2001&lt;=21)*(元データ!$E$2:$E$2001="32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5" s="58">
        <f ca="1">SUMPRODUCT((元データ!$AL$2:$AL$2001=1)*(元データ!$AN$2:$AN$2001=1)*(元データ!$AE$2:$AE$2001=$C$84)*(元データ!$AO$2:$AO$2001=0)*(元データ!$AM$2:$AM$2001&gt;=15)*(元データ!$AM$2:$AM$2001&lt;=21)*(元データ!$E$2:$E$2001="40 差戻し"))</f>
        <v>0</v>
      </c>
      <c r="BE85" s="58" t="str" cm="1">
        <f t="array" aca="1" ref="BE85" ca="1">IFERROR(_xlfn.TEXTJOIN(CHAR(10),TRUE,IF((元データ!$AL$2:$AL$2001=1)*(元データ!$AN$2:$AN$2001=1)*(元データ!$AE$2:$AE$2001=$C$84)*(元データ!$AO$2:$AO$2001=0)*(元データ!$AM$2:$AM$2001&gt;=15)*(元データ!$AM$2:$AM$2001&lt;=21)*(元データ!$E$2:$E$2001="40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5" s="45">
        <f ca="1">SUMPRODUCT((元データ!$AL$2:$AL$2001=1)*(元データ!$AN$2:$AN$2001=1)*(元データ!$AE$2:$AE$2001=$C$84)*(元データ!$AO$2:$AO$2001=0)*(元データ!$AM$2:$AM$2001&gt;=22)*(元データ!$AM$2:$AM$2001&lt;=30))</f>
        <v>0</v>
      </c>
      <c r="BG85" s="45">
        <f ca="1">SUMPRODUCT((元データ!$AL$2:$AL$2001=1)*(元データ!$AN$2:$AN$2001=1)*(元データ!$AE$2:$AE$2001=$C$84)*(元データ!$AO$2:$AO$2001=0)*(元データ!$AM$2:$AM$2001&gt;=22)*(元データ!$AM$2:$AM$2001&lt;=30)*(元データ!$E$2:$E$2001="20 確認待ち"))</f>
        <v>0</v>
      </c>
      <c r="BH85" s="59" t="str" cm="1">
        <f t="array" aca="1" ref="BH85" ca="1">IFERROR(_xlfn.TEXTJOIN(CHAR(10),TRUE,IF((元データ!$AL$2:$AL$2001=1)*(元データ!$AN$2:$AN$2001=1)*(元データ!$AE$2:$AE$2001=$C$84)*(元データ!$AO$2:$AO$2001=0)*(元データ!$AM$2:$AM$2001&gt;=22)*(元データ!$AM$2:$AM$2001&lt;=30)*(元データ!$E$2:$E$2001="20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5" s="59"/>
      <c r="BJ85" s="59"/>
      <c r="BK85" s="45">
        <f ca="1">SUMPRODUCT((元データ!$AL$2:$AL$2001=1)*(元データ!$AN$2:$AN$2001=1)*(元データ!$AE$2:$AE$2001=$C$84)*(元データ!$AO$2:$AO$2001=0)*(元データ!$AM$2:$AM$2001&gt;=22)*(元データ!$AM$2:$AM$2001&lt;=30)*(元データ!$E$2:$E$2001="30 申請受付"))</f>
        <v>0</v>
      </c>
      <c r="BL85" s="59" t="str" cm="1">
        <f t="array" aca="1" ref="BL85" ca="1">IFERROR(_xlfn.TEXTJOIN(CHAR(10),TRUE,IF((元データ!$AL$2:$AL$2001=1)*(元データ!$AN$2:$AN$2001=1)*(元データ!$AE$2:$AE$2001=$C$84)*(元データ!$AO$2:$AO$2001=0)*(元データ!$AM$2:$AM$2001&gt;=22)*(元データ!$AM$2:$AM$2001&lt;=30)*(元データ!$E$2:$E$2001="30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5" s="59"/>
      <c r="BN85" s="59"/>
      <c r="BO85" s="45">
        <f ca="1">SUMPRODUCT((元データ!$AL$2:$AL$2001=1)*(元データ!$AN$2:$AN$2001=1)*(元データ!$AE$2:$AE$2001=$C$84)*(元データ!$AO$2:$AO$2001=0)*(元データ!$AM$2:$AM$2001&gt;=22)*(元データ!$AM$2:$AM$2001&lt;=30)*(元データ!$E$2:$E$2001="31 ＯＰ確認中"))</f>
        <v>0</v>
      </c>
      <c r="BP85" s="59" t="str" cm="1">
        <f t="array" aca="1" ref="BP85" ca="1">IFERROR(_xlfn.TEXTJOIN(CHAR(10),TRUE,IF((元データ!$AL$2:$AL$2001=1)*(元データ!$AN$2:$AN$2001=1)*(元データ!$AE$2:$AE$2001=$C$84)*(元データ!$AO$2:$AO$2001=0)*(元データ!$AM$2:$AM$2001&gt;=22)*(元データ!$AM$2:$AM$2001&lt;=30)*(元データ!$E$2:$E$2001="31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5" s="59"/>
      <c r="BR85" s="59"/>
      <c r="BS85" s="45">
        <f ca="1">SUMPRODUCT((元データ!$AL$2:$AL$2001=1)*(元データ!$AN$2:$AN$2001=1)*(元データ!$AE$2:$AE$2001=$C$84)*(元データ!$AO$2:$AO$2001=0)*(元データ!$AM$2:$AM$2001&gt;=22)*(元データ!$AM$2:$AM$2001&lt;=30)*(元データ!$E$2:$E$2001="32 ＳＶ確認中"))</f>
        <v>0</v>
      </c>
      <c r="BT85" s="59" t="str" cm="1">
        <f t="array" aca="1" ref="BT85" ca="1">IFERROR(_xlfn.TEXTJOIN(CHAR(10),TRUE,IF((元データ!$AL$2:$AL$2001=1)*(元データ!$AN$2:$AN$2001=1)*(元データ!$AE$2:$AE$2001=$C$84)*(元データ!$AO$2:$AO$2001=0)*(元データ!$AM$2:$AM$2001&gt;=22)*(元データ!$AM$2:$AM$2001&lt;=30)*(元データ!$E$2:$E$2001="32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5" s="59">
        <f ca="1">SUMPRODUCT((元データ!$AL$2:$AL$2001=1)*(元データ!$AN$2:$AN$2001=1)*(元データ!$AE$2:$AE$2001=$C$84)*(元データ!$AO$2:$AO$2001=0)*(元データ!$AM$2:$AM$2001&gt;=22)*(元データ!$AM$2:$AM$2001&lt;=30)*(元データ!$E$2:$E$2001="40 差戻し"))</f>
        <v>0</v>
      </c>
      <c r="BV85" s="59" t="str" cm="1">
        <f t="array" aca="1" ref="BV85" ca="1">IFERROR(_xlfn.TEXTJOIN(CHAR(10),TRUE,IF((元データ!$AL$2:$AL$2001=1)*(元データ!$AN$2:$AN$2001=1)*(元データ!$AE$2:$AE$2001=$C$84)*(元データ!$AO$2:$AO$2001=0)*(元データ!$AM$2:$AM$2001&gt;=22)*(元データ!$AM$2:$AM$2001&lt;=30)*(元データ!$E$2:$E$2001="40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5" s="46">
        <f ca="1">SUMPRODUCT((元データ!$AL$2:$AL$2001=1)*(元データ!$AN$2:$AN$2001=1)*(元データ!$AE$2:$AE$2001=$C$84)*(元データ!$AO$2:$AO$2001=0)*(元データ!$AM$2:$AM$2001&gt;=31))</f>
        <v>0</v>
      </c>
      <c r="BX85" s="46">
        <f ca="1">SUMPRODUCT((元データ!$AL$2:$AL$2001=1)*(元データ!$AN$2:$AN$2001=1)*(元データ!$AE$2:$AE$2001=$C$84)*(元データ!$AO$2:$AO$2001=0)*(元データ!$AM$2:$AM$2001&gt;=31)*(元データ!$E$2:$E$2001="20 確認待ち"))</f>
        <v>0</v>
      </c>
      <c r="BY85" s="56" t="str" cm="1">
        <f t="array" aca="1" ref="BY85" ca="1">IFERROR(_xlfn.TEXTJOIN(CHAR(10),TRUE,IF((元データ!$AL$2:$AL$2001=1)*(元データ!$AN$2:$AN$2001=1)*(元データ!$AE$2:$AE$2001=$C$84)*(元データ!$AO$2:$AO$2001=0)*(元データ!$AM$2:$AM$2001&gt;=31)*(元データ!$E$2:$E$2001="20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85" s="56"/>
      <c r="CA85" s="56"/>
      <c r="CB85" s="46">
        <f ca="1">SUMPRODUCT((元データ!$AL$2:$AL$2001=1)*(元データ!$AN$2:$AN$2001=1)*(元データ!$AE$2:$AE$2001=$C$84)*(元データ!$AO$2:$AO$2001=0)*(元データ!$AM$2:$AM$2001&gt;=31)*(元データ!$E$2:$E$2001="30 申請受付"))</f>
        <v>0</v>
      </c>
      <c r="CC85" s="56" t="str" cm="1">
        <f t="array" aca="1" ref="CC85" ca="1">IFERROR(_xlfn.TEXTJOIN(CHAR(10),TRUE,IF((元データ!$AL$2:$AL$2001=1)*(元データ!$AN$2:$AN$2001=1)*(元データ!$AE$2:$AE$2001=$C$84)*(元データ!$AO$2:$AO$2001=0)*(元データ!$AM$2:$AM$2001&gt;=31)*(元データ!$E$2:$E$2001="30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85" s="56"/>
      <c r="CE85" s="56"/>
      <c r="CF85" s="46">
        <f ca="1">SUMPRODUCT((元データ!$AL$2:$AL$2001=1)*(元データ!$AN$2:$AN$2001=1)*(元データ!$AE$2:$AE$2001=$C$84)*(元データ!$AO$2:$AO$2001=0)*(元データ!$AM$2:$AM$2001&gt;=31)*(元データ!$E$2:$E$2001="31 ＯＰ確認中"))</f>
        <v>0</v>
      </c>
      <c r="CG85" s="56" t="str" cm="1">
        <f t="array" aca="1" ref="CG85" ca="1">IFERROR(_xlfn.TEXTJOIN(CHAR(10),TRUE,IF((元データ!$AL$2:$AL$2001=1)*(元データ!$AN$2:$AN$2001=1)*(元データ!$AE$2:$AE$2001=$C$84)*(元データ!$AO$2:$AO$2001=0)*(元データ!$AM$2:$AM$2001&gt;=31)*(元データ!$E$2:$E$2001="31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85" s="56"/>
      <c r="CI85" s="56"/>
      <c r="CJ85" s="46">
        <f ca="1">SUMPRODUCT((元データ!$AL$2:$AL$2001=1)*(元データ!$AN$2:$AN$2001=1)*(元データ!$AE$2:$AE$2001=$C$84)*(元データ!$AO$2:$AO$2001=0)*(元データ!$AM$2:$AM$2001&gt;=31)*(元データ!$E$2:$E$2001="32 ＳＶ確認中"))</f>
        <v>0</v>
      </c>
      <c r="CK85" s="56" t="str" cm="1">
        <f t="array" aca="1" ref="CK85" ca="1">IFERROR(_xlfn.TEXTJOIN(CHAR(10),TRUE,IF((元データ!$AL$2:$AL$2001=1)*(元データ!$AN$2:$AN$2001=1)*(元データ!$AE$2:$AE$2001=$C$84)*(元データ!$AO$2:$AO$2001=0)*(元データ!$AM$2:$AM$2001&gt;=31)*(元データ!$E$2:$E$2001="32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85" s="56">
        <f ca="1">SUMPRODUCT((元データ!$AL$2:$AL$2001=1)*(元データ!$AN$2:$AN$2001=1)*(元データ!$AE$2:$AE$2001=$C$84)*(元データ!$AO$2:$AO$2001=0)*(元データ!$AM$2:$AM$2001&gt;=31)*(元データ!$E$2:$E$2001="40 差戻し"))</f>
        <v>0</v>
      </c>
      <c r="CM85" s="56" t="str" cm="1">
        <f t="array" aca="1" ref="CM85" ca="1">IFERROR(_xlfn.TEXTJOIN(CHAR(10),TRUE,IF((元データ!$AL$2:$AL$2001=1)*(元データ!$AN$2:$AN$2001=1)*(元データ!$AE$2:$AE$2001=$C$84)*(元データ!$AO$2:$AO$2001=0)*(元データ!$AM$2:$AM$2001&gt;=31)*(元データ!$E$2:$E$2001="40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86" spans="2:91" ht="24.95" customHeight="1">
      <c r="B86" s="91"/>
      <c r="C86" s="63" t="s">
        <v>91</v>
      </c>
      <c r="D86" s="63"/>
      <c r="E86" s="41" t="s">
        <v>133</v>
      </c>
      <c r="F86" s="42">
        <f>SUMPRODUCT((元データ!$AL$2:$AL$2001=1)*(元データ!$AN$2:$AN$2001=1)*(元データ!$AE$2:$AE$2001=$C$86)*(元データ!$AO$2:$AO$2001=1))</f>
        <v>1</v>
      </c>
      <c r="G86" s="43">
        <f ca="1">SUMPRODUCT((元データ!$AL$2:$AL$2001=1)*(元データ!$AN$2:$AN$2001=1)*(元データ!$AE$2:$AE$2001=$C$86)*(元データ!$AO$2:$AO$2001=1)*(元データ!$AM$2:$AM$2001&lt;=7))</f>
        <v>0</v>
      </c>
      <c r="H86" s="43">
        <f ca="1">SUMPRODUCT((元データ!$AL$2:$AL$2001=1)*(元データ!$AN$2:$AN$2001=1)*(元データ!$AE$2:$AE$2001=$C$86)*(元データ!$AO$2:$AO$2001=1)*(元データ!$AM$2:$AM$2001&lt;=7)*(元データ!$E$2:$E$2001="20 確認待ち"))</f>
        <v>0</v>
      </c>
      <c r="I86" s="61" t="str" cm="1">
        <f t="array" aca="1" ref="I86" ca="1">IFERROR(_xlfn.TEXTJOIN(CHAR(10),TRUE,IF((元データ!$AL$2:$AL$2001=1)*(元データ!$AN$2:$AN$2001=1)*(元データ!$AE$2:$AE$2001=$C$86)*(元データ!$AO$2:$AO$2001=1)*(元データ!$AM$2:$AM$2001&lt;=7)*(元データ!$E$2:$E$2001="20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86" s="61"/>
      <c r="K86" s="61"/>
      <c r="L86" s="43">
        <f ca="1">SUMPRODUCT((元データ!$AL$2:$AL$2001=1)*(元データ!$AN$2:$AN$2001=1)*(元データ!$AE$2:$AE$2001=$C$86)*(元データ!$AO$2:$AO$2001=1)*(元データ!$AM$2:$AM$2001&lt;=7)*(元データ!$E$2:$E$2001="30 申請受付"))</f>
        <v>0</v>
      </c>
      <c r="M86" s="61" t="str" cm="1">
        <f t="array" aca="1" ref="M86" ca="1">IFERROR(_xlfn.TEXTJOIN(CHAR(10),TRUE,IF((元データ!$AL$2:$AL$2001=1)*(元データ!$AN$2:$AN$2001=1)*(元データ!$AE$2:$AE$2001=$C$86)*(元データ!$AO$2:$AO$2001=1)*(元データ!$AM$2:$AM$2001&lt;=7)*(元データ!$E$2:$E$2001="30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86" s="61"/>
      <c r="O86" s="61"/>
      <c r="P86" s="43">
        <f ca="1">SUMPRODUCT((元データ!$AL$2:$AL$2001=1)*(元データ!$AN$2:$AN$2001=1)*(元データ!$AE$2:$AE$2001=$C$86)*(元データ!$AO$2:$AO$2001=1)*(元データ!$AM$2:$AM$2001&lt;=7)*(元データ!$E$2:$E$2001="31 ＯＰ確認中"))</f>
        <v>0</v>
      </c>
      <c r="Q86" s="61" t="str" cm="1">
        <f t="array" aca="1" ref="Q86" ca="1">IFERROR(_xlfn.TEXTJOIN(CHAR(10),TRUE,IF((元データ!$AL$2:$AL$2001=1)*(元データ!$AN$2:$AN$2001=1)*(元データ!$AE$2:$AE$2001=$C$86)*(元データ!$AO$2:$AO$2001=1)*(元データ!$AM$2:$AM$2001&lt;=7)*(元データ!$E$2:$E$2001="31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86" s="61"/>
      <c r="S86" s="61"/>
      <c r="T86" s="43">
        <f ca="1">SUMPRODUCT((元データ!$AL$2:$AL$2001=1)*(元データ!$AN$2:$AN$2001=1)*(元データ!$AE$2:$AE$2001=$C$86)*(元データ!$AO$2:$AO$2001=1)*(元データ!$AM$2:$AM$2001&lt;=7)*(元データ!$E$2:$E$2001="32 ＳＶ確認中"))</f>
        <v>0</v>
      </c>
      <c r="U86" s="61" t="str" cm="1">
        <f t="array" aca="1" ref="U86" ca="1">IFERROR(_xlfn.TEXTJOIN(CHAR(10),TRUE,IF((元データ!$AL$2:$AL$2001=1)*(元データ!$AN$2:$AN$2001=1)*(元データ!$AE$2:$AE$2001=$C$86)*(元データ!$AO$2:$AO$2001=1)*(元データ!$AM$2:$AM$2001&lt;=7)*(元データ!$E$2:$E$2001="32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86" s="61"/>
      <c r="W86" s="61"/>
      <c r="X86" s="43">
        <f ca="1">SUMPRODUCT((元データ!$AL$2:$AL$2001=1)*(元データ!$AN$2:$AN$2001=1)*(元データ!$AE$2:$AE$2001=$C$86)*(元データ!$AO$2:$AO$2001=1)*(元データ!$AM$2:$AM$2001&gt;=8)*(元データ!$AM$2:$AM$2001&lt;=14))</f>
        <v>0</v>
      </c>
      <c r="Y86" s="43">
        <f ca="1">SUMPRODUCT((元データ!$AL$2:$AL$2001=1)*(元データ!$AN$2:$AN$2001=1)*(元データ!$AE$2:$AE$2001=$C$86)*(元データ!$AO$2:$AO$2001=1)*(元データ!$AM$2:$AM$2001&gt;=8)*(元データ!$AM$2:$AM$2001&lt;=14)*(元データ!$E$2:$E$2001="20 確認待ち"))</f>
        <v>0</v>
      </c>
      <c r="Z86" s="61" t="str" cm="1">
        <f t="array" aca="1" ref="Z86" ca="1">IFERROR(_xlfn.TEXTJOIN(CHAR(10),TRUE,IF((元データ!$AL$2:$AL$2001=1)*(元データ!$AN$2:$AN$2001=1)*(元データ!$AE$2:$AE$2001=$C$86)*(元データ!$AO$2:$AO$2001=1)*(元データ!$AM$2:$AM$2001&gt;=8)*(元データ!$AM$2:$AM$2001&lt;=14)*(元データ!$E$2:$E$2001="20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6" s="61"/>
      <c r="AB86" s="61"/>
      <c r="AC86" s="43">
        <f ca="1">SUMPRODUCT((元データ!$AL$2:$AL$2001=1)*(元データ!$AN$2:$AN$2001=1)*(元データ!$AE$2:$AE$2001=$C$86)*(元データ!$AO$2:$AO$2001=1)*(元データ!$AM$2:$AM$2001&gt;=8)*(元データ!$AM$2:$AM$2001&lt;=14)*(元データ!$E$2:$E$2001="30 申請受付"))</f>
        <v>0</v>
      </c>
      <c r="AD86" s="61" t="str" cm="1">
        <f t="array" aca="1" ref="AD86" ca="1">IFERROR(_xlfn.TEXTJOIN(CHAR(10),TRUE,IF((元データ!$AL$2:$AL$2001=1)*(元データ!$AN$2:$AN$2001=1)*(元データ!$AE$2:$AE$2001=$C$86)*(元データ!$AO$2:$AO$2001=1)*(元データ!$AM$2:$AM$2001&gt;=8)*(元データ!$AM$2:$AM$2001&lt;=14)*(元データ!$E$2:$E$2001="30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6" s="61"/>
      <c r="AF86" s="61"/>
      <c r="AG86" s="43">
        <f ca="1">SUMPRODUCT((元データ!$AL$2:$AL$2001=1)*(元データ!$AN$2:$AN$2001=1)*(元データ!$AE$2:$AE$2001=$C$86)*(元データ!$AO$2:$AO$2001=1)*(元データ!$AM$2:$AM$2001&gt;=8)*(元データ!$AM$2:$AM$2001&lt;=14)*(元データ!$E$2:$E$2001="31 ＯＰ確認中"))</f>
        <v>0</v>
      </c>
      <c r="AH86" s="61" t="str" cm="1">
        <f t="array" aca="1" ref="AH86" ca="1">IFERROR(_xlfn.TEXTJOIN(CHAR(10),TRUE,IF((元データ!$AL$2:$AL$2001=1)*(元データ!$AN$2:$AN$2001=1)*(元データ!$AE$2:$AE$2001=$C$86)*(元データ!$AO$2:$AO$2001=1)*(元データ!$AM$2:$AM$2001&gt;=8)*(元データ!$AM$2:$AM$2001&lt;=14)*(元データ!$E$2:$E$2001="31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6" s="61"/>
      <c r="AJ86" s="61"/>
      <c r="AK86" s="43">
        <f ca="1">SUMPRODUCT((元データ!$AL$2:$AL$2001=1)*(元データ!$AN$2:$AN$2001=1)*(元データ!$AE$2:$AE$2001=$C$86)*(元データ!$AO$2:$AO$2001=1)*(元データ!$AM$2:$AM$2001&gt;=8)*(元データ!$AM$2:$AM$2001&lt;=14)*(元データ!$E$2:$E$2001="32 ＳＶ確認中"))</f>
        <v>0</v>
      </c>
      <c r="AL86" s="61" t="str" cm="1">
        <f t="array" aca="1" ref="AL86" ca="1">IFERROR(_xlfn.TEXTJOIN(CHAR(10),TRUE,IF((元データ!$AL$2:$AL$2001=1)*(元データ!$AN$2:$AN$2001=1)*(元データ!$AE$2:$AE$2001=$C$86)*(元データ!$AO$2:$AO$2001=1)*(元データ!$AM$2:$AM$2001&gt;=8)*(元データ!$AM$2:$AM$2001&lt;=14)*(元データ!$E$2:$E$2001="32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6" s="61">
        <f ca="1">SUMPRODUCT((元データ!$AL$2:$AL$2001=1)*(元データ!$AN$2:$AN$2001=1)*(元データ!$AE$2:$AE$2001=$C$86)*(元データ!$AO$2:$AO$2001=1)*(元データ!$AM$2:$AM$2001&gt;=8)*(元データ!$AM$2:$AM$2001&lt;=14)*(元データ!$E$2:$E$2001="40 差戻し"))</f>
        <v>0</v>
      </c>
      <c r="AN86" s="61" t="str" cm="1">
        <f t="array" aca="1" ref="AN86" ca="1">IFERROR(_xlfn.TEXTJOIN(CHAR(10),TRUE,IF((元データ!$AL$2:$AL$2001=1)*(元データ!$AN$2:$AN$2001=1)*(元データ!$AE$2:$AE$2001=$C$86)*(元データ!$AO$2:$AO$2001=1)*(元データ!$AM$2:$AM$2001&gt;=8)*(元データ!$AM$2:$AM$2001&lt;=14)*(元データ!$E$2:$E$2001="40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6" s="44">
        <f ca="1">SUMPRODUCT((元データ!$AL$2:$AL$2001=1)*(元データ!$AN$2:$AN$2001=1)*(元データ!$AE$2:$AE$2001=$C$86)*(元データ!$AO$2:$AO$2001=1)*(元データ!$AM$2:$AM$2001&gt;=15)*(元データ!$AM$2:$AM$2001&lt;=21))</f>
        <v>0</v>
      </c>
      <c r="AP86" s="44">
        <f ca="1">SUMPRODUCT((元データ!$AL$2:$AL$2001=1)*(元データ!$AN$2:$AN$2001=1)*(元データ!$AE$2:$AE$2001=$C$86)*(元データ!$AO$2:$AO$2001=1)*(元データ!$AM$2:$AM$2001&gt;=15)*(元データ!$AM$2:$AM$2001&lt;=21)*(元データ!$E$2:$E$2001="20 確認待ち"))</f>
        <v>0</v>
      </c>
      <c r="AQ86" s="58" t="str" cm="1">
        <f t="array" aca="1" ref="AQ86" ca="1">IFERROR(_xlfn.TEXTJOIN(CHAR(10),TRUE,IF((元データ!$AL$2:$AL$2001=1)*(元データ!$AN$2:$AN$2001=1)*(元データ!$AE$2:$AE$2001=$C$86)*(元データ!$AO$2:$AO$2001=1)*(元データ!$AM$2:$AM$2001&gt;=15)*(元データ!$AM$2:$AM$2001&lt;=21)*(元データ!$E$2:$E$2001="20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6" s="58"/>
      <c r="AS86" s="58"/>
      <c r="AT86" s="44">
        <f ca="1">SUMPRODUCT((元データ!$AL$2:$AL$2001=1)*(元データ!$AN$2:$AN$2001=1)*(元データ!$AE$2:$AE$2001=$C$86)*(元データ!$AO$2:$AO$2001=1)*(元データ!$AM$2:$AM$2001&gt;=15)*(元データ!$AM$2:$AM$2001&lt;=21)*(元データ!$E$2:$E$2001="30 申請受付"))</f>
        <v>0</v>
      </c>
      <c r="AU86" s="58" t="str" cm="1">
        <f t="array" aca="1" ref="AU86" ca="1">IFERROR(_xlfn.TEXTJOIN(CHAR(10),TRUE,IF((元データ!$AL$2:$AL$2001=1)*(元データ!$AN$2:$AN$2001=1)*(元データ!$AE$2:$AE$2001=$C$86)*(元データ!$AO$2:$AO$2001=1)*(元データ!$AM$2:$AM$2001&gt;=15)*(元データ!$AM$2:$AM$2001&lt;=21)*(元データ!$E$2:$E$2001="30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6" s="58"/>
      <c r="AW86" s="58"/>
      <c r="AX86" s="44">
        <f ca="1">SUMPRODUCT((元データ!$AL$2:$AL$2001=1)*(元データ!$AN$2:$AN$2001=1)*(元データ!$AE$2:$AE$2001=$C$86)*(元データ!$AO$2:$AO$2001=1)*(元データ!$AM$2:$AM$2001&gt;=15)*(元データ!$AM$2:$AM$2001&lt;=21)*(元データ!$E$2:$E$2001="31 ＯＰ確認中"))</f>
        <v>0</v>
      </c>
      <c r="AY86" s="58" t="str" cm="1">
        <f t="array" aca="1" ref="AY86" ca="1">IFERROR(_xlfn.TEXTJOIN(CHAR(10),TRUE,IF((元データ!$AL$2:$AL$2001=1)*(元データ!$AN$2:$AN$2001=1)*(元データ!$AE$2:$AE$2001=$C$86)*(元データ!$AO$2:$AO$2001=1)*(元データ!$AM$2:$AM$2001&gt;=15)*(元データ!$AM$2:$AM$2001&lt;=21)*(元データ!$E$2:$E$2001="31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6" s="58"/>
      <c r="BA86" s="58"/>
      <c r="BB86" s="44">
        <f ca="1">SUMPRODUCT((元データ!$AL$2:$AL$2001=1)*(元データ!$AN$2:$AN$2001=1)*(元データ!$AE$2:$AE$2001=$C$86)*(元データ!$AO$2:$AO$2001=1)*(元データ!$AM$2:$AM$2001&gt;=15)*(元データ!$AM$2:$AM$2001&lt;=21)*(元データ!$E$2:$E$2001="32 ＳＶ確認中"))</f>
        <v>0</v>
      </c>
      <c r="BC86" s="58" t="str" cm="1">
        <f t="array" aca="1" ref="BC86" ca="1">IFERROR(_xlfn.TEXTJOIN(CHAR(10),TRUE,IF((元データ!$AL$2:$AL$2001=1)*(元データ!$AN$2:$AN$2001=1)*(元データ!$AE$2:$AE$2001=$C$86)*(元データ!$AO$2:$AO$2001=1)*(元データ!$AM$2:$AM$2001&gt;=15)*(元データ!$AM$2:$AM$2001&lt;=21)*(元データ!$E$2:$E$2001="32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6" s="58">
        <f ca="1">SUMPRODUCT((元データ!$AL$2:$AL$2001=1)*(元データ!$AN$2:$AN$2001=1)*(元データ!$AE$2:$AE$2001=$C$86)*(元データ!$AO$2:$AO$2001=1)*(元データ!$AM$2:$AM$2001&gt;=15)*(元データ!$AM$2:$AM$2001&lt;=21)*(元データ!$E$2:$E$2001="40 差戻し"))</f>
        <v>0</v>
      </c>
      <c r="BE86" s="58" t="str" cm="1">
        <f t="array" aca="1" ref="BE86" ca="1">IFERROR(_xlfn.TEXTJOIN(CHAR(10),TRUE,IF((元データ!$AL$2:$AL$2001=1)*(元データ!$AN$2:$AN$2001=1)*(元データ!$AE$2:$AE$2001=$C$86)*(元データ!$AO$2:$AO$2001=1)*(元データ!$AM$2:$AM$2001&gt;=15)*(元データ!$AM$2:$AM$2001&lt;=21)*(元データ!$E$2:$E$2001="40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6" s="45">
        <f ca="1">SUMPRODUCT((元データ!$AL$2:$AL$2001=1)*(元データ!$AN$2:$AN$2001=1)*(元データ!$AE$2:$AE$2001=$C$86)*(元データ!$AO$2:$AO$2001=1)*(元データ!$AM$2:$AM$2001&gt;=22)*(元データ!$AM$2:$AM$2001&lt;=30))</f>
        <v>0</v>
      </c>
      <c r="BG86" s="45">
        <f ca="1">SUMPRODUCT((元データ!$AL$2:$AL$2001=1)*(元データ!$AN$2:$AN$2001=1)*(元データ!$AE$2:$AE$2001=$C$86)*(元データ!$AO$2:$AO$2001=1)*(元データ!$AM$2:$AM$2001&gt;=22)*(元データ!$AM$2:$AM$2001&lt;=30)*(元データ!$E$2:$E$2001="20 確認待ち"))</f>
        <v>0</v>
      </c>
      <c r="BH86" s="60" t="str" cm="1">
        <f t="array" aca="1" ref="BH86" ca="1">IFERROR(_xlfn.TEXTJOIN(CHAR(10),TRUE,IF((元データ!$AL$2:$AL$2001=1)*(元データ!$AN$2:$AN$2001=1)*(元データ!$AE$2:$AE$2001=$C$86)*(元データ!$AO$2:$AO$2001=1)*(元データ!$AM$2:$AM$2001&gt;=22)*(元データ!$AM$2:$AM$2001&lt;=30)*(元データ!$E$2:$E$2001="20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6" s="60"/>
      <c r="BJ86" s="60"/>
      <c r="BK86" s="45">
        <f ca="1">SUMPRODUCT((元データ!$AL$2:$AL$2001=1)*(元データ!$AN$2:$AN$2001=1)*(元データ!$AE$2:$AE$2001=$C$86)*(元データ!$AO$2:$AO$2001=1)*(元データ!$AM$2:$AM$2001&gt;=22)*(元データ!$AM$2:$AM$2001&lt;=30)*(元データ!$E$2:$E$2001="30 申請受付"))</f>
        <v>0</v>
      </c>
      <c r="BL86" s="59" t="str" cm="1">
        <f t="array" aca="1" ref="BL86" ca="1">IFERROR(_xlfn.TEXTJOIN(CHAR(10),TRUE,IF((元データ!$AL$2:$AL$2001=1)*(元データ!$AN$2:$AN$2001=1)*(元データ!$AE$2:$AE$2001=$C$86)*(元データ!$AO$2:$AO$2001=1)*(元データ!$AM$2:$AM$2001&gt;=22)*(元データ!$AM$2:$AM$2001&lt;=30)*(元データ!$E$2:$E$2001="30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6" s="59"/>
      <c r="BN86" s="59"/>
      <c r="BO86" s="45">
        <f ca="1">SUMPRODUCT((元データ!$AL$2:$AL$2001=1)*(元データ!$AN$2:$AN$2001=1)*(元データ!$AE$2:$AE$2001=$C$86)*(元データ!$AO$2:$AO$2001=1)*(元データ!$AM$2:$AM$2001&gt;=22)*(元データ!$AM$2:$AM$2001&lt;=30)*(元データ!$E$2:$E$2001="31 ＯＰ確認中"))</f>
        <v>0</v>
      </c>
      <c r="BP86" s="59" t="str" cm="1">
        <f t="array" aca="1" ref="BP86" ca="1">IFERROR(_xlfn.TEXTJOIN(CHAR(10),TRUE,IF((元データ!$AL$2:$AL$2001=1)*(元データ!$AN$2:$AN$2001=1)*(元データ!$AE$2:$AE$2001=$C$86)*(元データ!$AO$2:$AO$2001=1)*(元データ!$AM$2:$AM$2001&gt;=22)*(元データ!$AM$2:$AM$2001&lt;=30)*(元データ!$E$2:$E$2001="31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6" s="59"/>
      <c r="BR86" s="59"/>
      <c r="BS86" s="45">
        <f ca="1">SUMPRODUCT((元データ!$AL$2:$AL$2001=1)*(元データ!$AN$2:$AN$2001=1)*(元データ!$AE$2:$AE$2001=$C$86)*(元データ!$AO$2:$AO$2001=1)*(元データ!$AM$2:$AM$2001&gt;=22)*(元データ!$AM$2:$AM$2001&lt;=30)*(元データ!$E$2:$E$2001="32 ＳＶ確認中"))</f>
        <v>0</v>
      </c>
      <c r="BT86" s="59" t="str" cm="1">
        <f t="array" aca="1" ref="BT86" ca="1">IFERROR(_xlfn.TEXTJOIN(CHAR(10),TRUE,IF((元データ!$AL$2:$AL$2001=1)*(元データ!$AN$2:$AN$2001=1)*(元データ!$AE$2:$AE$2001=$C$86)*(元データ!$AO$2:$AO$2001=1)*(元データ!$AM$2:$AM$2001&gt;=22)*(元データ!$AM$2:$AM$2001&lt;=30)*(元データ!$E$2:$E$2001="32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6" s="59">
        <f ca="1">SUMPRODUCT((元データ!$AL$2:$AL$2001=1)*(元データ!$AN$2:$AN$2001=1)*(元データ!$AE$2:$AE$2001=$C$86)*(元データ!$AO$2:$AO$2001=1)*(元データ!$AM$2:$AM$2001&gt;=22)*(元データ!$AM$2:$AM$2001&lt;=30)*(元データ!$E$2:$E$2001="40 差戻し"))</f>
        <v>0</v>
      </c>
      <c r="BV86" s="59" t="str" cm="1">
        <f t="array" aca="1" ref="BV86" ca="1">IFERROR(_xlfn.TEXTJOIN(CHAR(10),TRUE,IF((元データ!$AL$2:$AL$2001=1)*(元データ!$AN$2:$AN$2001=1)*(元データ!$AE$2:$AE$2001=$C$86)*(元データ!$AO$2:$AO$2001=1)*(元データ!$AM$2:$AM$2001&gt;=22)*(元データ!$AM$2:$AM$2001&lt;=30)*(元データ!$E$2:$E$2001="40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6" s="46">
        <f ca="1">SUMPRODUCT((元データ!$AL$2:$AL$2001=1)*(元データ!$AN$2:$AN$2001=1)*(元データ!$AE$2:$AE$2001=$C$86)*(元データ!$AO$2:$AO$2001=1)*(元データ!$AM$2:$AM$2001&gt;=31))</f>
        <v>1</v>
      </c>
      <c r="BX86" s="46">
        <f ca="1">SUMPRODUCT((元データ!$AL$2:$AL$2001=1)*(元データ!$AN$2:$AN$2001=1)*(元データ!$AE$2:$AE$2001=$C$86)*(元データ!$AO$2:$AO$2001=1)*(元データ!$AM$2:$AM$2001&gt;=31)*(元データ!$E$2:$E$2001="20 確認待ち"))</f>
        <v>0</v>
      </c>
      <c r="BY86" s="56" t="str" cm="1">
        <f t="array" aca="1" ref="BY86" ca="1">IFERROR(_xlfn.TEXTJOIN(CHAR(10),TRUE,IF((元データ!$AL$2:$AL$2001=1)*(元データ!$AN$2:$AN$2001=1)*(元データ!$AE$2:$AE$2001=$C$86)*(元データ!$AO$2:$AO$2001=1)*(元データ!$AM$2:$AM$2001&gt;=31)*(元データ!$E$2:$E$2001="20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86" s="56"/>
      <c r="CA86" s="56"/>
      <c r="CB86" s="46">
        <f ca="1">SUMPRODUCT((元データ!$AL$2:$AL$2001=1)*(元データ!$AN$2:$AN$2001=1)*(元データ!$AE$2:$AE$2001=$C$86)*(元データ!$AO$2:$AO$2001=1)*(元データ!$AM$2:$AM$2001&gt;=31)*(元データ!$E$2:$E$2001="30 申請受付"))</f>
        <v>1</v>
      </c>
      <c r="CC86" s="56" t="str" cm="1">
        <f t="array" aca="1" ref="CC86" ca="1">IFERROR(_xlfn.TEXTJOIN(CHAR(10),TRUE,IF((元データ!$AL$2:$AL$2001=1)*(元データ!$AN$2:$AN$2001=1)*(元データ!$AE$2:$AE$2001=$C$86)*(元データ!$AO$2:$AO$2001=1)*(元データ!$AM$2:$AM$2001&gt;=31)*(元データ!$E$2:$E$2001="30 申請受付"),元データ!$A$2:$A$2001&amp;IF(元データ!$AP$2:$AP$2001&lt;&gt;"","（"&amp;MID(元データ!$AP$2:$AP$2001,2,100)&amp;")",""),"")),"")</f>
        <v>202660001121</v>
      </c>
      <c r="CD86" s="56"/>
      <c r="CE86" s="56"/>
      <c r="CF86" s="46">
        <f ca="1">SUMPRODUCT((元データ!$AL$2:$AL$2001=1)*(元データ!$AN$2:$AN$2001=1)*(元データ!$AE$2:$AE$2001=$C$86)*(元データ!$AO$2:$AO$2001=1)*(元データ!$AM$2:$AM$2001&gt;=31)*(元データ!$E$2:$E$2001="31 ＯＰ確認中"))</f>
        <v>0</v>
      </c>
      <c r="CG86" s="56" t="str" cm="1">
        <f t="array" aca="1" ref="CG86" ca="1">IFERROR(_xlfn.TEXTJOIN(CHAR(10),TRUE,IF((元データ!$AL$2:$AL$2001=1)*(元データ!$AN$2:$AN$2001=1)*(元データ!$AE$2:$AE$2001=$C$86)*(元データ!$AO$2:$AO$2001=1)*(元データ!$AM$2:$AM$2001&gt;=31)*(元データ!$E$2:$E$2001="31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86" s="56"/>
      <c r="CI86" s="56"/>
      <c r="CJ86" s="46">
        <f ca="1">SUMPRODUCT((元データ!$AL$2:$AL$2001=1)*(元データ!$AN$2:$AN$2001=1)*(元データ!$AE$2:$AE$2001=$C$86)*(元データ!$AO$2:$AO$2001=1)*(元データ!$AM$2:$AM$2001&gt;=31)*(元データ!$E$2:$E$2001="32 ＳＶ確認中"))</f>
        <v>0</v>
      </c>
      <c r="CK86" s="56" t="str" cm="1">
        <f t="array" aca="1" ref="CK86" ca="1">IFERROR(_xlfn.TEXTJOIN(CHAR(10),TRUE,IF((元データ!$AL$2:$AL$2001=1)*(元データ!$AN$2:$AN$2001=1)*(元データ!$AE$2:$AE$2001=$C$86)*(元データ!$AO$2:$AO$2001=1)*(元データ!$AM$2:$AM$2001&gt;=31)*(元データ!$E$2:$E$2001="32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86" s="56">
        <f ca="1">SUMPRODUCT((元データ!$AL$2:$AL$2001=1)*(元データ!$AN$2:$AN$2001=1)*(元データ!$AE$2:$AE$2001=$C$86)*(元データ!$AO$2:$AO$2001=1)*(元データ!$AM$2:$AM$2001&gt;=31)*(元データ!$E$2:$E$2001="40 差戻し"))</f>
        <v>0</v>
      </c>
      <c r="CM86" s="56" t="str" cm="1">
        <f t="array" aca="1" ref="CM86" ca="1">IFERROR(_xlfn.TEXTJOIN(CHAR(10),TRUE,IF((元データ!$AL$2:$AL$2001=1)*(元データ!$AN$2:$AN$2001=1)*(元データ!$AE$2:$AE$2001=$C$86)*(元データ!$AO$2:$AO$2001=1)*(元データ!$AM$2:$AM$2001&gt;=31)*(元データ!$E$2:$E$2001="40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87" spans="2:91" ht="24.95" customHeight="1">
      <c r="B87" s="92"/>
      <c r="C87" s="63"/>
      <c r="D87" s="63"/>
      <c r="E87" s="47" t="s">
        <v>134</v>
      </c>
      <c r="F87" s="48">
        <f>SUMPRODUCT((元データ!$AL$2:$AL$2001=1)*(元データ!$AN$2:$AN$2001=1)*(元データ!$AE$2:$AE$2001=$C$86)*(元データ!$AO$2:$AO$2001=0))</f>
        <v>0</v>
      </c>
      <c r="G87" s="49">
        <f ca="1">SUMPRODUCT((元データ!$AL$2:$AL$2001=1)*(元データ!$AN$2:$AN$2001=1)*(元データ!$AE$2:$AE$2001=$C$86)*(元データ!$AO$2:$AO$2001=0)*(元データ!$AM$2:$AM$2001&lt;=7))</f>
        <v>0</v>
      </c>
      <c r="H87" s="49">
        <f ca="1">SUMPRODUCT((元データ!$AL$2:$AL$2001=1)*(元データ!$AN$2:$AN$2001=1)*(元データ!$AE$2:$AE$2001=$C$86)*(元データ!$AO$2:$AO$2001=0)*(元データ!$AM$2:$AM$2001&lt;=7)*(元データ!$E$2:$E$2001="20 確認待ち"))</f>
        <v>0</v>
      </c>
      <c r="I87" s="57" t="str" cm="1">
        <f t="array" aca="1" ref="I87" ca="1">IFERROR(_xlfn.TEXTJOIN(CHAR(10),TRUE,IF((元データ!$AL$2:$AL$2001=1)*(元データ!$AN$2:$AN$2001=1)*(元データ!$AE$2:$AE$2001=$C$86)*(元データ!$AO$2:$AO$2001=0)*(元データ!$AM$2:$AM$2001&lt;=7)*(元データ!$E$2:$E$2001="20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87" s="57"/>
      <c r="K87" s="57"/>
      <c r="L87" s="49">
        <f ca="1">SUMPRODUCT((元データ!$AL$2:$AL$2001=1)*(元データ!$AN$2:$AN$2001=1)*(元データ!$AE$2:$AE$2001=$C$86)*(元データ!$AO$2:$AO$2001=0)*(元データ!$AM$2:$AM$2001&lt;=7)*(元データ!$E$2:$E$2001="30 申請受付"))</f>
        <v>0</v>
      </c>
      <c r="M87" s="57" t="str" cm="1">
        <f t="array" aca="1" ref="M87" ca="1">IFERROR(_xlfn.TEXTJOIN(CHAR(10),TRUE,IF((元データ!$AL$2:$AL$2001=1)*(元データ!$AN$2:$AN$2001=1)*(元データ!$AE$2:$AE$2001=$C$86)*(元データ!$AO$2:$AO$2001=0)*(元データ!$AM$2:$AM$2001&lt;=7)*(元データ!$E$2:$E$2001="30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87" s="57"/>
      <c r="O87" s="57"/>
      <c r="P87" s="49">
        <f ca="1">SUMPRODUCT((元データ!$AL$2:$AL$2001=1)*(元データ!$AN$2:$AN$2001=1)*(元データ!$AE$2:$AE$2001=$C$86)*(元データ!$AO$2:$AO$2001=0)*(元データ!$AM$2:$AM$2001&lt;=7)*(元データ!$E$2:$E$2001="31 ＯＰ確認中"))</f>
        <v>0</v>
      </c>
      <c r="Q87" s="57" t="str" cm="1">
        <f t="array" aca="1" ref="Q87" ca="1">IFERROR(_xlfn.TEXTJOIN(CHAR(10),TRUE,IF((元データ!$AL$2:$AL$2001=1)*(元データ!$AN$2:$AN$2001=1)*(元データ!$AE$2:$AE$2001=$C$86)*(元データ!$AO$2:$AO$2001=0)*(元データ!$AM$2:$AM$2001&lt;=7)*(元データ!$E$2:$E$2001="31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87" s="57"/>
      <c r="S87" s="57"/>
      <c r="T87" s="49">
        <f ca="1">SUMPRODUCT((元データ!$AL$2:$AL$2001=1)*(元データ!$AN$2:$AN$2001=1)*(元データ!$AE$2:$AE$2001=$C$86)*(元データ!$AO$2:$AO$2001=0)*(元データ!$AM$2:$AM$2001&lt;=7)*(元データ!$E$2:$E$2001="32 ＳＶ確認中"))</f>
        <v>0</v>
      </c>
      <c r="U87" s="57" t="str" cm="1">
        <f t="array" aca="1" ref="U87" ca="1">IFERROR(_xlfn.TEXTJOIN(CHAR(10),TRUE,IF((元データ!$AL$2:$AL$2001=1)*(元データ!$AN$2:$AN$2001=1)*(元データ!$AE$2:$AE$2001=$C$86)*(元データ!$AO$2:$AO$2001=0)*(元データ!$AM$2:$AM$2001&lt;=7)*(元データ!$E$2:$E$2001="32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87" s="57"/>
      <c r="W87" s="57"/>
      <c r="X87" s="49">
        <f ca="1">SUMPRODUCT((元データ!$AL$2:$AL$2001=1)*(元データ!$AN$2:$AN$2001=1)*(元データ!$AE$2:$AE$2001=$C$86)*(元データ!$AO$2:$AO$2001=0)*(元データ!$AM$2:$AM$2001&gt;=8)*(元データ!$AM$2:$AM$2001&lt;=14))</f>
        <v>0</v>
      </c>
      <c r="Y87" s="49">
        <f ca="1">SUMPRODUCT((元データ!$AL$2:$AL$2001=1)*(元データ!$AN$2:$AN$2001=1)*(元データ!$AE$2:$AE$2001=$C$86)*(元データ!$AO$2:$AO$2001=0)*(元データ!$AM$2:$AM$2001&gt;=8)*(元データ!$AM$2:$AM$2001&lt;=14)*(元データ!$E$2:$E$2001="20 確認待ち"))</f>
        <v>0</v>
      </c>
      <c r="Z87" s="57" t="str" cm="1">
        <f t="array" aca="1" ref="Z87" ca="1">IFERROR(_xlfn.TEXTJOIN(CHAR(10),TRUE,IF((元データ!$AL$2:$AL$2001=1)*(元データ!$AN$2:$AN$2001=1)*(元データ!$AE$2:$AE$2001=$C$86)*(元データ!$AO$2:$AO$2001=0)*(元データ!$AM$2:$AM$2001&gt;=8)*(元データ!$AM$2:$AM$2001&lt;=14)*(元データ!$E$2:$E$2001="20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7" s="57"/>
      <c r="AB87" s="57"/>
      <c r="AC87" s="49">
        <f ca="1">SUMPRODUCT((元データ!$AL$2:$AL$2001=1)*(元データ!$AN$2:$AN$2001=1)*(元データ!$AE$2:$AE$2001=$C$86)*(元データ!$AO$2:$AO$2001=0)*(元データ!$AM$2:$AM$2001&gt;=8)*(元データ!$AM$2:$AM$2001&lt;=14)*(元データ!$E$2:$E$2001="30 申請受付"))</f>
        <v>0</v>
      </c>
      <c r="AD87" s="57" t="str" cm="1">
        <f t="array" aca="1" ref="AD87" ca="1">IFERROR(_xlfn.TEXTJOIN(CHAR(10),TRUE,IF((元データ!$AL$2:$AL$2001=1)*(元データ!$AN$2:$AN$2001=1)*(元データ!$AE$2:$AE$2001=$C$86)*(元データ!$AO$2:$AO$2001=0)*(元データ!$AM$2:$AM$2001&gt;=8)*(元データ!$AM$2:$AM$2001&lt;=14)*(元データ!$E$2:$E$2001="30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7" s="57"/>
      <c r="AF87" s="57"/>
      <c r="AG87" s="49">
        <f ca="1">SUMPRODUCT((元データ!$AL$2:$AL$2001=1)*(元データ!$AN$2:$AN$2001=1)*(元データ!$AE$2:$AE$2001=$C$86)*(元データ!$AO$2:$AO$2001=0)*(元データ!$AM$2:$AM$2001&gt;=8)*(元データ!$AM$2:$AM$2001&lt;=14)*(元データ!$E$2:$E$2001="31 ＯＰ確認中"))</f>
        <v>0</v>
      </c>
      <c r="AH87" s="57" t="str" cm="1">
        <f t="array" aca="1" ref="AH87" ca="1">IFERROR(_xlfn.TEXTJOIN(CHAR(10),TRUE,IF((元データ!$AL$2:$AL$2001=1)*(元データ!$AN$2:$AN$2001=1)*(元データ!$AE$2:$AE$2001=$C$86)*(元データ!$AO$2:$AO$2001=0)*(元データ!$AM$2:$AM$2001&gt;=8)*(元データ!$AM$2:$AM$2001&lt;=14)*(元データ!$E$2:$E$2001="31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7" s="57"/>
      <c r="AJ87" s="57"/>
      <c r="AK87" s="49">
        <f ca="1">SUMPRODUCT((元データ!$AL$2:$AL$2001=1)*(元データ!$AN$2:$AN$2001=1)*(元データ!$AE$2:$AE$2001=$C$86)*(元データ!$AO$2:$AO$2001=0)*(元データ!$AM$2:$AM$2001&gt;=8)*(元データ!$AM$2:$AM$2001&lt;=14)*(元データ!$E$2:$E$2001="32 ＳＶ確認中"))</f>
        <v>0</v>
      </c>
      <c r="AL87" s="57" t="str" cm="1">
        <f t="array" aca="1" ref="AL87" ca="1">IFERROR(_xlfn.TEXTJOIN(CHAR(10),TRUE,IF((元データ!$AL$2:$AL$2001=1)*(元データ!$AN$2:$AN$2001=1)*(元データ!$AE$2:$AE$2001=$C$86)*(元データ!$AO$2:$AO$2001=0)*(元データ!$AM$2:$AM$2001&gt;=8)*(元データ!$AM$2:$AM$2001&lt;=14)*(元データ!$E$2:$E$2001="32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7" s="57">
        <f ca="1">SUMPRODUCT((元データ!$AL$2:$AL$2001=1)*(元データ!$AN$2:$AN$2001=1)*(元データ!$AE$2:$AE$2001=$C$86)*(元データ!$AO$2:$AO$2001=0)*(元データ!$AM$2:$AM$2001&gt;=8)*(元データ!$AM$2:$AM$2001&lt;=14)*(元データ!$E$2:$E$2001="40 差戻し"))</f>
        <v>0</v>
      </c>
      <c r="AN87" s="57" t="str" cm="1">
        <f t="array" aca="1" ref="AN87" ca="1">IFERROR(_xlfn.TEXTJOIN(CHAR(10),TRUE,IF((元データ!$AL$2:$AL$2001=1)*(元データ!$AN$2:$AN$2001=1)*(元データ!$AE$2:$AE$2001=$C$86)*(元データ!$AO$2:$AO$2001=0)*(元データ!$AM$2:$AM$2001&gt;=8)*(元データ!$AM$2:$AM$2001&lt;=14)*(元データ!$E$2:$E$2001="40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7" s="44">
        <f ca="1">SUMPRODUCT((元データ!$AL$2:$AL$2001=1)*(元データ!$AN$2:$AN$2001=1)*(元データ!$AE$2:$AE$2001=$C$86)*(元データ!$AO$2:$AO$2001=0)*(元データ!$AM$2:$AM$2001&gt;=15)*(元データ!$AM$2:$AM$2001&lt;=21))</f>
        <v>0</v>
      </c>
      <c r="AP87" s="44">
        <f ca="1">SUMPRODUCT((元データ!$AL$2:$AL$2001=1)*(元データ!$AN$2:$AN$2001=1)*(元データ!$AE$2:$AE$2001=$C$86)*(元データ!$AO$2:$AO$2001=0)*(元データ!$AM$2:$AM$2001&gt;=15)*(元データ!$AM$2:$AM$2001&lt;=21)*(元データ!$E$2:$E$2001="20 確認待ち"))</f>
        <v>0</v>
      </c>
      <c r="AQ87" s="58" t="str" cm="1">
        <f t="array" aca="1" ref="AQ87" ca="1">IFERROR(_xlfn.TEXTJOIN(CHAR(10),TRUE,IF((元データ!$AL$2:$AL$2001=1)*(元データ!$AN$2:$AN$2001=1)*(元データ!$AE$2:$AE$2001=$C$86)*(元データ!$AO$2:$AO$2001=0)*(元データ!$AM$2:$AM$2001&gt;=15)*(元データ!$AM$2:$AM$2001&lt;=21)*(元データ!$E$2:$E$2001="20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7" s="58"/>
      <c r="AS87" s="58"/>
      <c r="AT87" s="44">
        <f ca="1">SUMPRODUCT((元データ!$AL$2:$AL$2001=1)*(元データ!$AN$2:$AN$2001=1)*(元データ!$AE$2:$AE$2001=$C$86)*(元データ!$AO$2:$AO$2001=0)*(元データ!$AM$2:$AM$2001&gt;=15)*(元データ!$AM$2:$AM$2001&lt;=21)*(元データ!$E$2:$E$2001="30 申請受付"))</f>
        <v>0</v>
      </c>
      <c r="AU87" s="58" t="str" cm="1">
        <f t="array" aca="1" ref="AU87" ca="1">IFERROR(_xlfn.TEXTJOIN(CHAR(10),TRUE,IF((元データ!$AL$2:$AL$2001=1)*(元データ!$AN$2:$AN$2001=1)*(元データ!$AE$2:$AE$2001=$C$86)*(元データ!$AO$2:$AO$2001=0)*(元データ!$AM$2:$AM$2001&gt;=15)*(元データ!$AM$2:$AM$2001&lt;=21)*(元データ!$E$2:$E$2001="30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7" s="58"/>
      <c r="AW87" s="58"/>
      <c r="AX87" s="44">
        <f ca="1">SUMPRODUCT((元データ!$AL$2:$AL$2001=1)*(元データ!$AN$2:$AN$2001=1)*(元データ!$AE$2:$AE$2001=$C$86)*(元データ!$AO$2:$AO$2001=0)*(元データ!$AM$2:$AM$2001&gt;=15)*(元データ!$AM$2:$AM$2001&lt;=21)*(元データ!$E$2:$E$2001="31 ＯＰ確認中"))</f>
        <v>0</v>
      </c>
      <c r="AY87" s="58" t="str" cm="1">
        <f t="array" aca="1" ref="AY87" ca="1">IFERROR(_xlfn.TEXTJOIN(CHAR(10),TRUE,IF((元データ!$AL$2:$AL$2001=1)*(元データ!$AN$2:$AN$2001=1)*(元データ!$AE$2:$AE$2001=$C$86)*(元データ!$AO$2:$AO$2001=0)*(元データ!$AM$2:$AM$2001&gt;=15)*(元データ!$AM$2:$AM$2001&lt;=21)*(元データ!$E$2:$E$2001="31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7" s="58"/>
      <c r="BA87" s="58"/>
      <c r="BB87" s="44">
        <f ca="1">SUMPRODUCT((元データ!$AL$2:$AL$2001=1)*(元データ!$AN$2:$AN$2001=1)*(元データ!$AE$2:$AE$2001=$C$86)*(元データ!$AO$2:$AO$2001=0)*(元データ!$AM$2:$AM$2001&gt;=15)*(元データ!$AM$2:$AM$2001&lt;=21)*(元データ!$E$2:$E$2001="32 ＳＶ確認中"))</f>
        <v>0</v>
      </c>
      <c r="BC87" s="58" t="str" cm="1">
        <f t="array" aca="1" ref="BC87" ca="1">IFERROR(_xlfn.TEXTJOIN(CHAR(10),TRUE,IF((元データ!$AL$2:$AL$2001=1)*(元データ!$AN$2:$AN$2001=1)*(元データ!$AE$2:$AE$2001=$C$86)*(元データ!$AO$2:$AO$2001=0)*(元データ!$AM$2:$AM$2001&gt;=15)*(元データ!$AM$2:$AM$2001&lt;=21)*(元データ!$E$2:$E$2001="32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7" s="58">
        <f ca="1">SUMPRODUCT((元データ!$AL$2:$AL$2001=1)*(元データ!$AN$2:$AN$2001=1)*(元データ!$AE$2:$AE$2001=$C$86)*(元データ!$AO$2:$AO$2001=0)*(元データ!$AM$2:$AM$2001&gt;=15)*(元データ!$AM$2:$AM$2001&lt;=21)*(元データ!$E$2:$E$2001="40 差戻し"))</f>
        <v>0</v>
      </c>
      <c r="BE87" s="58" t="str" cm="1">
        <f t="array" aca="1" ref="BE87" ca="1">IFERROR(_xlfn.TEXTJOIN(CHAR(10),TRUE,IF((元データ!$AL$2:$AL$2001=1)*(元データ!$AN$2:$AN$2001=1)*(元データ!$AE$2:$AE$2001=$C$86)*(元データ!$AO$2:$AO$2001=0)*(元データ!$AM$2:$AM$2001&gt;=15)*(元データ!$AM$2:$AM$2001&lt;=21)*(元データ!$E$2:$E$2001="40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7" s="45">
        <f ca="1">SUMPRODUCT((元データ!$AL$2:$AL$2001=1)*(元データ!$AN$2:$AN$2001=1)*(元データ!$AE$2:$AE$2001=$C$86)*(元データ!$AO$2:$AO$2001=0)*(元データ!$AM$2:$AM$2001&gt;=22)*(元データ!$AM$2:$AM$2001&lt;=30))</f>
        <v>0</v>
      </c>
      <c r="BG87" s="45">
        <f ca="1">SUMPRODUCT((元データ!$AL$2:$AL$2001=1)*(元データ!$AN$2:$AN$2001=1)*(元データ!$AE$2:$AE$2001=$C$86)*(元データ!$AO$2:$AO$2001=0)*(元データ!$AM$2:$AM$2001&gt;=22)*(元データ!$AM$2:$AM$2001&lt;=30)*(元データ!$E$2:$E$2001="20 確認待ち"))</f>
        <v>0</v>
      </c>
      <c r="BH87" s="59" t="str" cm="1">
        <f t="array" aca="1" ref="BH87" ca="1">IFERROR(_xlfn.TEXTJOIN(CHAR(10),TRUE,IF((元データ!$AL$2:$AL$2001=1)*(元データ!$AN$2:$AN$2001=1)*(元データ!$AE$2:$AE$2001=$C$86)*(元データ!$AO$2:$AO$2001=0)*(元データ!$AM$2:$AM$2001&gt;=22)*(元データ!$AM$2:$AM$2001&lt;=30)*(元データ!$E$2:$E$2001="20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7" s="59"/>
      <c r="BJ87" s="59"/>
      <c r="BK87" s="45">
        <f ca="1">SUMPRODUCT((元データ!$AL$2:$AL$2001=1)*(元データ!$AN$2:$AN$2001=1)*(元データ!$AE$2:$AE$2001=$C$86)*(元データ!$AO$2:$AO$2001=0)*(元データ!$AM$2:$AM$2001&gt;=22)*(元データ!$AM$2:$AM$2001&lt;=30)*(元データ!$E$2:$E$2001="30 申請受付"))</f>
        <v>0</v>
      </c>
      <c r="BL87" s="59" t="str" cm="1">
        <f t="array" aca="1" ref="BL87" ca="1">IFERROR(_xlfn.TEXTJOIN(CHAR(10),TRUE,IF((元データ!$AL$2:$AL$2001=1)*(元データ!$AN$2:$AN$2001=1)*(元データ!$AE$2:$AE$2001=$C$86)*(元データ!$AO$2:$AO$2001=0)*(元データ!$AM$2:$AM$2001&gt;=22)*(元データ!$AM$2:$AM$2001&lt;=30)*(元データ!$E$2:$E$2001="30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7" s="59"/>
      <c r="BN87" s="59"/>
      <c r="BO87" s="45">
        <f ca="1">SUMPRODUCT((元データ!$AL$2:$AL$2001=1)*(元データ!$AN$2:$AN$2001=1)*(元データ!$AE$2:$AE$2001=$C$86)*(元データ!$AO$2:$AO$2001=0)*(元データ!$AM$2:$AM$2001&gt;=22)*(元データ!$AM$2:$AM$2001&lt;=30)*(元データ!$E$2:$E$2001="31 ＯＰ確認中"))</f>
        <v>0</v>
      </c>
      <c r="BP87" s="59" t="str" cm="1">
        <f t="array" aca="1" ref="BP87" ca="1">IFERROR(_xlfn.TEXTJOIN(CHAR(10),TRUE,IF((元データ!$AL$2:$AL$2001=1)*(元データ!$AN$2:$AN$2001=1)*(元データ!$AE$2:$AE$2001=$C$86)*(元データ!$AO$2:$AO$2001=0)*(元データ!$AM$2:$AM$2001&gt;=22)*(元データ!$AM$2:$AM$2001&lt;=30)*(元データ!$E$2:$E$2001="31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7" s="59"/>
      <c r="BR87" s="59"/>
      <c r="BS87" s="45">
        <f ca="1">SUMPRODUCT((元データ!$AL$2:$AL$2001=1)*(元データ!$AN$2:$AN$2001=1)*(元データ!$AE$2:$AE$2001=$C$86)*(元データ!$AO$2:$AO$2001=0)*(元データ!$AM$2:$AM$2001&gt;=22)*(元データ!$AM$2:$AM$2001&lt;=30)*(元データ!$E$2:$E$2001="32 ＳＶ確認中"))</f>
        <v>0</v>
      </c>
      <c r="BT87" s="59" t="str" cm="1">
        <f t="array" aca="1" ref="BT87" ca="1">IFERROR(_xlfn.TEXTJOIN(CHAR(10),TRUE,IF((元データ!$AL$2:$AL$2001=1)*(元データ!$AN$2:$AN$2001=1)*(元データ!$AE$2:$AE$2001=$C$86)*(元データ!$AO$2:$AO$2001=0)*(元データ!$AM$2:$AM$2001&gt;=22)*(元データ!$AM$2:$AM$2001&lt;=30)*(元データ!$E$2:$E$2001="32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7" s="59">
        <f ca="1">SUMPRODUCT((元データ!$AL$2:$AL$2001=1)*(元データ!$AN$2:$AN$2001=1)*(元データ!$AE$2:$AE$2001=$C$86)*(元データ!$AO$2:$AO$2001=0)*(元データ!$AM$2:$AM$2001&gt;=22)*(元データ!$AM$2:$AM$2001&lt;=30)*(元データ!$E$2:$E$2001="40 差戻し"))</f>
        <v>0</v>
      </c>
      <c r="BV87" s="59" t="str" cm="1">
        <f t="array" aca="1" ref="BV87" ca="1">IFERROR(_xlfn.TEXTJOIN(CHAR(10),TRUE,IF((元データ!$AL$2:$AL$2001=1)*(元データ!$AN$2:$AN$2001=1)*(元データ!$AE$2:$AE$2001=$C$86)*(元データ!$AO$2:$AO$2001=0)*(元データ!$AM$2:$AM$2001&gt;=22)*(元データ!$AM$2:$AM$2001&lt;=30)*(元データ!$E$2:$E$2001="40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7" s="46">
        <f ca="1">SUMPRODUCT((元データ!$AL$2:$AL$2001=1)*(元データ!$AN$2:$AN$2001=1)*(元データ!$AE$2:$AE$2001=$C$86)*(元データ!$AO$2:$AO$2001=0)*(元データ!$AM$2:$AM$2001&gt;=31))</f>
        <v>0</v>
      </c>
      <c r="BX87" s="46">
        <f ca="1">SUMPRODUCT((元データ!$AL$2:$AL$2001=1)*(元データ!$AN$2:$AN$2001=1)*(元データ!$AE$2:$AE$2001=$C$86)*(元データ!$AO$2:$AO$2001=0)*(元データ!$AM$2:$AM$2001&gt;=31)*(元データ!$E$2:$E$2001="20 確認待ち"))</f>
        <v>0</v>
      </c>
      <c r="BY87" s="56" t="str" cm="1">
        <f t="array" aca="1" ref="BY87" ca="1">IFERROR(_xlfn.TEXTJOIN(CHAR(10),TRUE,IF((元データ!$AL$2:$AL$2001=1)*(元データ!$AN$2:$AN$2001=1)*(元データ!$AE$2:$AE$2001=$C$86)*(元データ!$AO$2:$AO$2001=0)*(元データ!$AM$2:$AM$2001&gt;=31)*(元データ!$E$2:$E$2001="20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87" s="56"/>
      <c r="CA87" s="56"/>
      <c r="CB87" s="46">
        <f ca="1">SUMPRODUCT((元データ!$AL$2:$AL$2001=1)*(元データ!$AN$2:$AN$2001=1)*(元データ!$AE$2:$AE$2001=$C$86)*(元データ!$AO$2:$AO$2001=0)*(元データ!$AM$2:$AM$2001&gt;=31)*(元データ!$E$2:$E$2001="30 申請受付"))</f>
        <v>0</v>
      </c>
      <c r="CC87" s="56" t="str" cm="1">
        <f t="array" aca="1" ref="CC87" ca="1">IFERROR(_xlfn.TEXTJOIN(CHAR(10),TRUE,IF((元データ!$AL$2:$AL$2001=1)*(元データ!$AN$2:$AN$2001=1)*(元データ!$AE$2:$AE$2001=$C$86)*(元データ!$AO$2:$AO$2001=0)*(元データ!$AM$2:$AM$2001&gt;=31)*(元データ!$E$2:$E$2001="30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87" s="56"/>
      <c r="CE87" s="56"/>
      <c r="CF87" s="46">
        <f ca="1">SUMPRODUCT((元データ!$AL$2:$AL$2001=1)*(元データ!$AN$2:$AN$2001=1)*(元データ!$AE$2:$AE$2001=$C$86)*(元データ!$AO$2:$AO$2001=0)*(元データ!$AM$2:$AM$2001&gt;=31)*(元データ!$E$2:$E$2001="31 ＯＰ確認中"))</f>
        <v>0</v>
      </c>
      <c r="CG87" s="56" t="str" cm="1">
        <f t="array" aca="1" ref="CG87" ca="1">IFERROR(_xlfn.TEXTJOIN(CHAR(10),TRUE,IF((元データ!$AL$2:$AL$2001=1)*(元データ!$AN$2:$AN$2001=1)*(元データ!$AE$2:$AE$2001=$C$86)*(元データ!$AO$2:$AO$2001=0)*(元データ!$AM$2:$AM$2001&gt;=31)*(元データ!$E$2:$E$2001="31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87" s="56"/>
      <c r="CI87" s="56"/>
      <c r="CJ87" s="46">
        <f ca="1">SUMPRODUCT((元データ!$AL$2:$AL$2001=1)*(元データ!$AN$2:$AN$2001=1)*(元データ!$AE$2:$AE$2001=$C$86)*(元データ!$AO$2:$AO$2001=0)*(元データ!$AM$2:$AM$2001&gt;=31)*(元データ!$E$2:$E$2001="32 ＳＶ確認中"))</f>
        <v>0</v>
      </c>
      <c r="CK87" s="56" t="str" cm="1">
        <f t="array" aca="1" ref="CK87" ca="1">IFERROR(_xlfn.TEXTJOIN(CHAR(10),TRUE,IF((元データ!$AL$2:$AL$2001=1)*(元データ!$AN$2:$AN$2001=1)*(元データ!$AE$2:$AE$2001=$C$86)*(元データ!$AO$2:$AO$2001=0)*(元データ!$AM$2:$AM$2001&gt;=31)*(元データ!$E$2:$E$2001="32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87" s="56">
        <f ca="1">SUMPRODUCT((元データ!$AL$2:$AL$2001=1)*(元データ!$AN$2:$AN$2001=1)*(元データ!$AE$2:$AE$2001=$C$86)*(元データ!$AO$2:$AO$2001=0)*(元データ!$AM$2:$AM$2001&gt;=31)*(元データ!$E$2:$E$2001="40 差戻し"))</f>
        <v>0</v>
      </c>
      <c r="CM87" s="56" t="str" cm="1">
        <f t="array" aca="1" ref="CM87" ca="1">IFERROR(_xlfn.TEXTJOIN(CHAR(10),TRUE,IF((元データ!$AL$2:$AL$2001=1)*(元データ!$AN$2:$AN$2001=1)*(元データ!$AE$2:$AE$2001=$C$86)*(元データ!$AO$2:$AO$2001=0)*(元データ!$AM$2:$AM$2001&gt;=31)*(元データ!$E$2:$E$2001="40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88" spans="2:91" ht="24.95" customHeight="1">
      <c r="B88" s="91"/>
      <c r="C88" s="63" t="s">
        <v>48</v>
      </c>
      <c r="D88" s="63"/>
      <c r="E88" s="41" t="s">
        <v>133</v>
      </c>
      <c r="F88" s="42">
        <f>SUMPRODUCT((元データ!$AL$2:$AL$2001=1)*(元データ!$AN$2:$AN$2001=1)*(元データ!$AE$2:$AE$2001=$C$88)*(元データ!$AO$2:$AO$2001=1))</f>
        <v>18</v>
      </c>
      <c r="G88" s="43">
        <f ca="1">SUMPRODUCT((元データ!$AL$2:$AL$2001=1)*(元データ!$AN$2:$AN$2001=1)*(元データ!$AE$2:$AE$2001=$C$88)*(元データ!$AO$2:$AO$2001=1)*(元データ!$AM$2:$AM$2001&lt;=7))</f>
        <v>0</v>
      </c>
      <c r="H88" s="43">
        <f ca="1">SUMPRODUCT((元データ!$AL$2:$AL$2001=1)*(元データ!$AN$2:$AN$2001=1)*(元データ!$AE$2:$AE$2001=$C$88)*(元データ!$AO$2:$AO$2001=1)*(元データ!$AM$2:$AM$2001&lt;=7)*(元データ!$E$2:$E$2001="20 確認待ち"))</f>
        <v>0</v>
      </c>
      <c r="I88" s="61" t="str" cm="1">
        <f t="array" aca="1" ref="I88" ca="1">IFERROR(_xlfn.TEXTJOIN(CHAR(10),TRUE,IF((元データ!$AL$2:$AL$2001=1)*(元データ!$AN$2:$AN$2001=1)*(元データ!$AE$2:$AE$2001=$C$88)*(元データ!$AO$2:$AO$2001=1)*(元データ!$AM$2:$AM$2001&lt;=7)*(元データ!$E$2:$E$2001="20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88" s="61"/>
      <c r="K88" s="61"/>
      <c r="L88" s="43">
        <f ca="1">SUMPRODUCT((元データ!$AL$2:$AL$2001=1)*(元データ!$AN$2:$AN$2001=1)*(元データ!$AE$2:$AE$2001=$C$88)*(元データ!$AO$2:$AO$2001=1)*(元データ!$AM$2:$AM$2001&lt;=7)*(元データ!$E$2:$E$2001="30 申請受付"))</f>
        <v>0</v>
      </c>
      <c r="M88" s="61" t="str" cm="1">
        <f t="array" aca="1" ref="M88" ca="1">IFERROR(_xlfn.TEXTJOIN(CHAR(10),TRUE,IF((元データ!$AL$2:$AL$2001=1)*(元データ!$AN$2:$AN$2001=1)*(元データ!$AE$2:$AE$2001=$C$88)*(元データ!$AO$2:$AO$2001=1)*(元データ!$AM$2:$AM$2001&lt;=7)*(元データ!$E$2:$E$2001="30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88" s="61"/>
      <c r="O88" s="61"/>
      <c r="P88" s="43">
        <f ca="1">SUMPRODUCT((元データ!$AL$2:$AL$2001=1)*(元データ!$AN$2:$AN$2001=1)*(元データ!$AE$2:$AE$2001=$C$88)*(元データ!$AO$2:$AO$2001=1)*(元データ!$AM$2:$AM$2001&lt;=7)*(元データ!$E$2:$E$2001="31 ＯＰ確認中"))</f>
        <v>0</v>
      </c>
      <c r="Q88" s="61" t="str" cm="1">
        <f t="array" aca="1" ref="Q88" ca="1">IFERROR(_xlfn.TEXTJOIN(CHAR(10),TRUE,IF((元データ!$AL$2:$AL$2001=1)*(元データ!$AN$2:$AN$2001=1)*(元データ!$AE$2:$AE$2001=$C$88)*(元データ!$AO$2:$AO$2001=1)*(元データ!$AM$2:$AM$2001&lt;=7)*(元データ!$E$2:$E$2001="31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88" s="61"/>
      <c r="S88" s="61"/>
      <c r="T88" s="43">
        <f ca="1">SUMPRODUCT((元データ!$AL$2:$AL$2001=1)*(元データ!$AN$2:$AN$2001=1)*(元データ!$AE$2:$AE$2001=$C$88)*(元データ!$AO$2:$AO$2001=1)*(元データ!$AM$2:$AM$2001&lt;=7)*(元データ!$E$2:$E$2001="32 ＳＶ確認中"))</f>
        <v>0</v>
      </c>
      <c r="U88" s="61" t="str" cm="1">
        <f t="array" aca="1" ref="U88" ca="1">IFERROR(_xlfn.TEXTJOIN(CHAR(10),TRUE,IF((元データ!$AL$2:$AL$2001=1)*(元データ!$AN$2:$AN$2001=1)*(元データ!$AE$2:$AE$2001=$C$88)*(元データ!$AO$2:$AO$2001=1)*(元データ!$AM$2:$AM$2001&lt;=7)*(元データ!$E$2:$E$2001="32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88" s="61"/>
      <c r="W88" s="61"/>
      <c r="X88" s="43">
        <f ca="1">SUMPRODUCT((元データ!$AL$2:$AL$2001=1)*(元データ!$AN$2:$AN$2001=1)*(元データ!$AE$2:$AE$2001=$C$88)*(元データ!$AO$2:$AO$2001=1)*(元データ!$AM$2:$AM$2001&gt;=8)*(元データ!$AM$2:$AM$2001&lt;=14))</f>
        <v>0</v>
      </c>
      <c r="Y88" s="43">
        <f ca="1">SUMPRODUCT((元データ!$AL$2:$AL$2001=1)*(元データ!$AN$2:$AN$2001=1)*(元データ!$AE$2:$AE$2001=$C$88)*(元データ!$AO$2:$AO$2001=1)*(元データ!$AM$2:$AM$2001&gt;=8)*(元データ!$AM$2:$AM$2001&lt;=14)*(元データ!$E$2:$E$2001="20 確認待ち"))</f>
        <v>0</v>
      </c>
      <c r="Z88" s="61" t="str" cm="1">
        <f t="array" aca="1" ref="Z88" ca="1">IFERROR(_xlfn.TEXTJOIN(CHAR(10),TRUE,IF((元データ!$AL$2:$AL$2001=1)*(元データ!$AN$2:$AN$2001=1)*(元データ!$AE$2:$AE$2001=$C$88)*(元データ!$AO$2:$AO$2001=1)*(元データ!$AM$2:$AM$2001&gt;=8)*(元データ!$AM$2:$AM$2001&lt;=14)*(元データ!$E$2:$E$2001="20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8" s="61"/>
      <c r="AB88" s="61"/>
      <c r="AC88" s="43">
        <f ca="1">SUMPRODUCT((元データ!$AL$2:$AL$2001=1)*(元データ!$AN$2:$AN$2001=1)*(元データ!$AE$2:$AE$2001=$C$88)*(元データ!$AO$2:$AO$2001=1)*(元データ!$AM$2:$AM$2001&gt;=8)*(元データ!$AM$2:$AM$2001&lt;=14)*(元データ!$E$2:$E$2001="30 申請受付"))</f>
        <v>0</v>
      </c>
      <c r="AD88" s="61" t="str" cm="1">
        <f t="array" aca="1" ref="AD88" ca="1">IFERROR(_xlfn.TEXTJOIN(CHAR(10),TRUE,IF((元データ!$AL$2:$AL$2001=1)*(元データ!$AN$2:$AN$2001=1)*(元データ!$AE$2:$AE$2001=$C$88)*(元データ!$AO$2:$AO$2001=1)*(元データ!$AM$2:$AM$2001&gt;=8)*(元データ!$AM$2:$AM$2001&lt;=14)*(元データ!$E$2:$E$2001="30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8" s="61"/>
      <c r="AF88" s="61"/>
      <c r="AG88" s="43">
        <f ca="1">SUMPRODUCT((元データ!$AL$2:$AL$2001=1)*(元データ!$AN$2:$AN$2001=1)*(元データ!$AE$2:$AE$2001=$C$88)*(元データ!$AO$2:$AO$2001=1)*(元データ!$AM$2:$AM$2001&gt;=8)*(元データ!$AM$2:$AM$2001&lt;=14)*(元データ!$E$2:$E$2001="31 ＯＰ確認中"))</f>
        <v>0</v>
      </c>
      <c r="AH88" s="61" t="str" cm="1">
        <f t="array" aca="1" ref="AH88" ca="1">IFERROR(_xlfn.TEXTJOIN(CHAR(10),TRUE,IF((元データ!$AL$2:$AL$2001=1)*(元データ!$AN$2:$AN$2001=1)*(元データ!$AE$2:$AE$2001=$C$88)*(元データ!$AO$2:$AO$2001=1)*(元データ!$AM$2:$AM$2001&gt;=8)*(元データ!$AM$2:$AM$2001&lt;=14)*(元データ!$E$2:$E$2001="31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8" s="61"/>
      <c r="AJ88" s="61"/>
      <c r="AK88" s="43">
        <f ca="1">SUMPRODUCT((元データ!$AL$2:$AL$2001=1)*(元データ!$AN$2:$AN$2001=1)*(元データ!$AE$2:$AE$2001=$C$88)*(元データ!$AO$2:$AO$2001=1)*(元データ!$AM$2:$AM$2001&gt;=8)*(元データ!$AM$2:$AM$2001&lt;=14)*(元データ!$E$2:$E$2001="32 ＳＶ確認中"))</f>
        <v>0</v>
      </c>
      <c r="AL88" s="61" t="str" cm="1">
        <f t="array" aca="1" ref="AL88" ca="1">IFERROR(_xlfn.TEXTJOIN(CHAR(10),TRUE,IF((元データ!$AL$2:$AL$2001=1)*(元データ!$AN$2:$AN$2001=1)*(元データ!$AE$2:$AE$2001=$C$88)*(元データ!$AO$2:$AO$2001=1)*(元データ!$AM$2:$AM$2001&gt;=8)*(元データ!$AM$2:$AM$2001&lt;=14)*(元データ!$E$2:$E$2001="32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8" s="61">
        <f ca="1">SUMPRODUCT((元データ!$AL$2:$AL$2001=1)*(元データ!$AN$2:$AN$2001=1)*(元データ!$AE$2:$AE$2001=$C$88)*(元データ!$AO$2:$AO$2001=1)*(元データ!$AM$2:$AM$2001&gt;=8)*(元データ!$AM$2:$AM$2001&lt;=14)*(元データ!$E$2:$E$2001="40 差戻し"))</f>
        <v>0</v>
      </c>
      <c r="AN88" s="61" t="str" cm="1">
        <f t="array" aca="1" ref="AN88" ca="1">IFERROR(_xlfn.TEXTJOIN(CHAR(10),TRUE,IF((元データ!$AL$2:$AL$2001=1)*(元データ!$AN$2:$AN$2001=1)*(元データ!$AE$2:$AE$2001=$C$88)*(元データ!$AO$2:$AO$2001=1)*(元データ!$AM$2:$AM$2001&gt;=8)*(元データ!$AM$2:$AM$2001&lt;=14)*(元データ!$E$2:$E$2001="40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8" s="44">
        <f ca="1">SUMPRODUCT((元データ!$AL$2:$AL$2001=1)*(元データ!$AN$2:$AN$2001=1)*(元データ!$AE$2:$AE$2001=$C$88)*(元データ!$AO$2:$AO$2001=1)*(元データ!$AM$2:$AM$2001&gt;=15)*(元データ!$AM$2:$AM$2001&lt;=21))</f>
        <v>1</v>
      </c>
      <c r="AP88" s="44">
        <f ca="1">SUMPRODUCT((元データ!$AL$2:$AL$2001=1)*(元データ!$AN$2:$AN$2001=1)*(元データ!$AE$2:$AE$2001=$C$88)*(元データ!$AO$2:$AO$2001=1)*(元データ!$AM$2:$AM$2001&gt;=15)*(元データ!$AM$2:$AM$2001&lt;=21)*(元データ!$E$2:$E$2001="20 確認待ち"))</f>
        <v>1</v>
      </c>
      <c r="AQ88" s="58" t="str" cm="1">
        <f t="array" aca="1" ref="AQ88" ca="1">IFERROR(_xlfn.TEXTJOIN(CHAR(10),TRUE,IF((元データ!$AL$2:$AL$2001=1)*(元データ!$AN$2:$AN$2001=1)*(元データ!$AE$2:$AE$2001=$C$88)*(元データ!$AO$2:$AO$2001=1)*(元データ!$AM$2:$AM$2001&gt;=15)*(元データ!$AM$2:$AM$2001&lt;=21)*(元データ!$E$2:$E$2001="20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>202660001354（添待ち)</v>
      </c>
      <c r="AR88" s="58"/>
      <c r="AS88" s="58"/>
      <c r="AT88" s="44">
        <f ca="1">SUMPRODUCT((元データ!$AL$2:$AL$2001=1)*(元データ!$AN$2:$AN$2001=1)*(元データ!$AE$2:$AE$2001=$C$88)*(元データ!$AO$2:$AO$2001=1)*(元データ!$AM$2:$AM$2001&gt;=15)*(元データ!$AM$2:$AM$2001&lt;=21)*(元データ!$E$2:$E$2001="30 申請受付"))</f>
        <v>0</v>
      </c>
      <c r="AU88" s="58" t="str" cm="1">
        <f t="array" aca="1" ref="AU88" ca="1">IFERROR(_xlfn.TEXTJOIN(CHAR(10),TRUE,IF((元データ!$AL$2:$AL$2001=1)*(元データ!$AN$2:$AN$2001=1)*(元データ!$AE$2:$AE$2001=$C$88)*(元データ!$AO$2:$AO$2001=1)*(元データ!$AM$2:$AM$2001&gt;=15)*(元データ!$AM$2:$AM$2001&lt;=21)*(元データ!$E$2:$E$2001="30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8" s="58"/>
      <c r="AW88" s="58"/>
      <c r="AX88" s="44">
        <f ca="1">SUMPRODUCT((元データ!$AL$2:$AL$2001=1)*(元データ!$AN$2:$AN$2001=1)*(元データ!$AE$2:$AE$2001=$C$88)*(元データ!$AO$2:$AO$2001=1)*(元データ!$AM$2:$AM$2001&gt;=15)*(元データ!$AM$2:$AM$2001&lt;=21)*(元データ!$E$2:$E$2001="31 ＯＰ確認中"))</f>
        <v>0</v>
      </c>
      <c r="AY88" s="58" t="str" cm="1">
        <f t="array" aca="1" ref="AY88" ca="1">IFERROR(_xlfn.TEXTJOIN(CHAR(10),TRUE,IF((元データ!$AL$2:$AL$2001=1)*(元データ!$AN$2:$AN$2001=1)*(元データ!$AE$2:$AE$2001=$C$88)*(元データ!$AO$2:$AO$2001=1)*(元データ!$AM$2:$AM$2001&gt;=15)*(元データ!$AM$2:$AM$2001&lt;=21)*(元データ!$E$2:$E$2001="31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8" s="58"/>
      <c r="BA88" s="58"/>
      <c r="BB88" s="44">
        <f ca="1">SUMPRODUCT((元データ!$AL$2:$AL$2001=1)*(元データ!$AN$2:$AN$2001=1)*(元データ!$AE$2:$AE$2001=$C$88)*(元データ!$AO$2:$AO$2001=1)*(元データ!$AM$2:$AM$2001&gt;=15)*(元データ!$AM$2:$AM$2001&lt;=21)*(元データ!$E$2:$E$2001="32 ＳＶ確認中"))</f>
        <v>0</v>
      </c>
      <c r="BC88" s="58" t="str" cm="1">
        <f t="array" aca="1" ref="BC88" ca="1">IFERROR(_xlfn.TEXTJOIN(CHAR(10),TRUE,IF((元データ!$AL$2:$AL$2001=1)*(元データ!$AN$2:$AN$2001=1)*(元データ!$AE$2:$AE$2001=$C$88)*(元データ!$AO$2:$AO$2001=1)*(元データ!$AM$2:$AM$2001&gt;=15)*(元データ!$AM$2:$AM$2001&lt;=21)*(元データ!$E$2:$E$2001="32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8" s="58">
        <f ca="1">SUMPRODUCT((元データ!$AL$2:$AL$2001=1)*(元データ!$AN$2:$AN$2001=1)*(元データ!$AE$2:$AE$2001=$C$88)*(元データ!$AO$2:$AO$2001=1)*(元データ!$AM$2:$AM$2001&gt;=15)*(元データ!$AM$2:$AM$2001&lt;=21)*(元データ!$E$2:$E$2001="40 差戻し"))</f>
        <v>0</v>
      </c>
      <c r="BE88" s="58" t="str" cm="1">
        <f t="array" aca="1" ref="BE88" ca="1">IFERROR(_xlfn.TEXTJOIN(CHAR(10),TRUE,IF((元データ!$AL$2:$AL$2001=1)*(元データ!$AN$2:$AN$2001=1)*(元データ!$AE$2:$AE$2001=$C$88)*(元データ!$AO$2:$AO$2001=1)*(元データ!$AM$2:$AM$2001&gt;=15)*(元データ!$AM$2:$AM$2001&lt;=21)*(元データ!$E$2:$E$2001="40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8" s="45">
        <f ca="1">SUMPRODUCT((元データ!$AL$2:$AL$2001=1)*(元データ!$AN$2:$AN$2001=1)*(元データ!$AE$2:$AE$2001=$C$88)*(元データ!$AO$2:$AO$2001=1)*(元データ!$AM$2:$AM$2001&gt;=22)*(元データ!$AM$2:$AM$2001&lt;=30))</f>
        <v>0</v>
      </c>
      <c r="BG88" s="45">
        <f ca="1">SUMPRODUCT((元データ!$AL$2:$AL$2001=1)*(元データ!$AN$2:$AN$2001=1)*(元データ!$AE$2:$AE$2001=$C$88)*(元データ!$AO$2:$AO$2001=1)*(元データ!$AM$2:$AM$2001&gt;=22)*(元データ!$AM$2:$AM$2001&lt;=30)*(元データ!$E$2:$E$2001="20 確認待ち"))</f>
        <v>0</v>
      </c>
      <c r="BH88" s="60" t="str" cm="1">
        <f t="array" aca="1" ref="BH88" ca="1">IFERROR(_xlfn.TEXTJOIN(CHAR(10),TRUE,IF((元データ!$AL$2:$AL$2001=1)*(元データ!$AN$2:$AN$2001=1)*(元データ!$AE$2:$AE$2001=$C$88)*(元データ!$AO$2:$AO$2001=1)*(元データ!$AM$2:$AM$2001&gt;=22)*(元データ!$AM$2:$AM$2001&lt;=30)*(元データ!$E$2:$E$2001="20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8" s="60"/>
      <c r="BJ88" s="60"/>
      <c r="BK88" s="45">
        <f ca="1">SUMPRODUCT((元データ!$AL$2:$AL$2001=1)*(元データ!$AN$2:$AN$2001=1)*(元データ!$AE$2:$AE$2001=$C$88)*(元データ!$AO$2:$AO$2001=1)*(元データ!$AM$2:$AM$2001&gt;=22)*(元データ!$AM$2:$AM$2001&lt;=30)*(元データ!$E$2:$E$2001="30 申請受付"))</f>
        <v>0</v>
      </c>
      <c r="BL88" s="59" t="str" cm="1">
        <f t="array" aca="1" ref="BL88" ca="1">IFERROR(_xlfn.TEXTJOIN(CHAR(10),TRUE,IF((元データ!$AL$2:$AL$2001=1)*(元データ!$AN$2:$AN$2001=1)*(元データ!$AE$2:$AE$2001=$C$88)*(元データ!$AO$2:$AO$2001=1)*(元データ!$AM$2:$AM$2001&gt;=22)*(元データ!$AM$2:$AM$2001&lt;=30)*(元データ!$E$2:$E$2001="30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8" s="59"/>
      <c r="BN88" s="59"/>
      <c r="BO88" s="45">
        <f ca="1">SUMPRODUCT((元データ!$AL$2:$AL$2001=1)*(元データ!$AN$2:$AN$2001=1)*(元データ!$AE$2:$AE$2001=$C$88)*(元データ!$AO$2:$AO$2001=1)*(元データ!$AM$2:$AM$2001&gt;=22)*(元データ!$AM$2:$AM$2001&lt;=30)*(元データ!$E$2:$E$2001="31 ＯＰ確認中"))</f>
        <v>0</v>
      </c>
      <c r="BP88" s="59" t="str" cm="1">
        <f t="array" aca="1" ref="BP88" ca="1">IFERROR(_xlfn.TEXTJOIN(CHAR(10),TRUE,IF((元データ!$AL$2:$AL$2001=1)*(元データ!$AN$2:$AN$2001=1)*(元データ!$AE$2:$AE$2001=$C$88)*(元データ!$AO$2:$AO$2001=1)*(元データ!$AM$2:$AM$2001&gt;=22)*(元データ!$AM$2:$AM$2001&lt;=30)*(元データ!$E$2:$E$2001="31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8" s="59"/>
      <c r="BR88" s="59"/>
      <c r="BS88" s="45">
        <f ca="1">SUMPRODUCT((元データ!$AL$2:$AL$2001=1)*(元データ!$AN$2:$AN$2001=1)*(元データ!$AE$2:$AE$2001=$C$88)*(元データ!$AO$2:$AO$2001=1)*(元データ!$AM$2:$AM$2001&gt;=22)*(元データ!$AM$2:$AM$2001&lt;=30)*(元データ!$E$2:$E$2001="32 ＳＶ確認中"))</f>
        <v>0</v>
      </c>
      <c r="BT88" s="59" t="str" cm="1">
        <f t="array" aca="1" ref="BT88" ca="1">IFERROR(_xlfn.TEXTJOIN(CHAR(10),TRUE,IF((元データ!$AL$2:$AL$2001=1)*(元データ!$AN$2:$AN$2001=1)*(元データ!$AE$2:$AE$2001=$C$88)*(元データ!$AO$2:$AO$2001=1)*(元データ!$AM$2:$AM$2001&gt;=22)*(元データ!$AM$2:$AM$2001&lt;=30)*(元データ!$E$2:$E$2001="32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8" s="59">
        <f ca="1">SUMPRODUCT((元データ!$AL$2:$AL$2001=1)*(元データ!$AN$2:$AN$2001=1)*(元データ!$AE$2:$AE$2001=$C$88)*(元データ!$AO$2:$AO$2001=1)*(元データ!$AM$2:$AM$2001&gt;=22)*(元データ!$AM$2:$AM$2001&lt;=30)*(元データ!$E$2:$E$2001="40 差戻し"))</f>
        <v>0</v>
      </c>
      <c r="BV88" s="59" t="str" cm="1">
        <f t="array" aca="1" ref="BV88" ca="1">IFERROR(_xlfn.TEXTJOIN(CHAR(10),TRUE,IF((元データ!$AL$2:$AL$2001=1)*(元データ!$AN$2:$AN$2001=1)*(元データ!$AE$2:$AE$2001=$C$88)*(元データ!$AO$2:$AO$2001=1)*(元データ!$AM$2:$AM$2001&gt;=22)*(元データ!$AM$2:$AM$2001&lt;=30)*(元データ!$E$2:$E$2001="40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8" s="46">
        <f ca="1">SUMPRODUCT((元データ!$AL$2:$AL$2001=1)*(元データ!$AN$2:$AN$2001=1)*(元データ!$AE$2:$AE$2001=$C$88)*(元データ!$AO$2:$AO$2001=1)*(元データ!$AM$2:$AM$2001&gt;=31))</f>
        <v>17</v>
      </c>
      <c r="BX88" s="46">
        <f ca="1">SUMPRODUCT((元データ!$AL$2:$AL$2001=1)*(元データ!$AN$2:$AN$2001=1)*(元データ!$AE$2:$AE$2001=$C$88)*(元データ!$AO$2:$AO$2001=1)*(元データ!$AM$2:$AM$2001&gt;=31)*(元データ!$E$2:$E$2001="20 確認待ち"))</f>
        <v>3</v>
      </c>
      <c r="BY88" s="56" t="str" cm="1">
        <f t="array" aca="1" ref="BY88" ca="1">IFERROR(_xlfn.TEXTJOIN(CHAR(10),TRUE,IF((元データ!$AL$2:$AL$2001=1)*(元データ!$AN$2:$AN$2001=1)*(元データ!$AE$2:$AE$2001=$C$88)*(元データ!$AO$2:$AO$2001=1)*(元データ!$AM$2:$AM$2001&gt;=31)*(元データ!$E$2:$E$2001="20 確認待ち"),元データ!$A$2:$A$2001&amp;IF(元データ!$AP$2:$AP$2001&lt;&gt;"","（"&amp;MID(元データ!$AP$2:$AP$2001,2,100)&amp;")",""),"")),"")</f>
        <v>202460000110（削除)
202660001080（添待ち)
202660001090（添待ち)</v>
      </c>
      <c r="BZ88" s="56"/>
      <c r="CA88" s="56"/>
      <c r="CB88" s="46">
        <f ca="1">SUMPRODUCT((元データ!$AL$2:$AL$2001=1)*(元データ!$AN$2:$AN$2001=1)*(元データ!$AE$2:$AE$2001=$C$88)*(元データ!$AO$2:$AO$2001=1)*(元データ!$AM$2:$AM$2001&gt;=31)*(元データ!$E$2:$E$2001="30 申請受付"))</f>
        <v>0</v>
      </c>
      <c r="CC88" s="56" t="str" cm="1">
        <f t="array" aca="1" ref="CC88" ca="1">IFERROR(_xlfn.TEXTJOIN(CHAR(10),TRUE,IF((元データ!$AL$2:$AL$2001=1)*(元データ!$AN$2:$AN$2001=1)*(元データ!$AE$2:$AE$2001=$C$88)*(元データ!$AO$2:$AO$2001=1)*(元データ!$AM$2:$AM$2001&gt;=31)*(元データ!$E$2:$E$2001="30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88" s="56"/>
      <c r="CE88" s="56"/>
      <c r="CF88" s="46">
        <f ca="1">SUMPRODUCT((元データ!$AL$2:$AL$2001=1)*(元データ!$AN$2:$AN$2001=1)*(元データ!$AE$2:$AE$2001=$C$88)*(元データ!$AO$2:$AO$2001=1)*(元データ!$AM$2:$AM$2001&gt;=31)*(元データ!$E$2:$E$2001="31 ＯＰ確認中"))</f>
        <v>7</v>
      </c>
      <c r="CG88" s="56" t="str" cm="1">
        <f t="array" aca="1" ref="CG88" ca="1">IFERROR(_xlfn.TEXTJOIN(CHAR(10),TRUE,IF((元データ!$AL$2:$AL$2001=1)*(元データ!$AN$2:$AN$2001=1)*(元データ!$AE$2:$AE$2001=$C$88)*(元データ!$AO$2:$AO$2001=1)*(元データ!$AM$2:$AM$2001&gt;=31)*(元データ!$E$2:$E$2001="31 ＯＰ確認中"),元データ!$A$2:$A$2001&amp;IF(元データ!$AP$2:$AP$2001&lt;&gt;"","（"&amp;MID(元データ!$AP$2:$AP$2001,2,100)&amp;")",""),"")),"")</f>
        <v>200860002058
201260002213
201260002232
202060000569
202660000850（確認事項)
202660001131（確認事項)
202660001217（確認事項)</v>
      </c>
      <c r="CH88" s="56"/>
      <c r="CI88" s="56"/>
      <c r="CJ88" s="46">
        <f ca="1">SUMPRODUCT((元データ!$AL$2:$AL$2001=1)*(元データ!$AN$2:$AN$2001=1)*(元データ!$AE$2:$AE$2001=$C$88)*(元データ!$AO$2:$AO$2001=1)*(元データ!$AM$2:$AM$2001&gt;=31)*(元データ!$E$2:$E$2001="32 ＳＶ確認中"))</f>
        <v>2</v>
      </c>
      <c r="CK88" s="56" t="str" cm="1">
        <f t="array" aca="1" ref="CK88" ca="1">IFERROR(_xlfn.TEXTJOIN(CHAR(10),TRUE,IF((元データ!$AL$2:$AL$2001=1)*(元データ!$AN$2:$AN$2001=1)*(元データ!$AE$2:$AE$2001=$C$88)*(元データ!$AO$2:$AO$2001=1)*(元データ!$AM$2:$AM$2001&gt;=31)*(元データ!$E$2:$E$2001="32 ＳＶ確認中"),元データ!$A$2:$A$2001&amp;IF(元データ!$AP$2:$AP$2001&lt;&gt;"","（"&amp;MID(元データ!$AP$2:$AP$2001,2,100)&amp;")",""),"")),"")</f>
        <v>202660001026（添待ち・SV)
202660001231</v>
      </c>
      <c r="CL88" s="56">
        <f ca="1">SUMPRODUCT((元データ!$AL$2:$AL$2001=1)*(元データ!$AN$2:$AN$2001=1)*(元データ!$AE$2:$AE$2001=$C$88)*(元データ!$AO$2:$AO$2001=1)*(元データ!$AM$2:$AM$2001&gt;=31)*(元データ!$E$2:$E$2001="40 差戻し"))</f>
        <v>5</v>
      </c>
      <c r="CM88" s="56" t="str" cm="1">
        <f t="array" aca="1" ref="CM88" ca="1">IFERROR(_xlfn.TEXTJOIN(CHAR(10),TRUE,IF((元データ!$AL$2:$AL$2001=1)*(元データ!$AN$2:$AN$2001=1)*(元データ!$AE$2:$AE$2001=$C$88)*(元データ!$AO$2:$AO$2001=1)*(元データ!$AM$2:$AM$2001&gt;=31)*(元データ!$E$2:$E$2001="40 差戻し"),元データ!$A$2:$A$2001&amp;IF(元データ!$AP$2:$AP$2001&lt;&gt;"","（"&amp;MID(元データ!$AP$2:$AP$2001,2,100)&amp;")",""),"")),"")</f>
        <v>202460002924（削除)
202560000569（削除)
202560001758
202660001183（添待ち)
202660001233</v>
      </c>
    </row>
    <row r="89" spans="2:91" ht="24.95" customHeight="1">
      <c r="B89" s="92"/>
      <c r="C89" s="63"/>
      <c r="D89" s="63"/>
      <c r="E89" s="47" t="s">
        <v>134</v>
      </c>
      <c r="F89" s="48">
        <f>SUMPRODUCT((元データ!$AL$2:$AL$2001=1)*(元データ!$AN$2:$AN$2001=1)*(元データ!$AE$2:$AE$2001=$C$88)*(元データ!$AO$2:$AO$2001=0))</f>
        <v>0</v>
      </c>
      <c r="G89" s="49">
        <f ca="1">SUMPRODUCT((元データ!$AL$2:$AL$2001=1)*(元データ!$AN$2:$AN$2001=1)*(元データ!$AE$2:$AE$2001=$C$88)*(元データ!$AO$2:$AO$2001=0)*(元データ!$AM$2:$AM$2001&lt;=7))</f>
        <v>0</v>
      </c>
      <c r="H89" s="49">
        <f ca="1">SUMPRODUCT((元データ!$AL$2:$AL$2001=1)*(元データ!$AN$2:$AN$2001=1)*(元データ!$AE$2:$AE$2001=$C$88)*(元データ!$AO$2:$AO$2001=0)*(元データ!$AM$2:$AM$2001&lt;=7)*(元データ!$E$2:$E$2001="20 確認待ち"))</f>
        <v>0</v>
      </c>
      <c r="I89" s="57" t="str" cm="1">
        <f t="array" aca="1" ref="I89" ca="1">IFERROR(_xlfn.TEXTJOIN(CHAR(10),TRUE,IF((元データ!$AL$2:$AL$2001=1)*(元データ!$AN$2:$AN$2001=1)*(元データ!$AE$2:$AE$2001=$C$88)*(元データ!$AO$2:$AO$2001=0)*(元データ!$AM$2:$AM$2001&lt;=7)*(元データ!$E$2:$E$2001="20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89" s="57"/>
      <c r="K89" s="57"/>
      <c r="L89" s="49">
        <f ca="1">SUMPRODUCT((元データ!$AL$2:$AL$2001=1)*(元データ!$AN$2:$AN$2001=1)*(元データ!$AE$2:$AE$2001=$C$88)*(元データ!$AO$2:$AO$2001=0)*(元データ!$AM$2:$AM$2001&lt;=7)*(元データ!$E$2:$E$2001="30 申請受付"))</f>
        <v>0</v>
      </c>
      <c r="M89" s="57" t="str" cm="1">
        <f t="array" aca="1" ref="M89" ca="1">IFERROR(_xlfn.TEXTJOIN(CHAR(10),TRUE,IF((元データ!$AL$2:$AL$2001=1)*(元データ!$AN$2:$AN$2001=1)*(元データ!$AE$2:$AE$2001=$C$88)*(元データ!$AO$2:$AO$2001=0)*(元データ!$AM$2:$AM$2001&lt;=7)*(元データ!$E$2:$E$2001="30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89" s="57"/>
      <c r="O89" s="57"/>
      <c r="P89" s="49">
        <f ca="1">SUMPRODUCT((元データ!$AL$2:$AL$2001=1)*(元データ!$AN$2:$AN$2001=1)*(元データ!$AE$2:$AE$2001=$C$88)*(元データ!$AO$2:$AO$2001=0)*(元データ!$AM$2:$AM$2001&lt;=7)*(元データ!$E$2:$E$2001="31 ＯＰ確認中"))</f>
        <v>0</v>
      </c>
      <c r="Q89" s="57" t="str" cm="1">
        <f t="array" aca="1" ref="Q89" ca="1">IFERROR(_xlfn.TEXTJOIN(CHAR(10),TRUE,IF((元データ!$AL$2:$AL$2001=1)*(元データ!$AN$2:$AN$2001=1)*(元データ!$AE$2:$AE$2001=$C$88)*(元データ!$AO$2:$AO$2001=0)*(元データ!$AM$2:$AM$2001&lt;=7)*(元データ!$E$2:$E$2001="31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89" s="57"/>
      <c r="S89" s="57"/>
      <c r="T89" s="49">
        <f ca="1">SUMPRODUCT((元データ!$AL$2:$AL$2001=1)*(元データ!$AN$2:$AN$2001=1)*(元データ!$AE$2:$AE$2001=$C$88)*(元データ!$AO$2:$AO$2001=0)*(元データ!$AM$2:$AM$2001&lt;=7)*(元データ!$E$2:$E$2001="32 ＳＶ確認中"))</f>
        <v>0</v>
      </c>
      <c r="U89" s="57" t="str" cm="1">
        <f t="array" aca="1" ref="U89" ca="1">IFERROR(_xlfn.TEXTJOIN(CHAR(10),TRUE,IF((元データ!$AL$2:$AL$2001=1)*(元データ!$AN$2:$AN$2001=1)*(元データ!$AE$2:$AE$2001=$C$88)*(元データ!$AO$2:$AO$2001=0)*(元データ!$AM$2:$AM$2001&lt;=7)*(元データ!$E$2:$E$2001="32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89" s="57"/>
      <c r="W89" s="57"/>
      <c r="X89" s="49">
        <f ca="1">SUMPRODUCT((元データ!$AL$2:$AL$2001=1)*(元データ!$AN$2:$AN$2001=1)*(元データ!$AE$2:$AE$2001=$C$88)*(元データ!$AO$2:$AO$2001=0)*(元データ!$AM$2:$AM$2001&gt;=8)*(元データ!$AM$2:$AM$2001&lt;=14))</f>
        <v>0</v>
      </c>
      <c r="Y89" s="49">
        <f ca="1">SUMPRODUCT((元データ!$AL$2:$AL$2001=1)*(元データ!$AN$2:$AN$2001=1)*(元データ!$AE$2:$AE$2001=$C$88)*(元データ!$AO$2:$AO$2001=0)*(元データ!$AM$2:$AM$2001&gt;=8)*(元データ!$AM$2:$AM$2001&lt;=14)*(元データ!$E$2:$E$2001="20 確認待ち"))</f>
        <v>0</v>
      </c>
      <c r="Z89" s="57" t="str" cm="1">
        <f t="array" aca="1" ref="Z89" ca="1">IFERROR(_xlfn.TEXTJOIN(CHAR(10),TRUE,IF((元データ!$AL$2:$AL$2001=1)*(元データ!$AN$2:$AN$2001=1)*(元データ!$AE$2:$AE$2001=$C$88)*(元データ!$AO$2:$AO$2001=0)*(元データ!$AM$2:$AM$2001&gt;=8)*(元データ!$AM$2:$AM$2001&lt;=14)*(元データ!$E$2:$E$2001="20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89" s="57"/>
      <c r="AB89" s="57"/>
      <c r="AC89" s="49">
        <f ca="1">SUMPRODUCT((元データ!$AL$2:$AL$2001=1)*(元データ!$AN$2:$AN$2001=1)*(元データ!$AE$2:$AE$2001=$C$88)*(元データ!$AO$2:$AO$2001=0)*(元データ!$AM$2:$AM$2001&gt;=8)*(元データ!$AM$2:$AM$2001&lt;=14)*(元データ!$E$2:$E$2001="30 申請受付"))</f>
        <v>0</v>
      </c>
      <c r="AD89" s="57" t="str" cm="1">
        <f t="array" aca="1" ref="AD89" ca="1">IFERROR(_xlfn.TEXTJOIN(CHAR(10),TRUE,IF((元データ!$AL$2:$AL$2001=1)*(元データ!$AN$2:$AN$2001=1)*(元データ!$AE$2:$AE$2001=$C$88)*(元データ!$AO$2:$AO$2001=0)*(元データ!$AM$2:$AM$2001&gt;=8)*(元データ!$AM$2:$AM$2001&lt;=14)*(元データ!$E$2:$E$2001="30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89" s="57"/>
      <c r="AF89" s="57"/>
      <c r="AG89" s="49">
        <f ca="1">SUMPRODUCT((元データ!$AL$2:$AL$2001=1)*(元データ!$AN$2:$AN$2001=1)*(元データ!$AE$2:$AE$2001=$C$88)*(元データ!$AO$2:$AO$2001=0)*(元データ!$AM$2:$AM$2001&gt;=8)*(元データ!$AM$2:$AM$2001&lt;=14)*(元データ!$E$2:$E$2001="31 ＯＰ確認中"))</f>
        <v>0</v>
      </c>
      <c r="AH89" s="57" t="str" cm="1">
        <f t="array" aca="1" ref="AH89" ca="1">IFERROR(_xlfn.TEXTJOIN(CHAR(10),TRUE,IF((元データ!$AL$2:$AL$2001=1)*(元データ!$AN$2:$AN$2001=1)*(元データ!$AE$2:$AE$2001=$C$88)*(元データ!$AO$2:$AO$2001=0)*(元データ!$AM$2:$AM$2001&gt;=8)*(元データ!$AM$2:$AM$2001&lt;=14)*(元データ!$E$2:$E$2001="31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89" s="57"/>
      <c r="AJ89" s="57"/>
      <c r="AK89" s="49">
        <f ca="1">SUMPRODUCT((元データ!$AL$2:$AL$2001=1)*(元データ!$AN$2:$AN$2001=1)*(元データ!$AE$2:$AE$2001=$C$88)*(元データ!$AO$2:$AO$2001=0)*(元データ!$AM$2:$AM$2001&gt;=8)*(元データ!$AM$2:$AM$2001&lt;=14)*(元データ!$E$2:$E$2001="32 ＳＶ確認中"))</f>
        <v>0</v>
      </c>
      <c r="AL89" s="57" t="str" cm="1">
        <f t="array" aca="1" ref="AL89" ca="1">IFERROR(_xlfn.TEXTJOIN(CHAR(10),TRUE,IF((元データ!$AL$2:$AL$2001=1)*(元データ!$AN$2:$AN$2001=1)*(元データ!$AE$2:$AE$2001=$C$88)*(元データ!$AO$2:$AO$2001=0)*(元データ!$AM$2:$AM$2001&gt;=8)*(元データ!$AM$2:$AM$2001&lt;=14)*(元データ!$E$2:$E$2001="32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89" s="57">
        <f ca="1">SUMPRODUCT((元データ!$AL$2:$AL$2001=1)*(元データ!$AN$2:$AN$2001=1)*(元データ!$AE$2:$AE$2001=$C$88)*(元データ!$AO$2:$AO$2001=0)*(元データ!$AM$2:$AM$2001&gt;=8)*(元データ!$AM$2:$AM$2001&lt;=14)*(元データ!$E$2:$E$2001="40 差戻し"))</f>
        <v>0</v>
      </c>
      <c r="AN89" s="57" t="str" cm="1">
        <f t="array" aca="1" ref="AN89" ca="1">IFERROR(_xlfn.TEXTJOIN(CHAR(10),TRUE,IF((元データ!$AL$2:$AL$2001=1)*(元データ!$AN$2:$AN$2001=1)*(元データ!$AE$2:$AE$2001=$C$88)*(元データ!$AO$2:$AO$2001=0)*(元データ!$AM$2:$AM$2001&gt;=8)*(元データ!$AM$2:$AM$2001&lt;=14)*(元データ!$E$2:$E$2001="40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89" s="44">
        <f ca="1">SUMPRODUCT((元データ!$AL$2:$AL$2001=1)*(元データ!$AN$2:$AN$2001=1)*(元データ!$AE$2:$AE$2001=$C$88)*(元データ!$AO$2:$AO$2001=0)*(元データ!$AM$2:$AM$2001&gt;=15)*(元データ!$AM$2:$AM$2001&lt;=21))</f>
        <v>0</v>
      </c>
      <c r="AP89" s="44">
        <f ca="1">SUMPRODUCT((元データ!$AL$2:$AL$2001=1)*(元データ!$AN$2:$AN$2001=1)*(元データ!$AE$2:$AE$2001=$C$88)*(元データ!$AO$2:$AO$2001=0)*(元データ!$AM$2:$AM$2001&gt;=15)*(元データ!$AM$2:$AM$2001&lt;=21)*(元データ!$E$2:$E$2001="20 確認待ち"))</f>
        <v>0</v>
      </c>
      <c r="AQ89" s="58" t="str" cm="1">
        <f t="array" aca="1" ref="AQ89" ca="1">IFERROR(_xlfn.TEXTJOIN(CHAR(10),TRUE,IF((元データ!$AL$2:$AL$2001=1)*(元データ!$AN$2:$AN$2001=1)*(元データ!$AE$2:$AE$2001=$C$88)*(元データ!$AO$2:$AO$2001=0)*(元データ!$AM$2:$AM$2001&gt;=15)*(元データ!$AM$2:$AM$2001&lt;=21)*(元データ!$E$2:$E$2001="20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89" s="58"/>
      <c r="AS89" s="58"/>
      <c r="AT89" s="44">
        <f ca="1">SUMPRODUCT((元データ!$AL$2:$AL$2001=1)*(元データ!$AN$2:$AN$2001=1)*(元データ!$AE$2:$AE$2001=$C$88)*(元データ!$AO$2:$AO$2001=0)*(元データ!$AM$2:$AM$2001&gt;=15)*(元データ!$AM$2:$AM$2001&lt;=21)*(元データ!$E$2:$E$2001="30 申請受付"))</f>
        <v>0</v>
      </c>
      <c r="AU89" s="58" t="str" cm="1">
        <f t="array" aca="1" ref="AU89" ca="1">IFERROR(_xlfn.TEXTJOIN(CHAR(10),TRUE,IF((元データ!$AL$2:$AL$2001=1)*(元データ!$AN$2:$AN$2001=1)*(元データ!$AE$2:$AE$2001=$C$88)*(元データ!$AO$2:$AO$2001=0)*(元データ!$AM$2:$AM$2001&gt;=15)*(元データ!$AM$2:$AM$2001&lt;=21)*(元データ!$E$2:$E$2001="30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89" s="58"/>
      <c r="AW89" s="58"/>
      <c r="AX89" s="44">
        <f ca="1">SUMPRODUCT((元データ!$AL$2:$AL$2001=1)*(元データ!$AN$2:$AN$2001=1)*(元データ!$AE$2:$AE$2001=$C$88)*(元データ!$AO$2:$AO$2001=0)*(元データ!$AM$2:$AM$2001&gt;=15)*(元データ!$AM$2:$AM$2001&lt;=21)*(元データ!$E$2:$E$2001="31 ＯＰ確認中"))</f>
        <v>0</v>
      </c>
      <c r="AY89" s="58" t="str" cm="1">
        <f t="array" aca="1" ref="AY89" ca="1">IFERROR(_xlfn.TEXTJOIN(CHAR(10),TRUE,IF((元データ!$AL$2:$AL$2001=1)*(元データ!$AN$2:$AN$2001=1)*(元データ!$AE$2:$AE$2001=$C$88)*(元データ!$AO$2:$AO$2001=0)*(元データ!$AM$2:$AM$2001&gt;=15)*(元データ!$AM$2:$AM$2001&lt;=21)*(元データ!$E$2:$E$2001="31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89" s="58"/>
      <c r="BA89" s="58"/>
      <c r="BB89" s="44">
        <f ca="1">SUMPRODUCT((元データ!$AL$2:$AL$2001=1)*(元データ!$AN$2:$AN$2001=1)*(元データ!$AE$2:$AE$2001=$C$88)*(元データ!$AO$2:$AO$2001=0)*(元データ!$AM$2:$AM$2001&gt;=15)*(元データ!$AM$2:$AM$2001&lt;=21)*(元データ!$E$2:$E$2001="32 ＳＶ確認中"))</f>
        <v>0</v>
      </c>
      <c r="BC89" s="58" t="str" cm="1">
        <f t="array" aca="1" ref="BC89" ca="1">IFERROR(_xlfn.TEXTJOIN(CHAR(10),TRUE,IF((元データ!$AL$2:$AL$2001=1)*(元データ!$AN$2:$AN$2001=1)*(元データ!$AE$2:$AE$2001=$C$88)*(元データ!$AO$2:$AO$2001=0)*(元データ!$AM$2:$AM$2001&gt;=15)*(元データ!$AM$2:$AM$2001&lt;=21)*(元データ!$E$2:$E$2001="32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89" s="58">
        <f ca="1">SUMPRODUCT((元データ!$AL$2:$AL$2001=1)*(元データ!$AN$2:$AN$2001=1)*(元データ!$AE$2:$AE$2001=$C$88)*(元データ!$AO$2:$AO$2001=0)*(元データ!$AM$2:$AM$2001&gt;=15)*(元データ!$AM$2:$AM$2001&lt;=21)*(元データ!$E$2:$E$2001="40 差戻し"))</f>
        <v>0</v>
      </c>
      <c r="BE89" s="58" t="str" cm="1">
        <f t="array" aca="1" ref="BE89" ca="1">IFERROR(_xlfn.TEXTJOIN(CHAR(10),TRUE,IF((元データ!$AL$2:$AL$2001=1)*(元データ!$AN$2:$AN$2001=1)*(元データ!$AE$2:$AE$2001=$C$88)*(元データ!$AO$2:$AO$2001=0)*(元データ!$AM$2:$AM$2001&gt;=15)*(元データ!$AM$2:$AM$2001&lt;=21)*(元データ!$E$2:$E$2001="40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89" s="45">
        <f ca="1">SUMPRODUCT((元データ!$AL$2:$AL$2001=1)*(元データ!$AN$2:$AN$2001=1)*(元データ!$AE$2:$AE$2001=$C$88)*(元データ!$AO$2:$AO$2001=0)*(元データ!$AM$2:$AM$2001&gt;=22)*(元データ!$AM$2:$AM$2001&lt;=30))</f>
        <v>0</v>
      </c>
      <c r="BG89" s="45">
        <f ca="1">SUMPRODUCT((元データ!$AL$2:$AL$2001=1)*(元データ!$AN$2:$AN$2001=1)*(元データ!$AE$2:$AE$2001=$C$88)*(元データ!$AO$2:$AO$2001=0)*(元データ!$AM$2:$AM$2001&gt;=22)*(元データ!$AM$2:$AM$2001&lt;=30)*(元データ!$E$2:$E$2001="20 確認待ち"))</f>
        <v>0</v>
      </c>
      <c r="BH89" s="59" t="str" cm="1">
        <f t="array" aca="1" ref="BH89" ca="1">IFERROR(_xlfn.TEXTJOIN(CHAR(10),TRUE,IF((元データ!$AL$2:$AL$2001=1)*(元データ!$AN$2:$AN$2001=1)*(元データ!$AE$2:$AE$2001=$C$88)*(元データ!$AO$2:$AO$2001=0)*(元データ!$AM$2:$AM$2001&gt;=22)*(元データ!$AM$2:$AM$2001&lt;=30)*(元データ!$E$2:$E$2001="20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89" s="59"/>
      <c r="BJ89" s="59"/>
      <c r="BK89" s="45">
        <f ca="1">SUMPRODUCT((元データ!$AL$2:$AL$2001=1)*(元データ!$AN$2:$AN$2001=1)*(元データ!$AE$2:$AE$2001=$C$88)*(元データ!$AO$2:$AO$2001=0)*(元データ!$AM$2:$AM$2001&gt;=22)*(元データ!$AM$2:$AM$2001&lt;=30)*(元データ!$E$2:$E$2001="30 申請受付"))</f>
        <v>0</v>
      </c>
      <c r="BL89" s="59" t="str" cm="1">
        <f t="array" aca="1" ref="BL89" ca="1">IFERROR(_xlfn.TEXTJOIN(CHAR(10),TRUE,IF((元データ!$AL$2:$AL$2001=1)*(元データ!$AN$2:$AN$2001=1)*(元データ!$AE$2:$AE$2001=$C$88)*(元データ!$AO$2:$AO$2001=0)*(元データ!$AM$2:$AM$2001&gt;=22)*(元データ!$AM$2:$AM$2001&lt;=30)*(元データ!$E$2:$E$2001="30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89" s="59"/>
      <c r="BN89" s="59"/>
      <c r="BO89" s="45">
        <f ca="1">SUMPRODUCT((元データ!$AL$2:$AL$2001=1)*(元データ!$AN$2:$AN$2001=1)*(元データ!$AE$2:$AE$2001=$C$88)*(元データ!$AO$2:$AO$2001=0)*(元データ!$AM$2:$AM$2001&gt;=22)*(元データ!$AM$2:$AM$2001&lt;=30)*(元データ!$E$2:$E$2001="31 ＯＰ確認中"))</f>
        <v>0</v>
      </c>
      <c r="BP89" s="59" t="str" cm="1">
        <f t="array" aca="1" ref="BP89" ca="1">IFERROR(_xlfn.TEXTJOIN(CHAR(10),TRUE,IF((元データ!$AL$2:$AL$2001=1)*(元データ!$AN$2:$AN$2001=1)*(元データ!$AE$2:$AE$2001=$C$88)*(元データ!$AO$2:$AO$2001=0)*(元データ!$AM$2:$AM$2001&gt;=22)*(元データ!$AM$2:$AM$2001&lt;=30)*(元データ!$E$2:$E$2001="31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89" s="59"/>
      <c r="BR89" s="59"/>
      <c r="BS89" s="45">
        <f ca="1">SUMPRODUCT((元データ!$AL$2:$AL$2001=1)*(元データ!$AN$2:$AN$2001=1)*(元データ!$AE$2:$AE$2001=$C$88)*(元データ!$AO$2:$AO$2001=0)*(元データ!$AM$2:$AM$2001&gt;=22)*(元データ!$AM$2:$AM$2001&lt;=30)*(元データ!$E$2:$E$2001="32 ＳＶ確認中"))</f>
        <v>0</v>
      </c>
      <c r="BT89" s="59" t="str" cm="1">
        <f t="array" aca="1" ref="BT89" ca="1">IFERROR(_xlfn.TEXTJOIN(CHAR(10),TRUE,IF((元データ!$AL$2:$AL$2001=1)*(元データ!$AN$2:$AN$2001=1)*(元データ!$AE$2:$AE$2001=$C$88)*(元データ!$AO$2:$AO$2001=0)*(元データ!$AM$2:$AM$2001&gt;=22)*(元データ!$AM$2:$AM$2001&lt;=30)*(元データ!$E$2:$E$2001="32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89" s="59">
        <f ca="1">SUMPRODUCT((元データ!$AL$2:$AL$2001=1)*(元データ!$AN$2:$AN$2001=1)*(元データ!$AE$2:$AE$2001=$C$88)*(元データ!$AO$2:$AO$2001=0)*(元データ!$AM$2:$AM$2001&gt;=22)*(元データ!$AM$2:$AM$2001&lt;=30)*(元データ!$E$2:$E$2001="40 差戻し"))</f>
        <v>0</v>
      </c>
      <c r="BV89" s="59" t="str" cm="1">
        <f t="array" aca="1" ref="BV89" ca="1">IFERROR(_xlfn.TEXTJOIN(CHAR(10),TRUE,IF((元データ!$AL$2:$AL$2001=1)*(元データ!$AN$2:$AN$2001=1)*(元データ!$AE$2:$AE$2001=$C$88)*(元データ!$AO$2:$AO$2001=0)*(元データ!$AM$2:$AM$2001&gt;=22)*(元データ!$AM$2:$AM$2001&lt;=30)*(元データ!$E$2:$E$2001="40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89" s="46">
        <f ca="1">SUMPRODUCT((元データ!$AL$2:$AL$2001=1)*(元データ!$AN$2:$AN$2001=1)*(元データ!$AE$2:$AE$2001=$C$88)*(元データ!$AO$2:$AO$2001=0)*(元データ!$AM$2:$AM$2001&gt;=31))</f>
        <v>0</v>
      </c>
      <c r="BX89" s="46">
        <f ca="1">SUMPRODUCT((元データ!$AL$2:$AL$2001=1)*(元データ!$AN$2:$AN$2001=1)*(元データ!$AE$2:$AE$2001=$C$88)*(元データ!$AO$2:$AO$2001=0)*(元データ!$AM$2:$AM$2001&gt;=31)*(元データ!$E$2:$E$2001="20 確認待ち"))</f>
        <v>0</v>
      </c>
      <c r="BY89" s="56" t="str" cm="1">
        <f t="array" aca="1" ref="BY89" ca="1">IFERROR(_xlfn.TEXTJOIN(CHAR(10),TRUE,IF((元データ!$AL$2:$AL$2001=1)*(元データ!$AN$2:$AN$2001=1)*(元データ!$AE$2:$AE$2001=$C$88)*(元データ!$AO$2:$AO$2001=0)*(元データ!$AM$2:$AM$2001&gt;=31)*(元データ!$E$2:$E$2001="20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89" s="56"/>
      <c r="CA89" s="56"/>
      <c r="CB89" s="46">
        <f ca="1">SUMPRODUCT((元データ!$AL$2:$AL$2001=1)*(元データ!$AN$2:$AN$2001=1)*(元データ!$AE$2:$AE$2001=$C$88)*(元データ!$AO$2:$AO$2001=0)*(元データ!$AM$2:$AM$2001&gt;=31)*(元データ!$E$2:$E$2001="30 申請受付"))</f>
        <v>0</v>
      </c>
      <c r="CC89" s="56" t="str" cm="1">
        <f t="array" aca="1" ref="CC89" ca="1">IFERROR(_xlfn.TEXTJOIN(CHAR(10),TRUE,IF((元データ!$AL$2:$AL$2001=1)*(元データ!$AN$2:$AN$2001=1)*(元データ!$AE$2:$AE$2001=$C$88)*(元データ!$AO$2:$AO$2001=0)*(元データ!$AM$2:$AM$2001&gt;=31)*(元データ!$E$2:$E$2001="30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89" s="56"/>
      <c r="CE89" s="56"/>
      <c r="CF89" s="46">
        <f ca="1">SUMPRODUCT((元データ!$AL$2:$AL$2001=1)*(元データ!$AN$2:$AN$2001=1)*(元データ!$AE$2:$AE$2001=$C$88)*(元データ!$AO$2:$AO$2001=0)*(元データ!$AM$2:$AM$2001&gt;=31)*(元データ!$E$2:$E$2001="31 ＯＰ確認中"))</f>
        <v>0</v>
      </c>
      <c r="CG89" s="56" t="str" cm="1">
        <f t="array" aca="1" ref="CG89" ca="1">IFERROR(_xlfn.TEXTJOIN(CHAR(10),TRUE,IF((元データ!$AL$2:$AL$2001=1)*(元データ!$AN$2:$AN$2001=1)*(元データ!$AE$2:$AE$2001=$C$88)*(元データ!$AO$2:$AO$2001=0)*(元データ!$AM$2:$AM$2001&gt;=31)*(元データ!$E$2:$E$2001="31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89" s="56"/>
      <c r="CI89" s="56"/>
      <c r="CJ89" s="46">
        <f ca="1">SUMPRODUCT((元データ!$AL$2:$AL$2001=1)*(元データ!$AN$2:$AN$2001=1)*(元データ!$AE$2:$AE$2001=$C$88)*(元データ!$AO$2:$AO$2001=0)*(元データ!$AM$2:$AM$2001&gt;=31)*(元データ!$E$2:$E$2001="32 ＳＶ確認中"))</f>
        <v>0</v>
      </c>
      <c r="CK89" s="56" t="str" cm="1">
        <f t="array" aca="1" ref="CK89" ca="1">IFERROR(_xlfn.TEXTJOIN(CHAR(10),TRUE,IF((元データ!$AL$2:$AL$2001=1)*(元データ!$AN$2:$AN$2001=1)*(元データ!$AE$2:$AE$2001=$C$88)*(元データ!$AO$2:$AO$2001=0)*(元データ!$AM$2:$AM$2001&gt;=31)*(元データ!$E$2:$E$2001="32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89" s="56">
        <f ca="1">SUMPRODUCT((元データ!$AL$2:$AL$2001=1)*(元データ!$AN$2:$AN$2001=1)*(元データ!$AE$2:$AE$2001=$C$88)*(元データ!$AO$2:$AO$2001=0)*(元データ!$AM$2:$AM$2001&gt;=31)*(元データ!$E$2:$E$2001="40 差戻し"))</f>
        <v>0</v>
      </c>
      <c r="CM89" s="56" t="str" cm="1">
        <f t="array" aca="1" ref="CM89" ca="1">IFERROR(_xlfn.TEXTJOIN(CHAR(10),TRUE,IF((元データ!$AL$2:$AL$2001=1)*(元データ!$AN$2:$AN$2001=1)*(元データ!$AE$2:$AE$2001=$C$88)*(元データ!$AO$2:$AO$2001=0)*(元データ!$AM$2:$AM$2001&gt;=31)*(元データ!$E$2:$E$2001="40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90" spans="2:91" ht="24.95" customHeight="1">
      <c r="B90" s="91"/>
      <c r="C90" s="63" t="s">
        <v>87</v>
      </c>
      <c r="D90" s="63"/>
      <c r="E90" s="41" t="s">
        <v>133</v>
      </c>
      <c r="F90" s="42">
        <f>SUMPRODUCT((元データ!$AL$2:$AL$2001=1)*(元データ!$AN$2:$AN$2001=1)*(元データ!$AE$2:$AE$2001=$C$90)*(元データ!$AO$2:$AO$2001=1))</f>
        <v>3</v>
      </c>
      <c r="G90" s="43">
        <f ca="1">SUMPRODUCT((元データ!$AL$2:$AL$2001=1)*(元データ!$AN$2:$AN$2001=1)*(元データ!$AE$2:$AE$2001=$C$90)*(元データ!$AO$2:$AO$2001=1)*(元データ!$AM$2:$AM$2001&lt;=7))</f>
        <v>0</v>
      </c>
      <c r="H90" s="43">
        <f ca="1">SUMPRODUCT((元データ!$AL$2:$AL$2001=1)*(元データ!$AN$2:$AN$2001=1)*(元データ!$AE$2:$AE$2001=$C$90)*(元データ!$AO$2:$AO$2001=1)*(元データ!$AM$2:$AM$2001&lt;=7)*(元データ!$E$2:$E$2001="20 確認待ち"))</f>
        <v>0</v>
      </c>
      <c r="I90" s="61" t="str" cm="1">
        <f t="array" aca="1" ref="I90" ca="1">IFERROR(_xlfn.TEXTJOIN(CHAR(10),TRUE,IF((元データ!$AL$2:$AL$2001=1)*(元データ!$AN$2:$AN$2001=1)*(元データ!$AE$2:$AE$2001=$C$90)*(元データ!$AO$2:$AO$2001=1)*(元データ!$AM$2:$AM$2001&lt;=7)*(元データ!$E$2:$E$2001="20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90" s="61"/>
      <c r="K90" s="61"/>
      <c r="L90" s="43">
        <f ca="1">SUMPRODUCT((元データ!$AL$2:$AL$2001=1)*(元データ!$AN$2:$AN$2001=1)*(元データ!$AE$2:$AE$2001=$C$90)*(元データ!$AO$2:$AO$2001=1)*(元データ!$AM$2:$AM$2001&lt;=7)*(元データ!$E$2:$E$2001="30 申請受付"))</f>
        <v>0</v>
      </c>
      <c r="M90" s="61" t="str" cm="1">
        <f t="array" aca="1" ref="M90" ca="1">IFERROR(_xlfn.TEXTJOIN(CHAR(10),TRUE,IF((元データ!$AL$2:$AL$2001=1)*(元データ!$AN$2:$AN$2001=1)*(元データ!$AE$2:$AE$2001=$C$90)*(元データ!$AO$2:$AO$2001=1)*(元データ!$AM$2:$AM$2001&lt;=7)*(元データ!$E$2:$E$2001="30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90" s="61"/>
      <c r="O90" s="61"/>
      <c r="P90" s="43">
        <f ca="1">SUMPRODUCT((元データ!$AL$2:$AL$2001=1)*(元データ!$AN$2:$AN$2001=1)*(元データ!$AE$2:$AE$2001=$C$90)*(元データ!$AO$2:$AO$2001=1)*(元データ!$AM$2:$AM$2001&lt;=7)*(元データ!$E$2:$E$2001="31 ＯＰ確認中"))</f>
        <v>0</v>
      </c>
      <c r="Q90" s="61" t="str" cm="1">
        <f t="array" aca="1" ref="Q90" ca="1">IFERROR(_xlfn.TEXTJOIN(CHAR(10),TRUE,IF((元データ!$AL$2:$AL$2001=1)*(元データ!$AN$2:$AN$2001=1)*(元データ!$AE$2:$AE$2001=$C$90)*(元データ!$AO$2:$AO$2001=1)*(元データ!$AM$2:$AM$2001&lt;=7)*(元データ!$E$2:$E$2001="31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90" s="61"/>
      <c r="S90" s="61"/>
      <c r="T90" s="43">
        <f ca="1">SUMPRODUCT((元データ!$AL$2:$AL$2001=1)*(元データ!$AN$2:$AN$2001=1)*(元データ!$AE$2:$AE$2001=$C$90)*(元データ!$AO$2:$AO$2001=1)*(元データ!$AM$2:$AM$2001&lt;=7)*(元データ!$E$2:$E$2001="32 ＳＶ確認中"))</f>
        <v>0</v>
      </c>
      <c r="U90" s="61" t="str" cm="1">
        <f t="array" aca="1" ref="U90" ca="1">IFERROR(_xlfn.TEXTJOIN(CHAR(10),TRUE,IF((元データ!$AL$2:$AL$2001=1)*(元データ!$AN$2:$AN$2001=1)*(元データ!$AE$2:$AE$2001=$C$90)*(元データ!$AO$2:$AO$2001=1)*(元データ!$AM$2:$AM$2001&lt;=7)*(元データ!$E$2:$E$2001="32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90" s="61"/>
      <c r="W90" s="61"/>
      <c r="X90" s="43">
        <f ca="1">SUMPRODUCT((元データ!$AL$2:$AL$2001=1)*(元データ!$AN$2:$AN$2001=1)*(元データ!$AE$2:$AE$2001=$C$90)*(元データ!$AO$2:$AO$2001=1)*(元データ!$AM$2:$AM$2001&gt;=8)*(元データ!$AM$2:$AM$2001&lt;=14))</f>
        <v>1</v>
      </c>
      <c r="Y90" s="43">
        <f ca="1">SUMPRODUCT((元データ!$AL$2:$AL$2001=1)*(元データ!$AN$2:$AN$2001=1)*(元データ!$AE$2:$AE$2001=$C$90)*(元データ!$AO$2:$AO$2001=1)*(元データ!$AM$2:$AM$2001&gt;=8)*(元データ!$AM$2:$AM$2001&lt;=14)*(元データ!$E$2:$E$2001="20 確認待ち"))</f>
        <v>1</v>
      </c>
      <c r="Z90" s="61" t="str" cm="1">
        <f t="array" aca="1" ref="Z90" ca="1">IFERROR(_xlfn.TEXTJOIN(CHAR(10),TRUE,IF((元データ!$AL$2:$AL$2001=1)*(元データ!$AN$2:$AN$2001=1)*(元データ!$AE$2:$AE$2001=$C$90)*(元データ!$AO$2:$AO$2001=1)*(元データ!$AM$2:$AM$2001&gt;=8)*(元データ!$AM$2:$AM$2001&lt;=14)*(元データ!$E$2:$E$2001="20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>202660001358（添待ち)</v>
      </c>
      <c r="AA90" s="61"/>
      <c r="AB90" s="61"/>
      <c r="AC90" s="43">
        <f ca="1">SUMPRODUCT((元データ!$AL$2:$AL$2001=1)*(元データ!$AN$2:$AN$2001=1)*(元データ!$AE$2:$AE$2001=$C$90)*(元データ!$AO$2:$AO$2001=1)*(元データ!$AM$2:$AM$2001&gt;=8)*(元データ!$AM$2:$AM$2001&lt;=14)*(元データ!$E$2:$E$2001="30 申請受付"))</f>
        <v>0</v>
      </c>
      <c r="AD90" s="61" t="str" cm="1">
        <f t="array" aca="1" ref="AD90" ca="1">IFERROR(_xlfn.TEXTJOIN(CHAR(10),TRUE,IF((元データ!$AL$2:$AL$2001=1)*(元データ!$AN$2:$AN$2001=1)*(元データ!$AE$2:$AE$2001=$C$90)*(元データ!$AO$2:$AO$2001=1)*(元データ!$AM$2:$AM$2001&gt;=8)*(元データ!$AM$2:$AM$2001&lt;=14)*(元データ!$E$2:$E$2001="30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0" s="61"/>
      <c r="AF90" s="61"/>
      <c r="AG90" s="43">
        <f ca="1">SUMPRODUCT((元データ!$AL$2:$AL$2001=1)*(元データ!$AN$2:$AN$2001=1)*(元データ!$AE$2:$AE$2001=$C$90)*(元データ!$AO$2:$AO$2001=1)*(元データ!$AM$2:$AM$2001&gt;=8)*(元データ!$AM$2:$AM$2001&lt;=14)*(元データ!$E$2:$E$2001="31 ＯＰ確認中"))</f>
        <v>0</v>
      </c>
      <c r="AH90" s="61" t="str" cm="1">
        <f t="array" aca="1" ref="AH90" ca="1">IFERROR(_xlfn.TEXTJOIN(CHAR(10),TRUE,IF((元データ!$AL$2:$AL$2001=1)*(元データ!$AN$2:$AN$2001=1)*(元データ!$AE$2:$AE$2001=$C$90)*(元データ!$AO$2:$AO$2001=1)*(元データ!$AM$2:$AM$2001&gt;=8)*(元データ!$AM$2:$AM$2001&lt;=14)*(元データ!$E$2:$E$2001="31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0" s="61"/>
      <c r="AJ90" s="61"/>
      <c r="AK90" s="43">
        <f ca="1">SUMPRODUCT((元データ!$AL$2:$AL$2001=1)*(元データ!$AN$2:$AN$2001=1)*(元データ!$AE$2:$AE$2001=$C$90)*(元データ!$AO$2:$AO$2001=1)*(元データ!$AM$2:$AM$2001&gt;=8)*(元データ!$AM$2:$AM$2001&lt;=14)*(元データ!$E$2:$E$2001="32 ＳＶ確認中"))</f>
        <v>0</v>
      </c>
      <c r="AL90" s="61" t="str" cm="1">
        <f t="array" aca="1" ref="AL90" ca="1">IFERROR(_xlfn.TEXTJOIN(CHAR(10),TRUE,IF((元データ!$AL$2:$AL$2001=1)*(元データ!$AN$2:$AN$2001=1)*(元データ!$AE$2:$AE$2001=$C$90)*(元データ!$AO$2:$AO$2001=1)*(元データ!$AM$2:$AM$2001&gt;=8)*(元データ!$AM$2:$AM$2001&lt;=14)*(元データ!$E$2:$E$2001="32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0" s="61">
        <f ca="1">SUMPRODUCT((元データ!$AL$2:$AL$2001=1)*(元データ!$AN$2:$AN$2001=1)*(元データ!$AE$2:$AE$2001=$C$90)*(元データ!$AO$2:$AO$2001=1)*(元データ!$AM$2:$AM$2001&gt;=8)*(元データ!$AM$2:$AM$2001&lt;=14)*(元データ!$E$2:$E$2001="40 差戻し"))</f>
        <v>0</v>
      </c>
      <c r="AN90" s="61" t="str" cm="1">
        <f t="array" aca="1" ref="AN90" ca="1">IFERROR(_xlfn.TEXTJOIN(CHAR(10),TRUE,IF((元データ!$AL$2:$AL$2001=1)*(元データ!$AN$2:$AN$2001=1)*(元データ!$AE$2:$AE$2001=$C$90)*(元データ!$AO$2:$AO$2001=1)*(元データ!$AM$2:$AM$2001&gt;=8)*(元データ!$AM$2:$AM$2001&lt;=14)*(元データ!$E$2:$E$2001="40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0" s="44">
        <f ca="1">SUMPRODUCT((元データ!$AL$2:$AL$2001=1)*(元データ!$AN$2:$AN$2001=1)*(元データ!$AE$2:$AE$2001=$C$90)*(元データ!$AO$2:$AO$2001=1)*(元データ!$AM$2:$AM$2001&gt;=15)*(元データ!$AM$2:$AM$2001&lt;=21))</f>
        <v>0</v>
      </c>
      <c r="AP90" s="44">
        <f ca="1">SUMPRODUCT((元データ!$AL$2:$AL$2001=1)*(元データ!$AN$2:$AN$2001=1)*(元データ!$AE$2:$AE$2001=$C$90)*(元データ!$AO$2:$AO$2001=1)*(元データ!$AM$2:$AM$2001&gt;=15)*(元データ!$AM$2:$AM$2001&lt;=21)*(元データ!$E$2:$E$2001="20 確認待ち"))</f>
        <v>0</v>
      </c>
      <c r="AQ90" s="58" t="str" cm="1">
        <f t="array" aca="1" ref="AQ90" ca="1">IFERROR(_xlfn.TEXTJOIN(CHAR(10),TRUE,IF((元データ!$AL$2:$AL$2001=1)*(元データ!$AN$2:$AN$2001=1)*(元データ!$AE$2:$AE$2001=$C$90)*(元データ!$AO$2:$AO$2001=1)*(元データ!$AM$2:$AM$2001&gt;=15)*(元データ!$AM$2:$AM$2001&lt;=21)*(元データ!$E$2:$E$2001="20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0" s="58"/>
      <c r="AS90" s="58"/>
      <c r="AT90" s="44">
        <f ca="1">SUMPRODUCT((元データ!$AL$2:$AL$2001=1)*(元データ!$AN$2:$AN$2001=1)*(元データ!$AE$2:$AE$2001=$C$90)*(元データ!$AO$2:$AO$2001=1)*(元データ!$AM$2:$AM$2001&gt;=15)*(元データ!$AM$2:$AM$2001&lt;=21)*(元データ!$E$2:$E$2001="30 申請受付"))</f>
        <v>0</v>
      </c>
      <c r="AU90" s="58" t="str" cm="1">
        <f t="array" aca="1" ref="AU90" ca="1">IFERROR(_xlfn.TEXTJOIN(CHAR(10),TRUE,IF((元データ!$AL$2:$AL$2001=1)*(元データ!$AN$2:$AN$2001=1)*(元データ!$AE$2:$AE$2001=$C$90)*(元データ!$AO$2:$AO$2001=1)*(元データ!$AM$2:$AM$2001&gt;=15)*(元データ!$AM$2:$AM$2001&lt;=21)*(元データ!$E$2:$E$2001="30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0" s="58"/>
      <c r="AW90" s="58"/>
      <c r="AX90" s="44">
        <f ca="1">SUMPRODUCT((元データ!$AL$2:$AL$2001=1)*(元データ!$AN$2:$AN$2001=1)*(元データ!$AE$2:$AE$2001=$C$90)*(元データ!$AO$2:$AO$2001=1)*(元データ!$AM$2:$AM$2001&gt;=15)*(元データ!$AM$2:$AM$2001&lt;=21)*(元データ!$E$2:$E$2001="31 ＯＰ確認中"))</f>
        <v>0</v>
      </c>
      <c r="AY90" s="58" t="str" cm="1">
        <f t="array" aca="1" ref="AY90" ca="1">IFERROR(_xlfn.TEXTJOIN(CHAR(10),TRUE,IF((元データ!$AL$2:$AL$2001=1)*(元データ!$AN$2:$AN$2001=1)*(元データ!$AE$2:$AE$2001=$C$90)*(元データ!$AO$2:$AO$2001=1)*(元データ!$AM$2:$AM$2001&gt;=15)*(元データ!$AM$2:$AM$2001&lt;=21)*(元データ!$E$2:$E$2001="31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0" s="58"/>
      <c r="BA90" s="58"/>
      <c r="BB90" s="44">
        <f ca="1">SUMPRODUCT((元データ!$AL$2:$AL$2001=1)*(元データ!$AN$2:$AN$2001=1)*(元データ!$AE$2:$AE$2001=$C$90)*(元データ!$AO$2:$AO$2001=1)*(元データ!$AM$2:$AM$2001&gt;=15)*(元データ!$AM$2:$AM$2001&lt;=21)*(元データ!$E$2:$E$2001="32 ＳＶ確認中"))</f>
        <v>0</v>
      </c>
      <c r="BC90" s="58" t="str" cm="1">
        <f t="array" aca="1" ref="BC90" ca="1">IFERROR(_xlfn.TEXTJOIN(CHAR(10),TRUE,IF((元データ!$AL$2:$AL$2001=1)*(元データ!$AN$2:$AN$2001=1)*(元データ!$AE$2:$AE$2001=$C$90)*(元データ!$AO$2:$AO$2001=1)*(元データ!$AM$2:$AM$2001&gt;=15)*(元データ!$AM$2:$AM$2001&lt;=21)*(元データ!$E$2:$E$2001="32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0" s="58">
        <f ca="1">SUMPRODUCT((元データ!$AL$2:$AL$2001=1)*(元データ!$AN$2:$AN$2001=1)*(元データ!$AE$2:$AE$2001=$C$90)*(元データ!$AO$2:$AO$2001=1)*(元データ!$AM$2:$AM$2001&gt;=15)*(元データ!$AM$2:$AM$2001&lt;=21)*(元データ!$E$2:$E$2001="40 差戻し"))</f>
        <v>0</v>
      </c>
      <c r="BE90" s="58" t="str" cm="1">
        <f t="array" aca="1" ref="BE90" ca="1">IFERROR(_xlfn.TEXTJOIN(CHAR(10),TRUE,IF((元データ!$AL$2:$AL$2001=1)*(元データ!$AN$2:$AN$2001=1)*(元データ!$AE$2:$AE$2001=$C$90)*(元データ!$AO$2:$AO$2001=1)*(元データ!$AM$2:$AM$2001&gt;=15)*(元データ!$AM$2:$AM$2001&lt;=21)*(元データ!$E$2:$E$2001="40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0" s="45">
        <f ca="1">SUMPRODUCT((元データ!$AL$2:$AL$2001=1)*(元データ!$AN$2:$AN$2001=1)*(元データ!$AE$2:$AE$2001=$C$90)*(元データ!$AO$2:$AO$2001=1)*(元データ!$AM$2:$AM$2001&gt;=22)*(元データ!$AM$2:$AM$2001&lt;=30))</f>
        <v>0</v>
      </c>
      <c r="BG90" s="45">
        <f ca="1">SUMPRODUCT((元データ!$AL$2:$AL$2001=1)*(元データ!$AN$2:$AN$2001=1)*(元データ!$AE$2:$AE$2001=$C$90)*(元データ!$AO$2:$AO$2001=1)*(元データ!$AM$2:$AM$2001&gt;=22)*(元データ!$AM$2:$AM$2001&lt;=30)*(元データ!$E$2:$E$2001="20 確認待ち"))</f>
        <v>0</v>
      </c>
      <c r="BH90" s="60" t="str" cm="1">
        <f t="array" aca="1" ref="BH90" ca="1">IFERROR(_xlfn.TEXTJOIN(CHAR(10),TRUE,IF((元データ!$AL$2:$AL$2001=1)*(元データ!$AN$2:$AN$2001=1)*(元データ!$AE$2:$AE$2001=$C$90)*(元データ!$AO$2:$AO$2001=1)*(元データ!$AM$2:$AM$2001&gt;=22)*(元データ!$AM$2:$AM$2001&lt;=30)*(元データ!$E$2:$E$2001="20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0" s="60"/>
      <c r="BJ90" s="60"/>
      <c r="BK90" s="45">
        <f ca="1">SUMPRODUCT((元データ!$AL$2:$AL$2001=1)*(元データ!$AN$2:$AN$2001=1)*(元データ!$AE$2:$AE$2001=$C$90)*(元データ!$AO$2:$AO$2001=1)*(元データ!$AM$2:$AM$2001&gt;=22)*(元データ!$AM$2:$AM$2001&lt;=30)*(元データ!$E$2:$E$2001="30 申請受付"))</f>
        <v>0</v>
      </c>
      <c r="BL90" s="59" t="str" cm="1">
        <f t="array" aca="1" ref="BL90" ca="1">IFERROR(_xlfn.TEXTJOIN(CHAR(10),TRUE,IF((元データ!$AL$2:$AL$2001=1)*(元データ!$AN$2:$AN$2001=1)*(元データ!$AE$2:$AE$2001=$C$90)*(元データ!$AO$2:$AO$2001=1)*(元データ!$AM$2:$AM$2001&gt;=22)*(元データ!$AM$2:$AM$2001&lt;=30)*(元データ!$E$2:$E$2001="30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0" s="59"/>
      <c r="BN90" s="59"/>
      <c r="BO90" s="45">
        <f ca="1">SUMPRODUCT((元データ!$AL$2:$AL$2001=1)*(元データ!$AN$2:$AN$2001=1)*(元データ!$AE$2:$AE$2001=$C$90)*(元データ!$AO$2:$AO$2001=1)*(元データ!$AM$2:$AM$2001&gt;=22)*(元データ!$AM$2:$AM$2001&lt;=30)*(元データ!$E$2:$E$2001="31 ＯＰ確認中"))</f>
        <v>0</v>
      </c>
      <c r="BP90" s="59" t="str" cm="1">
        <f t="array" aca="1" ref="BP90" ca="1">IFERROR(_xlfn.TEXTJOIN(CHAR(10),TRUE,IF((元データ!$AL$2:$AL$2001=1)*(元データ!$AN$2:$AN$2001=1)*(元データ!$AE$2:$AE$2001=$C$90)*(元データ!$AO$2:$AO$2001=1)*(元データ!$AM$2:$AM$2001&gt;=22)*(元データ!$AM$2:$AM$2001&lt;=30)*(元データ!$E$2:$E$2001="31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0" s="59"/>
      <c r="BR90" s="59"/>
      <c r="BS90" s="45">
        <f ca="1">SUMPRODUCT((元データ!$AL$2:$AL$2001=1)*(元データ!$AN$2:$AN$2001=1)*(元データ!$AE$2:$AE$2001=$C$90)*(元データ!$AO$2:$AO$2001=1)*(元データ!$AM$2:$AM$2001&gt;=22)*(元データ!$AM$2:$AM$2001&lt;=30)*(元データ!$E$2:$E$2001="32 ＳＶ確認中"))</f>
        <v>0</v>
      </c>
      <c r="BT90" s="59" t="str" cm="1">
        <f t="array" aca="1" ref="BT90" ca="1">IFERROR(_xlfn.TEXTJOIN(CHAR(10),TRUE,IF((元データ!$AL$2:$AL$2001=1)*(元データ!$AN$2:$AN$2001=1)*(元データ!$AE$2:$AE$2001=$C$90)*(元データ!$AO$2:$AO$2001=1)*(元データ!$AM$2:$AM$2001&gt;=22)*(元データ!$AM$2:$AM$2001&lt;=30)*(元データ!$E$2:$E$2001="32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90" s="59">
        <f ca="1">SUMPRODUCT((元データ!$AL$2:$AL$2001=1)*(元データ!$AN$2:$AN$2001=1)*(元データ!$AE$2:$AE$2001=$C$90)*(元データ!$AO$2:$AO$2001=1)*(元データ!$AM$2:$AM$2001&gt;=22)*(元データ!$AM$2:$AM$2001&lt;=30)*(元データ!$E$2:$E$2001="40 差戻し"))</f>
        <v>0</v>
      </c>
      <c r="BV90" s="59" t="str" cm="1">
        <f t="array" aca="1" ref="BV90" ca="1">IFERROR(_xlfn.TEXTJOIN(CHAR(10),TRUE,IF((元データ!$AL$2:$AL$2001=1)*(元データ!$AN$2:$AN$2001=1)*(元データ!$AE$2:$AE$2001=$C$90)*(元データ!$AO$2:$AO$2001=1)*(元データ!$AM$2:$AM$2001&gt;=22)*(元データ!$AM$2:$AM$2001&lt;=30)*(元データ!$E$2:$E$2001="40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0" s="46">
        <f ca="1">SUMPRODUCT((元データ!$AL$2:$AL$2001=1)*(元データ!$AN$2:$AN$2001=1)*(元データ!$AE$2:$AE$2001=$C$90)*(元データ!$AO$2:$AO$2001=1)*(元データ!$AM$2:$AM$2001&gt;=31))</f>
        <v>2</v>
      </c>
      <c r="BX90" s="46">
        <f ca="1">SUMPRODUCT((元データ!$AL$2:$AL$2001=1)*(元データ!$AN$2:$AN$2001=1)*(元データ!$AE$2:$AE$2001=$C$90)*(元データ!$AO$2:$AO$2001=1)*(元データ!$AM$2:$AM$2001&gt;=31)*(元データ!$E$2:$E$2001="20 確認待ち"))</f>
        <v>2</v>
      </c>
      <c r="BY90" s="56" t="str" cm="1">
        <f t="array" aca="1" ref="BY90" ca="1">IFERROR(_xlfn.TEXTJOIN(CHAR(10),TRUE,IF((元データ!$AL$2:$AL$2001=1)*(元データ!$AN$2:$AN$2001=1)*(元データ!$AE$2:$AE$2001=$C$90)*(元データ!$AO$2:$AO$2001=1)*(元データ!$AM$2:$AM$2001&gt;=31)*(元データ!$E$2:$E$2001="20 確認待ち"),元データ!$A$2:$A$2001&amp;IF(元データ!$AP$2:$AP$2001&lt;&gt;"","（"&amp;MID(元データ!$AP$2:$AP$2001,2,100)&amp;")",""),"")),"")</f>
        <v>202660000834（確認事項)
202660001173（添待ち)</v>
      </c>
      <c r="BZ90" s="56"/>
      <c r="CA90" s="56"/>
      <c r="CB90" s="46">
        <f ca="1">SUMPRODUCT((元データ!$AL$2:$AL$2001=1)*(元データ!$AN$2:$AN$2001=1)*(元データ!$AE$2:$AE$2001=$C$90)*(元データ!$AO$2:$AO$2001=1)*(元データ!$AM$2:$AM$2001&gt;=31)*(元データ!$E$2:$E$2001="30 申請受付"))</f>
        <v>0</v>
      </c>
      <c r="CC90" s="56" t="str" cm="1">
        <f t="array" aca="1" ref="CC90" ca="1">IFERROR(_xlfn.TEXTJOIN(CHAR(10),TRUE,IF((元データ!$AL$2:$AL$2001=1)*(元データ!$AN$2:$AN$2001=1)*(元データ!$AE$2:$AE$2001=$C$90)*(元データ!$AO$2:$AO$2001=1)*(元データ!$AM$2:$AM$2001&gt;=31)*(元データ!$E$2:$E$2001="30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90" s="56"/>
      <c r="CE90" s="56"/>
      <c r="CF90" s="46">
        <f ca="1">SUMPRODUCT((元データ!$AL$2:$AL$2001=1)*(元データ!$AN$2:$AN$2001=1)*(元データ!$AE$2:$AE$2001=$C$90)*(元データ!$AO$2:$AO$2001=1)*(元データ!$AM$2:$AM$2001&gt;=31)*(元データ!$E$2:$E$2001="31 ＯＰ確認中"))</f>
        <v>0</v>
      </c>
      <c r="CG90" s="56" t="str" cm="1">
        <f t="array" aca="1" ref="CG90" ca="1">IFERROR(_xlfn.TEXTJOIN(CHAR(10),TRUE,IF((元データ!$AL$2:$AL$2001=1)*(元データ!$AN$2:$AN$2001=1)*(元データ!$AE$2:$AE$2001=$C$90)*(元データ!$AO$2:$AO$2001=1)*(元データ!$AM$2:$AM$2001&gt;=31)*(元データ!$E$2:$E$2001="31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90" s="56"/>
      <c r="CI90" s="56"/>
      <c r="CJ90" s="46">
        <f ca="1">SUMPRODUCT((元データ!$AL$2:$AL$2001=1)*(元データ!$AN$2:$AN$2001=1)*(元データ!$AE$2:$AE$2001=$C$90)*(元データ!$AO$2:$AO$2001=1)*(元データ!$AM$2:$AM$2001&gt;=31)*(元データ!$E$2:$E$2001="32 ＳＶ確認中"))</f>
        <v>0</v>
      </c>
      <c r="CK90" s="56" t="str" cm="1">
        <f t="array" aca="1" ref="CK90" ca="1">IFERROR(_xlfn.TEXTJOIN(CHAR(10),TRUE,IF((元データ!$AL$2:$AL$2001=1)*(元データ!$AN$2:$AN$2001=1)*(元データ!$AE$2:$AE$2001=$C$90)*(元データ!$AO$2:$AO$2001=1)*(元データ!$AM$2:$AM$2001&gt;=31)*(元データ!$E$2:$E$2001="32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90" s="56">
        <f ca="1">SUMPRODUCT((元データ!$AL$2:$AL$2001=1)*(元データ!$AN$2:$AN$2001=1)*(元データ!$AE$2:$AE$2001=$C$90)*(元データ!$AO$2:$AO$2001=1)*(元データ!$AM$2:$AM$2001&gt;=31)*(元データ!$E$2:$E$2001="40 差戻し"))</f>
        <v>0</v>
      </c>
      <c r="CM90" s="56" t="str" cm="1">
        <f t="array" aca="1" ref="CM90" ca="1">IFERROR(_xlfn.TEXTJOIN(CHAR(10),TRUE,IF((元データ!$AL$2:$AL$2001=1)*(元データ!$AN$2:$AN$2001=1)*(元データ!$AE$2:$AE$2001=$C$90)*(元データ!$AO$2:$AO$2001=1)*(元データ!$AM$2:$AM$2001&gt;=31)*(元データ!$E$2:$E$2001="40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91" spans="2:91" ht="24.95" customHeight="1">
      <c r="B91" s="92"/>
      <c r="C91" s="63"/>
      <c r="D91" s="63"/>
      <c r="E91" s="47" t="s">
        <v>134</v>
      </c>
      <c r="F91" s="48">
        <f>SUMPRODUCT((元データ!$AL$2:$AL$2001=1)*(元データ!$AN$2:$AN$2001=1)*(元データ!$AE$2:$AE$2001=$C$90)*(元データ!$AO$2:$AO$2001=0))</f>
        <v>1</v>
      </c>
      <c r="G91" s="49">
        <f ca="1">SUMPRODUCT((元データ!$AL$2:$AL$2001=1)*(元データ!$AN$2:$AN$2001=1)*(元データ!$AE$2:$AE$2001=$C$90)*(元データ!$AO$2:$AO$2001=0)*(元データ!$AM$2:$AM$2001&lt;=7))</f>
        <v>0</v>
      </c>
      <c r="H91" s="49">
        <f ca="1">SUMPRODUCT((元データ!$AL$2:$AL$2001=1)*(元データ!$AN$2:$AN$2001=1)*(元データ!$AE$2:$AE$2001=$C$90)*(元データ!$AO$2:$AO$2001=0)*(元データ!$AM$2:$AM$2001&lt;=7)*(元データ!$E$2:$E$2001="20 確認待ち"))</f>
        <v>0</v>
      </c>
      <c r="I91" s="57" t="str" cm="1">
        <f t="array" aca="1" ref="I91" ca="1">IFERROR(_xlfn.TEXTJOIN(CHAR(10),TRUE,IF((元データ!$AL$2:$AL$2001=1)*(元データ!$AN$2:$AN$2001=1)*(元データ!$AE$2:$AE$2001=$C$90)*(元データ!$AO$2:$AO$2001=0)*(元データ!$AM$2:$AM$2001&lt;=7)*(元データ!$E$2:$E$2001="20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91" s="57"/>
      <c r="K91" s="57"/>
      <c r="L91" s="49">
        <f ca="1">SUMPRODUCT((元データ!$AL$2:$AL$2001=1)*(元データ!$AN$2:$AN$2001=1)*(元データ!$AE$2:$AE$2001=$C$90)*(元データ!$AO$2:$AO$2001=0)*(元データ!$AM$2:$AM$2001&lt;=7)*(元データ!$E$2:$E$2001="30 申請受付"))</f>
        <v>0</v>
      </c>
      <c r="M91" s="57" t="str" cm="1">
        <f t="array" aca="1" ref="M91" ca="1">IFERROR(_xlfn.TEXTJOIN(CHAR(10),TRUE,IF((元データ!$AL$2:$AL$2001=1)*(元データ!$AN$2:$AN$2001=1)*(元データ!$AE$2:$AE$2001=$C$90)*(元データ!$AO$2:$AO$2001=0)*(元データ!$AM$2:$AM$2001&lt;=7)*(元データ!$E$2:$E$2001="30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91" s="57"/>
      <c r="O91" s="57"/>
      <c r="P91" s="49">
        <f ca="1">SUMPRODUCT((元データ!$AL$2:$AL$2001=1)*(元データ!$AN$2:$AN$2001=1)*(元データ!$AE$2:$AE$2001=$C$90)*(元データ!$AO$2:$AO$2001=0)*(元データ!$AM$2:$AM$2001&lt;=7)*(元データ!$E$2:$E$2001="31 ＯＰ確認中"))</f>
        <v>0</v>
      </c>
      <c r="Q91" s="57" t="str" cm="1">
        <f t="array" aca="1" ref="Q91" ca="1">IFERROR(_xlfn.TEXTJOIN(CHAR(10),TRUE,IF((元データ!$AL$2:$AL$2001=1)*(元データ!$AN$2:$AN$2001=1)*(元データ!$AE$2:$AE$2001=$C$90)*(元データ!$AO$2:$AO$2001=0)*(元データ!$AM$2:$AM$2001&lt;=7)*(元データ!$E$2:$E$2001="31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91" s="57"/>
      <c r="S91" s="57"/>
      <c r="T91" s="49">
        <f ca="1">SUMPRODUCT((元データ!$AL$2:$AL$2001=1)*(元データ!$AN$2:$AN$2001=1)*(元データ!$AE$2:$AE$2001=$C$90)*(元データ!$AO$2:$AO$2001=0)*(元データ!$AM$2:$AM$2001&lt;=7)*(元データ!$E$2:$E$2001="32 ＳＶ確認中"))</f>
        <v>0</v>
      </c>
      <c r="U91" s="57" t="str" cm="1">
        <f t="array" aca="1" ref="U91" ca="1">IFERROR(_xlfn.TEXTJOIN(CHAR(10),TRUE,IF((元データ!$AL$2:$AL$2001=1)*(元データ!$AN$2:$AN$2001=1)*(元データ!$AE$2:$AE$2001=$C$90)*(元データ!$AO$2:$AO$2001=0)*(元データ!$AM$2:$AM$2001&lt;=7)*(元データ!$E$2:$E$2001="32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91" s="57"/>
      <c r="W91" s="57"/>
      <c r="X91" s="49">
        <f ca="1">SUMPRODUCT((元データ!$AL$2:$AL$2001=1)*(元データ!$AN$2:$AN$2001=1)*(元データ!$AE$2:$AE$2001=$C$90)*(元データ!$AO$2:$AO$2001=0)*(元データ!$AM$2:$AM$2001&gt;=8)*(元データ!$AM$2:$AM$2001&lt;=14))</f>
        <v>0</v>
      </c>
      <c r="Y91" s="49">
        <f ca="1">SUMPRODUCT((元データ!$AL$2:$AL$2001=1)*(元データ!$AN$2:$AN$2001=1)*(元データ!$AE$2:$AE$2001=$C$90)*(元データ!$AO$2:$AO$2001=0)*(元データ!$AM$2:$AM$2001&gt;=8)*(元データ!$AM$2:$AM$2001&lt;=14)*(元データ!$E$2:$E$2001="20 確認待ち"))</f>
        <v>0</v>
      </c>
      <c r="Z91" s="57" t="str" cm="1">
        <f t="array" aca="1" ref="Z91" ca="1">IFERROR(_xlfn.TEXTJOIN(CHAR(10),TRUE,IF((元データ!$AL$2:$AL$2001=1)*(元データ!$AN$2:$AN$2001=1)*(元データ!$AE$2:$AE$2001=$C$90)*(元データ!$AO$2:$AO$2001=0)*(元データ!$AM$2:$AM$2001&gt;=8)*(元データ!$AM$2:$AM$2001&lt;=14)*(元データ!$E$2:$E$2001="20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1" s="57"/>
      <c r="AB91" s="57"/>
      <c r="AC91" s="49">
        <f ca="1">SUMPRODUCT((元データ!$AL$2:$AL$2001=1)*(元データ!$AN$2:$AN$2001=1)*(元データ!$AE$2:$AE$2001=$C$90)*(元データ!$AO$2:$AO$2001=0)*(元データ!$AM$2:$AM$2001&gt;=8)*(元データ!$AM$2:$AM$2001&lt;=14)*(元データ!$E$2:$E$2001="30 申請受付"))</f>
        <v>0</v>
      </c>
      <c r="AD91" s="57" t="str" cm="1">
        <f t="array" aca="1" ref="AD91" ca="1">IFERROR(_xlfn.TEXTJOIN(CHAR(10),TRUE,IF((元データ!$AL$2:$AL$2001=1)*(元データ!$AN$2:$AN$2001=1)*(元データ!$AE$2:$AE$2001=$C$90)*(元データ!$AO$2:$AO$2001=0)*(元データ!$AM$2:$AM$2001&gt;=8)*(元データ!$AM$2:$AM$2001&lt;=14)*(元データ!$E$2:$E$2001="30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1" s="57"/>
      <c r="AF91" s="57"/>
      <c r="AG91" s="49">
        <f ca="1">SUMPRODUCT((元データ!$AL$2:$AL$2001=1)*(元データ!$AN$2:$AN$2001=1)*(元データ!$AE$2:$AE$2001=$C$90)*(元データ!$AO$2:$AO$2001=0)*(元データ!$AM$2:$AM$2001&gt;=8)*(元データ!$AM$2:$AM$2001&lt;=14)*(元データ!$E$2:$E$2001="31 ＯＰ確認中"))</f>
        <v>0</v>
      </c>
      <c r="AH91" s="57" t="str" cm="1">
        <f t="array" aca="1" ref="AH91" ca="1">IFERROR(_xlfn.TEXTJOIN(CHAR(10),TRUE,IF((元データ!$AL$2:$AL$2001=1)*(元データ!$AN$2:$AN$2001=1)*(元データ!$AE$2:$AE$2001=$C$90)*(元データ!$AO$2:$AO$2001=0)*(元データ!$AM$2:$AM$2001&gt;=8)*(元データ!$AM$2:$AM$2001&lt;=14)*(元データ!$E$2:$E$2001="31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1" s="57"/>
      <c r="AJ91" s="57"/>
      <c r="AK91" s="49">
        <f ca="1">SUMPRODUCT((元データ!$AL$2:$AL$2001=1)*(元データ!$AN$2:$AN$2001=1)*(元データ!$AE$2:$AE$2001=$C$90)*(元データ!$AO$2:$AO$2001=0)*(元データ!$AM$2:$AM$2001&gt;=8)*(元データ!$AM$2:$AM$2001&lt;=14)*(元データ!$E$2:$E$2001="32 ＳＶ確認中"))</f>
        <v>0</v>
      </c>
      <c r="AL91" s="57" t="str" cm="1">
        <f t="array" aca="1" ref="AL91" ca="1">IFERROR(_xlfn.TEXTJOIN(CHAR(10),TRUE,IF((元データ!$AL$2:$AL$2001=1)*(元データ!$AN$2:$AN$2001=1)*(元データ!$AE$2:$AE$2001=$C$90)*(元データ!$AO$2:$AO$2001=0)*(元データ!$AM$2:$AM$2001&gt;=8)*(元データ!$AM$2:$AM$2001&lt;=14)*(元データ!$E$2:$E$2001="32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1" s="57">
        <f ca="1">SUMPRODUCT((元データ!$AL$2:$AL$2001=1)*(元データ!$AN$2:$AN$2001=1)*(元データ!$AE$2:$AE$2001=$C$90)*(元データ!$AO$2:$AO$2001=0)*(元データ!$AM$2:$AM$2001&gt;=8)*(元データ!$AM$2:$AM$2001&lt;=14)*(元データ!$E$2:$E$2001="40 差戻し"))</f>
        <v>0</v>
      </c>
      <c r="AN91" s="57" t="str" cm="1">
        <f t="array" aca="1" ref="AN91" ca="1">IFERROR(_xlfn.TEXTJOIN(CHAR(10),TRUE,IF((元データ!$AL$2:$AL$2001=1)*(元データ!$AN$2:$AN$2001=1)*(元データ!$AE$2:$AE$2001=$C$90)*(元データ!$AO$2:$AO$2001=0)*(元データ!$AM$2:$AM$2001&gt;=8)*(元データ!$AM$2:$AM$2001&lt;=14)*(元データ!$E$2:$E$2001="40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1" s="44">
        <f ca="1">SUMPRODUCT((元データ!$AL$2:$AL$2001=1)*(元データ!$AN$2:$AN$2001=1)*(元データ!$AE$2:$AE$2001=$C$90)*(元データ!$AO$2:$AO$2001=0)*(元データ!$AM$2:$AM$2001&gt;=15)*(元データ!$AM$2:$AM$2001&lt;=21))</f>
        <v>0</v>
      </c>
      <c r="AP91" s="44">
        <f ca="1">SUMPRODUCT((元データ!$AL$2:$AL$2001=1)*(元データ!$AN$2:$AN$2001=1)*(元データ!$AE$2:$AE$2001=$C$90)*(元データ!$AO$2:$AO$2001=0)*(元データ!$AM$2:$AM$2001&gt;=15)*(元データ!$AM$2:$AM$2001&lt;=21)*(元データ!$E$2:$E$2001="20 確認待ち"))</f>
        <v>0</v>
      </c>
      <c r="AQ91" s="58" t="str" cm="1">
        <f t="array" aca="1" ref="AQ91" ca="1">IFERROR(_xlfn.TEXTJOIN(CHAR(10),TRUE,IF((元データ!$AL$2:$AL$2001=1)*(元データ!$AN$2:$AN$2001=1)*(元データ!$AE$2:$AE$2001=$C$90)*(元データ!$AO$2:$AO$2001=0)*(元データ!$AM$2:$AM$2001&gt;=15)*(元データ!$AM$2:$AM$2001&lt;=21)*(元データ!$E$2:$E$2001="20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1" s="58"/>
      <c r="AS91" s="58"/>
      <c r="AT91" s="44">
        <f ca="1">SUMPRODUCT((元データ!$AL$2:$AL$2001=1)*(元データ!$AN$2:$AN$2001=1)*(元データ!$AE$2:$AE$2001=$C$90)*(元データ!$AO$2:$AO$2001=0)*(元データ!$AM$2:$AM$2001&gt;=15)*(元データ!$AM$2:$AM$2001&lt;=21)*(元データ!$E$2:$E$2001="30 申請受付"))</f>
        <v>0</v>
      </c>
      <c r="AU91" s="58" t="str" cm="1">
        <f t="array" aca="1" ref="AU91" ca="1">IFERROR(_xlfn.TEXTJOIN(CHAR(10),TRUE,IF((元データ!$AL$2:$AL$2001=1)*(元データ!$AN$2:$AN$2001=1)*(元データ!$AE$2:$AE$2001=$C$90)*(元データ!$AO$2:$AO$2001=0)*(元データ!$AM$2:$AM$2001&gt;=15)*(元データ!$AM$2:$AM$2001&lt;=21)*(元データ!$E$2:$E$2001="30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1" s="58"/>
      <c r="AW91" s="58"/>
      <c r="AX91" s="44">
        <f ca="1">SUMPRODUCT((元データ!$AL$2:$AL$2001=1)*(元データ!$AN$2:$AN$2001=1)*(元データ!$AE$2:$AE$2001=$C$90)*(元データ!$AO$2:$AO$2001=0)*(元データ!$AM$2:$AM$2001&gt;=15)*(元データ!$AM$2:$AM$2001&lt;=21)*(元データ!$E$2:$E$2001="31 ＯＰ確認中"))</f>
        <v>0</v>
      </c>
      <c r="AY91" s="58" t="str" cm="1">
        <f t="array" aca="1" ref="AY91" ca="1">IFERROR(_xlfn.TEXTJOIN(CHAR(10),TRUE,IF((元データ!$AL$2:$AL$2001=1)*(元データ!$AN$2:$AN$2001=1)*(元データ!$AE$2:$AE$2001=$C$90)*(元データ!$AO$2:$AO$2001=0)*(元データ!$AM$2:$AM$2001&gt;=15)*(元データ!$AM$2:$AM$2001&lt;=21)*(元データ!$E$2:$E$2001="31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1" s="58"/>
      <c r="BA91" s="58"/>
      <c r="BB91" s="44">
        <f ca="1">SUMPRODUCT((元データ!$AL$2:$AL$2001=1)*(元データ!$AN$2:$AN$2001=1)*(元データ!$AE$2:$AE$2001=$C$90)*(元データ!$AO$2:$AO$2001=0)*(元データ!$AM$2:$AM$2001&gt;=15)*(元データ!$AM$2:$AM$2001&lt;=21)*(元データ!$E$2:$E$2001="32 ＳＶ確認中"))</f>
        <v>0</v>
      </c>
      <c r="BC91" s="58" t="str" cm="1">
        <f t="array" aca="1" ref="BC91" ca="1">IFERROR(_xlfn.TEXTJOIN(CHAR(10),TRUE,IF((元データ!$AL$2:$AL$2001=1)*(元データ!$AN$2:$AN$2001=1)*(元データ!$AE$2:$AE$2001=$C$90)*(元データ!$AO$2:$AO$2001=0)*(元データ!$AM$2:$AM$2001&gt;=15)*(元データ!$AM$2:$AM$2001&lt;=21)*(元データ!$E$2:$E$2001="32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1" s="58">
        <f ca="1">SUMPRODUCT((元データ!$AL$2:$AL$2001=1)*(元データ!$AN$2:$AN$2001=1)*(元データ!$AE$2:$AE$2001=$C$90)*(元データ!$AO$2:$AO$2001=0)*(元データ!$AM$2:$AM$2001&gt;=15)*(元データ!$AM$2:$AM$2001&lt;=21)*(元データ!$E$2:$E$2001="40 差戻し"))</f>
        <v>0</v>
      </c>
      <c r="BE91" s="58" t="str" cm="1">
        <f t="array" aca="1" ref="BE91" ca="1">IFERROR(_xlfn.TEXTJOIN(CHAR(10),TRUE,IF((元データ!$AL$2:$AL$2001=1)*(元データ!$AN$2:$AN$2001=1)*(元データ!$AE$2:$AE$2001=$C$90)*(元データ!$AO$2:$AO$2001=0)*(元データ!$AM$2:$AM$2001&gt;=15)*(元データ!$AM$2:$AM$2001&lt;=21)*(元データ!$E$2:$E$2001="40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1" s="45">
        <f ca="1">SUMPRODUCT((元データ!$AL$2:$AL$2001=1)*(元データ!$AN$2:$AN$2001=1)*(元データ!$AE$2:$AE$2001=$C$90)*(元データ!$AO$2:$AO$2001=0)*(元データ!$AM$2:$AM$2001&gt;=22)*(元データ!$AM$2:$AM$2001&lt;=30))</f>
        <v>1</v>
      </c>
      <c r="BG91" s="45">
        <f ca="1">SUMPRODUCT((元データ!$AL$2:$AL$2001=1)*(元データ!$AN$2:$AN$2001=1)*(元データ!$AE$2:$AE$2001=$C$90)*(元データ!$AO$2:$AO$2001=0)*(元データ!$AM$2:$AM$2001&gt;=22)*(元データ!$AM$2:$AM$2001&lt;=30)*(元データ!$E$2:$E$2001="20 確認待ち"))</f>
        <v>0</v>
      </c>
      <c r="BH91" s="59" t="str" cm="1">
        <f t="array" aca="1" ref="BH91" ca="1">IFERROR(_xlfn.TEXTJOIN(CHAR(10),TRUE,IF((元データ!$AL$2:$AL$2001=1)*(元データ!$AN$2:$AN$2001=1)*(元データ!$AE$2:$AE$2001=$C$90)*(元データ!$AO$2:$AO$2001=0)*(元データ!$AM$2:$AM$2001&gt;=22)*(元データ!$AM$2:$AM$2001&lt;=30)*(元データ!$E$2:$E$2001="20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1" s="59"/>
      <c r="BJ91" s="59"/>
      <c r="BK91" s="45">
        <f ca="1">SUMPRODUCT((元データ!$AL$2:$AL$2001=1)*(元データ!$AN$2:$AN$2001=1)*(元データ!$AE$2:$AE$2001=$C$90)*(元データ!$AO$2:$AO$2001=0)*(元データ!$AM$2:$AM$2001&gt;=22)*(元データ!$AM$2:$AM$2001&lt;=30)*(元データ!$E$2:$E$2001="30 申請受付"))</f>
        <v>0</v>
      </c>
      <c r="BL91" s="59" t="str" cm="1">
        <f t="array" aca="1" ref="BL91" ca="1">IFERROR(_xlfn.TEXTJOIN(CHAR(10),TRUE,IF((元データ!$AL$2:$AL$2001=1)*(元データ!$AN$2:$AN$2001=1)*(元データ!$AE$2:$AE$2001=$C$90)*(元データ!$AO$2:$AO$2001=0)*(元データ!$AM$2:$AM$2001&gt;=22)*(元データ!$AM$2:$AM$2001&lt;=30)*(元データ!$E$2:$E$2001="30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1" s="59"/>
      <c r="BN91" s="59"/>
      <c r="BO91" s="45">
        <f ca="1">SUMPRODUCT((元データ!$AL$2:$AL$2001=1)*(元データ!$AN$2:$AN$2001=1)*(元データ!$AE$2:$AE$2001=$C$90)*(元データ!$AO$2:$AO$2001=0)*(元データ!$AM$2:$AM$2001&gt;=22)*(元データ!$AM$2:$AM$2001&lt;=30)*(元データ!$E$2:$E$2001="31 ＯＰ確認中"))</f>
        <v>0</v>
      </c>
      <c r="BP91" s="59" t="str" cm="1">
        <f t="array" aca="1" ref="BP91" ca="1">IFERROR(_xlfn.TEXTJOIN(CHAR(10),TRUE,IF((元データ!$AL$2:$AL$2001=1)*(元データ!$AN$2:$AN$2001=1)*(元データ!$AE$2:$AE$2001=$C$90)*(元データ!$AO$2:$AO$2001=0)*(元データ!$AM$2:$AM$2001&gt;=22)*(元データ!$AM$2:$AM$2001&lt;=30)*(元データ!$E$2:$E$2001="31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1" s="59"/>
      <c r="BR91" s="59"/>
      <c r="BS91" s="45">
        <f ca="1">SUMPRODUCT((元データ!$AL$2:$AL$2001=1)*(元データ!$AN$2:$AN$2001=1)*(元データ!$AE$2:$AE$2001=$C$90)*(元データ!$AO$2:$AO$2001=0)*(元データ!$AM$2:$AM$2001&gt;=22)*(元データ!$AM$2:$AM$2001&lt;=30)*(元データ!$E$2:$E$2001="32 ＳＶ確認中"))</f>
        <v>1</v>
      </c>
      <c r="BT91" s="59" t="str" cm="1">
        <f t="array" aca="1" ref="BT91" ca="1">IFERROR(_xlfn.TEXTJOIN(CHAR(10),TRUE,IF((元データ!$AL$2:$AL$2001=1)*(元データ!$AN$2:$AN$2001=1)*(元データ!$AE$2:$AE$2001=$C$90)*(元データ!$AO$2:$AO$2001=0)*(元データ!$AM$2:$AM$2001&gt;=22)*(元データ!$AM$2:$AM$2001&lt;=30)*(元データ!$E$2:$E$2001="32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>202660001319</v>
      </c>
      <c r="BU91" s="59">
        <f ca="1">SUMPRODUCT((元データ!$AL$2:$AL$2001=1)*(元データ!$AN$2:$AN$2001=1)*(元データ!$AE$2:$AE$2001=$C$90)*(元データ!$AO$2:$AO$2001=0)*(元データ!$AM$2:$AM$2001&gt;=22)*(元データ!$AM$2:$AM$2001&lt;=30)*(元データ!$E$2:$E$2001="40 差戻し"))</f>
        <v>0</v>
      </c>
      <c r="BV91" s="59" t="str" cm="1">
        <f t="array" aca="1" ref="BV91" ca="1">IFERROR(_xlfn.TEXTJOIN(CHAR(10),TRUE,IF((元データ!$AL$2:$AL$2001=1)*(元データ!$AN$2:$AN$2001=1)*(元データ!$AE$2:$AE$2001=$C$90)*(元データ!$AO$2:$AO$2001=0)*(元データ!$AM$2:$AM$2001&gt;=22)*(元データ!$AM$2:$AM$2001&lt;=30)*(元データ!$E$2:$E$2001="40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1" s="46">
        <f ca="1">SUMPRODUCT((元データ!$AL$2:$AL$2001=1)*(元データ!$AN$2:$AN$2001=1)*(元データ!$AE$2:$AE$2001=$C$90)*(元データ!$AO$2:$AO$2001=0)*(元データ!$AM$2:$AM$2001&gt;=31))</f>
        <v>0</v>
      </c>
      <c r="BX91" s="46">
        <f ca="1">SUMPRODUCT((元データ!$AL$2:$AL$2001=1)*(元データ!$AN$2:$AN$2001=1)*(元データ!$AE$2:$AE$2001=$C$90)*(元データ!$AO$2:$AO$2001=0)*(元データ!$AM$2:$AM$2001&gt;=31)*(元データ!$E$2:$E$2001="20 確認待ち"))</f>
        <v>0</v>
      </c>
      <c r="BY91" s="56" t="str" cm="1">
        <f t="array" aca="1" ref="BY91" ca="1">IFERROR(_xlfn.TEXTJOIN(CHAR(10),TRUE,IF((元データ!$AL$2:$AL$2001=1)*(元データ!$AN$2:$AN$2001=1)*(元データ!$AE$2:$AE$2001=$C$90)*(元データ!$AO$2:$AO$2001=0)*(元データ!$AM$2:$AM$2001&gt;=31)*(元データ!$E$2:$E$2001="20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91" s="56"/>
      <c r="CA91" s="56"/>
      <c r="CB91" s="46">
        <f ca="1">SUMPRODUCT((元データ!$AL$2:$AL$2001=1)*(元データ!$AN$2:$AN$2001=1)*(元データ!$AE$2:$AE$2001=$C$90)*(元データ!$AO$2:$AO$2001=0)*(元データ!$AM$2:$AM$2001&gt;=31)*(元データ!$E$2:$E$2001="30 申請受付"))</f>
        <v>0</v>
      </c>
      <c r="CC91" s="56" t="str" cm="1">
        <f t="array" aca="1" ref="CC91" ca="1">IFERROR(_xlfn.TEXTJOIN(CHAR(10),TRUE,IF((元データ!$AL$2:$AL$2001=1)*(元データ!$AN$2:$AN$2001=1)*(元データ!$AE$2:$AE$2001=$C$90)*(元データ!$AO$2:$AO$2001=0)*(元データ!$AM$2:$AM$2001&gt;=31)*(元データ!$E$2:$E$2001="30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91" s="56"/>
      <c r="CE91" s="56"/>
      <c r="CF91" s="46">
        <f ca="1">SUMPRODUCT((元データ!$AL$2:$AL$2001=1)*(元データ!$AN$2:$AN$2001=1)*(元データ!$AE$2:$AE$2001=$C$90)*(元データ!$AO$2:$AO$2001=0)*(元データ!$AM$2:$AM$2001&gt;=31)*(元データ!$E$2:$E$2001="31 ＯＰ確認中"))</f>
        <v>0</v>
      </c>
      <c r="CG91" s="56" t="str" cm="1">
        <f t="array" aca="1" ref="CG91" ca="1">IFERROR(_xlfn.TEXTJOIN(CHAR(10),TRUE,IF((元データ!$AL$2:$AL$2001=1)*(元データ!$AN$2:$AN$2001=1)*(元データ!$AE$2:$AE$2001=$C$90)*(元データ!$AO$2:$AO$2001=0)*(元データ!$AM$2:$AM$2001&gt;=31)*(元データ!$E$2:$E$2001="31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91" s="56"/>
      <c r="CI91" s="56"/>
      <c r="CJ91" s="46">
        <f ca="1">SUMPRODUCT((元データ!$AL$2:$AL$2001=1)*(元データ!$AN$2:$AN$2001=1)*(元データ!$AE$2:$AE$2001=$C$90)*(元データ!$AO$2:$AO$2001=0)*(元データ!$AM$2:$AM$2001&gt;=31)*(元データ!$E$2:$E$2001="32 ＳＶ確認中"))</f>
        <v>0</v>
      </c>
      <c r="CK91" s="56" t="str" cm="1">
        <f t="array" aca="1" ref="CK91" ca="1">IFERROR(_xlfn.TEXTJOIN(CHAR(10),TRUE,IF((元データ!$AL$2:$AL$2001=1)*(元データ!$AN$2:$AN$2001=1)*(元データ!$AE$2:$AE$2001=$C$90)*(元データ!$AO$2:$AO$2001=0)*(元データ!$AM$2:$AM$2001&gt;=31)*(元データ!$E$2:$E$2001="32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91" s="56">
        <f ca="1">SUMPRODUCT((元データ!$AL$2:$AL$2001=1)*(元データ!$AN$2:$AN$2001=1)*(元データ!$AE$2:$AE$2001=$C$90)*(元データ!$AO$2:$AO$2001=0)*(元データ!$AM$2:$AM$2001&gt;=31)*(元データ!$E$2:$E$2001="40 差戻し"))</f>
        <v>0</v>
      </c>
      <c r="CM91" s="56" t="str" cm="1">
        <f t="array" aca="1" ref="CM91" ca="1">IFERROR(_xlfn.TEXTJOIN(CHAR(10),TRUE,IF((元データ!$AL$2:$AL$2001=1)*(元データ!$AN$2:$AN$2001=1)*(元データ!$AE$2:$AE$2001=$C$90)*(元データ!$AO$2:$AO$2001=0)*(元データ!$AM$2:$AM$2001&gt;=31)*(元データ!$E$2:$E$2001="40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92" spans="2:91" ht="24.95" customHeight="1">
      <c r="B92" s="91"/>
      <c r="C92" s="63" t="s">
        <v>65</v>
      </c>
      <c r="D92" s="63"/>
      <c r="E92" s="41" t="s">
        <v>133</v>
      </c>
      <c r="F92" s="42">
        <f>SUMPRODUCT((元データ!$AL$2:$AL$2001=1)*(元データ!$AN$2:$AN$2001=1)*(元データ!$AE$2:$AE$2001=$C$92)*(元データ!$AO$2:$AO$2001=1))</f>
        <v>6</v>
      </c>
      <c r="G92" s="43">
        <f ca="1">SUMPRODUCT((元データ!$AL$2:$AL$2001=1)*(元データ!$AN$2:$AN$2001=1)*(元データ!$AE$2:$AE$2001=$C$92)*(元データ!$AO$2:$AO$2001=1)*(元データ!$AM$2:$AM$2001&lt;=7))</f>
        <v>0</v>
      </c>
      <c r="H92" s="43">
        <f ca="1">SUMPRODUCT((元データ!$AL$2:$AL$2001=1)*(元データ!$AN$2:$AN$2001=1)*(元データ!$AE$2:$AE$2001=$C$92)*(元データ!$AO$2:$AO$2001=1)*(元データ!$AM$2:$AM$2001&lt;=7)*(元データ!$E$2:$E$2001="20 確認待ち"))</f>
        <v>0</v>
      </c>
      <c r="I92" s="61" t="str" cm="1">
        <f t="array" aca="1" ref="I92" ca="1">IFERROR(_xlfn.TEXTJOIN(CHAR(10),TRUE,IF((元データ!$AL$2:$AL$2001=1)*(元データ!$AN$2:$AN$2001=1)*(元データ!$AE$2:$AE$2001=$C$92)*(元データ!$AO$2:$AO$2001=1)*(元データ!$AM$2:$AM$2001&lt;=7)*(元データ!$E$2:$E$2001="20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92" s="61"/>
      <c r="K92" s="61"/>
      <c r="L92" s="43">
        <f ca="1">SUMPRODUCT((元データ!$AL$2:$AL$2001=1)*(元データ!$AN$2:$AN$2001=1)*(元データ!$AE$2:$AE$2001=$C$92)*(元データ!$AO$2:$AO$2001=1)*(元データ!$AM$2:$AM$2001&lt;=7)*(元データ!$E$2:$E$2001="30 申請受付"))</f>
        <v>0</v>
      </c>
      <c r="M92" s="61" t="str" cm="1">
        <f t="array" aca="1" ref="M92" ca="1">IFERROR(_xlfn.TEXTJOIN(CHAR(10),TRUE,IF((元データ!$AL$2:$AL$2001=1)*(元データ!$AN$2:$AN$2001=1)*(元データ!$AE$2:$AE$2001=$C$92)*(元データ!$AO$2:$AO$2001=1)*(元データ!$AM$2:$AM$2001&lt;=7)*(元データ!$E$2:$E$2001="30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92" s="61"/>
      <c r="O92" s="61"/>
      <c r="P92" s="43">
        <f ca="1">SUMPRODUCT((元データ!$AL$2:$AL$2001=1)*(元データ!$AN$2:$AN$2001=1)*(元データ!$AE$2:$AE$2001=$C$92)*(元データ!$AO$2:$AO$2001=1)*(元データ!$AM$2:$AM$2001&lt;=7)*(元データ!$E$2:$E$2001="31 ＯＰ確認中"))</f>
        <v>0</v>
      </c>
      <c r="Q92" s="61" t="str" cm="1">
        <f t="array" aca="1" ref="Q92" ca="1">IFERROR(_xlfn.TEXTJOIN(CHAR(10),TRUE,IF((元データ!$AL$2:$AL$2001=1)*(元データ!$AN$2:$AN$2001=1)*(元データ!$AE$2:$AE$2001=$C$92)*(元データ!$AO$2:$AO$2001=1)*(元データ!$AM$2:$AM$2001&lt;=7)*(元データ!$E$2:$E$2001="31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92" s="61"/>
      <c r="S92" s="61"/>
      <c r="T92" s="43">
        <f ca="1">SUMPRODUCT((元データ!$AL$2:$AL$2001=1)*(元データ!$AN$2:$AN$2001=1)*(元データ!$AE$2:$AE$2001=$C$92)*(元データ!$AO$2:$AO$2001=1)*(元データ!$AM$2:$AM$2001&lt;=7)*(元データ!$E$2:$E$2001="32 ＳＶ確認中"))</f>
        <v>0</v>
      </c>
      <c r="U92" s="61" t="str" cm="1">
        <f t="array" aca="1" ref="U92" ca="1">IFERROR(_xlfn.TEXTJOIN(CHAR(10),TRUE,IF((元データ!$AL$2:$AL$2001=1)*(元データ!$AN$2:$AN$2001=1)*(元データ!$AE$2:$AE$2001=$C$92)*(元データ!$AO$2:$AO$2001=1)*(元データ!$AM$2:$AM$2001&lt;=7)*(元データ!$E$2:$E$2001="32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92" s="61"/>
      <c r="W92" s="61"/>
      <c r="X92" s="43">
        <f ca="1">SUMPRODUCT((元データ!$AL$2:$AL$2001=1)*(元データ!$AN$2:$AN$2001=1)*(元データ!$AE$2:$AE$2001=$C$92)*(元データ!$AO$2:$AO$2001=1)*(元データ!$AM$2:$AM$2001&gt;=8)*(元データ!$AM$2:$AM$2001&lt;=14))</f>
        <v>0</v>
      </c>
      <c r="Y92" s="43">
        <f ca="1">SUMPRODUCT((元データ!$AL$2:$AL$2001=1)*(元データ!$AN$2:$AN$2001=1)*(元データ!$AE$2:$AE$2001=$C$92)*(元データ!$AO$2:$AO$2001=1)*(元データ!$AM$2:$AM$2001&gt;=8)*(元データ!$AM$2:$AM$2001&lt;=14)*(元データ!$E$2:$E$2001="20 確認待ち"))</f>
        <v>0</v>
      </c>
      <c r="Z92" s="61" t="str" cm="1">
        <f t="array" aca="1" ref="Z92" ca="1">IFERROR(_xlfn.TEXTJOIN(CHAR(10),TRUE,IF((元データ!$AL$2:$AL$2001=1)*(元データ!$AN$2:$AN$2001=1)*(元データ!$AE$2:$AE$2001=$C$92)*(元データ!$AO$2:$AO$2001=1)*(元データ!$AM$2:$AM$2001&gt;=8)*(元データ!$AM$2:$AM$2001&lt;=14)*(元データ!$E$2:$E$2001="20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2" s="61"/>
      <c r="AB92" s="61"/>
      <c r="AC92" s="43">
        <f ca="1">SUMPRODUCT((元データ!$AL$2:$AL$2001=1)*(元データ!$AN$2:$AN$2001=1)*(元データ!$AE$2:$AE$2001=$C$92)*(元データ!$AO$2:$AO$2001=1)*(元データ!$AM$2:$AM$2001&gt;=8)*(元データ!$AM$2:$AM$2001&lt;=14)*(元データ!$E$2:$E$2001="30 申請受付"))</f>
        <v>0</v>
      </c>
      <c r="AD92" s="61" t="str" cm="1">
        <f t="array" aca="1" ref="AD92" ca="1">IFERROR(_xlfn.TEXTJOIN(CHAR(10),TRUE,IF((元データ!$AL$2:$AL$2001=1)*(元データ!$AN$2:$AN$2001=1)*(元データ!$AE$2:$AE$2001=$C$92)*(元データ!$AO$2:$AO$2001=1)*(元データ!$AM$2:$AM$2001&gt;=8)*(元データ!$AM$2:$AM$2001&lt;=14)*(元データ!$E$2:$E$2001="30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2" s="61"/>
      <c r="AF92" s="61"/>
      <c r="AG92" s="43">
        <f ca="1">SUMPRODUCT((元データ!$AL$2:$AL$2001=1)*(元データ!$AN$2:$AN$2001=1)*(元データ!$AE$2:$AE$2001=$C$92)*(元データ!$AO$2:$AO$2001=1)*(元データ!$AM$2:$AM$2001&gt;=8)*(元データ!$AM$2:$AM$2001&lt;=14)*(元データ!$E$2:$E$2001="31 ＯＰ確認中"))</f>
        <v>0</v>
      </c>
      <c r="AH92" s="61" t="str" cm="1">
        <f t="array" aca="1" ref="AH92" ca="1">IFERROR(_xlfn.TEXTJOIN(CHAR(10),TRUE,IF((元データ!$AL$2:$AL$2001=1)*(元データ!$AN$2:$AN$2001=1)*(元データ!$AE$2:$AE$2001=$C$92)*(元データ!$AO$2:$AO$2001=1)*(元データ!$AM$2:$AM$2001&gt;=8)*(元データ!$AM$2:$AM$2001&lt;=14)*(元データ!$E$2:$E$2001="31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2" s="61"/>
      <c r="AJ92" s="61"/>
      <c r="AK92" s="43">
        <f ca="1">SUMPRODUCT((元データ!$AL$2:$AL$2001=1)*(元データ!$AN$2:$AN$2001=1)*(元データ!$AE$2:$AE$2001=$C$92)*(元データ!$AO$2:$AO$2001=1)*(元データ!$AM$2:$AM$2001&gt;=8)*(元データ!$AM$2:$AM$2001&lt;=14)*(元データ!$E$2:$E$2001="32 ＳＶ確認中"))</f>
        <v>0</v>
      </c>
      <c r="AL92" s="61" t="str" cm="1">
        <f t="array" aca="1" ref="AL92" ca="1">IFERROR(_xlfn.TEXTJOIN(CHAR(10),TRUE,IF((元データ!$AL$2:$AL$2001=1)*(元データ!$AN$2:$AN$2001=1)*(元データ!$AE$2:$AE$2001=$C$92)*(元データ!$AO$2:$AO$2001=1)*(元データ!$AM$2:$AM$2001&gt;=8)*(元データ!$AM$2:$AM$2001&lt;=14)*(元データ!$E$2:$E$2001="32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2" s="61">
        <f ca="1">SUMPRODUCT((元データ!$AL$2:$AL$2001=1)*(元データ!$AN$2:$AN$2001=1)*(元データ!$AE$2:$AE$2001=$C$92)*(元データ!$AO$2:$AO$2001=1)*(元データ!$AM$2:$AM$2001&gt;=8)*(元データ!$AM$2:$AM$2001&lt;=14)*(元データ!$E$2:$E$2001="40 差戻し"))</f>
        <v>0</v>
      </c>
      <c r="AN92" s="61" t="str" cm="1">
        <f t="array" aca="1" ref="AN92" ca="1">IFERROR(_xlfn.TEXTJOIN(CHAR(10),TRUE,IF((元データ!$AL$2:$AL$2001=1)*(元データ!$AN$2:$AN$2001=1)*(元データ!$AE$2:$AE$2001=$C$92)*(元データ!$AO$2:$AO$2001=1)*(元データ!$AM$2:$AM$2001&gt;=8)*(元データ!$AM$2:$AM$2001&lt;=14)*(元データ!$E$2:$E$2001="40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2" s="44">
        <f ca="1">SUMPRODUCT((元データ!$AL$2:$AL$2001=1)*(元データ!$AN$2:$AN$2001=1)*(元データ!$AE$2:$AE$2001=$C$92)*(元データ!$AO$2:$AO$2001=1)*(元データ!$AM$2:$AM$2001&gt;=15)*(元データ!$AM$2:$AM$2001&lt;=21))</f>
        <v>0</v>
      </c>
      <c r="AP92" s="44">
        <f ca="1">SUMPRODUCT((元データ!$AL$2:$AL$2001=1)*(元データ!$AN$2:$AN$2001=1)*(元データ!$AE$2:$AE$2001=$C$92)*(元データ!$AO$2:$AO$2001=1)*(元データ!$AM$2:$AM$2001&gt;=15)*(元データ!$AM$2:$AM$2001&lt;=21)*(元データ!$E$2:$E$2001="20 確認待ち"))</f>
        <v>0</v>
      </c>
      <c r="AQ92" s="58" t="str" cm="1">
        <f t="array" aca="1" ref="AQ92" ca="1">IFERROR(_xlfn.TEXTJOIN(CHAR(10),TRUE,IF((元データ!$AL$2:$AL$2001=1)*(元データ!$AN$2:$AN$2001=1)*(元データ!$AE$2:$AE$2001=$C$92)*(元データ!$AO$2:$AO$2001=1)*(元データ!$AM$2:$AM$2001&gt;=15)*(元データ!$AM$2:$AM$2001&lt;=21)*(元データ!$E$2:$E$2001="20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2" s="58"/>
      <c r="AS92" s="58"/>
      <c r="AT92" s="44">
        <f ca="1">SUMPRODUCT((元データ!$AL$2:$AL$2001=1)*(元データ!$AN$2:$AN$2001=1)*(元データ!$AE$2:$AE$2001=$C$92)*(元データ!$AO$2:$AO$2001=1)*(元データ!$AM$2:$AM$2001&gt;=15)*(元データ!$AM$2:$AM$2001&lt;=21)*(元データ!$E$2:$E$2001="30 申請受付"))</f>
        <v>0</v>
      </c>
      <c r="AU92" s="58" t="str" cm="1">
        <f t="array" aca="1" ref="AU92" ca="1">IFERROR(_xlfn.TEXTJOIN(CHAR(10),TRUE,IF((元データ!$AL$2:$AL$2001=1)*(元データ!$AN$2:$AN$2001=1)*(元データ!$AE$2:$AE$2001=$C$92)*(元データ!$AO$2:$AO$2001=1)*(元データ!$AM$2:$AM$2001&gt;=15)*(元データ!$AM$2:$AM$2001&lt;=21)*(元データ!$E$2:$E$2001="30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2" s="58"/>
      <c r="AW92" s="58"/>
      <c r="AX92" s="44">
        <f ca="1">SUMPRODUCT((元データ!$AL$2:$AL$2001=1)*(元データ!$AN$2:$AN$2001=1)*(元データ!$AE$2:$AE$2001=$C$92)*(元データ!$AO$2:$AO$2001=1)*(元データ!$AM$2:$AM$2001&gt;=15)*(元データ!$AM$2:$AM$2001&lt;=21)*(元データ!$E$2:$E$2001="31 ＯＰ確認中"))</f>
        <v>0</v>
      </c>
      <c r="AY92" s="58" t="str" cm="1">
        <f t="array" aca="1" ref="AY92" ca="1">IFERROR(_xlfn.TEXTJOIN(CHAR(10),TRUE,IF((元データ!$AL$2:$AL$2001=1)*(元データ!$AN$2:$AN$2001=1)*(元データ!$AE$2:$AE$2001=$C$92)*(元データ!$AO$2:$AO$2001=1)*(元データ!$AM$2:$AM$2001&gt;=15)*(元データ!$AM$2:$AM$2001&lt;=21)*(元データ!$E$2:$E$2001="31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2" s="58"/>
      <c r="BA92" s="58"/>
      <c r="BB92" s="44">
        <f ca="1">SUMPRODUCT((元データ!$AL$2:$AL$2001=1)*(元データ!$AN$2:$AN$2001=1)*(元データ!$AE$2:$AE$2001=$C$92)*(元データ!$AO$2:$AO$2001=1)*(元データ!$AM$2:$AM$2001&gt;=15)*(元データ!$AM$2:$AM$2001&lt;=21)*(元データ!$E$2:$E$2001="32 ＳＶ確認中"))</f>
        <v>0</v>
      </c>
      <c r="BC92" s="58" t="str" cm="1">
        <f t="array" aca="1" ref="BC92" ca="1">IFERROR(_xlfn.TEXTJOIN(CHAR(10),TRUE,IF((元データ!$AL$2:$AL$2001=1)*(元データ!$AN$2:$AN$2001=1)*(元データ!$AE$2:$AE$2001=$C$92)*(元データ!$AO$2:$AO$2001=1)*(元データ!$AM$2:$AM$2001&gt;=15)*(元データ!$AM$2:$AM$2001&lt;=21)*(元データ!$E$2:$E$2001="32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2" s="58">
        <f ca="1">SUMPRODUCT((元データ!$AL$2:$AL$2001=1)*(元データ!$AN$2:$AN$2001=1)*(元データ!$AE$2:$AE$2001=$C$92)*(元データ!$AO$2:$AO$2001=1)*(元データ!$AM$2:$AM$2001&gt;=15)*(元データ!$AM$2:$AM$2001&lt;=21)*(元データ!$E$2:$E$2001="40 差戻し"))</f>
        <v>0</v>
      </c>
      <c r="BE92" s="58" t="str" cm="1">
        <f t="array" aca="1" ref="BE92" ca="1">IFERROR(_xlfn.TEXTJOIN(CHAR(10),TRUE,IF((元データ!$AL$2:$AL$2001=1)*(元データ!$AN$2:$AN$2001=1)*(元データ!$AE$2:$AE$2001=$C$92)*(元データ!$AO$2:$AO$2001=1)*(元データ!$AM$2:$AM$2001&gt;=15)*(元データ!$AM$2:$AM$2001&lt;=21)*(元データ!$E$2:$E$2001="40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2" s="45">
        <f ca="1">SUMPRODUCT((元データ!$AL$2:$AL$2001=1)*(元データ!$AN$2:$AN$2001=1)*(元データ!$AE$2:$AE$2001=$C$92)*(元データ!$AO$2:$AO$2001=1)*(元データ!$AM$2:$AM$2001&gt;=22)*(元データ!$AM$2:$AM$2001&lt;=30))</f>
        <v>0</v>
      </c>
      <c r="BG92" s="45">
        <f ca="1">SUMPRODUCT((元データ!$AL$2:$AL$2001=1)*(元データ!$AN$2:$AN$2001=1)*(元データ!$AE$2:$AE$2001=$C$92)*(元データ!$AO$2:$AO$2001=1)*(元データ!$AM$2:$AM$2001&gt;=22)*(元データ!$AM$2:$AM$2001&lt;=30)*(元データ!$E$2:$E$2001="20 確認待ち"))</f>
        <v>0</v>
      </c>
      <c r="BH92" s="60" t="str" cm="1">
        <f t="array" aca="1" ref="BH92" ca="1">IFERROR(_xlfn.TEXTJOIN(CHAR(10),TRUE,IF((元データ!$AL$2:$AL$2001=1)*(元データ!$AN$2:$AN$2001=1)*(元データ!$AE$2:$AE$2001=$C$92)*(元データ!$AO$2:$AO$2001=1)*(元データ!$AM$2:$AM$2001&gt;=22)*(元データ!$AM$2:$AM$2001&lt;=30)*(元データ!$E$2:$E$2001="20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2" s="60"/>
      <c r="BJ92" s="60"/>
      <c r="BK92" s="45">
        <f ca="1">SUMPRODUCT((元データ!$AL$2:$AL$2001=1)*(元データ!$AN$2:$AN$2001=1)*(元データ!$AE$2:$AE$2001=$C$92)*(元データ!$AO$2:$AO$2001=1)*(元データ!$AM$2:$AM$2001&gt;=22)*(元データ!$AM$2:$AM$2001&lt;=30)*(元データ!$E$2:$E$2001="30 申請受付"))</f>
        <v>0</v>
      </c>
      <c r="BL92" s="59" t="str" cm="1">
        <f t="array" aca="1" ref="BL92" ca="1">IFERROR(_xlfn.TEXTJOIN(CHAR(10),TRUE,IF((元データ!$AL$2:$AL$2001=1)*(元データ!$AN$2:$AN$2001=1)*(元データ!$AE$2:$AE$2001=$C$92)*(元データ!$AO$2:$AO$2001=1)*(元データ!$AM$2:$AM$2001&gt;=22)*(元データ!$AM$2:$AM$2001&lt;=30)*(元データ!$E$2:$E$2001="30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2" s="59"/>
      <c r="BN92" s="59"/>
      <c r="BO92" s="45">
        <f ca="1">SUMPRODUCT((元データ!$AL$2:$AL$2001=1)*(元データ!$AN$2:$AN$2001=1)*(元データ!$AE$2:$AE$2001=$C$92)*(元データ!$AO$2:$AO$2001=1)*(元データ!$AM$2:$AM$2001&gt;=22)*(元データ!$AM$2:$AM$2001&lt;=30)*(元データ!$E$2:$E$2001="31 ＯＰ確認中"))</f>
        <v>0</v>
      </c>
      <c r="BP92" s="59" t="str" cm="1">
        <f t="array" aca="1" ref="BP92" ca="1">IFERROR(_xlfn.TEXTJOIN(CHAR(10),TRUE,IF((元データ!$AL$2:$AL$2001=1)*(元データ!$AN$2:$AN$2001=1)*(元データ!$AE$2:$AE$2001=$C$92)*(元データ!$AO$2:$AO$2001=1)*(元データ!$AM$2:$AM$2001&gt;=22)*(元データ!$AM$2:$AM$2001&lt;=30)*(元データ!$E$2:$E$2001="31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2" s="59"/>
      <c r="BR92" s="59"/>
      <c r="BS92" s="45">
        <f ca="1">SUMPRODUCT((元データ!$AL$2:$AL$2001=1)*(元データ!$AN$2:$AN$2001=1)*(元データ!$AE$2:$AE$2001=$C$92)*(元データ!$AO$2:$AO$2001=1)*(元データ!$AM$2:$AM$2001&gt;=22)*(元データ!$AM$2:$AM$2001&lt;=30)*(元データ!$E$2:$E$2001="32 ＳＶ確認中"))</f>
        <v>0</v>
      </c>
      <c r="BT92" s="59" t="str" cm="1">
        <f t="array" aca="1" ref="BT92" ca="1">IFERROR(_xlfn.TEXTJOIN(CHAR(10),TRUE,IF((元データ!$AL$2:$AL$2001=1)*(元データ!$AN$2:$AN$2001=1)*(元データ!$AE$2:$AE$2001=$C$92)*(元データ!$AO$2:$AO$2001=1)*(元データ!$AM$2:$AM$2001&gt;=22)*(元データ!$AM$2:$AM$2001&lt;=30)*(元データ!$E$2:$E$2001="32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92" s="59">
        <f ca="1">SUMPRODUCT((元データ!$AL$2:$AL$2001=1)*(元データ!$AN$2:$AN$2001=1)*(元データ!$AE$2:$AE$2001=$C$92)*(元データ!$AO$2:$AO$2001=1)*(元データ!$AM$2:$AM$2001&gt;=22)*(元データ!$AM$2:$AM$2001&lt;=30)*(元データ!$E$2:$E$2001="40 差戻し"))</f>
        <v>0</v>
      </c>
      <c r="BV92" s="59" t="str" cm="1">
        <f t="array" aca="1" ref="BV92" ca="1">IFERROR(_xlfn.TEXTJOIN(CHAR(10),TRUE,IF((元データ!$AL$2:$AL$2001=1)*(元データ!$AN$2:$AN$2001=1)*(元データ!$AE$2:$AE$2001=$C$92)*(元データ!$AO$2:$AO$2001=1)*(元データ!$AM$2:$AM$2001&gt;=22)*(元データ!$AM$2:$AM$2001&lt;=30)*(元データ!$E$2:$E$2001="40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2" s="46">
        <f ca="1">SUMPRODUCT((元データ!$AL$2:$AL$2001=1)*(元データ!$AN$2:$AN$2001=1)*(元データ!$AE$2:$AE$2001=$C$92)*(元データ!$AO$2:$AO$2001=1)*(元データ!$AM$2:$AM$2001&gt;=31))</f>
        <v>6</v>
      </c>
      <c r="BX92" s="46">
        <f ca="1">SUMPRODUCT((元データ!$AL$2:$AL$2001=1)*(元データ!$AN$2:$AN$2001=1)*(元データ!$AE$2:$AE$2001=$C$92)*(元データ!$AO$2:$AO$2001=1)*(元データ!$AM$2:$AM$2001&gt;=31)*(元データ!$E$2:$E$2001="20 確認待ち"))</f>
        <v>1</v>
      </c>
      <c r="BY92" s="56" t="str" cm="1">
        <f t="array" aca="1" ref="BY92" ca="1">IFERROR(_xlfn.TEXTJOIN(CHAR(10),TRUE,IF((元データ!$AL$2:$AL$2001=1)*(元データ!$AN$2:$AN$2001=1)*(元データ!$AE$2:$AE$2001=$C$92)*(元データ!$AO$2:$AO$2001=1)*(元データ!$AM$2:$AM$2001&gt;=31)*(元データ!$E$2:$E$2001="20 確認待ち"),元データ!$A$2:$A$2001&amp;IF(元データ!$AP$2:$AP$2001&lt;&gt;"","（"&amp;MID(元データ!$AP$2:$AP$2001,2,100)&amp;")",""),"")),"")</f>
        <v>202060002466（発信・削除)</v>
      </c>
      <c r="BZ92" s="56"/>
      <c r="CA92" s="56"/>
      <c r="CB92" s="46">
        <f ca="1">SUMPRODUCT((元データ!$AL$2:$AL$2001=1)*(元データ!$AN$2:$AN$2001=1)*(元データ!$AE$2:$AE$2001=$C$92)*(元データ!$AO$2:$AO$2001=1)*(元データ!$AM$2:$AM$2001&gt;=31)*(元データ!$E$2:$E$2001="30 申請受付"))</f>
        <v>0</v>
      </c>
      <c r="CC92" s="56" t="str" cm="1">
        <f t="array" aca="1" ref="CC92" ca="1">IFERROR(_xlfn.TEXTJOIN(CHAR(10),TRUE,IF((元データ!$AL$2:$AL$2001=1)*(元データ!$AN$2:$AN$2001=1)*(元データ!$AE$2:$AE$2001=$C$92)*(元データ!$AO$2:$AO$2001=1)*(元データ!$AM$2:$AM$2001&gt;=31)*(元データ!$E$2:$E$2001="30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92" s="56"/>
      <c r="CE92" s="56"/>
      <c r="CF92" s="46">
        <f ca="1">SUMPRODUCT((元データ!$AL$2:$AL$2001=1)*(元データ!$AN$2:$AN$2001=1)*(元データ!$AE$2:$AE$2001=$C$92)*(元データ!$AO$2:$AO$2001=1)*(元データ!$AM$2:$AM$2001&gt;=31)*(元データ!$E$2:$E$2001="31 ＯＰ確認中"))</f>
        <v>0</v>
      </c>
      <c r="CG92" s="56" t="str" cm="1">
        <f t="array" aca="1" ref="CG92" ca="1">IFERROR(_xlfn.TEXTJOIN(CHAR(10),TRUE,IF((元データ!$AL$2:$AL$2001=1)*(元データ!$AN$2:$AN$2001=1)*(元データ!$AE$2:$AE$2001=$C$92)*(元データ!$AO$2:$AO$2001=1)*(元データ!$AM$2:$AM$2001&gt;=31)*(元データ!$E$2:$E$2001="31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92" s="56"/>
      <c r="CI92" s="56"/>
      <c r="CJ92" s="46">
        <f ca="1">SUMPRODUCT((元データ!$AL$2:$AL$2001=1)*(元データ!$AN$2:$AN$2001=1)*(元データ!$AE$2:$AE$2001=$C$92)*(元データ!$AO$2:$AO$2001=1)*(元データ!$AM$2:$AM$2001&gt;=31)*(元データ!$E$2:$E$2001="32 ＳＶ確認中"))</f>
        <v>2</v>
      </c>
      <c r="CK92" s="56" t="str" cm="1">
        <f t="array" aca="1" ref="CK92" ca="1">IFERROR(_xlfn.TEXTJOIN(CHAR(10),TRUE,IF((元データ!$AL$2:$AL$2001=1)*(元データ!$AN$2:$AN$2001=1)*(元データ!$AE$2:$AE$2001=$C$92)*(元データ!$AO$2:$AO$2001=1)*(元データ!$AM$2:$AM$2001&gt;=31)*(元データ!$E$2:$E$2001="32 ＳＶ確認中"),元データ!$A$2:$A$2001&amp;IF(元データ!$AP$2:$AP$2001&lt;&gt;"","（"&amp;MID(元データ!$AP$2:$AP$2001,2,100)&amp;")",""),"")),"")</f>
        <v>202560002767（添待ち)
202660000762（発信・SV)</v>
      </c>
      <c r="CL92" s="56">
        <f ca="1">SUMPRODUCT((元データ!$AL$2:$AL$2001=1)*(元データ!$AN$2:$AN$2001=1)*(元データ!$AE$2:$AE$2001=$C$92)*(元データ!$AO$2:$AO$2001=1)*(元データ!$AM$2:$AM$2001&gt;=31)*(元データ!$E$2:$E$2001="40 差戻し"))</f>
        <v>3</v>
      </c>
      <c r="CM92" s="56" t="str" cm="1">
        <f t="array" aca="1" ref="CM92" ca="1">IFERROR(_xlfn.TEXTJOIN(CHAR(10),TRUE,IF((元データ!$AL$2:$AL$2001=1)*(元データ!$AN$2:$AN$2001=1)*(元データ!$AE$2:$AE$2001=$C$92)*(元データ!$AO$2:$AO$2001=1)*(元データ!$AM$2:$AM$2001&gt;=31)*(元データ!$E$2:$E$2001="40 差戻し"),元データ!$A$2:$A$2001&amp;IF(元データ!$AP$2:$AP$2001&lt;&gt;"","（"&amp;MID(元データ!$AP$2:$AP$2001,2,100)&amp;")",""),"")),"")</f>
        <v>202060001460（添待ち)
202660000682（添待ち)
202660001171（添待ち)</v>
      </c>
    </row>
    <row r="93" spans="2:91" ht="24.95" customHeight="1">
      <c r="B93" s="92"/>
      <c r="C93" s="63"/>
      <c r="D93" s="63"/>
      <c r="E93" s="47" t="s">
        <v>134</v>
      </c>
      <c r="F93" s="48">
        <f>SUMPRODUCT((元データ!$AL$2:$AL$2001=1)*(元データ!$AN$2:$AN$2001=1)*(元データ!$AE$2:$AE$2001=$C$92)*(元データ!$AO$2:$AO$2001=0))</f>
        <v>1</v>
      </c>
      <c r="G93" s="49">
        <f ca="1">SUMPRODUCT((元データ!$AL$2:$AL$2001=1)*(元データ!$AN$2:$AN$2001=1)*(元データ!$AE$2:$AE$2001=$C$92)*(元データ!$AO$2:$AO$2001=0)*(元データ!$AM$2:$AM$2001&lt;=7))</f>
        <v>0</v>
      </c>
      <c r="H93" s="49">
        <f ca="1">SUMPRODUCT((元データ!$AL$2:$AL$2001=1)*(元データ!$AN$2:$AN$2001=1)*(元データ!$AE$2:$AE$2001=$C$92)*(元データ!$AO$2:$AO$2001=0)*(元データ!$AM$2:$AM$2001&lt;=7)*(元データ!$E$2:$E$2001="20 確認待ち"))</f>
        <v>0</v>
      </c>
      <c r="I93" s="57" t="str" cm="1">
        <f t="array" aca="1" ref="I93" ca="1">IFERROR(_xlfn.TEXTJOIN(CHAR(10),TRUE,IF((元データ!$AL$2:$AL$2001=1)*(元データ!$AN$2:$AN$2001=1)*(元データ!$AE$2:$AE$2001=$C$92)*(元データ!$AO$2:$AO$2001=0)*(元データ!$AM$2:$AM$2001&lt;=7)*(元データ!$E$2:$E$2001="20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93" s="57"/>
      <c r="K93" s="57"/>
      <c r="L93" s="49">
        <f ca="1">SUMPRODUCT((元データ!$AL$2:$AL$2001=1)*(元データ!$AN$2:$AN$2001=1)*(元データ!$AE$2:$AE$2001=$C$92)*(元データ!$AO$2:$AO$2001=0)*(元データ!$AM$2:$AM$2001&lt;=7)*(元データ!$E$2:$E$2001="30 申請受付"))</f>
        <v>0</v>
      </c>
      <c r="M93" s="57" t="str" cm="1">
        <f t="array" aca="1" ref="M93" ca="1">IFERROR(_xlfn.TEXTJOIN(CHAR(10),TRUE,IF((元データ!$AL$2:$AL$2001=1)*(元データ!$AN$2:$AN$2001=1)*(元データ!$AE$2:$AE$2001=$C$92)*(元データ!$AO$2:$AO$2001=0)*(元データ!$AM$2:$AM$2001&lt;=7)*(元データ!$E$2:$E$2001="30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93" s="57"/>
      <c r="O93" s="57"/>
      <c r="P93" s="49">
        <f ca="1">SUMPRODUCT((元データ!$AL$2:$AL$2001=1)*(元データ!$AN$2:$AN$2001=1)*(元データ!$AE$2:$AE$2001=$C$92)*(元データ!$AO$2:$AO$2001=0)*(元データ!$AM$2:$AM$2001&lt;=7)*(元データ!$E$2:$E$2001="31 ＯＰ確認中"))</f>
        <v>0</v>
      </c>
      <c r="Q93" s="57" t="str" cm="1">
        <f t="array" aca="1" ref="Q93" ca="1">IFERROR(_xlfn.TEXTJOIN(CHAR(10),TRUE,IF((元データ!$AL$2:$AL$2001=1)*(元データ!$AN$2:$AN$2001=1)*(元データ!$AE$2:$AE$2001=$C$92)*(元データ!$AO$2:$AO$2001=0)*(元データ!$AM$2:$AM$2001&lt;=7)*(元データ!$E$2:$E$2001="31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93" s="57"/>
      <c r="S93" s="57"/>
      <c r="T93" s="49">
        <f ca="1">SUMPRODUCT((元データ!$AL$2:$AL$2001=1)*(元データ!$AN$2:$AN$2001=1)*(元データ!$AE$2:$AE$2001=$C$92)*(元データ!$AO$2:$AO$2001=0)*(元データ!$AM$2:$AM$2001&lt;=7)*(元データ!$E$2:$E$2001="32 ＳＶ確認中"))</f>
        <v>0</v>
      </c>
      <c r="U93" s="57" t="str" cm="1">
        <f t="array" aca="1" ref="U93" ca="1">IFERROR(_xlfn.TEXTJOIN(CHAR(10),TRUE,IF((元データ!$AL$2:$AL$2001=1)*(元データ!$AN$2:$AN$2001=1)*(元データ!$AE$2:$AE$2001=$C$92)*(元データ!$AO$2:$AO$2001=0)*(元データ!$AM$2:$AM$2001&lt;=7)*(元データ!$E$2:$E$2001="32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93" s="57"/>
      <c r="W93" s="57"/>
      <c r="X93" s="49">
        <f ca="1">SUMPRODUCT((元データ!$AL$2:$AL$2001=1)*(元データ!$AN$2:$AN$2001=1)*(元データ!$AE$2:$AE$2001=$C$92)*(元データ!$AO$2:$AO$2001=0)*(元データ!$AM$2:$AM$2001&gt;=8)*(元データ!$AM$2:$AM$2001&lt;=14))</f>
        <v>0</v>
      </c>
      <c r="Y93" s="49">
        <f ca="1">SUMPRODUCT((元データ!$AL$2:$AL$2001=1)*(元データ!$AN$2:$AN$2001=1)*(元データ!$AE$2:$AE$2001=$C$92)*(元データ!$AO$2:$AO$2001=0)*(元データ!$AM$2:$AM$2001&gt;=8)*(元データ!$AM$2:$AM$2001&lt;=14)*(元データ!$E$2:$E$2001="20 確認待ち"))</f>
        <v>0</v>
      </c>
      <c r="Z93" s="57" t="str" cm="1">
        <f t="array" aca="1" ref="Z93" ca="1">IFERROR(_xlfn.TEXTJOIN(CHAR(10),TRUE,IF((元データ!$AL$2:$AL$2001=1)*(元データ!$AN$2:$AN$2001=1)*(元データ!$AE$2:$AE$2001=$C$92)*(元データ!$AO$2:$AO$2001=0)*(元データ!$AM$2:$AM$2001&gt;=8)*(元データ!$AM$2:$AM$2001&lt;=14)*(元データ!$E$2:$E$2001="20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3" s="57"/>
      <c r="AB93" s="57"/>
      <c r="AC93" s="49">
        <f ca="1">SUMPRODUCT((元データ!$AL$2:$AL$2001=1)*(元データ!$AN$2:$AN$2001=1)*(元データ!$AE$2:$AE$2001=$C$92)*(元データ!$AO$2:$AO$2001=0)*(元データ!$AM$2:$AM$2001&gt;=8)*(元データ!$AM$2:$AM$2001&lt;=14)*(元データ!$E$2:$E$2001="30 申請受付"))</f>
        <v>0</v>
      </c>
      <c r="AD93" s="57" t="str" cm="1">
        <f t="array" aca="1" ref="AD93" ca="1">IFERROR(_xlfn.TEXTJOIN(CHAR(10),TRUE,IF((元データ!$AL$2:$AL$2001=1)*(元データ!$AN$2:$AN$2001=1)*(元データ!$AE$2:$AE$2001=$C$92)*(元データ!$AO$2:$AO$2001=0)*(元データ!$AM$2:$AM$2001&gt;=8)*(元データ!$AM$2:$AM$2001&lt;=14)*(元データ!$E$2:$E$2001="30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3" s="57"/>
      <c r="AF93" s="57"/>
      <c r="AG93" s="49">
        <f ca="1">SUMPRODUCT((元データ!$AL$2:$AL$2001=1)*(元データ!$AN$2:$AN$2001=1)*(元データ!$AE$2:$AE$2001=$C$92)*(元データ!$AO$2:$AO$2001=0)*(元データ!$AM$2:$AM$2001&gt;=8)*(元データ!$AM$2:$AM$2001&lt;=14)*(元データ!$E$2:$E$2001="31 ＯＰ確認中"))</f>
        <v>0</v>
      </c>
      <c r="AH93" s="57" t="str" cm="1">
        <f t="array" aca="1" ref="AH93" ca="1">IFERROR(_xlfn.TEXTJOIN(CHAR(10),TRUE,IF((元データ!$AL$2:$AL$2001=1)*(元データ!$AN$2:$AN$2001=1)*(元データ!$AE$2:$AE$2001=$C$92)*(元データ!$AO$2:$AO$2001=0)*(元データ!$AM$2:$AM$2001&gt;=8)*(元データ!$AM$2:$AM$2001&lt;=14)*(元データ!$E$2:$E$2001="31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3" s="57"/>
      <c r="AJ93" s="57"/>
      <c r="AK93" s="49">
        <f ca="1">SUMPRODUCT((元データ!$AL$2:$AL$2001=1)*(元データ!$AN$2:$AN$2001=1)*(元データ!$AE$2:$AE$2001=$C$92)*(元データ!$AO$2:$AO$2001=0)*(元データ!$AM$2:$AM$2001&gt;=8)*(元データ!$AM$2:$AM$2001&lt;=14)*(元データ!$E$2:$E$2001="32 ＳＶ確認中"))</f>
        <v>0</v>
      </c>
      <c r="AL93" s="57" t="str" cm="1">
        <f t="array" aca="1" ref="AL93" ca="1">IFERROR(_xlfn.TEXTJOIN(CHAR(10),TRUE,IF((元データ!$AL$2:$AL$2001=1)*(元データ!$AN$2:$AN$2001=1)*(元データ!$AE$2:$AE$2001=$C$92)*(元データ!$AO$2:$AO$2001=0)*(元データ!$AM$2:$AM$2001&gt;=8)*(元データ!$AM$2:$AM$2001&lt;=14)*(元データ!$E$2:$E$2001="32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3" s="57">
        <f ca="1">SUMPRODUCT((元データ!$AL$2:$AL$2001=1)*(元データ!$AN$2:$AN$2001=1)*(元データ!$AE$2:$AE$2001=$C$92)*(元データ!$AO$2:$AO$2001=0)*(元データ!$AM$2:$AM$2001&gt;=8)*(元データ!$AM$2:$AM$2001&lt;=14)*(元データ!$E$2:$E$2001="40 差戻し"))</f>
        <v>0</v>
      </c>
      <c r="AN93" s="57" t="str" cm="1">
        <f t="array" aca="1" ref="AN93" ca="1">IFERROR(_xlfn.TEXTJOIN(CHAR(10),TRUE,IF((元データ!$AL$2:$AL$2001=1)*(元データ!$AN$2:$AN$2001=1)*(元データ!$AE$2:$AE$2001=$C$92)*(元データ!$AO$2:$AO$2001=0)*(元データ!$AM$2:$AM$2001&gt;=8)*(元データ!$AM$2:$AM$2001&lt;=14)*(元データ!$E$2:$E$2001="40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3" s="44">
        <f ca="1">SUMPRODUCT((元データ!$AL$2:$AL$2001=1)*(元データ!$AN$2:$AN$2001=1)*(元データ!$AE$2:$AE$2001=$C$92)*(元データ!$AO$2:$AO$2001=0)*(元データ!$AM$2:$AM$2001&gt;=15)*(元データ!$AM$2:$AM$2001&lt;=21))</f>
        <v>0</v>
      </c>
      <c r="AP93" s="44">
        <f ca="1">SUMPRODUCT((元データ!$AL$2:$AL$2001=1)*(元データ!$AN$2:$AN$2001=1)*(元データ!$AE$2:$AE$2001=$C$92)*(元データ!$AO$2:$AO$2001=0)*(元データ!$AM$2:$AM$2001&gt;=15)*(元データ!$AM$2:$AM$2001&lt;=21)*(元データ!$E$2:$E$2001="20 確認待ち"))</f>
        <v>0</v>
      </c>
      <c r="AQ93" s="58" t="str" cm="1">
        <f t="array" aca="1" ref="AQ93" ca="1">IFERROR(_xlfn.TEXTJOIN(CHAR(10),TRUE,IF((元データ!$AL$2:$AL$2001=1)*(元データ!$AN$2:$AN$2001=1)*(元データ!$AE$2:$AE$2001=$C$92)*(元データ!$AO$2:$AO$2001=0)*(元データ!$AM$2:$AM$2001&gt;=15)*(元データ!$AM$2:$AM$2001&lt;=21)*(元データ!$E$2:$E$2001="20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3" s="58"/>
      <c r="AS93" s="58"/>
      <c r="AT93" s="44">
        <f ca="1">SUMPRODUCT((元データ!$AL$2:$AL$2001=1)*(元データ!$AN$2:$AN$2001=1)*(元データ!$AE$2:$AE$2001=$C$92)*(元データ!$AO$2:$AO$2001=0)*(元データ!$AM$2:$AM$2001&gt;=15)*(元データ!$AM$2:$AM$2001&lt;=21)*(元データ!$E$2:$E$2001="30 申請受付"))</f>
        <v>0</v>
      </c>
      <c r="AU93" s="58" t="str" cm="1">
        <f t="array" aca="1" ref="AU93" ca="1">IFERROR(_xlfn.TEXTJOIN(CHAR(10),TRUE,IF((元データ!$AL$2:$AL$2001=1)*(元データ!$AN$2:$AN$2001=1)*(元データ!$AE$2:$AE$2001=$C$92)*(元データ!$AO$2:$AO$2001=0)*(元データ!$AM$2:$AM$2001&gt;=15)*(元データ!$AM$2:$AM$2001&lt;=21)*(元データ!$E$2:$E$2001="30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3" s="58"/>
      <c r="AW93" s="58"/>
      <c r="AX93" s="44">
        <f ca="1">SUMPRODUCT((元データ!$AL$2:$AL$2001=1)*(元データ!$AN$2:$AN$2001=1)*(元データ!$AE$2:$AE$2001=$C$92)*(元データ!$AO$2:$AO$2001=0)*(元データ!$AM$2:$AM$2001&gt;=15)*(元データ!$AM$2:$AM$2001&lt;=21)*(元データ!$E$2:$E$2001="31 ＯＰ確認中"))</f>
        <v>0</v>
      </c>
      <c r="AY93" s="58" t="str" cm="1">
        <f t="array" aca="1" ref="AY93" ca="1">IFERROR(_xlfn.TEXTJOIN(CHAR(10),TRUE,IF((元データ!$AL$2:$AL$2001=1)*(元データ!$AN$2:$AN$2001=1)*(元データ!$AE$2:$AE$2001=$C$92)*(元データ!$AO$2:$AO$2001=0)*(元データ!$AM$2:$AM$2001&gt;=15)*(元データ!$AM$2:$AM$2001&lt;=21)*(元データ!$E$2:$E$2001="31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3" s="58"/>
      <c r="BA93" s="58"/>
      <c r="BB93" s="44">
        <f ca="1">SUMPRODUCT((元データ!$AL$2:$AL$2001=1)*(元データ!$AN$2:$AN$2001=1)*(元データ!$AE$2:$AE$2001=$C$92)*(元データ!$AO$2:$AO$2001=0)*(元データ!$AM$2:$AM$2001&gt;=15)*(元データ!$AM$2:$AM$2001&lt;=21)*(元データ!$E$2:$E$2001="32 ＳＶ確認中"))</f>
        <v>0</v>
      </c>
      <c r="BC93" s="58" t="str" cm="1">
        <f t="array" aca="1" ref="BC93" ca="1">IFERROR(_xlfn.TEXTJOIN(CHAR(10),TRUE,IF((元データ!$AL$2:$AL$2001=1)*(元データ!$AN$2:$AN$2001=1)*(元データ!$AE$2:$AE$2001=$C$92)*(元データ!$AO$2:$AO$2001=0)*(元データ!$AM$2:$AM$2001&gt;=15)*(元データ!$AM$2:$AM$2001&lt;=21)*(元データ!$E$2:$E$2001="32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3" s="58">
        <f ca="1">SUMPRODUCT((元データ!$AL$2:$AL$2001=1)*(元データ!$AN$2:$AN$2001=1)*(元データ!$AE$2:$AE$2001=$C$92)*(元データ!$AO$2:$AO$2001=0)*(元データ!$AM$2:$AM$2001&gt;=15)*(元データ!$AM$2:$AM$2001&lt;=21)*(元データ!$E$2:$E$2001="40 差戻し"))</f>
        <v>0</v>
      </c>
      <c r="BE93" s="58" t="str" cm="1">
        <f t="array" aca="1" ref="BE93" ca="1">IFERROR(_xlfn.TEXTJOIN(CHAR(10),TRUE,IF((元データ!$AL$2:$AL$2001=1)*(元データ!$AN$2:$AN$2001=1)*(元データ!$AE$2:$AE$2001=$C$92)*(元データ!$AO$2:$AO$2001=0)*(元データ!$AM$2:$AM$2001&gt;=15)*(元データ!$AM$2:$AM$2001&lt;=21)*(元データ!$E$2:$E$2001="40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3" s="45">
        <f ca="1">SUMPRODUCT((元データ!$AL$2:$AL$2001=1)*(元データ!$AN$2:$AN$2001=1)*(元データ!$AE$2:$AE$2001=$C$92)*(元データ!$AO$2:$AO$2001=0)*(元データ!$AM$2:$AM$2001&gt;=22)*(元データ!$AM$2:$AM$2001&lt;=30))</f>
        <v>0</v>
      </c>
      <c r="BG93" s="45">
        <f ca="1">SUMPRODUCT((元データ!$AL$2:$AL$2001=1)*(元データ!$AN$2:$AN$2001=1)*(元データ!$AE$2:$AE$2001=$C$92)*(元データ!$AO$2:$AO$2001=0)*(元データ!$AM$2:$AM$2001&gt;=22)*(元データ!$AM$2:$AM$2001&lt;=30)*(元データ!$E$2:$E$2001="20 確認待ち"))</f>
        <v>0</v>
      </c>
      <c r="BH93" s="59" t="str" cm="1">
        <f t="array" aca="1" ref="BH93" ca="1">IFERROR(_xlfn.TEXTJOIN(CHAR(10),TRUE,IF((元データ!$AL$2:$AL$2001=1)*(元データ!$AN$2:$AN$2001=1)*(元データ!$AE$2:$AE$2001=$C$92)*(元データ!$AO$2:$AO$2001=0)*(元データ!$AM$2:$AM$2001&gt;=22)*(元データ!$AM$2:$AM$2001&lt;=30)*(元データ!$E$2:$E$2001="20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3" s="59"/>
      <c r="BJ93" s="59"/>
      <c r="BK93" s="45">
        <f ca="1">SUMPRODUCT((元データ!$AL$2:$AL$2001=1)*(元データ!$AN$2:$AN$2001=1)*(元データ!$AE$2:$AE$2001=$C$92)*(元データ!$AO$2:$AO$2001=0)*(元データ!$AM$2:$AM$2001&gt;=22)*(元データ!$AM$2:$AM$2001&lt;=30)*(元データ!$E$2:$E$2001="30 申請受付"))</f>
        <v>0</v>
      </c>
      <c r="BL93" s="59" t="str" cm="1">
        <f t="array" aca="1" ref="BL93" ca="1">IFERROR(_xlfn.TEXTJOIN(CHAR(10),TRUE,IF((元データ!$AL$2:$AL$2001=1)*(元データ!$AN$2:$AN$2001=1)*(元データ!$AE$2:$AE$2001=$C$92)*(元データ!$AO$2:$AO$2001=0)*(元データ!$AM$2:$AM$2001&gt;=22)*(元データ!$AM$2:$AM$2001&lt;=30)*(元データ!$E$2:$E$2001="30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3" s="59"/>
      <c r="BN93" s="59"/>
      <c r="BO93" s="45">
        <f ca="1">SUMPRODUCT((元データ!$AL$2:$AL$2001=1)*(元データ!$AN$2:$AN$2001=1)*(元データ!$AE$2:$AE$2001=$C$92)*(元データ!$AO$2:$AO$2001=0)*(元データ!$AM$2:$AM$2001&gt;=22)*(元データ!$AM$2:$AM$2001&lt;=30)*(元データ!$E$2:$E$2001="31 ＯＰ確認中"))</f>
        <v>0</v>
      </c>
      <c r="BP93" s="59" t="str" cm="1">
        <f t="array" aca="1" ref="BP93" ca="1">IFERROR(_xlfn.TEXTJOIN(CHAR(10),TRUE,IF((元データ!$AL$2:$AL$2001=1)*(元データ!$AN$2:$AN$2001=1)*(元データ!$AE$2:$AE$2001=$C$92)*(元データ!$AO$2:$AO$2001=0)*(元データ!$AM$2:$AM$2001&gt;=22)*(元データ!$AM$2:$AM$2001&lt;=30)*(元データ!$E$2:$E$2001="31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3" s="59"/>
      <c r="BR93" s="59"/>
      <c r="BS93" s="45">
        <f ca="1">SUMPRODUCT((元データ!$AL$2:$AL$2001=1)*(元データ!$AN$2:$AN$2001=1)*(元データ!$AE$2:$AE$2001=$C$92)*(元データ!$AO$2:$AO$2001=0)*(元データ!$AM$2:$AM$2001&gt;=22)*(元データ!$AM$2:$AM$2001&lt;=30)*(元データ!$E$2:$E$2001="32 ＳＶ確認中"))</f>
        <v>0</v>
      </c>
      <c r="BT93" s="59" t="str" cm="1">
        <f t="array" aca="1" ref="BT93" ca="1">IFERROR(_xlfn.TEXTJOIN(CHAR(10),TRUE,IF((元データ!$AL$2:$AL$2001=1)*(元データ!$AN$2:$AN$2001=1)*(元データ!$AE$2:$AE$2001=$C$92)*(元データ!$AO$2:$AO$2001=0)*(元データ!$AM$2:$AM$2001&gt;=22)*(元データ!$AM$2:$AM$2001&lt;=30)*(元データ!$E$2:$E$2001="32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93" s="59">
        <f ca="1">SUMPRODUCT((元データ!$AL$2:$AL$2001=1)*(元データ!$AN$2:$AN$2001=1)*(元データ!$AE$2:$AE$2001=$C$92)*(元データ!$AO$2:$AO$2001=0)*(元データ!$AM$2:$AM$2001&gt;=22)*(元データ!$AM$2:$AM$2001&lt;=30)*(元データ!$E$2:$E$2001="40 差戻し"))</f>
        <v>0</v>
      </c>
      <c r="BV93" s="59" t="str" cm="1">
        <f t="array" aca="1" ref="BV93" ca="1">IFERROR(_xlfn.TEXTJOIN(CHAR(10),TRUE,IF((元データ!$AL$2:$AL$2001=1)*(元データ!$AN$2:$AN$2001=1)*(元データ!$AE$2:$AE$2001=$C$92)*(元データ!$AO$2:$AO$2001=0)*(元データ!$AM$2:$AM$2001&gt;=22)*(元データ!$AM$2:$AM$2001&lt;=30)*(元データ!$E$2:$E$2001="40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3" s="46">
        <f ca="1">SUMPRODUCT((元データ!$AL$2:$AL$2001=1)*(元データ!$AN$2:$AN$2001=1)*(元データ!$AE$2:$AE$2001=$C$92)*(元データ!$AO$2:$AO$2001=0)*(元データ!$AM$2:$AM$2001&gt;=31))</f>
        <v>1</v>
      </c>
      <c r="BX93" s="46">
        <f ca="1">SUMPRODUCT((元データ!$AL$2:$AL$2001=1)*(元データ!$AN$2:$AN$2001=1)*(元データ!$AE$2:$AE$2001=$C$92)*(元データ!$AO$2:$AO$2001=0)*(元データ!$AM$2:$AM$2001&gt;=31)*(元データ!$E$2:$E$2001="20 確認待ち"))</f>
        <v>0</v>
      </c>
      <c r="BY93" s="56" t="str" cm="1">
        <f t="array" aca="1" ref="BY93" ca="1">IFERROR(_xlfn.TEXTJOIN(CHAR(10),TRUE,IF((元データ!$AL$2:$AL$2001=1)*(元データ!$AN$2:$AN$2001=1)*(元データ!$AE$2:$AE$2001=$C$92)*(元データ!$AO$2:$AO$2001=0)*(元データ!$AM$2:$AM$2001&gt;=31)*(元データ!$E$2:$E$2001="20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93" s="56"/>
      <c r="CA93" s="56"/>
      <c r="CB93" s="46">
        <f ca="1">SUMPRODUCT((元データ!$AL$2:$AL$2001=1)*(元データ!$AN$2:$AN$2001=1)*(元データ!$AE$2:$AE$2001=$C$92)*(元データ!$AO$2:$AO$2001=0)*(元データ!$AM$2:$AM$2001&gt;=31)*(元データ!$E$2:$E$2001="30 申請受付"))</f>
        <v>0</v>
      </c>
      <c r="CC93" s="56" t="str" cm="1">
        <f t="array" aca="1" ref="CC93" ca="1">IFERROR(_xlfn.TEXTJOIN(CHAR(10),TRUE,IF((元データ!$AL$2:$AL$2001=1)*(元データ!$AN$2:$AN$2001=1)*(元データ!$AE$2:$AE$2001=$C$92)*(元データ!$AO$2:$AO$2001=0)*(元データ!$AM$2:$AM$2001&gt;=31)*(元データ!$E$2:$E$2001="30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93" s="56"/>
      <c r="CE93" s="56"/>
      <c r="CF93" s="46">
        <f ca="1">SUMPRODUCT((元データ!$AL$2:$AL$2001=1)*(元データ!$AN$2:$AN$2001=1)*(元データ!$AE$2:$AE$2001=$C$92)*(元データ!$AO$2:$AO$2001=0)*(元データ!$AM$2:$AM$2001&gt;=31)*(元データ!$E$2:$E$2001="31 ＯＰ確認中"))</f>
        <v>0</v>
      </c>
      <c r="CG93" s="56" t="str" cm="1">
        <f t="array" aca="1" ref="CG93" ca="1">IFERROR(_xlfn.TEXTJOIN(CHAR(10),TRUE,IF((元データ!$AL$2:$AL$2001=1)*(元データ!$AN$2:$AN$2001=1)*(元データ!$AE$2:$AE$2001=$C$92)*(元データ!$AO$2:$AO$2001=0)*(元データ!$AM$2:$AM$2001&gt;=31)*(元データ!$E$2:$E$2001="31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93" s="56"/>
      <c r="CI93" s="56"/>
      <c r="CJ93" s="46">
        <f ca="1">SUMPRODUCT((元データ!$AL$2:$AL$2001=1)*(元データ!$AN$2:$AN$2001=1)*(元データ!$AE$2:$AE$2001=$C$92)*(元データ!$AO$2:$AO$2001=0)*(元データ!$AM$2:$AM$2001&gt;=31)*(元データ!$E$2:$E$2001="32 ＳＶ確認中"))</f>
        <v>0</v>
      </c>
      <c r="CK93" s="56" t="str" cm="1">
        <f t="array" aca="1" ref="CK93" ca="1">IFERROR(_xlfn.TEXTJOIN(CHAR(10),TRUE,IF((元データ!$AL$2:$AL$2001=1)*(元データ!$AN$2:$AN$2001=1)*(元データ!$AE$2:$AE$2001=$C$92)*(元データ!$AO$2:$AO$2001=0)*(元データ!$AM$2:$AM$2001&gt;=31)*(元データ!$E$2:$E$2001="32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93" s="56">
        <f ca="1">SUMPRODUCT((元データ!$AL$2:$AL$2001=1)*(元データ!$AN$2:$AN$2001=1)*(元データ!$AE$2:$AE$2001=$C$92)*(元データ!$AO$2:$AO$2001=0)*(元データ!$AM$2:$AM$2001&gt;=31)*(元データ!$E$2:$E$2001="40 差戻し"))</f>
        <v>1</v>
      </c>
      <c r="CM93" s="56" t="str" cm="1">
        <f t="array" aca="1" ref="CM93" ca="1">IFERROR(_xlfn.TEXTJOIN(CHAR(10),TRUE,IF((元データ!$AL$2:$AL$2001=1)*(元データ!$AN$2:$AN$2001=1)*(元データ!$AE$2:$AE$2001=$C$92)*(元データ!$AO$2:$AO$2001=0)*(元データ!$AM$2:$AM$2001&gt;=31)*(元データ!$E$2:$E$2001="40 差戻し"),元データ!$A$2:$A$2001&amp;IF(元データ!$AP$2:$AP$2001&lt;&gt;"","（"&amp;MID(元データ!$AP$2:$AP$2001,2,100)&amp;")",""),"")),"")</f>
        <v>201760002086（削除)</v>
      </c>
    </row>
    <row r="94" spans="2:91" ht="24.95" customHeight="1">
      <c r="B94" s="91"/>
      <c r="C94" s="63" t="s">
        <v>53</v>
      </c>
      <c r="D94" s="63"/>
      <c r="E94" s="41" t="s">
        <v>133</v>
      </c>
      <c r="F94" s="42">
        <f>SUMPRODUCT((元データ!$AL$2:$AL$2001=1)*(元データ!$AN$2:$AN$2001=1)*(元データ!$AE$2:$AE$2001=$C$94)*(元データ!$AO$2:$AO$2001=1))</f>
        <v>0</v>
      </c>
      <c r="G94" s="43">
        <f ca="1">SUMPRODUCT((元データ!$AL$2:$AL$2001=1)*(元データ!$AN$2:$AN$2001=1)*(元データ!$AE$2:$AE$2001=$C$94)*(元データ!$AO$2:$AO$2001=1)*(元データ!$AM$2:$AM$2001&lt;=7))</f>
        <v>0</v>
      </c>
      <c r="H94" s="43">
        <f ca="1">SUMPRODUCT((元データ!$AL$2:$AL$2001=1)*(元データ!$AN$2:$AN$2001=1)*(元データ!$AE$2:$AE$2001=$C$94)*(元データ!$AO$2:$AO$2001=1)*(元データ!$AM$2:$AM$2001&lt;=7)*(元データ!$E$2:$E$2001="20 確認待ち"))</f>
        <v>0</v>
      </c>
      <c r="I94" s="61" t="str" cm="1">
        <f t="array" aca="1" ref="I94" ca="1">IFERROR(_xlfn.TEXTJOIN(CHAR(10),TRUE,IF((元データ!$AL$2:$AL$2001=1)*(元データ!$AN$2:$AN$2001=1)*(元データ!$AE$2:$AE$2001=$C$94)*(元データ!$AO$2:$AO$2001=1)*(元データ!$AM$2:$AM$2001&lt;=7)*(元データ!$E$2:$E$2001="20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94" s="61"/>
      <c r="K94" s="61"/>
      <c r="L94" s="43">
        <f ca="1">SUMPRODUCT((元データ!$AL$2:$AL$2001=1)*(元データ!$AN$2:$AN$2001=1)*(元データ!$AE$2:$AE$2001=$C$94)*(元データ!$AO$2:$AO$2001=1)*(元データ!$AM$2:$AM$2001&lt;=7)*(元データ!$E$2:$E$2001="30 申請受付"))</f>
        <v>0</v>
      </c>
      <c r="M94" s="61" t="str" cm="1">
        <f t="array" aca="1" ref="M94" ca="1">IFERROR(_xlfn.TEXTJOIN(CHAR(10),TRUE,IF((元データ!$AL$2:$AL$2001=1)*(元データ!$AN$2:$AN$2001=1)*(元データ!$AE$2:$AE$2001=$C$94)*(元データ!$AO$2:$AO$2001=1)*(元データ!$AM$2:$AM$2001&lt;=7)*(元データ!$E$2:$E$2001="30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94" s="61"/>
      <c r="O94" s="61"/>
      <c r="P94" s="43">
        <f ca="1">SUMPRODUCT((元データ!$AL$2:$AL$2001=1)*(元データ!$AN$2:$AN$2001=1)*(元データ!$AE$2:$AE$2001=$C$94)*(元データ!$AO$2:$AO$2001=1)*(元データ!$AM$2:$AM$2001&lt;=7)*(元データ!$E$2:$E$2001="31 ＯＰ確認中"))</f>
        <v>0</v>
      </c>
      <c r="Q94" s="61" t="str" cm="1">
        <f t="array" aca="1" ref="Q94" ca="1">IFERROR(_xlfn.TEXTJOIN(CHAR(10),TRUE,IF((元データ!$AL$2:$AL$2001=1)*(元データ!$AN$2:$AN$2001=1)*(元データ!$AE$2:$AE$2001=$C$94)*(元データ!$AO$2:$AO$2001=1)*(元データ!$AM$2:$AM$2001&lt;=7)*(元データ!$E$2:$E$2001="31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94" s="61"/>
      <c r="S94" s="61"/>
      <c r="T94" s="43">
        <f ca="1">SUMPRODUCT((元データ!$AL$2:$AL$2001=1)*(元データ!$AN$2:$AN$2001=1)*(元データ!$AE$2:$AE$2001=$C$94)*(元データ!$AO$2:$AO$2001=1)*(元データ!$AM$2:$AM$2001&lt;=7)*(元データ!$E$2:$E$2001="32 ＳＶ確認中"))</f>
        <v>0</v>
      </c>
      <c r="U94" s="61" t="str" cm="1">
        <f t="array" aca="1" ref="U94" ca="1">IFERROR(_xlfn.TEXTJOIN(CHAR(10),TRUE,IF((元データ!$AL$2:$AL$2001=1)*(元データ!$AN$2:$AN$2001=1)*(元データ!$AE$2:$AE$2001=$C$94)*(元データ!$AO$2:$AO$2001=1)*(元データ!$AM$2:$AM$2001&lt;=7)*(元データ!$E$2:$E$2001="32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94" s="61"/>
      <c r="W94" s="61"/>
      <c r="X94" s="43">
        <f ca="1">SUMPRODUCT((元データ!$AL$2:$AL$2001=1)*(元データ!$AN$2:$AN$2001=1)*(元データ!$AE$2:$AE$2001=$C$94)*(元データ!$AO$2:$AO$2001=1)*(元データ!$AM$2:$AM$2001&gt;=8)*(元データ!$AM$2:$AM$2001&lt;=14))</f>
        <v>0</v>
      </c>
      <c r="Y94" s="43">
        <f ca="1">SUMPRODUCT((元データ!$AL$2:$AL$2001=1)*(元データ!$AN$2:$AN$2001=1)*(元データ!$AE$2:$AE$2001=$C$94)*(元データ!$AO$2:$AO$2001=1)*(元データ!$AM$2:$AM$2001&gt;=8)*(元データ!$AM$2:$AM$2001&lt;=14)*(元データ!$E$2:$E$2001="20 確認待ち"))</f>
        <v>0</v>
      </c>
      <c r="Z94" s="61" t="str" cm="1">
        <f t="array" aca="1" ref="Z94" ca="1">IFERROR(_xlfn.TEXTJOIN(CHAR(10),TRUE,IF((元データ!$AL$2:$AL$2001=1)*(元データ!$AN$2:$AN$2001=1)*(元データ!$AE$2:$AE$2001=$C$94)*(元データ!$AO$2:$AO$2001=1)*(元データ!$AM$2:$AM$2001&gt;=8)*(元データ!$AM$2:$AM$2001&lt;=14)*(元データ!$E$2:$E$2001="20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4" s="61"/>
      <c r="AB94" s="61"/>
      <c r="AC94" s="43">
        <f ca="1">SUMPRODUCT((元データ!$AL$2:$AL$2001=1)*(元データ!$AN$2:$AN$2001=1)*(元データ!$AE$2:$AE$2001=$C$94)*(元データ!$AO$2:$AO$2001=1)*(元データ!$AM$2:$AM$2001&gt;=8)*(元データ!$AM$2:$AM$2001&lt;=14)*(元データ!$E$2:$E$2001="30 申請受付"))</f>
        <v>0</v>
      </c>
      <c r="AD94" s="61" t="str" cm="1">
        <f t="array" aca="1" ref="AD94" ca="1">IFERROR(_xlfn.TEXTJOIN(CHAR(10),TRUE,IF((元データ!$AL$2:$AL$2001=1)*(元データ!$AN$2:$AN$2001=1)*(元データ!$AE$2:$AE$2001=$C$94)*(元データ!$AO$2:$AO$2001=1)*(元データ!$AM$2:$AM$2001&gt;=8)*(元データ!$AM$2:$AM$2001&lt;=14)*(元データ!$E$2:$E$2001="30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4" s="61"/>
      <c r="AF94" s="61"/>
      <c r="AG94" s="43">
        <f ca="1">SUMPRODUCT((元データ!$AL$2:$AL$2001=1)*(元データ!$AN$2:$AN$2001=1)*(元データ!$AE$2:$AE$2001=$C$94)*(元データ!$AO$2:$AO$2001=1)*(元データ!$AM$2:$AM$2001&gt;=8)*(元データ!$AM$2:$AM$2001&lt;=14)*(元データ!$E$2:$E$2001="31 ＯＰ確認中"))</f>
        <v>0</v>
      </c>
      <c r="AH94" s="61" t="str" cm="1">
        <f t="array" aca="1" ref="AH94" ca="1">IFERROR(_xlfn.TEXTJOIN(CHAR(10),TRUE,IF((元データ!$AL$2:$AL$2001=1)*(元データ!$AN$2:$AN$2001=1)*(元データ!$AE$2:$AE$2001=$C$94)*(元データ!$AO$2:$AO$2001=1)*(元データ!$AM$2:$AM$2001&gt;=8)*(元データ!$AM$2:$AM$2001&lt;=14)*(元データ!$E$2:$E$2001="31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4" s="61"/>
      <c r="AJ94" s="61"/>
      <c r="AK94" s="43">
        <f ca="1">SUMPRODUCT((元データ!$AL$2:$AL$2001=1)*(元データ!$AN$2:$AN$2001=1)*(元データ!$AE$2:$AE$2001=$C$94)*(元データ!$AO$2:$AO$2001=1)*(元データ!$AM$2:$AM$2001&gt;=8)*(元データ!$AM$2:$AM$2001&lt;=14)*(元データ!$E$2:$E$2001="32 ＳＶ確認中"))</f>
        <v>0</v>
      </c>
      <c r="AL94" s="61" t="str" cm="1">
        <f t="array" aca="1" ref="AL94" ca="1">IFERROR(_xlfn.TEXTJOIN(CHAR(10),TRUE,IF((元データ!$AL$2:$AL$2001=1)*(元データ!$AN$2:$AN$2001=1)*(元データ!$AE$2:$AE$2001=$C$94)*(元データ!$AO$2:$AO$2001=1)*(元データ!$AM$2:$AM$2001&gt;=8)*(元データ!$AM$2:$AM$2001&lt;=14)*(元データ!$E$2:$E$2001="32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4" s="61">
        <f ca="1">SUMPRODUCT((元データ!$AL$2:$AL$2001=1)*(元データ!$AN$2:$AN$2001=1)*(元データ!$AE$2:$AE$2001=$C$94)*(元データ!$AO$2:$AO$2001=1)*(元データ!$AM$2:$AM$2001&gt;=8)*(元データ!$AM$2:$AM$2001&lt;=14)*(元データ!$E$2:$E$2001="40 差戻し"))</f>
        <v>0</v>
      </c>
      <c r="AN94" s="61" t="str" cm="1">
        <f t="array" aca="1" ref="AN94" ca="1">IFERROR(_xlfn.TEXTJOIN(CHAR(10),TRUE,IF((元データ!$AL$2:$AL$2001=1)*(元データ!$AN$2:$AN$2001=1)*(元データ!$AE$2:$AE$2001=$C$94)*(元データ!$AO$2:$AO$2001=1)*(元データ!$AM$2:$AM$2001&gt;=8)*(元データ!$AM$2:$AM$2001&lt;=14)*(元データ!$E$2:$E$2001="40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4" s="44">
        <f ca="1">SUMPRODUCT((元データ!$AL$2:$AL$2001=1)*(元データ!$AN$2:$AN$2001=1)*(元データ!$AE$2:$AE$2001=$C$94)*(元データ!$AO$2:$AO$2001=1)*(元データ!$AM$2:$AM$2001&gt;=15)*(元データ!$AM$2:$AM$2001&lt;=21))</f>
        <v>0</v>
      </c>
      <c r="AP94" s="44">
        <f ca="1">SUMPRODUCT((元データ!$AL$2:$AL$2001=1)*(元データ!$AN$2:$AN$2001=1)*(元データ!$AE$2:$AE$2001=$C$94)*(元データ!$AO$2:$AO$2001=1)*(元データ!$AM$2:$AM$2001&gt;=15)*(元データ!$AM$2:$AM$2001&lt;=21)*(元データ!$E$2:$E$2001="20 確認待ち"))</f>
        <v>0</v>
      </c>
      <c r="AQ94" s="58" t="str" cm="1">
        <f t="array" aca="1" ref="AQ94" ca="1">IFERROR(_xlfn.TEXTJOIN(CHAR(10),TRUE,IF((元データ!$AL$2:$AL$2001=1)*(元データ!$AN$2:$AN$2001=1)*(元データ!$AE$2:$AE$2001=$C$94)*(元データ!$AO$2:$AO$2001=1)*(元データ!$AM$2:$AM$2001&gt;=15)*(元データ!$AM$2:$AM$2001&lt;=21)*(元データ!$E$2:$E$2001="20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4" s="58"/>
      <c r="AS94" s="58"/>
      <c r="AT94" s="44">
        <f ca="1">SUMPRODUCT((元データ!$AL$2:$AL$2001=1)*(元データ!$AN$2:$AN$2001=1)*(元データ!$AE$2:$AE$2001=$C$94)*(元データ!$AO$2:$AO$2001=1)*(元データ!$AM$2:$AM$2001&gt;=15)*(元データ!$AM$2:$AM$2001&lt;=21)*(元データ!$E$2:$E$2001="30 申請受付"))</f>
        <v>0</v>
      </c>
      <c r="AU94" s="58" t="str" cm="1">
        <f t="array" aca="1" ref="AU94" ca="1">IFERROR(_xlfn.TEXTJOIN(CHAR(10),TRUE,IF((元データ!$AL$2:$AL$2001=1)*(元データ!$AN$2:$AN$2001=1)*(元データ!$AE$2:$AE$2001=$C$94)*(元データ!$AO$2:$AO$2001=1)*(元データ!$AM$2:$AM$2001&gt;=15)*(元データ!$AM$2:$AM$2001&lt;=21)*(元データ!$E$2:$E$2001="30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4" s="58"/>
      <c r="AW94" s="58"/>
      <c r="AX94" s="44">
        <f ca="1">SUMPRODUCT((元データ!$AL$2:$AL$2001=1)*(元データ!$AN$2:$AN$2001=1)*(元データ!$AE$2:$AE$2001=$C$94)*(元データ!$AO$2:$AO$2001=1)*(元データ!$AM$2:$AM$2001&gt;=15)*(元データ!$AM$2:$AM$2001&lt;=21)*(元データ!$E$2:$E$2001="31 ＯＰ確認中"))</f>
        <v>0</v>
      </c>
      <c r="AY94" s="58" t="str" cm="1">
        <f t="array" aca="1" ref="AY94" ca="1">IFERROR(_xlfn.TEXTJOIN(CHAR(10),TRUE,IF((元データ!$AL$2:$AL$2001=1)*(元データ!$AN$2:$AN$2001=1)*(元データ!$AE$2:$AE$2001=$C$94)*(元データ!$AO$2:$AO$2001=1)*(元データ!$AM$2:$AM$2001&gt;=15)*(元データ!$AM$2:$AM$2001&lt;=21)*(元データ!$E$2:$E$2001="31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4" s="58"/>
      <c r="BA94" s="58"/>
      <c r="BB94" s="44">
        <f ca="1">SUMPRODUCT((元データ!$AL$2:$AL$2001=1)*(元データ!$AN$2:$AN$2001=1)*(元データ!$AE$2:$AE$2001=$C$94)*(元データ!$AO$2:$AO$2001=1)*(元データ!$AM$2:$AM$2001&gt;=15)*(元データ!$AM$2:$AM$2001&lt;=21)*(元データ!$E$2:$E$2001="32 ＳＶ確認中"))</f>
        <v>0</v>
      </c>
      <c r="BC94" s="58" t="str" cm="1">
        <f t="array" aca="1" ref="BC94" ca="1">IFERROR(_xlfn.TEXTJOIN(CHAR(10),TRUE,IF((元データ!$AL$2:$AL$2001=1)*(元データ!$AN$2:$AN$2001=1)*(元データ!$AE$2:$AE$2001=$C$94)*(元データ!$AO$2:$AO$2001=1)*(元データ!$AM$2:$AM$2001&gt;=15)*(元データ!$AM$2:$AM$2001&lt;=21)*(元データ!$E$2:$E$2001="32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4" s="58">
        <f ca="1">SUMPRODUCT((元データ!$AL$2:$AL$2001=1)*(元データ!$AN$2:$AN$2001=1)*(元データ!$AE$2:$AE$2001=$C$94)*(元データ!$AO$2:$AO$2001=1)*(元データ!$AM$2:$AM$2001&gt;=15)*(元データ!$AM$2:$AM$2001&lt;=21)*(元データ!$E$2:$E$2001="40 差戻し"))</f>
        <v>0</v>
      </c>
      <c r="BE94" s="58" t="str" cm="1">
        <f t="array" aca="1" ref="BE94" ca="1">IFERROR(_xlfn.TEXTJOIN(CHAR(10),TRUE,IF((元データ!$AL$2:$AL$2001=1)*(元データ!$AN$2:$AN$2001=1)*(元データ!$AE$2:$AE$2001=$C$94)*(元データ!$AO$2:$AO$2001=1)*(元データ!$AM$2:$AM$2001&gt;=15)*(元データ!$AM$2:$AM$2001&lt;=21)*(元データ!$E$2:$E$2001="40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4" s="45">
        <f ca="1">SUMPRODUCT((元データ!$AL$2:$AL$2001=1)*(元データ!$AN$2:$AN$2001=1)*(元データ!$AE$2:$AE$2001=$C$94)*(元データ!$AO$2:$AO$2001=1)*(元データ!$AM$2:$AM$2001&gt;=22)*(元データ!$AM$2:$AM$2001&lt;=30))</f>
        <v>0</v>
      </c>
      <c r="BG94" s="45">
        <f ca="1">SUMPRODUCT((元データ!$AL$2:$AL$2001=1)*(元データ!$AN$2:$AN$2001=1)*(元データ!$AE$2:$AE$2001=$C$94)*(元データ!$AO$2:$AO$2001=1)*(元データ!$AM$2:$AM$2001&gt;=22)*(元データ!$AM$2:$AM$2001&lt;=30)*(元データ!$E$2:$E$2001="20 確認待ち"))</f>
        <v>0</v>
      </c>
      <c r="BH94" s="60" t="str" cm="1">
        <f t="array" aca="1" ref="BH94" ca="1">IFERROR(_xlfn.TEXTJOIN(CHAR(10),TRUE,IF((元データ!$AL$2:$AL$2001=1)*(元データ!$AN$2:$AN$2001=1)*(元データ!$AE$2:$AE$2001=$C$94)*(元データ!$AO$2:$AO$2001=1)*(元データ!$AM$2:$AM$2001&gt;=22)*(元データ!$AM$2:$AM$2001&lt;=30)*(元データ!$E$2:$E$2001="20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4" s="60"/>
      <c r="BJ94" s="60"/>
      <c r="BK94" s="45">
        <f ca="1">SUMPRODUCT((元データ!$AL$2:$AL$2001=1)*(元データ!$AN$2:$AN$2001=1)*(元データ!$AE$2:$AE$2001=$C$94)*(元データ!$AO$2:$AO$2001=1)*(元データ!$AM$2:$AM$2001&gt;=22)*(元データ!$AM$2:$AM$2001&lt;=30)*(元データ!$E$2:$E$2001="30 申請受付"))</f>
        <v>0</v>
      </c>
      <c r="BL94" s="59" t="str" cm="1">
        <f t="array" aca="1" ref="BL94" ca="1">IFERROR(_xlfn.TEXTJOIN(CHAR(10),TRUE,IF((元データ!$AL$2:$AL$2001=1)*(元データ!$AN$2:$AN$2001=1)*(元データ!$AE$2:$AE$2001=$C$94)*(元データ!$AO$2:$AO$2001=1)*(元データ!$AM$2:$AM$2001&gt;=22)*(元データ!$AM$2:$AM$2001&lt;=30)*(元データ!$E$2:$E$2001="30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4" s="59"/>
      <c r="BN94" s="59"/>
      <c r="BO94" s="45">
        <f ca="1">SUMPRODUCT((元データ!$AL$2:$AL$2001=1)*(元データ!$AN$2:$AN$2001=1)*(元データ!$AE$2:$AE$2001=$C$94)*(元データ!$AO$2:$AO$2001=1)*(元データ!$AM$2:$AM$2001&gt;=22)*(元データ!$AM$2:$AM$2001&lt;=30)*(元データ!$E$2:$E$2001="31 ＯＰ確認中"))</f>
        <v>0</v>
      </c>
      <c r="BP94" s="59" t="str" cm="1">
        <f t="array" aca="1" ref="BP94" ca="1">IFERROR(_xlfn.TEXTJOIN(CHAR(10),TRUE,IF((元データ!$AL$2:$AL$2001=1)*(元データ!$AN$2:$AN$2001=1)*(元データ!$AE$2:$AE$2001=$C$94)*(元データ!$AO$2:$AO$2001=1)*(元データ!$AM$2:$AM$2001&gt;=22)*(元データ!$AM$2:$AM$2001&lt;=30)*(元データ!$E$2:$E$2001="31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4" s="59"/>
      <c r="BR94" s="59"/>
      <c r="BS94" s="45">
        <f ca="1">SUMPRODUCT((元データ!$AL$2:$AL$2001=1)*(元データ!$AN$2:$AN$2001=1)*(元データ!$AE$2:$AE$2001=$C$94)*(元データ!$AO$2:$AO$2001=1)*(元データ!$AM$2:$AM$2001&gt;=22)*(元データ!$AM$2:$AM$2001&lt;=30)*(元データ!$E$2:$E$2001="32 ＳＶ確認中"))</f>
        <v>0</v>
      </c>
      <c r="BT94" s="59" t="str" cm="1">
        <f t="array" aca="1" ref="BT94" ca="1">IFERROR(_xlfn.TEXTJOIN(CHAR(10),TRUE,IF((元データ!$AL$2:$AL$2001=1)*(元データ!$AN$2:$AN$2001=1)*(元データ!$AE$2:$AE$2001=$C$94)*(元データ!$AO$2:$AO$2001=1)*(元データ!$AM$2:$AM$2001&gt;=22)*(元データ!$AM$2:$AM$2001&lt;=30)*(元データ!$E$2:$E$2001="32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94" s="59">
        <f ca="1">SUMPRODUCT((元データ!$AL$2:$AL$2001=1)*(元データ!$AN$2:$AN$2001=1)*(元データ!$AE$2:$AE$2001=$C$94)*(元データ!$AO$2:$AO$2001=1)*(元データ!$AM$2:$AM$2001&gt;=22)*(元データ!$AM$2:$AM$2001&lt;=30)*(元データ!$E$2:$E$2001="40 差戻し"))</f>
        <v>0</v>
      </c>
      <c r="BV94" s="59" t="str" cm="1">
        <f t="array" aca="1" ref="BV94" ca="1">IFERROR(_xlfn.TEXTJOIN(CHAR(10),TRUE,IF((元データ!$AL$2:$AL$2001=1)*(元データ!$AN$2:$AN$2001=1)*(元データ!$AE$2:$AE$2001=$C$94)*(元データ!$AO$2:$AO$2001=1)*(元データ!$AM$2:$AM$2001&gt;=22)*(元データ!$AM$2:$AM$2001&lt;=30)*(元データ!$E$2:$E$2001="40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4" s="46">
        <f ca="1">SUMPRODUCT((元データ!$AL$2:$AL$2001=1)*(元データ!$AN$2:$AN$2001=1)*(元データ!$AE$2:$AE$2001=$C$94)*(元データ!$AO$2:$AO$2001=1)*(元データ!$AM$2:$AM$2001&gt;=31))</f>
        <v>0</v>
      </c>
      <c r="BX94" s="46">
        <f ca="1">SUMPRODUCT((元データ!$AL$2:$AL$2001=1)*(元データ!$AN$2:$AN$2001=1)*(元データ!$AE$2:$AE$2001=$C$94)*(元データ!$AO$2:$AO$2001=1)*(元データ!$AM$2:$AM$2001&gt;=31)*(元データ!$E$2:$E$2001="20 確認待ち"))</f>
        <v>0</v>
      </c>
      <c r="BY94" s="56" t="str" cm="1">
        <f t="array" aca="1" ref="BY94" ca="1">IFERROR(_xlfn.TEXTJOIN(CHAR(10),TRUE,IF((元データ!$AL$2:$AL$2001=1)*(元データ!$AN$2:$AN$2001=1)*(元データ!$AE$2:$AE$2001=$C$94)*(元データ!$AO$2:$AO$2001=1)*(元データ!$AM$2:$AM$2001&gt;=31)*(元データ!$E$2:$E$2001="20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94" s="56"/>
      <c r="CA94" s="56"/>
      <c r="CB94" s="46">
        <f ca="1">SUMPRODUCT((元データ!$AL$2:$AL$2001=1)*(元データ!$AN$2:$AN$2001=1)*(元データ!$AE$2:$AE$2001=$C$94)*(元データ!$AO$2:$AO$2001=1)*(元データ!$AM$2:$AM$2001&gt;=31)*(元データ!$E$2:$E$2001="30 申請受付"))</f>
        <v>0</v>
      </c>
      <c r="CC94" s="56" t="str" cm="1">
        <f t="array" aca="1" ref="CC94" ca="1">IFERROR(_xlfn.TEXTJOIN(CHAR(10),TRUE,IF((元データ!$AL$2:$AL$2001=1)*(元データ!$AN$2:$AN$2001=1)*(元データ!$AE$2:$AE$2001=$C$94)*(元データ!$AO$2:$AO$2001=1)*(元データ!$AM$2:$AM$2001&gt;=31)*(元データ!$E$2:$E$2001="30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94" s="56"/>
      <c r="CE94" s="56"/>
      <c r="CF94" s="46">
        <f ca="1">SUMPRODUCT((元データ!$AL$2:$AL$2001=1)*(元データ!$AN$2:$AN$2001=1)*(元データ!$AE$2:$AE$2001=$C$94)*(元データ!$AO$2:$AO$2001=1)*(元データ!$AM$2:$AM$2001&gt;=31)*(元データ!$E$2:$E$2001="31 ＯＰ確認中"))</f>
        <v>0</v>
      </c>
      <c r="CG94" s="56" t="str" cm="1">
        <f t="array" aca="1" ref="CG94" ca="1">IFERROR(_xlfn.TEXTJOIN(CHAR(10),TRUE,IF((元データ!$AL$2:$AL$2001=1)*(元データ!$AN$2:$AN$2001=1)*(元データ!$AE$2:$AE$2001=$C$94)*(元データ!$AO$2:$AO$2001=1)*(元データ!$AM$2:$AM$2001&gt;=31)*(元データ!$E$2:$E$2001="31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94" s="56"/>
      <c r="CI94" s="56"/>
      <c r="CJ94" s="46">
        <f ca="1">SUMPRODUCT((元データ!$AL$2:$AL$2001=1)*(元データ!$AN$2:$AN$2001=1)*(元データ!$AE$2:$AE$2001=$C$94)*(元データ!$AO$2:$AO$2001=1)*(元データ!$AM$2:$AM$2001&gt;=31)*(元データ!$E$2:$E$2001="32 ＳＶ確認中"))</f>
        <v>0</v>
      </c>
      <c r="CK94" s="56" t="str" cm="1">
        <f t="array" aca="1" ref="CK94" ca="1">IFERROR(_xlfn.TEXTJOIN(CHAR(10),TRUE,IF((元データ!$AL$2:$AL$2001=1)*(元データ!$AN$2:$AN$2001=1)*(元データ!$AE$2:$AE$2001=$C$94)*(元データ!$AO$2:$AO$2001=1)*(元データ!$AM$2:$AM$2001&gt;=31)*(元データ!$E$2:$E$2001="32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94" s="56">
        <f ca="1">SUMPRODUCT((元データ!$AL$2:$AL$2001=1)*(元データ!$AN$2:$AN$2001=1)*(元データ!$AE$2:$AE$2001=$C$94)*(元データ!$AO$2:$AO$2001=1)*(元データ!$AM$2:$AM$2001&gt;=31)*(元データ!$E$2:$E$2001="40 差戻し"))</f>
        <v>0</v>
      </c>
      <c r="CM94" s="56" t="str" cm="1">
        <f t="array" aca="1" ref="CM94" ca="1">IFERROR(_xlfn.TEXTJOIN(CHAR(10),TRUE,IF((元データ!$AL$2:$AL$2001=1)*(元データ!$AN$2:$AN$2001=1)*(元データ!$AE$2:$AE$2001=$C$94)*(元データ!$AO$2:$AO$2001=1)*(元データ!$AM$2:$AM$2001&gt;=31)*(元データ!$E$2:$E$2001="40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95" spans="2:91" ht="24.95" customHeight="1">
      <c r="B95" s="92"/>
      <c r="C95" s="63"/>
      <c r="D95" s="63"/>
      <c r="E95" s="47" t="s">
        <v>134</v>
      </c>
      <c r="F95" s="48">
        <f>SUMPRODUCT((元データ!$AL$2:$AL$2001=1)*(元データ!$AN$2:$AN$2001=1)*(元データ!$AE$2:$AE$2001=$C$94)*(元データ!$AO$2:$AO$2001=0))</f>
        <v>3</v>
      </c>
      <c r="G95" s="49">
        <f ca="1">SUMPRODUCT((元データ!$AL$2:$AL$2001=1)*(元データ!$AN$2:$AN$2001=1)*(元データ!$AE$2:$AE$2001=$C$94)*(元データ!$AO$2:$AO$2001=0)*(元データ!$AM$2:$AM$2001&lt;=7))</f>
        <v>0</v>
      </c>
      <c r="H95" s="49">
        <f ca="1">SUMPRODUCT((元データ!$AL$2:$AL$2001=1)*(元データ!$AN$2:$AN$2001=1)*(元データ!$AE$2:$AE$2001=$C$94)*(元データ!$AO$2:$AO$2001=0)*(元データ!$AM$2:$AM$2001&lt;=7)*(元データ!$E$2:$E$2001="20 確認待ち"))</f>
        <v>0</v>
      </c>
      <c r="I95" s="57" t="str" cm="1">
        <f t="array" aca="1" ref="I95" ca="1">IFERROR(_xlfn.TEXTJOIN(CHAR(10),TRUE,IF((元データ!$AL$2:$AL$2001=1)*(元データ!$AN$2:$AN$2001=1)*(元データ!$AE$2:$AE$2001=$C$94)*(元データ!$AO$2:$AO$2001=0)*(元データ!$AM$2:$AM$2001&lt;=7)*(元データ!$E$2:$E$2001="20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95" s="57"/>
      <c r="K95" s="57"/>
      <c r="L95" s="49">
        <f ca="1">SUMPRODUCT((元データ!$AL$2:$AL$2001=1)*(元データ!$AN$2:$AN$2001=1)*(元データ!$AE$2:$AE$2001=$C$94)*(元データ!$AO$2:$AO$2001=0)*(元データ!$AM$2:$AM$2001&lt;=7)*(元データ!$E$2:$E$2001="30 申請受付"))</f>
        <v>0</v>
      </c>
      <c r="M95" s="57" t="str" cm="1">
        <f t="array" aca="1" ref="M95" ca="1">IFERROR(_xlfn.TEXTJOIN(CHAR(10),TRUE,IF((元データ!$AL$2:$AL$2001=1)*(元データ!$AN$2:$AN$2001=1)*(元データ!$AE$2:$AE$2001=$C$94)*(元データ!$AO$2:$AO$2001=0)*(元データ!$AM$2:$AM$2001&lt;=7)*(元データ!$E$2:$E$2001="30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95" s="57"/>
      <c r="O95" s="57"/>
      <c r="P95" s="49">
        <f ca="1">SUMPRODUCT((元データ!$AL$2:$AL$2001=1)*(元データ!$AN$2:$AN$2001=1)*(元データ!$AE$2:$AE$2001=$C$94)*(元データ!$AO$2:$AO$2001=0)*(元データ!$AM$2:$AM$2001&lt;=7)*(元データ!$E$2:$E$2001="31 ＯＰ確認中"))</f>
        <v>0</v>
      </c>
      <c r="Q95" s="57" t="str" cm="1">
        <f t="array" aca="1" ref="Q95" ca="1">IFERROR(_xlfn.TEXTJOIN(CHAR(10),TRUE,IF((元データ!$AL$2:$AL$2001=1)*(元データ!$AN$2:$AN$2001=1)*(元データ!$AE$2:$AE$2001=$C$94)*(元データ!$AO$2:$AO$2001=0)*(元データ!$AM$2:$AM$2001&lt;=7)*(元データ!$E$2:$E$2001="31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95" s="57"/>
      <c r="S95" s="57"/>
      <c r="T95" s="49">
        <f ca="1">SUMPRODUCT((元データ!$AL$2:$AL$2001=1)*(元データ!$AN$2:$AN$2001=1)*(元データ!$AE$2:$AE$2001=$C$94)*(元データ!$AO$2:$AO$2001=0)*(元データ!$AM$2:$AM$2001&lt;=7)*(元データ!$E$2:$E$2001="32 ＳＶ確認中"))</f>
        <v>0</v>
      </c>
      <c r="U95" s="57" t="str" cm="1">
        <f t="array" aca="1" ref="U95" ca="1">IFERROR(_xlfn.TEXTJOIN(CHAR(10),TRUE,IF((元データ!$AL$2:$AL$2001=1)*(元データ!$AN$2:$AN$2001=1)*(元データ!$AE$2:$AE$2001=$C$94)*(元データ!$AO$2:$AO$2001=0)*(元データ!$AM$2:$AM$2001&lt;=7)*(元データ!$E$2:$E$2001="32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95" s="57"/>
      <c r="W95" s="57"/>
      <c r="X95" s="49">
        <f ca="1">SUMPRODUCT((元データ!$AL$2:$AL$2001=1)*(元データ!$AN$2:$AN$2001=1)*(元データ!$AE$2:$AE$2001=$C$94)*(元データ!$AO$2:$AO$2001=0)*(元データ!$AM$2:$AM$2001&gt;=8)*(元データ!$AM$2:$AM$2001&lt;=14))</f>
        <v>0</v>
      </c>
      <c r="Y95" s="49">
        <f ca="1">SUMPRODUCT((元データ!$AL$2:$AL$2001=1)*(元データ!$AN$2:$AN$2001=1)*(元データ!$AE$2:$AE$2001=$C$94)*(元データ!$AO$2:$AO$2001=0)*(元データ!$AM$2:$AM$2001&gt;=8)*(元データ!$AM$2:$AM$2001&lt;=14)*(元データ!$E$2:$E$2001="20 確認待ち"))</f>
        <v>0</v>
      </c>
      <c r="Z95" s="57" t="str" cm="1">
        <f t="array" aca="1" ref="Z95" ca="1">IFERROR(_xlfn.TEXTJOIN(CHAR(10),TRUE,IF((元データ!$AL$2:$AL$2001=1)*(元データ!$AN$2:$AN$2001=1)*(元データ!$AE$2:$AE$2001=$C$94)*(元データ!$AO$2:$AO$2001=0)*(元データ!$AM$2:$AM$2001&gt;=8)*(元データ!$AM$2:$AM$2001&lt;=14)*(元データ!$E$2:$E$2001="20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5" s="57"/>
      <c r="AB95" s="57"/>
      <c r="AC95" s="49">
        <f ca="1">SUMPRODUCT((元データ!$AL$2:$AL$2001=1)*(元データ!$AN$2:$AN$2001=1)*(元データ!$AE$2:$AE$2001=$C$94)*(元データ!$AO$2:$AO$2001=0)*(元データ!$AM$2:$AM$2001&gt;=8)*(元データ!$AM$2:$AM$2001&lt;=14)*(元データ!$E$2:$E$2001="30 申請受付"))</f>
        <v>0</v>
      </c>
      <c r="AD95" s="57" t="str" cm="1">
        <f t="array" aca="1" ref="AD95" ca="1">IFERROR(_xlfn.TEXTJOIN(CHAR(10),TRUE,IF((元データ!$AL$2:$AL$2001=1)*(元データ!$AN$2:$AN$2001=1)*(元データ!$AE$2:$AE$2001=$C$94)*(元データ!$AO$2:$AO$2001=0)*(元データ!$AM$2:$AM$2001&gt;=8)*(元データ!$AM$2:$AM$2001&lt;=14)*(元データ!$E$2:$E$2001="30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5" s="57"/>
      <c r="AF95" s="57"/>
      <c r="AG95" s="49">
        <f ca="1">SUMPRODUCT((元データ!$AL$2:$AL$2001=1)*(元データ!$AN$2:$AN$2001=1)*(元データ!$AE$2:$AE$2001=$C$94)*(元データ!$AO$2:$AO$2001=0)*(元データ!$AM$2:$AM$2001&gt;=8)*(元データ!$AM$2:$AM$2001&lt;=14)*(元データ!$E$2:$E$2001="31 ＯＰ確認中"))</f>
        <v>0</v>
      </c>
      <c r="AH95" s="57" t="str" cm="1">
        <f t="array" aca="1" ref="AH95" ca="1">IFERROR(_xlfn.TEXTJOIN(CHAR(10),TRUE,IF((元データ!$AL$2:$AL$2001=1)*(元データ!$AN$2:$AN$2001=1)*(元データ!$AE$2:$AE$2001=$C$94)*(元データ!$AO$2:$AO$2001=0)*(元データ!$AM$2:$AM$2001&gt;=8)*(元データ!$AM$2:$AM$2001&lt;=14)*(元データ!$E$2:$E$2001="31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5" s="57"/>
      <c r="AJ95" s="57"/>
      <c r="AK95" s="49">
        <f ca="1">SUMPRODUCT((元データ!$AL$2:$AL$2001=1)*(元データ!$AN$2:$AN$2001=1)*(元データ!$AE$2:$AE$2001=$C$94)*(元データ!$AO$2:$AO$2001=0)*(元データ!$AM$2:$AM$2001&gt;=8)*(元データ!$AM$2:$AM$2001&lt;=14)*(元データ!$E$2:$E$2001="32 ＳＶ確認中"))</f>
        <v>0</v>
      </c>
      <c r="AL95" s="57" t="str" cm="1">
        <f t="array" aca="1" ref="AL95" ca="1">IFERROR(_xlfn.TEXTJOIN(CHAR(10),TRUE,IF((元データ!$AL$2:$AL$2001=1)*(元データ!$AN$2:$AN$2001=1)*(元データ!$AE$2:$AE$2001=$C$94)*(元データ!$AO$2:$AO$2001=0)*(元データ!$AM$2:$AM$2001&gt;=8)*(元データ!$AM$2:$AM$2001&lt;=14)*(元データ!$E$2:$E$2001="32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5" s="57">
        <f ca="1">SUMPRODUCT((元データ!$AL$2:$AL$2001=1)*(元データ!$AN$2:$AN$2001=1)*(元データ!$AE$2:$AE$2001=$C$94)*(元データ!$AO$2:$AO$2001=0)*(元データ!$AM$2:$AM$2001&gt;=8)*(元データ!$AM$2:$AM$2001&lt;=14)*(元データ!$E$2:$E$2001="40 差戻し"))</f>
        <v>0</v>
      </c>
      <c r="AN95" s="57" t="str" cm="1">
        <f t="array" aca="1" ref="AN95" ca="1">IFERROR(_xlfn.TEXTJOIN(CHAR(10),TRUE,IF((元データ!$AL$2:$AL$2001=1)*(元データ!$AN$2:$AN$2001=1)*(元データ!$AE$2:$AE$2001=$C$94)*(元データ!$AO$2:$AO$2001=0)*(元データ!$AM$2:$AM$2001&gt;=8)*(元データ!$AM$2:$AM$2001&lt;=14)*(元データ!$E$2:$E$2001="40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5" s="44">
        <f ca="1">SUMPRODUCT((元データ!$AL$2:$AL$2001=1)*(元データ!$AN$2:$AN$2001=1)*(元データ!$AE$2:$AE$2001=$C$94)*(元データ!$AO$2:$AO$2001=0)*(元データ!$AM$2:$AM$2001&gt;=15)*(元データ!$AM$2:$AM$2001&lt;=21))</f>
        <v>0</v>
      </c>
      <c r="AP95" s="44">
        <f ca="1">SUMPRODUCT((元データ!$AL$2:$AL$2001=1)*(元データ!$AN$2:$AN$2001=1)*(元データ!$AE$2:$AE$2001=$C$94)*(元データ!$AO$2:$AO$2001=0)*(元データ!$AM$2:$AM$2001&gt;=15)*(元データ!$AM$2:$AM$2001&lt;=21)*(元データ!$E$2:$E$2001="20 確認待ち"))</f>
        <v>0</v>
      </c>
      <c r="AQ95" s="58" t="str" cm="1">
        <f t="array" aca="1" ref="AQ95" ca="1">IFERROR(_xlfn.TEXTJOIN(CHAR(10),TRUE,IF((元データ!$AL$2:$AL$2001=1)*(元データ!$AN$2:$AN$2001=1)*(元データ!$AE$2:$AE$2001=$C$94)*(元データ!$AO$2:$AO$2001=0)*(元データ!$AM$2:$AM$2001&gt;=15)*(元データ!$AM$2:$AM$2001&lt;=21)*(元データ!$E$2:$E$2001="20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5" s="58"/>
      <c r="AS95" s="58"/>
      <c r="AT95" s="44">
        <f ca="1">SUMPRODUCT((元データ!$AL$2:$AL$2001=1)*(元データ!$AN$2:$AN$2001=1)*(元データ!$AE$2:$AE$2001=$C$94)*(元データ!$AO$2:$AO$2001=0)*(元データ!$AM$2:$AM$2001&gt;=15)*(元データ!$AM$2:$AM$2001&lt;=21)*(元データ!$E$2:$E$2001="30 申請受付"))</f>
        <v>0</v>
      </c>
      <c r="AU95" s="58" t="str" cm="1">
        <f t="array" aca="1" ref="AU95" ca="1">IFERROR(_xlfn.TEXTJOIN(CHAR(10),TRUE,IF((元データ!$AL$2:$AL$2001=1)*(元データ!$AN$2:$AN$2001=1)*(元データ!$AE$2:$AE$2001=$C$94)*(元データ!$AO$2:$AO$2001=0)*(元データ!$AM$2:$AM$2001&gt;=15)*(元データ!$AM$2:$AM$2001&lt;=21)*(元データ!$E$2:$E$2001="30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5" s="58"/>
      <c r="AW95" s="58"/>
      <c r="AX95" s="44">
        <f ca="1">SUMPRODUCT((元データ!$AL$2:$AL$2001=1)*(元データ!$AN$2:$AN$2001=1)*(元データ!$AE$2:$AE$2001=$C$94)*(元データ!$AO$2:$AO$2001=0)*(元データ!$AM$2:$AM$2001&gt;=15)*(元データ!$AM$2:$AM$2001&lt;=21)*(元データ!$E$2:$E$2001="31 ＯＰ確認中"))</f>
        <v>0</v>
      </c>
      <c r="AY95" s="58" t="str" cm="1">
        <f t="array" aca="1" ref="AY95" ca="1">IFERROR(_xlfn.TEXTJOIN(CHAR(10),TRUE,IF((元データ!$AL$2:$AL$2001=1)*(元データ!$AN$2:$AN$2001=1)*(元データ!$AE$2:$AE$2001=$C$94)*(元データ!$AO$2:$AO$2001=0)*(元データ!$AM$2:$AM$2001&gt;=15)*(元データ!$AM$2:$AM$2001&lt;=21)*(元データ!$E$2:$E$2001="31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5" s="58"/>
      <c r="BA95" s="58"/>
      <c r="BB95" s="44">
        <f ca="1">SUMPRODUCT((元データ!$AL$2:$AL$2001=1)*(元データ!$AN$2:$AN$2001=1)*(元データ!$AE$2:$AE$2001=$C$94)*(元データ!$AO$2:$AO$2001=0)*(元データ!$AM$2:$AM$2001&gt;=15)*(元データ!$AM$2:$AM$2001&lt;=21)*(元データ!$E$2:$E$2001="32 ＳＶ確認中"))</f>
        <v>0</v>
      </c>
      <c r="BC95" s="58" t="str" cm="1">
        <f t="array" aca="1" ref="BC95" ca="1">IFERROR(_xlfn.TEXTJOIN(CHAR(10),TRUE,IF((元データ!$AL$2:$AL$2001=1)*(元データ!$AN$2:$AN$2001=1)*(元データ!$AE$2:$AE$2001=$C$94)*(元データ!$AO$2:$AO$2001=0)*(元データ!$AM$2:$AM$2001&gt;=15)*(元データ!$AM$2:$AM$2001&lt;=21)*(元データ!$E$2:$E$2001="32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5" s="58">
        <f ca="1">SUMPRODUCT((元データ!$AL$2:$AL$2001=1)*(元データ!$AN$2:$AN$2001=1)*(元データ!$AE$2:$AE$2001=$C$94)*(元データ!$AO$2:$AO$2001=0)*(元データ!$AM$2:$AM$2001&gt;=15)*(元データ!$AM$2:$AM$2001&lt;=21)*(元データ!$E$2:$E$2001="40 差戻し"))</f>
        <v>0</v>
      </c>
      <c r="BE95" s="58" t="str" cm="1">
        <f t="array" aca="1" ref="BE95" ca="1">IFERROR(_xlfn.TEXTJOIN(CHAR(10),TRUE,IF((元データ!$AL$2:$AL$2001=1)*(元データ!$AN$2:$AN$2001=1)*(元データ!$AE$2:$AE$2001=$C$94)*(元データ!$AO$2:$AO$2001=0)*(元データ!$AM$2:$AM$2001&gt;=15)*(元データ!$AM$2:$AM$2001&lt;=21)*(元データ!$E$2:$E$2001="40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5" s="45">
        <f ca="1">SUMPRODUCT((元データ!$AL$2:$AL$2001=1)*(元データ!$AN$2:$AN$2001=1)*(元データ!$AE$2:$AE$2001=$C$94)*(元データ!$AO$2:$AO$2001=0)*(元データ!$AM$2:$AM$2001&gt;=22)*(元データ!$AM$2:$AM$2001&lt;=30))</f>
        <v>0</v>
      </c>
      <c r="BG95" s="45">
        <f ca="1">SUMPRODUCT((元データ!$AL$2:$AL$2001=1)*(元データ!$AN$2:$AN$2001=1)*(元データ!$AE$2:$AE$2001=$C$94)*(元データ!$AO$2:$AO$2001=0)*(元データ!$AM$2:$AM$2001&gt;=22)*(元データ!$AM$2:$AM$2001&lt;=30)*(元データ!$E$2:$E$2001="20 確認待ち"))</f>
        <v>0</v>
      </c>
      <c r="BH95" s="59" t="str" cm="1">
        <f t="array" aca="1" ref="BH95" ca="1">IFERROR(_xlfn.TEXTJOIN(CHAR(10),TRUE,IF((元データ!$AL$2:$AL$2001=1)*(元データ!$AN$2:$AN$2001=1)*(元データ!$AE$2:$AE$2001=$C$94)*(元データ!$AO$2:$AO$2001=0)*(元データ!$AM$2:$AM$2001&gt;=22)*(元データ!$AM$2:$AM$2001&lt;=30)*(元データ!$E$2:$E$2001="20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5" s="59"/>
      <c r="BJ95" s="59"/>
      <c r="BK95" s="45">
        <f ca="1">SUMPRODUCT((元データ!$AL$2:$AL$2001=1)*(元データ!$AN$2:$AN$2001=1)*(元データ!$AE$2:$AE$2001=$C$94)*(元データ!$AO$2:$AO$2001=0)*(元データ!$AM$2:$AM$2001&gt;=22)*(元データ!$AM$2:$AM$2001&lt;=30)*(元データ!$E$2:$E$2001="30 申請受付"))</f>
        <v>0</v>
      </c>
      <c r="BL95" s="59" t="str" cm="1">
        <f t="array" aca="1" ref="BL95" ca="1">IFERROR(_xlfn.TEXTJOIN(CHAR(10),TRUE,IF((元データ!$AL$2:$AL$2001=1)*(元データ!$AN$2:$AN$2001=1)*(元データ!$AE$2:$AE$2001=$C$94)*(元データ!$AO$2:$AO$2001=0)*(元データ!$AM$2:$AM$2001&gt;=22)*(元データ!$AM$2:$AM$2001&lt;=30)*(元データ!$E$2:$E$2001="30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5" s="59"/>
      <c r="BN95" s="59"/>
      <c r="BO95" s="45">
        <f ca="1">SUMPRODUCT((元データ!$AL$2:$AL$2001=1)*(元データ!$AN$2:$AN$2001=1)*(元データ!$AE$2:$AE$2001=$C$94)*(元データ!$AO$2:$AO$2001=0)*(元データ!$AM$2:$AM$2001&gt;=22)*(元データ!$AM$2:$AM$2001&lt;=30)*(元データ!$E$2:$E$2001="31 ＯＰ確認中"))</f>
        <v>0</v>
      </c>
      <c r="BP95" s="59" t="str" cm="1">
        <f t="array" aca="1" ref="BP95" ca="1">IFERROR(_xlfn.TEXTJOIN(CHAR(10),TRUE,IF((元データ!$AL$2:$AL$2001=1)*(元データ!$AN$2:$AN$2001=1)*(元データ!$AE$2:$AE$2001=$C$94)*(元データ!$AO$2:$AO$2001=0)*(元データ!$AM$2:$AM$2001&gt;=22)*(元データ!$AM$2:$AM$2001&lt;=30)*(元データ!$E$2:$E$2001="31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5" s="59"/>
      <c r="BR95" s="59"/>
      <c r="BS95" s="45">
        <f ca="1">SUMPRODUCT((元データ!$AL$2:$AL$2001=1)*(元データ!$AN$2:$AN$2001=1)*(元データ!$AE$2:$AE$2001=$C$94)*(元データ!$AO$2:$AO$2001=0)*(元データ!$AM$2:$AM$2001&gt;=22)*(元データ!$AM$2:$AM$2001&lt;=30)*(元データ!$E$2:$E$2001="32 ＳＶ確認中"))</f>
        <v>0</v>
      </c>
      <c r="BT95" s="59" t="str" cm="1">
        <f t="array" aca="1" ref="BT95" ca="1">IFERROR(_xlfn.TEXTJOIN(CHAR(10),TRUE,IF((元データ!$AL$2:$AL$2001=1)*(元データ!$AN$2:$AN$2001=1)*(元データ!$AE$2:$AE$2001=$C$94)*(元データ!$AO$2:$AO$2001=0)*(元データ!$AM$2:$AM$2001&gt;=22)*(元データ!$AM$2:$AM$2001&lt;=30)*(元データ!$E$2:$E$2001="32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95" s="59">
        <f ca="1">SUMPRODUCT((元データ!$AL$2:$AL$2001=1)*(元データ!$AN$2:$AN$2001=1)*(元データ!$AE$2:$AE$2001=$C$94)*(元データ!$AO$2:$AO$2001=0)*(元データ!$AM$2:$AM$2001&gt;=22)*(元データ!$AM$2:$AM$2001&lt;=30)*(元データ!$E$2:$E$2001="40 差戻し"))</f>
        <v>0</v>
      </c>
      <c r="BV95" s="59" t="str" cm="1">
        <f t="array" aca="1" ref="BV95" ca="1">IFERROR(_xlfn.TEXTJOIN(CHAR(10),TRUE,IF((元データ!$AL$2:$AL$2001=1)*(元データ!$AN$2:$AN$2001=1)*(元データ!$AE$2:$AE$2001=$C$94)*(元データ!$AO$2:$AO$2001=0)*(元データ!$AM$2:$AM$2001&gt;=22)*(元データ!$AM$2:$AM$2001&lt;=30)*(元データ!$E$2:$E$2001="40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5" s="46">
        <f ca="1">SUMPRODUCT((元データ!$AL$2:$AL$2001=1)*(元データ!$AN$2:$AN$2001=1)*(元データ!$AE$2:$AE$2001=$C$94)*(元データ!$AO$2:$AO$2001=0)*(元データ!$AM$2:$AM$2001&gt;=31))</f>
        <v>3</v>
      </c>
      <c r="BX95" s="46">
        <f ca="1">SUMPRODUCT((元データ!$AL$2:$AL$2001=1)*(元データ!$AN$2:$AN$2001=1)*(元データ!$AE$2:$AE$2001=$C$94)*(元データ!$AO$2:$AO$2001=0)*(元データ!$AM$2:$AM$2001&gt;=31)*(元データ!$E$2:$E$2001="20 確認待ち"))</f>
        <v>0</v>
      </c>
      <c r="BY95" s="56" t="str" cm="1">
        <f t="array" aca="1" ref="BY95" ca="1">IFERROR(_xlfn.TEXTJOIN(CHAR(10),TRUE,IF((元データ!$AL$2:$AL$2001=1)*(元データ!$AN$2:$AN$2001=1)*(元データ!$AE$2:$AE$2001=$C$94)*(元データ!$AO$2:$AO$2001=0)*(元データ!$AM$2:$AM$2001&gt;=31)*(元データ!$E$2:$E$2001="20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95" s="56"/>
      <c r="CA95" s="56"/>
      <c r="CB95" s="46">
        <f ca="1">SUMPRODUCT((元データ!$AL$2:$AL$2001=1)*(元データ!$AN$2:$AN$2001=1)*(元データ!$AE$2:$AE$2001=$C$94)*(元データ!$AO$2:$AO$2001=0)*(元データ!$AM$2:$AM$2001&gt;=31)*(元データ!$E$2:$E$2001="30 申請受付"))</f>
        <v>0</v>
      </c>
      <c r="CC95" s="56" t="str" cm="1">
        <f t="array" aca="1" ref="CC95" ca="1">IFERROR(_xlfn.TEXTJOIN(CHAR(10),TRUE,IF((元データ!$AL$2:$AL$2001=1)*(元データ!$AN$2:$AN$2001=1)*(元データ!$AE$2:$AE$2001=$C$94)*(元データ!$AO$2:$AO$2001=0)*(元データ!$AM$2:$AM$2001&gt;=31)*(元データ!$E$2:$E$2001="30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95" s="56"/>
      <c r="CE95" s="56"/>
      <c r="CF95" s="46">
        <f ca="1">SUMPRODUCT((元データ!$AL$2:$AL$2001=1)*(元データ!$AN$2:$AN$2001=1)*(元データ!$AE$2:$AE$2001=$C$94)*(元データ!$AO$2:$AO$2001=0)*(元データ!$AM$2:$AM$2001&gt;=31)*(元データ!$E$2:$E$2001="31 ＯＰ確認中"))</f>
        <v>2</v>
      </c>
      <c r="CG95" s="56" t="str" cm="1">
        <f t="array" aca="1" ref="CG95" ca="1">IFERROR(_xlfn.TEXTJOIN(CHAR(10),TRUE,IF((元データ!$AL$2:$AL$2001=1)*(元データ!$AN$2:$AN$2001=1)*(元データ!$AE$2:$AE$2001=$C$94)*(元データ!$AO$2:$AO$2001=0)*(元データ!$AM$2:$AM$2001&gt;=31)*(元データ!$E$2:$E$2001="31 ＯＰ確認中"),元データ!$A$2:$A$2001&amp;IF(元データ!$AP$2:$AP$2001&lt;&gt;"","（"&amp;MID(元データ!$AP$2:$AP$2001,2,100)&amp;")",""),"")),"")</f>
        <v>200960002929
202660001352（SV)</v>
      </c>
      <c r="CH95" s="56"/>
      <c r="CI95" s="56"/>
      <c r="CJ95" s="46">
        <f ca="1">SUMPRODUCT((元データ!$AL$2:$AL$2001=1)*(元データ!$AN$2:$AN$2001=1)*(元データ!$AE$2:$AE$2001=$C$94)*(元データ!$AO$2:$AO$2001=0)*(元データ!$AM$2:$AM$2001&gt;=31)*(元データ!$E$2:$E$2001="32 ＳＶ確認中"))</f>
        <v>0</v>
      </c>
      <c r="CK95" s="56" t="str" cm="1">
        <f t="array" aca="1" ref="CK95" ca="1">IFERROR(_xlfn.TEXTJOIN(CHAR(10),TRUE,IF((元データ!$AL$2:$AL$2001=1)*(元データ!$AN$2:$AN$2001=1)*(元データ!$AE$2:$AE$2001=$C$94)*(元データ!$AO$2:$AO$2001=0)*(元データ!$AM$2:$AM$2001&gt;=31)*(元データ!$E$2:$E$2001="32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95" s="56">
        <f ca="1">SUMPRODUCT((元データ!$AL$2:$AL$2001=1)*(元データ!$AN$2:$AN$2001=1)*(元データ!$AE$2:$AE$2001=$C$94)*(元データ!$AO$2:$AO$2001=0)*(元データ!$AM$2:$AM$2001&gt;=31)*(元データ!$E$2:$E$2001="40 差戻し"))</f>
        <v>1</v>
      </c>
      <c r="CM95" s="56" t="str" cm="1">
        <f t="array" aca="1" ref="CM95" ca="1">IFERROR(_xlfn.TEXTJOIN(CHAR(10),TRUE,IF((元データ!$AL$2:$AL$2001=1)*(元データ!$AN$2:$AN$2001=1)*(元データ!$AE$2:$AE$2001=$C$94)*(元データ!$AO$2:$AO$2001=0)*(元データ!$AM$2:$AM$2001&gt;=31)*(元データ!$E$2:$E$2001="40 差戻し"),元データ!$A$2:$A$2001&amp;IF(元データ!$AP$2:$AP$2001&lt;&gt;"","（"&amp;MID(元データ!$AP$2:$AP$2001,2,100)&amp;")",""),"")),"")</f>
        <v>202560002878（添待ち)</v>
      </c>
    </row>
    <row r="96" spans="2:91" ht="24.95" customHeight="1">
      <c r="B96" s="91"/>
      <c r="C96" s="63" t="s">
        <v>56</v>
      </c>
      <c r="D96" s="63"/>
      <c r="E96" s="41" t="s">
        <v>133</v>
      </c>
      <c r="F96" s="42">
        <f>SUMPRODUCT((元データ!$AL$2:$AL$2001=1)*(元データ!$AN$2:$AN$2001=1)*(元データ!$AE$2:$AE$2001=$C$96)*(元データ!$AO$2:$AO$2001=1))</f>
        <v>11</v>
      </c>
      <c r="G96" s="43">
        <f ca="1">SUMPRODUCT((元データ!$AL$2:$AL$2001=1)*(元データ!$AN$2:$AN$2001=1)*(元データ!$AE$2:$AE$2001=$C$96)*(元データ!$AO$2:$AO$2001=1)*(元データ!$AM$2:$AM$2001&lt;=7))</f>
        <v>0</v>
      </c>
      <c r="H96" s="43">
        <f ca="1">SUMPRODUCT((元データ!$AL$2:$AL$2001=1)*(元データ!$AN$2:$AN$2001=1)*(元データ!$AE$2:$AE$2001=$C$96)*(元データ!$AO$2:$AO$2001=1)*(元データ!$AM$2:$AM$2001&lt;=7)*(元データ!$E$2:$E$2001="20 確認待ち"))</f>
        <v>0</v>
      </c>
      <c r="I96" s="61" t="str" cm="1">
        <f t="array" aca="1" ref="I96" ca="1">IFERROR(_xlfn.TEXTJOIN(CHAR(10),TRUE,IF((元データ!$AL$2:$AL$2001=1)*(元データ!$AN$2:$AN$2001=1)*(元データ!$AE$2:$AE$2001=$C$96)*(元データ!$AO$2:$AO$2001=1)*(元データ!$AM$2:$AM$2001&lt;=7)*(元データ!$E$2:$E$2001="20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96" s="61"/>
      <c r="K96" s="61"/>
      <c r="L96" s="43">
        <f ca="1">SUMPRODUCT((元データ!$AL$2:$AL$2001=1)*(元データ!$AN$2:$AN$2001=1)*(元データ!$AE$2:$AE$2001=$C$96)*(元データ!$AO$2:$AO$2001=1)*(元データ!$AM$2:$AM$2001&lt;=7)*(元データ!$E$2:$E$2001="30 申請受付"))</f>
        <v>0</v>
      </c>
      <c r="M96" s="61" t="str" cm="1">
        <f t="array" aca="1" ref="M96" ca="1">IFERROR(_xlfn.TEXTJOIN(CHAR(10),TRUE,IF((元データ!$AL$2:$AL$2001=1)*(元データ!$AN$2:$AN$2001=1)*(元データ!$AE$2:$AE$2001=$C$96)*(元データ!$AO$2:$AO$2001=1)*(元データ!$AM$2:$AM$2001&lt;=7)*(元データ!$E$2:$E$2001="30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96" s="61"/>
      <c r="O96" s="61"/>
      <c r="P96" s="43">
        <f ca="1">SUMPRODUCT((元データ!$AL$2:$AL$2001=1)*(元データ!$AN$2:$AN$2001=1)*(元データ!$AE$2:$AE$2001=$C$96)*(元データ!$AO$2:$AO$2001=1)*(元データ!$AM$2:$AM$2001&lt;=7)*(元データ!$E$2:$E$2001="31 ＯＰ確認中"))</f>
        <v>0</v>
      </c>
      <c r="Q96" s="61" t="str" cm="1">
        <f t="array" aca="1" ref="Q96" ca="1">IFERROR(_xlfn.TEXTJOIN(CHAR(10),TRUE,IF((元データ!$AL$2:$AL$2001=1)*(元データ!$AN$2:$AN$2001=1)*(元データ!$AE$2:$AE$2001=$C$96)*(元データ!$AO$2:$AO$2001=1)*(元データ!$AM$2:$AM$2001&lt;=7)*(元データ!$E$2:$E$2001="31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96" s="61"/>
      <c r="S96" s="61"/>
      <c r="T96" s="43">
        <f ca="1">SUMPRODUCT((元データ!$AL$2:$AL$2001=1)*(元データ!$AN$2:$AN$2001=1)*(元データ!$AE$2:$AE$2001=$C$96)*(元データ!$AO$2:$AO$2001=1)*(元データ!$AM$2:$AM$2001&lt;=7)*(元データ!$E$2:$E$2001="32 ＳＶ確認中"))</f>
        <v>0</v>
      </c>
      <c r="U96" s="61" t="str" cm="1">
        <f t="array" aca="1" ref="U96" ca="1">IFERROR(_xlfn.TEXTJOIN(CHAR(10),TRUE,IF((元データ!$AL$2:$AL$2001=1)*(元データ!$AN$2:$AN$2001=1)*(元データ!$AE$2:$AE$2001=$C$96)*(元データ!$AO$2:$AO$2001=1)*(元データ!$AM$2:$AM$2001&lt;=7)*(元データ!$E$2:$E$2001="32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96" s="61"/>
      <c r="W96" s="61"/>
      <c r="X96" s="43">
        <f ca="1">SUMPRODUCT((元データ!$AL$2:$AL$2001=1)*(元データ!$AN$2:$AN$2001=1)*(元データ!$AE$2:$AE$2001=$C$96)*(元データ!$AO$2:$AO$2001=1)*(元データ!$AM$2:$AM$2001&gt;=8)*(元データ!$AM$2:$AM$2001&lt;=14))</f>
        <v>0</v>
      </c>
      <c r="Y96" s="43">
        <f ca="1">SUMPRODUCT((元データ!$AL$2:$AL$2001=1)*(元データ!$AN$2:$AN$2001=1)*(元データ!$AE$2:$AE$2001=$C$96)*(元データ!$AO$2:$AO$2001=1)*(元データ!$AM$2:$AM$2001&gt;=8)*(元データ!$AM$2:$AM$2001&lt;=14)*(元データ!$E$2:$E$2001="20 確認待ち"))</f>
        <v>0</v>
      </c>
      <c r="Z96" s="61" t="str" cm="1">
        <f t="array" aca="1" ref="Z96" ca="1">IFERROR(_xlfn.TEXTJOIN(CHAR(10),TRUE,IF((元データ!$AL$2:$AL$2001=1)*(元データ!$AN$2:$AN$2001=1)*(元データ!$AE$2:$AE$2001=$C$96)*(元データ!$AO$2:$AO$2001=1)*(元データ!$AM$2:$AM$2001&gt;=8)*(元データ!$AM$2:$AM$2001&lt;=14)*(元データ!$E$2:$E$2001="20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6" s="61"/>
      <c r="AB96" s="61"/>
      <c r="AC96" s="43">
        <f ca="1">SUMPRODUCT((元データ!$AL$2:$AL$2001=1)*(元データ!$AN$2:$AN$2001=1)*(元データ!$AE$2:$AE$2001=$C$96)*(元データ!$AO$2:$AO$2001=1)*(元データ!$AM$2:$AM$2001&gt;=8)*(元データ!$AM$2:$AM$2001&lt;=14)*(元データ!$E$2:$E$2001="30 申請受付"))</f>
        <v>0</v>
      </c>
      <c r="AD96" s="61" t="str" cm="1">
        <f t="array" aca="1" ref="AD96" ca="1">IFERROR(_xlfn.TEXTJOIN(CHAR(10),TRUE,IF((元データ!$AL$2:$AL$2001=1)*(元データ!$AN$2:$AN$2001=1)*(元データ!$AE$2:$AE$2001=$C$96)*(元データ!$AO$2:$AO$2001=1)*(元データ!$AM$2:$AM$2001&gt;=8)*(元データ!$AM$2:$AM$2001&lt;=14)*(元データ!$E$2:$E$2001="30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6" s="61"/>
      <c r="AF96" s="61"/>
      <c r="AG96" s="43">
        <f ca="1">SUMPRODUCT((元データ!$AL$2:$AL$2001=1)*(元データ!$AN$2:$AN$2001=1)*(元データ!$AE$2:$AE$2001=$C$96)*(元データ!$AO$2:$AO$2001=1)*(元データ!$AM$2:$AM$2001&gt;=8)*(元データ!$AM$2:$AM$2001&lt;=14)*(元データ!$E$2:$E$2001="31 ＯＰ確認中"))</f>
        <v>0</v>
      </c>
      <c r="AH96" s="61" t="str" cm="1">
        <f t="array" aca="1" ref="AH96" ca="1">IFERROR(_xlfn.TEXTJOIN(CHAR(10),TRUE,IF((元データ!$AL$2:$AL$2001=1)*(元データ!$AN$2:$AN$2001=1)*(元データ!$AE$2:$AE$2001=$C$96)*(元データ!$AO$2:$AO$2001=1)*(元データ!$AM$2:$AM$2001&gt;=8)*(元データ!$AM$2:$AM$2001&lt;=14)*(元データ!$E$2:$E$2001="31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6" s="61"/>
      <c r="AJ96" s="61"/>
      <c r="AK96" s="43">
        <f ca="1">SUMPRODUCT((元データ!$AL$2:$AL$2001=1)*(元データ!$AN$2:$AN$2001=1)*(元データ!$AE$2:$AE$2001=$C$96)*(元データ!$AO$2:$AO$2001=1)*(元データ!$AM$2:$AM$2001&gt;=8)*(元データ!$AM$2:$AM$2001&lt;=14)*(元データ!$E$2:$E$2001="32 ＳＶ確認中"))</f>
        <v>0</v>
      </c>
      <c r="AL96" s="61" t="str" cm="1">
        <f t="array" aca="1" ref="AL96" ca="1">IFERROR(_xlfn.TEXTJOIN(CHAR(10),TRUE,IF((元データ!$AL$2:$AL$2001=1)*(元データ!$AN$2:$AN$2001=1)*(元データ!$AE$2:$AE$2001=$C$96)*(元データ!$AO$2:$AO$2001=1)*(元データ!$AM$2:$AM$2001&gt;=8)*(元データ!$AM$2:$AM$2001&lt;=14)*(元データ!$E$2:$E$2001="32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6" s="61">
        <f ca="1">SUMPRODUCT((元データ!$AL$2:$AL$2001=1)*(元データ!$AN$2:$AN$2001=1)*(元データ!$AE$2:$AE$2001=$C$96)*(元データ!$AO$2:$AO$2001=1)*(元データ!$AM$2:$AM$2001&gt;=8)*(元データ!$AM$2:$AM$2001&lt;=14)*(元データ!$E$2:$E$2001="40 差戻し"))</f>
        <v>0</v>
      </c>
      <c r="AN96" s="61" t="str" cm="1">
        <f t="array" aca="1" ref="AN96" ca="1">IFERROR(_xlfn.TEXTJOIN(CHAR(10),TRUE,IF((元データ!$AL$2:$AL$2001=1)*(元データ!$AN$2:$AN$2001=1)*(元データ!$AE$2:$AE$2001=$C$96)*(元データ!$AO$2:$AO$2001=1)*(元データ!$AM$2:$AM$2001&gt;=8)*(元データ!$AM$2:$AM$2001&lt;=14)*(元データ!$E$2:$E$2001="40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6" s="44">
        <f ca="1">SUMPRODUCT((元データ!$AL$2:$AL$2001=1)*(元データ!$AN$2:$AN$2001=1)*(元データ!$AE$2:$AE$2001=$C$96)*(元データ!$AO$2:$AO$2001=1)*(元データ!$AM$2:$AM$2001&gt;=15)*(元データ!$AM$2:$AM$2001&lt;=21))</f>
        <v>0</v>
      </c>
      <c r="AP96" s="44">
        <f ca="1">SUMPRODUCT((元データ!$AL$2:$AL$2001=1)*(元データ!$AN$2:$AN$2001=1)*(元データ!$AE$2:$AE$2001=$C$96)*(元データ!$AO$2:$AO$2001=1)*(元データ!$AM$2:$AM$2001&gt;=15)*(元データ!$AM$2:$AM$2001&lt;=21)*(元データ!$E$2:$E$2001="20 確認待ち"))</f>
        <v>0</v>
      </c>
      <c r="AQ96" s="58" t="str" cm="1">
        <f t="array" aca="1" ref="AQ96" ca="1">IFERROR(_xlfn.TEXTJOIN(CHAR(10),TRUE,IF((元データ!$AL$2:$AL$2001=1)*(元データ!$AN$2:$AN$2001=1)*(元データ!$AE$2:$AE$2001=$C$96)*(元データ!$AO$2:$AO$2001=1)*(元データ!$AM$2:$AM$2001&gt;=15)*(元データ!$AM$2:$AM$2001&lt;=21)*(元データ!$E$2:$E$2001="20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6" s="58"/>
      <c r="AS96" s="58"/>
      <c r="AT96" s="44">
        <f ca="1">SUMPRODUCT((元データ!$AL$2:$AL$2001=1)*(元データ!$AN$2:$AN$2001=1)*(元データ!$AE$2:$AE$2001=$C$96)*(元データ!$AO$2:$AO$2001=1)*(元データ!$AM$2:$AM$2001&gt;=15)*(元データ!$AM$2:$AM$2001&lt;=21)*(元データ!$E$2:$E$2001="30 申請受付"))</f>
        <v>0</v>
      </c>
      <c r="AU96" s="58" t="str" cm="1">
        <f t="array" aca="1" ref="AU96" ca="1">IFERROR(_xlfn.TEXTJOIN(CHAR(10),TRUE,IF((元データ!$AL$2:$AL$2001=1)*(元データ!$AN$2:$AN$2001=1)*(元データ!$AE$2:$AE$2001=$C$96)*(元データ!$AO$2:$AO$2001=1)*(元データ!$AM$2:$AM$2001&gt;=15)*(元データ!$AM$2:$AM$2001&lt;=21)*(元データ!$E$2:$E$2001="30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6" s="58"/>
      <c r="AW96" s="58"/>
      <c r="AX96" s="44">
        <f ca="1">SUMPRODUCT((元データ!$AL$2:$AL$2001=1)*(元データ!$AN$2:$AN$2001=1)*(元データ!$AE$2:$AE$2001=$C$96)*(元データ!$AO$2:$AO$2001=1)*(元データ!$AM$2:$AM$2001&gt;=15)*(元データ!$AM$2:$AM$2001&lt;=21)*(元データ!$E$2:$E$2001="31 ＯＰ確認中"))</f>
        <v>0</v>
      </c>
      <c r="AY96" s="58" t="str" cm="1">
        <f t="array" aca="1" ref="AY96" ca="1">IFERROR(_xlfn.TEXTJOIN(CHAR(10),TRUE,IF((元データ!$AL$2:$AL$2001=1)*(元データ!$AN$2:$AN$2001=1)*(元データ!$AE$2:$AE$2001=$C$96)*(元データ!$AO$2:$AO$2001=1)*(元データ!$AM$2:$AM$2001&gt;=15)*(元データ!$AM$2:$AM$2001&lt;=21)*(元データ!$E$2:$E$2001="31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6" s="58"/>
      <c r="BA96" s="58"/>
      <c r="BB96" s="44">
        <f ca="1">SUMPRODUCT((元データ!$AL$2:$AL$2001=1)*(元データ!$AN$2:$AN$2001=1)*(元データ!$AE$2:$AE$2001=$C$96)*(元データ!$AO$2:$AO$2001=1)*(元データ!$AM$2:$AM$2001&gt;=15)*(元データ!$AM$2:$AM$2001&lt;=21)*(元データ!$E$2:$E$2001="32 ＳＶ確認中"))</f>
        <v>0</v>
      </c>
      <c r="BC96" s="58" t="str" cm="1">
        <f t="array" aca="1" ref="BC96" ca="1">IFERROR(_xlfn.TEXTJOIN(CHAR(10),TRUE,IF((元データ!$AL$2:$AL$2001=1)*(元データ!$AN$2:$AN$2001=1)*(元データ!$AE$2:$AE$2001=$C$96)*(元データ!$AO$2:$AO$2001=1)*(元データ!$AM$2:$AM$2001&gt;=15)*(元データ!$AM$2:$AM$2001&lt;=21)*(元データ!$E$2:$E$2001="32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6" s="58">
        <f ca="1">SUMPRODUCT((元データ!$AL$2:$AL$2001=1)*(元データ!$AN$2:$AN$2001=1)*(元データ!$AE$2:$AE$2001=$C$96)*(元データ!$AO$2:$AO$2001=1)*(元データ!$AM$2:$AM$2001&gt;=15)*(元データ!$AM$2:$AM$2001&lt;=21)*(元データ!$E$2:$E$2001="40 差戻し"))</f>
        <v>0</v>
      </c>
      <c r="BE96" s="58" t="str" cm="1">
        <f t="array" aca="1" ref="BE96" ca="1">IFERROR(_xlfn.TEXTJOIN(CHAR(10),TRUE,IF((元データ!$AL$2:$AL$2001=1)*(元データ!$AN$2:$AN$2001=1)*(元データ!$AE$2:$AE$2001=$C$96)*(元データ!$AO$2:$AO$2001=1)*(元データ!$AM$2:$AM$2001&gt;=15)*(元データ!$AM$2:$AM$2001&lt;=21)*(元データ!$E$2:$E$2001="40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6" s="45">
        <f ca="1">SUMPRODUCT((元データ!$AL$2:$AL$2001=1)*(元データ!$AN$2:$AN$2001=1)*(元データ!$AE$2:$AE$2001=$C$96)*(元データ!$AO$2:$AO$2001=1)*(元データ!$AM$2:$AM$2001&gt;=22)*(元データ!$AM$2:$AM$2001&lt;=30))</f>
        <v>2</v>
      </c>
      <c r="BG96" s="45">
        <f ca="1">SUMPRODUCT((元データ!$AL$2:$AL$2001=1)*(元データ!$AN$2:$AN$2001=1)*(元データ!$AE$2:$AE$2001=$C$96)*(元データ!$AO$2:$AO$2001=1)*(元データ!$AM$2:$AM$2001&gt;=22)*(元データ!$AM$2:$AM$2001&lt;=30)*(元データ!$E$2:$E$2001="20 確認待ち"))</f>
        <v>0</v>
      </c>
      <c r="BH96" s="60" t="str" cm="1">
        <f t="array" aca="1" ref="BH96" ca="1">IFERROR(_xlfn.TEXTJOIN(CHAR(10),TRUE,IF((元データ!$AL$2:$AL$2001=1)*(元データ!$AN$2:$AN$2001=1)*(元データ!$AE$2:$AE$2001=$C$96)*(元データ!$AO$2:$AO$2001=1)*(元データ!$AM$2:$AM$2001&gt;=22)*(元データ!$AM$2:$AM$2001&lt;=30)*(元データ!$E$2:$E$2001="20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6" s="60"/>
      <c r="BJ96" s="60"/>
      <c r="BK96" s="45">
        <f ca="1">SUMPRODUCT((元データ!$AL$2:$AL$2001=1)*(元データ!$AN$2:$AN$2001=1)*(元データ!$AE$2:$AE$2001=$C$96)*(元データ!$AO$2:$AO$2001=1)*(元データ!$AM$2:$AM$2001&gt;=22)*(元データ!$AM$2:$AM$2001&lt;=30)*(元データ!$E$2:$E$2001="30 申請受付"))</f>
        <v>0</v>
      </c>
      <c r="BL96" s="59" t="str" cm="1">
        <f t="array" aca="1" ref="BL96" ca="1">IFERROR(_xlfn.TEXTJOIN(CHAR(10),TRUE,IF((元データ!$AL$2:$AL$2001=1)*(元データ!$AN$2:$AN$2001=1)*(元データ!$AE$2:$AE$2001=$C$96)*(元データ!$AO$2:$AO$2001=1)*(元データ!$AM$2:$AM$2001&gt;=22)*(元データ!$AM$2:$AM$2001&lt;=30)*(元データ!$E$2:$E$2001="30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6" s="59"/>
      <c r="BN96" s="59"/>
      <c r="BO96" s="45">
        <f ca="1">SUMPRODUCT((元データ!$AL$2:$AL$2001=1)*(元データ!$AN$2:$AN$2001=1)*(元データ!$AE$2:$AE$2001=$C$96)*(元データ!$AO$2:$AO$2001=1)*(元データ!$AM$2:$AM$2001&gt;=22)*(元データ!$AM$2:$AM$2001&lt;=30)*(元データ!$E$2:$E$2001="31 ＯＰ確認中"))</f>
        <v>0</v>
      </c>
      <c r="BP96" s="59" t="str" cm="1">
        <f t="array" aca="1" ref="BP96" ca="1">IFERROR(_xlfn.TEXTJOIN(CHAR(10),TRUE,IF((元データ!$AL$2:$AL$2001=1)*(元データ!$AN$2:$AN$2001=1)*(元データ!$AE$2:$AE$2001=$C$96)*(元データ!$AO$2:$AO$2001=1)*(元データ!$AM$2:$AM$2001&gt;=22)*(元データ!$AM$2:$AM$2001&lt;=30)*(元データ!$E$2:$E$2001="31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6" s="59"/>
      <c r="BR96" s="59"/>
      <c r="BS96" s="45">
        <f ca="1">SUMPRODUCT((元データ!$AL$2:$AL$2001=1)*(元データ!$AN$2:$AN$2001=1)*(元データ!$AE$2:$AE$2001=$C$96)*(元データ!$AO$2:$AO$2001=1)*(元データ!$AM$2:$AM$2001&gt;=22)*(元データ!$AM$2:$AM$2001&lt;=30)*(元データ!$E$2:$E$2001="32 ＳＶ確認中"))</f>
        <v>1</v>
      </c>
      <c r="BT96" s="59" t="str" cm="1">
        <f t="array" aca="1" ref="BT96" ca="1">IFERROR(_xlfn.TEXTJOIN(CHAR(10),TRUE,IF((元データ!$AL$2:$AL$2001=1)*(元データ!$AN$2:$AN$2001=1)*(元データ!$AE$2:$AE$2001=$C$96)*(元データ!$AO$2:$AO$2001=1)*(元データ!$AM$2:$AM$2001&gt;=22)*(元データ!$AM$2:$AM$2001&lt;=30)*(元データ!$E$2:$E$2001="32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>202660001262</v>
      </c>
      <c r="BU96" s="59">
        <f ca="1">SUMPRODUCT((元データ!$AL$2:$AL$2001=1)*(元データ!$AN$2:$AN$2001=1)*(元データ!$AE$2:$AE$2001=$C$96)*(元データ!$AO$2:$AO$2001=1)*(元データ!$AM$2:$AM$2001&gt;=22)*(元データ!$AM$2:$AM$2001&lt;=30)*(元データ!$E$2:$E$2001="40 差戻し"))</f>
        <v>1</v>
      </c>
      <c r="BV96" s="59" t="str" cm="1">
        <f t="array" aca="1" ref="BV96" ca="1">IFERROR(_xlfn.TEXTJOIN(CHAR(10),TRUE,IF((元データ!$AL$2:$AL$2001=1)*(元データ!$AN$2:$AN$2001=1)*(元データ!$AE$2:$AE$2001=$C$96)*(元データ!$AO$2:$AO$2001=1)*(元データ!$AM$2:$AM$2001&gt;=22)*(元データ!$AM$2:$AM$2001&lt;=30)*(元データ!$E$2:$E$2001="40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>202660001298（添待ち)</v>
      </c>
      <c r="BW96" s="46">
        <f ca="1">SUMPRODUCT((元データ!$AL$2:$AL$2001=1)*(元データ!$AN$2:$AN$2001=1)*(元データ!$AE$2:$AE$2001=$C$96)*(元データ!$AO$2:$AO$2001=1)*(元データ!$AM$2:$AM$2001&gt;=31))</f>
        <v>9</v>
      </c>
      <c r="BX96" s="46">
        <f ca="1">SUMPRODUCT((元データ!$AL$2:$AL$2001=1)*(元データ!$AN$2:$AN$2001=1)*(元データ!$AE$2:$AE$2001=$C$96)*(元データ!$AO$2:$AO$2001=1)*(元データ!$AM$2:$AM$2001&gt;=31)*(元データ!$E$2:$E$2001="20 確認待ち"))</f>
        <v>2</v>
      </c>
      <c r="BY96" s="56" t="str" cm="1">
        <f t="array" aca="1" ref="BY96" ca="1">IFERROR(_xlfn.TEXTJOIN(CHAR(10),TRUE,IF((元データ!$AL$2:$AL$2001=1)*(元データ!$AN$2:$AN$2001=1)*(元データ!$AE$2:$AE$2001=$C$96)*(元データ!$AO$2:$AO$2001=1)*(元データ!$AM$2:$AM$2001&gt;=31)*(元データ!$E$2:$E$2001="20 確認待ち"),元データ!$A$2:$A$2001&amp;IF(元データ!$AP$2:$AP$2001&lt;&gt;"","（"&amp;MID(元データ!$AP$2:$AP$2001,2,100)&amp;")",""),"")),"")</f>
        <v>202660000578（確認事項)
202660000703（添待ち)</v>
      </c>
      <c r="BZ96" s="56"/>
      <c r="CA96" s="56"/>
      <c r="CB96" s="46">
        <f ca="1">SUMPRODUCT((元データ!$AL$2:$AL$2001=1)*(元データ!$AN$2:$AN$2001=1)*(元データ!$AE$2:$AE$2001=$C$96)*(元データ!$AO$2:$AO$2001=1)*(元データ!$AM$2:$AM$2001&gt;=31)*(元データ!$E$2:$E$2001="30 申請受付"))</f>
        <v>0</v>
      </c>
      <c r="CC96" s="56" t="str" cm="1">
        <f t="array" aca="1" ref="CC96" ca="1">IFERROR(_xlfn.TEXTJOIN(CHAR(10),TRUE,IF((元データ!$AL$2:$AL$2001=1)*(元データ!$AN$2:$AN$2001=1)*(元データ!$AE$2:$AE$2001=$C$96)*(元データ!$AO$2:$AO$2001=1)*(元データ!$AM$2:$AM$2001&gt;=31)*(元データ!$E$2:$E$2001="30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96" s="56"/>
      <c r="CE96" s="56"/>
      <c r="CF96" s="46">
        <f ca="1">SUMPRODUCT((元データ!$AL$2:$AL$2001=1)*(元データ!$AN$2:$AN$2001=1)*(元データ!$AE$2:$AE$2001=$C$96)*(元データ!$AO$2:$AO$2001=1)*(元データ!$AM$2:$AM$2001&gt;=31)*(元データ!$E$2:$E$2001="31 ＯＰ確認中"))</f>
        <v>5</v>
      </c>
      <c r="CG96" s="56" t="str" cm="1">
        <f t="array" aca="1" ref="CG96" ca="1">IFERROR(_xlfn.TEXTJOIN(CHAR(10),TRUE,IF((元データ!$AL$2:$AL$2001=1)*(元データ!$AN$2:$AN$2001=1)*(元データ!$AE$2:$AE$2001=$C$96)*(元データ!$AO$2:$AO$2001=1)*(元データ!$AM$2:$AM$2001&gt;=31)*(元データ!$E$2:$E$2001="31 ＯＰ確認中"),元データ!$A$2:$A$2001&amp;IF(元データ!$AP$2:$AP$2001&lt;&gt;"","（"&amp;MID(元データ!$AP$2:$AP$2001,2,100)&amp;")",""),"")),"")</f>
        <v>200960002999
201260002479
202660001008（添待ち・SV)
202660001083（SV)
202660001165（SV)</v>
      </c>
      <c r="CH96" s="56"/>
      <c r="CI96" s="56"/>
      <c r="CJ96" s="46">
        <f ca="1">SUMPRODUCT((元データ!$AL$2:$AL$2001=1)*(元データ!$AN$2:$AN$2001=1)*(元データ!$AE$2:$AE$2001=$C$96)*(元データ!$AO$2:$AO$2001=1)*(元データ!$AM$2:$AM$2001&gt;=31)*(元データ!$E$2:$E$2001="32 ＳＶ確認中"))</f>
        <v>1</v>
      </c>
      <c r="CK96" s="56" t="str" cm="1">
        <f t="array" aca="1" ref="CK96" ca="1">IFERROR(_xlfn.TEXTJOIN(CHAR(10),TRUE,IF((元データ!$AL$2:$AL$2001=1)*(元データ!$AN$2:$AN$2001=1)*(元データ!$AE$2:$AE$2001=$C$96)*(元データ!$AO$2:$AO$2001=1)*(元データ!$AM$2:$AM$2001&gt;=31)*(元データ!$E$2:$E$2001="32 ＳＶ確認中"),元データ!$A$2:$A$2001&amp;IF(元データ!$AP$2:$AP$2001&lt;&gt;"","（"&amp;MID(元データ!$AP$2:$AP$2001,2,100)&amp;")",""),"")),"")</f>
        <v>202660001221</v>
      </c>
      <c r="CL96" s="56">
        <f ca="1">SUMPRODUCT((元データ!$AL$2:$AL$2001=1)*(元データ!$AN$2:$AN$2001=1)*(元データ!$AE$2:$AE$2001=$C$96)*(元データ!$AO$2:$AO$2001=1)*(元データ!$AM$2:$AM$2001&gt;=31)*(元データ!$E$2:$E$2001="40 差戻し"))</f>
        <v>1</v>
      </c>
      <c r="CM96" s="56" t="str" cm="1">
        <f t="array" aca="1" ref="CM96" ca="1">IFERROR(_xlfn.TEXTJOIN(CHAR(10),TRUE,IF((元データ!$AL$2:$AL$2001=1)*(元データ!$AN$2:$AN$2001=1)*(元データ!$AE$2:$AE$2001=$C$96)*(元データ!$AO$2:$AO$2001=1)*(元データ!$AM$2:$AM$2001&gt;=31)*(元データ!$E$2:$E$2001="40 差戻し"),元データ!$A$2:$A$2001&amp;IF(元データ!$AP$2:$AP$2001&lt;&gt;"","（"&amp;MID(元データ!$AP$2:$AP$2001,2,100)&amp;")",""),"")),"")</f>
        <v>202660001000（添待ち)</v>
      </c>
    </row>
    <row r="97" spans="2:91" ht="24.95" customHeight="1">
      <c r="B97" s="92"/>
      <c r="C97" s="63"/>
      <c r="D97" s="63"/>
      <c r="E97" s="47" t="s">
        <v>134</v>
      </c>
      <c r="F97" s="48">
        <f>SUMPRODUCT((元データ!$AL$2:$AL$2001=1)*(元データ!$AN$2:$AN$2001=1)*(元データ!$AE$2:$AE$2001=$C$96)*(元データ!$AO$2:$AO$2001=0))</f>
        <v>3</v>
      </c>
      <c r="G97" s="49">
        <f ca="1">SUMPRODUCT((元データ!$AL$2:$AL$2001=1)*(元データ!$AN$2:$AN$2001=1)*(元データ!$AE$2:$AE$2001=$C$96)*(元データ!$AO$2:$AO$2001=0)*(元データ!$AM$2:$AM$2001&lt;=7))</f>
        <v>0</v>
      </c>
      <c r="H97" s="49">
        <f ca="1">SUMPRODUCT((元データ!$AL$2:$AL$2001=1)*(元データ!$AN$2:$AN$2001=1)*(元データ!$AE$2:$AE$2001=$C$96)*(元データ!$AO$2:$AO$2001=0)*(元データ!$AM$2:$AM$2001&lt;=7)*(元データ!$E$2:$E$2001="20 確認待ち"))</f>
        <v>0</v>
      </c>
      <c r="I97" s="57" t="str" cm="1">
        <f t="array" aca="1" ref="I97" ca="1">IFERROR(_xlfn.TEXTJOIN(CHAR(10),TRUE,IF((元データ!$AL$2:$AL$2001=1)*(元データ!$AN$2:$AN$2001=1)*(元データ!$AE$2:$AE$2001=$C$96)*(元データ!$AO$2:$AO$2001=0)*(元データ!$AM$2:$AM$2001&lt;=7)*(元データ!$E$2:$E$2001="20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97" s="57"/>
      <c r="K97" s="57"/>
      <c r="L97" s="49">
        <f ca="1">SUMPRODUCT((元データ!$AL$2:$AL$2001=1)*(元データ!$AN$2:$AN$2001=1)*(元データ!$AE$2:$AE$2001=$C$96)*(元データ!$AO$2:$AO$2001=0)*(元データ!$AM$2:$AM$2001&lt;=7)*(元データ!$E$2:$E$2001="30 申請受付"))</f>
        <v>0</v>
      </c>
      <c r="M97" s="57" t="str" cm="1">
        <f t="array" aca="1" ref="M97" ca="1">IFERROR(_xlfn.TEXTJOIN(CHAR(10),TRUE,IF((元データ!$AL$2:$AL$2001=1)*(元データ!$AN$2:$AN$2001=1)*(元データ!$AE$2:$AE$2001=$C$96)*(元データ!$AO$2:$AO$2001=0)*(元データ!$AM$2:$AM$2001&lt;=7)*(元データ!$E$2:$E$2001="30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97" s="57"/>
      <c r="O97" s="57"/>
      <c r="P97" s="49">
        <f ca="1">SUMPRODUCT((元データ!$AL$2:$AL$2001=1)*(元データ!$AN$2:$AN$2001=1)*(元データ!$AE$2:$AE$2001=$C$96)*(元データ!$AO$2:$AO$2001=0)*(元データ!$AM$2:$AM$2001&lt;=7)*(元データ!$E$2:$E$2001="31 ＯＰ確認中"))</f>
        <v>0</v>
      </c>
      <c r="Q97" s="57" t="str" cm="1">
        <f t="array" aca="1" ref="Q97" ca="1">IFERROR(_xlfn.TEXTJOIN(CHAR(10),TRUE,IF((元データ!$AL$2:$AL$2001=1)*(元データ!$AN$2:$AN$2001=1)*(元データ!$AE$2:$AE$2001=$C$96)*(元データ!$AO$2:$AO$2001=0)*(元データ!$AM$2:$AM$2001&lt;=7)*(元データ!$E$2:$E$2001="31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97" s="57"/>
      <c r="S97" s="57"/>
      <c r="T97" s="49">
        <f ca="1">SUMPRODUCT((元データ!$AL$2:$AL$2001=1)*(元データ!$AN$2:$AN$2001=1)*(元データ!$AE$2:$AE$2001=$C$96)*(元データ!$AO$2:$AO$2001=0)*(元データ!$AM$2:$AM$2001&lt;=7)*(元データ!$E$2:$E$2001="32 ＳＶ確認中"))</f>
        <v>0</v>
      </c>
      <c r="U97" s="57" t="str" cm="1">
        <f t="array" aca="1" ref="U97" ca="1">IFERROR(_xlfn.TEXTJOIN(CHAR(10),TRUE,IF((元データ!$AL$2:$AL$2001=1)*(元データ!$AN$2:$AN$2001=1)*(元データ!$AE$2:$AE$2001=$C$96)*(元データ!$AO$2:$AO$2001=0)*(元データ!$AM$2:$AM$2001&lt;=7)*(元データ!$E$2:$E$2001="32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97" s="57"/>
      <c r="W97" s="57"/>
      <c r="X97" s="49">
        <f ca="1">SUMPRODUCT((元データ!$AL$2:$AL$2001=1)*(元データ!$AN$2:$AN$2001=1)*(元データ!$AE$2:$AE$2001=$C$96)*(元データ!$AO$2:$AO$2001=0)*(元データ!$AM$2:$AM$2001&gt;=8)*(元データ!$AM$2:$AM$2001&lt;=14))</f>
        <v>0</v>
      </c>
      <c r="Y97" s="49">
        <f ca="1">SUMPRODUCT((元データ!$AL$2:$AL$2001=1)*(元データ!$AN$2:$AN$2001=1)*(元データ!$AE$2:$AE$2001=$C$96)*(元データ!$AO$2:$AO$2001=0)*(元データ!$AM$2:$AM$2001&gt;=8)*(元データ!$AM$2:$AM$2001&lt;=14)*(元データ!$E$2:$E$2001="20 確認待ち"))</f>
        <v>0</v>
      </c>
      <c r="Z97" s="57" t="str" cm="1">
        <f t="array" aca="1" ref="Z97" ca="1">IFERROR(_xlfn.TEXTJOIN(CHAR(10),TRUE,IF((元データ!$AL$2:$AL$2001=1)*(元データ!$AN$2:$AN$2001=1)*(元データ!$AE$2:$AE$2001=$C$96)*(元データ!$AO$2:$AO$2001=0)*(元データ!$AM$2:$AM$2001&gt;=8)*(元データ!$AM$2:$AM$2001&lt;=14)*(元データ!$E$2:$E$2001="20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7" s="57"/>
      <c r="AB97" s="57"/>
      <c r="AC97" s="49">
        <f ca="1">SUMPRODUCT((元データ!$AL$2:$AL$2001=1)*(元データ!$AN$2:$AN$2001=1)*(元データ!$AE$2:$AE$2001=$C$96)*(元データ!$AO$2:$AO$2001=0)*(元データ!$AM$2:$AM$2001&gt;=8)*(元データ!$AM$2:$AM$2001&lt;=14)*(元データ!$E$2:$E$2001="30 申請受付"))</f>
        <v>0</v>
      </c>
      <c r="AD97" s="57" t="str" cm="1">
        <f t="array" aca="1" ref="AD97" ca="1">IFERROR(_xlfn.TEXTJOIN(CHAR(10),TRUE,IF((元データ!$AL$2:$AL$2001=1)*(元データ!$AN$2:$AN$2001=1)*(元データ!$AE$2:$AE$2001=$C$96)*(元データ!$AO$2:$AO$2001=0)*(元データ!$AM$2:$AM$2001&gt;=8)*(元データ!$AM$2:$AM$2001&lt;=14)*(元データ!$E$2:$E$2001="30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7" s="57"/>
      <c r="AF97" s="57"/>
      <c r="AG97" s="49">
        <f ca="1">SUMPRODUCT((元データ!$AL$2:$AL$2001=1)*(元データ!$AN$2:$AN$2001=1)*(元データ!$AE$2:$AE$2001=$C$96)*(元データ!$AO$2:$AO$2001=0)*(元データ!$AM$2:$AM$2001&gt;=8)*(元データ!$AM$2:$AM$2001&lt;=14)*(元データ!$E$2:$E$2001="31 ＯＰ確認中"))</f>
        <v>0</v>
      </c>
      <c r="AH97" s="57" t="str" cm="1">
        <f t="array" aca="1" ref="AH97" ca="1">IFERROR(_xlfn.TEXTJOIN(CHAR(10),TRUE,IF((元データ!$AL$2:$AL$2001=1)*(元データ!$AN$2:$AN$2001=1)*(元データ!$AE$2:$AE$2001=$C$96)*(元データ!$AO$2:$AO$2001=0)*(元データ!$AM$2:$AM$2001&gt;=8)*(元データ!$AM$2:$AM$2001&lt;=14)*(元データ!$E$2:$E$2001="31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7" s="57"/>
      <c r="AJ97" s="57"/>
      <c r="AK97" s="49">
        <f ca="1">SUMPRODUCT((元データ!$AL$2:$AL$2001=1)*(元データ!$AN$2:$AN$2001=1)*(元データ!$AE$2:$AE$2001=$C$96)*(元データ!$AO$2:$AO$2001=0)*(元データ!$AM$2:$AM$2001&gt;=8)*(元データ!$AM$2:$AM$2001&lt;=14)*(元データ!$E$2:$E$2001="32 ＳＶ確認中"))</f>
        <v>0</v>
      </c>
      <c r="AL97" s="57" t="str" cm="1">
        <f t="array" aca="1" ref="AL97" ca="1">IFERROR(_xlfn.TEXTJOIN(CHAR(10),TRUE,IF((元データ!$AL$2:$AL$2001=1)*(元データ!$AN$2:$AN$2001=1)*(元データ!$AE$2:$AE$2001=$C$96)*(元データ!$AO$2:$AO$2001=0)*(元データ!$AM$2:$AM$2001&gt;=8)*(元データ!$AM$2:$AM$2001&lt;=14)*(元データ!$E$2:$E$2001="32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7" s="57">
        <f ca="1">SUMPRODUCT((元データ!$AL$2:$AL$2001=1)*(元データ!$AN$2:$AN$2001=1)*(元データ!$AE$2:$AE$2001=$C$96)*(元データ!$AO$2:$AO$2001=0)*(元データ!$AM$2:$AM$2001&gt;=8)*(元データ!$AM$2:$AM$2001&lt;=14)*(元データ!$E$2:$E$2001="40 差戻し"))</f>
        <v>0</v>
      </c>
      <c r="AN97" s="57" t="str" cm="1">
        <f t="array" aca="1" ref="AN97" ca="1">IFERROR(_xlfn.TEXTJOIN(CHAR(10),TRUE,IF((元データ!$AL$2:$AL$2001=1)*(元データ!$AN$2:$AN$2001=1)*(元データ!$AE$2:$AE$2001=$C$96)*(元データ!$AO$2:$AO$2001=0)*(元データ!$AM$2:$AM$2001&gt;=8)*(元データ!$AM$2:$AM$2001&lt;=14)*(元データ!$E$2:$E$2001="40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7" s="44">
        <f ca="1">SUMPRODUCT((元データ!$AL$2:$AL$2001=1)*(元データ!$AN$2:$AN$2001=1)*(元データ!$AE$2:$AE$2001=$C$96)*(元データ!$AO$2:$AO$2001=0)*(元データ!$AM$2:$AM$2001&gt;=15)*(元データ!$AM$2:$AM$2001&lt;=21))</f>
        <v>0</v>
      </c>
      <c r="AP97" s="44">
        <f ca="1">SUMPRODUCT((元データ!$AL$2:$AL$2001=1)*(元データ!$AN$2:$AN$2001=1)*(元データ!$AE$2:$AE$2001=$C$96)*(元データ!$AO$2:$AO$2001=0)*(元データ!$AM$2:$AM$2001&gt;=15)*(元データ!$AM$2:$AM$2001&lt;=21)*(元データ!$E$2:$E$2001="20 確認待ち"))</f>
        <v>0</v>
      </c>
      <c r="AQ97" s="58" t="str" cm="1">
        <f t="array" aca="1" ref="AQ97" ca="1">IFERROR(_xlfn.TEXTJOIN(CHAR(10),TRUE,IF((元データ!$AL$2:$AL$2001=1)*(元データ!$AN$2:$AN$2001=1)*(元データ!$AE$2:$AE$2001=$C$96)*(元データ!$AO$2:$AO$2001=0)*(元データ!$AM$2:$AM$2001&gt;=15)*(元データ!$AM$2:$AM$2001&lt;=21)*(元データ!$E$2:$E$2001="20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7" s="58"/>
      <c r="AS97" s="58"/>
      <c r="AT97" s="44">
        <f ca="1">SUMPRODUCT((元データ!$AL$2:$AL$2001=1)*(元データ!$AN$2:$AN$2001=1)*(元データ!$AE$2:$AE$2001=$C$96)*(元データ!$AO$2:$AO$2001=0)*(元データ!$AM$2:$AM$2001&gt;=15)*(元データ!$AM$2:$AM$2001&lt;=21)*(元データ!$E$2:$E$2001="30 申請受付"))</f>
        <v>0</v>
      </c>
      <c r="AU97" s="58" t="str" cm="1">
        <f t="array" aca="1" ref="AU97" ca="1">IFERROR(_xlfn.TEXTJOIN(CHAR(10),TRUE,IF((元データ!$AL$2:$AL$2001=1)*(元データ!$AN$2:$AN$2001=1)*(元データ!$AE$2:$AE$2001=$C$96)*(元データ!$AO$2:$AO$2001=0)*(元データ!$AM$2:$AM$2001&gt;=15)*(元データ!$AM$2:$AM$2001&lt;=21)*(元データ!$E$2:$E$2001="30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7" s="58"/>
      <c r="AW97" s="58"/>
      <c r="AX97" s="44">
        <f ca="1">SUMPRODUCT((元データ!$AL$2:$AL$2001=1)*(元データ!$AN$2:$AN$2001=1)*(元データ!$AE$2:$AE$2001=$C$96)*(元データ!$AO$2:$AO$2001=0)*(元データ!$AM$2:$AM$2001&gt;=15)*(元データ!$AM$2:$AM$2001&lt;=21)*(元データ!$E$2:$E$2001="31 ＯＰ確認中"))</f>
        <v>0</v>
      </c>
      <c r="AY97" s="58" t="str" cm="1">
        <f t="array" aca="1" ref="AY97" ca="1">IFERROR(_xlfn.TEXTJOIN(CHAR(10),TRUE,IF((元データ!$AL$2:$AL$2001=1)*(元データ!$AN$2:$AN$2001=1)*(元データ!$AE$2:$AE$2001=$C$96)*(元データ!$AO$2:$AO$2001=0)*(元データ!$AM$2:$AM$2001&gt;=15)*(元データ!$AM$2:$AM$2001&lt;=21)*(元データ!$E$2:$E$2001="31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7" s="58"/>
      <c r="BA97" s="58"/>
      <c r="BB97" s="44">
        <f ca="1">SUMPRODUCT((元データ!$AL$2:$AL$2001=1)*(元データ!$AN$2:$AN$2001=1)*(元データ!$AE$2:$AE$2001=$C$96)*(元データ!$AO$2:$AO$2001=0)*(元データ!$AM$2:$AM$2001&gt;=15)*(元データ!$AM$2:$AM$2001&lt;=21)*(元データ!$E$2:$E$2001="32 ＳＶ確認中"))</f>
        <v>0</v>
      </c>
      <c r="BC97" s="58" t="str" cm="1">
        <f t="array" aca="1" ref="BC97" ca="1">IFERROR(_xlfn.TEXTJOIN(CHAR(10),TRUE,IF((元データ!$AL$2:$AL$2001=1)*(元データ!$AN$2:$AN$2001=1)*(元データ!$AE$2:$AE$2001=$C$96)*(元データ!$AO$2:$AO$2001=0)*(元データ!$AM$2:$AM$2001&gt;=15)*(元データ!$AM$2:$AM$2001&lt;=21)*(元データ!$E$2:$E$2001="32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7" s="58">
        <f ca="1">SUMPRODUCT((元データ!$AL$2:$AL$2001=1)*(元データ!$AN$2:$AN$2001=1)*(元データ!$AE$2:$AE$2001=$C$96)*(元データ!$AO$2:$AO$2001=0)*(元データ!$AM$2:$AM$2001&gt;=15)*(元データ!$AM$2:$AM$2001&lt;=21)*(元データ!$E$2:$E$2001="40 差戻し"))</f>
        <v>0</v>
      </c>
      <c r="BE97" s="58" t="str" cm="1">
        <f t="array" aca="1" ref="BE97" ca="1">IFERROR(_xlfn.TEXTJOIN(CHAR(10),TRUE,IF((元データ!$AL$2:$AL$2001=1)*(元データ!$AN$2:$AN$2001=1)*(元データ!$AE$2:$AE$2001=$C$96)*(元データ!$AO$2:$AO$2001=0)*(元データ!$AM$2:$AM$2001&gt;=15)*(元データ!$AM$2:$AM$2001&lt;=21)*(元データ!$E$2:$E$2001="40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7" s="45">
        <f ca="1">SUMPRODUCT((元データ!$AL$2:$AL$2001=1)*(元データ!$AN$2:$AN$2001=1)*(元データ!$AE$2:$AE$2001=$C$96)*(元データ!$AO$2:$AO$2001=0)*(元データ!$AM$2:$AM$2001&gt;=22)*(元データ!$AM$2:$AM$2001&lt;=30))</f>
        <v>2</v>
      </c>
      <c r="BG97" s="45">
        <f ca="1">SUMPRODUCT((元データ!$AL$2:$AL$2001=1)*(元データ!$AN$2:$AN$2001=1)*(元データ!$AE$2:$AE$2001=$C$96)*(元データ!$AO$2:$AO$2001=0)*(元データ!$AM$2:$AM$2001&gt;=22)*(元データ!$AM$2:$AM$2001&lt;=30)*(元データ!$E$2:$E$2001="20 確認待ち"))</f>
        <v>0</v>
      </c>
      <c r="BH97" s="59" t="str" cm="1">
        <f t="array" aca="1" ref="BH97" ca="1">IFERROR(_xlfn.TEXTJOIN(CHAR(10),TRUE,IF((元データ!$AL$2:$AL$2001=1)*(元データ!$AN$2:$AN$2001=1)*(元データ!$AE$2:$AE$2001=$C$96)*(元データ!$AO$2:$AO$2001=0)*(元データ!$AM$2:$AM$2001&gt;=22)*(元データ!$AM$2:$AM$2001&lt;=30)*(元データ!$E$2:$E$2001="20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7" s="59"/>
      <c r="BJ97" s="59"/>
      <c r="BK97" s="45">
        <f ca="1">SUMPRODUCT((元データ!$AL$2:$AL$2001=1)*(元データ!$AN$2:$AN$2001=1)*(元データ!$AE$2:$AE$2001=$C$96)*(元データ!$AO$2:$AO$2001=0)*(元データ!$AM$2:$AM$2001&gt;=22)*(元データ!$AM$2:$AM$2001&lt;=30)*(元データ!$E$2:$E$2001="30 申請受付"))</f>
        <v>0</v>
      </c>
      <c r="BL97" s="59" t="str" cm="1">
        <f t="array" aca="1" ref="BL97" ca="1">IFERROR(_xlfn.TEXTJOIN(CHAR(10),TRUE,IF((元データ!$AL$2:$AL$2001=1)*(元データ!$AN$2:$AN$2001=1)*(元データ!$AE$2:$AE$2001=$C$96)*(元データ!$AO$2:$AO$2001=0)*(元データ!$AM$2:$AM$2001&gt;=22)*(元データ!$AM$2:$AM$2001&lt;=30)*(元データ!$E$2:$E$2001="30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7" s="59"/>
      <c r="BN97" s="59"/>
      <c r="BO97" s="45">
        <f ca="1">SUMPRODUCT((元データ!$AL$2:$AL$2001=1)*(元データ!$AN$2:$AN$2001=1)*(元データ!$AE$2:$AE$2001=$C$96)*(元データ!$AO$2:$AO$2001=0)*(元データ!$AM$2:$AM$2001&gt;=22)*(元データ!$AM$2:$AM$2001&lt;=30)*(元データ!$E$2:$E$2001="31 ＯＰ確認中"))</f>
        <v>0</v>
      </c>
      <c r="BP97" s="59" t="str" cm="1">
        <f t="array" aca="1" ref="BP97" ca="1">IFERROR(_xlfn.TEXTJOIN(CHAR(10),TRUE,IF((元データ!$AL$2:$AL$2001=1)*(元データ!$AN$2:$AN$2001=1)*(元データ!$AE$2:$AE$2001=$C$96)*(元データ!$AO$2:$AO$2001=0)*(元データ!$AM$2:$AM$2001&gt;=22)*(元データ!$AM$2:$AM$2001&lt;=30)*(元データ!$E$2:$E$2001="31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7" s="59"/>
      <c r="BR97" s="59"/>
      <c r="BS97" s="45">
        <f ca="1">SUMPRODUCT((元データ!$AL$2:$AL$2001=1)*(元データ!$AN$2:$AN$2001=1)*(元データ!$AE$2:$AE$2001=$C$96)*(元データ!$AO$2:$AO$2001=0)*(元データ!$AM$2:$AM$2001&gt;=22)*(元データ!$AM$2:$AM$2001&lt;=30)*(元データ!$E$2:$E$2001="32 ＳＶ確認中"))</f>
        <v>1</v>
      </c>
      <c r="BT97" s="59" t="str" cm="1">
        <f t="array" aca="1" ref="BT97" ca="1">IFERROR(_xlfn.TEXTJOIN(CHAR(10),TRUE,IF((元データ!$AL$2:$AL$2001=1)*(元データ!$AN$2:$AN$2001=1)*(元データ!$AE$2:$AE$2001=$C$96)*(元データ!$AO$2:$AO$2001=0)*(元データ!$AM$2:$AM$2001&gt;=22)*(元データ!$AM$2:$AM$2001&lt;=30)*(元データ!$E$2:$E$2001="32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>202660001350</v>
      </c>
      <c r="BU97" s="59">
        <f ca="1">SUMPRODUCT((元データ!$AL$2:$AL$2001=1)*(元データ!$AN$2:$AN$2001=1)*(元データ!$AE$2:$AE$2001=$C$96)*(元データ!$AO$2:$AO$2001=0)*(元データ!$AM$2:$AM$2001&gt;=22)*(元データ!$AM$2:$AM$2001&lt;=30)*(元データ!$E$2:$E$2001="40 差戻し"))</f>
        <v>1</v>
      </c>
      <c r="BV97" s="59" t="str" cm="1">
        <f t="array" aca="1" ref="BV97" ca="1">IFERROR(_xlfn.TEXTJOIN(CHAR(10),TRUE,IF((元データ!$AL$2:$AL$2001=1)*(元データ!$AN$2:$AN$2001=1)*(元データ!$AE$2:$AE$2001=$C$96)*(元データ!$AO$2:$AO$2001=0)*(元データ!$AM$2:$AM$2001&gt;=22)*(元データ!$AM$2:$AM$2001&lt;=30)*(元データ!$E$2:$E$2001="40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>202660001342（添待ち)</v>
      </c>
      <c r="BW97" s="46">
        <f ca="1">SUMPRODUCT((元データ!$AL$2:$AL$2001=1)*(元データ!$AN$2:$AN$2001=1)*(元データ!$AE$2:$AE$2001=$C$96)*(元データ!$AO$2:$AO$2001=0)*(元データ!$AM$2:$AM$2001&gt;=31))</f>
        <v>1</v>
      </c>
      <c r="BX97" s="46">
        <f ca="1">SUMPRODUCT((元データ!$AL$2:$AL$2001=1)*(元データ!$AN$2:$AN$2001=1)*(元データ!$AE$2:$AE$2001=$C$96)*(元データ!$AO$2:$AO$2001=0)*(元データ!$AM$2:$AM$2001&gt;=31)*(元データ!$E$2:$E$2001="20 確認待ち"))</f>
        <v>0</v>
      </c>
      <c r="BY97" s="56" t="str" cm="1">
        <f t="array" aca="1" ref="BY97" ca="1">IFERROR(_xlfn.TEXTJOIN(CHAR(10),TRUE,IF((元データ!$AL$2:$AL$2001=1)*(元データ!$AN$2:$AN$2001=1)*(元データ!$AE$2:$AE$2001=$C$96)*(元データ!$AO$2:$AO$2001=0)*(元データ!$AM$2:$AM$2001&gt;=31)*(元データ!$E$2:$E$2001="20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97" s="56"/>
      <c r="CA97" s="56"/>
      <c r="CB97" s="46">
        <f ca="1">SUMPRODUCT((元データ!$AL$2:$AL$2001=1)*(元データ!$AN$2:$AN$2001=1)*(元データ!$AE$2:$AE$2001=$C$96)*(元データ!$AO$2:$AO$2001=0)*(元データ!$AM$2:$AM$2001&gt;=31)*(元データ!$E$2:$E$2001="30 申請受付"))</f>
        <v>0</v>
      </c>
      <c r="CC97" s="56" t="str" cm="1">
        <f t="array" aca="1" ref="CC97" ca="1">IFERROR(_xlfn.TEXTJOIN(CHAR(10),TRUE,IF((元データ!$AL$2:$AL$2001=1)*(元データ!$AN$2:$AN$2001=1)*(元データ!$AE$2:$AE$2001=$C$96)*(元データ!$AO$2:$AO$2001=0)*(元データ!$AM$2:$AM$2001&gt;=31)*(元データ!$E$2:$E$2001="30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97" s="56"/>
      <c r="CE97" s="56"/>
      <c r="CF97" s="46">
        <f ca="1">SUMPRODUCT((元データ!$AL$2:$AL$2001=1)*(元データ!$AN$2:$AN$2001=1)*(元データ!$AE$2:$AE$2001=$C$96)*(元データ!$AO$2:$AO$2001=0)*(元データ!$AM$2:$AM$2001&gt;=31)*(元データ!$E$2:$E$2001="31 ＯＰ確認中"))</f>
        <v>0</v>
      </c>
      <c r="CG97" s="56" t="str" cm="1">
        <f t="array" aca="1" ref="CG97" ca="1">IFERROR(_xlfn.TEXTJOIN(CHAR(10),TRUE,IF((元データ!$AL$2:$AL$2001=1)*(元データ!$AN$2:$AN$2001=1)*(元データ!$AE$2:$AE$2001=$C$96)*(元データ!$AO$2:$AO$2001=0)*(元データ!$AM$2:$AM$2001&gt;=31)*(元データ!$E$2:$E$2001="31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97" s="56"/>
      <c r="CI97" s="56"/>
      <c r="CJ97" s="46">
        <f ca="1">SUMPRODUCT((元データ!$AL$2:$AL$2001=1)*(元データ!$AN$2:$AN$2001=1)*(元データ!$AE$2:$AE$2001=$C$96)*(元データ!$AO$2:$AO$2001=0)*(元データ!$AM$2:$AM$2001&gt;=31)*(元データ!$E$2:$E$2001="32 ＳＶ確認中"))</f>
        <v>0</v>
      </c>
      <c r="CK97" s="56" t="str" cm="1">
        <f t="array" aca="1" ref="CK97" ca="1">IFERROR(_xlfn.TEXTJOIN(CHAR(10),TRUE,IF((元データ!$AL$2:$AL$2001=1)*(元データ!$AN$2:$AN$2001=1)*(元データ!$AE$2:$AE$2001=$C$96)*(元データ!$AO$2:$AO$2001=0)*(元データ!$AM$2:$AM$2001&gt;=31)*(元データ!$E$2:$E$2001="32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97" s="56">
        <f ca="1">SUMPRODUCT((元データ!$AL$2:$AL$2001=1)*(元データ!$AN$2:$AN$2001=1)*(元データ!$AE$2:$AE$2001=$C$96)*(元データ!$AO$2:$AO$2001=0)*(元データ!$AM$2:$AM$2001&gt;=31)*(元データ!$E$2:$E$2001="40 差戻し"))</f>
        <v>1</v>
      </c>
      <c r="CM97" s="56" t="str" cm="1">
        <f t="array" aca="1" ref="CM97" ca="1">IFERROR(_xlfn.TEXTJOIN(CHAR(10),TRUE,IF((元データ!$AL$2:$AL$2001=1)*(元データ!$AN$2:$AN$2001=1)*(元データ!$AE$2:$AE$2001=$C$96)*(元データ!$AO$2:$AO$2001=0)*(元データ!$AM$2:$AM$2001&gt;=31)*(元データ!$E$2:$E$2001="40 差戻し"),元データ!$A$2:$A$2001&amp;IF(元データ!$AP$2:$AP$2001&lt;&gt;"","（"&amp;MID(元データ!$AP$2:$AP$2001,2,100)&amp;")",""),"")),"")</f>
        <v>202660000466（削除)</v>
      </c>
    </row>
    <row r="98" spans="2:91" ht="24.95" customHeight="1">
      <c r="B98" s="91"/>
      <c r="C98" s="63" t="s">
        <v>93</v>
      </c>
      <c r="D98" s="63"/>
      <c r="E98" s="41" t="s">
        <v>133</v>
      </c>
      <c r="F98" s="42">
        <f>SUMPRODUCT((元データ!$AL$2:$AL$2001=1)*(元データ!$AN$2:$AN$2001=1)*(元データ!$AE$2:$AE$2001=$C$98)*(元データ!$AO$2:$AO$2001=1))</f>
        <v>1</v>
      </c>
      <c r="G98" s="43">
        <f ca="1">SUMPRODUCT((元データ!$AL$2:$AL$2001=1)*(元データ!$AN$2:$AN$2001=1)*(元データ!$AE$2:$AE$2001=$C$98)*(元データ!$AO$2:$AO$2001=1)*(元データ!$AM$2:$AM$2001&lt;=7))</f>
        <v>0</v>
      </c>
      <c r="H98" s="43">
        <f ca="1">SUMPRODUCT((元データ!$AL$2:$AL$2001=1)*(元データ!$AN$2:$AN$2001=1)*(元データ!$AE$2:$AE$2001=$C$98)*(元データ!$AO$2:$AO$2001=1)*(元データ!$AM$2:$AM$2001&lt;=7)*(元データ!$E$2:$E$2001="20 確認待ち"))</f>
        <v>0</v>
      </c>
      <c r="I98" s="61" t="str" cm="1">
        <f t="array" aca="1" ref="I98" ca="1">IFERROR(_xlfn.TEXTJOIN(CHAR(10),TRUE,IF((元データ!$AL$2:$AL$2001=1)*(元データ!$AN$2:$AN$2001=1)*(元データ!$AE$2:$AE$2001=$C$98)*(元データ!$AO$2:$AO$2001=1)*(元データ!$AM$2:$AM$2001&lt;=7)*(元データ!$E$2:$E$2001="20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98" s="61"/>
      <c r="K98" s="61"/>
      <c r="L98" s="43">
        <f ca="1">SUMPRODUCT((元データ!$AL$2:$AL$2001=1)*(元データ!$AN$2:$AN$2001=1)*(元データ!$AE$2:$AE$2001=$C$98)*(元データ!$AO$2:$AO$2001=1)*(元データ!$AM$2:$AM$2001&lt;=7)*(元データ!$E$2:$E$2001="30 申請受付"))</f>
        <v>0</v>
      </c>
      <c r="M98" s="61" t="str" cm="1">
        <f t="array" aca="1" ref="M98" ca="1">IFERROR(_xlfn.TEXTJOIN(CHAR(10),TRUE,IF((元データ!$AL$2:$AL$2001=1)*(元データ!$AN$2:$AN$2001=1)*(元データ!$AE$2:$AE$2001=$C$98)*(元データ!$AO$2:$AO$2001=1)*(元データ!$AM$2:$AM$2001&lt;=7)*(元データ!$E$2:$E$2001="30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98" s="61"/>
      <c r="O98" s="61"/>
      <c r="P98" s="43">
        <f ca="1">SUMPRODUCT((元データ!$AL$2:$AL$2001=1)*(元データ!$AN$2:$AN$2001=1)*(元データ!$AE$2:$AE$2001=$C$98)*(元データ!$AO$2:$AO$2001=1)*(元データ!$AM$2:$AM$2001&lt;=7)*(元データ!$E$2:$E$2001="31 ＯＰ確認中"))</f>
        <v>0</v>
      </c>
      <c r="Q98" s="61" t="str" cm="1">
        <f t="array" aca="1" ref="Q98" ca="1">IFERROR(_xlfn.TEXTJOIN(CHAR(10),TRUE,IF((元データ!$AL$2:$AL$2001=1)*(元データ!$AN$2:$AN$2001=1)*(元データ!$AE$2:$AE$2001=$C$98)*(元データ!$AO$2:$AO$2001=1)*(元データ!$AM$2:$AM$2001&lt;=7)*(元データ!$E$2:$E$2001="31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98" s="61"/>
      <c r="S98" s="61"/>
      <c r="T98" s="43">
        <f ca="1">SUMPRODUCT((元データ!$AL$2:$AL$2001=1)*(元データ!$AN$2:$AN$2001=1)*(元データ!$AE$2:$AE$2001=$C$98)*(元データ!$AO$2:$AO$2001=1)*(元データ!$AM$2:$AM$2001&lt;=7)*(元データ!$E$2:$E$2001="32 ＳＶ確認中"))</f>
        <v>0</v>
      </c>
      <c r="U98" s="61" t="str" cm="1">
        <f t="array" aca="1" ref="U98" ca="1">IFERROR(_xlfn.TEXTJOIN(CHAR(10),TRUE,IF((元データ!$AL$2:$AL$2001=1)*(元データ!$AN$2:$AN$2001=1)*(元データ!$AE$2:$AE$2001=$C$98)*(元データ!$AO$2:$AO$2001=1)*(元データ!$AM$2:$AM$2001&lt;=7)*(元データ!$E$2:$E$2001="32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98" s="61"/>
      <c r="W98" s="61"/>
      <c r="X98" s="43">
        <f ca="1">SUMPRODUCT((元データ!$AL$2:$AL$2001=1)*(元データ!$AN$2:$AN$2001=1)*(元データ!$AE$2:$AE$2001=$C$98)*(元データ!$AO$2:$AO$2001=1)*(元データ!$AM$2:$AM$2001&gt;=8)*(元データ!$AM$2:$AM$2001&lt;=14))</f>
        <v>0</v>
      </c>
      <c r="Y98" s="43">
        <f ca="1">SUMPRODUCT((元データ!$AL$2:$AL$2001=1)*(元データ!$AN$2:$AN$2001=1)*(元データ!$AE$2:$AE$2001=$C$98)*(元データ!$AO$2:$AO$2001=1)*(元データ!$AM$2:$AM$2001&gt;=8)*(元データ!$AM$2:$AM$2001&lt;=14)*(元データ!$E$2:$E$2001="20 確認待ち"))</f>
        <v>0</v>
      </c>
      <c r="Z98" s="61" t="str" cm="1">
        <f t="array" aca="1" ref="Z98" ca="1">IFERROR(_xlfn.TEXTJOIN(CHAR(10),TRUE,IF((元データ!$AL$2:$AL$2001=1)*(元データ!$AN$2:$AN$2001=1)*(元データ!$AE$2:$AE$2001=$C$98)*(元データ!$AO$2:$AO$2001=1)*(元データ!$AM$2:$AM$2001&gt;=8)*(元データ!$AM$2:$AM$2001&lt;=14)*(元データ!$E$2:$E$2001="20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8" s="61"/>
      <c r="AB98" s="61"/>
      <c r="AC98" s="43">
        <f ca="1">SUMPRODUCT((元データ!$AL$2:$AL$2001=1)*(元データ!$AN$2:$AN$2001=1)*(元データ!$AE$2:$AE$2001=$C$98)*(元データ!$AO$2:$AO$2001=1)*(元データ!$AM$2:$AM$2001&gt;=8)*(元データ!$AM$2:$AM$2001&lt;=14)*(元データ!$E$2:$E$2001="30 申請受付"))</f>
        <v>0</v>
      </c>
      <c r="AD98" s="61" t="str" cm="1">
        <f t="array" aca="1" ref="AD98" ca="1">IFERROR(_xlfn.TEXTJOIN(CHAR(10),TRUE,IF((元データ!$AL$2:$AL$2001=1)*(元データ!$AN$2:$AN$2001=1)*(元データ!$AE$2:$AE$2001=$C$98)*(元データ!$AO$2:$AO$2001=1)*(元データ!$AM$2:$AM$2001&gt;=8)*(元データ!$AM$2:$AM$2001&lt;=14)*(元データ!$E$2:$E$2001="30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8" s="61"/>
      <c r="AF98" s="61"/>
      <c r="AG98" s="43">
        <f ca="1">SUMPRODUCT((元データ!$AL$2:$AL$2001=1)*(元データ!$AN$2:$AN$2001=1)*(元データ!$AE$2:$AE$2001=$C$98)*(元データ!$AO$2:$AO$2001=1)*(元データ!$AM$2:$AM$2001&gt;=8)*(元データ!$AM$2:$AM$2001&lt;=14)*(元データ!$E$2:$E$2001="31 ＯＰ確認中"))</f>
        <v>0</v>
      </c>
      <c r="AH98" s="61" t="str" cm="1">
        <f t="array" aca="1" ref="AH98" ca="1">IFERROR(_xlfn.TEXTJOIN(CHAR(10),TRUE,IF((元データ!$AL$2:$AL$2001=1)*(元データ!$AN$2:$AN$2001=1)*(元データ!$AE$2:$AE$2001=$C$98)*(元データ!$AO$2:$AO$2001=1)*(元データ!$AM$2:$AM$2001&gt;=8)*(元データ!$AM$2:$AM$2001&lt;=14)*(元データ!$E$2:$E$2001="31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8" s="61"/>
      <c r="AJ98" s="61"/>
      <c r="AK98" s="43">
        <f ca="1">SUMPRODUCT((元データ!$AL$2:$AL$2001=1)*(元データ!$AN$2:$AN$2001=1)*(元データ!$AE$2:$AE$2001=$C$98)*(元データ!$AO$2:$AO$2001=1)*(元データ!$AM$2:$AM$2001&gt;=8)*(元データ!$AM$2:$AM$2001&lt;=14)*(元データ!$E$2:$E$2001="32 ＳＶ確認中"))</f>
        <v>0</v>
      </c>
      <c r="AL98" s="61" t="str" cm="1">
        <f t="array" aca="1" ref="AL98" ca="1">IFERROR(_xlfn.TEXTJOIN(CHAR(10),TRUE,IF((元データ!$AL$2:$AL$2001=1)*(元データ!$AN$2:$AN$2001=1)*(元データ!$AE$2:$AE$2001=$C$98)*(元データ!$AO$2:$AO$2001=1)*(元データ!$AM$2:$AM$2001&gt;=8)*(元データ!$AM$2:$AM$2001&lt;=14)*(元データ!$E$2:$E$2001="32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8" s="61">
        <f ca="1">SUMPRODUCT((元データ!$AL$2:$AL$2001=1)*(元データ!$AN$2:$AN$2001=1)*(元データ!$AE$2:$AE$2001=$C$98)*(元データ!$AO$2:$AO$2001=1)*(元データ!$AM$2:$AM$2001&gt;=8)*(元データ!$AM$2:$AM$2001&lt;=14)*(元データ!$E$2:$E$2001="40 差戻し"))</f>
        <v>0</v>
      </c>
      <c r="AN98" s="61" t="str" cm="1">
        <f t="array" aca="1" ref="AN98" ca="1">IFERROR(_xlfn.TEXTJOIN(CHAR(10),TRUE,IF((元データ!$AL$2:$AL$2001=1)*(元データ!$AN$2:$AN$2001=1)*(元データ!$AE$2:$AE$2001=$C$98)*(元データ!$AO$2:$AO$2001=1)*(元データ!$AM$2:$AM$2001&gt;=8)*(元データ!$AM$2:$AM$2001&lt;=14)*(元データ!$E$2:$E$2001="40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8" s="44">
        <f ca="1">SUMPRODUCT((元データ!$AL$2:$AL$2001=1)*(元データ!$AN$2:$AN$2001=1)*(元データ!$AE$2:$AE$2001=$C$98)*(元データ!$AO$2:$AO$2001=1)*(元データ!$AM$2:$AM$2001&gt;=15)*(元データ!$AM$2:$AM$2001&lt;=21))</f>
        <v>0</v>
      </c>
      <c r="AP98" s="44">
        <f ca="1">SUMPRODUCT((元データ!$AL$2:$AL$2001=1)*(元データ!$AN$2:$AN$2001=1)*(元データ!$AE$2:$AE$2001=$C$98)*(元データ!$AO$2:$AO$2001=1)*(元データ!$AM$2:$AM$2001&gt;=15)*(元データ!$AM$2:$AM$2001&lt;=21)*(元データ!$E$2:$E$2001="20 確認待ち"))</f>
        <v>0</v>
      </c>
      <c r="AQ98" s="58" t="str" cm="1">
        <f t="array" aca="1" ref="AQ98" ca="1">IFERROR(_xlfn.TEXTJOIN(CHAR(10),TRUE,IF((元データ!$AL$2:$AL$2001=1)*(元データ!$AN$2:$AN$2001=1)*(元データ!$AE$2:$AE$2001=$C$98)*(元データ!$AO$2:$AO$2001=1)*(元データ!$AM$2:$AM$2001&gt;=15)*(元データ!$AM$2:$AM$2001&lt;=21)*(元データ!$E$2:$E$2001="20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8" s="58"/>
      <c r="AS98" s="58"/>
      <c r="AT98" s="44">
        <f ca="1">SUMPRODUCT((元データ!$AL$2:$AL$2001=1)*(元データ!$AN$2:$AN$2001=1)*(元データ!$AE$2:$AE$2001=$C$98)*(元データ!$AO$2:$AO$2001=1)*(元データ!$AM$2:$AM$2001&gt;=15)*(元データ!$AM$2:$AM$2001&lt;=21)*(元データ!$E$2:$E$2001="30 申請受付"))</f>
        <v>0</v>
      </c>
      <c r="AU98" s="58" t="str" cm="1">
        <f t="array" aca="1" ref="AU98" ca="1">IFERROR(_xlfn.TEXTJOIN(CHAR(10),TRUE,IF((元データ!$AL$2:$AL$2001=1)*(元データ!$AN$2:$AN$2001=1)*(元データ!$AE$2:$AE$2001=$C$98)*(元データ!$AO$2:$AO$2001=1)*(元データ!$AM$2:$AM$2001&gt;=15)*(元データ!$AM$2:$AM$2001&lt;=21)*(元データ!$E$2:$E$2001="30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8" s="58"/>
      <c r="AW98" s="58"/>
      <c r="AX98" s="44">
        <f ca="1">SUMPRODUCT((元データ!$AL$2:$AL$2001=1)*(元データ!$AN$2:$AN$2001=1)*(元データ!$AE$2:$AE$2001=$C$98)*(元データ!$AO$2:$AO$2001=1)*(元データ!$AM$2:$AM$2001&gt;=15)*(元データ!$AM$2:$AM$2001&lt;=21)*(元データ!$E$2:$E$2001="31 ＯＰ確認中"))</f>
        <v>0</v>
      </c>
      <c r="AY98" s="58" t="str" cm="1">
        <f t="array" aca="1" ref="AY98" ca="1">IFERROR(_xlfn.TEXTJOIN(CHAR(10),TRUE,IF((元データ!$AL$2:$AL$2001=1)*(元データ!$AN$2:$AN$2001=1)*(元データ!$AE$2:$AE$2001=$C$98)*(元データ!$AO$2:$AO$2001=1)*(元データ!$AM$2:$AM$2001&gt;=15)*(元データ!$AM$2:$AM$2001&lt;=21)*(元データ!$E$2:$E$2001="31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8" s="58"/>
      <c r="BA98" s="58"/>
      <c r="BB98" s="44">
        <f ca="1">SUMPRODUCT((元データ!$AL$2:$AL$2001=1)*(元データ!$AN$2:$AN$2001=1)*(元データ!$AE$2:$AE$2001=$C$98)*(元データ!$AO$2:$AO$2001=1)*(元データ!$AM$2:$AM$2001&gt;=15)*(元データ!$AM$2:$AM$2001&lt;=21)*(元データ!$E$2:$E$2001="32 ＳＶ確認中"))</f>
        <v>0</v>
      </c>
      <c r="BC98" s="58" t="str" cm="1">
        <f t="array" aca="1" ref="BC98" ca="1">IFERROR(_xlfn.TEXTJOIN(CHAR(10),TRUE,IF((元データ!$AL$2:$AL$2001=1)*(元データ!$AN$2:$AN$2001=1)*(元データ!$AE$2:$AE$2001=$C$98)*(元データ!$AO$2:$AO$2001=1)*(元データ!$AM$2:$AM$2001&gt;=15)*(元データ!$AM$2:$AM$2001&lt;=21)*(元データ!$E$2:$E$2001="32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8" s="58">
        <f ca="1">SUMPRODUCT((元データ!$AL$2:$AL$2001=1)*(元データ!$AN$2:$AN$2001=1)*(元データ!$AE$2:$AE$2001=$C$98)*(元データ!$AO$2:$AO$2001=1)*(元データ!$AM$2:$AM$2001&gt;=15)*(元データ!$AM$2:$AM$2001&lt;=21)*(元データ!$E$2:$E$2001="40 差戻し"))</f>
        <v>0</v>
      </c>
      <c r="BE98" s="58" t="str" cm="1">
        <f t="array" aca="1" ref="BE98" ca="1">IFERROR(_xlfn.TEXTJOIN(CHAR(10),TRUE,IF((元データ!$AL$2:$AL$2001=1)*(元データ!$AN$2:$AN$2001=1)*(元データ!$AE$2:$AE$2001=$C$98)*(元データ!$AO$2:$AO$2001=1)*(元データ!$AM$2:$AM$2001&gt;=15)*(元データ!$AM$2:$AM$2001&lt;=21)*(元データ!$E$2:$E$2001="40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8" s="45">
        <f ca="1">SUMPRODUCT((元データ!$AL$2:$AL$2001=1)*(元データ!$AN$2:$AN$2001=1)*(元データ!$AE$2:$AE$2001=$C$98)*(元データ!$AO$2:$AO$2001=1)*(元データ!$AM$2:$AM$2001&gt;=22)*(元データ!$AM$2:$AM$2001&lt;=30))</f>
        <v>0</v>
      </c>
      <c r="BG98" s="45">
        <f ca="1">SUMPRODUCT((元データ!$AL$2:$AL$2001=1)*(元データ!$AN$2:$AN$2001=1)*(元データ!$AE$2:$AE$2001=$C$98)*(元データ!$AO$2:$AO$2001=1)*(元データ!$AM$2:$AM$2001&gt;=22)*(元データ!$AM$2:$AM$2001&lt;=30)*(元データ!$E$2:$E$2001="20 確認待ち"))</f>
        <v>0</v>
      </c>
      <c r="BH98" s="60" t="str" cm="1">
        <f t="array" aca="1" ref="BH98" ca="1">IFERROR(_xlfn.TEXTJOIN(CHAR(10),TRUE,IF((元データ!$AL$2:$AL$2001=1)*(元データ!$AN$2:$AN$2001=1)*(元データ!$AE$2:$AE$2001=$C$98)*(元データ!$AO$2:$AO$2001=1)*(元データ!$AM$2:$AM$2001&gt;=22)*(元データ!$AM$2:$AM$2001&lt;=30)*(元データ!$E$2:$E$2001="20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8" s="60"/>
      <c r="BJ98" s="60"/>
      <c r="BK98" s="45">
        <f ca="1">SUMPRODUCT((元データ!$AL$2:$AL$2001=1)*(元データ!$AN$2:$AN$2001=1)*(元データ!$AE$2:$AE$2001=$C$98)*(元データ!$AO$2:$AO$2001=1)*(元データ!$AM$2:$AM$2001&gt;=22)*(元データ!$AM$2:$AM$2001&lt;=30)*(元データ!$E$2:$E$2001="30 申請受付"))</f>
        <v>0</v>
      </c>
      <c r="BL98" s="59" t="str" cm="1">
        <f t="array" aca="1" ref="BL98" ca="1">IFERROR(_xlfn.TEXTJOIN(CHAR(10),TRUE,IF((元データ!$AL$2:$AL$2001=1)*(元データ!$AN$2:$AN$2001=1)*(元データ!$AE$2:$AE$2001=$C$98)*(元データ!$AO$2:$AO$2001=1)*(元データ!$AM$2:$AM$2001&gt;=22)*(元データ!$AM$2:$AM$2001&lt;=30)*(元データ!$E$2:$E$2001="30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8" s="59"/>
      <c r="BN98" s="59"/>
      <c r="BO98" s="45">
        <f ca="1">SUMPRODUCT((元データ!$AL$2:$AL$2001=1)*(元データ!$AN$2:$AN$2001=1)*(元データ!$AE$2:$AE$2001=$C$98)*(元データ!$AO$2:$AO$2001=1)*(元データ!$AM$2:$AM$2001&gt;=22)*(元データ!$AM$2:$AM$2001&lt;=30)*(元データ!$E$2:$E$2001="31 ＯＰ確認中"))</f>
        <v>0</v>
      </c>
      <c r="BP98" s="59" t="str" cm="1">
        <f t="array" aca="1" ref="BP98" ca="1">IFERROR(_xlfn.TEXTJOIN(CHAR(10),TRUE,IF((元データ!$AL$2:$AL$2001=1)*(元データ!$AN$2:$AN$2001=1)*(元データ!$AE$2:$AE$2001=$C$98)*(元データ!$AO$2:$AO$2001=1)*(元データ!$AM$2:$AM$2001&gt;=22)*(元データ!$AM$2:$AM$2001&lt;=30)*(元データ!$E$2:$E$2001="31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8" s="59"/>
      <c r="BR98" s="59"/>
      <c r="BS98" s="45">
        <f ca="1">SUMPRODUCT((元データ!$AL$2:$AL$2001=1)*(元データ!$AN$2:$AN$2001=1)*(元データ!$AE$2:$AE$2001=$C$98)*(元データ!$AO$2:$AO$2001=1)*(元データ!$AM$2:$AM$2001&gt;=22)*(元データ!$AM$2:$AM$2001&lt;=30)*(元データ!$E$2:$E$2001="32 ＳＶ確認中"))</f>
        <v>0</v>
      </c>
      <c r="BT98" s="59" t="str" cm="1">
        <f t="array" aca="1" ref="BT98" ca="1">IFERROR(_xlfn.TEXTJOIN(CHAR(10),TRUE,IF((元データ!$AL$2:$AL$2001=1)*(元データ!$AN$2:$AN$2001=1)*(元データ!$AE$2:$AE$2001=$C$98)*(元データ!$AO$2:$AO$2001=1)*(元データ!$AM$2:$AM$2001&gt;=22)*(元データ!$AM$2:$AM$2001&lt;=30)*(元データ!$E$2:$E$2001="32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98" s="59">
        <f ca="1">SUMPRODUCT((元データ!$AL$2:$AL$2001=1)*(元データ!$AN$2:$AN$2001=1)*(元データ!$AE$2:$AE$2001=$C$98)*(元データ!$AO$2:$AO$2001=1)*(元データ!$AM$2:$AM$2001&gt;=22)*(元データ!$AM$2:$AM$2001&lt;=30)*(元データ!$E$2:$E$2001="40 差戻し"))</f>
        <v>0</v>
      </c>
      <c r="BV98" s="59" t="str" cm="1">
        <f t="array" aca="1" ref="BV98" ca="1">IFERROR(_xlfn.TEXTJOIN(CHAR(10),TRUE,IF((元データ!$AL$2:$AL$2001=1)*(元データ!$AN$2:$AN$2001=1)*(元データ!$AE$2:$AE$2001=$C$98)*(元データ!$AO$2:$AO$2001=1)*(元データ!$AM$2:$AM$2001&gt;=22)*(元データ!$AM$2:$AM$2001&lt;=30)*(元データ!$E$2:$E$2001="40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8" s="46">
        <f ca="1">SUMPRODUCT((元データ!$AL$2:$AL$2001=1)*(元データ!$AN$2:$AN$2001=1)*(元データ!$AE$2:$AE$2001=$C$98)*(元データ!$AO$2:$AO$2001=1)*(元データ!$AM$2:$AM$2001&gt;=31))</f>
        <v>1</v>
      </c>
      <c r="BX98" s="46">
        <f ca="1">SUMPRODUCT((元データ!$AL$2:$AL$2001=1)*(元データ!$AN$2:$AN$2001=1)*(元データ!$AE$2:$AE$2001=$C$98)*(元データ!$AO$2:$AO$2001=1)*(元データ!$AM$2:$AM$2001&gt;=31)*(元データ!$E$2:$E$2001="20 確認待ち"))</f>
        <v>0</v>
      </c>
      <c r="BY98" s="56" t="str" cm="1">
        <f t="array" aca="1" ref="BY98" ca="1">IFERROR(_xlfn.TEXTJOIN(CHAR(10),TRUE,IF((元データ!$AL$2:$AL$2001=1)*(元データ!$AN$2:$AN$2001=1)*(元データ!$AE$2:$AE$2001=$C$98)*(元データ!$AO$2:$AO$2001=1)*(元データ!$AM$2:$AM$2001&gt;=31)*(元データ!$E$2:$E$2001="20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98" s="56"/>
      <c r="CA98" s="56"/>
      <c r="CB98" s="46">
        <f ca="1">SUMPRODUCT((元データ!$AL$2:$AL$2001=1)*(元データ!$AN$2:$AN$2001=1)*(元データ!$AE$2:$AE$2001=$C$98)*(元データ!$AO$2:$AO$2001=1)*(元データ!$AM$2:$AM$2001&gt;=31)*(元データ!$E$2:$E$2001="30 申請受付"))</f>
        <v>0</v>
      </c>
      <c r="CC98" s="56" t="str" cm="1">
        <f t="array" aca="1" ref="CC98" ca="1">IFERROR(_xlfn.TEXTJOIN(CHAR(10),TRUE,IF((元データ!$AL$2:$AL$2001=1)*(元データ!$AN$2:$AN$2001=1)*(元データ!$AE$2:$AE$2001=$C$98)*(元データ!$AO$2:$AO$2001=1)*(元データ!$AM$2:$AM$2001&gt;=31)*(元データ!$E$2:$E$2001="30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98" s="56"/>
      <c r="CE98" s="56"/>
      <c r="CF98" s="46">
        <f ca="1">SUMPRODUCT((元データ!$AL$2:$AL$2001=1)*(元データ!$AN$2:$AN$2001=1)*(元データ!$AE$2:$AE$2001=$C$98)*(元データ!$AO$2:$AO$2001=1)*(元データ!$AM$2:$AM$2001&gt;=31)*(元データ!$E$2:$E$2001="31 ＯＰ確認中"))</f>
        <v>0</v>
      </c>
      <c r="CG98" s="56" t="str" cm="1">
        <f t="array" aca="1" ref="CG98" ca="1">IFERROR(_xlfn.TEXTJOIN(CHAR(10),TRUE,IF((元データ!$AL$2:$AL$2001=1)*(元データ!$AN$2:$AN$2001=1)*(元データ!$AE$2:$AE$2001=$C$98)*(元データ!$AO$2:$AO$2001=1)*(元データ!$AM$2:$AM$2001&gt;=31)*(元データ!$E$2:$E$2001="31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98" s="56"/>
      <c r="CI98" s="56"/>
      <c r="CJ98" s="46">
        <f ca="1">SUMPRODUCT((元データ!$AL$2:$AL$2001=1)*(元データ!$AN$2:$AN$2001=1)*(元データ!$AE$2:$AE$2001=$C$98)*(元データ!$AO$2:$AO$2001=1)*(元データ!$AM$2:$AM$2001&gt;=31)*(元データ!$E$2:$E$2001="32 ＳＶ確認中"))</f>
        <v>1</v>
      </c>
      <c r="CK98" s="56" t="str" cm="1">
        <f t="array" aca="1" ref="CK98" ca="1">IFERROR(_xlfn.TEXTJOIN(CHAR(10),TRUE,IF((元データ!$AL$2:$AL$2001=1)*(元データ!$AN$2:$AN$2001=1)*(元データ!$AE$2:$AE$2001=$C$98)*(元データ!$AO$2:$AO$2001=1)*(元データ!$AM$2:$AM$2001&gt;=31)*(元データ!$E$2:$E$2001="32 ＳＶ確認中"),元データ!$A$2:$A$2001&amp;IF(元データ!$AP$2:$AP$2001&lt;&gt;"","（"&amp;MID(元データ!$AP$2:$AP$2001,2,100)&amp;")",""),"")),"")</f>
        <v>202660001258</v>
      </c>
      <c r="CL98" s="56">
        <f ca="1">SUMPRODUCT((元データ!$AL$2:$AL$2001=1)*(元データ!$AN$2:$AN$2001=1)*(元データ!$AE$2:$AE$2001=$C$98)*(元データ!$AO$2:$AO$2001=1)*(元データ!$AM$2:$AM$2001&gt;=31)*(元データ!$E$2:$E$2001="40 差戻し"))</f>
        <v>0</v>
      </c>
      <c r="CM98" s="56" t="str" cm="1">
        <f t="array" aca="1" ref="CM98" ca="1">IFERROR(_xlfn.TEXTJOIN(CHAR(10),TRUE,IF((元データ!$AL$2:$AL$2001=1)*(元データ!$AN$2:$AN$2001=1)*(元データ!$AE$2:$AE$2001=$C$98)*(元データ!$AO$2:$AO$2001=1)*(元データ!$AM$2:$AM$2001&gt;=31)*(元データ!$E$2:$E$2001="40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99" spans="2:91" ht="24.95" customHeight="1">
      <c r="B99" s="92"/>
      <c r="C99" s="63"/>
      <c r="D99" s="63"/>
      <c r="E99" s="47" t="s">
        <v>134</v>
      </c>
      <c r="F99" s="48">
        <f>SUMPRODUCT((元データ!$AL$2:$AL$2001=1)*(元データ!$AN$2:$AN$2001=1)*(元データ!$AE$2:$AE$2001=$C$98)*(元データ!$AO$2:$AO$2001=0))</f>
        <v>1</v>
      </c>
      <c r="G99" s="49">
        <f ca="1">SUMPRODUCT((元データ!$AL$2:$AL$2001=1)*(元データ!$AN$2:$AN$2001=1)*(元データ!$AE$2:$AE$2001=$C$98)*(元データ!$AO$2:$AO$2001=0)*(元データ!$AM$2:$AM$2001&lt;=7))</f>
        <v>0</v>
      </c>
      <c r="H99" s="49">
        <f ca="1">SUMPRODUCT((元データ!$AL$2:$AL$2001=1)*(元データ!$AN$2:$AN$2001=1)*(元データ!$AE$2:$AE$2001=$C$98)*(元データ!$AO$2:$AO$2001=0)*(元データ!$AM$2:$AM$2001&lt;=7)*(元データ!$E$2:$E$2001="20 確認待ち"))</f>
        <v>0</v>
      </c>
      <c r="I99" s="57" t="str" cm="1">
        <f t="array" aca="1" ref="I99" ca="1">IFERROR(_xlfn.TEXTJOIN(CHAR(10),TRUE,IF((元データ!$AL$2:$AL$2001=1)*(元データ!$AN$2:$AN$2001=1)*(元データ!$AE$2:$AE$2001=$C$98)*(元データ!$AO$2:$AO$2001=0)*(元データ!$AM$2:$AM$2001&lt;=7)*(元データ!$E$2:$E$2001="20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99" s="57"/>
      <c r="K99" s="57"/>
      <c r="L99" s="49">
        <f ca="1">SUMPRODUCT((元データ!$AL$2:$AL$2001=1)*(元データ!$AN$2:$AN$2001=1)*(元データ!$AE$2:$AE$2001=$C$98)*(元データ!$AO$2:$AO$2001=0)*(元データ!$AM$2:$AM$2001&lt;=7)*(元データ!$E$2:$E$2001="30 申請受付"))</f>
        <v>0</v>
      </c>
      <c r="M99" s="57" t="str" cm="1">
        <f t="array" aca="1" ref="M99" ca="1">IFERROR(_xlfn.TEXTJOIN(CHAR(10),TRUE,IF((元データ!$AL$2:$AL$2001=1)*(元データ!$AN$2:$AN$2001=1)*(元データ!$AE$2:$AE$2001=$C$98)*(元データ!$AO$2:$AO$2001=0)*(元データ!$AM$2:$AM$2001&lt;=7)*(元データ!$E$2:$E$2001="30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99" s="57"/>
      <c r="O99" s="57"/>
      <c r="P99" s="49">
        <f ca="1">SUMPRODUCT((元データ!$AL$2:$AL$2001=1)*(元データ!$AN$2:$AN$2001=1)*(元データ!$AE$2:$AE$2001=$C$98)*(元データ!$AO$2:$AO$2001=0)*(元データ!$AM$2:$AM$2001&lt;=7)*(元データ!$E$2:$E$2001="31 ＯＰ確認中"))</f>
        <v>0</v>
      </c>
      <c r="Q99" s="57" t="str" cm="1">
        <f t="array" aca="1" ref="Q99" ca="1">IFERROR(_xlfn.TEXTJOIN(CHAR(10),TRUE,IF((元データ!$AL$2:$AL$2001=1)*(元データ!$AN$2:$AN$2001=1)*(元データ!$AE$2:$AE$2001=$C$98)*(元データ!$AO$2:$AO$2001=0)*(元データ!$AM$2:$AM$2001&lt;=7)*(元データ!$E$2:$E$2001="31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99" s="57"/>
      <c r="S99" s="57"/>
      <c r="T99" s="49">
        <f ca="1">SUMPRODUCT((元データ!$AL$2:$AL$2001=1)*(元データ!$AN$2:$AN$2001=1)*(元データ!$AE$2:$AE$2001=$C$98)*(元データ!$AO$2:$AO$2001=0)*(元データ!$AM$2:$AM$2001&lt;=7)*(元データ!$E$2:$E$2001="32 ＳＶ確認中"))</f>
        <v>0</v>
      </c>
      <c r="U99" s="57" t="str" cm="1">
        <f t="array" aca="1" ref="U99" ca="1">IFERROR(_xlfn.TEXTJOIN(CHAR(10),TRUE,IF((元データ!$AL$2:$AL$2001=1)*(元データ!$AN$2:$AN$2001=1)*(元データ!$AE$2:$AE$2001=$C$98)*(元データ!$AO$2:$AO$2001=0)*(元データ!$AM$2:$AM$2001&lt;=7)*(元データ!$E$2:$E$2001="32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99" s="57"/>
      <c r="W99" s="57"/>
      <c r="X99" s="49">
        <f ca="1">SUMPRODUCT((元データ!$AL$2:$AL$2001=1)*(元データ!$AN$2:$AN$2001=1)*(元データ!$AE$2:$AE$2001=$C$98)*(元データ!$AO$2:$AO$2001=0)*(元データ!$AM$2:$AM$2001&gt;=8)*(元データ!$AM$2:$AM$2001&lt;=14))</f>
        <v>0</v>
      </c>
      <c r="Y99" s="49">
        <f ca="1">SUMPRODUCT((元データ!$AL$2:$AL$2001=1)*(元データ!$AN$2:$AN$2001=1)*(元データ!$AE$2:$AE$2001=$C$98)*(元データ!$AO$2:$AO$2001=0)*(元データ!$AM$2:$AM$2001&gt;=8)*(元データ!$AM$2:$AM$2001&lt;=14)*(元データ!$E$2:$E$2001="20 確認待ち"))</f>
        <v>0</v>
      </c>
      <c r="Z99" s="57" t="str" cm="1">
        <f t="array" aca="1" ref="Z99" ca="1">IFERROR(_xlfn.TEXTJOIN(CHAR(10),TRUE,IF((元データ!$AL$2:$AL$2001=1)*(元データ!$AN$2:$AN$2001=1)*(元データ!$AE$2:$AE$2001=$C$98)*(元データ!$AO$2:$AO$2001=0)*(元データ!$AM$2:$AM$2001&gt;=8)*(元データ!$AM$2:$AM$2001&lt;=14)*(元データ!$E$2:$E$2001="20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99" s="57"/>
      <c r="AB99" s="57"/>
      <c r="AC99" s="49">
        <f ca="1">SUMPRODUCT((元データ!$AL$2:$AL$2001=1)*(元データ!$AN$2:$AN$2001=1)*(元データ!$AE$2:$AE$2001=$C$98)*(元データ!$AO$2:$AO$2001=0)*(元データ!$AM$2:$AM$2001&gt;=8)*(元データ!$AM$2:$AM$2001&lt;=14)*(元データ!$E$2:$E$2001="30 申請受付"))</f>
        <v>0</v>
      </c>
      <c r="AD99" s="57" t="str" cm="1">
        <f t="array" aca="1" ref="AD99" ca="1">IFERROR(_xlfn.TEXTJOIN(CHAR(10),TRUE,IF((元データ!$AL$2:$AL$2001=1)*(元データ!$AN$2:$AN$2001=1)*(元データ!$AE$2:$AE$2001=$C$98)*(元データ!$AO$2:$AO$2001=0)*(元データ!$AM$2:$AM$2001&gt;=8)*(元データ!$AM$2:$AM$2001&lt;=14)*(元データ!$E$2:$E$2001="30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99" s="57"/>
      <c r="AF99" s="57"/>
      <c r="AG99" s="49">
        <f ca="1">SUMPRODUCT((元データ!$AL$2:$AL$2001=1)*(元データ!$AN$2:$AN$2001=1)*(元データ!$AE$2:$AE$2001=$C$98)*(元データ!$AO$2:$AO$2001=0)*(元データ!$AM$2:$AM$2001&gt;=8)*(元データ!$AM$2:$AM$2001&lt;=14)*(元データ!$E$2:$E$2001="31 ＯＰ確認中"))</f>
        <v>0</v>
      </c>
      <c r="AH99" s="57" t="str" cm="1">
        <f t="array" aca="1" ref="AH99" ca="1">IFERROR(_xlfn.TEXTJOIN(CHAR(10),TRUE,IF((元データ!$AL$2:$AL$2001=1)*(元データ!$AN$2:$AN$2001=1)*(元データ!$AE$2:$AE$2001=$C$98)*(元データ!$AO$2:$AO$2001=0)*(元データ!$AM$2:$AM$2001&gt;=8)*(元データ!$AM$2:$AM$2001&lt;=14)*(元データ!$E$2:$E$2001="31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99" s="57"/>
      <c r="AJ99" s="57"/>
      <c r="AK99" s="49">
        <f ca="1">SUMPRODUCT((元データ!$AL$2:$AL$2001=1)*(元データ!$AN$2:$AN$2001=1)*(元データ!$AE$2:$AE$2001=$C$98)*(元データ!$AO$2:$AO$2001=0)*(元データ!$AM$2:$AM$2001&gt;=8)*(元データ!$AM$2:$AM$2001&lt;=14)*(元データ!$E$2:$E$2001="32 ＳＶ確認中"))</f>
        <v>0</v>
      </c>
      <c r="AL99" s="57" t="str" cm="1">
        <f t="array" aca="1" ref="AL99" ca="1">IFERROR(_xlfn.TEXTJOIN(CHAR(10),TRUE,IF((元データ!$AL$2:$AL$2001=1)*(元データ!$AN$2:$AN$2001=1)*(元データ!$AE$2:$AE$2001=$C$98)*(元データ!$AO$2:$AO$2001=0)*(元データ!$AM$2:$AM$2001&gt;=8)*(元データ!$AM$2:$AM$2001&lt;=14)*(元データ!$E$2:$E$2001="32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99" s="57">
        <f ca="1">SUMPRODUCT((元データ!$AL$2:$AL$2001=1)*(元データ!$AN$2:$AN$2001=1)*(元データ!$AE$2:$AE$2001=$C$98)*(元データ!$AO$2:$AO$2001=0)*(元データ!$AM$2:$AM$2001&gt;=8)*(元データ!$AM$2:$AM$2001&lt;=14)*(元データ!$E$2:$E$2001="40 差戻し"))</f>
        <v>0</v>
      </c>
      <c r="AN99" s="57" t="str" cm="1">
        <f t="array" aca="1" ref="AN99" ca="1">IFERROR(_xlfn.TEXTJOIN(CHAR(10),TRUE,IF((元データ!$AL$2:$AL$2001=1)*(元データ!$AN$2:$AN$2001=1)*(元データ!$AE$2:$AE$2001=$C$98)*(元データ!$AO$2:$AO$2001=0)*(元データ!$AM$2:$AM$2001&gt;=8)*(元データ!$AM$2:$AM$2001&lt;=14)*(元データ!$E$2:$E$2001="40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99" s="44">
        <f ca="1">SUMPRODUCT((元データ!$AL$2:$AL$2001=1)*(元データ!$AN$2:$AN$2001=1)*(元データ!$AE$2:$AE$2001=$C$98)*(元データ!$AO$2:$AO$2001=0)*(元データ!$AM$2:$AM$2001&gt;=15)*(元データ!$AM$2:$AM$2001&lt;=21))</f>
        <v>0</v>
      </c>
      <c r="AP99" s="44">
        <f ca="1">SUMPRODUCT((元データ!$AL$2:$AL$2001=1)*(元データ!$AN$2:$AN$2001=1)*(元データ!$AE$2:$AE$2001=$C$98)*(元データ!$AO$2:$AO$2001=0)*(元データ!$AM$2:$AM$2001&gt;=15)*(元データ!$AM$2:$AM$2001&lt;=21)*(元データ!$E$2:$E$2001="20 確認待ち"))</f>
        <v>0</v>
      </c>
      <c r="AQ99" s="58" t="str" cm="1">
        <f t="array" aca="1" ref="AQ99" ca="1">IFERROR(_xlfn.TEXTJOIN(CHAR(10),TRUE,IF((元データ!$AL$2:$AL$2001=1)*(元データ!$AN$2:$AN$2001=1)*(元データ!$AE$2:$AE$2001=$C$98)*(元データ!$AO$2:$AO$2001=0)*(元データ!$AM$2:$AM$2001&gt;=15)*(元データ!$AM$2:$AM$2001&lt;=21)*(元データ!$E$2:$E$2001="20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99" s="58"/>
      <c r="AS99" s="58"/>
      <c r="AT99" s="44">
        <f ca="1">SUMPRODUCT((元データ!$AL$2:$AL$2001=1)*(元データ!$AN$2:$AN$2001=1)*(元データ!$AE$2:$AE$2001=$C$98)*(元データ!$AO$2:$AO$2001=0)*(元データ!$AM$2:$AM$2001&gt;=15)*(元データ!$AM$2:$AM$2001&lt;=21)*(元データ!$E$2:$E$2001="30 申請受付"))</f>
        <v>0</v>
      </c>
      <c r="AU99" s="58" t="str" cm="1">
        <f t="array" aca="1" ref="AU99" ca="1">IFERROR(_xlfn.TEXTJOIN(CHAR(10),TRUE,IF((元データ!$AL$2:$AL$2001=1)*(元データ!$AN$2:$AN$2001=1)*(元データ!$AE$2:$AE$2001=$C$98)*(元データ!$AO$2:$AO$2001=0)*(元データ!$AM$2:$AM$2001&gt;=15)*(元データ!$AM$2:$AM$2001&lt;=21)*(元データ!$E$2:$E$2001="30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99" s="58"/>
      <c r="AW99" s="58"/>
      <c r="AX99" s="44">
        <f ca="1">SUMPRODUCT((元データ!$AL$2:$AL$2001=1)*(元データ!$AN$2:$AN$2001=1)*(元データ!$AE$2:$AE$2001=$C$98)*(元データ!$AO$2:$AO$2001=0)*(元データ!$AM$2:$AM$2001&gt;=15)*(元データ!$AM$2:$AM$2001&lt;=21)*(元データ!$E$2:$E$2001="31 ＯＰ確認中"))</f>
        <v>0</v>
      </c>
      <c r="AY99" s="58" t="str" cm="1">
        <f t="array" aca="1" ref="AY99" ca="1">IFERROR(_xlfn.TEXTJOIN(CHAR(10),TRUE,IF((元データ!$AL$2:$AL$2001=1)*(元データ!$AN$2:$AN$2001=1)*(元データ!$AE$2:$AE$2001=$C$98)*(元データ!$AO$2:$AO$2001=0)*(元データ!$AM$2:$AM$2001&gt;=15)*(元データ!$AM$2:$AM$2001&lt;=21)*(元データ!$E$2:$E$2001="31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99" s="58"/>
      <c r="BA99" s="58"/>
      <c r="BB99" s="44">
        <f ca="1">SUMPRODUCT((元データ!$AL$2:$AL$2001=1)*(元データ!$AN$2:$AN$2001=1)*(元データ!$AE$2:$AE$2001=$C$98)*(元データ!$AO$2:$AO$2001=0)*(元データ!$AM$2:$AM$2001&gt;=15)*(元データ!$AM$2:$AM$2001&lt;=21)*(元データ!$E$2:$E$2001="32 ＳＶ確認中"))</f>
        <v>0</v>
      </c>
      <c r="BC99" s="58" t="str" cm="1">
        <f t="array" aca="1" ref="BC99" ca="1">IFERROR(_xlfn.TEXTJOIN(CHAR(10),TRUE,IF((元データ!$AL$2:$AL$2001=1)*(元データ!$AN$2:$AN$2001=1)*(元データ!$AE$2:$AE$2001=$C$98)*(元データ!$AO$2:$AO$2001=0)*(元データ!$AM$2:$AM$2001&gt;=15)*(元データ!$AM$2:$AM$2001&lt;=21)*(元データ!$E$2:$E$2001="32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99" s="58">
        <f ca="1">SUMPRODUCT((元データ!$AL$2:$AL$2001=1)*(元データ!$AN$2:$AN$2001=1)*(元データ!$AE$2:$AE$2001=$C$98)*(元データ!$AO$2:$AO$2001=0)*(元データ!$AM$2:$AM$2001&gt;=15)*(元データ!$AM$2:$AM$2001&lt;=21)*(元データ!$E$2:$E$2001="40 差戻し"))</f>
        <v>0</v>
      </c>
      <c r="BE99" s="58" t="str" cm="1">
        <f t="array" aca="1" ref="BE99" ca="1">IFERROR(_xlfn.TEXTJOIN(CHAR(10),TRUE,IF((元データ!$AL$2:$AL$2001=1)*(元データ!$AN$2:$AN$2001=1)*(元データ!$AE$2:$AE$2001=$C$98)*(元データ!$AO$2:$AO$2001=0)*(元データ!$AM$2:$AM$2001&gt;=15)*(元データ!$AM$2:$AM$2001&lt;=21)*(元データ!$E$2:$E$2001="40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99" s="45">
        <f ca="1">SUMPRODUCT((元データ!$AL$2:$AL$2001=1)*(元データ!$AN$2:$AN$2001=1)*(元データ!$AE$2:$AE$2001=$C$98)*(元データ!$AO$2:$AO$2001=0)*(元データ!$AM$2:$AM$2001&gt;=22)*(元データ!$AM$2:$AM$2001&lt;=30))</f>
        <v>0</v>
      </c>
      <c r="BG99" s="45">
        <f ca="1">SUMPRODUCT((元データ!$AL$2:$AL$2001=1)*(元データ!$AN$2:$AN$2001=1)*(元データ!$AE$2:$AE$2001=$C$98)*(元データ!$AO$2:$AO$2001=0)*(元データ!$AM$2:$AM$2001&gt;=22)*(元データ!$AM$2:$AM$2001&lt;=30)*(元データ!$E$2:$E$2001="20 確認待ち"))</f>
        <v>0</v>
      </c>
      <c r="BH99" s="59" t="str" cm="1">
        <f t="array" aca="1" ref="BH99" ca="1">IFERROR(_xlfn.TEXTJOIN(CHAR(10),TRUE,IF((元データ!$AL$2:$AL$2001=1)*(元データ!$AN$2:$AN$2001=1)*(元データ!$AE$2:$AE$2001=$C$98)*(元データ!$AO$2:$AO$2001=0)*(元データ!$AM$2:$AM$2001&gt;=22)*(元データ!$AM$2:$AM$2001&lt;=30)*(元データ!$E$2:$E$2001="20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99" s="59"/>
      <c r="BJ99" s="59"/>
      <c r="BK99" s="45">
        <f ca="1">SUMPRODUCT((元データ!$AL$2:$AL$2001=1)*(元データ!$AN$2:$AN$2001=1)*(元データ!$AE$2:$AE$2001=$C$98)*(元データ!$AO$2:$AO$2001=0)*(元データ!$AM$2:$AM$2001&gt;=22)*(元データ!$AM$2:$AM$2001&lt;=30)*(元データ!$E$2:$E$2001="30 申請受付"))</f>
        <v>0</v>
      </c>
      <c r="BL99" s="59" t="str" cm="1">
        <f t="array" aca="1" ref="BL99" ca="1">IFERROR(_xlfn.TEXTJOIN(CHAR(10),TRUE,IF((元データ!$AL$2:$AL$2001=1)*(元データ!$AN$2:$AN$2001=1)*(元データ!$AE$2:$AE$2001=$C$98)*(元データ!$AO$2:$AO$2001=0)*(元データ!$AM$2:$AM$2001&gt;=22)*(元データ!$AM$2:$AM$2001&lt;=30)*(元データ!$E$2:$E$2001="30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99" s="59"/>
      <c r="BN99" s="59"/>
      <c r="BO99" s="45">
        <f ca="1">SUMPRODUCT((元データ!$AL$2:$AL$2001=1)*(元データ!$AN$2:$AN$2001=1)*(元データ!$AE$2:$AE$2001=$C$98)*(元データ!$AO$2:$AO$2001=0)*(元データ!$AM$2:$AM$2001&gt;=22)*(元データ!$AM$2:$AM$2001&lt;=30)*(元データ!$E$2:$E$2001="31 ＯＰ確認中"))</f>
        <v>0</v>
      </c>
      <c r="BP99" s="59" t="str" cm="1">
        <f t="array" aca="1" ref="BP99" ca="1">IFERROR(_xlfn.TEXTJOIN(CHAR(10),TRUE,IF((元データ!$AL$2:$AL$2001=1)*(元データ!$AN$2:$AN$2001=1)*(元データ!$AE$2:$AE$2001=$C$98)*(元データ!$AO$2:$AO$2001=0)*(元データ!$AM$2:$AM$2001&gt;=22)*(元データ!$AM$2:$AM$2001&lt;=30)*(元データ!$E$2:$E$2001="31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99" s="59"/>
      <c r="BR99" s="59"/>
      <c r="BS99" s="45">
        <f ca="1">SUMPRODUCT((元データ!$AL$2:$AL$2001=1)*(元データ!$AN$2:$AN$2001=1)*(元データ!$AE$2:$AE$2001=$C$98)*(元データ!$AO$2:$AO$2001=0)*(元データ!$AM$2:$AM$2001&gt;=22)*(元データ!$AM$2:$AM$2001&lt;=30)*(元データ!$E$2:$E$2001="32 ＳＶ確認中"))</f>
        <v>0</v>
      </c>
      <c r="BT99" s="59" t="str" cm="1">
        <f t="array" aca="1" ref="BT99" ca="1">IFERROR(_xlfn.TEXTJOIN(CHAR(10),TRUE,IF((元データ!$AL$2:$AL$2001=1)*(元データ!$AN$2:$AN$2001=1)*(元データ!$AE$2:$AE$2001=$C$98)*(元データ!$AO$2:$AO$2001=0)*(元データ!$AM$2:$AM$2001&gt;=22)*(元データ!$AM$2:$AM$2001&lt;=30)*(元データ!$E$2:$E$2001="32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99" s="59">
        <f ca="1">SUMPRODUCT((元データ!$AL$2:$AL$2001=1)*(元データ!$AN$2:$AN$2001=1)*(元データ!$AE$2:$AE$2001=$C$98)*(元データ!$AO$2:$AO$2001=0)*(元データ!$AM$2:$AM$2001&gt;=22)*(元データ!$AM$2:$AM$2001&lt;=30)*(元データ!$E$2:$E$2001="40 差戻し"))</f>
        <v>0</v>
      </c>
      <c r="BV99" s="59" t="str" cm="1">
        <f t="array" aca="1" ref="BV99" ca="1">IFERROR(_xlfn.TEXTJOIN(CHAR(10),TRUE,IF((元データ!$AL$2:$AL$2001=1)*(元データ!$AN$2:$AN$2001=1)*(元データ!$AE$2:$AE$2001=$C$98)*(元データ!$AO$2:$AO$2001=0)*(元データ!$AM$2:$AM$2001&gt;=22)*(元データ!$AM$2:$AM$2001&lt;=30)*(元データ!$E$2:$E$2001="40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99" s="46">
        <f ca="1">SUMPRODUCT((元データ!$AL$2:$AL$2001=1)*(元データ!$AN$2:$AN$2001=1)*(元データ!$AE$2:$AE$2001=$C$98)*(元データ!$AO$2:$AO$2001=0)*(元データ!$AM$2:$AM$2001&gt;=31))</f>
        <v>1</v>
      </c>
      <c r="BX99" s="46">
        <f ca="1">SUMPRODUCT((元データ!$AL$2:$AL$2001=1)*(元データ!$AN$2:$AN$2001=1)*(元データ!$AE$2:$AE$2001=$C$98)*(元データ!$AO$2:$AO$2001=0)*(元データ!$AM$2:$AM$2001&gt;=31)*(元データ!$E$2:$E$2001="20 確認待ち"))</f>
        <v>0</v>
      </c>
      <c r="BY99" s="56" t="str" cm="1">
        <f t="array" aca="1" ref="BY99" ca="1">IFERROR(_xlfn.TEXTJOIN(CHAR(10),TRUE,IF((元データ!$AL$2:$AL$2001=1)*(元データ!$AN$2:$AN$2001=1)*(元データ!$AE$2:$AE$2001=$C$98)*(元データ!$AO$2:$AO$2001=0)*(元データ!$AM$2:$AM$2001&gt;=31)*(元データ!$E$2:$E$2001="20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99" s="56"/>
      <c r="CA99" s="56"/>
      <c r="CB99" s="46">
        <f ca="1">SUMPRODUCT((元データ!$AL$2:$AL$2001=1)*(元データ!$AN$2:$AN$2001=1)*(元データ!$AE$2:$AE$2001=$C$98)*(元データ!$AO$2:$AO$2001=0)*(元データ!$AM$2:$AM$2001&gt;=31)*(元データ!$E$2:$E$2001="30 申請受付"))</f>
        <v>0</v>
      </c>
      <c r="CC99" s="56" t="str" cm="1">
        <f t="array" aca="1" ref="CC99" ca="1">IFERROR(_xlfn.TEXTJOIN(CHAR(10),TRUE,IF((元データ!$AL$2:$AL$2001=1)*(元データ!$AN$2:$AN$2001=1)*(元データ!$AE$2:$AE$2001=$C$98)*(元データ!$AO$2:$AO$2001=0)*(元データ!$AM$2:$AM$2001&gt;=31)*(元データ!$E$2:$E$2001="30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99" s="56"/>
      <c r="CE99" s="56"/>
      <c r="CF99" s="46">
        <f ca="1">SUMPRODUCT((元データ!$AL$2:$AL$2001=1)*(元データ!$AN$2:$AN$2001=1)*(元データ!$AE$2:$AE$2001=$C$98)*(元データ!$AO$2:$AO$2001=0)*(元データ!$AM$2:$AM$2001&gt;=31)*(元データ!$E$2:$E$2001="31 ＯＰ確認中"))</f>
        <v>0</v>
      </c>
      <c r="CG99" s="56" t="str" cm="1">
        <f t="array" aca="1" ref="CG99" ca="1">IFERROR(_xlfn.TEXTJOIN(CHAR(10),TRUE,IF((元データ!$AL$2:$AL$2001=1)*(元データ!$AN$2:$AN$2001=1)*(元データ!$AE$2:$AE$2001=$C$98)*(元データ!$AO$2:$AO$2001=0)*(元データ!$AM$2:$AM$2001&gt;=31)*(元データ!$E$2:$E$2001="31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99" s="56"/>
      <c r="CI99" s="56"/>
      <c r="CJ99" s="46">
        <f ca="1">SUMPRODUCT((元データ!$AL$2:$AL$2001=1)*(元データ!$AN$2:$AN$2001=1)*(元データ!$AE$2:$AE$2001=$C$98)*(元データ!$AO$2:$AO$2001=0)*(元データ!$AM$2:$AM$2001&gt;=31)*(元データ!$E$2:$E$2001="32 ＳＶ確認中"))</f>
        <v>1</v>
      </c>
      <c r="CK99" s="56" t="str" cm="1">
        <f t="array" aca="1" ref="CK99" ca="1">IFERROR(_xlfn.TEXTJOIN(CHAR(10),TRUE,IF((元データ!$AL$2:$AL$2001=1)*(元データ!$AN$2:$AN$2001=1)*(元データ!$AE$2:$AE$2001=$C$98)*(元データ!$AO$2:$AO$2001=0)*(元データ!$AM$2:$AM$2001&gt;=31)*(元データ!$E$2:$E$2001="32 ＳＶ確認中"),元データ!$A$2:$A$2001&amp;IF(元データ!$AP$2:$AP$2001&lt;&gt;"","（"&amp;MID(元データ!$AP$2:$AP$2001,2,100)&amp;")",""),"")),"")</f>
        <v>202660001257</v>
      </c>
      <c r="CL99" s="56">
        <f ca="1">SUMPRODUCT((元データ!$AL$2:$AL$2001=1)*(元データ!$AN$2:$AN$2001=1)*(元データ!$AE$2:$AE$2001=$C$98)*(元データ!$AO$2:$AO$2001=0)*(元データ!$AM$2:$AM$2001&gt;=31)*(元データ!$E$2:$E$2001="40 差戻し"))</f>
        <v>0</v>
      </c>
      <c r="CM99" s="56" t="str" cm="1">
        <f t="array" aca="1" ref="CM99" ca="1">IFERROR(_xlfn.TEXTJOIN(CHAR(10),TRUE,IF((元データ!$AL$2:$AL$2001=1)*(元データ!$AN$2:$AN$2001=1)*(元データ!$AE$2:$AE$2001=$C$98)*(元データ!$AO$2:$AO$2001=0)*(元データ!$AM$2:$AM$2001&gt;=31)*(元データ!$E$2:$E$2001="40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00" spans="2:91" ht="24.95" customHeight="1">
      <c r="B100" s="91"/>
      <c r="C100" s="63" t="s">
        <v>83</v>
      </c>
      <c r="D100" s="63"/>
      <c r="E100" s="41" t="s">
        <v>133</v>
      </c>
      <c r="F100" s="42">
        <f>SUMPRODUCT((元データ!$AL$2:$AL$2001=1)*(元データ!$AN$2:$AN$2001=1)*(元データ!$AE$2:$AE$2001=$C$100)*(元データ!$AO$2:$AO$2001=1))</f>
        <v>1</v>
      </c>
      <c r="G100" s="43">
        <f ca="1">SUMPRODUCT((元データ!$AL$2:$AL$2001=1)*(元データ!$AN$2:$AN$2001=1)*(元データ!$AE$2:$AE$2001=$C$100)*(元データ!$AO$2:$AO$2001=1)*(元データ!$AM$2:$AM$2001&lt;=7))</f>
        <v>0</v>
      </c>
      <c r="H100" s="43">
        <f ca="1">SUMPRODUCT((元データ!$AL$2:$AL$2001=1)*(元データ!$AN$2:$AN$2001=1)*(元データ!$AE$2:$AE$2001=$C$100)*(元データ!$AO$2:$AO$2001=1)*(元データ!$AM$2:$AM$2001&lt;=7)*(元データ!$E$2:$E$2001="20 確認待ち"))</f>
        <v>0</v>
      </c>
      <c r="I100" s="61" t="str" cm="1">
        <f t="array" aca="1" ref="I100" ca="1">IFERROR(_xlfn.TEXTJOIN(CHAR(10),TRUE,IF((元データ!$AL$2:$AL$2001=1)*(元データ!$AN$2:$AN$2001=1)*(元データ!$AE$2:$AE$2001=$C$100)*(元データ!$AO$2:$AO$2001=1)*(元データ!$AM$2:$AM$2001&lt;=7)*(元データ!$E$2:$E$2001="20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00" s="61"/>
      <c r="K100" s="61"/>
      <c r="L100" s="43">
        <f ca="1">SUMPRODUCT((元データ!$AL$2:$AL$2001=1)*(元データ!$AN$2:$AN$2001=1)*(元データ!$AE$2:$AE$2001=$C$100)*(元データ!$AO$2:$AO$2001=1)*(元データ!$AM$2:$AM$2001&lt;=7)*(元データ!$E$2:$E$2001="30 申請受付"))</f>
        <v>0</v>
      </c>
      <c r="M100" s="61" t="str" cm="1">
        <f t="array" aca="1" ref="M100" ca="1">IFERROR(_xlfn.TEXTJOIN(CHAR(10),TRUE,IF((元データ!$AL$2:$AL$2001=1)*(元データ!$AN$2:$AN$2001=1)*(元データ!$AE$2:$AE$2001=$C$100)*(元データ!$AO$2:$AO$2001=1)*(元データ!$AM$2:$AM$2001&lt;=7)*(元データ!$E$2:$E$2001="30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00" s="61"/>
      <c r="O100" s="61"/>
      <c r="P100" s="43">
        <f ca="1">SUMPRODUCT((元データ!$AL$2:$AL$2001=1)*(元データ!$AN$2:$AN$2001=1)*(元データ!$AE$2:$AE$2001=$C$100)*(元データ!$AO$2:$AO$2001=1)*(元データ!$AM$2:$AM$2001&lt;=7)*(元データ!$E$2:$E$2001="31 ＯＰ確認中"))</f>
        <v>0</v>
      </c>
      <c r="Q100" s="61" t="str" cm="1">
        <f t="array" aca="1" ref="Q100" ca="1">IFERROR(_xlfn.TEXTJOIN(CHAR(10),TRUE,IF((元データ!$AL$2:$AL$2001=1)*(元データ!$AN$2:$AN$2001=1)*(元データ!$AE$2:$AE$2001=$C$100)*(元データ!$AO$2:$AO$2001=1)*(元データ!$AM$2:$AM$2001&lt;=7)*(元データ!$E$2:$E$2001="31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00" s="61"/>
      <c r="S100" s="61"/>
      <c r="T100" s="43">
        <f ca="1">SUMPRODUCT((元データ!$AL$2:$AL$2001=1)*(元データ!$AN$2:$AN$2001=1)*(元データ!$AE$2:$AE$2001=$C$100)*(元データ!$AO$2:$AO$2001=1)*(元データ!$AM$2:$AM$2001&lt;=7)*(元データ!$E$2:$E$2001="32 ＳＶ確認中"))</f>
        <v>0</v>
      </c>
      <c r="U100" s="61" t="str" cm="1">
        <f t="array" aca="1" ref="U100" ca="1">IFERROR(_xlfn.TEXTJOIN(CHAR(10),TRUE,IF((元データ!$AL$2:$AL$2001=1)*(元データ!$AN$2:$AN$2001=1)*(元データ!$AE$2:$AE$2001=$C$100)*(元データ!$AO$2:$AO$2001=1)*(元データ!$AM$2:$AM$2001&lt;=7)*(元データ!$E$2:$E$2001="32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00" s="61"/>
      <c r="W100" s="61"/>
      <c r="X100" s="43">
        <f ca="1">SUMPRODUCT((元データ!$AL$2:$AL$2001=1)*(元データ!$AN$2:$AN$2001=1)*(元データ!$AE$2:$AE$2001=$C$100)*(元データ!$AO$2:$AO$2001=1)*(元データ!$AM$2:$AM$2001&gt;=8)*(元データ!$AM$2:$AM$2001&lt;=14))</f>
        <v>0</v>
      </c>
      <c r="Y100" s="43">
        <f ca="1">SUMPRODUCT((元データ!$AL$2:$AL$2001=1)*(元データ!$AN$2:$AN$2001=1)*(元データ!$AE$2:$AE$2001=$C$100)*(元データ!$AO$2:$AO$2001=1)*(元データ!$AM$2:$AM$2001&gt;=8)*(元データ!$AM$2:$AM$2001&lt;=14)*(元データ!$E$2:$E$2001="20 確認待ち"))</f>
        <v>0</v>
      </c>
      <c r="Z100" s="61" t="str" cm="1">
        <f t="array" aca="1" ref="Z100" ca="1">IFERROR(_xlfn.TEXTJOIN(CHAR(10),TRUE,IF((元データ!$AL$2:$AL$2001=1)*(元データ!$AN$2:$AN$2001=1)*(元データ!$AE$2:$AE$2001=$C$100)*(元データ!$AO$2:$AO$2001=1)*(元データ!$AM$2:$AM$2001&gt;=8)*(元データ!$AM$2:$AM$2001&lt;=14)*(元データ!$E$2:$E$2001="20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0" s="61"/>
      <c r="AB100" s="61"/>
      <c r="AC100" s="43">
        <f ca="1">SUMPRODUCT((元データ!$AL$2:$AL$2001=1)*(元データ!$AN$2:$AN$2001=1)*(元データ!$AE$2:$AE$2001=$C$100)*(元データ!$AO$2:$AO$2001=1)*(元データ!$AM$2:$AM$2001&gt;=8)*(元データ!$AM$2:$AM$2001&lt;=14)*(元データ!$E$2:$E$2001="30 申請受付"))</f>
        <v>0</v>
      </c>
      <c r="AD100" s="61" t="str" cm="1">
        <f t="array" aca="1" ref="AD100" ca="1">IFERROR(_xlfn.TEXTJOIN(CHAR(10),TRUE,IF((元データ!$AL$2:$AL$2001=1)*(元データ!$AN$2:$AN$2001=1)*(元データ!$AE$2:$AE$2001=$C$100)*(元データ!$AO$2:$AO$2001=1)*(元データ!$AM$2:$AM$2001&gt;=8)*(元データ!$AM$2:$AM$2001&lt;=14)*(元データ!$E$2:$E$2001="30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0" s="61"/>
      <c r="AF100" s="61"/>
      <c r="AG100" s="43">
        <f ca="1">SUMPRODUCT((元データ!$AL$2:$AL$2001=1)*(元データ!$AN$2:$AN$2001=1)*(元データ!$AE$2:$AE$2001=$C$100)*(元データ!$AO$2:$AO$2001=1)*(元データ!$AM$2:$AM$2001&gt;=8)*(元データ!$AM$2:$AM$2001&lt;=14)*(元データ!$E$2:$E$2001="31 ＯＰ確認中"))</f>
        <v>0</v>
      </c>
      <c r="AH100" s="61" t="str" cm="1">
        <f t="array" aca="1" ref="AH100" ca="1">IFERROR(_xlfn.TEXTJOIN(CHAR(10),TRUE,IF((元データ!$AL$2:$AL$2001=1)*(元データ!$AN$2:$AN$2001=1)*(元データ!$AE$2:$AE$2001=$C$100)*(元データ!$AO$2:$AO$2001=1)*(元データ!$AM$2:$AM$2001&gt;=8)*(元データ!$AM$2:$AM$2001&lt;=14)*(元データ!$E$2:$E$2001="31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0" s="61"/>
      <c r="AJ100" s="61"/>
      <c r="AK100" s="43">
        <f ca="1">SUMPRODUCT((元データ!$AL$2:$AL$2001=1)*(元データ!$AN$2:$AN$2001=1)*(元データ!$AE$2:$AE$2001=$C$100)*(元データ!$AO$2:$AO$2001=1)*(元データ!$AM$2:$AM$2001&gt;=8)*(元データ!$AM$2:$AM$2001&lt;=14)*(元データ!$E$2:$E$2001="32 ＳＶ確認中"))</f>
        <v>0</v>
      </c>
      <c r="AL100" s="61" t="str" cm="1">
        <f t="array" aca="1" ref="AL100" ca="1">IFERROR(_xlfn.TEXTJOIN(CHAR(10),TRUE,IF((元データ!$AL$2:$AL$2001=1)*(元データ!$AN$2:$AN$2001=1)*(元データ!$AE$2:$AE$2001=$C$100)*(元データ!$AO$2:$AO$2001=1)*(元データ!$AM$2:$AM$2001&gt;=8)*(元データ!$AM$2:$AM$2001&lt;=14)*(元データ!$E$2:$E$2001="32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0" s="61">
        <f ca="1">SUMPRODUCT((元データ!$AL$2:$AL$2001=1)*(元データ!$AN$2:$AN$2001=1)*(元データ!$AE$2:$AE$2001=$C$100)*(元データ!$AO$2:$AO$2001=1)*(元データ!$AM$2:$AM$2001&gt;=8)*(元データ!$AM$2:$AM$2001&lt;=14)*(元データ!$E$2:$E$2001="40 差戻し"))</f>
        <v>0</v>
      </c>
      <c r="AN100" s="61" t="str" cm="1">
        <f t="array" aca="1" ref="AN100" ca="1">IFERROR(_xlfn.TEXTJOIN(CHAR(10),TRUE,IF((元データ!$AL$2:$AL$2001=1)*(元データ!$AN$2:$AN$2001=1)*(元データ!$AE$2:$AE$2001=$C$100)*(元データ!$AO$2:$AO$2001=1)*(元データ!$AM$2:$AM$2001&gt;=8)*(元データ!$AM$2:$AM$2001&lt;=14)*(元データ!$E$2:$E$2001="40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0" s="44">
        <f ca="1">SUMPRODUCT((元データ!$AL$2:$AL$2001=1)*(元データ!$AN$2:$AN$2001=1)*(元データ!$AE$2:$AE$2001=$C$100)*(元データ!$AO$2:$AO$2001=1)*(元データ!$AM$2:$AM$2001&gt;=15)*(元データ!$AM$2:$AM$2001&lt;=21))</f>
        <v>0</v>
      </c>
      <c r="AP100" s="44">
        <f ca="1">SUMPRODUCT((元データ!$AL$2:$AL$2001=1)*(元データ!$AN$2:$AN$2001=1)*(元データ!$AE$2:$AE$2001=$C$100)*(元データ!$AO$2:$AO$2001=1)*(元データ!$AM$2:$AM$2001&gt;=15)*(元データ!$AM$2:$AM$2001&lt;=21)*(元データ!$E$2:$E$2001="20 確認待ち"))</f>
        <v>0</v>
      </c>
      <c r="AQ100" s="58" t="str" cm="1">
        <f t="array" aca="1" ref="AQ100" ca="1">IFERROR(_xlfn.TEXTJOIN(CHAR(10),TRUE,IF((元データ!$AL$2:$AL$2001=1)*(元データ!$AN$2:$AN$2001=1)*(元データ!$AE$2:$AE$2001=$C$100)*(元データ!$AO$2:$AO$2001=1)*(元データ!$AM$2:$AM$2001&gt;=15)*(元データ!$AM$2:$AM$2001&lt;=21)*(元データ!$E$2:$E$2001="20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0" s="58"/>
      <c r="AS100" s="58"/>
      <c r="AT100" s="44">
        <f ca="1">SUMPRODUCT((元データ!$AL$2:$AL$2001=1)*(元データ!$AN$2:$AN$2001=1)*(元データ!$AE$2:$AE$2001=$C$100)*(元データ!$AO$2:$AO$2001=1)*(元データ!$AM$2:$AM$2001&gt;=15)*(元データ!$AM$2:$AM$2001&lt;=21)*(元データ!$E$2:$E$2001="30 申請受付"))</f>
        <v>0</v>
      </c>
      <c r="AU100" s="58" t="str" cm="1">
        <f t="array" aca="1" ref="AU100" ca="1">IFERROR(_xlfn.TEXTJOIN(CHAR(10),TRUE,IF((元データ!$AL$2:$AL$2001=1)*(元データ!$AN$2:$AN$2001=1)*(元データ!$AE$2:$AE$2001=$C$100)*(元データ!$AO$2:$AO$2001=1)*(元データ!$AM$2:$AM$2001&gt;=15)*(元データ!$AM$2:$AM$2001&lt;=21)*(元データ!$E$2:$E$2001="30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0" s="58"/>
      <c r="AW100" s="58"/>
      <c r="AX100" s="44">
        <f ca="1">SUMPRODUCT((元データ!$AL$2:$AL$2001=1)*(元データ!$AN$2:$AN$2001=1)*(元データ!$AE$2:$AE$2001=$C$100)*(元データ!$AO$2:$AO$2001=1)*(元データ!$AM$2:$AM$2001&gt;=15)*(元データ!$AM$2:$AM$2001&lt;=21)*(元データ!$E$2:$E$2001="31 ＯＰ確認中"))</f>
        <v>0</v>
      </c>
      <c r="AY100" s="58" t="str" cm="1">
        <f t="array" aca="1" ref="AY100" ca="1">IFERROR(_xlfn.TEXTJOIN(CHAR(10),TRUE,IF((元データ!$AL$2:$AL$2001=1)*(元データ!$AN$2:$AN$2001=1)*(元データ!$AE$2:$AE$2001=$C$100)*(元データ!$AO$2:$AO$2001=1)*(元データ!$AM$2:$AM$2001&gt;=15)*(元データ!$AM$2:$AM$2001&lt;=21)*(元データ!$E$2:$E$2001="31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0" s="58"/>
      <c r="BA100" s="58"/>
      <c r="BB100" s="44">
        <f ca="1">SUMPRODUCT((元データ!$AL$2:$AL$2001=1)*(元データ!$AN$2:$AN$2001=1)*(元データ!$AE$2:$AE$2001=$C$100)*(元データ!$AO$2:$AO$2001=1)*(元データ!$AM$2:$AM$2001&gt;=15)*(元データ!$AM$2:$AM$2001&lt;=21)*(元データ!$E$2:$E$2001="32 ＳＶ確認中"))</f>
        <v>0</v>
      </c>
      <c r="BC100" s="58" t="str" cm="1">
        <f t="array" aca="1" ref="BC100" ca="1">IFERROR(_xlfn.TEXTJOIN(CHAR(10),TRUE,IF((元データ!$AL$2:$AL$2001=1)*(元データ!$AN$2:$AN$2001=1)*(元データ!$AE$2:$AE$2001=$C$100)*(元データ!$AO$2:$AO$2001=1)*(元データ!$AM$2:$AM$2001&gt;=15)*(元データ!$AM$2:$AM$2001&lt;=21)*(元データ!$E$2:$E$2001="32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0" s="58">
        <f ca="1">SUMPRODUCT((元データ!$AL$2:$AL$2001=1)*(元データ!$AN$2:$AN$2001=1)*(元データ!$AE$2:$AE$2001=$C$100)*(元データ!$AO$2:$AO$2001=1)*(元データ!$AM$2:$AM$2001&gt;=15)*(元データ!$AM$2:$AM$2001&lt;=21)*(元データ!$E$2:$E$2001="40 差戻し"))</f>
        <v>0</v>
      </c>
      <c r="BE100" s="58" t="str" cm="1">
        <f t="array" aca="1" ref="BE100" ca="1">IFERROR(_xlfn.TEXTJOIN(CHAR(10),TRUE,IF((元データ!$AL$2:$AL$2001=1)*(元データ!$AN$2:$AN$2001=1)*(元データ!$AE$2:$AE$2001=$C$100)*(元データ!$AO$2:$AO$2001=1)*(元データ!$AM$2:$AM$2001&gt;=15)*(元データ!$AM$2:$AM$2001&lt;=21)*(元データ!$E$2:$E$2001="40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0" s="45">
        <f ca="1">SUMPRODUCT((元データ!$AL$2:$AL$2001=1)*(元データ!$AN$2:$AN$2001=1)*(元データ!$AE$2:$AE$2001=$C$100)*(元データ!$AO$2:$AO$2001=1)*(元データ!$AM$2:$AM$2001&gt;=22)*(元データ!$AM$2:$AM$2001&lt;=30))</f>
        <v>0</v>
      </c>
      <c r="BG100" s="45">
        <f ca="1">SUMPRODUCT((元データ!$AL$2:$AL$2001=1)*(元データ!$AN$2:$AN$2001=1)*(元データ!$AE$2:$AE$2001=$C$100)*(元データ!$AO$2:$AO$2001=1)*(元データ!$AM$2:$AM$2001&gt;=22)*(元データ!$AM$2:$AM$2001&lt;=30)*(元データ!$E$2:$E$2001="20 確認待ち"))</f>
        <v>0</v>
      </c>
      <c r="BH100" s="60" t="str" cm="1">
        <f t="array" aca="1" ref="BH100" ca="1">IFERROR(_xlfn.TEXTJOIN(CHAR(10),TRUE,IF((元データ!$AL$2:$AL$2001=1)*(元データ!$AN$2:$AN$2001=1)*(元データ!$AE$2:$AE$2001=$C$100)*(元データ!$AO$2:$AO$2001=1)*(元データ!$AM$2:$AM$2001&gt;=22)*(元データ!$AM$2:$AM$2001&lt;=30)*(元データ!$E$2:$E$2001="20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0" s="60"/>
      <c r="BJ100" s="60"/>
      <c r="BK100" s="45">
        <f ca="1">SUMPRODUCT((元データ!$AL$2:$AL$2001=1)*(元データ!$AN$2:$AN$2001=1)*(元データ!$AE$2:$AE$2001=$C$100)*(元データ!$AO$2:$AO$2001=1)*(元データ!$AM$2:$AM$2001&gt;=22)*(元データ!$AM$2:$AM$2001&lt;=30)*(元データ!$E$2:$E$2001="30 申請受付"))</f>
        <v>0</v>
      </c>
      <c r="BL100" s="59" t="str" cm="1">
        <f t="array" aca="1" ref="BL100" ca="1">IFERROR(_xlfn.TEXTJOIN(CHAR(10),TRUE,IF((元データ!$AL$2:$AL$2001=1)*(元データ!$AN$2:$AN$2001=1)*(元データ!$AE$2:$AE$2001=$C$100)*(元データ!$AO$2:$AO$2001=1)*(元データ!$AM$2:$AM$2001&gt;=22)*(元データ!$AM$2:$AM$2001&lt;=30)*(元データ!$E$2:$E$2001="30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0" s="59"/>
      <c r="BN100" s="59"/>
      <c r="BO100" s="45">
        <f ca="1">SUMPRODUCT((元データ!$AL$2:$AL$2001=1)*(元データ!$AN$2:$AN$2001=1)*(元データ!$AE$2:$AE$2001=$C$100)*(元データ!$AO$2:$AO$2001=1)*(元データ!$AM$2:$AM$2001&gt;=22)*(元データ!$AM$2:$AM$2001&lt;=30)*(元データ!$E$2:$E$2001="31 ＯＰ確認中"))</f>
        <v>0</v>
      </c>
      <c r="BP100" s="59" t="str" cm="1">
        <f t="array" aca="1" ref="BP100" ca="1">IFERROR(_xlfn.TEXTJOIN(CHAR(10),TRUE,IF((元データ!$AL$2:$AL$2001=1)*(元データ!$AN$2:$AN$2001=1)*(元データ!$AE$2:$AE$2001=$C$100)*(元データ!$AO$2:$AO$2001=1)*(元データ!$AM$2:$AM$2001&gt;=22)*(元データ!$AM$2:$AM$2001&lt;=30)*(元データ!$E$2:$E$2001="31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0" s="59"/>
      <c r="BR100" s="59"/>
      <c r="BS100" s="45">
        <f ca="1">SUMPRODUCT((元データ!$AL$2:$AL$2001=1)*(元データ!$AN$2:$AN$2001=1)*(元データ!$AE$2:$AE$2001=$C$100)*(元データ!$AO$2:$AO$2001=1)*(元データ!$AM$2:$AM$2001&gt;=22)*(元データ!$AM$2:$AM$2001&lt;=30)*(元データ!$E$2:$E$2001="32 ＳＶ確認中"))</f>
        <v>0</v>
      </c>
      <c r="BT100" s="59" t="str" cm="1">
        <f t="array" aca="1" ref="BT100" ca="1">IFERROR(_xlfn.TEXTJOIN(CHAR(10),TRUE,IF((元データ!$AL$2:$AL$2001=1)*(元データ!$AN$2:$AN$2001=1)*(元データ!$AE$2:$AE$2001=$C$100)*(元データ!$AO$2:$AO$2001=1)*(元データ!$AM$2:$AM$2001&gt;=22)*(元データ!$AM$2:$AM$2001&lt;=30)*(元データ!$E$2:$E$2001="32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0" s="59">
        <f ca="1">SUMPRODUCT((元データ!$AL$2:$AL$2001=1)*(元データ!$AN$2:$AN$2001=1)*(元データ!$AE$2:$AE$2001=$C$100)*(元データ!$AO$2:$AO$2001=1)*(元データ!$AM$2:$AM$2001&gt;=22)*(元データ!$AM$2:$AM$2001&lt;=30)*(元データ!$E$2:$E$2001="40 差戻し"))</f>
        <v>0</v>
      </c>
      <c r="BV100" s="59" t="str" cm="1">
        <f t="array" aca="1" ref="BV100" ca="1">IFERROR(_xlfn.TEXTJOIN(CHAR(10),TRUE,IF((元データ!$AL$2:$AL$2001=1)*(元データ!$AN$2:$AN$2001=1)*(元データ!$AE$2:$AE$2001=$C$100)*(元データ!$AO$2:$AO$2001=1)*(元データ!$AM$2:$AM$2001&gt;=22)*(元データ!$AM$2:$AM$2001&lt;=30)*(元データ!$E$2:$E$2001="40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0" s="46">
        <f ca="1">SUMPRODUCT((元データ!$AL$2:$AL$2001=1)*(元データ!$AN$2:$AN$2001=1)*(元データ!$AE$2:$AE$2001=$C$100)*(元データ!$AO$2:$AO$2001=1)*(元データ!$AM$2:$AM$2001&gt;=31))</f>
        <v>1</v>
      </c>
      <c r="BX100" s="46">
        <f ca="1">SUMPRODUCT((元データ!$AL$2:$AL$2001=1)*(元データ!$AN$2:$AN$2001=1)*(元データ!$AE$2:$AE$2001=$C$100)*(元データ!$AO$2:$AO$2001=1)*(元データ!$AM$2:$AM$2001&gt;=31)*(元データ!$E$2:$E$2001="20 確認待ち"))</f>
        <v>0</v>
      </c>
      <c r="BY100" s="56" t="str" cm="1">
        <f t="array" aca="1" ref="BY100" ca="1">IFERROR(_xlfn.TEXTJOIN(CHAR(10),TRUE,IF((元データ!$AL$2:$AL$2001=1)*(元データ!$AN$2:$AN$2001=1)*(元データ!$AE$2:$AE$2001=$C$100)*(元データ!$AO$2:$AO$2001=1)*(元データ!$AM$2:$AM$2001&gt;=31)*(元データ!$E$2:$E$2001="20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00" s="56"/>
      <c r="CA100" s="56"/>
      <c r="CB100" s="46">
        <f ca="1">SUMPRODUCT((元データ!$AL$2:$AL$2001=1)*(元データ!$AN$2:$AN$2001=1)*(元データ!$AE$2:$AE$2001=$C$100)*(元データ!$AO$2:$AO$2001=1)*(元データ!$AM$2:$AM$2001&gt;=31)*(元データ!$E$2:$E$2001="30 申請受付"))</f>
        <v>0</v>
      </c>
      <c r="CC100" s="56" t="str" cm="1">
        <f t="array" aca="1" ref="CC100" ca="1">IFERROR(_xlfn.TEXTJOIN(CHAR(10),TRUE,IF((元データ!$AL$2:$AL$2001=1)*(元データ!$AN$2:$AN$2001=1)*(元データ!$AE$2:$AE$2001=$C$100)*(元データ!$AO$2:$AO$2001=1)*(元データ!$AM$2:$AM$2001&gt;=31)*(元データ!$E$2:$E$2001="30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00" s="56"/>
      <c r="CE100" s="56"/>
      <c r="CF100" s="46">
        <f ca="1">SUMPRODUCT((元データ!$AL$2:$AL$2001=1)*(元データ!$AN$2:$AN$2001=1)*(元データ!$AE$2:$AE$2001=$C$100)*(元データ!$AO$2:$AO$2001=1)*(元データ!$AM$2:$AM$2001&gt;=31)*(元データ!$E$2:$E$2001="31 ＯＰ確認中"))</f>
        <v>1</v>
      </c>
      <c r="CG100" s="56" t="str" cm="1">
        <f t="array" aca="1" ref="CG100" ca="1">IFERROR(_xlfn.TEXTJOIN(CHAR(10),TRUE,IF((元データ!$AL$2:$AL$2001=1)*(元データ!$AN$2:$AN$2001=1)*(元データ!$AE$2:$AE$2001=$C$100)*(元データ!$AO$2:$AO$2001=1)*(元データ!$AM$2:$AM$2001&gt;=31)*(元データ!$E$2:$E$2001="31 ＯＰ確認中"),元データ!$A$2:$A$2001&amp;IF(元データ!$AP$2:$AP$2001&lt;&gt;"","（"&amp;MID(元データ!$AP$2:$AP$2001,2,100)&amp;")",""),"")),"")</f>
        <v>202560002994（添待ち・SV)</v>
      </c>
      <c r="CH100" s="56"/>
      <c r="CI100" s="56"/>
      <c r="CJ100" s="46">
        <f ca="1">SUMPRODUCT((元データ!$AL$2:$AL$2001=1)*(元データ!$AN$2:$AN$2001=1)*(元データ!$AE$2:$AE$2001=$C$100)*(元データ!$AO$2:$AO$2001=1)*(元データ!$AM$2:$AM$2001&gt;=31)*(元データ!$E$2:$E$2001="32 ＳＶ確認中"))</f>
        <v>0</v>
      </c>
      <c r="CK100" s="56" t="str" cm="1">
        <f t="array" aca="1" ref="CK100" ca="1">IFERROR(_xlfn.TEXTJOIN(CHAR(10),TRUE,IF((元データ!$AL$2:$AL$2001=1)*(元データ!$AN$2:$AN$2001=1)*(元データ!$AE$2:$AE$2001=$C$100)*(元データ!$AO$2:$AO$2001=1)*(元データ!$AM$2:$AM$2001&gt;=31)*(元データ!$E$2:$E$2001="32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100" s="56">
        <f ca="1">SUMPRODUCT((元データ!$AL$2:$AL$2001=1)*(元データ!$AN$2:$AN$2001=1)*(元データ!$AE$2:$AE$2001=$C$100)*(元データ!$AO$2:$AO$2001=1)*(元データ!$AM$2:$AM$2001&gt;=31)*(元データ!$E$2:$E$2001="40 差戻し"))</f>
        <v>0</v>
      </c>
      <c r="CM100" s="56" t="str" cm="1">
        <f t="array" aca="1" ref="CM100" ca="1">IFERROR(_xlfn.TEXTJOIN(CHAR(10),TRUE,IF((元データ!$AL$2:$AL$2001=1)*(元データ!$AN$2:$AN$2001=1)*(元データ!$AE$2:$AE$2001=$C$100)*(元データ!$AO$2:$AO$2001=1)*(元データ!$AM$2:$AM$2001&gt;=31)*(元データ!$E$2:$E$2001="40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01" spans="2:91" ht="24.95" customHeight="1">
      <c r="B101" s="92"/>
      <c r="C101" s="63"/>
      <c r="D101" s="63"/>
      <c r="E101" s="47" t="s">
        <v>134</v>
      </c>
      <c r="F101" s="48">
        <f>SUMPRODUCT((元データ!$AL$2:$AL$2001=1)*(元データ!$AN$2:$AN$2001=1)*(元データ!$AE$2:$AE$2001=$C$100)*(元データ!$AO$2:$AO$2001=0))</f>
        <v>0</v>
      </c>
      <c r="G101" s="49">
        <f ca="1">SUMPRODUCT((元データ!$AL$2:$AL$2001=1)*(元データ!$AN$2:$AN$2001=1)*(元データ!$AE$2:$AE$2001=$C$100)*(元データ!$AO$2:$AO$2001=0)*(元データ!$AM$2:$AM$2001&lt;=7))</f>
        <v>0</v>
      </c>
      <c r="H101" s="49">
        <f ca="1">SUMPRODUCT((元データ!$AL$2:$AL$2001=1)*(元データ!$AN$2:$AN$2001=1)*(元データ!$AE$2:$AE$2001=$C$100)*(元データ!$AO$2:$AO$2001=0)*(元データ!$AM$2:$AM$2001&lt;=7)*(元データ!$E$2:$E$2001="20 確認待ち"))</f>
        <v>0</v>
      </c>
      <c r="I101" s="57" t="str" cm="1">
        <f t="array" aca="1" ref="I101" ca="1">IFERROR(_xlfn.TEXTJOIN(CHAR(10),TRUE,IF((元データ!$AL$2:$AL$2001=1)*(元データ!$AN$2:$AN$2001=1)*(元データ!$AE$2:$AE$2001=$C$100)*(元データ!$AO$2:$AO$2001=0)*(元データ!$AM$2:$AM$2001&lt;=7)*(元データ!$E$2:$E$2001="20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01" s="57"/>
      <c r="K101" s="57"/>
      <c r="L101" s="49">
        <f ca="1">SUMPRODUCT((元データ!$AL$2:$AL$2001=1)*(元データ!$AN$2:$AN$2001=1)*(元データ!$AE$2:$AE$2001=$C$100)*(元データ!$AO$2:$AO$2001=0)*(元データ!$AM$2:$AM$2001&lt;=7)*(元データ!$E$2:$E$2001="30 申請受付"))</f>
        <v>0</v>
      </c>
      <c r="M101" s="57" t="str" cm="1">
        <f t="array" aca="1" ref="M101" ca="1">IFERROR(_xlfn.TEXTJOIN(CHAR(10),TRUE,IF((元データ!$AL$2:$AL$2001=1)*(元データ!$AN$2:$AN$2001=1)*(元データ!$AE$2:$AE$2001=$C$100)*(元データ!$AO$2:$AO$2001=0)*(元データ!$AM$2:$AM$2001&lt;=7)*(元データ!$E$2:$E$2001="30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01" s="57"/>
      <c r="O101" s="57"/>
      <c r="P101" s="49">
        <f ca="1">SUMPRODUCT((元データ!$AL$2:$AL$2001=1)*(元データ!$AN$2:$AN$2001=1)*(元データ!$AE$2:$AE$2001=$C$100)*(元データ!$AO$2:$AO$2001=0)*(元データ!$AM$2:$AM$2001&lt;=7)*(元データ!$E$2:$E$2001="31 ＯＰ確認中"))</f>
        <v>0</v>
      </c>
      <c r="Q101" s="57" t="str" cm="1">
        <f t="array" aca="1" ref="Q101" ca="1">IFERROR(_xlfn.TEXTJOIN(CHAR(10),TRUE,IF((元データ!$AL$2:$AL$2001=1)*(元データ!$AN$2:$AN$2001=1)*(元データ!$AE$2:$AE$2001=$C$100)*(元データ!$AO$2:$AO$2001=0)*(元データ!$AM$2:$AM$2001&lt;=7)*(元データ!$E$2:$E$2001="31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01" s="57"/>
      <c r="S101" s="57"/>
      <c r="T101" s="49">
        <f ca="1">SUMPRODUCT((元データ!$AL$2:$AL$2001=1)*(元データ!$AN$2:$AN$2001=1)*(元データ!$AE$2:$AE$2001=$C$100)*(元データ!$AO$2:$AO$2001=0)*(元データ!$AM$2:$AM$2001&lt;=7)*(元データ!$E$2:$E$2001="32 ＳＶ確認中"))</f>
        <v>0</v>
      </c>
      <c r="U101" s="57" t="str" cm="1">
        <f t="array" aca="1" ref="U101" ca="1">IFERROR(_xlfn.TEXTJOIN(CHAR(10),TRUE,IF((元データ!$AL$2:$AL$2001=1)*(元データ!$AN$2:$AN$2001=1)*(元データ!$AE$2:$AE$2001=$C$100)*(元データ!$AO$2:$AO$2001=0)*(元データ!$AM$2:$AM$2001&lt;=7)*(元データ!$E$2:$E$2001="32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01" s="57"/>
      <c r="W101" s="57"/>
      <c r="X101" s="49">
        <f ca="1">SUMPRODUCT((元データ!$AL$2:$AL$2001=1)*(元データ!$AN$2:$AN$2001=1)*(元データ!$AE$2:$AE$2001=$C$100)*(元データ!$AO$2:$AO$2001=0)*(元データ!$AM$2:$AM$2001&gt;=8)*(元データ!$AM$2:$AM$2001&lt;=14))</f>
        <v>0</v>
      </c>
      <c r="Y101" s="49">
        <f ca="1">SUMPRODUCT((元データ!$AL$2:$AL$2001=1)*(元データ!$AN$2:$AN$2001=1)*(元データ!$AE$2:$AE$2001=$C$100)*(元データ!$AO$2:$AO$2001=0)*(元データ!$AM$2:$AM$2001&gt;=8)*(元データ!$AM$2:$AM$2001&lt;=14)*(元データ!$E$2:$E$2001="20 確認待ち"))</f>
        <v>0</v>
      </c>
      <c r="Z101" s="57" t="str" cm="1">
        <f t="array" aca="1" ref="Z101" ca="1">IFERROR(_xlfn.TEXTJOIN(CHAR(10),TRUE,IF((元データ!$AL$2:$AL$2001=1)*(元データ!$AN$2:$AN$2001=1)*(元データ!$AE$2:$AE$2001=$C$100)*(元データ!$AO$2:$AO$2001=0)*(元データ!$AM$2:$AM$2001&gt;=8)*(元データ!$AM$2:$AM$2001&lt;=14)*(元データ!$E$2:$E$2001="20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1" s="57"/>
      <c r="AB101" s="57"/>
      <c r="AC101" s="49">
        <f ca="1">SUMPRODUCT((元データ!$AL$2:$AL$2001=1)*(元データ!$AN$2:$AN$2001=1)*(元データ!$AE$2:$AE$2001=$C$100)*(元データ!$AO$2:$AO$2001=0)*(元データ!$AM$2:$AM$2001&gt;=8)*(元データ!$AM$2:$AM$2001&lt;=14)*(元データ!$E$2:$E$2001="30 申請受付"))</f>
        <v>0</v>
      </c>
      <c r="AD101" s="57" t="str" cm="1">
        <f t="array" aca="1" ref="AD101" ca="1">IFERROR(_xlfn.TEXTJOIN(CHAR(10),TRUE,IF((元データ!$AL$2:$AL$2001=1)*(元データ!$AN$2:$AN$2001=1)*(元データ!$AE$2:$AE$2001=$C$100)*(元データ!$AO$2:$AO$2001=0)*(元データ!$AM$2:$AM$2001&gt;=8)*(元データ!$AM$2:$AM$2001&lt;=14)*(元データ!$E$2:$E$2001="30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1" s="57"/>
      <c r="AF101" s="57"/>
      <c r="AG101" s="49">
        <f ca="1">SUMPRODUCT((元データ!$AL$2:$AL$2001=1)*(元データ!$AN$2:$AN$2001=1)*(元データ!$AE$2:$AE$2001=$C$100)*(元データ!$AO$2:$AO$2001=0)*(元データ!$AM$2:$AM$2001&gt;=8)*(元データ!$AM$2:$AM$2001&lt;=14)*(元データ!$E$2:$E$2001="31 ＯＰ確認中"))</f>
        <v>0</v>
      </c>
      <c r="AH101" s="57" t="str" cm="1">
        <f t="array" aca="1" ref="AH101" ca="1">IFERROR(_xlfn.TEXTJOIN(CHAR(10),TRUE,IF((元データ!$AL$2:$AL$2001=1)*(元データ!$AN$2:$AN$2001=1)*(元データ!$AE$2:$AE$2001=$C$100)*(元データ!$AO$2:$AO$2001=0)*(元データ!$AM$2:$AM$2001&gt;=8)*(元データ!$AM$2:$AM$2001&lt;=14)*(元データ!$E$2:$E$2001="31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1" s="57"/>
      <c r="AJ101" s="57"/>
      <c r="AK101" s="49">
        <f ca="1">SUMPRODUCT((元データ!$AL$2:$AL$2001=1)*(元データ!$AN$2:$AN$2001=1)*(元データ!$AE$2:$AE$2001=$C$100)*(元データ!$AO$2:$AO$2001=0)*(元データ!$AM$2:$AM$2001&gt;=8)*(元データ!$AM$2:$AM$2001&lt;=14)*(元データ!$E$2:$E$2001="32 ＳＶ確認中"))</f>
        <v>0</v>
      </c>
      <c r="AL101" s="57" t="str" cm="1">
        <f t="array" aca="1" ref="AL101" ca="1">IFERROR(_xlfn.TEXTJOIN(CHAR(10),TRUE,IF((元データ!$AL$2:$AL$2001=1)*(元データ!$AN$2:$AN$2001=1)*(元データ!$AE$2:$AE$2001=$C$100)*(元データ!$AO$2:$AO$2001=0)*(元データ!$AM$2:$AM$2001&gt;=8)*(元データ!$AM$2:$AM$2001&lt;=14)*(元データ!$E$2:$E$2001="32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1" s="57">
        <f ca="1">SUMPRODUCT((元データ!$AL$2:$AL$2001=1)*(元データ!$AN$2:$AN$2001=1)*(元データ!$AE$2:$AE$2001=$C$100)*(元データ!$AO$2:$AO$2001=0)*(元データ!$AM$2:$AM$2001&gt;=8)*(元データ!$AM$2:$AM$2001&lt;=14)*(元データ!$E$2:$E$2001="40 差戻し"))</f>
        <v>0</v>
      </c>
      <c r="AN101" s="57" t="str" cm="1">
        <f t="array" aca="1" ref="AN101" ca="1">IFERROR(_xlfn.TEXTJOIN(CHAR(10),TRUE,IF((元データ!$AL$2:$AL$2001=1)*(元データ!$AN$2:$AN$2001=1)*(元データ!$AE$2:$AE$2001=$C$100)*(元データ!$AO$2:$AO$2001=0)*(元データ!$AM$2:$AM$2001&gt;=8)*(元データ!$AM$2:$AM$2001&lt;=14)*(元データ!$E$2:$E$2001="40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1" s="44">
        <f ca="1">SUMPRODUCT((元データ!$AL$2:$AL$2001=1)*(元データ!$AN$2:$AN$2001=1)*(元データ!$AE$2:$AE$2001=$C$100)*(元データ!$AO$2:$AO$2001=0)*(元データ!$AM$2:$AM$2001&gt;=15)*(元データ!$AM$2:$AM$2001&lt;=21))</f>
        <v>0</v>
      </c>
      <c r="AP101" s="44">
        <f ca="1">SUMPRODUCT((元データ!$AL$2:$AL$2001=1)*(元データ!$AN$2:$AN$2001=1)*(元データ!$AE$2:$AE$2001=$C$100)*(元データ!$AO$2:$AO$2001=0)*(元データ!$AM$2:$AM$2001&gt;=15)*(元データ!$AM$2:$AM$2001&lt;=21)*(元データ!$E$2:$E$2001="20 確認待ち"))</f>
        <v>0</v>
      </c>
      <c r="AQ101" s="58" t="str" cm="1">
        <f t="array" aca="1" ref="AQ101" ca="1">IFERROR(_xlfn.TEXTJOIN(CHAR(10),TRUE,IF((元データ!$AL$2:$AL$2001=1)*(元データ!$AN$2:$AN$2001=1)*(元データ!$AE$2:$AE$2001=$C$100)*(元データ!$AO$2:$AO$2001=0)*(元データ!$AM$2:$AM$2001&gt;=15)*(元データ!$AM$2:$AM$2001&lt;=21)*(元データ!$E$2:$E$2001="20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1" s="58"/>
      <c r="AS101" s="58"/>
      <c r="AT101" s="44">
        <f ca="1">SUMPRODUCT((元データ!$AL$2:$AL$2001=1)*(元データ!$AN$2:$AN$2001=1)*(元データ!$AE$2:$AE$2001=$C$100)*(元データ!$AO$2:$AO$2001=0)*(元データ!$AM$2:$AM$2001&gt;=15)*(元データ!$AM$2:$AM$2001&lt;=21)*(元データ!$E$2:$E$2001="30 申請受付"))</f>
        <v>0</v>
      </c>
      <c r="AU101" s="58" t="str" cm="1">
        <f t="array" aca="1" ref="AU101" ca="1">IFERROR(_xlfn.TEXTJOIN(CHAR(10),TRUE,IF((元データ!$AL$2:$AL$2001=1)*(元データ!$AN$2:$AN$2001=1)*(元データ!$AE$2:$AE$2001=$C$100)*(元データ!$AO$2:$AO$2001=0)*(元データ!$AM$2:$AM$2001&gt;=15)*(元データ!$AM$2:$AM$2001&lt;=21)*(元データ!$E$2:$E$2001="30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1" s="58"/>
      <c r="AW101" s="58"/>
      <c r="AX101" s="44">
        <f ca="1">SUMPRODUCT((元データ!$AL$2:$AL$2001=1)*(元データ!$AN$2:$AN$2001=1)*(元データ!$AE$2:$AE$2001=$C$100)*(元データ!$AO$2:$AO$2001=0)*(元データ!$AM$2:$AM$2001&gt;=15)*(元データ!$AM$2:$AM$2001&lt;=21)*(元データ!$E$2:$E$2001="31 ＯＰ確認中"))</f>
        <v>0</v>
      </c>
      <c r="AY101" s="58" t="str" cm="1">
        <f t="array" aca="1" ref="AY101" ca="1">IFERROR(_xlfn.TEXTJOIN(CHAR(10),TRUE,IF((元データ!$AL$2:$AL$2001=1)*(元データ!$AN$2:$AN$2001=1)*(元データ!$AE$2:$AE$2001=$C$100)*(元データ!$AO$2:$AO$2001=0)*(元データ!$AM$2:$AM$2001&gt;=15)*(元データ!$AM$2:$AM$2001&lt;=21)*(元データ!$E$2:$E$2001="31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1" s="58"/>
      <c r="BA101" s="58"/>
      <c r="BB101" s="44">
        <f ca="1">SUMPRODUCT((元データ!$AL$2:$AL$2001=1)*(元データ!$AN$2:$AN$2001=1)*(元データ!$AE$2:$AE$2001=$C$100)*(元データ!$AO$2:$AO$2001=0)*(元データ!$AM$2:$AM$2001&gt;=15)*(元データ!$AM$2:$AM$2001&lt;=21)*(元データ!$E$2:$E$2001="32 ＳＶ確認中"))</f>
        <v>0</v>
      </c>
      <c r="BC101" s="58" t="str" cm="1">
        <f t="array" aca="1" ref="BC101" ca="1">IFERROR(_xlfn.TEXTJOIN(CHAR(10),TRUE,IF((元データ!$AL$2:$AL$2001=1)*(元データ!$AN$2:$AN$2001=1)*(元データ!$AE$2:$AE$2001=$C$100)*(元データ!$AO$2:$AO$2001=0)*(元データ!$AM$2:$AM$2001&gt;=15)*(元データ!$AM$2:$AM$2001&lt;=21)*(元データ!$E$2:$E$2001="32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1" s="58">
        <f ca="1">SUMPRODUCT((元データ!$AL$2:$AL$2001=1)*(元データ!$AN$2:$AN$2001=1)*(元データ!$AE$2:$AE$2001=$C$100)*(元データ!$AO$2:$AO$2001=0)*(元データ!$AM$2:$AM$2001&gt;=15)*(元データ!$AM$2:$AM$2001&lt;=21)*(元データ!$E$2:$E$2001="40 差戻し"))</f>
        <v>0</v>
      </c>
      <c r="BE101" s="58" t="str" cm="1">
        <f t="array" aca="1" ref="BE101" ca="1">IFERROR(_xlfn.TEXTJOIN(CHAR(10),TRUE,IF((元データ!$AL$2:$AL$2001=1)*(元データ!$AN$2:$AN$2001=1)*(元データ!$AE$2:$AE$2001=$C$100)*(元データ!$AO$2:$AO$2001=0)*(元データ!$AM$2:$AM$2001&gt;=15)*(元データ!$AM$2:$AM$2001&lt;=21)*(元データ!$E$2:$E$2001="40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1" s="45">
        <f ca="1">SUMPRODUCT((元データ!$AL$2:$AL$2001=1)*(元データ!$AN$2:$AN$2001=1)*(元データ!$AE$2:$AE$2001=$C$100)*(元データ!$AO$2:$AO$2001=0)*(元データ!$AM$2:$AM$2001&gt;=22)*(元データ!$AM$2:$AM$2001&lt;=30))</f>
        <v>0</v>
      </c>
      <c r="BG101" s="45">
        <f ca="1">SUMPRODUCT((元データ!$AL$2:$AL$2001=1)*(元データ!$AN$2:$AN$2001=1)*(元データ!$AE$2:$AE$2001=$C$100)*(元データ!$AO$2:$AO$2001=0)*(元データ!$AM$2:$AM$2001&gt;=22)*(元データ!$AM$2:$AM$2001&lt;=30)*(元データ!$E$2:$E$2001="20 確認待ち"))</f>
        <v>0</v>
      </c>
      <c r="BH101" s="59" t="str" cm="1">
        <f t="array" aca="1" ref="BH101" ca="1">IFERROR(_xlfn.TEXTJOIN(CHAR(10),TRUE,IF((元データ!$AL$2:$AL$2001=1)*(元データ!$AN$2:$AN$2001=1)*(元データ!$AE$2:$AE$2001=$C$100)*(元データ!$AO$2:$AO$2001=0)*(元データ!$AM$2:$AM$2001&gt;=22)*(元データ!$AM$2:$AM$2001&lt;=30)*(元データ!$E$2:$E$2001="20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1" s="59"/>
      <c r="BJ101" s="59"/>
      <c r="BK101" s="45">
        <f ca="1">SUMPRODUCT((元データ!$AL$2:$AL$2001=1)*(元データ!$AN$2:$AN$2001=1)*(元データ!$AE$2:$AE$2001=$C$100)*(元データ!$AO$2:$AO$2001=0)*(元データ!$AM$2:$AM$2001&gt;=22)*(元データ!$AM$2:$AM$2001&lt;=30)*(元データ!$E$2:$E$2001="30 申請受付"))</f>
        <v>0</v>
      </c>
      <c r="BL101" s="59" t="str" cm="1">
        <f t="array" aca="1" ref="BL101" ca="1">IFERROR(_xlfn.TEXTJOIN(CHAR(10),TRUE,IF((元データ!$AL$2:$AL$2001=1)*(元データ!$AN$2:$AN$2001=1)*(元データ!$AE$2:$AE$2001=$C$100)*(元データ!$AO$2:$AO$2001=0)*(元データ!$AM$2:$AM$2001&gt;=22)*(元データ!$AM$2:$AM$2001&lt;=30)*(元データ!$E$2:$E$2001="30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1" s="59"/>
      <c r="BN101" s="59"/>
      <c r="BO101" s="45">
        <f ca="1">SUMPRODUCT((元データ!$AL$2:$AL$2001=1)*(元データ!$AN$2:$AN$2001=1)*(元データ!$AE$2:$AE$2001=$C$100)*(元データ!$AO$2:$AO$2001=0)*(元データ!$AM$2:$AM$2001&gt;=22)*(元データ!$AM$2:$AM$2001&lt;=30)*(元データ!$E$2:$E$2001="31 ＯＰ確認中"))</f>
        <v>0</v>
      </c>
      <c r="BP101" s="59" t="str" cm="1">
        <f t="array" aca="1" ref="BP101" ca="1">IFERROR(_xlfn.TEXTJOIN(CHAR(10),TRUE,IF((元データ!$AL$2:$AL$2001=1)*(元データ!$AN$2:$AN$2001=1)*(元データ!$AE$2:$AE$2001=$C$100)*(元データ!$AO$2:$AO$2001=0)*(元データ!$AM$2:$AM$2001&gt;=22)*(元データ!$AM$2:$AM$2001&lt;=30)*(元データ!$E$2:$E$2001="31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1" s="59"/>
      <c r="BR101" s="59"/>
      <c r="BS101" s="45">
        <f ca="1">SUMPRODUCT((元データ!$AL$2:$AL$2001=1)*(元データ!$AN$2:$AN$2001=1)*(元データ!$AE$2:$AE$2001=$C$100)*(元データ!$AO$2:$AO$2001=0)*(元データ!$AM$2:$AM$2001&gt;=22)*(元データ!$AM$2:$AM$2001&lt;=30)*(元データ!$E$2:$E$2001="32 ＳＶ確認中"))</f>
        <v>0</v>
      </c>
      <c r="BT101" s="59" t="str" cm="1">
        <f t="array" aca="1" ref="BT101" ca="1">IFERROR(_xlfn.TEXTJOIN(CHAR(10),TRUE,IF((元データ!$AL$2:$AL$2001=1)*(元データ!$AN$2:$AN$2001=1)*(元データ!$AE$2:$AE$2001=$C$100)*(元データ!$AO$2:$AO$2001=0)*(元データ!$AM$2:$AM$2001&gt;=22)*(元データ!$AM$2:$AM$2001&lt;=30)*(元データ!$E$2:$E$2001="32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1" s="59">
        <f ca="1">SUMPRODUCT((元データ!$AL$2:$AL$2001=1)*(元データ!$AN$2:$AN$2001=1)*(元データ!$AE$2:$AE$2001=$C$100)*(元データ!$AO$2:$AO$2001=0)*(元データ!$AM$2:$AM$2001&gt;=22)*(元データ!$AM$2:$AM$2001&lt;=30)*(元データ!$E$2:$E$2001="40 差戻し"))</f>
        <v>0</v>
      </c>
      <c r="BV101" s="59" t="str" cm="1">
        <f t="array" aca="1" ref="BV101" ca="1">IFERROR(_xlfn.TEXTJOIN(CHAR(10),TRUE,IF((元データ!$AL$2:$AL$2001=1)*(元データ!$AN$2:$AN$2001=1)*(元データ!$AE$2:$AE$2001=$C$100)*(元データ!$AO$2:$AO$2001=0)*(元データ!$AM$2:$AM$2001&gt;=22)*(元データ!$AM$2:$AM$2001&lt;=30)*(元データ!$E$2:$E$2001="40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1" s="46">
        <f ca="1">SUMPRODUCT((元データ!$AL$2:$AL$2001=1)*(元データ!$AN$2:$AN$2001=1)*(元データ!$AE$2:$AE$2001=$C$100)*(元データ!$AO$2:$AO$2001=0)*(元データ!$AM$2:$AM$2001&gt;=31))</f>
        <v>0</v>
      </c>
      <c r="BX101" s="46">
        <f ca="1">SUMPRODUCT((元データ!$AL$2:$AL$2001=1)*(元データ!$AN$2:$AN$2001=1)*(元データ!$AE$2:$AE$2001=$C$100)*(元データ!$AO$2:$AO$2001=0)*(元データ!$AM$2:$AM$2001&gt;=31)*(元データ!$E$2:$E$2001="20 確認待ち"))</f>
        <v>0</v>
      </c>
      <c r="BY101" s="56" t="str" cm="1">
        <f t="array" aca="1" ref="BY101" ca="1">IFERROR(_xlfn.TEXTJOIN(CHAR(10),TRUE,IF((元データ!$AL$2:$AL$2001=1)*(元データ!$AN$2:$AN$2001=1)*(元データ!$AE$2:$AE$2001=$C$100)*(元データ!$AO$2:$AO$2001=0)*(元データ!$AM$2:$AM$2001&gt;=31)*(元データ!$E$2:$E$2001="20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01" s="56"/>
      <c r="CA101" s="56"/>
      <c r="CB101" s="46">
        <f ca="1">SUMPRODUCT((元データ!$AL$2:$AL$2001=1)*(元データ!$AN$2:$AN$2001=1)*(元データ!$AE$2:$AE$2001=$C$100)*(元データ!$AO$2:$AO$2001=0)*(元データ!$AM$2:$AM$2001&gt;=31)*(元データ!$E$2:$E$2001="30 申請受付"))</f>
        <v>0</v>
      </c>
      <c r="CC101" s="56" t="str" cm="1">
        <f t="array" aca="1" ref="CC101" ca="1">IFERROR(_xlfn.TEXTJOIN(CHAR(10),TRUE,IF((元データ!$AL$2:$AL$2001=1)*(元データ!$AN$2:$AN$2001=1)*(元データ!$AE$2:$AE$2001=$C$100)*(元データ!$AO$2:$AO$2001=0)*(元データ!$AM$2:$AM$2001&gt;=31)*(元データ!$E$2:$E$2001="30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01" s="56"/>
      <c r="CE101" s="56"/>
      <c r="CF101" s="46">
        <f ca="1">SUMPRODUCT((元データ!$AL$2:$AL$2001=1)*(元データ!$AN$2:$AN$2001=1)*(元データ!$AE$2:$AE$2001=$C$100)*(元データ!$AO$2:$AO$2001=0)*(元データ!$AM$2:$AM$2001&gt;=31)*(元データ!$E$2:$E$2001="31 ＯＰ確認中"))</f>
        <v>0</v>
      </c>
      <c r="CG101" s="56" t="str" cm="1">
        <f t="array" aca="1" ref="CG101" ca="1">IFERROR(_xlfn.TEXTJOIN(CHAR(10),TRUE,IF((元データ!$AL$2:$AL$2001=1)*(元データ!$AN$2:$AN$2001=1)*(元データ!$AE$2:$AE$2001=$C$100)*(元データ!$AO$2:$AO$2001=0)*(元データ!$AM$2:$AM$2001&gt;=31)*(元データ!$E$2:$E$2001="31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01" s="56"/>
      <c r="CI101" s="56"/>
      <c r="CJ101" s="46">
        <f ca="1">SUMPRODUCT((元データ!$AL$2:$AL$2001=1)*(元データ!$AN$2:$AN$2001=1)*(元データ!$AE$2:$AE$2001=$C$100)*(元データ!$AO$2:$AO$2001=0)*(元データ!$AM$2:$AM$2001&gt;=31)*(元データ!$E$2:$E$2001="32 ＳＶ確認中"))</f>
        <v>0</v>
      </c>
      <c r="CK101" s="56" t="str" cm="1">
        <f t="array" aca="1" ref="CK101" ca="1">IFERROR(_xlfn.TEXTJOIN(CHAR(10),TRUE,IF((元データ!$AL$2:$AL$2001=1)*(元データ!$AN$2:$AN$2001=1)*(元データ!$AE$2:$AE$2001=$C$100)*(元データ!$AO$2:$AO$2001=0)*(元データ!$AM$2:$AM$2001&gt;=31)*(元データ!$E$2:$E$2001="32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01" s="56">
        <f ca="1">SUMPRODUCT((元データ!$AL$2:$AL$2001=1)*(元データ!$AN$2:$AN$2001=1)*(元データ!$AE$2:$AE$2001=$C$100)*(元データ!$AO$2:$AO$2001=0)*(元データ!$AM$2:$AM$2001&gt;=31)*(元データ!$E$2:$E$2001="40 差戻し"))</f>
        <v>0</v>
      </c>
      <c r="CM101" s="56" t="str" cm="1">
        <f t="array" aca="1" ref="CM101" ca="1">IFERROR(_xlfn.TEXTJOIN(CHAR(10),TRUE,IF((元データ!$AL$2:$AL$2001=1)*(元データ!$AN$2:$AN$2001=1)*(元データ!$AE$2:$AE$2001=$C$100)*(元データ!$AO$2:$AO$2001=0)*(元データ!$AM$2:$AM$2001&gt;=31)*(元データ!$E$2:$E$2001="40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02" spans="2:91" ht="24.95" customHeight="1">
      <c r="B102" s="91"/>
      <c r="C102" s="63" t="s">
        <v>92</v>
      </c>
      <c r="D102" s="63"/>
      <c r="E102" s="41" t="s">
        <v>133</v>
      </c>
      <c r="F102" s="42">
        <f>SUMPRODUCT((元データ!$AL$2:$AL$2001=1)*(元データ!$AN$2:$AN$2001=1)*(元データ!$AE$2:$AE$2001=$C$102)*(元データ!$AO$2:$AO$2001=1))</f>
        <v>2</v>
      </c>
      <c r="G102" s="43">
        <f ca="1">SUMPRODUCT((元データ!$AL$2:$AL$2001=1)*(元データ!$AN$2:$AN$2001=1)*(元データ!$AE$2:$AE$2001=$C$102)*(元データ!$AO$2:$AO$2001=1)*(元データ!$AM$2:$AM$2001&lt;=7))</f>
        <v>0</v>
      </c>
      <c r="H102" s="43">
        <f ca="1">SUMPRODUCT((元データ!$AL$2:$AL$2001=1)*(元データ!$AN$2:$AN$2001=1)*(元データ!$AE$2:$AE$2001=$C$102)*(元データ!$AO$2:$AO$2001=1)*(元データ!$AM$2:$AM$2001&lt;=7)*(元データ!$E$2:$E$2001="20 確認待ち"))</f>
        <v>0</v>
      </c>
      <c r="I102" s="61" t="str" cm="1">
        <f t="array" aca="1" ref="I102" ca="1">IFERROR(_xlfn.TEXTJOIN(CHAR(10),TRUE,IF((元データ!$AL$2:$AL$2001=1)*(元データ!$AN$2:$AN$2001=1)*(元データ!$AE$2:$AE$2001=$C$102)*(元データ!$AO$2:$AO$2001=1)*(元データ!$AM$2:$AM$2001&lt;=7)*(元データ!$E$2:$E$2001="20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02" s="61"/>
      <c r="K102" s="61"/>
      <c r="L102" s="43">
        <f ca="1">SUMPRODUCT((元データ!$AL$2:$AL$2001=1)*(元データ!$AN$2:$AN$2001=1)*(元データ!$AE$2:$AE$2001=$C$102)*(元データ!$AO$2:$AO$2001=1)*(元データ!$AM$2:$AM$2001&lt;=7)*(元データ!$E$2:$E$2001="30 申請受付"))</f>
        <v>0</v>
      </c>
      <c r="M102" s="61" t="str" cm="1">
        <f t="array" aca="1" ref="M102" ca="1">IFERROR(_xlfn.TEXTJOIN(CHAR(10),TRUE,IF((元データ!$AL$2:$AL$2001=1)*(元データ!$AN$2:$AN$2001=1)*(元データ!$AE$2:$AE$2001=$C$102)*(元データ!$AO$2:$AO$2001=1)*(元データ!$AM$2:$AM$2001&lt;=7)*(元データ!$E$2:$E$2001="30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02" s="61"/>
      <c r="O102" s="61"/>
      <c r="P102" s="43">
        <f ca="1">SUMPRODUCT((元データ!$AL$2:$AL$2001=1)*(元データ!$AN$2:$AN$2001=1)*(元データ!$AE$2:$AE$2001=$C$102)*(元データ!$AO$2:$AO$2001=1)*(元データ!$AM$2:$AM$2001&lt;=7)*(元データ!$E$2:$E$2001="31 ＯＰ確認中"))</f>
        <v>0</v>
      </c>
      <c r="Q102" s="61" t="str" cm="1">
        <f t="array" aca="1" ref="Q102" ca="1">IFERROR(_xlfn.TEXTJOIN(CHAR(10),TRUE,IF((元データ!$AL$2:$AL$2001=1)*(元データ!$AN$2:$AN$2001=1)*(元データ!$AE$2:$AE$2001=$C$102)*(元データ!$AO$2:$AO$2001=1)*(元データ!$AM$2:$AM$2001&lt;=7)*(元データ!$E$2:$E$2001="31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02" s="61"/>
      <c r="S102" s="61"/>
      <c r="T102" s="43">
        <f ca="1">SUMPRODUCT((元データ!$AL$2:$AL$2001=1)*(元データ!$AN$2:$AN$2001=1)*(元データ!$AE$2:$AE$2001=$C$102)*(元データ!$AO$2:$AO$2001=1)*(元データ!$AM$2:$AM$2001&lt;=7)*(元データ!$E$2:$E$2001="32 ＳＶ確認中"))</f>
        <v>0</v>
      </c>
      <c r="U102" s="61" t="str" cm="1">
        <f t="array" aca="1" ref="U102" ca="1">IFERROR(_xlfn.TEXTJOIN(CHAR(10),TRUE,IF((元データ!$AL$2:$AL$2001=1)*(元データ!$AN$2:$AN$2001=1)*(元データ!$AE$2:$AE$2001=$C$102)*(元データ!$AO$2:$AO$2001=1)*(元データ!$AM$2:$AM$2001&lt;=7)*(元データ!$E$2:$E$2001="32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02" s="61"/>
      <c r="W102" s="61"/>
      <c r="X102" s="43">
        <f ca="1">SUMPRODUCT((元データ!$AL$2:$AL$2001=1)*(元データ!$AN$2:$AN$2001=1)*(元データ!$AE$2:$AE$2001=$C$102)*(元データ!$AO$2:$AO$2001=1)*(元データ!$AM$2:$AM$2001&gt;=8)*(元データ!$AM$2:$AM$2001&lt;=14))</f>
        <v>0</v>
      </c>
      <c r="Y102" s="43">
        <f ca="1">SUMPRODUCT((元データ!$AL$2:$AL$2001=1)*(元データ!$AN$2:$AN$2001=1)*(元データ!$AE$2:$AE$2001=$C$102)*(元データ!$AO$2:$AO$2001=1)*(元データ!$AM$2:$AM$2001&gt;=8)*(元データ!$AM$2:$AM$2001&lt;=14)*(元データ!$E$2:$E$2001="20 確認待ち"))</f>
        <v>0</v>
      </c>
      <c r="Z102" s="61" t="str" cm="1">
        <f t="array" aca="1" ref="Z102" ca="1">IFERROR(_xlfn.TEXTJOIN(CHAR(10),TRUE,IF((元データ!$AL$2:$AL$2001=1)*(元データ!$AN$2:$AN$2001=1)*(元データ!$AE$2:$AE$2001=$C$102)*(元データ!$AO$2:$AO$2001=1)*(元データ!$AM$2:$AM$2001&gt;=8)*(元データ!$AM$2:$AM$2001&lt;=14)*(元データ!$E$2:$E$2001="20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2" s="61"/>
      <c r="AB102" s="61"/>
      <c r="AC102" s="43">
        <f ca="1">SUMPRODUCT((元データ!$AL$2:$AL$2001=1)*(元データ!$AN$2:$AN$2001=1)*(元データ!$AE$2:$AE$2001=$C$102)*(元データ!$AO$2:$AO$2001=1)*(元データ!$AM$2:$AM$2001&gt;=8)*(元データ!$AM$2:$AM$2001&lt;=14)*(元データ!$E$2:$E$2001="30 申請受付"))</f>
        <v>0</v>
      </c>
      <c r="AD102" s="61" t="str" cm="1">
        <f t="array" aca="1" ref="AD102" ca="1">IFERROR(_xlfn.TEXTJOIN(CHAR(10),TRUE,IF((元データ!$AL$2:$AL$2001=1)*(元データ!$AN$2:$AN$2001=1)*(元データ!$AE$2:$AE$2001=$C$102)*(元データ!$AO$2:$AO$2001=1)*(元データ!$AM$2:$AM$2001&gt;=8)*(元データ!$AM$2:$AM$2001&lt;=14)*(元データ!$E$2:$E$2001="30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2" s="61"/>
      <c r="AF102" s="61"/>
      <c r="AG102" s="43">
        <f ca="1">SUMPRODUCT((元データ!$AL$2:$AL$2001=1)*(元データ!$AN$2:$AN$2001=1)*(元データ!$AE$2:$AE$2001=$C$102)*(元データ!$AO$2:$AO$2001=1)*(元データ!$AM$2:$AM$2001&gt;=8)*(元データ!$AM$2:$AM$2001&lt;=14)*(元データ!$E$2:$E$2001="31 ＯＰ確認中"))</f>
        <v>0</v>
      </c>
      <c r="AH102" s="61" t="str" cm="1">
        <f t="array" aca="1" ref="AH102" ca="1">IFERROR(_xlfn.TEXTJOIN(CHAR(10),TRUE,IF((元データ!$AL$2:$AL$2001=1)*(元データ!$AN$2:$AN$2001=1)*(元データ!$AE$2:$AE$2001=$C$102)*(元データ!$AO$2:$AO$2001=1)*(元データ!$AM$2:$AM$2001&gt;=8)*(元データ!$AM$2:$AM$2001&lt;=14)*(元データ!$E$2:$E$2001="31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2" s="61"/>
      <c r="AJ102" s="61"/>
      <c r="AK102" s="43">
        <f ca="1">SUMPRODUCT((元データ!$AL$2:$AL$2001=1)*(元データ!$AN$2:$AN$2001=1)*(元データ!$AE$2:$AE$2001=$C$102)*(元データ!$AO$2:$AO$2001=1)*(元データ!$AM$2:$AM$2001&gt;=8)*(元データ!$AM$2:$AM$2001&lt;=14)*(元データ!$E$2:$E$2001="32 ＳＶ確認中"))</f>
        <v>0</v>
      </c>
      <c r="AL102" s="61" t="str" cm="1">
        <f t="array" aca="1" ref="AL102" ca="1">IFERROR(_xlfn.TEXTJOIN(CHAR(10),TRUE,IF((元データ!$AL$2:$AL$2001=1)*(元データ!$AN$2:$AN$2001=1)*(元データ!$AE$2:$AE$2001=$C$102)*(元データ!$AO$2:$AO$2001=1)*(元データ!$AM$2:$AM$2001&gt;=8)*(元データ!$AM$2:$AM$2001&lt;=14)*(元データ!$E$2:$E$2001="32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2" s="61">
        <f ca="1">SUMPRODUCT((元データ!$AL$2:$AL$2001=1)*(元データ!$AN$2:$AN$2001=1)*(元データ!$AE$2:$AE$2001=$C$102)*(元データ!$AO$2:$AO$2001=1)*(元データ!$AM$2:$AM$2001&gt;=8)*(元データ!$AM$2:$AM$2001&lt;=14)*(元データ!$E$2:$E$2001="40 差戻し"))</f>
        <v>0</v>
      </c>
      <c r="AN102" s="61" t="str" cm="1">
        <f t="array" aca="1" ref="AN102" ca="1">IFERROR(_xlfn.TEXTJOIN(CHAR(10),TRUE,IF((元データ!$AL$2:$AL$2001=1)*(元データ!$AN$2:$AN$2001=1)*(元データ!$AE$2:$AE$2001=$C$102)*(元データ!$AO$2:$AO$2001=1)*(元データ!$AM$2:$AM$2001&gt;=8)*(元データ!$AM$2:$AM$2001&lt;=14)*(元データ!$E$2:$E$2001="40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2" s="44">
        <f ca="1">SUMPRODUCT((元データ!$AL$2:$AL$2001=1)*(元データ!$AN$2:$AN$2001=1)*(元データ!$AE$2:$AE$2001=$C$102)*(元データ!$AO$2:$AO$2001=1)*(元データ!$AM$2:$AM$2001&gt;=15)*(元データ!$AM$2:$AM$2001&lt;=21))</f>
        <v>0</v>
      </c>
      <c r="AP102" s="44">
        <f ca="1">SUMPRODUCT((元データ!$AL$2:$AL$2001=1)*(元データ!$AN$2:$AN$2001=1)*(元データ!$AE$2:$AE$2001=$C$102)*(元データ!$AO$2:$AO$2001=1)*(元データ!$AM$2:$AM$2001&gt;=15)*(元データ!$AM$2:$AM$2001&lt;=21)*(元データ!$E$2:$E$2001="20 確認待ち"))</f>
        <v>0</v>
      </c>
      <c r="AQ102" s="58" t="str" cm="1">
        <f t="array" aca="1" ref="AQ102" ca="1">IFERROR(_xlfn.TEXTJOIN(CHAR(10),TRUE,IF((元データ!$AL$2:$AL$2001=1)*(元データ!$AN$2:$AN$2001=1)*(元データ!$AE$2:$AE$2001=$C$102)*(元データ!$AO$2:$AO$2001=1)*(元データ!$AM$2:$AM$2001&gt;=15)*(元データ!$AM$2:$AM$2001&lt;=21)*(元データ!$E$2:$E$2001="20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2" s="58"/>
      <c r="AS102" s="58"/>
      <c r="AT102" s="44">
        <f ca="1">SUMPRODUCT((元データ!$AL$2:$AL$2001=1)*(元データ!$AN$2:$AN$2001=1)*(元データ!$AE$2:$AE$2001=$C$102)*(元データ!$AO$2:$AO$2001=1)*(元データ!$AM$2:$AM$2001&gt;=15)*(元データ!$AM$2:$AM$2001&lt;=21)*(元データ!$E$2:$E$2001="30 申請受付"))</f>
        <v>0</v>
      </c>
      <c r="AU102" s="58" t="str" cm="1">
        <f t="array" aca="1" ref="AU102" ca="1">IFERROR(_xlfn.TEXTJOIN(CHAR(10),TRUE,IF((元データ!$AL$2:$AL$2001=1)*(元データ!$AN$2:$AN$2001=1)*(元データ!$AE$2:$AE$2001=$C$102)*(元データ!$AO$2:$AO$2001=1)*(元データ!$AM$2:$AM$2001&gt;=15)*(元データ!$AM$2:$AM$2001&lt;=21)*(元データ!$E$2:$E$2001="30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2" s="58"/>
      <c r="AW102" s="58"/>
      <c r="AX102" s="44">
        <f ca="1">SUMPRODUCT((元データ!$AL$2:$AL$2001=1)*(元データ!$AN$2:$AN$2001=1)*(元データ!$AE$2:$AE$2001=$C$102)*(元データ!$AO$2:$AO$2001=1)*(元データ!$AM$2:$AM$2001&gt;=15)*(元データ!$AM$2:$AM$2001&lt;=21)*(元データ!$E$2:$E$2001="31 ＯＰ確認中"))</f>
        <v>0</v>
      </c>
      <c r="AY102" s="58" t="str" cm="1">
        <f t="array" aca="1" ref="AY102" ca="1">IFERROR(_xlfn.TEXTJOIN(CHAR(10),TRUE,IF((元データ!$AL$2:$AL$2001=1)*(元データ!$AN$2:$AN$2001=1)*(元データ!$AE$2:$AE$2001=$C$102)*(元データ!$AO$2:$AO$2001=1)*(元データ!$AM$2:$AM$2001&gt;=15)*(元データ!$AM$2:$AM$2001&lt;=21)*(元データ!$E$2:$E$2001="31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2" s="58"/>
      <c r="BA102" s="58"/>
      <c r="BB102" s="44">
        <f ca="1">SUMPRODUCT((元データ!$AL$2:$AL$2001=1)*(元データ!$AN$2:$AN$2001=1)*(元データ!$AE$2:$AE$2001=$C$102)*(元データ!$AO$2:$AO$2001=1)*(元データ!$AM$2:$AM$2001&gt;=15)*(元データ!$AM$2:$AM$2001&lt;=21)*(元データ!$E$2:$E$2001="32 ＳＶ確認中"))</f>
        <v>0</v>
      </c>
      <c r="BC102" s="58" t="str" cm="1">
        <f t="array" aca="1" ref="BC102" ca="1">IFERROR(_xlfn.TEXTJOIN(CHAR(10),TRUE,IF((元データ!$AL$2:$AL$2001=1)*(元データ!$AN$2:$AN$2001=1)*(元データ!$AE$2:$AE$2001=$C$102)*(元データ!$AO$2:$AO$2001=1)*(元データ!$AM$2:$AM$2001&gt;=15)*(元データ!$AM$2:$AM$2001&lt;=21)*(元データ!$E$2:$E$2001="32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2" s="58">
        <f ca="1">SUMPRODUCT((元データ!$AL$2:$AL$2001=1)*(元データ!$AN$2:$AN$2001=1)*(元データ!$AE$2:$AE$2001=$C$102)*(元データ!$AO$2:$AO$2001=1)*(元データ!$AM$2:$AM$2001&gt;=15)*(元データ!$AM$2:$AM$2001&lt;=21)*(元データ!$E$2:$E$2001="40 差戻し"))</f>
        <v>0</v>
      </c>
      <c r="BE102" s="58" t="str" cm="1">
        <f t="array" aca="1" ref="BE102" ca="1">IFERROR(_xlfn.TEXTJOIN(CHAR(10),TRUE,IF((元データ!$AL$2:$AL$2001=1)*(元データ!$AN$2:$AN$2001=1)*(元データ!$AE$2:$AE$2001=$C$102)*(元データ!$AO$2:$AO$2001=1)*(元データ!$AM$2:$AM$2001&gt;=15)*(元データ!$AM$2:$AM$2001&lt;=21)*(元データ!$E$2:$E$2001="40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2" s="45">
        <f ca="1">SUMPRODUCT((元データ!$AL$2:$AL$2001=1)*(元データ!$AN$2:$AN$2001=1)*(元データ!$AE$2:$AE$2001=$C$102)*(元データ!$AO$2:$AO$2001=1)*(元データ!$AM$2:$AM$2001&gt;=22)*(元データ!$AM$2:$AM$2001&lt;=30))</f>
        <v>0</v>
      </c>
      <c r="BG102" s="45">
        <f ca="1">SUMPRODUCT((元データ!$AL$2:$AL$2001=1)*(元データ!$AN$2:$AN$2001=1)*(元データ!$AE$2:$AE$2001=$C$102)*(元データ!$AO$2:$AO$2001=1)*(元データ!$AM$2:$AM$2001&gt;=22)*(元データ!$AM$2:$AM$2001&lt;=30)*(元データ!$E$2:$E$2001="20 確認待ち"))</f>
        <v>0</v>
      </c>
      <c r="BH102" s="60" t="str" cm="1">
        <f t="array" aca="1" ref="BH102" ca="1">IFERROR(_xlfn.TEXTJOIN(CHAR(10),TRUE,IF((元データ!$AL$2:$AL$2001=1)*(元データ!$AN$2:$AN$2001=1)*(元データ!$AE$2:$AE$2001=$C$102)*(元データ!$AO$2:$AO$2001=1)*(元データ!$AM$2:$AM$2001&gt;=22)*(元データ!$AM$2:$AM$2001&lt;=30)*(元データ!$E$2:$E$2001="20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2" s="60"/>
      <c r="BJ102" s="60"/>
      <c r="BK102" s="45">
        <f ca="1">SUMPRODUCT((元データ!$AL$2:$AL$2001=1)*(元データ!$AN$2:$AN$2001=1)*(元データ!$AE$2:$AE$2001=$C$102)*(元データ!$AO$2:$AO$2001=1)*(元データ!$AM$2:$AM$2001&gt;=22)*(元データ!$AM$2:$AM$2001&lt;=30)*(元データ!$E$2:$E$2001="30 申請受付"))</f>
        <v>0</v>
      </c>
      <c r="BL102" s="59" t="str" cm="1">
        <f t="array" aca="1" ref="BL102" ca="1">IFERROR(_xlfn.TEXTJOIN(CHAR(10),TRUE,IF((元データ!$AL$2:$AL$2001=1)*(元データ!$AN$2:$AN$2001=1)*(元データ!$AE$2:$AE$2001=$C$102)*(元データ!$AO$2:$AO$2001=1)*(元データ!$AM$2:$AM$2001&gt;=22)*(元データ!$AM$2:$AM$2001&lt;=30)*(元データ!$E$2:$E$2001="30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2" s="59"/>
      <c r="BN102" s="59"/>
      <c r="BO102" s="45">
        <f ca="1">SUMPRODUCT((元データ!$AL$2:$AL$2001=1)*(元データ!$AN$2:$AN$2001=1)*(元データ!$AE$2:$AE$2001=$C$102)*(元データ!$AO$2:$AO$2001=1)*(元データ!$AM$2:$AM$2001&gt;=22)*(元データ!$AM$2:$AM$2001&lt;=30)*(元データ!$E$2:$E$2001="31 ＯＰ確認中"))</f>
        <v>0</v>
      </c>
      <c r="BP102" s="59" t="str" cm="1">
        <f t="array" aca="1" ref="BP102" ca="1">IFERROR(_xlfn.TEXTJOIN(CHAR(10),TRUE,IF((元データ!$AL$2:$AL$2001=1)*(元データ!$AN$2:$AN$2001=1)*(元データ!$AE$2:$AE$2001=$C$102)*(元データ!$AO$2:$AO$2001=1)*(元データ!$AM$2:$AM$2001&gt;=22)*(元データ!$AM$2:$AM$2001&lt;=30)*(元データ!$E$2:$E$2001="31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2" s="59"/>
      <c r="BR102" s="59"/>
      <c r="BS102" s="45">
        <f ca="1">SUMPRODUCT((元データ!$AL$2:$AL$2001=1)*(元データ!$AN$2:$AN$2001=1)*(元データ!$AE$2:$AE$2001=$C$102)*(元データ!$AO$2:$AO$2001=1)*(元データ!$AM$2:$AM$2001&gt;=22)*(元データ!$AM$2:$AM$2001&lt;=30)*(元データ!$E$2:$E$2001="32 ＳＶ確認中"))</f>
        <v>0</v>
      </c>
      <c r="BT102" s="59" t="str" cm="1">
        <f t="array" aca="1" ref="BT102" ca="1">IFERROR(_xlfn.TEXTJOIN(CHAR(10),TRUE,IF((元データ!$AL$2:$AL$2001=1)*(元データ!$AN$2:$AN$2001=1)*(元データ!$AE$2:$AE$2001=$C$102)*(元データ!$AO$2:$AO$2001=1)*(元データ!$AM$2:$AM$2001&gt;=22)*(元データ!$AM$2:$AM$2001&lt;=30)*(元データ!$E$2:$E$2001="32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2" s="59">
        <f ca="1">SUMPRODUCT((元データ!$AL$2:$AL$2001=1)*(元データ!$AN$2:$AN$2001=1)*(元データ!$AE$2:$AE$2001=$C$102)*(元データ!$AO$2:$AO$2001=1)*(元データ!$AM$2:$AM$2001&gt;=22)*(元データ!$AM$2:$AM$2001&lt;=30)*(元データ!$E$2:$E$2001="40 差戻し"))</f>
        <v>0</v>
      </c>
      <c r="BV102" s="59" t="str" cm="1">
        <f t="array" aca="1" ref="BV102" ca="1">IFERROR(_xlfn.TEXTJOIN(CHAR(10),TRUE,IF((元データ!$AL$2:$AL$2001=1)*(元データ!$AN$2:$AN$2001=1)*(元データ!$AE$2:$AE$2001=$C$102)*(元データ!$AO$2:$AO$2001=1)*(元データ!$AM$2:$AM$2001&gt;=22)*(元データ!$AM$2:$AM$2001&lt;=30)*(元データ!$E$2:$E$2001="40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2" s="46">
        <f ca="1">SUMPRODUCT((元データ!$AL$2:$AL$2001=1)*(元データ!$AN$2:$AN$2001=1)*(元データ!$AE$2:$AE$2001=$C$102)*(元データ!$AO$2:$AO$2001=1)*(元データ!$AM$2:$AM$2001&gt;=31))</f>
        <v>2</v>
      </c>
      <c r="BX102" s="46">
        <f ca="1">SUMPRODUCT((元データ!$AL$2:$AL$2001=1)*(元データ!$AN$2:$AN$2001=1)*(元データ!$AE$2:$AE$2001=$C$102)*(元データ!$AO$2:$AO$2001=1)*(元データ!$AM$2:$AM$2001&gt;=31)*(元データ!$E$2:$E$2001="20 確認待ち"))</f>
        <v>0</v>
      </c>
      <c r="BY102" s="56" t="str" cm="1">
        <f t="array" aca="1" ref="BY102" ca="1">IFERROR(_xlfn.TEXTJOIN(CHAR(10),TRUE,IF((元データ!$AL$2:$AL$2001=1)*(元データ!$AN$2:$AN$2001=1)*(元データ!$AE$2:$AE$2001=$C$102)*(元データ!$AO$2:$AO$2001=1)*(元データ!$AM$2:$AM$2001&gt;=31)*(元データ!$E$2:$E$2001="20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02" s="56"/>
      <c r="CA102" s="56"/>
      <c r="CB102" s="46">
        <f ca="1">SUMPRODUCT((元データ!$AL$2:$AL$2001=1)*(元データ!$AN$2:$AN$2001=1)*(元データ!$AE$2:$AE$2001=$C$102)*(元データ!$AO$2:$AO$2001=1)*(元データ!$AM$2:$AM$2001&gt;=31)*(元データ!$E$2:$E$2001="30 申請受付"))</f>
        <v>0</v>
      </c>
      <c r="CC102" s="56" t="str" cm="1">
        <f t="array" aca="1" ref="CC102" ca="1">IFERROR(_xlfn.TEXTJOIN(CHAR(10),TRUE,IF((元データ!$AL$2:$AL$2001=1)*(元データ!$AN$2:$AN$2001=1)*(元データ!$AE$2:$AE$2001=$C$102)*(元データ!$AO$2:$AO$2001=1)*(元データ!$AM$2:$AM$2001&gt;=31)*(元データ!$E$2:$E$2001="30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02" s="56"/>
      <c r="CE102" s="56"/>
      <c r="CF102" s="46">
        <f ca="1">SUMPRODUCT((元データ!$AL$2:$AL$2001=1)*(元データ!$AN$2:$AN$2001=1)*(元データ!$AE$2:$AE$2001=$C$102)*(元データ!$AO$2:$AO$2001=1)*(元データ!$AM$2:$AM$2001&gt;=31)*(元データ!$E$2:$E$2001="31 ＯＰ確認中"))</f>
        <v>1</v>
      </c>
      <c r="CG102" s="56" t="str" cm="1">
        <f t="array" aca="1" ref="CG102" ca="1">IFERROR(_xlfn.TEXTJOIN(CHAR(10),TRUE,IF((元データ!$AL$2:$AL$2001=1)*(元データ!$AN$2:$AN$2001=1)*(元データ!$AE$2:$AE$2001=$C$102)*(元データ!$AO$2:$AO$2001=1)*(元データ!$AM$2:$AM$2001&gt;=31)*(元データ!$E$2:$E$2001="31 ＯＰ確認中"),元データ!$A$2:$A$2001&amp;IF(元データ!$AP$2:$AP$2001&lt;&gt;"","（"&amp;MID(元データ!$AP$2:$AP$2001,2,100)&amp;")",""),"")),"")</f>
        <v>202660001281</v>
      </c>
      <c r="CH102" s="56"/>
      <c r="CI102" s="56"/>
      <c r="CJ102" s="46">
        <f ca="1">SUMPRODUCT((元データ!$AL$2:$AL$2001=1)*(元データ!$AN$2:$AN$2001=1)*(元データ!$AE$2:$AE$2001=$C$102)*(元データ!$AO$2:$AO$2001=1)*(元データ!$AM$2:$AM$2001&gt;=31)*(元データ!$E$2:$E$2001="32 ＳＶ確認中"))</f>
        <v>0</v>
      </c>
      <c r="CK102" s="56" t="str" cm="1">
        <f t="array" aca="1" ref="CK102" ca="1">IFERROR(_xlfn.TEXTJOIN(CHAR(10),TRUE,IF((元データ!$AL$2:$AL$2001=1)*(元データ!$AN$2:$AN$2001=1)*(元データ!$AE$2:$AE$2001=$C$102)*(元データ!$AO$2:$AO$2001=1)*(元データ!$AM$2:$AM$2001&gt;=31)*(元データ!$E$2:$E$2001="32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102" s="56">
        <f ca="1">SUMPRODUCT((元データ!$AL$2:$AL$2001=1)*(元データ!$AN$2:$AN$2001=1)*(元データ!$AE$2:$AE$2001=$C$102)*(元データ!$AO$2:$AO$2001=1)*(元データ!$AM$2:$AM$2001&gt;=31)*(元データ!$E$2:$E$2001="40 差戻し"))</f>
        <v>0</v>
      </c>
      <c r="CM102" s="56" t="str" cm="1">
        <f t="array" aca="1" ref="CM102" ca="1">IFERROR(_xlfn.TEXTJOIN(CHAR(10),TRUE,IF((元データ!$AL$2:$AL$2001=1)*(元データ!$AN$2:$AN$2001=1)*(元データ!$AE$2:$AE$2001=$C$102)*(元データ!$AO$2:$AO$2001=1)*(元データ!$AM$2:$AM$2001&gt;=31)*(元データ!$E$2:$E$2001="40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03" spans="2:91" ht="24.95" customHeight="1">
      <c r="B103" s="92"/>
      <c r="C103" s="63"/>
      <c r="D103" s="63"/>
      <c r="E103" s="47" t="s">
        <v>134</v>
      </c>
      <c r="F103" s="48">
        <f>SUMPRODUCT((元データ!$AL$2:$AL$2001=1)*(元データ!$AN$2:$AN$2001=1)*(元データ!$AE$2:$AE$2001=$C$102)*(元データ!$AO$2:$AO$2001=0))</f>
        <v>0</v>
      </c>
      <c r="G103" s="49">
        <f ca="1">SUMPRODUCT((元データ!$AL$2:$AL$2001=1)*(元データ!$AN$2:$AN$2001=1)*(元データ!$AE$2:$AE$2001=$C$102)*(元データ!$AO$2:$AO$2001=0)*(元データ!$AM$2:$AM$2001&lt;=7))</f>
        <v>0</v>
      </c>
      <c r="H103" s="49">
        <f ca="1">SUMPRODUCT((元データ!$AL$2:$AL$2001=1)*(元データ!$AN$2:$AN$2001=1)*(元データ!$AE$2:$AE$2001=$C$102)*(元データ!$AO$2:$AO$2001=0)*(元データ!$AM$2:$AM$2001&lt;=7)*(元データ!$E$2:$E$2001="20 確認待ち"))</f>
        <v>0</v>
      </c>
      <c r="I103" s="57" t="str" cm="1">
        <f t="array" aca="1" ref="I103" ca="1">IFERROR(_xlfn.TEXTJOIN(CHAR(10),TRUE,IF((元データ!$AL$2:$AL$2001=1)*(元データ!$AN$2:$AN$2001=1)*(元データ!$AE$2:$AE$2001=$C$102)*(元データ!$AO$2:$AO$2001=0)*(元データ!$AM$2:$AM$2001&lt;=7)*(元データ!$E$2:$E$2001="20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03" s="57"/>
      <c r="K103" s="57"/>
      <c r="L103" s="49">
        <f ca="1">SUMPRODUCT((元データ!$AL$2:$AL$2001=1)*(元データ!$AN$2:$AN$2001=1)*(元データ!$AE$2:$AE$2001=$C$102)*(元データ!$AO$2:$AO$2001=0)*(元データ!$AM$2:$AM$2001&lt;=7)*(元データ!$E$2:$E$2001="30 申請受付"))</f>
        <v>0</v>
      </c>
      <c r="M103" s="57" t="str" cm="1">
        <f t="array" aca="1" ref="M103" ca="1">IFERROR(_xlfn.TEXTJOIN(CHAR(10),TRUE,IF((元データ!$AL$2:$AL$2001=1)*(元データ!$AN$2:$AN$2001=1)*(元データ!$AE$2:$AE$2001=$C$102)*(元データ!$AO$2:$AO$2001=0)*(元データ!$AM$2:$AM$2001&lt;=7)*(元データ!$E$2:$E$2001="30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03" s="57"/>
      <c r="O103" s="57"/>
      <c r="P103" s="49">
        <f ca="1">SUMPRODUCT((元データ!$AL$2:$AL$2001=1)*(元データ!$AN$2:$AN$2001=1)*(元データ!$AE$2:$AE$2001=$C$102)*(元データ!$AO$2:$AO$2001=0)*(元データ!$AM$2:$AM$2001&lt;=7)*(元データ!$E$2:$E$2001="31 ＯＰ確認中"))</f>
        <v>0</v>
      </c>
      <c r="Q103" s="57" t="str" cm="1">
        <f t="array" aca="1" ref="Q103" ca="1">IFERROR(_xlfn.TEXTJOIN(CHAR(10),TRUE,IF((元データ!$AL$2:$AL$2001=1)*(元データ!$AN$2:$AN$2001=1)*(元データ!$AE$2:$AE$2001=$C$102)*(元データ!$AO$2:$AO$2001=0)*(元データ!$AM$2:$AM$2001&lt;=7)*(元データ!$E$2:$E$2001="31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03" s="57"/>
      <c r="S103" s="57"/>
      <c r="T103" s="49">
        <f ca="1">SUMPRODUCT((元データ!$AL$2:$AL$2001=1)*(元データ!$AN$2:$AN$2001=1)*(元データ!$AE$2:$AE$2001=$C$102)*(元データ!$AO$2:$AO$2001=0)*(元データ!$AM$2:$AM$2001&lt;=7)*(元データ!$E$2:$E$2001="32 ＳＶ確認中"))</f>
        <v>0</v>
      </c>
      <c r="U103" s="57" t="str" cm="1">
        <f t="array" aca="1" ref="U103" ca="1">IFERROR(_xlfn.TEXTJOIN(CHAR(10),TRUE,IF((元データ!$AL$2:$AL$2001=1)*(元データ!$AN$2:$AN$2001=1)*(元データ!$AE$2:$AE$2001=$C$102)*(元データ!$AO$2:$AO$2001=0)*(元データ!$AM$2:$AM$2001&lt;=7)*(元データ!$E$2:$E$2001="32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03" s="57"/>
      <c r="W103" s="57"/>
      <c r="X103" s="49">
        <f ca="1">SUMPRODUCT((元データ!$AL$2:$AL$2001=1)*(元データ!$AN$2:$AN$2001=1)*(元データ!$AE$2:$AE$2001=$C$102)*(元データ!$AO$2:$AO$2001=0)*(元データ!$AM$2:$AM$2001&gt;=8)*(元データ!$AM$2:$AM$2001&lt;=14))</f>
        <v>0</v>
      </c>
      <c r="Y103" s="49">
        <f ca="1">SUMPRODUCT((元データ!$AL$2:$AL$2001=1)*(元データ!$AN$2:$AN$2001=1)*(元データ!$AE$2:$AE$2001=$C$102)*(元データ!$AO$2:$AO$2001=0)*(元データ!$AM$2:$AM$2001&gt;=8)*(元データ!$AM$2:$AM$2001&lt;=14)*(元データ!$E$2:$E$2001="20 確認待ち"))</f>
        <v>0</v>
      </c>
      <c r="Z103" s="57" t="str" cm="1">
        <f t="array" aca="1" ref="Z103" ca="1">IFERROR(_xlfn.TEXTJOIN(CHAR(10),TRUE,IF((元データ!$AL$2:$AL$2001=1)*(元データ!$AN$2:$AN$2001=1)*(元データ!$AE$2:$AE$2001=$C$102)*(元データ!$AO$2:$AO$2001=0)*(元データ!$AM$2:$AM$2001&gt;=8)*(元データ!$AM$2:$AM$2001&lt;=14)*(元データ!$E$2:$E$2001="20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3" s="57"/>
      <c r="AB103" s="57"/>
      <c r="AC103" s="49">
        <f ca="1">SUMPRODUCT((元データ!$AL$2:$AL$2001=1)*(元データ!$AN$2:$AN$2001=1)*(元データ!$AE$2:$AE$2001=$C$102)*(元データ!$AO$2:$AO$2001=0)*(元データ!$AM$2:$AM$2001&gt;=8)*(元データ!$AM$2:$AM$2001&lt;=14)*(元データ!$E$2:$E$2001="30 申請受付"))</f>
        <v>0</v>
      </c>
      <c r="AD103" s="57" t="str" cm="1">
        <f t="array" aca="1" ref="AD103" ca="1">IFERROR(_xlfn.TEXTJOIN(CHAR(10),TRUE,IF((元データ!$AL$2:$AL$2001=1)*(元データ!$AN$2:$AN$2001=1)*(元データ!$AE$2:$AE$2001=$C$102)*(元データ!$AO$2:$AO$2001=0)*(元データ!$AM$2:$AM$2001&gt;=8)*(元データ!$AM$2:$AM$2001&lt;=14)*(元データ!$E$2:$E$2001="30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3" s="57"/>
      <c r="AF103" s="57"/>
      <c r="AG103" s="49">
        <f ca="1">SUMPRODUCT((元データ!$AL$2:$AL$2001=1)*(元データ!$AN$2:$AN$2001=1)*(元データ!$AE$2:$AE$2001=$C$102)*(元データ!$AO$2:$AO$2001=0)*(元データ!$AM$2:$AM$2001&gt;=8)*(元データ!$AM$2:$AM$2001&lt;=14)*(元データ!$E$2:$E$2001="31 ＯＰ確認中"))</f>
        <v>0</v>
      </c>
      <c r="AH103" s="57" t="str" cm="1">
        <f t="array" aca="1" ref="AH103" ca="1">IFERROR(_xlfn.TEXTJOIN(CHAR(10),TRUE,IF((元データ!$AL$2:$AL$2001=1)*(元データ!$AN$2:$AN$2001=1)*(元データ!$AE$2:$AE$2001=$C$102)*(元データ!$AO$2:$AO$2001=0)*(元データ!$AM$2:$AM$2001&gt;=8)*(元データ!$AM$2:$AM$2001&lt;=14)*(元データ!$E$2:$E$2001="31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3" s="57"/>
      <c r="AJ103" s="57"/>
      <c r="AK103" s="49">
        <f ca="1">SUMPRODUCT((元データ!$AL$2:$AL$2001=1)*(元データ!$AN$2:$AN$2001=1)*(元データ!$AE$2:$AE$2001=$C$102)*(元データ!$AO$2:$AO$2001=0)*(元データ!$AM$2:$AM$2001&gt;=8)*(元データ!$AM$2:$AM$2001&lt;=14)*(元データ!$E$2:$E$2001="32 ＳＶ確認中"))</f>
        <v>0</v>
      </c>
      <c r="AL103" s="57" t="str" cm="1">
        <f t="array" aca="1" ref="AL103" ca="1">IFERROR(_xlfn.TEXTJOIN(CHAR(10),TRUE,IF((元データ!$AL$2:$AL$2001=1)*(元データ!$AN$2:$AN$2001=1)*(元データ!$AE$2:$AE$2001=$C$102)*(元データ!$AO$2:$AO$2001=0)*(元データ!$AM$2:$AM$2001&gt;=8)*(元データ!$AM$2:$AM$2001&lt;=14)*(元データ!$E$2:$E$2001="32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3" s="57">
        <f ca="1">SUMPRODUCT((元データ!$AL$2:$AL$2001=1)*(元データ!$AN$2:$AN$2001=1)*(元データ!$AE$2:$AE$2001=$C$102)*(元データ!$AO$2:$AO$2001=0)*(元データ!$AM$2:$AM$2001&gt;=8)*(元データ!$AM$2:$AM$2001&lt;=14)*(元データ!$E$2:$E$2001="40 差戻し"))</f>
        <v>0</v>
      </c>
      <c r="AN103" s="57" t="str" cm="1">
        <f t="array" aca="1" ref="AN103" ca="1">IFERROR(_xlfn.TEXTJOIN(CHAR(10),TRUE,IF((元データ!$AL$2:$AL$2001=1)*(元データ!$AN$2:$AN$2001=1)*(元データ!$AE$2:$AE$2001=$C$102)*(元データ!$AO$2:$AO$2001=0)*(元データ!$AM$2:$AM$2001&gt;=8)*(元データ!$AM$2:$AM$2001&lt;=14)*(元データ!$E$2:$E$2001="40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3" s="44">
        <f ca="1">SUMPRODUCT((元データ!$AL$2:$AL$2001=1)*(元データ!$AN$2:$AN$2001=1)*(元データ!$AE$2:$AE$2001=$C$102)*(元データ!$AO$2:$AO$2001=0)*(元データ!$AM$2:$AM$2001&gt;=15)*(元データ!$AM$2:$AM$2001&lt;=21))</f>
        <v>0</v>
      </c>
      <c r="AP103" s="44">
        <f ca="1">SUMPRODUCT((元データ!$AL$2:$AL$2001=1)*(元データ!$AN$2:$AN$2001=1)*(元データ!$AE$2:$AE$2001=$C$102)*(元データ!$AO$2:$AO$2001=0)*(元データ!$AM$2:$AM$2001&gt;=15)*(元データ!$AM$2:$AM$2001&lt;=21)*(元データ!$E$2:$E$2001="20 確認待ち"))</f>
        <v>0</v>
      </c>
      <c r="AQ103" s="58" t="str" cm="1">
        <f t="array" aca="1" ref="AQ103" ca="1">IFERROR(_xlfn.TEXTJOIN(CHAR(10),TRUE,IF((元データ!$AL$2:$AL$2001=1)*(元データ!$AN$2:$AN$2001=1)*(元データ!$AE$2:$AE$2001=$C$102)*(元データ!$AO$2:$AO$2001=0)*(元データ!$AM$2:$AM$2001&gt;=15)*(元データ!$AM$2:$AM$2001&lt;=21)*(元データ!$E$2:$E$2001="20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3" s="58"/>
      <c r="AS103" s="58"/>
      <c r="AT103" s="44">
        <f ca="1">SUMPRODUCT((元データ!$AL$2:$AL$2001=1)*(元データ!$AN$2:$AN$2001=1)*(元データ!$AE$2:$AE$2001=$C$102)*(元データ!$AO$2:$AO$2001=0)*(元データ!$AM$2:$AM$2001&gt;=15)*(元データ!$AM$2:$AM$2001&lt;=21)*(元データ!$E$2:$E$2001="30 申請受付"))</f>
        <v>0</v>
      </c>
      <c r="AU103" s="58" t="str" cm="1">
        <f t="array" aca="1" ref="AU103" ca="1">IFERROR(_xlfn.TEXTJOIN(CHAR(10),TRUE,IF((元データ!$AL$2:$AL$2001=1)*(元データ!$AN$2:$AN$2001=1)*(元データ!$AE$2:$AE$2001=$C$102)*(元データ!$AO$2:$AO$2001=0)*(元データ!$AM$2:$AM$2001&gt;=15)*(元データ!$AM$2:$AM$2001&lt;=21)*(元データ!$E$2:$E$2001="30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3" s="58"/>
      <c r="AW103" s="58"/>
      <c r="AX103" s="44">
        <f ca="1">SUMPRODUCT((元データ!$AL$2:$AL$2001=1)*(元データ!$AN$2:$AN$2001=1)*(元データ!$AE$2:$AE$2001=$C$102)*(元データ!$AO$2:$AO$2001=0)*(元データ!$AM$2:$AM$2001&gt;=15)*(元データ!$AM$2:$AM$2001&lt;=21)*(元データ!$E$2:$E$2001="31 ＯＰ確認中"))</f>
        <v>0</v>
      </c>
      <c r="AY103" s="58" t="str" cm="1">
        <f t="array" aca="1" ref="AY103" ca="1">IFERROR(_xlfn.TEXTJOIN(CHAR(10),TRUE,IF((元データ!$AL$2:$AL$2001=1)*(元データ!$AN$2:$AN$2001=1)*(元データ!$AE$2:$AE$2001=$C$102)*(元データ!$AO$2:$AO$2001=0)*(元データ!$AM$2:$AM$2001&gt;=15)*(元データ!$AM$2:$AM$2001&lt;=21)*(元データ!$E$2:$E$2001="31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3" s="58"/>
      <c r="BA103" s="58"/>
      <c r="BB103" s="44">
        <f ca="1">SUMPRODUCT((元データ!$AL$2:$AL$2001=1)*(元データ!$AN$2:$AN$2001=1)*(元データ!$AE$2:$AE$2001=$C$102)*(元データ!$AO$2:$AO$2001=0)*(元データ!$AM$2:$AM$2001&gt;=15)*(元データ!$AM$2:$AM$2001&lt;=21)*(元データ!$E$2:$E$2001="32 ＳＶ確認中"))</f>
        <v>0</v>
      </c>
      <c r="BC103" s="58" t="str" cm="1">
        <f t="array" aca="1" ref="BC103" ca="1">IFERROR(_xlfn.TEXTJOIN(CHAR(10),TRUE,IF((元データ!$AL$2:$AL$2001=1)*(元データ!$AN$2:$AN$2001=1)*(元データ!$AE$2:$AE$2001=$C$102)*(元データ!$AO$2:$AO$2001=0)*(元データ!$AM$2:$AM$2001&gt;=15)*(元データ!$AM$2:$AM$2001&lt;=21)*(元データ!$E$2:$E$2001="32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3" s="58">
        <f ca="1">SUMPRODUCT((元データ!$AL$2:$AL$2001=1)*(元データ!$AN$2:$AN$2001=1)*(元データ!$AE$2:$AE$2001=$C$102)*(元データ!$AO$2:$AO$2001=0)*(元データ!$AM$2:$AM$2001&gt;=15)*(元データ!$AM$2:$AM$2001&lt;=21)*(元データ!$E$2:$E$2001="40 差戻し"))</f>
        <v>0</v>
      </c>
      <c r="BE103" s="58" t="str" cm="1">
        <f t="array" aca="1" ref="BE103" ca="1">IFERROR(_xlfn.TEXTJOIN(CHAR(10),TRUE,IF((元データ!$AL$2:$AL$2001=1)*(元データ!$AN$2:$AN$2001=1)*(元データ!$AE$2:$AE$2001=$C$102)*(元データ!$AO$2:$AO$2001=0)*(元データ!$AM$2:$AM$2001&gt;=15)*(元データ!$AM$2:$AM$2001&lt;=21)*(元データ!$E$2:$E$2001="40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3" s="45">
        <f ca="1">SUMPRODUCT((元データ!$AL$2:$AL$2001=1)*(元データ!$AN$2:$AN$2001=1)*(元データ!$AE$2:$AE$2001=$C$102)*(元データ!$AO$2:$AO$2001=0)*(元データ!$AM$2:$AM$2001&gt;=22)*(元データ!$AM$2:$AM$2001&lt;=30))</f>
        <v>0</v>
      </c>
      <c r="BG103" s="45">
        <f ca="1">SUMPRODUCT((元データ!$AL$2:$AL$2001=1)*(元データ!$AN$2:$AN$2001=1)*(元データ!$AE$2:$AE$2001=$C$102)*(元データ!$AO$2:$AO$2001=0)*(元データ!$AM$2:$AM$2001&gt;=22)*(元データ!$AM$2:$AM$2001&lt;=30)*(元データ!$E$2:$E$2001="20 確認待ち"))</f>
        <v>0</v>
      </c>
      <c r="BH103" s="59" t="str" cm="1">
        <f t="array" aca="1" ref="BH103" ca="1">IFERROR(_xlfn.TEXTJOIN(CHAR(10),TRUE,IF((元データ!$AL$2:$AL$2001=1)*(元データ!$AN$2:$AN$2001=1)*(元データ!$AE$2:$AE$2001=$C$102)*(元データ!$AO$2:$AO$2001=0)*(元データ!$AM$2:$AM$2001&gt;=22)*(元データ!$AM$2:$AM$2001&lt;=30)*(元データ!$E$2:$E$2001="20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3" s="59"/>
      <c r="BJ103" s="59"/>
      <c r="BK103" s="45">
        <f ca="1">SUMPRODUCT((元データ!$AL$2:$AL$2001=1)*(元データ!$AN$2:$AN$2001=1)*(元データ!$AE$2:$AE$2001=$C$102)*(元データ!$AO$2:$AO$2001=0)*(元データ!$AM$2:$AM$2001&gt;=22)*(元データ!$AM$2:$AM$2001&lt;=30)*(元データ!$E$2:$E$2001="30 申請受付"))</f>
        <v>0</v>
      </c>
      <c r="BL103" s="59" t="str" cm="1">
        <f t="array" aca="1" ref="BL103" ca="1">IFERROR(_xlfn.TEXTJOIN(CHAR(10),TRUE,IF((元データ!$AL$2:$AL$2001=1)*(元データ!$AN$2:$AN$2001=1)*(元データ!$AE$2:$AE$2001=$C$102)*(元データ!$AO$2:$AO$2001=0)*(元データ!$AM$2:$AM$2001&gt;=22)*(元データ!$AM$2:$AM$2001&lt;=30)*(元データ!$E$2:$E$2001="30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3" s="59"/>
      <c r="BN103" s="59"/>
      <c r="BO103" s="45">
        <f ca="1">SUMPRODUCT((元データ!$AL$2:$AL$2001=1)*(元データ!$AN$2:$AN$2001=1)*(元データ!$AE$2:$AE$2001=$C$102)*(元データ!$AO$2:$AO$2001=0)*(元データ!$AM$2:$AM$2001&gt;=22)*(元データ!$AM$2:$AM$2001&lt;=30)*(元データ!$E$2:$E$2001="31 ＯＰ確認中"))</f>
        <v>0</v>
      </c>
      <c r="BP103" s="59" t="str" cm="1">
        <f t="array" aca="1" ref="BP103" ca="1">IFERROR(_xlfn.TEXTJOIN(CHAR(10),TRUE,IF((元データ!$AL$2:$AL$2001=1)*(元データ!$AN$2:$AN$2001=1)*(元データ!$AE$2:$AE$2001=$C$102)*(元データ!$AO$2:$AO$2001=0)*(元データ!$AM$2:$AM$2001&gt;=22)*(元データ!$AM$2:$AM$2001&lt;=30)*(元データ!$E$2:$E$2001="31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3" s="59"/>
      <c r="BR103" s="59"/>
      <c r="BS103" s="45">
        <f ca="1">SUMPRODUCT((元データ!$AL$2:$AL$2001=1)*(元データ!$AN$2:$AN$2001=1)*(元データ!$AE$2:$AE$2001=$C$102)*(元データ!$AO$2:$AO$2001=0)*(元データ!$AM$2:$AM$2001&gt;=22)*(元データ!$AM$2:$AM$2001&lt;=30)*(元データ!$E$2:$E$2001="32 ＳＶ確認中"))</f>
        <v>0</v>
      </c>
      <c r="BT103" s="59" t="str" cm="1">
        <f t="array" aca="1" ref="BT103" ca="1">IFERROR(_xlfn.TEXTJOIN(CHAR(10),TRUE,IF((元データ!$AL$2:$AL$2001=1)*(元データ!$AN$2:$AN$2001=1)*(元データ!$AE$2:$AE$2001=$C$102)*(元データ!$AO$2:$AO$2001=0)*(元データ!$AM$2:$AM$2001&gt;=22)*(元データ!$AM$2:$AM$2001&lt;=30)*(元データ!$E$2:$E$2001="32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3" s="59">
        <f ca="1">SUMPRODUCT((元データ!$AL$2:$AL$2001=1)*(元データ!$AN$2:$AN$2001=1)*(元データ!$AE$2:$AE$2001=$C$102)*(元データ!$AO$2:$AO$2001=0)*(元データ!$AM$2:$AM$2001&gt;=22)*(元データ!$AM$2:$AM$2001&lt;=30)*(元データ!$E$2:$E$2001="40 差戻し"))</f>
        <v>0</v>
      </c>
      <c r="BV103" s="59" t="str" cm="1">
        <f t="array" aca="1" ref="BV103" ca="1">IFERROR(_xlfn.TEXTJOIN(CHAR(10),TRUE,IF((元データ!$AL$2:$AL$2001=1)*(元データ!$AN$2:$AN$2001=1)*(元データ!$AE$2:$AE$2001=$C$102)*(元データ!$AO$2:$AO$2001=0)*(元データ!$AM$2:$AM$2001&gt;=22)*(元データ!$AM$2:$AM$2001&lt;=30)*(元データ!$E$2:$E$2001="40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3" s="46">
        <f ca="1">SUMPRODUCT((元データ!$AL$2:$AL$2001=1)*(元データ!$AN$2:$AN$2001=1)*(元データ!$AE$2:$AE$2001=$C$102)*(元データ!$AO$2:$AO$2001=0)*(元データ!$AM$2:$AM$2001&gt;=31))</f>
        <v>0</v>
      </c>
      <c r="BX103" s="46">
        <f ca="1">SUMPRODUCT((元データ!$AL$2:$AL$2001=1)*(元データ!$AN$2:$AN$2001=1)*(元データ!$AE$2:$AE$2001=$C$102)*(元データ!$AO$2:$AO$2001=0)*(元データ!$AM$2:$AM$2001&gt;=31)*(元データ!$E$2:$E$2001="20 確認待ち"))</f>
        <v>0</v>
      </c>
      <c r="BY103" s="56" t="str" cm="1">
        <f t="array" aca="1" ref="BY103" ca="1">IFERROR(_xlfn.TEXTJOIN(CHAR(10),TRUE,IF((元データ!$AL$2:$AL$2001=1)*(元データ!$AN$2:$AN$2001=1)*(元データ!$AE$2:$AE$2001=$C$102)*(元データ!$AO$2:$AO$2001=0)*(元データ!$AM$2:$AM$2001&gt;=31)*(元データ!$E$2:$E$2001="20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03" s="56"/>
      <c r="CA103" s="56"/>
      <c r="CB103" s="46">
        <f ca="1">SUMPRODUCT((元データ!$AL$2:$AL$2001=1)*(元データ!$AN$2:$AN$2001=1)*(元データ!$AE$2:$AE$2001=$C$102)*(元データ!$AO$2:$AO$2001=0)*(元データ!$AM$2:$AM$2001&gt;=31)*(元データ!$E$2:$E$2001="30 申請受付"))</f>
        <v>0</v>
      </c>
      <c r="CC103" s="56" t="str" cm="1">
        <f t="array" aca="1" ref="CC103" ca="1">IFERROR(_xlfn.TEXTJOIN(CHAR(10),TRUE,IF((元データ!$AL$2:$AL$2001=1)*(元データ!$AN$2:$AN$2001=1)*(元データ!$AE$2:$AE$2001=$C$102)*(元データ!$AO$2:$AO$2001=0)*(元データ!$AM$2:$AM$2001&gt;=31)*(元データ!$E$2:$E$2001="30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03" s="56"/>
      <c r="CE103" s="56"/>
      <c r="CF103" s="46">
        <f ca="1">SUMPRODUCT((元データ!$AL$2:$AL$2001=1)*(元データ!$AN$2:$AN$2001=1)*(元データ!$AE$2:$AE$2001=$C$102)*(元データ!$AO$2:$AO$2001=0)*(元データ!$AM$2:$AM$2001&gt;=31)*(元データ!$E$2:$E$2001="31 ＯＰ確認中"))</f>
        <v>0</v>
      </c>
      <c r="CG103" s="56" t="str" cm="1">
        <f t="array" aca="1" ref="CG103" ca="1">IFERROR(_xlfn.TEXTJOIN(CHAR(10),TRUE,IF((元データ!$AL$2:$AL$2001=1)*(元データ!$AN$2:$AN$2001=1)*(元データ!$AE$2:$AE$2001=$C$102)*(元データ!$AO$2:$AO$2001=0)*(元データ!$AM$2:$AM$2001&gt;=31)*(元データ!$E$2:$E$2001="31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03" s="56"/>
      <c r="CI103" s="56"/>
      <c r="CJ103" s="46">
        <f ca="1">SUMPRODUCT((元データ!$AL$2:$AL$2001=1)*(元データ!$AN$2:$AN$2001=1)*(元データ!$AE$2:$AE$2001=$C$102)*(元データ!$AO$2:$AO$2001=0)*(元データ!$AM$2:$AM$2001&gt;=31)*(元データ!$E$2:$E$2001="32 ＳＶ確認中"))</f>
        <v>0</v>
      </c>
      <c r="CK103" s="56" t="str" cm="1">
        <f t="array" aca="1" ref="CK103" ca="1">IFERROR(_xlfn.TEXTJOIN(CHAR(10),TRUE,IF((元データ!$AL$2:$AL$2001=1)*(元データ!$AN$2:$AN$2001=1)*(元データ!$AE$2:$AE$2001=$C$102)*(元データ!$AO$2:$AO$2001=0)*(元データ!$AM$2:$AM$2001&gt;=31)*(元データ!$E$2:$E$2001="32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03" s="56">
        <f ca="1">SUMPRODUCT((元データ!$AL$2:$AL$2001=1)*(元データ!$AN$2:$AN$2001=1)*(元データ!$AE$2:$AE$2001=$C$102)*(元データ!$AO$2:$AO$2001=0)*(元データ!$AM$2:$AM$2001&gt;=31)*(元データ!$E$2:$E$2001="40 差戻し"))</f>
        <v>0</v>
      </c>
      <c r="CM103" s="56" t="str" cm="1">
        <f t="array" aca="1" ref="CM103" ca="1">IFERROR(_xlfn.TEXTJOIN(CHAR(10),TRUE,IF((元データ!$AL$2:$AL$2001=1)*(元データ!$AN$2:$AN$2001=1)*(元データ!$AE$2:$AE$2001=$C$102)*(元データ!$AO$2:$AO$2001=0)*(元データ!$AM$2:$AM$2001&gt;=31)*(元データ!$E$2:$E$2001="40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04" spans="2:91" ht="24.95" customHeight="1">
      <c r="B104" s="91"/>
      <c r="C104" s="63" t="s">
        <v>94</v>
      </c>
      <c r="D104" s="63"/>
      <c r="E104" s="41" t="s">
        <v>133</v>
      </c>
      <c r="F104" s="42">
        <f>SUMPRODUCT((元データ!$AL$2:$AL$2001=1)*(元データ!$AN$2:$AN$2001=1)*(元データ!$AE$2:$AE$2001=$C$104)*(元データ!$AO$2:$AO$2001=1))</f>
        <v>2</v>
      </c>
      <c r="G104" s="43">
        <f ca="1">SUMPRODUCT((元データ!$AL$2:$AL$2001=1)*(元データ!$AN$2:$AN$2001=1)*(元データ!$AE$2:$AE$2001=$C$104)*(元データ!$AO$2:$AO$2001=1)*(元データ!$AM$2:$AM$2001&lt;=7))</f>
        <v>0</v>
      </c>
      <c r="H104" s="43">
        <f ca="1">SUMPRODUCT((元データ!$AL$2:$AL$2001=1)*(元データ!$AN$2:$AN$2001=1)*(元データ!$AE$2:$AE$2001=$C$104)*(元データ!$AO$2:$AO$2001=1)*(元データ!$AM$2:$AM$2001&lt;=7)*(元データ!$E$2:$E$2001="20 確認待ち"))</f>
        <v>0</v>
      </c>
      <c r="I104" s="61" t="str" cm="1">
        <f t="array" aca="1" ref="I104" ca="1">IFERROR(_xlfn.TEXTJOIN(CHAR(10),TRUE,IF((元データ!$AL$2:$AL$2001=1)*(元データ!$AN$2:$AN$2001=1)*(元データ!$AE$2:$AE$2001=$C$104)*(元データ!$AO$2:$AO$2001=1)*(元データ!$AM$2:$AM$2001&lt;=7)*(元データ!$E$2:$E$2001="20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04" s="61"/>
      <c r="K104" s="61"/>
      <c r="L104" s="43">
        <f ca="1">SUMPRODUCT((元データ!$AL$2:$AL$2001=1)*(元データ!$AN$2:$AN$2001=1)*(元データ!$AE$2:$AE$2001=$C$104)*(元データ!$AO$2:$AO$2001=1)*(元データ!$AM$2:$AM$2001&lt;=7)*(元データ!$E$2:$E$2001="30 申請受付"))</f>
        <v>0</v>
      </c>
      <c r="M104" s="61" t="str" cm="1">
        <f t="array" aca="1" ref="M104" ca="1">IFERROR(_xlfn.TEXTJOIN(CHAR(10),TRUE,IF((元データ!$AL$2:$AL$2001=1)*(元データ!$AN$2:$AN$2001=1)*(元データ!$AE$2:$AE$2001=$C$104)*(元データ!$AO$2:$AO$2001=1)*(元データ!$AM$2:$AM$2001&lt;=7)*(元データ!$E$2:$E$2001="30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04" s="61"/>
      <c r="O104" s="61"/>
      <c r="P104" s="43">
        <f ca="1">SUMPRODUCT((元データ!$AL$2:$AL$2001=1)*(元データ!$AN$2:$AN$2001=1)*(元データ!$AE$2:$AE$2001=$C$104)*(元データ!$AO$2:$AO$2001=1)*(元データ!$AM$2:$AM$2001&lt;=7)*(元データ!$E$2:$E$2001="31 ＯＰ確認中"))</f>
        <v>0</v>
      </c>
      <c r="Q104" s="61" t="str" cm="1">
        <f t="array" aca="1" ref="Q104" ca="1">IFERROR(_xlfn.TEXTJOIN(CHAR(10),TRUE,IF((元データ!$AL$2:$AL$2001=1)*(元データ!$AN$2:$AN$2001=1)*(元データ!$AE$2:$AE$2001=$C$104)*(元データ!$AO$2:$AO$2001=1)*(元データ!$AM$2:$AM$2001&lt;=7)*(元データ!$E$2:$E$2001="31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04" s="61"/>
      <c r="S104" s="61"/>
      <c r="T104" s="43">
        <f ca="1">SUMPRODUCT((元データ!$AL$2:$AL$2001=1)*(元データ!$AN$2:$AN$2001=1)*(元データ!$AE$2:$AE$2001=$C$104)*(元データ!$AO$2:$AO$2001=1)*(元データ!$AM$2:$AM$2001&lt;=7)*(元データ!$E$2:$E$2001="32 ＳＶ確認中"))</f>
        <v>0</v>
      </c>
      <c r="U104" s="61" t="str" cm="1">
        <f t="array" aca="1" ref="U104" ca="1">IFERROR(_xlfn.TEXTJOIN(CHAR(10),TRUE,IF((元データ!$AL$2:$AL$2001=1)*(元データ!$AN$2:$AN$2001=1)*(元データ!$AE$2:$AE$2001=$C$104)*(元データ!$AO$2:$AO$2001=1)*(元データ!$AM$2:$AM$2001&lt;=7)*(元データ!$E$2:$E$2001="32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04" s="61"/>
      <c r="W104" s="61"/>
      <c r="X104" s="43">
        <f ca="1">SUMPRODUCT((元データ!$AL$2:$AL$2001=1)*(元データ!$AN$2:$AN$2001=1)*(元データ!$AE$2:$AE$2001=$C$104)*(元データ!$AO$2:$AO$2001=1)*(元データ!$AM$2:$AM$2001&gt;=8)*(元データ!$AM$2:$AM$2001&lt;=14))</f>
        <v>0</v>
      </c>
      <c r="Y104" s="43">
        <f ca="1">SUMPRODUCT((元データ!$AL$2:$AL$2001=1)*(元データ!$AN$2:$AN$2001=1)*(元データ!$AE$2:$AE$2001=$C$104)*(元データ!$AO$2:$AO$2001=1)*(元データ!$AM$2:$AM$2001&gt;=8)*(元データ!$AM$2:$AM$2001&lt;=14)*(元データ!$E$2:$E$2001="20 確認待ち"))</f>
        <v>0</v>
      </c>
      <c r="Z104" s="61" t="str" cm="1">
        <f t="array" aca="1" ref="Z104" ca="1">IFERROR(_xlfn.TEXTJOIN(CHAR(10),TRUE,IF((元データ!$AL$2:$AL$2001=1)*(元データ!$AN$2:$AN$2001=1)*(元データ!$AE$2:$AE$2001=$C$104)*(元データ!$AO$2:$AO$2001=1)*(元データ!$AM$2:$AM$2001&gt;=8)*(元データ!$AM$2:$AM$2001&lt;=14)*(元データ!$E$2:$E$2001="20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4" s="61"/>
      <c r="AB104" s="61"/>
      <c r="AC104" s="43">
        <f ca="1">SUMPRODUCT((元データ!$AL$2:$AL$2001=1)*(元データ!$AN$2:$AN$2001=1)*(元データ!$AE$2:$AE$2001=$C$104)*(元データ!$AO$2:$AO$2001=1)*(元データ!$AM$2:$AM$2001&gt;=8)*(元データ!$AM$2:$AM$2001&lt;=14)*(元データ!$E$2:$E$2001="30 申請受付"))</f>
        <v>0</v>
      </c>
      <c r="AD104" s="61" t="str" cm="1">
        <f t="array" aca="1" ref="AD104" ca="1">IFERROR(_xlfn.TEXTJOIN(CHAR(10),TRUE,IF((元データ!$AL$2:$AL$2001=1)*(元データ!$AN$2:$AN$2001=1)*(元データ!$AE$2:$AE$2001=$C$104)*(元データ!$AO$2:$AO$2001=1)*(元データ!$AM$2:$AM$2001&gt;=8)*(元データ!$AM$2:$AM$2001&lt;=14)*(元データ!$E$2:$E$2001="30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4" s="61"/>
      <c r="AF104" s="61"/>
      <c r="AG104" s="43">
        <f ca="1">SUMPRODUCT((元データ!$AL$2:$AL$2001=1)*(元データ!$AN$2:$AN$2001=1)*(元データ!$AE$2:$AE$2001=$C$104)*(元データ!$AO$2:$AO$2001=1)*(元データ!$AM$2:$AM$2001&gt;=8)*(元データ!$AM$2:$AM$2001&lt;=14)*(元データ!$E$2:$E$2001="31 ＯＰ確認中"))</f>
        <v>0</v>
      </c>
      <c r="AH104" s="61" t="str" cm="1">
        <f t="array" aca="1" ref="AH104" ca="1">IFERROR(_xlfn.TEXTJOIN(CHAR(10),TRUE,IF((元データ!$AL$2:$AL$2001=1)*(元データ!$AN$2:$AN$2001=1)*(元データ!$AE$2:$AE$2001=$C$104)*(元データ!$AO$2:$AO$2001=1)*(元データ!$AM$2:$AM$2001&gt;=8)*(元データ!$AM$2:$AM$2001&lt;=14)*(元データ!$E$2:$E$2001="31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4" s="61"/>
      <c r="AJ104" s="61"/>
      <c r="AK104" s="43">
        <f ca="1">SUMPRODUCT((元データ!$AL$2:$AL$2001=1)*(元データ!$AN$2:$AN$2001=1)*(元データ!$AE$2:$AE$2001=$C$104)*(元データ!$AO$2:$AO$2001=1)*(元データ!$AM$2:$AM$2001&gt;=8)*(元データ!$AM$2:$AM$2001&lt;=14)*(元データ!$E$2:$E$2001="32 ＳＶ確認中"))</f>
        <v>0</v>
      </c>
      <c r="AL104" s="61" t="str" cm="1">
        <f t="array" aca="1" ref="AL104" ca="1">IFERROR(_xlfn.TEXTJOIN(CHAR(10),TRUE,IF((元データ!$AL$2:$AL$2001=1)*(元データ!$AN$2:$AN$2001=1)*(元データ!$AE$2:$AE$2001=$C$104)*(元データ!$AO$2:$AO$2001=1)*(元データ!$AM$2:$AM$2001&gt;=8)*(元データ!$AM$2:$AM$2001&lt;=14)*(元データ!$E$2:$E$2001="32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4" s="61">
        <f ca="1">SUMPRODUCT((元データ!$AL$2:$AL$2001=1)*(元データ!$AN$2:$AN$2001=1)*(元データ!$AE$2:$AE$2001=$C$104)*(元データ!$AO$2:$AO$2001=1)*(元データ!$AM$2:$AM$2001&gt;=8)*(元データ!$AM$2:$AM$2001&lt;=14)*(元データ!$E$2:$E$2001="40 差戻し"))</f>
        <v>0</v>
      </c>
      <c r="AN104" s="61" t="str" cm="1">
        <f t="array" aca="1" ref="AN104" ca="1">IFERROR(_xlfn.TEXTJOIN(CHAR(10),TRUE,IF((元データ!$AL$2:$AL$2001=1)*(元データ!$AN$2:$AN$2001=1)*(元データ!$AE$2:$AE$2001=$C$104)*(元データ!$AO$2:$AO$2001=1)*(元データ!$AM$2:$AM$2001&gt;=8)*(元データ!$AM$2:$AM$2001&lt;=14)*(元データ!$E$2:$E$2001="40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4" s="44">
        <f ca="1">SUMPRODUCT((元データ!$AL$2:$AL$2001=1)*(元データ!$AN$2:$AN$2001=1)*(元データ!$AE$2:$AE$2001=$C$104)*(元データ!$AO$2:$AO$2001=1)*(元データ!$AM$2:$AM$2001&gt;=15)*(元データ!$AM$2:$AM$2001&lt;=21))</f>
        <v>0</v>
      </c>
      <c r="AP104" s="44">
        <f ca="1">SUMPRODUCT((元データ!$AL$2:$AL$2001=1)*(元データ!$AN$2:$AN$2001=1)*(元データ!$AE$2:$AE$2001=$C$104)*(元データ!$AO$2:$AO$2001=1)*(元データ!$AM$2:$AM$2001&gt;=15)*(元データ!$AM$2:$AM$2001&lt;=21)*(元データ!$E$2:$E$2001="20 確認待ち"))</f>
        <v>0</v>
      </c>
      <c r="AQ104" s="58" t="str" cm="1">
        <f t="array" aca="1" ref="AQ104" ca="1">IFERROR(_xlfn.TEXTJOIN(CHAR(10),TRUE,IF((元データ!$AL$2:$AL$2001=1)*(元データ!$AN$2:$AN$2001=1)*(元データ!$AE$2:$AE$2001=$C$104)*(元データ!$AO$2:$AO$2001=1)*(元データ!$AM$2:$AM$2001&gt;=15)*(元データ!$AM$2:$AM$2001&lt;=21)*(元データ!$E$2:$E$2001="20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4" s="58"/>
      <c r="AS104" s="58"/>
      <c r="AT104" s="44">
        <f ca="1">SUMPRODUCT((元データ!$AL$2:$AL$2001=1)*(元データ!$AN$2:$AN$2001=1)*(元データ!$AE$2:$AE$2001=$C$104)*(元データ!$AO$2:$AO$2001=1)*(元データ!$AM$2:$AM$2001&gt;=15)*(元データ!$AM$2:$AM$2001&lt;=21)*(元データ!$E$2:$E$2001="30 申請受付"))</f>
        <v>0</v>
      </c>
      <c r="AU104" s="58" t="str" cm="1">
        <f t="array" aca="1" ref="AU104" ca="1">IFERROR(_xlfn.TEXTJOIN(CHAR(10),TRUE,IF((元データ!$AL$2:$AL$2001=1)*(元データ!$AN$2:$AN$2001=1)*(元データ!$AE$2:$AE$2001=$C$104)*(元データ!$AO$2:$AO$2001=1)*(元データ!$AM$2:$AM$2001&gt;=15)*(元データ!$AM$2:$AM$2001&lt;=21)*(元データ!$E$2:$E$2001="30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4" s="58"/>
      <c r="AW104" s="58"/>
      <c r="AX104" s="44">
        <f ca="1">SUMPRODUCT((元データ!$AL$2:$AL$2001=1)*(元データ!$AN$2:$AN$2001=1)*(元データ!$AE$2:$AE$2001=$C$104)*(元データ!$AO$2:$AO$2001=1)*(元データ!$AM$2:$AM$2001&gt;=15)*(元データ!$AM$2:$AM$2001&lt;=21)*(元データ!$E$2:$E$2001="31 ＯＰ確認中"))</f>
        <v>0</v>
      </c>
      <c r="AY104" s="58" t="str" cm="1">
        <f t="array" aca="1" ref="AY104" ca="1">IFERROR(_xlfn.TEXTJOIN(CHAR(10),TRUE,IF((元データ!$AL$2:$AL$2001=1)*(元データ!$AN$2:$AN$2001=1)*(元データ!$AE$2:$AE$2001=$C$104)*(元データ!$AO$2:$AO$2001=1)*(元データ!$AM$2:$AM$2001&gt;=15)*(元データ!$AM$2:$AM$2001&lt;=21)*(元データ!$E$2:$E$2001="31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4" s="58"/>
      <c r="BA104" s="58"/>
      <c r="BB104" s="44">
        <f ca="1">SUMPRODUCT((元データ!$AL$2:$AL$2001=1)*(元データ!$AN$2:$AN$2001=1)*(元データ!$AE$2:$AE$2001=$C$104)*(元データ!$AO$2:$AO$2001=1)*(元データ!$AM$2:$AM$2001&gt;=15)*(元データ!$AM$2:$AM$2001&lt;=21)*(元データ!$E$2:$E$2001="32 ＳＶ確認中"))</f>
        <v>0</v>
      </c>
      <c r="BC104" s="58" t="str" cm="1">
        <f t="array" aca="1" ref="BC104" ca="1">IFERROR(_xlfn.TEXTJOIN(CHAR(10),TRUE,IF((元データ!$AL$2:$AL$2001=1)*(元データ!$AN$2:$AN$2001=1)*(元データ!$AE$2:$AE$2001=$C$104)*(元データ!$AO$2:$AO$2001=1)*(元データ!$AM$2:$AM$2001&gt;=15)*(元データ!$AM$2:$AM$2001&lt;=21)*(元データ!$E$2:$E$2001="32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4" s="58">
        <f ca="1">SUMPRODUCT((元データ!$AL$2:$AL$2001=1)*(元データ!$AN$2:$AN$2001=1)*(元データ!$AE$2:$AE$2001=$C$104)*(元データ!$AO$2:$AO$2001=1)*(元データ!$AM$2:$AM$2001&gt;=15)*(元データ!$AM$2:$AM$2001&lt;=21)*(元データ!$E$2:$E$2001="40 差戻し"))</f>
        <v>0</v>
      </c>
      <c r="BE104" s="58" t="str" cm="1">
        <f t="array" aca="1" ref="BE104" ca="1">IFERROR(_xlfn.TEXTJOIN(CHAR(10),TRUE,IF((元データ!$AL$2:$AL$2001=1)*(元データ!$AN$2:$AN$2001=1)*(元データ!$AE$2:$AE$2001=$C$104)*(元データ!$AO$2:$AO$2001=1)*(元データ!$AM$2:$AM$2001&gt;=15)*(元データ!$AM$2:$AM$2001&lt;=21)*(元データ!$E$2:$E$2001="40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4" s="45">
        <f ca="1">SUMPRODUCT((元データ!$AL$2:$AL$2001=1)*(元データ!$AN$2:$AN$2001=1)*(元データ!$AE$2:$AE$2001=$C$104)*(元データ!$AO$2:$AO$2001=1)*(元データ!$AM$2:$AM$2001&gt;=22)*(元データ!$AM$2:$AM$2001&lt;=30))</f>
        <v>2</v>
      </c>
      <c r="BG104" s="45">
        <f ca="1">SUMPRODUCT((元データ!$AL$2:$AL$2001=1)*(元データ!$AN$2:$AN$2001=1)*(元データ!$AE$2:$AE$2001=$C$104)*(元データ!$AO$2:$AO$2001=1)*(元データ!$AM$2:$AM$2001&gt;=22)*(元データ!$AM$2:$AM$2001&lt;=30)*(元データ!$E$2:$E$2001="20 確認待ち"))</f>
        <v>0</v>
      </c>
      <c r="BH104" s="60" t="str" cm="1">
        <f t="array" aca="1" ref="BH104" ca="1">IFERROR(_xlfn.TEXTJOIN(CHAR(10),TRUE,IF((元データ!$AL$2:$AL$2001=1)*(元データ!$AN$2:$AN$2001=1)*(元データ!$AE$2:$AE$2001=$C$104)*(元データ!$AO$2:$AO$2001=1)*(元データ!$AM$2:$AM$2001&gt;=22)*(元データ!$AM$2:$AM$2001&lt;=30)*(元データ!$E$2:$E$2001="20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4" s="60"/>
      <c r="BJ104" s="60"/>
      <c r="BK104" s="45">
        <f ca="1">SUMPRODUCT((元データ!$AL$2:$AL$2001=1)*(元データ!$AN$2:$AN$2001=1)*(元データ!$AE$2:$AE$2001=$C$104)*(元データ!$AO$2:$AO$2001=1)*(元データ!$AM$2:$AM$2001&gt;=22)*(元データ!$AM$2:$AM$2001&lt;=30)*(元データ!$E$2:$E$2001="30 申請受付"))</f>
        <v>0</v>
      </c>
      <c r="BL104" s="59" t="str" cm="1">
        <f t="array" aca="1" ref="BL104" ca="1">IFERROR(_xlfn.TEXTJOIN(CHAR(10),TRUE,IF((元データ!$AL$2:$AL$2001=1)*(元データ!$AN$2:$AN$2001=1)*(元データ!$AE$2:$AE$2001=$C$104)*(元データ!$AO$2:$AO$2001=1)*(元データ!$AM$2:$AM$2001&gt;=22)*(元データ!$AM$2:$AM$2001&lt;=30)*(元データ!$E$2:$E$2001="30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4" s="59"/>
      <c r="BN104" s="59"/>
      <c r="BO104" s="45">
        <f ca="1">SUMPRODUCT((元データ!$AL$2:$AL$2001=1)*(元データ!$AN$2:$AN$2001=1)*(元データ!$AE$2:$AE$2001=$C$104)*(元データ!$AO$2:$AO$2001=1)*(元データ!$AM$2:$AM$2001&gt;=22)*(元データ!$AM$2:$AM$2001&lt;=30)*(元データ!$E$2:$E$2001="31 ＯＰ確認中"))</f>
        <v>1</v>
      </c>
      <c r="BP104" s="59" t="str" cm="1">
        <f t="array" aca="1" ref="BP104" ca="1">IFERROR(_xlfn.TEXTJOIN(CHAR(10),TRUE,IF((元データ!$AL$2:$AL$2001=1)*(元データ!$AN$2:$AN$2001=1)*(元データ!$AE$2:$AE$2001=$C$104)*(元データ!$AO$2:$AO$2001=1)*(元データ!$AM$2:$AM$2001&gt;=22)*(元データ!$AM$2:$AM$2001&lt;=30)*(元データ!$E$2:$E$2001="31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>202660001340</v>
      </c>
      <c r="BQ104" s="59"/>
      <c r="BR104" s="59"/>
      <c r="BS104" s="45">
        <f ca="1">SUMPRODUCT((元データ!$AL$2:$AL$2001=1)*(元データ!$AN$2:$AN$2001=1)*(元データ!$AE$2:$AE$2001=$C$104)*(元データ!$AO$2:$AO$2001=1)*(元データ!$AM$2:$AM$2001&gt;=22)*(元データ!$AM$2:$AM$2001&lt;=30)*(元データ!$E$2:$E$2001="32 ＳＶ確認中"))</f>
        <v>1</v>
      </c>
      <c r="BT104" s="59" t="str" cm="1">
        <f t="array" aca="1" ref="BT104" ca="1">IFERROR(_xlfn.TEXTJOIN(CHAR(10),TRUE,IF((元データ!$AL$2:$AL$2001=1)*(元データ!$AN$2:$AN$2001=1)*(元データ!$AE$2:$AE$2001=$C$104)*(元データ!$AO$2:$AO$2001=1)*(元データ!$AM$2:$AM$2001&gt;=22)*(元データ!$AM$2:$AM$2001&lt;=30)*(元データ!$E$2:$E$2001="32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>202660001343（確認事項)</v>
      </c>
      <c r="BU104" s="59">
        <f ca="1">SUMPRODUCT((元データ!$AL$2:$AL$2001=1)*(元データ!$AN$2:$AN$2001=1)*(元データ!$AE$2:$AE$2001=$C$104)*(元データ!$AO$2:$AO$2001=1)*(元データ!$AM$2:$AM$2001&gt;=22)*(元データ!$AM$2:$AM$2001&lt;=30)*(元データ!$E$2:$E$2001="40 差戻し"))</f>
        <v>0</v>
      </c>
      <c r="BV104" s="59" t="str" cm="1">
        <f t="array" aca="1" ref="BV104" ca="1">IFERROR(_xlfn.TEXTJOIN(CHAR(10),TRUE,IF((元データ!$AL$2:$AL$2001=1)*(元データ!$AN$2:$AN$2001=1)*(元データ!$AE$2:$AE$2001=$C$104)*(元データ!$AO$2:$AO$2001=1)*(元データ!$AM$2:$AM$2001&gt;=22)*(元データ!$AM$2:$AM$2001&lt;=30)*(元データ!$E$2:$E$2001="40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4" s="46">
        <f ca="1">SUMPRODUCT((元データ!$AL$2:$AL$2001=1)*(元データ!$AN$2:$AN$2001=1)*(元データ!$AE$2:$AE$2001=$C$104)*(元データ!$AO$2:$AO$2001=1)*(元データ!$AM$2:$AM$2001&gt;=31))</f>
        <v>0</v>
      </c>
      <c r="BX104" s="46">
        <f ca="1">SUMPRODUCT((元データ!$AL$2:$AL$2001=1)*(元データ!$AN$2:$AN$2001=1)*(元データ!$AE$2:$AE$2001=$C$104)*(元データ!$AO$2:$AO$2001=1)*(元データ!$AM$2:$AM$2001&gt;=31)*(元データ!$E$2:$E$2001="20 確認待ち"))</f>
        <v>0</v>
      </c>
      <c r="BY104" s="56" t="str" cm="1">
        <f t="array" aca="1" ref="BY104" ca="1">IFERROR(_xlfn.TEXTJOIN(CHAR(10),TRUE,IF((元データ!$AL$2:$AL$2001=1)*(元データ!$AN$2:$AN$2001=1)*(元データ!$AE$2:$AE$2001=$C$104)*(元データ!$AO$2:$AO$2001=1)*(元データ!$AM$2:$AM$2001&gt;=31)*(元データ!$E$2:$E$2001="20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04" s="56"/>
      <c r="CA104" s="56"/>
      <c r="CB104" s="46">
        <f ca="1">SUMPRODUCT((元データ!$AL$2:$AL$2001=1)*(元データ!$AN$2:$AN$2001=1)*(元データ!$AE$2:$AE$2001=$C$104)*(元データ!$AO$2:$AO$2001=1)*(元データ!$AM$2:$AM$2001&gt;=31)*(元データ!$E$2:$E$2001="30 申請受付"))</f>
        <v>0</v>
      </c>
      <c r="CC104" s="56" t="str" cm="1">
        <f t="array" aca="1" ref="CC104" ca="1">IFERROR(_xlfn.TEXTJOIN(CHAR(10),TRUE,IF((元データ!$AL$2:$AL$2001=1)*(元データ!$AN$2:$AN$2001=1)*(元データ!$AE$2:$AE$2001=$C$104)*(元データ!$AO$2:$AO$2001=1)*(元データ!$AM$2:$AM$2001&gt;=31)*(元データ!$E$2:$E$2001="30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04" s="56"/>
      <c r="CE104" s="56"/>
      <c r="CF104" s="46">
        <f ca="1">SUMPRODUCT((元データ!$AL$2:$AL$2001=1)*(元データ!$AN$2:$AN$2001=1)*(元データ!$AE$2:$AE$2001=$C$104)*(元データ!$AO$2:$AO$2001=1)*(元データ!$AM$2:$AM$2001&gt;=31)*(元データ!$E$2:$E$2001="31 ＯＰ確認中"))</f>
        <v>0</v>
      </c>
      <c r="CG104" s="56" t="str" cm="1">
        <f t="array" aca="1" ref="CG104" ca="1">IFERROR(_xlfn.TEXTJOIN(CHAR(10),TRUE,IF((元データ!$AL$2:$AL$2001=1)*(元データ!$AN$2:$AN$2001=1)*(元データ!$AE$2:$AE$2001=$C$104)*(元データ!$AO$2:$AO$2001=1)*(元データ!$AM$2:$AM$2001&gt;=31)*(元データ!$E$2:$E$2001="31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104" s="56"/>
      <c r="CI104" s="56"/>
      <c r="CJ104" s="46">
        <f ca="1">SUMPRODUCT((元データ!$AL$2:$AL$2001=1)*(元データ!$AN$2:$AN$2001=1)*(元データ!$AE$2:$AE$2001=$C$104)*(元データ!$AO$2:$AO$2001=1)*(元データ!$AM$2:$AM$2001&gt;=31)*(元データ!$E$2:$E$2001="32 ＳＶ確認中"))</f>
        <v>0</v>
      </c>
      <c r="CK104" s="56" t="str" cm="1">
        <f t="array" aca="1" ref="CK104" ca="1">IFERROR(_xlfn.TEXTJOIN(CHAR(10),TRUE,IF((元データ!$AL$2:$AL$2001=1)*(元データ!$AN$2:$AN$2001=1)*(元データ!$AE$2:$AE$2001=$C$104)*(元データ!$AO$2:$AO$2001=1)*(元データ!$AM$2:$AM$2001&gt;=31)*(元データ!$E$2:$E$2001="32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104" s="56">
        <f ca="1">SUMPRODUCT((元データ!$AL$2:$AL$2001=1)*(元データ!$AN$2:$AN$2001=1)*(元データ!$AE$2:$AE$2001=$C$104)*(元データ!$AO$2:$AO$2001=1)*(元データ!$AM$2:$AM$2001&gt;=31)*(元データ!$E$2:$E$2001="40 差戻し"))</f>
        <v>0</v>
      </c>
      <c r="CM104" s="56" t="str" cm="1">
        <f t="array" aca="1" ref="CM104" ca="1">IFERROR(_xlfn.TEXTJOIN(CHAR(10),TRUE,IF((元データ!$AL$2:$AL$2001=1)*(元データ!$AN$2:$AN$2001=1)*(元データ!$AE$2:$AE$2001=$C$104)*(元データ!$AO$2:$AO$2001=1)*(元データ!$AM$2:$AM$2001&gt;=31)*(元データ!$E$2:$E$2001="40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05" spans="2:91" ht="24.95" customHeight="1">
      <c r="B105" s="92"/>
      <c r="C105" s="63"/>
      <c r="D105" s="63"/>
      <c r="E105" s="47" t="s">
        <v>134</v>
      </c>
      <c r="F105" s="48">
        <f>SUMPRODUCT((元データ!$AL$2:$AL$2001=1)*(元データ!$AN$2:$AN$2001=1)*(元データ!$AE$2:$AE$2001=$C$104)*(元データ!$AO$2:$AO$2001=0))</f>
        <v>0</v>
      </c>
      <c r="G105" s="49">
        <f ca="1">SUMPRODUCT((元データ!$AL$2:$AL$2001=1)*(元データ!$AN$2:$AN$2001=1)*(元データ!$AE$2:$AE$2001=$C$104)*(元データ!$AO$2:$AO$2001=0)*(元データ!$AM$2:$AM$2001&lt;=7))</f>
        <v>0</v>
      </c>
      <c r="H105" s="49">
        <f ca="1">SUMPRODUCT((元データ!$AL$2:$AL$2001=1)*(元データ!$AN$2:$AN$2001=1)*(元データ!$AE$2:$AE$2001=$C$104)*(元データ!$AO$2:$AO$2001=0)*(元データ!$AM$2:$AM$2001&lt;=7)*(元データ!$E$2:$E$2001="20 確認待ち"))</f>
        <v>0</v>
      </c>
      <c r="I105" s="57" t="str" cm="1">
        <f t="array" aca="1" ref="I105" ca="1">IFERROR(_xlfn.TEXTJOIN(CHAR(10),TRUE,IF((元データ!$AL$2:$AL$2001=1)*(元データ!$AN$2:$AN$2001=1)*(元データ!$AE$2:$AE$2001=$C$104)*(元データ!$AO$2:$AO$2001=0)*(元データ!$AM$2:$AM$2001&lt;=7)*(元データ!$E$2:$E$2001="20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05" s="57"/>
      <c r="K105" s="57"/>
      <c r="L105" s="49">
        <f ca="1">SUMPRODUCT((元データ!$AL$2:$AL$2001=1)*(元データ!$AN$2:$AN$2001=1)*(元データ!$AE$2:$AE$2001=$C$104)*(元データ!$AO$2:$AO$2001=0)*(元データ!$AM$2:$AM$2001&lt;=7)*(元データ!$E$2:$E$2001="30 申請受付"))</f>
        <v>0</v>
      </c>
      <c r="M105" s="57" t="str" cm="1">
        <f t="array" aca="1" ref="M105" ca="1">IFERROR(_xlfn.TEXTJOIN(CHAR(10),TRUE,IF((元データ!$AL$2:$AL$2001=1)*(元データ!$AN$2:$AN$2001=1)*(元データ!$AE$2:$AE$2001=$C$104)*(元データ!$AO$2:$AO$2001=0)*(元データ!$AM$2:$AM$2001&lt;=7)*(元データ!$E$2:$E$2001="30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05" s="57"/>
      <c r="O105" s="57"/>
      <c r="P105" s="49">
        <f ca="1">SUMPRODUCT((元データ!$AL$2:$AL$2001=1)*(元データ!$AN$2:$AN$2001=1)*(元データ!$AE$2:$AE$2001=$C$104)*(元データ!$AO$2:$AO$2001=0)*(元データ!$AM$2:$AM$2001&lt;=7)*(元データ!$E$2:$E$2001="31 ＯＰ確認中"))</f>
        <v>0</v>
      </c>
      <c r="Q105" s="57" t="str" cm="1">
        <f t="array" aca="1" ref="Q105" ca="1">IFERROR(_xlfn.TEXTJOIN(CHAR(10),TRUE,IF((元データ!$AL$2:$AL$2001=1)*(元データ!$AN$2:$AN$2001=1)*(元データ!$AE$2:$AE$2001=$C$104)*(元データ!$AO$2:$AO$2001=0)*(元データ!$AM$2:$AM$2001&lt;=7)*(元データ!$E$2:$E$2001="31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05" s="57"/>
      <c r="S105" s="57"/>
      <c r="T105" s="49">
        <f ca="1">SUMPRODUCT((元データ!$AL$2:$AL$2001=1)*(元データ!$AN$2:$AN$2001=1)*(元データ!$AE$2:$AE$2001=$C$104)*(元データ!$AO$2:$AO$2001=0)*(元データ!$AM$2:$AM$2001&lt;=7)*(元データ!$E$2:$E$2001="32 ＳＶ確認中"))</f>
        <v>0</v>
      </c>
      <c r="U105" s="57" t="str" cm="1">
        <f t="array" aca="1" ref="U105" ca="1">IFERROR(_xlfn.TEXTJOIN(CHAR(10),TRUE,IF((元データ!$AL$2:$AL$2001=1)*(元データ!$AN$2:$AN$2001=1)*(元データ!$AE$2:$AE$2001=$C$104)*(元データ!$AO$2:$AO$2001=0)*(元データ!$AM$2:$AM$2001&lt;=7)*(元データ!$E$2:$E$2001="32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05" s="57"/>
      <c r="W105" s="57"/>
      <c r="X105" s="49">
        <f ca="1">SUMPRODUCT((元データ!$AL$2:$AL$2001=1)*(元データ!$AN$2:$AN$2001=1)*(元データ!$AE$2:$AE$2001=$C$104)*(元データ!$AO$2:$AO$2001=0)*(元データ!$AM$2:$AM$2001&gt;=8)*(元データ!$AM$2:$AM$2001&lt;=14))</f>
        <v>0</v>
      </c>
      <c r="Y105" s="49">
        <f ca="1">SUMPRODUCT((元データ!$AL$2:$AL$2001=1)*(元データ!$AN$2:$AN$2001=1)*(元データ!$AE$2:$AE$2001=$C$104)*(元データ!$AO$2:$AO$2001=0)*(元データ!$AM$2:$AM$2001&gt;=8)*(元データ!$AM$2:$AM$2001&lt;=14)*(元データ!$E$2:$E$2001="20 確認待ち"))</f>
        <v>0</v>
      </c>
      <c r="Z105" s="57" t="str" cm="1">
        <f t="array" aca="1" ref="Z105" ca="1">IFERROR(_xlfn.TEXTJOIN(CHAR(10),TRUE,IF((元データ!$AL$2:$AL$2001=1)*(元データ!$AN$2:$AN$2001=1)*(元データ!$AE$2:$AE$2001=$C$104)*(元データ!$AO$2:$AO$2001=0)*(元データ!$AM$2:$AM$2001&gt;=8)*(元データ!$AM$2:$AM$2001&lt;=14)*(元データ!$E$2:$E$2001="20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5" s="57"/>
      <c r="AB105" s="57"/>
      <c r="AC105" s="49">
        <f ca="1">SUMPRODUCT((元データ!$AL$2:$AL$2001=1)*(元データ!$AN$2:$AN$2001=1)*(元データ!$AE$2:$AE$2001=$C$104)*(元データ!$AO$2:$AO$2001=0)*(元データ!$AM$2:$AM$2001&gt;=8)*(元データ!$AM$2:$AM$2001&lt;=14)*(元データ!$E$2:$E$2001="30 申請受付"))</f>
        <v>0</v>
      </c>
      <c r="AD105" s="57" t="str" cm="1">
        <f t="array" aca="1" ref="AD105" ca="1">IFERROR(_xlfn.TEXTJOIN(CHAR(10),TRUE,IF((元データ!$AL$2:$AL$2001=1)*(元データ!$AN$2:$AN$2001=1)*(元データ!$AE$2:$AE$2001=$C$104)*(元データ!$AO$2:$AO$2001=0)*(元データ!$AM$2:$AM$2001&gt;=8)*(元データ!$AM$2:$AM$2001&lt;=14)*(元データ!$E$2:$E$2001="30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5" s="57"/>
      <c r="AF105" s="57"/>
      <c r="AG105" s="49">
        <f ca="1">SUMPRODUCT((元データ!$AL$2:$AL$2001=1)*(元データ!$AN$2:$AN$2001=1)*(元データ!$AE$2:$AE$2001=$C$104)*(元データ!$AO$2:$AO$2001=0)*(元データ!$AM$2:$AM$2001&gt;=8)*(元データ!$AM$2:$AM$2001&lt;=14)*(元データ!$E$2:$E$2001="31 ＯＰ確認中"))</f>
        <v>0</v>
      </c>
      <c r="AH105" s="57" t="str" cm="1">
        <f t="array" aca="1" ref="AH105" ca="1">IFERROR(_xlfn.TEXTJOIN(CHAR(10),TRUE,IF((元データ!$AL$2:$AL$2001=1)*(元データ!$AN$2:$AN$2001=1)*(元データ!$AE$2:$AE$2001=$C$104)*(元データ!$AO$2:$AO$2001=0)*(元データ!$AM$2:$AM$2001&gt;=8)*(元データ!$AM$2:$AM$2001&lt;=14)*(元データ!$E$2:$E$2001="31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5" s="57"/>
      <c r="AJ105" s="57"/>
      <c r="AK105" s="49">
        <f ca="1">SUMPRODUCT((元データ!$AL$2:$AL$2001=1)*(元データ!$AN$2:$AN$2001=1)*(元データ!$AE$2:$AE$2001=$C$104)*(元データ!$AO$2:$AO$2001=0)*(元データ!$AM$2:$AM$2001&gt;=8)*(元データ!$AM$2:$AM$2001&lt;=14)*(元データ!$E$2:$E$2001="32 ＳＶ確認中"))</f>
        <v>0</v>
      </c>
      <c r="AL105" s="57" t="str" cm="1">
        <f t="array" aca="1" ref="AL105" ca="1">IFERROR(_xlfn.TEXTJOIN(CHAR(10),TRUE,IF((元データ!$AL$2:$AL$2001=1)*(元データ!$AN$2:$AN$2001=1)*(元データ!$AE$2:$AE$2001=$C$104)*(元データ!$AO$2:$AO$2001=0)*(元データ!$AM$2:$AM$2001&gt;=8)*(元データ!$AM$2:$AM$2001&lt;=14)*(元データ!$E$2:$E$2001="32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5" s="57">
        <f ca="1">SUMPRODUCT((元データ!$AL$2:$AL$2001=1)*(元データ!$AN$2:$AN$2001=1)*(元データ!$AE$2:$AE$2001=$C$104)*(元データ!$AO$2:$AO$2001=0)*(元データ!$AM$2:$AM$2001&gt;=8)*(元データ!$AM$2:$AM$2001&lt;=14)*(元データ!$E$2:$E$2001="40 差戻し"))</f>
        <v>0</v>
      </c>
      <c r="AN105" s="57" t="str" cm="1">
        <f t="array" aca="1" ref="AN105" ca="1">IFERROR(_xlfn.TEXTJOIN(CHAR(10),TRUE,IF((元データ!$AL$2:$AL$2001=1)*(元データ!$AN$2:$AN$2001=1)*(元データ!$AE$2:$AE$2001=$C$104)*(元データ!$AO$2:$AO$2001=0)*(元データ!$AM$2:$AM$2001&gt;=8)*(元データ!$AM$2:$AM$2001&lt;=14)*(元データ!$E$2:$E$2001="40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5" s="44">
        <f ca="1">SUMPRODUCT((元データ!$AL$2:$AL$2001=1)*(元データ!$AN$2:$AN$2001=1)*(元データ!$AE$2:$AE$2001=$C$104)*(元データ!$AO$2:$AO$2001=0)*(元データ!$AM$2:$AM$2001&gt;=15)*(元データ!$AM$2:$AM$2001&lt;=21))</f>
        <v>0</v>
      </c>
      <c r="AP105" s="44">
        <f ca="1">SUMPRODUCT((元データ!$AL$2:$AL$2001=1)*(元データ!$AN$2:$AN$2001=1)*(元データ!$AE$2:$AE$2001=$C$104)*(元データ!$AO$2:$AO$2001=0)*(元データ!$AM$2:$AM$2001&gt;=15)*(元データ!$AM$2:$AM$2001&lt;=21)*(元データ!$E$2:$E$2001="20 確認待ち"))</f>
        <v>0</v>
      </c>
      <c r="AQ105" s="58" t="str" cm="1">
        <f t="array" aca="1" ref="AQ105" ca="1">IFERROR(_xlfn.TEXTJOIN(CHAR(10),TRUE,IF((元データ!$AL$2:$AL$2001=1)*(元データ!$AN$2:$AN$2001=1)*(元データ!$AE$2:$AE$2001=$C$104)*(元データ!$AO$2:$AO$2001=0)*(元データ!$AM$2:$AM$2001&gt;=15)*(元データ!$AM$2:$AM$2001&lt;=21)*(元データ!$E$2:$E$2001="20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5" s="58"/>
      <c r="AS105" s="58"/>
      <c r="AT105" s="44">
        <f ca="1">SUMPRODUCT((元データ!$AL$2:$AL$2001=1)*(元データ!$AN$2:$AN$2001=1)*(元データ!$AE$2:$AE$2001=$C$104)*(元データ!$AO$2:$AO$2001=0)*(元データ!$AM$2:$AM$2001&gt;=15)*(元データ!$AM$2:$AM$2001&lt;=21)*(元データ!$E$2:$E$2001="30 申請受付"))</f>
        <v>0</v>
      </c>
      <c r="AU105" s="58" t="str" cm="1">
        <f t="array" aca="1" ref="AU105" ca="1">IFERROR(_xlfn.TEXTJOIN(CHAR(10),TRUE,IF((元データ!$AL$2:$AL$2001=1)*(元データ!$AN$2:$AN$2001=1)*(元データ!$AE$2:$AE$2001=$C$104)*(元データ!$AO$2:$AO$2001=0)*(元データ!$AM$2:$AM$2001&gt;=15)*(元データ!$AM$2:$AM$2001&lt;=21)*(元データ!$E$2:$E$2001="30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5" s="58"/>
      <c r="AW105" s="58"/>
      <c r="AX105" s="44">
        <f ca="1">SUMPRODUCT((元データ!$AL$2:$AL$2001=1)*(元データ!$AN$2:$AN$2001=1)*(元データ!$AE$2:$AE$2001=$C$104)*(元データ!$AO$2:$AO$2001=0)*(元データ!$AM$2:$AM$2001&gt;=15)*(元データ!$AM$2:$AM$2001&lt;=21)*(元データ!$E$2:$E$2001="31 ＯＰ確認中"))</f>
        <v>0</v>
      </c>
      <c r="AY105" s="58" t="str" cm="1">
        <f t="array" aca="1" ref="AY105" ca="1">IFERROR(_xlfn.TEXTJOIN(CHAR(10),TRUE,IF((元データ!$AL$2:$AL$2001=1)*(元データ!$AN$2:$AN$2001=1)*(元データ!$AE$2:$AE$2001=$C$104)*(元データ!$AO$2:$AO$2001=0)*(元データ!$AM$2:$AM$2001&gt;=15)*(元データ!$AM$2:$AM$2001&lt;=21)*(元データ!$E$2:$E$2001="31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5" s="58"/>
      <c r="BA105" s="58"/>
      <c r="BB105" s="44">
        <f ca="1">SUMPRODUCT((元データ!$AL$2:$AL$2001=1)*(元データ!$AN$2:$AN$2001=1)*(元データ!$AE$2:$AE$2001=$C$104)*(元データ!$AO$2:$AO$2001=0)*(元データ!$AM$2:$AM$2001&gt;=15)*(元データ!$AM$2:$AM$2001&lt;=21)*(元データ!$E$2:$E$2001="32 ＳＶ確認中"))</f>
        <v>0</v>
      </c>
      <c r="BC105" s="58" t="str" cm="1">
        <f t="array" aca="1" ref="BC105" ca="1">IFERROR(_xlfn.TEXTJOIN(CHAR(10),TRUE,IF((元データ!$AL$2:$AL$2001=1)*(元データ!$AN$2:$AN$2001=1)*(元データ!$AE$2:$AE$2001=$C$104)*(元データ!$AO$2:$AO$2001=0)*(元データ!$AM$2:$AM$2001&gt;=15)*(元データ!$AM$2:$AM$2001&lt;=21)*(元データ!$E$2:$E$2001="32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5" s="58">
        <f ca="1">SUMPRODUCT((元データ!$AL$2:$AL$2001=1)*(元データ!$AN$2:$AN$2001=1)*(元データ!$AE$2:$AE$2001=$C$104)*(元データ!$AO$2:$AO$2001=0)*(元データ!$AM$2:$AM$2001&gt;=15)*(元データ!$AM$2:$AM$2001&lt;=21)*(元データ!$E$2:$E$2001="40 差戻し"))</f>
        <v>0</v>
      </c>
      <c r="BE105" s="58" t="str" cm="1">
        <f t="array" aca="1" ref="BE105" ca="1">IFERROR(_xlfn.TEXTJOIN(CHAR(10),TRUE,IF((元データ!$AL$2:$AL$2001=1)*(元データ!$AN$2:$AN$2001=1)*(元データ!$AE$2:$AE$2001=$C$104)*(元データ!$AO$2:$AO$2001=0)*(元データ!$AM$2:$AM$2001&gt;=15)*(元データ!$AM$2:$AM$2001&lt;=21)*(元データ!$E$2:$E$2001="40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5" s="45">
        <f ca="1">SUMPRODUCT((元データ!$AL$2:$AL$2001=1)*(元データ!$AN$2:$AN$2001=1)*(元データ!$AE$2:$AE$2001=$C$104)*(元データ!$AO$2:$AO$2001=0)*(元データ!$AM$2:$AM$2001&gt;=22)*(元データ!$AM$2:$AM$2001&lt;=30))</f>
        <v>0</v>
      </c>
      <c r="BG105" s="45">
        <f ca="1">SUMPRODUCT((元データ!$AL$2:$AL$2001=1)*(元データ!$AN$2:$AN$2001=1)*(元データ!$AE$2:$AE$2001=$C$104)*(元データ!$AO$2:$AO$2001=0)*(元データ!$AM$2:$AM$2001&gt;=22)*(元データ!$AM$2:$AM$2001&lt;=30)*(元データ!$E$2:$E$2001="20 確認待ち"))</f>
        <v>0</v>
      </c>
      <c r="BH105" s="59" t="str" cm="1">
        <f t="array" aca="1" ref="BH105" ca="1">IFERROR(_xlfn.TEXTJOIN(CHAR(10),TRUE,IF((元データ!$AL$2:$AL$2001=1)*(元データ!$AN$2:$AN$2001=1)*(元データ!$AE$2:$AE$2001=$C$104)*(元データ!$AO$2:$AO$2001=0)*(元データ!$AM$2:$AM$2001&gt;=22)*(元データ!$AM$2:$AM$2001&lt;=30)*(元データ!$E$2:$E$2001="20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5" s="59"/>
      <c r="BJ105" s="59"/>
      <c r="BK105" s="45">
        <f ca="1">SUMPRODUCT((元データ!$AL$2:$AL$2001=1)*(元データ!$AN$2:$AN$2001=1)*(元データ!$AE$2:$AE$2001=$C$104)*(元データ!$AO$2:$AO$2001=0)*(元データ!$AM$2:$AM$2001&gt;=22)*(元データ!$AM$2:$AM$2001&lt;=30)*(元データ!$E$2:$E$2001="30 申請受付"))</f>
        <v>0</v>
      </c>
      <c r="BL105" s="59" t="str" cm="1">
        <f t="array" aca="1" ref="BL105" ca="1">IFERROR(_xlfn.TEXTJOIN(CHAR(10),TRUE,IF((元データ!$AL$2:$AL$2001=1)*(元データ!$AN$2:$AN$2001=1)*(元データ!$AE$2:$AE$2001=$C$104)*(元データ!$AO$2:$AO$2001=0)*(元データ!$AM$2:$AM$2001&gt;=22)*(元データ!$AM$2:$AM$2001&lt;=30)*(元データ!$E$2:$E$2001="30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5" s="59"/>
      <c r="BN105" s="59"/>
      <c r="BO105" s="45">
        <f ca="1">SUMPRODUCT((元データ!$AL$2:$AL$2001=1)*(元データ!$AN$2:$AN$2001=1)*(元データ!$AE$2:$AE$2001=$C$104)*(元データ!$AO$2:$AO$2001=0)*(元データ!$AM$2:$AM$2001&gt;=22)*(元データ!$AM$2:$AM$2001&lt;=30)*(元データ!$E$2:$E$2001="31 ＯＰ確認中"))</f>
        <v>0</v>
      </c>
      <c r="BP105" s="59" t="str" cm="1">
        <f t="array" aca="1" ref="BP105" ca="1">IFERROR(_xlfn.TEXTJOIN(CHAR(10),TRUE,IF((元データ!$AL$2:$AL$2001=1)*(元データ!$AN$2:$AN$2001=1)*(元データ!$AE$2:$AE$2001=$C$104)*(元データ!$AO$2:$AO$2001=0)*(元データ!$AM$2:$AM$2001&gt;=22)*(元データ!$AM$2:$AM$2001&lt;=30)*(元データ!$E$2:$E$2001="31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5" s="59"/>
      <c r="BR105" s="59"/>
      <c r="BS105" s="45">
        <f ca="1">SUMPRODUCT((元データ!$AL$2:$AL$2001=1)*(元データ!$AN$2:$AN$2001=1)*(元データ!$AE$2:$AE$2001=$C$104)*(元データ!$AO$2:$AO$2001=0)*(元データ!$AM$2:$AM$2001&gt;=22)*(元データ!$AM$2:$AM$2001&lt;=30)*(元データ!$E$2:$E$2001="32 ＳＶ確認中"))</f>
        <v>0</v>
      </c>
      <c r="BT105" s="59" t="str" cm="1">
        <f t="array" aca="1" ref="BT105" ca="1">IFERROR(_xlfn.TEXTJOIN(CHAR(10),TRUE,IF((元データ!$AL$2:$AL$2001=1)*(元データ!$AN$2:$AN$2001=1)*(元データ!$AE$2:$AE$2001=$C$104)*(元データ!$AO$2:$AO$2001=0)*(元データ!$AM$2:$AM$2001&gt;=22)*(元データ!$AM$2:$AM$2001&lt;=30)*(元データ!$E$2:$E$2001="32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5" s="59">
        <f ca="1">SUMPRODUCT((元データ!$AL$2:$AL$2001=1)*(元データ!$AN$2:$AN$2001=1)*(元データ!$AE$2:$AE$2001=$C$104)*(元データ!$AO$2:$AO$2001=0)*(元データ!$AM$2:$AM$2001&gt;=22)*(元データ!$AM$2:$AM$2001&lt;=30)*(元データ!$E$2:$E$2001="40 差戻し"))</f>
        <v>0</v>
      </c>
      <c r="BV105" s="59" t="str" cm="1">
        <f t="array" aca="1" ref="BV105" ca="1">IFERROR(_xlfn.TEXTJOIN(CHAR(10),TRUE,IF((元データ!$AL$2:$AL$2001=1)*(元データ!$AN$2:$AN$2001=1)*(元データ!$AE$2:$AE$2001=$C$104)*(元データ!$AO$2:$AO$2001=0)*(元データ!$AM$2:$AM$2001&gt;=22)*(元データ!$AM$2:$AM$2001&lt;=30)*(元データ!$E$2:$E$2001="40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5" s="46">
        <f ca="1">SUMPRODUCT((元データ!$AL$2:$AL$2001=1)*(元データ!$AN$2:$AN$2001=1)*(元データ!$AE$2:$AE$2001=$C$104)*(元データ!$AO$2:$AO$2001=0)*(元データ!$AM$2:$AM$2001&gt;=31))</f>
        <v>0</v>
      </c>
      <c r="BX105" s="46">
        <f ca="1">SUMPRODUCT((元データ!$AL$2:$AL$2001=1)*(元データ!$AN$2:$AN$2001=1)*(元データ!$AE$2:$AE$2001=$C$104)*(元データ!$AO$2:$AO$2001=0)*(元データ!$AM$2:$AM$2001&gt;=31)*(元データ!$E$2:$E$2001="20 確認待ち"))</f>
        <v>0</v>
      </c>
      <c r="BY105" s="56" t="str" cm="1">
        <f t="array" aca="1" ref="BY105" ca="1">IFERROR(_xlfn.TEXTJOIN(CHAR(10),TRUE,IF((元データ!$AL$2:$AL$2001=1)*(元データ!$AN$2:$AN$2001=1)*(元データ!$AE$2:$AE$2001=$C$104)*(元データ!$AO$2:$AO$2001=0)*(元データ!$AM$2:$AM$2001&gt;=31)*(元データ!$E$2:$E$2001="20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05" s="56"/>
      <c r="CA105" s="56"/>
      <c r="CB105" s="46">
        <f ca="1">SUMPRODUCT((元データ!$AL$2:$AL$2001=1)*(元データ!$AN$2:$AN$2001=1)*(元データ!$AE$2:$AE$2001=$C$104)*(元データ!$AO$2:$AO$2001=0)*(元データ!$AM$2:$AM$2001&gt;=31)*(元データ!$E$2:$E$2001="30 申請受付"))</f>
        <v>0</v>
      </c>
      <c r="CC105" s="56" t="str" cm="1">
        <f t="array" aca="1" ref="CC105" ca="1">IFERROR(_xlfn.TEXTJOIN(CHAR(10),TRUE,IF((元データ!$AL$2:$AL$2001=1)*(元データ!$AN$2:$AN$2001=1)*(元データ!$AE$2:$AE$2001=$C$104)*(元データ!$AO$2:$AO$2001=0)*(元データ!$AM$2:$AM$2001&gt;=31)*(元データ!$E$2:$E$2001="30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05" s="56"/>
      <c r="CE105" s="56"/>
      <c r="CF105" s="46">
        <f ca="1">SUMPRODUCT((元データ!$AL$2:$AL$2001=1)*(元データ!$AN$2:$AN$2001=1)*(元データ!$AE$2:$AE$2001=$C$104)*(元データ!$AO$2:$AO$2001=0)*(元データ!$AM$2:$AM$2001&gt;=31)*(元データ!$E$2:$E$2001="31 ＯＰ確認中"))</f>
        <v>0</v>
      </c>
      <c r="CG105" s="56" t="str" cm="1">
        <f t="array" aca="1" ref="CG105" ca="1">IFERROR(_xlfn.TEXTJOIN(CHAR(10),TRUE,IF((元データ!$AL$2:$AL$2001=1)*(元データ!$AN$2:$AN$2001=1)*(元データ!$AE$2:$AE$2001=$C$104)*(元データ!$AO$2:$AO$2001=0)*(元データ!$AM$2:$AM$2001&gt;=31)*(元データ!$E$2:$E$2001="31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05" s="56"/>
      <c r="CI105" s="56"/>
      <c r="CJ105" s="46">
        <f ca="1">SUMPRODUCT((元データ!$AL$2:$AL$2001=1)*(元データ!$AN$2:$AN$2001=1)*(元データ!$AE$2:$AE$2001=$C$104)*(元データ!$AO$2:$AO$2001=0)*(元データ!$AM$2:$AM$2001&gt;=31)*(元データ!$E$2:$E$2001="32 ＳＶ確認中"))</f>
        <v>0</v>
      </c>
      <c r="CK105" s="56" t="str" cm="1">
        <f t="array" aca="1" ref="CK105" ca="1">IFERROR(_xlfn.TEXTJOIN(CHAR(10),TRUE,IF((元データ!$AL$2:$AL$2001=1)*(元データ!$AN$2:$AN$2001=1)*(元データ!$AE$2:$AE$2001=$C$104)*(元データ!$AO$2:$AO$2001=0)*(元データ!$AM$2:$AM$2001&gt;=31)*(元データ!$E$2:$E$2001="32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05" s="56">
        <f ca="1">SUMPRODUCT((元データ!$AL$2:$AL$2001=1)*(元データ!$AN$2:$AN$2001=1)*(元データ!$AE$2:$AE$2001=$C$104)*(元データ!$AO$2:$AO$2001=0)*(元データ!$AM$2:$AM$2001&gt;=31)*(元データ!$E$2:$E$2001="40 差戻し"))</f>
        <v>0</v>
      </c>
      <c r="CM105" s="56" t="str" cm="1">
        <f t="array" aca="1" ref="CM105" ca="1">IFERROR(_xlfn.TEXTJOIN(CHAR(10),TRUE,IF((元データ!$AL$2:$AL$2001=1)*(元データ!$AN$2:$AN$2001=1)*(元データ!$AE$2:$AE$2001=$C$104)*(元データ!$AO$2:$AO$2001=0)*(元データ!$AM$2:$AM$2001&gt;=31)*(元データ!$E$2:$E$2001="40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06" spans="2:91" ht="24.95" customHeight="1">
      <c r="B106" s="91"/>
      <c r="C106" s="63" t="s">
        <v>88</v>
      </c>
      <c r="D106" s="63"/>
      <c r="E106" s="41" t="s">
        <v>133</v>
      </c>
      <c r="F106" s="42">
        <f>SUMPRODUCT((元データ!$AL$2:$AL$2001=1)*(元データ!$AN$2:$AN$2001=1)*(元データ!$AE$2:$AE$2001=$C$106)*(元データ!$AO$2:$AO$2001=1))</f>
        <v>1</v>
      </c>
      <c r="G106" s="43">
        <f ca="1">SUMPRODUCT((元データ!$AL$2:$AL$2001=1)*(元データ!$AN$2:$AN$2001=1)*(元データ!$AE$2:$AE$2001=$C$106)*(元データ!$AO$2:$AO$2001=1)*(元データ!$AM$2:$AM$2001&lt;=7))</f>
        <v>0</v>
      </c>
      <c r="H106" s="43">
        <f ca="1">SUMPRODUCT((元データ!$AL$2:$AL$2001=1)*(元データ!$AN$2:$AN$2001=1)*(元データ!$AE$2:$AE$2001=$C$106)*(元データ!$AO$2:$AO$2001=1)*(元データ!$AM$2:$AM$2001&lt;=7)*(元データ!$E$2:$E$2001="20 確認待ち"))</f>
        <v>0</v>
      </c>
      <c r="I106" s="61" t="str" cm="1">
        <f t="array" aca="1" ref="I106" ca="1">IFERROR(_xlfn.TEXTJOIN(CHAR(10),TRUE,IF((元データ!$AL$2:$AL$2001=1)*(元データ!$AN$2:$AN$2001=1)*(元データ!$AE$2:$AE$2001=$C$106)*(元データ!$AO$2:$AO$2001=1)*(元データ!$AM$2:$AM$2001&lt;=7)*(元データ!$E$2:$E$2001="20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06" s="61"/>
      <c r="K106" s="61"/>
      <c r="L106" s="43">
        <f ca="1">SUMPRODUCT((元データ!$AL$2:$AL$2001=1)*(元データ!$AN$2:$AN$2001=1)*(元データ!$AE$2:$AE$2001=$C$106)*(元データ!$AO$2:$AO$2001=1)*(元データ!$AM$2:$AM$2001&lt;=7)*(元データ!$E$2:$E$2001="30 申請受付"))</f>
        <v>0</v>
      </c>
      <c r="M106" s="61" t="str" cm="1">
        <f t="array" aca="1" ref="M106" ca="1">IFERROR(_xlfn.TEXTJOIN(CHAR(10),TRUE,IF((元データ!$AL$2:$AL$2001=1)*(元データ!$AN$2:$AN$2001=1)*(元データ!$AE$2:$AE$2001=$C$106)*(元データ!$AO$2:$AO$2001=1)*(元データ!$AM$2:$AM$2001&lt;=7)*(元データ!$E$2:$E$2001="30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06" s="61"/>
      <c r="O106" s="61"/>
      <c r="P106" s="43">
        <f ca="1">SUMPRODUCT((元データ!$AL$2:$AL$2001=1)*(元データ!$AN$2:$AN$2001=1)*(元データ!$AE$2:$AE$2001=$C$106)*(元データ!$AO$2:$AO$2001=1)*(元データ!$AM$2:$AM$2001&lt;=7)*(元データ!$E$2:$E$2001="31 ＯＰ確認中"))</f>
        <v>0</v>
      </c>
      <c r="Q106" s="61" t="str" cm="1">
        <f t="array" aca="1" ref="Q106" ca="1">IFERROR(_xlfn.TEXTJOIN(CHAR(10),TRUE,IF((元データ!$AL$2:$AL$2001=1)*(元データ!$AN$2:$AN$2001=1)*(元データ!$AE$2:$AE$2001=$C$106)*(元データ!$AO$2:$AO$2001=1)*(元データ!$AM$2:$AM$2001&lt;=7)*(元データ!$E$2:$E$2001="31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06" s="61"/>
      <c r="S106" s="61"/>
      <c r="T106" s="43">
        <f ca="1">SUMPRODUCT((元データ!$AL$2:$AL$2001=1)*(元データ!$AN$2:$AN$2001=1)*(元データ!$AE$2:$AE$2001=$C$106)*(元データ!$AO$2:$AO$2001=1)*(元データ!$AM$2:$AM$2001&lt;=7)*(元データ!$E$2:$E$2001="32 ＳＶ確認中"))</f>
        <v>0</v>
      </c>
      <c r="U106" s="61" t="str" cm="1">
        <f t="array" aca="1" ref="U106" ca="1">IFERROR(_xlfn.TEXTJOIN(CHAR(10),TRUE,IF((元データ!$AL$2:$AL$2001=1)*(元データ!$AN$2:$AN$2001=1)*(元データ!$AE$2:$AE$2001=$C$106)*(元データ!$AO$2:$AO$2001=1)*(元データ!$AM$2:$AM$2001&lt;=7)*(元データ!$E$2:$E$2001="32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06" s="61"/>
      <c r="W106" s="61"/>
      <c r="X106" s="43">
        <f ca="1">SUMPRODUCT((元データ!$AL$2:$AL$2001=1)*(元データ!$AN$2:$AN$2001=1)*(元データ!$AE$2:$AE$2001=$C$106)*(元データ!$AO$2:$AO$2001=1)*(元データ!$AM$2:$AM$2001&gt;=8)*(元データ!$AM$2:$AM$2001&lt;=14))</f>
        <v>0</v>
      </c>
      <c r="Y106" s="43">
        <f ca="1">SUMPRODUCT((元データ!$AL$2:$AL$2001=1)*(元データ!$AN$2:$AN$2001=1)*(元データ!$AE$2:$AE$2001=$C$106)*(元データ!$AO$2:$AO$2001=1)*(元データ!$AM$2:$AM$2001&gt;=8)*(元データ!$AM$2:$AM$2001&lt;=14)*(元データ!$E$2:$E$2001="20 確認待ち"))</f>
        <v>0</v>
      </c>
      <c r="Z106" s="61" t="str" cm="1">
        <f t="array" aca="1" ref="Z106" ca="1">IFERROR(_xlfn.TEXTJOIN(CHAR(10),TRUE,IF((元データ!$AL$2:$AL$2001=1)*(元データ!$AN$2:$AN$2001=1)*(元データ!$AE$2:$AE$2001=$C$106)*(元データ!$AO$2:$AO$2001=1)*(元データ!$AM$2:$AM$2001&gt;=8)*(元データ!$AM$2:$AM$2001&lt;=14)*(元データ!$E$2:$E$2001="20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6" s="61"/>
      <c r="AB106" s="61"/>
      <c r="AC106" s="43">
        <f ca="1">SUMPRODUCT((元データ!$AL$2:$AL$2001=1)*(元データ!$AN$2:$AN$2001=1)*(元データ!$AE$2:$AE$2001=$C$106)*(元データ!$AO$2:$AO$2001=1)*(元データ!$AM$2:$AM$2001&gt;=8)*(元データ!$AM$2:$AM$2001&lt;=14)*(元データ!$E$2:$E$2001="30 申請受付"))</f>
        <v>0</v>
      </c>
      <c r="AD106" s="61" t="str" cm="1">
        <f t="array" aca="1" ref="AD106" ca="1">IFERROR(_xlfn.TEXTJOIN(CHAR(10),TRUE,IF((元データ!$AL$2:$AL$2001=1)*(元データ!$AN$2:$AN$2001=1)*(元データ!$AE$2:$AE$2001=$C$106)*(元データ!$AO$2:$AO$2001=1)*(元データ!$AM$2:$AM$2001&gt;=8)*(元データ!$AM$2:$AM$2001&lt;=14)*(元データ!$E$2:$E$2001="30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6" s="61"/>
      <c r="AF106" s="61"/>
      <c r="AG106" s="43">
        <f ca="1">SUMPRODUCT((元データ!$AL$2:$AL$2001=1)*(元データ!$AN$2:$AN$2001=1)*(元データ!$AE$2:$AE$2001=$C$106)*(元データ!$AO$2:$AO$2001=1)*(元データ!$AM$2:$AM$2001&gt;=8)*(元データ!$AM$2:$AM$2001&lt;=14)*(元データ!$E$2:$E$2001="31 ＯＰ確認中"))</f>
        <v>0</v>
      </c>
      <c r="AH106" s="61" t="str" cm="1">
        <f t="array" aca="1" ref="AH106" ca="1">IFERROR(_xlfn.TEXTJOIN(CHAR(10),TRUE,IF((元データ!$AL$2:$AL$2001=1)*(元データ!$AN$2:$AN$2001=1)*(元データ!$AE$2:$AE$2001=$C$106)*(元データ!$AO$2:$AO$2001=1)*(元データ!$AM$2:$AM$2001&gt;=8)*(元データ!$AM$2:$AM$2001&lt;=14)*(元データ!$E$2:$E$2001="31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6" s="61"/>
      <c r="AJ106" s="61"/>
      <c r="AK106" s="43">
        <f ca="1">SUMPRODUCT((元データ!$AL$2:$AL$2001=1)*(元データ!$AN$2:$AN$2001=1)*(元データ!$AE$2:$AE$2001=$C$106)*(元データ!$AO$2:$AO$2001=1)*(元データ!$AM$2:$AM$2001&gt;=8)*(元データ!$AM$2:$AM$2001&lt;=14)*(元データ!$E$2:$E$2001="32 ＳＶ確認中"))</f>
        <v>0</v>
      </c>
      <c r="AL106" s="61" t="str" cm="1">
        <f t="array" aca="1" ref="AL106" ca="1">IFERROR(_xlfn.TEXTJOIN(CHAR(10),TRUE,IF((元データ!$AL$2:$AL$2001=1)*(元データ!$AN$2:$AN$2001=1)*(元データ!$AE$2:$AE$2001=$C$106)*(元データ!$AO$2:$AO$2001=1)*(元データ!$AM$2:$AM$2001&gt;=8)*(元データ!$AM$2:$AM$2001&lt;=14)*(元データ!$E$2:$E$2001="32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6" s="61">
        <f ca="1">SUMPRODUCT((元データ!$AL$2:$AL$2001=1)*(元データ!$AN$2:$AN$2001=1)*(元データ!$AE$2:$AE$2001=$C$106)*(元データ!$AO$2:$AO$2001=1)*(元データ!$AM$2:$AM$2001&gt;=8)*(元データ!$AM$2:$AM$2001&lt;=14)*(元データ!$E$2:$E$2001="40 差戻し"))</f>
        <v>0</v>
      </c>
      <c r="AN106" s="61" t="str" cm="1">
        <f t="array" aca="1" ref="AN106" ca="1">IFERROR(_xlfn.TEXTJOIN(CHAR(10),TRUE,IF((元データ!$AL$2:$AL$2001=1)*(元データ!$AN$2:$AN$2001=1)*(元データ!$AE$2:$AE$2001=$C$106)*(元データ!$AO$2:$AO$2001=1)*(元データ!$AM$2:$AM$2001&gt;=8)*(元データ!$AM$2:$AM$2001&lt;=14)*(元データ!$E$2:$E$2001="40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6" s="44">
        <f ca="1">SUMPRODUCT((元データ!$AL$2:$AL$2001=1)*(元データ!$AN$2:$AN$2001=1)*(元データ!$AE$2:$AE$2001=$C$106)*(元データ!$AO$2:$AO$2001=1)*(元データ!$AM$2:$AM$2001&gt;=15)*(元データ!$AM$2:$AM$2001&lt;=21))</f>
        <v>0</v>
      </c>
      <c r="AP106" s="44">
        <f ca="1">SUMPRODUCT((元データ!$AL$2:$AL$2001=1)*(元データ!$AN$2:$AN$2001=1)*(元データ!$AE$2:$AE$2001=$C$106)*(元データ!$AO$2:$AO$2001=1)*(元データ!$AM$2:$AM$2001&gt;=15)*(元データ!$AM$2:$AM$2001&lt;=21)*(元データ!$E$2:$E$2001="20 確認待ち"))</f>
        <v>0</v>
      </c>
      <c r="AQ106" s="58" t="str" cm="1">
        <f t="array" aca="1" ref="AQ106" ca="1">IFERROR(_xlfn.TEXTJOIN(CHAR(10),TRUE,IF((元データ!$AL$2:$AL$2001=1)*(元データ!$AN$2:$AN$2001=1)*(元データ!$AE$2:$AE$2001=$C$106)*(元データ!$AO$2:$AO$2001=1)*(元データ!$AM$2:$AM$2001&gt;=15)*(元データ!$AM$2:$AM$2001&lt;=21)*(元データ!$E$2:$E$2001="20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6" s="58"/>
      <c r="AS106" s="58"/>
      <c r="AT106" s="44">
        <f ca="1">SUMPRODUCT((元データ!$AL$2:$AL$2001=1)*(元データ!$AN$2:$AN$2001=1)*(元データ!$AE$2:$AE$2001=$C$106)*(元データ!$AO$2:$AO$2001=1)*(元データ!$AM$2:$AM$2001&gt;=15)*(元データ!$AM$2:$AM$2001&lt;=21)*(元データ!$E$2:$E$2001="30 申請受付"))</f>
        <v>0</v>
      </c>
      <c r="AU106" s="58" t="str" cm="1">
        <f t="array" aca="1" ref="AU106" ca="1">IFERROR(_xlfn.TEXTJOIN(CHAR(10),TRUE,IF((元データ!$AL$2:$AL$2001=1)*(元データ!$AN$2:$AN$2001=1)*(元データ!$AE$2:$AE$2001=$C$106)*(元データ!$AO$2:$AO$2001=1)*(元データ!$AM$2:$AM$2001&gt;=15)*(元データ!$AM$2:$AM$2001&lt;=21)*(元データ!$E$2:$E$2001="30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6" s="58"/>
      <c r="AW106" s="58"/>
      <c r="AX106" s="44">
        <f ca="1">SUMPRODUCT((元データ!$AL$2:$AL$2001=1)*(元データ!$AN$2:$AN$2001=1)*(元データ!$AE$2:$AE$2001=$C$106)*(元データ!$AO$2:$AO$2001=1)*(元データ!$AM$2:$AM$2001&gt;=15)*(元データ!$AM$2:$AM$2001&lt;=21)*(元データ!$E$2:$E$2001="31 ＯＰ確認中"))</f>
        <v>0</v>
      </c>
      <c r="AY106" s="58" t="str" cm="1">
        <f t="array" aca="1" ref="AY106" ca="1">IFERROR(_xlfn.TEXTJOIN(CHAR(10),TRUE,IF((元データ!$AL$2:$AL$2001=1)*(元データ!$AN$2:$AN$2001=1)*(元データ!$AE$2:$AE$2001=$C$106)*(元データ!$AO$2:$AO$2001=1)*(元データ!$AM$2:$AM$2001&gt;=15)*(元データ!$AM$2:$AM$2001&lt;=21)*(元データ!$E$2:$E$2001="31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6" s="58"/>
      <c r="BA106" s="58"/>
      <c r="BB106" s="44">
        <f ca="1">SUMPRODUCT((元データ!$AL$2:$AL$2001=1)*(元データ!$AN$2:$AN$2001=1)*(元データ!$AE$2:$AE$2001=$C$106)*(元データ!$AO$2:$AO$2001=1)*(元データ!$AM$2:$AM$2001&gt;=15)*(元データ!$AM$2:$AM$2001&lt;=21)*(元データ!$E$2:$E$2001="32 ＳＶ確認中"))</f>
        <v>0</v>
      </c>
      <c r="BC106" s="58" t="str" cm="1">
        <f t="array" aca="1" ref="BC106" ca="1">IFERROR(_xlfn.TEXTJOIN(CHAR(10),TRUE,IF((元データ!$AL$2:$AL$2001=1)*(元データ!$AN$2:$AN$2001=1)*(元データ!$AE$2:$AE$2001=$C$106)*(元データ!$AO$2:$AO$2001=1)*(元データ!$AM$2:$AM$2001&gt;=15)*(元データ!$AM$2:$AM$2001&lt;=21)*(元データ!$E$2:$E$2001="32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6" s="58">
        <f ca="1">SUMPRODUCT((元データ!$AL$2:$AL$2001=1)*(元データ!$AN$2:$AN$2001=1)*(元データ!$AE$2:$AE$2001=$C$106)*(元データ!$AO$2:$AO$2001=1)*(元データ!$AM$2:$AM$2001&gt;=15)*(元データ!$AM$2:$AM$2001&lt;=21)*(元データ!$E$2:$E$2001="40 差戻し"))</f>
        <v>0</v>
      </c>
      <c r="BE106" s="58" t="str" cm="1">
        <f t="array" aca="1" ref="BE106" ca="1">IFERROR(_xlfn.TEXTJOIN(CHAR(10),TRUE,IF((元データ!$AL$2:$AL$2001=1)*(元データ!$AN$2:$AN$2001=1)*(元データ!$AE$2:$AE$2001=$C$106)*(元データ!$AO$2:$AO$2001=1)*(元データ!$AM$2:$AM$2001&gt;=15)*(元データ!$AM$2:$AM$2001&lt;=21)*(元データ!$E$2:$E$2001="40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6" s="45">
        <f ca="1">SUMPRODUCT((元データ!$AL$2:$AL$2001=1)*(元データ!$AN$2:$AN$2001=1)*(元データ!$AE$2:$AE$2001=$C$106)*(元データ!$AO$2:$AO$2001=1)*(元データ!$AM$2:$AM$2001&gt;=22)*(元データ!$AM$2:$AM$2001&lt;=30))</f>
        <v>0</v>
      </c>
      <c r="BG106" s="45">
        <f ca="1">SUMPRODUCT((元データ!$AL$2:$AL$2001=1)*(元データ!$AN$2:$AN$2001=1)*(元データ!$AE$2:$AE$2001=$C$106)*(元データ!$AO$2:$AO$2001=1)*(元データ!$AM$2:$AM$2001&gt;=22)*(元データ!$AM$2:$AM$2001&lt;=30)*(元データ!$E$2:$E$2001="20 確認待ち"))</f>
        <v>0</v>
      </c>
      <c r="BH106" s="60" t="str" cm="1">
        <f t="array" aca="1" ref="BH106" ca="1">IFERROR(_xlfn.TEXTJOIN(CHAR(10),TRUE,IF((元データ!$AL$2:$AL$2001=1)*(元データ!$AN$2:$AN$2001=1)*(元データ!$AE$2:$AE$2001=$C$106)*(元データ!$AO$2:$AO$2001=1)*(元データ!$AM$2:$AM$2001&gt;=22)*(元データ!$AM$2:$AM$2001&lt;=30)*(元データ!$E$2:$E$2001="20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6" s="60"/>
      <c r="BJ106" s="60"/>
      <c r="BK106" s="45">
        <f ca="1">SUMPRODUCT((元データ!$AL$2:$AL$2001=1)*(元データ!$AN$2:$AN$2001=1)*(元データ!$AE$2:$AE$2001=$C$106)*(元データ!$AO$2:$AO$2001=1)*(元データ!$AM$2:$AM$2001&gt;=22)*(元データ!$AM$2:$AM$2001&lt;=30)*(元データ!$E$2:$E$2001="30 申請受付"))</f>
        <v>0</v>
      </c>
      <c r="BL106" s="59" t="str" cm="1">
        <f t="array" aca="1" ref="BL106" ca="1">IFERROR(_xlfn.TEXTJOIN(CHAR(10),TRUE,IF((元データ!$AL$2:$AL$2001=1)*(元データ!$AN$2:$AN$2001=1)*(元データ!$AE$2:$AE$2001=$C$106)*(元データ!$AO$2:$AO$2001=1)*(元データ!$AM$2:$AM$2001&gt;=22)*(元データ!$AM$2:$AM$2001&lt;=30)*(元データ!$E$2:$E$2001="30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6" s="59"/>
      <c r="BN106" s="59"/>
      <c r="BO106" s="45">
        <f ca="1">SUMPRODUCT((元データ!$AL$2:$AL$2001=1)*(元データ!$AN$2:$AN$2001=1)*(元データ!$AE$2:$AE$2001=$C$106)*(元データ!$AO$2:$AO$2001=1)*(元データ!$AM$2:$AM$2001&gt;=22)*(元データ!$AM$2:$AM$2001&lt;=30)*(元データ!$E$2:$E$2001="31 ＯＰ確認中"))</f>
        <v>0</v>
      </c>
      <c r="BP106" s="59" t="str" cm="1">
        <f t="array" aca="1" ref="BP106" ca="1">IFERROR(_xlfn.TEXTJOIN(CHAR(10),TRUE,IF((元データ!$AL$2:$AL$2001=1)*(元データ!$AN$2:$AN$2001=1)*(元データ!$AE$2:$AE$2001=$C$106)*(元データ!$AO$2:$AO$2001=1)*(元データ!$AM$2:$AM$2001&gt;=22)*(元データ!$AM$2:$AM$2001&lt;=30)*(元データ!$E$2:$E$2001="31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6" s="59"/>
      <c r="BR106" s="59"/>
      <c r="BS106" s="45">
        <f ca="1">SUMPRODUCT((元データ!$AL$2:$AL$2001=1)*(元データ!$AN$2:$AN$2001=1)*(元データ!$AE$2:$AE$2001=$C$106)*(元データ!$AO$2:$AO$2001=1)*(元データ!$AM$2:$AM$2001&gt;=22)*(元データ!$AM$2:$AM$2001&lt;=30)*(元データ!$E$2:$E$2001="32 ＳＶ確認中"))</f>
        <v>0</v>
      </c>
      <c r="BT106" s="59" t="str" cm="1">
        <f t="array" aca="1" ref="BT106" ca="1">IFERROR(_xlfn.TEXTJOIN(CHAR(10),TRUE,IF((元データ!$AL$2:$AL$2001=1)*(元データ!$AN$2:$AN$2001=1)*(元データ!$AE$2:$AE$2001=$C$106)*(元データ!$AO$2:$AO$2001=1)*(元データ!$AM$2:$AM$2001&gt;=22)*(元データ!$AM$2:$AM$2001&lt;=30)*(元データ!$E$2:$E$2001="32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6" s="59">
        <f ca="1">SUMPRODUCT((元データ!$AL$2:$AL$2001=1)*(元データ!$AN$2:$AN$2001=1)*(元データ!$AE$2:$AE$2001=$C$106)*(元データ!$AO$2:$AO$2001=1)*(元データ!$AM$2:$AM$2001&gt;=22)*(元データ!$AM$2:$AM$2001&lt;=30)*(元データ!$E$2:$E$2001="40 差戻し"))</f>
        <v>0</v>
      </c>
      <c r="BV106" s="59" t="str" cm="1">
        <f t="array" aca="1" ref="BV106" ca="1">IFERROR(_xlfn.TEXTJOIN(CHAR(10),TRUE,IF((元データ!$AL$2:$AL$2001=1)*(元データ!$AN$2:$AN$2001=1)*(元データ!$AE$2:$AE$2001=$C$106)*(元データ!$AO$2:$AO$2001=1)*(元データ!$AM$2:$AM$2001&gt;=22)*(元データ!$AM$2:$AM$2001&lt;=30)*(元データ!$E$2:$E$2001="40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6" s="46">
        <f ca="1">SUMPRODUCT((元データ!$AL$2:$AL$2001=1)*(元データ!$AN$2:$AN$2001=1)*(元データ!$AE$2:$AE$2001=$C$106)*(元データ!$AO$2:$AO$2001=1)*(元データ!$AM$2:$AM$2001&gt;=31))</f>
        <v>1</v>
      </c>
      <c r="BX106" s="46">
        <f ca="1">SUMPRODUCT((元データ!$AL$2:$AL$2001=1)*(元データ!$AN$2:$AN$2001=1)*(元データ!$AE$2:$AE$2001=$C$106)*(元データ!$AO$2:$AO$2001=1)*(元データ!$AM$2:$AM$2001&gt;=31)*(元データ!$E$2:$E$2001="20 確認待ち"))</f>
        <v>0</v>
      </c>
      <c r="BY106" s="56" t="str" cm="1">
        <f t="array" aca="1" ref="BY106" ca="1">IFERROR(_xlfn.TEXTJOIN(CHAR(10),TRUE,IF((元データ!$AL$2:$AL$2001=1)*(元データ!$AN$2:$AN$2001=1)*(元データ!$AE$2:$AE$2001=$C$106)*(元データ!$AO$2:$AO$2001=1)*(元データ!$AM$2:$AM$2001&gt;=31)*(元データ!$E$2:$E$2001="20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06" s="56"/>
      <c r="CA106" s="56"/>
      <c r="CB106" s="46">
        <f ca="1">SUMPRODUCT((元データ!$AL$2:$AL$2001=1)*(元データ!$AN$2:$AN$2001=1)*(元データ!$AE$2:$AE$2001=$C$106)*(元データ!$AO$2:$AO$2001=1)*(元データ!$AM$2:$AM$2001&gt;=31)*(元データ!$E$2:$E$2001="30 申請受付"))</f>
        <v>0</v>
      </c>
      <c r="CC106" s="56" t="str" cm="1">
        <f t="array" aca="1" ref="CC106" ca="1">IFERROR(_xlfn.TEXTJOIN(CHAR(10),TRUE,IF((元データ!$AL$2:$AL$2001=1)*(元データ!$AN$2:$AN$2001=1)*(元データ!$AE$2:$AE$2001=$C$106)*(元データ!$AO$2:$AO$2001=1)*(元データ!$AM$2:$AM$2001&gt;=31)*(元データ!$E$2:$E$2001="30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06" s="56"/>
      <c r="CE106" s="56"/>
      <c r="CF106" s="46">
        <f ca="1">SUMPRODUCT((元データ!$AL$2:$AL$2001=1)*(元データ!$AN$2:$AN$2001=1)*(元データ!$AE$2:$AE$2001=$C$106)*(元データ!$AO$2:$AO$2001=1)*(元データ!$AM$2:$AM$2001&gt;=31)*(元データ!$E$2:$E$2001="31 ＯＰ確認中"))</f>
        <v>0</v>
      </c>
      <c r="CG106" s="56" t="str" cm="1">
        <f t="array" aca="1" ref="CG106" ca="1">IFERROR(_xlfn.TEXTJOIN(CHAR(10),TRUE,IF((元データ!$AL$2:$AL$2001=1)*(元データ!$AN$2:$AN$2001=1)*(元データ!$AE$2:$AE$2001=$C$106)*(元データ!$AO$2:$AO$2001=1)*(元データ!$AM$2:$AM$2001&gt;=31)*(元データ!$E$2:$E$2001="31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106" s="56"/>
      <c r="CI106" s="56"/>
      <c r="CJ106" s="46">
        <f ca="1">SUMPRODUCT((元データ!$AL$2:$AL$2001=1)*(元データ!$AN$2:$AN$2001=1)*(元データ!$AE$2:$AE$2001=$C$106)*(元データ!$AO$2:$AO$2001=1)*(元データ!$AM$2:$AM$2001&gt;=31)*(元データ!$E$2:$E$2001="32 ＳＶ確認中"))</f>
        <v>1</v>
      </c>
      <c r="CK106" s="56" t="str" cm="1">
        <f t="array" aca="1" ref="CK106" ca="1">IFERROR(_xlfn.TEXTJOIN(CHAR(10),TRUE,IF((元データ!$AL$2:$AL$2001=1)*(元データ!$AN$2:$AN$2001=1)*(元データ!$AE$2:$AE$2001=$C$106)*(元データ!$AO$2:$AO$2001=1)*(元データ!$AM$2:$AM$2001&gt;=31)*(元データ!$E$2:$E$2001="32 ＳＶ確認中"),元データ!$A$2:$A$2001&amp;IF(元データ!$AP$2:$AP$2001&lt;&gt;"","（"&amp;MID(元データ!$AP$2:$AP$2001,2,100)&amp;")",""),"")),"")</f>
        <v>202660001070（添待ち・SV)</v>
      </c>
      <c r="CL106" s="56">
        <f ca="1">SUMPRODUCT((元データ!$AL$2:$AL$2001=1)*(元データ!$AN$2:$AN$2001=1)*(元データ!$AE$2:$AE$2001=$C$106)*(元データ!$AO$2:$AO$2001=1)*(元データ!$AM$2:$AM$2001&gt;=31)*(元データ!$E$2:$E$2001="40 差戻し"))</f>
        <v>0</v>
      </c>
      <c r="CM106" s="56" t="str" cm="1">
        <f t="array" aca="1" ref="CM106" ca="1">IFERROR(_xlfn.TEXTJOIN(CHAR(10),TRUE,IF((元データ!$AL$2:$AL$2001=1)*(元データ!$AN$2:$AN$2001=1)*(元データ!$AE$2:$AE$2001=$C$106)*(元データ!$AO$2:$AO$2001=1)*(元データ!$AM$2:$AM$2001&gt;=31)*(元データ!$E$2:$E$2001="40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07" spans="2:91" ht="24.95" customHeight="1">
      <c r="B107" s="92"/>
      <c r="C107" s="63"/>
      <c r="D107" s="63"/>
      <c r="E107" s="47" t="s">
        <v>134</v>
      </c>
      <c r="F107" s="48">
        <f>SUMPRODUCT((元データ!$AL$2:$AL$2001=1)*(元データ!$AN$2:$AN$2001=1)*(元データ!$AE$2:$AE$2001=$C$106)*(元データ!$AO$2:$AO$2001=0))</f>
        <v>0</v>
      </c>
      <c r="G107" s="49">
        <f ca="1">SUMPRODUCT((元データ!$AL$2:$AL$2001=1)*(元データ!$AN$2:$AN$2001=1)*(元データ!$AE$2:$AE$2001=$C$106)*(元データ!$AO$2:$AO$2001=0)*(元データ!$AM$2:$AM$2001&lt;=7))</f>
        <v>0</v>
      </c>
      <c r="H107" s="49">
        <f ca="1">SUMPRODUCT((元データ!$AL$2:$AL$2001=1)*(元データ!$AN$2:$AN$2001=1)*(元データ!$AE$2:$AE$2001=$C$106)*(元データ!$AO$2:$AO$2001=0)*(元データ!$AM$2:$AM$2001&lt;=7)*(元データ!$E$2:$E$2001="20 確認待ち"))</f>
        <v>0</v>
      </c>
      <c r="I107" s="57" t="str" cm="1">
        <f t="array" aca="1" ref="I107" ca="1">IFERROR(_xlfn.TEXTJOIN(CHAR(10),TRUE,IF((元データ!$AL$2:$AL$2001=1)*(元データ!$AN$2:$AN$2001=1)*(元データ!$AE$2:$AE$2001=$C$106)*(元データ!$AO$2:$AO$2001=0)*(元データ!$AM$2:$AM$2001&lt;=7)*(元データ!$E$2:$E$2001="20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07" s="57"/>
      <c r="K107" s="57"/>
      <c r="L107" s="49">
        <f ca="1">SUMPRODUCT((元データ!$AL$2:$AL$2001=1)*(元データ!$AN$2:$AN$2001=1)*(元データ!$AE$2:$AE$2001=$C$106)*(元データ!$AO$2:$AO$2001=0)*(元データ!$AM$2:$AM$2001&lt;=7)*(元データ!$E$2:$E$2001="30 申請受付"))</f>
        <v>0</v>
      </c>
      <c r="M107" s="57" t="str" cm="1">
        <f t="array" aca="1" ref="M107" ca="1">IFERROR(_xlfn.TEXTJOIN(CHAR(10),TRUE,IF((元データ!$AL$2:$AL$2001=1)*(元データ!$AN$2:$AN$2001=1)*(元データ!$AE$2:$AE$2001=$C$106)*(元データ!$AO$2:$AO$2001=0)*(元データ!$AM$2:$AM$2001&lt;=7)*(元データ!$E$2:$E$2001="30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07" s="57"/>
      <c r="O107" s="57"/>
      <c r="P107" s="49">
        <f ca="1">SUMPRODUCT((元データ!$AL$2:$AL$2001=1)*(元データ!$AN$2:$AN$2001=1)*(元データ!$AE$2:$AE$2001=$C$106)*(元データ!$AO$2:$AO$2001=0)*(元データ!$AM$2:$AM$2001&lt;=7)*(元データ!$E$2:$E$2001="31 ＯＰ確認中"))</f>
        <v>0</v>
      </c>
      <c r="Q107" s="57" t="str" cm="1">
        <f t="array" aca="1" ref="Q107" ca="1">IFERROR(_xlfn.TEXTJOIN(CHAR(10),TRUE,IF((元データ!$AL$2:$AL$2001=1)*(元データ!$AN$2:$AN$2001=1)*(元データ!$AE$2:$AE$2001=$C$106)*(元データ!$AO$2:$AO$2001=0)*(元データ!$AM$2:$AM$2001&lt;=7)*(元データ!$E$2:$E$2001="31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07" s="57"/>
      <c r="S107" s="57"/>
      <c r="T107" s="49">
        <f ca="1">SUMPRODUCT((元データ!$AL$2:$AL$2001=1)*(元データ!$AN$2:$AN$2001=1)*(元データ!$AE$2:$AE$2001=$C$106)*(元データ!$AO$2:$AO$2001=0)*(元データ!$AM$2:$AM$2001&lt;=7)*(元データ!$E$2:$E$2001="32 ＳＶ確認中"))</f>
        <v>0</v>
      </c>
      <c r="U107" s="57" t="str" cm="1">
        <f t="array" aca="1" ref="U107" ca="1">IFERROR(_xlfn.TEXTJOIN(CHAR(10),TRUE,IF((元データ!$AL$2:$AL$2001=1)*(元データ!$AN$2:$AN$2001=1)*(元データ!$AE$2:$AE$2001=$C$106)*(元データ!$AO$2:$AO$2001=0)*(元データ!$AM$2:$AM$2001&lt;=7)*(元データ!$E$2:$E$2001="32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07" s="57"/>
      <c r="W107" s="57"/>
      <c r="X107" s="49">
        <f ca="1">SUMPRODUCT((元データ!$AL$2:$AL$2001=1)*(元データ!$AN$2:$AN$2001=1)*(元データ!$AE$2:$AE$2001=$C$106)*(元データ!$AO$2:$AO$2001=0)*(元データ!$AM$2:$AM$2001&gt;=8)*(元データ!$AM$2:$AM$2001&lt;=14))</f>
        <v>0</v>
      </c>
      <c r="Y107" s="49">
        <f ca="1">SUMPRODUCT((元データ!$AL$2:$AL$2001=1)*(元データ!$AN$2:$AN$2001=1)*(元データ!$AE$2:$AE$2001=$C$106)*(元データ!$AO$2:$AO$2001=0)*(元データ!$AM$2:$AM$2001&gt;=8)*(元データ!$AM$2:$AM$2001&lt;=14)*(元データ!$E$2:$E$2001="20 確認待ち"))</f>
        <v>0</v>
      </c>
      <c r="Z107" s="57" t="str" cm="1">
        <f t="array" aca="1" ref="Z107" ca="1">IFERROR(_xlfn.TEXTJOIN(CHAR(10),TRUE,IF((元データ!$AL$2:$AL$2001=1)*(元データ!$AN$2:$AN$2001=1)*(元データ!$AE$2:$AE$2001=$C$106)*(元データ!$AO$2:$AO$2001=0)*(元データ!$AM$2:$AM$2001&gt;=8)*(元データ!$AM$2:$AM$2001&lt;=14)*(元データ!$E$2:$E$2001="20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7" s="57"/>
      <c r="AB107" s="57"/>
      <c r="AC107" s="49">
        <f ca="1">SUMPRODUCT((元データ!$AL$2:$AL$2001=1)*(元データ!$AN$2:$AN$2001=1)*(元データ!$AE$2:$AE$2001=$C$106)*(元データ!$AO$2:$AO$2001=0)*(元データ!$AM$2:$AM$2001&gt;=8)*(元データ!$AM$2:$AM$2001&lt;=14)*(元データ!$E$2:$E$2001="30 申請受付"))</f>
        <v>0</v>
      </c>
      <c r="AD107" s="57" t="str" cm="1">
        <f t="array" aca="1" ref="AD107" ca="1">IFERROR(_xlfn.TEXTJOIN(CHAR(10),TRUE,IF((元データ!$AL$2:$AL$2001=1)*(元データ!$AN$2:$AN$2001=1)*(元データ!$AE$2:$AE$2001=$C$106)*(元データ!$AO$2:$AO$2001=0)*(元データ!$AM$2:$AM$2001&gt;=8)*(元データ!$AM$2:$AM$2001&lt;=14)*(元データ!$E$2:$E$2001="30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7" s="57"/>
      <c r="AF107" s="57"/>
      <c r="AG107" s="49">
        <f ca="1">SUMPRODUCT((元データ!$AL$2:$AL$2001=1)*(元データ!$AN$2:$AN$2001=1)*(元データ!$AE$2:$AE$2001=$C$106)*(元データ!$AO$2:$AO$2001=0)*(元データ!$AM$2:$AM$2001&gt;=8)*(元データ!$AM$2:$AM$2001&lt;=14)*(元データ!$E$2:$E$2001="31 ＯＰ確認中"))</f>
        <v>0</v>
      </c>
      <c r="AH107" s="57" t="str" cm="1">
        <f t="array" aca="1" ref="AH107" ca="1">IFERROR(_xlfn.TEXTJOIN(CHAR(10),TRUE,IF((元データ!$AL$2:$AL$2001=1)*(元データ!$AN$2:$AN$2001=1)*(元データ!$AE$2:$AE$2001=$C$106)*(元データ!$AO$2:$AO$2001=0)*(元データ!$AM$2:$AM$2001&gt;=8)*(元データ!$AM$2:$AM$2001&lt;=14)*(元データ!$E$2:$E$2001="31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7" s="57"/>
      <c r="AJ107" s="57"/>
      <c r="AK107" s="49">
        <f ca="1">SUMPRODUCT((元データ!$AL$2:$AL$2001=1)*(元データ!$AN$2:$AN$2001=1)*(元データ!$AE$2:$AE$2001=$C$106)*(元データ!$AO$2:$AO$2001=0)*(元データ!$AM$2:$AM$2001&gt;=8)*(元データ!$AM$2:$AM$2001&lt;=14)*(元データ!$E$2:$E$2001="32 ＳＶ確認中"))</f>
        <v>0</v>
      </c>
      <c r="AL107" s="57" t="str" cm="1">
        <f t="array" aca="1" ref="AL107" ca="1">IFERROR(_xlfn.TEXTJOIN(CHAR(10),TRUE,IF((元データ!$AL$2:$AL$2001=1)*(元データ!$AN$2:$AN$2001=1)*(元データ!$AE$2:$AE$2001=$C$106)*(元データ!$AO$2:$AO$2001=0)*(元データ!$AM$2:$AM$2001&gt;=8)*(元データ!$AM$2:$AM$2001&lt;=14)*(元データ!$E$2:$E$2001="32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7" s="57">
        <f ca="1">SUMPRODUCT((元データ!$AL$2:$AL$2001=1)*(元データ!$AN$2:$AN$2001=1)*(元データ!$AE$2:$AE$2001=$C$106)*(元データ!$AO$2:$AO$2001=0)*(元データ!$AM$2:$AM$2001&gt;=8)*(元データ!$AM$2:$AM$2001&lt;=14)*(元データ!$E$2:$E$2001="40 差戻し"))</f>
        <v>0</v>
      </c>
      <c r="AN107" s="57" t="str" cm="1">
        <f t="array" aca="1" ref="AN107" ca="1">IFERROR(_xlfn.TEXTJOIN(CHAR(10),TRUE,IF((元データ!$AL$2:$AL$2001=1)*(元データ!$AN$2:$AN$2001=1)*(元データ!$AE$2:$AE$2001=$C$106)*(元データ!$AO$2:$AO$2001=0)*(元データ!$AM$2:$AM$2001&gt;=8)*(元データ!$AM$2:$AM$2001&lt;=14)*(元データ!$E$2:$E$2001="40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7" s="44">
        <f ca="1">SUMPRODUCT((元データ!$AL$2:$AL$2001=1)*(元データ!$AN$2:$AN$2001=1)*(元データ!$AE$2:$AE$2001=$C$106)*(元データ!$AO$2:$AO$2001=0)*(元データ!$AM$2:$AM$2001&gt;=15)*(元データ!$AM$2:$AM$2001&lt;=21))</f>
        <v>0</v>
      </c>
      <c r="AP107" s="44">
        <f ca="1">SUMPRODUCT((元データ!$AL$2:$AL$2001=1)*(元データ!$AN$2:$AN$2001=1)*(元データ!$AE$2:$AE$2001=$C$106)*(元データ!$AO$2:$AO$2001=0)*(元データ!$AM$2:$AM$2001&gt;=15)*(元データ!$AM$2:$AM$2001&lt;=21)*(元データ!$E$2:$E$2001="20 確認待ち"))</f>
        <v>0</v>
      </c>
      <c r="AQ107" s="58" t="str" cm="1">
        <f t="array" aca="1" ref="AQ107" ca="1">IFERROR(_xlfn.TEXTJOIN(CHAR(10),TRUE,IF((元データ!$AL$2:$AL$2001=1)*(元データ!$AN$2:$AN$2001=1)*(元データ!$AE$2:$AE$2001=$C$106)*(元データ!$AO$2:$AO$2001=0)*(元データ!$AM$2:$AM$2001&gt;=15)*(元データ!$AM$2:$AM$2001&lt;=21)*(元データ!$E$2:$E$2001="20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7" s="58"/>
      <c r="AS107" s="58"/>
      <c r="AT107" s="44">
        <f ca="1">SUMPRODUCT((元データ!$AL$2:$AL$2001=1)*(元データ!$AN$2:$AN$2001=1)*(元データ!$AE$2:$AE$2001=$C$106)*(元データ!$AO$2:$AO$2001=0)*(元データ!$AM$2:$AM$2001&gt;=15)*(元データ!$AM$2:$AM$2001&lt;=21)*(元データ!$E$2:$E$2001="30 申請受付"))</f>
        <v>0</v>
      </c>
      <c r="AU107" s="58" t="str" cm="1">
        <f t="array" aca="1" ref="AU107" ca="1">IFERROR(_xlfn.TEXTJOIN(CHAR(10),TRUE,IF((元データ!$AL$2:$AL$2001=1)*(元データ!$AN$2:$AN$2001=1)*(元データ!$AE$2:$AE$2001=$C$106)*(元データ!$AO$2:$AO$2001=0)*(元データ!$AM$2:$AM$2001&gt;=15)*(元データ!$AM$2:$AM$2001&lt;=21)*(元データ!$E$2:$E$2001="30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7" s="58"/>
      <c r="AW107" s="58"/>
      <c r="AX107" s="44">
        <f ca="1">SUMPRODUCT((元データ!$AL$2:$AL$2001=1)*(元データ!$AN$2:$AN$2001=1)*(元データ!$AE$2:$AE$2001=$C$106)*(元データ!$AO$2:$AO$2001=0)*(元データ!$AM$2:$AM$2001&gt;=15)*(元データ!$AM$2:$AM$2001&lt;=21)*(元データ!$E$2:$E$2001="31 ＯＰ確認中"))</f>
        <v>0</v>
      </c>
      <c r="AY107" s="58" t="str" cm="1">
        <f t="array" aca="1" ref="AY107" ca="1">IFERROR(_xlfn.TEXTJOIN(CHAR(10),TRUE,IF((元データ!$AL$2:$AL$2001=1)*(元データ!$AN$2:$AN$2001=1)*(元データ!$AE$2:$AE$2001=$C$106)*(元データ!$AO$2:$AO$2001=0)*(元データ!$AM$2:$AM$2001&gt;=15)*(元データ!$AM$2:$AM$2001&lt;=21)*(元データ!$E$2:$E$2001="31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7" s="58"/>
      <c r="BA107" s="58"/>
      <c r="BB107" s="44">
        <f ca="1">SUMPRODUCT((元データ!$AL$2:$AL$2001=1)*(元データ!$AN$2:$AN$2001=1)*(元データ!$AE$2:$AE$2001=$C$106)*(元データ!$AO$2:$AO$2001=0)*(元データ!$AM$2:$AM$2001&gt;=15)*(元データ!$AM$2:$AM$2001&lt;=21)*(元データ!$E$2:$E$2001="32 ＳＶ確認中"))</f>
        <v>0</v>
      </c>
      <c r="BC107" s="58" t="str" cm="1">
        <f t="array" aca="1" ref="BC107" ca="1">IFERROR(_xlfn.TEXTJOIN(CHAR(10),TRUE,IF((元データ!$AL$2:$AL$2001=1)*(元データ!$AN$2:$AN$2001=1)*(元データ!$AE$2:$AE$2001=$C$106)*(元データ!$AO$2:$AO$2001=0)*(元データ!$AM$2:$AM$2001&gt;=15)*(元データ!$AM$2:$AM$2001&lt;=21)*(元データ!$E$2:$E$2001="32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7" s="58">
        <f ca="1">SUMPRODUCT((元データ!$AL$2:$AL$2001=1)*(元データ!$AN$2:$AN$2001=1)*(元データ!$AE$2:$AE$2001=$C$106)*(元データ!$AO$2:$AO$2001=0)*(元データ!$AM$2:$AM$2001&gt;=15)*(元データ!$AM$2:$AM$2001&lt;=21)*(元データ!$E$2:$E$2001="40 差戻し"))</f>
        <v>0</v>
      </c>
      <c r="BE107" s="58" t="str" cm="1">
        <f t="array" aca="1" ref="BE107" ca="1">IFERROR(_xlfn.TEXTJOIN(CHAR(10),TRUE,IF((元データ!$AL$2:$AL$2001=1)*(元データ!$AN$2:$AN$2001=1)*(元データ!$AE$2:$AE$2001=$C$106)*(元データ!$AO$2:$AO$2001=0)*(元データ!$AM$2:$AM$2001&gt;=15)*(元データ!$AM$2:$AM$2001&lt;=21)*(元データ!$E$2:$E$2001="40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7" s="45">
        <f ca="1">SUMPRODUCT((元データ!$AL$2:$AL$2001=1)*(元データ!$AN$2:$AN$2001=1)*(元データ!$AE$2:$AE$2001=$C$106)*(元データ!$AO$2:$AO$2001=0)*(元データ!$AM$2:$AM$2001&gt;=22)*(元データ!$AM$2:$AM$2001&lt;=30))</f>
        <v>0</v>
      </c>
      <c r="BG107" s="45">
        <f ca="1">SUMPRODUCT((元データ!$AL$2:$AL$2001=1)*(元データ!$AN$2:$AN$2001=1)*(元データ!$AE$2:$AE$2001=$C$106)*(元データ!$AO$2:$AO$2001=0)*(元データ!$AM$2:$AM$2001&gt;=22)*(元データ!$AM$2:$AM$2001&lt;=30)*(元データ!$E$2:$E$2001="20 確認待ち"))</f>
        <v>0</v>
      </c>
      <c r="BH107" s="59" t="str" cm="1">
        <f t="array" aca="1" ref="BH107" ca="1">IFERROR(_xlfn.TEXTJOIN(CHAR(10),TRUE,IF((元データ!$AL$2:$AL$2001=1)*(元データ!$AN$2:$AN$2001=1)*(元データ!$AE$2:$AE$2001=$C$106)*(元データ!$AO$2:$AO$2001=0)*(元データ!$AM$2:$AM$2001&gt;=22)*(元データ!$AM$2:$AM$2001&lt;=30)*(元データ!$E$2:$E$2001="20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7" s="59"/>
      <c r="BJ107" s="59"/>
      <c r="BK107" s="45">
        <f ca="1">SUMPRODUCT((元データ!$AL$2:$AL$2001=1)*(元データ!$AN$2:$AN$2001=1)*(元データ!$AE$2:$AE$2001=$C$106)*(元データ!$AO$2:$AO$2001=0)*(元データ!$AM$2:$AM$2001&gt;=22)*(元データ!$AM$2:$AM$2001&lt;=30)*(元データ!$E$2:$E$2001="30 申請受付"))</f>
        <v>0</v>
      </c>
      <c r="BL107" s="59" t="str" cm="1">
        <f t="array" aca="1" ref="BL107" ca="1">IFERROR(_xlfn.TEXTJOIN(CHAR(10),TRUE,IF((元データ!$AL$2:$AL$2001=1)*(元データ!$AN$2:$AN$2001=1)*(元データ!$AE$2:$AE$2001=$C$106)*(元データ!$AO$2:$AO$2001=0)*(元データ!$AM$2:$AM$2001&gt;=22)*(元データ!$AM$2:$AM$2001&lt;=30)*(元データ!$E$2:$E$2001="30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7" s="59"/>
      <c r="BN107" s="59"/>
      <c r="BO107" s="45">
        <f ca="1">SUMPRODUCT((元データ!$AL$2:$AL$2001=1)*(元データ!$AN$2:$AN$2001=1)*(元データ!$AE$2:$AE$2001=$C$106)*(元データ!$AO$2:$AO$2001=0)*(元データ!$AM$2:$AM$2001&gt;=22)*(元データ!$AM$2:$AM$2001&lt;=30)*(元データ!$E$2:$E$2001="31 ＯＰ確認中"))</f>
        <v>0</v>
      </c>
      <c r="BP107" s="59" t="str" cm="1">
        <f t="array" aca="1" ref="BP107" ca="1">IFERROR(_xlfn.TEXTJOIN(CHAR(10),TRUE,IF((元データ!$AL$2:$AL$2001=1)*(元データ!$AN$2:$AN$2001=1)*(元データ!$AE$2:$AE$2001=$C$106)*(元データ!$AO$2:$AO$2001=0)*(元データ!$AM$2:$AM$2001&gt;=22)*(元データ!$AM$2:$AM$2001&lt;=30)*(元データ!$E$2:$E$2001="31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7" s="59"/>
      <c r="BR107" s="59"/>
      <c r="BS107" s="45">
        <f ca="1">SUMPRODUCT((元データ!$AL$2:$AL$2001=1)*(元データ!$AN$2:$AN$2001=1)*(元データ!$AE$2:$AE$2001=$C$106)*(元データ!$AO$2:$AO$2001=0)*(元データ!$AM$2:$AM$2001&gt;=22)*(元データ!$AM$2:$AM$2001&lt;=30)*(元データ!$E$2:$E$2001="32 ＳＶ確認中"))</f>
        <v>0</v>
      </c>
      <c r="BT107" s="59" t="str" cm="1">
        <f t="array" aca="1" ref="BT107" ca="1">IFERROR(_xlfn.TEXTJOIN(CHAR(10),TRUE,IF((元データ!$AL$2:$AL$2001=1)*(元データ!$AN$2:$AN$2001=1)*(元データ!$AE$2:$AE$2001=$C$106)*(元データ!$AO$2:$AO$2001=0)*(元データ!$AM$2:$AM$2001&gt;=22)*(元データ!$AM$2:$AM$2001&lt;=30)*(元データ!$E$2:$E$2001="32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7" s="59">
        <f ca="1">SUMPRODUCT((元データ!$AL$2:$AL$2001=1)*(元データ!$AN$2:$AN$2001=1)*(元データ!$AE$2:$AE$2001=$C$106)*(元データ!$AO$2:$AO$2001=0)*(元データ!$AM$2:$AM$2001&gt;=22)*(元データ!$AM$2:$AM$2001&lt;=30)*(元データ!$E$2:$E$2001="40 差戻し"))</f>
        <v>0</v>
      </c>
      <c r="BV107" s="59" t="str" cm="1">
        <f t="array" aca="1" ref="BV107" ca="1">IFERROR(_xlfn.TEXTJOIN(CHAR(10),TRUE,IF((元データ!$AL$2:$AL$2001=1)*(元データ!$AN$2:$AN$2001=1)*(元データ!$AE$2:$AE$2001=$C$106)*(元データ!$AO$2:$AO$2001=0)*(元データ!$AM$2:$AM$2001&gt;=22)*(元データ!$AM$2:$AM$2001&lt;=30)*(元データ!$E$2:$E$2001="40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7" s="46">
        <f ca="1">SUMPRODUCT((元データ!$AL$2:$AL$2001=1)*(元データ!$AN$2:$AN$2001=1)*(元データ!$AE$2:$AE$2001=$C$106)*(元データ!$AO$2:$AO$2001=0)*(元データ!$AM$2:$AM$2001&gt;=31))</f>
        <v>0</v>
      </c>
      <c r="BX107" s="46">
        <f ca="1">SUMPRODUCT((元データ!$AL$2:$AL$2001=1)*(元データ!$AN$2:$AN$2001=1)*(元データ!$AE$2:$AE$2001=$C$106)*(元データ!$AO$2:$AO$2001=0)*(元データ!$AM$2:$AM$2001&gt;=31)*(元データ!$E$2:$E$2001="20 確認待ち"))</f>
        <v>0</v>
      </c>
      <c r="BY107" s="56" t="str" cm="1">
        <f t="array" aca="1" ref="BY107" ca="1">IFERROR(_xlfn.TEXTJOIN(CHAR(10),TRUE,IF((元データ!$AL$2:$AL$2001=1)*(元データ!$AN$2:$AN$2001=1)*(元データ!$AE$2:$AE$2001=$C$106)*(元データ!$AO$2:$AO$2001=0)*(元データ!$AM$2:$AM$2001&gt;=31)*(元データ!$E$2:$E$2001="20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07" s="56"/>
      <c r="CA107" s="56"/>
      <c r="CB107" s="46">
        <f ca="1">SUMPRODUCT((元データ!$AL$2:$AL$2001=1)*(元データ!$AN$2:$AN$2001=1)*(元データ!$AE$2:$AE$2001=$C$106)*(元データ!$AO$2:$AO$2001=0)*(元データ!$AM$2:$AM$2001&gt;=31)*(元データ!$E$2:$E$2001="30 申請受付"))</f>
        <v>0</v>
      </c>
      <c r="CC107" s="56" t="str" cm="1">
        <f t="array" aca="1" ref="CC107" ca="1">IFERROR(_xlfn.TEXTJOIN(CHAR(10),TRUE,IF((元データ!$AL$2:$AL$2001=1)*(元データ!$AN$2:$AN$2001=1)*(元データ!$AE$2:$AE$2001=$C$106)*(元データ!$AO$2:$AO$2001=0)*(元データ!$AM$2:$AM$2001&gt;=31)*(元データ!$E$2:$E$2001="30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07" s="56"/>
      <c r="CE107" s="56"/>
      <c r="CF107" s="46">
        <f ca="1">SUMPRODUCT((元データ!$AL$2:$AL$2001=1)*(元データ!$AN$2:$AN$2001=1)*(元データ!$AE$2:$AE$2001=$C$106)*(元データ!$AO$2:$AO$2001=0)*(元データ!$AM$2:$AM$2001&gt;=31)*(元データ!$E$2:$E$2001="31 ＯＰ確認中"))</f>
        <v>0</v>
      </c>
      <c r="CG107" s="56" t="str" cm="1">
        <f t="array" aca="1" ref="CG107" ca="1">IFERROR(_xlfn.TEXTJOIN(CHAR(10),TRUE,IF((元データ!$AL$2:$AL$2001=1)*(元データ!$AN$2:$AN$2001=1)*(元データ!$AE$2:$AE$2001=$C$106)*(元データ!$AO$2:$AO$2001=0)*(元データ!$AM$2:$AM$2001&gt;=31)*(元データ!$E$2:$E$2001="31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07" s="56"/>
      <c r="CI107" s="56"/>
      <c r="CJ107" s="46">
        <f ca="1">SUMPRODUCT((元データ!$AL$2:$AL$2001=1)*(元データ!$AN$2:$AN$2001=1)*(元データ!$AE$2:$AE$2001=$C$106)*(元データ!$AO$2:$AO$2001=0)*(元データ!$AM$2:$AM$2001&gt;=31)*(元データ!$E$2:$E$2001="32 ＳＶ確認中"))</f>
        <v>0</v>
      </c>
      <c r="CK107" s="56" t="str" cm="1">
        <f t="array" aca="1" ref="CK107" ca="1">IFERROR(_xlfn.TEXTJOIN(CHAR(10),TRUE,IF((元データ!$AL$2:$AL$2001=1)*(元データ!$AN$2:$AN$2001=1)*(元データ!$AE$2:$AE$2001=$C$106)*(元データ!$AO$2:$AO$2001=0)*(元データ!$AM$2:$AM$2001&gt;=31)*(元データ!$E$2:$E$2001="32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07" s="56">
        <f ca="1">SUMPRODUCT((元データ!$AL$2:$AL$2001=1)*(元データ!$AN$2:$AN$2001=1)*(元データ!$AE$2:$AE$2001=$C$106)*(元データ!$AO$2:$AO$2001=0)*(元データ!$AM$2:$AM$2001&gt;=31)*(元データ!$E$2:$E$2001="40 差戻し"))</f>
        <v>0</v>
      </c>
      <c r="CM107" s="56" t="str" cm="1">
        <f t="array" aca="1" ref="CM107" ca="1">IFERROR(_xlfn.TEXTJOIN(CHAR(10),TRUE,IF((元データ!$AL$2:$AL$2001=1)*(元データ!$AN$2:$AN$2001=1)*(元データ!$AE$2:$AE$2001=$C$106)*(元データ!$AO$2:$AO$2001=0)*(元データ!$AM$2:$AM$2001&gt;=31)*(元データ!$E$2:$E$2001="40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08" spans="2:91" ht="24.95" customHeight="1">
      <c r="B108" s="91"/>
      <c r="C108" s="63" t="s">
        <v>60</v>
      </c>
      <c r="D108" s="63"/>
      <c r="E108" s="41" t="s">
        <v>133</v>
      </c>
      <c r="F108" s="42">
        <f>SUMPRODUCT((元データ!$AL$2:$AL$2001=1)*(元データ!$AN$2:$AN$2001=1)*(元データ!$AE$2:$AE$2001=$C$108)*(元データ!$AO$2:$AO$2001=1))</f>
        <v>8</v>
      </c>
      <c r="G108" s="43">
        <f ca="1">SUMPRODUCT((元データ!$AL$2:$AL$2001=1)*(元データ!$AN$2:$AN$2001=1)*(元データ!$AE$2:$AE$2001=$C$108)*(元データ!$AO$2:$AO$2001=1)*(元データ!$AM$2:$AM$2001&lt;=7))</f>
        <v>0</v>
      </c>
      <c r="H108" s="43">
        <f ca="1">SUMPRODUCT((元データ!$AL$2:$AL$2001=1)*(元データ!$AN$2:$AN$2001=1)*(元データ!$AE$2:$AE$2001=$C$108)*(元データ!$AO$2:$AO$2001=1)*(元データ!$AM$2:$AM$2001&lt;=7)*(元データ!$E$2:$E$2001="20 確認待ち"))</f>
        <v>0</v>
      </c>
      <c r="I108" s="61" t="str" cm="1">
        <f t="array" aca="1" ref="I108" ca="1">IFERROR(_xlfn.TEXTJOIN(CHAR(10),TRUE,IF((元データ!$AL$2:$AL$2001=1)*(元データ!$AN$2:$AN$2001=1)*(元データ!$AE$2:$AE$2001=$C$108)*(元データ!$AO$2:$AO$2001=1)*(元データ!$AM$2:$AM$2001&lt;=7)*(元データ!$E$2:$E$2001="20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08" s="61"/>
      <c r="K108" s="61"/>
      <c r="L108" s="43">
        <f ca="1">SUMPRODUCT((元データ!$AL$2:$AL$2001=1)*(元データ!$AN$2:$AN$2001=1)*(元データ!$AE$2:$AE$2001=$C$108)*(元データ!$AO$2:$AO$2001=1)*(元データ!$AM$2:$AM$2001&lt;=7)*(元データ!$E$2:$E$2001="30 申請受付"))</f>
        <v>0</v>
      </c>
      <c r="M108" s="61" t="str" cm="1">
        <f t="array" aca="1" ref="M108" ca="1">IFERROR(_xlfn.TEXTJOIN(CHAR(10),TRUE,IF((元データ!$AL$2:$AL$2001=1)*(元データ!$AN$2:$AN$2001=1)*(元データ!$AE$2:$AE$2001=$C$108)*(元データ!$AO$2:$AO$2001=1)*(元データ!$AM$2:$AM$2001&lt;=7)*(元データ!$E$2:$E$2001="30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08" s="61"/>
      <c r="O108" s="61"/>
      <c r="P108" s="43">
        <f ca="1">SUMPRODUCT((元データ!$AL$2:$AL$2001=1)*(元データ!$AN$2:$AN$2001=1)*(元データ!$AE$2:$AE$2001=$C$108)*(元データ!$AO$2:$AO$2001=1)*(元データ!$AM$2:$AM$2001&lt;=7)*(元データ!$E$2:$E$2001="31 ＯＰ確認中"))</f>
        <v>0</v>
      </c>
      <c r="Q108" s="61" t="str" cm="1">
        <f t="array" aca="1" ref="Q108" ca="1">IFERROR(_xlfn.TEXTJOIN(CHAR(10),TRUE,IF((元データ!$AL$2:$AL$2001=1)*(元データ!$AN$2:$AN$2001=1)*(元データ!$AE$2:$AE$2001=$C$108)*(元データ!$AO$2:$AO$2001=1)*(元データ!$AM$2:$AM$2001&lt;=7)*(元データ!$E$2:$E$2001="31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08" s="61"/>
      <c r="S108" s="61"/>
      <c r="T108" s="43">
        <f ca="1">SUMPRODUCT((元データ!$AL$2:$AL$2001=1)*(元データ!$AN$2:$AN$2001=1)*(元データ!$AE$2:$AE$2001=$C$108)*(元データ!$AO$2:$AO$2001=1)*(元データ!$AM$2:$AM$2001&lt;=7)*(元データ!$E$2:$E$2001="32 ＳＶ確認中"))</f>
        <v>0</v>
      </c>
      <c r="U108" s="61" t="str" cm="1">
        <f t="array" aca="1" ref="U108" ca="1">IFERROR(_xlfn.TEXTJOIN(CHAR(10),TRUE,IF((元データ!$AL$2:$AL$2001=1)*(元データ!$AN$2:$AN$2001=1)*(元データ!$AE$2:$AE$2001=$C$108)*(元データ!$AO$2:$AO$2001=1)*(元データ!$AM$2:$AM$2001&lt;=7)*(元データ!$E$2:$E$2001="32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08" s="61"/>
      <c r="W108" s="61"/>
      <c r="X108" s="43">
        <f ca="1">SUMPRODUCT((元データ!$AL$2:$AL$2001=1)*(元データ!$AN$2:$AN$2001=1)*(元データ!$AE$2:$AE$2001=$C$108)*(元データ!$AO$2:$AO$2001=1)*(元データ!$AM$2:$AM$2001&gt;=8)*(元データ!$AM$2:$AM$2001&lt;=14))</f>
        <v>0</v>
      </c>
      <c r="Y108" s="43">
        <f ca="1">SUMPRODUCT((元データ!$AL$2:$AL$2001=1)*(元データ!$AN$2:$AN$2001=1)*(元データ!$AE$2:$AE$2001=$C$108)*(元データ!$AO$2:$AO$2001=1)*(元データ!$AM$2:$AM$2001&gt;=8)*(元データ!$AM$2:$AM$2001&lt;=14)*(元データ!$E$2:$E$2001="20 確認待ち"))</f>
        <v>0</v>
      </c>
      <c r="Z108" s="61" t="str" cm="1">
        <f t="array" aca="1" ref="Z108" ca="1">IFERROR(_xlfn.TEXTJOIN(CHAR(10),TRUE,IF((元データ!$AL$2:$AL$2001=1)*(元データ!$AN$2:$AN$2001=1)*(元データ!$AE$2:$AE$2001=$C$108)*(元データ!$AO$2:$AO$2001=1)*(元データ!$AM$2:$AM$2001&gt;=8)*(元データ!$AM$2:$AM$2001&lt;=14)*(元データ!$E$2:$E$2001="20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8" s="61"/>
      <c r="AB108" s="61"/>
      <c r="AC108" s="43">
        <f ca="1">SUMPRODUCT((元データ!$AL$2:$AL$2001=1)*(元データ!$AN$2:$AN$2001=1)*(元データ!$AE$2:$AE$2001=$C$108)*(元データ!$AO$2:$AO$2001=1)*(元データ!$AM$2:$AM$2001&gt;=8)*(元データ!$AM$2:$AM$2001&lt;=14)*(元データ!$E$2:$E$2001="30 申請受付"))</f>
        <v>0</v>
      </c>
      <c r="AD108" s="61" t="str" cm="1">
        <f t="array" aca="1" ref="AD108" ca="1">IFERROR(_xlfn.TEXTJOIN(CHAR(10),TRUE,IF((元データ!$AL$2:$AL$2001=1)*(元データ!$AN$2:$AN$2001=1)*(元データ!$AE$2:$AE$2001=$C$108)*(元データ!$AO$2:$AO$2001=1)*(元データ!$AM$2:$AM$2001&gt;=8)*(元データ!$AM$2:$AM$2001&lt;=14)*(元データ!$E$2:$E$2001="30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8" s="61"/>
      <c r="AF108" s="61"/>
      <c r="AG108" s="43">
        <f ca="1">SUMPRODUCT((元データ!$AL$2:$AL$2001=1)*(元データ!$AN$2:$AN$2001=1)*(元データ!$AE$2:$AE$2001=$C$108)*(元データ!$AO$2:$AO$2001=1)*(元データ!$AM$2:$AM$2001&gt;=8)*(元データ!$AM$2:$AM$2001&lt;=14)*(元データ!$E$2:$E$2001="31 ＯＰ確認中"))</f>
        <v>0</v>
      </c>
      <c r="AH108" s="61" t="str" cm="1">
        <f t="array" aca="1" ref="AH108" ca="1">IFERROR(_xlfn.TEXTJOIN(CHAR(10),TRUE,IF((元データ!$AL$2:$AL$2001=1)*(元データ!$AN$2:$AN$2001=1)*(元データ!$AE$2:$AE$2001=$C$108)*(元データ!$AO$2:$AO$2001=1)*(元データ!$AM$2:$AM$2001&gt;=8)*(元データ!$AM$2:$AM$2001&lt;=14)*(元データ!$E$2:$E$2001="31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8" s="61"/>
      <c r="AJ108" s="61"/>
      <c r="AK108" s="43">
        <f ca="1">SUMPRODUCT((元データ!$AL$2:$AL$2001=1)*(元データ!$AN$2:$AN$2001=1)*(元データ!$AE$2:$AE$2001=$C$108)*(元データ!$AO$2:$AO$2001=1)*(元データ!$AM$2:$AM$2001&gt;=8)*(元データ!$AM$2:$AM$2001&lt;=14)*(元データ!$E$2:$E$2001="32 ＳＶ確認中"))</f>
        <v>0</v>
      </c>
      <c r="AL108" s="61" t="str" cm="1">
        <f t="array" aca="1" ref="AL108" ca="1">IFERROR(_xlfn.TEXTJOIN(CHAR(10),TRUE,IF((元データ!$AL$2:$AL$2001=1)*(元データ!$AN$2:$AN$2001=1)*(元データ!$AE$2:$AE$2001=$C$108)*(元データ!$AO$2:$AO$2001=1)*(元データ!$AM$2:$AM$2001&gt;=8)*(元データ!$AM$2:$AM$2001&lt;=14)*(元データ!$E$2:$E$2001="32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8" s="61">
        <f ca="1">SUMPRODUCT((元データ!$AL$2:$AL$2001=1)*(元データ!$AN$2:$AN$2001=1)*(元データ!$AE$2:$AE$2001=$C$108)*(元データ!$AO$2:$AO$2001=1)*(元データ!$AM$2:$AM$2001&gt;=8)*(元データ!$AM$2:$AM$2001&lt;=14)*(元データ!$E$2:$E$2001="40 差戻し"))</f>
        <v>0</v>
      </c>
      <c r="AN108" s="61" t="str" cm="1">
        <f t="array" aca="1" ref="AN108" ca="1">IFERROR(_xlfn.TEXTJOIN(CHAR(10),TRUE,IF((元データ!$AL$2:$AL$2001=1)*(元データ!$AN$2:$AN$2001=1)*(元データ!$AE$2:$AE$2001=$C$108)*(元データ!$AO$2:$AO$2001=1)*(元データ!$AM$2:$AM$2001&gt;=8)*(元データ!$AM$2:$AM$2001&lt;=14)*(元データ!$E$2:$E$2001="40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8" s="44">
        <f ca="1">SUMPRODUCT((元データ!$AL$2:$AL$2001=1)*(元データ!$AN$2:$AN$2001=1)*(元データ!$AE$2:$AE$2001=$C$108)*(元データ!$AO$2:$AO$2001=1)*(元データ!$AM$2:$AM$2001&gt;=15)*(元データ!$AM$2:$AM$2001&lt;=21))</f>
        <v>0</v>
      </c>
      <c r="AP108" s="44">
        <f ca="1">SUMPRODUCT((元データ!$AL$2:$AL$2001=1)*(元データ!$AN$2:$AN$2001=1)*(元データ!$AE$2:$AE$2001=$C$108)*(元データ!$AO$2:$AO$2001=1)*(元データ!$AM$2:$AM$2001&gt;=15)*(元データ!$AM$2:$AM$2001&lt;=21)*(元データ!$E$2:$E$2001="20 確認待ち"))</f>
        <v>0</v>
      </c>
      <c r="AQ108" s="58" t="str" cm="1">
        <f t="array" aca="1" ref="AQ108" ca="1">IFERROR(_xlfn.TEXTJOIN(CHAR(10),TRUE,IF((元データ!$AL$2:$AL$2001=1)*(元データ!$AN$2:$AN$2001=1)*(元データ!$AE$2:$AE$2001=$C$108)*(元データ!$AO$2:$AO$2001=1)*(元データ!$AM$2:$AM$2001&gt;=15)*(元データ!$AM$2:$AM$2001&lt;=21)*(元データ!$E$2:$E$2001="20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8" s="58"/>
      <c r="AS108" s="58"/>
      <c r="AT108" s="44">
        <f ca="1">SUMPRODUCT((元データ!$AL$2:$AL$2001=1)*(元データ!$AN$2:$AN$2001=1)*(元データ!$AE$2:$AE$2001=$C$108)*(元データ!$AO$2:$AO$2001=1)*(元データ!$AM$2:$AM$2001&gt;=15)*(元データ!$AM$2:$AM$2001&lt;=21)*(元データ!$E$2:$E$2001="30 申請受付"))</f>
        <v>0</v>
      </c>
      <c r="AU108" s="58" t="str" cm="1">
        <f t="array" aca="1" ref="AU108" ca="1">IFERROR(_xlfn.TEXTJOIN(CHAR(10),TRUE,IF((元データ!$AL$2:$AL$2001=1)*(元データ!$AN$2:$AN$2001=1)*(元データ!$AE$2:$AE$2001=$C$108)*(元データ!$AO$2:$AO$2001=1)*(元データ!$AM$2:$AM$2001&gt;=15)*(元データ!$AM$2:$AM$2001&lt;=21)*(元データ!$E$2:$E$2001="30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8" s="58"/>
      <c r="AW108" s="58"/>
      <c r="AX108" s="44">
        <f ca="1">SUMPRODUCT((元データ!$AL$2:$AL$2001=1)*(元データ!$AN$2:$AN$2001=1)*(元データ!$AE$2:$AE$2001=$C$108)*(元データ!$AO$2:$AO$2001=1)*(元データ!$AM$2:$AM$2001&gt;=15)*(元データ!$AM$2:$AM$2001&lt;=21)*(元データ!$E$2:$E$2001="31 ＯＰ確認中"))</f>
        <v>0</v>
      </c>
      <c r="AY108" s="58" t="str" cm="1">
        <f t="array" aca="1" ref="AY108" ca="1">IFERROR(_xlfn.TEXTJOIN(CHAR(10),TRUE,IF((元データ!$AL$2:$AL$2001=1)*(元データ!$AN$2:$AN$2001=1)*(元データ!$AE$2:$AE$2001=$C$108)*(元データ!$AO$2:$AO$2001=1)*(元データ!$AM$2:$AM$2001&gt;=15)*(元データ!$AM$2:$AM$2001&lt;=21)*(元データ!$E$2:$E$2001="31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8" s="58"/>
      <c r="BA108" s="58"/>
      <c r="BB108" s="44">
        <f ca="1">SUMPRODUCT((元データ!$AL$2:$AL$2001=1)*(元データ!$AN$2:$AN$2001=1)*(元データ!$AE$2:$AE$2001=$C$108)*(元データ!$AO$2:$AO$2001=1)*(元データ!$AM$2:$AM$2001&gt;=15)*(元データ!$AM$2:$AM$2001&lt;=21)*(元データ!$E$2:$E$2001="32 ＳＶ確認中"))</f>
        <v>0</v>
      </c>
      <c r="BC108" s="58" t="str" cm="1">
        <f t="array" aca="1" ref="BC108" ca="1">IFERROR(_xlfn.TEXTJOIN(CHAR(10),TRUE,IF((元データ!$AL$2:$AL$2001=1)*(元データ!$AN$2:$AN$2001=1)*(元データ!$AE$2:$AE$2001=$C$108)*(元データ!$AO$2:$AO$2001=1)*(元データ!$AM$2:$AM$2001&gt;=15)*(元データ!$AM$2:$AM$2001&lt;=21)*(元データ!$E$2:$E$2001="32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8" s="58">
        <f ca="1">SUMPRODUCT((元データ!$AL$2:$AL$2001=1)*(元データ!$AN$2:$AN$2001=1)*(元データ!$AE$2:$AE$2001=$C$108)*(元データ!$AO$2:$AO$2001=1)*(元データ!$AM$2:$AM$2001&gt;=15)*(元データ!$AM$2:$AM$2001&lt;=21)*(元データ!$E$2:$E$2001="40 差戻し"))</f>
        <v>0</v>
      </c>
      <c r="BE108" s="58" t="str" cm="1">
        <f t="array" aca="1" ref="BE108" ca="1">IFERROR(_xlfn.TEXTJOIN(CHAR(10),TRUE,IF((元データ!$AL$2:$AL$2001=1)*(元データ!$AN$2:$AN$2001=1)*(元データ!$AE$2:$AE$2001=$C$108)*(元データ!$AO$2:$AO$2001=1)*(元データ!$AM$2:$AM$2001&gt;=15)*(元データ!$AM$2:$AM$2001&lt;=21)*(元データ!$E$2:$E$2001="40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8" s="45">
        <f ca="1">SUMPRODUCT((元データ!$AL$2:$AL$2001=1)*(元データ!$AN$2:$AN$2001=1)*(元データ!$AE$2:$AE$2001=$C$108)*(元データ!$AO$2:$AO$2001=1)*(元データ!$AM$2:$AM$2001&gt;=22)*(元データ!$AM$2:$AM$2001&lt;=30))</f>
        <v>1</v>
      </c>
      <c r="BG108" s="45">
        <f ca="1">SUMPRODUCT((元データ!$AL$2:$AL$2001=1)*(元データ!$AN$2:$AN$2001=1)*(元データ!$AE$2:$AE$2001=$C$108)*(元データ!$AO$2:$AO$2001=1)*(元データ!$AM$2:$AM$2001&gt;=22)*(元データ!$AM$2:$AM$2001&lt;=30)*(元データ!$E$2:$E$2001="20 確認待ち"))</f>
        <v>0</v>
      </c>
      <c r="BH108" s="60" t="str" cm="1">
        <f t="array" aca="1" ref="BH108" ca="1">IFERROR(_xlfn.TEXTJOIN(CHAR(10),TRUE,IF((元データ!$AL$2:$AL$2001=1)*(元データ!$AN$2:$AN$2001=1)*(元データ!$AE$2:$AE$2001=$C$108)*(元データ!$AO$2:$AO$2001=1)*(元データ!$AM$2:$AM$2001&gt;=22)*(元データ!$AM$2:$AM$2001&lt;=30)*(元データ!$E$2:$E$2001="20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8" s="60"/>
      <c r="BJ108" s="60"/>
      <c r="BK108" s="45">
        <f ca="1">SUMPRODUCT((元データ!$AL$2:$AL$2001=1)*(元データ!$AN$2:$AN$2001=1)*(元データ!$AE$2:$AE$2001=$C$108)*(元データ!$AO$2:$AO$2001=1)*(元データ!$AM$2:$AM$2001&gt;=22)*(元データ!$AM$2:$AM$2001&lt;=30)*(元データ!$E$2:$E$2001="30 申請受付"))</f>
        <v>0</v>
      </c>
      <c r="BL108" s="59" t="str" cm="1">
        <f t="array" aca="1" ref="BL108" ca="1">IFERROR(_xlfn.TEXTJOIN(CHAR(10),TRUE,IF((元データ!$AL$2:$AL$2001=1)*(元データ!$AN$2:$AN$2001=1)*(元データ!$AE$2:$AE$2001=$C$108)*(元データ!$AO$2:$AO$2001=1)*(元データ!$AM$2:$AM$2001&gt;=22)*(元データ!$AM$2:$AM$2001&lt;=30)*(元データ!$E$2:$E$2001="30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8" s="59"/>
      <c r="BN108" s="59"/>
      <c r="BO108" s="45">
        <f ca="1">SUMPRODUCT((元データ!$AL$2:$AL$2001=1)*(元データ!$AN$2:$AN$2001=1)*(元データ!$AE$2:$AE$2001=$C$108)*(元データ!$AO$2:$AO$2001=1)*(元データ!$AM$2:$AM$2001&gt;=22)*(元データ!$AM$2:$AM$2001&lt;=30)*(元データ!$E$2:$E$2001="31 ＯＰ確認中"))</f>
        <v>0</v>
      </c>
      <c r="BP108" s="59" t="str" cm="1">
        <f t="array" aca="1" ref="BP108" ca="1">IFERROR(_xlfn.TEXTJOIN(CHAR(10),TRUE,IF((元データ!$AL$2:$AL$2001=1)*(元データ!$AN$2:$AN$2001=1)*(元データ!$AE$2:$AE$2001=$C$108)*(元データ!$AO$2:$AO$2001=1)*(元データ!$AM$2:$AM$2001&gt;=22)*(元データ!$AM$2:$AM$2001&lt;=30)*(元データ!$E$2:$E$2001="31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8" s="59"/>
      <c r="BR108" s="59"/>
      <c r="BS108" s="45">
        <f ca="1">SUMPRODUCT((元データ!$AL$2:$AL$2001=1)*(元データ!$AN$2:$AN$2001=1)*(元データ!$AE$2:$AE$2001=$C$108)*(元データ!$AO$2:$AO$2001=1)*(元データ!$AM$2:$AM$2001&gt;=22)*(元データ!$AM$2:$AM$2001&lt;=30)*(元データ!$E$2:$E$2001="32 ＳＶ確認中"))</f>
        <v>0</v>
      </c>
      <c r="BT108" s="59" t="str" cm="1">
        <f t="array" aca="1" ref="BT108" ca="1">IFERROR(_xlfn.TEXTJOIN(CHAR(10),TRUE,IF((元データ!$AL$2:$AL$2001=1)*(元データ!$AN$2:$AN$2001=1)*(元データ!$AE$2:$AE$2001=$C$108)*(元データ!$AO$2:$AO$2001=1)*(元データ!$AM$2:$AM$2001&gt;=22)*(元データ!$AM$2:$AM$2001&lt;=30)*(元データ!$E$2:$E$2001="32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8" s="59">
        <f ca="1">SUMPRODUCT((元データ!$AL$2:$AL$2001=1)*(元データ!$AN$2:$AN$2001=1)*(元データ!$AE$2:$AE$2001=$C$108)*(元データ!$AO$2:$AO$2001=1)*(元データ!$AM$2:$AM$2001&gt;=22)*(元データ!$AM$2:$AM$2001&lt;=30)*(元データ!$E$2:$E$2001="40 差戻し"))</f>
        <v>0</v>
      </c>
      <c r="BV108" s="59" t="str" cm="1">
        <f t="array" aca="1" ref="BV108" ca="1">IFERROR(_xlfn.TEXTJOIN(CHAR(10),TRUE,IF((元データ!$AL$2:$AL$2001=1)*(元データ!$AN$2:$AN$2001=1)*(元データ!$AE$2:$AE$2001=$C$108)*(元データ!$AO$2:$AO$2001=1)*(元データ!$AM$2:$AM$2001&gt;=22)*(元データ!$AM$2:$AM$2001&lt;=30)*(元データ!$E$2:$E$2001="40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8" s="46">
        <f ca="1">SUMPRODUCT((元データ!$AL$2:$AL$2001=1)*(元データ!$AN$2:$AN$2001=1)*(元データ!$AE$2:$AE$2001=$C$108)*(元データ!$AO$2:$AO$2001=1)*(元データ!$AM$2:$AM$2001&gt;=31))</f>
        <v>7</v>
      </c>
      <c r="BX108" s="46">
        <f ca="1">SUMPRODUCT((元データ!$AL$2:$AL$2001=1)*(元データ!$AN$2:$AN$2001=1)*(元データ!$AE$2:$AE$2001=$C$108)*(元データ!$AO$2:$AO$2001=1)*(元データ!$AM$2:$AM$2001&gt;=31)*(元データ!$E$2:$E$2001="20 確認待ち"))</f>
        <v>3</v>
      </c>
      <c r="BY108" s="56" t="str" cm="1">
        <f t="array" aca="1" ref="BY108" ca="1">IFERROR(_xlfn.TEXTJOIN(CHAR(10),TRUE,IF((元データ!$AL$2:$AL$2001=1)*(元データ!$AN$2:$AN$2001=1)*(元データ!$AE$2:$AE$2001=$C$108)*(元データ!$AO$2:$AO$2001=1)*(元データ!$AM$2:$AM$2001&gt;=31)*(元データ!$E$2:$E$2001="20 確認待ち"),元データ!$A$2:$A$2001&amp;IF(元データ!$AP$2:$AP$2001&lt;&gt;"","（"&amp;MID(元データ!$AP$2:$AP$2001,2,100)&amp;")",""),"")),"")</f>
        <v>202660000073（確認事項)
202660000490（添待ち)
202660001274（添待ち)</v>
      </c>
      <c r="BZ108" s="56"/>
      <c r="CA108" s="56"/>
      <c r="CB108" s="46">
        <f ca="1">SUMPRODUCT((元データ!$AL$2:$AL$2001=1)*(元データ!$AN$2:$AN$2001=1)*(元データ!$AE$2:$AE$2001=$C$108)*(元データ!$AO$2:$AO$2001=1)*(元データ!$AM$2:$AM$2001&gt;=31)*(元データ!$E$2:$E$2001="30 申請受付"))</f>
        <v>0</v>
      </c>
      <c r="CC108" s="56" t="str" cm="1">
        <f t="array" aca="1" ref="CC108" ca="1">IFERROR(_xlfn.TEXTJOIN(CHAR(10),TRUE,IF((元データ!$AL$2:$AL$2001=1)*(元データ!$AN$2:$AN$2001=1)*(元データ!$AE$2:$AE$2001=$C$108)*(元データ!$AO$2:$AO$2001=1)*(元データ!$AM$2:$AM$2001&gt;=31)*(元データ!$E$2:$E$2001="30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08" s="56"/>
      <c r="CE108" s="56"/>
      <c r="CF108" s="46">
        <f ca="1">SUMPRODUCT((元データ!$AL$2:$AL$2001=1)*(元データ!$AN$2:$AN$2001=1)*(元データ!$AE$2:$AE$2001=$C$108)*(元データ!$AO$2:$AO$2001=1)*(元データ!$AM$2:$AM$2001&gt;=31)*(元データ!$E$2:$E$2001="31 ＯＰ確認中"))</f>
        <v>1</v>
      </c>
      <c r="CG108" s="56" t="str" cm="1">
        <f t="array" aca="1" ref="CG108" ca="1">IFERROR(_xlfn.TEXTJOIN(CHAR(10),TRUE,IF((元データ!$AL$2:$AL$2001=1)*(元データ!$AN$2:$AN$2001=1)*(元データ!$AE$2:$AE$2001=$C$108)*(元データ!$AO$2:$AO$2001=1)*(元データ!$AM$2:$AM$2001&gt;=31)*(元データ!$E$2:$E$2001="31 ＯＰ確認中"),元データ!$A$2:$A$2001&amp;IF(元データ!$AP$2:$AP$2001&lt;&gt;"","（"&amp;MID(元データ!$AP$2:$AP$2001,2,100)&amp;")",""),"")),"")</f>
        <v>202460000609（確認事項)</v>
      </c>
      <c r="CH108" s="56"/>
      <c r="CI108" s="56"/>
      <c r="CJ108" s="46">
        <f ca="1">SUMPRODUCT((元データ!$AL$2:$AL$2001=1)*(元データ!$AN$2:$AN$2001=1)*(元データ!$AE$2:$AE$2001=$C$108)*(元データ!$AO$2:$AO$2001=1)*(元データ!$AM$2:$AM$2001&gt;=31)*(元データ!$E$2:$E$2001="32 ＳＶ確認中"))</f>
        <v>1</v>
      </c>
      <c r="CK108" s="56" t="str" cm="1">
        <f t="array" aca="1" ref="CK108" ca="1">IFERROR(_xlfn.TEXTJOIN(CHAR(10),TRUE,IF((元データ!$AL$2:$AL$2001=1)*(元データ!$AN$2:$AN$2001=1)*(元データ!$AE$2:$AE$2001=$C$108)*(元データ!$AO$2:$AO$2001=1)*(元データ!$AM$2:$AM$2001&gt;=31)*(元データ!$E$2:$E$2001="32 ＳＶ確認中"),元データ!$A$2:$A$2001&amp;IF(元データ!$AP$2:$AP$2001&lt;&gt;"","（"&amp;MID(元データ!$AP$2:$AP$2001,2,100)&amp;")",""),"")),"")</f>
        <v>202560003089（確認事項)</v>
      </c>
      <c r="CL108" s="56">
        <f ca="1">SUMPRODUCT((元データ!$AL$2:$AL$2001=1)*(元データ!$AN$2:$AN$2001=1)*(元データ!$AE$2:$AE$2001=$C$108)*(元データ!$AO$2:$AO$2001=1)*(元データ!$AM$2:$AM$2001&gt;=31)*(元データ!$E$2:$E$2001="40 差戻し"))</f>
        <v>2</v>
      </c>
      <c r="CM108" s="56" t="str" cm="1">
        <f t="array" aca="1" ref="CM108" ca="1">IFERROR(_xlfn.TEXTJOIN(CHAR(10),TRUE,IF((元データ!$AL$2:$AL$2001=1)*(元データ!$AN$2:$AN$2001=1)*(元データ!$AE$2:$AE$2001=$C$108)*(元データ!$AO$2:$AO$2001=1)*(元データ!$AM$2:$AM$2001&gt;=31)*(元データ!$E$2:$E$2001="40 差戻し"),元データ!$A$2:$A$2001&amp;IF(元データ!$AP$2:$AP$2001&lt;&gt;"","（"&amp;MID(元データ!$AP$2:$AP$2001,2,100)&amp;")",""),"")),"")</f>
        <v>201060002518（添待ち)
202660001220（添待ち)</v>
      </c>
    </row>
    <row r="109" spans="2:91" ht="24.95" customHeight="1">
      <c r="B109" s="92"/>
      <c r="C109" s="63"/>
      <c r="D109" s="63"/>
      <c r="E109" s="47" t="s">
        <v>134</v>
      </c>
      <c r="F109" s="48">
        <f>SUMPRODUCT((元データ!$AL$2:$AL$2001=1)*(元データ!$AN$2:$AN$2001=1)*(元データ!$AE$2:$AE$2001=$C$108)*(元データ!$AO$2:$AO$2001=0))</f>
        <v>4</v>
      </c>
      <c r="G109" s="49">
        <f ca="1">SUMPRODUCT((元データ!$AL$2:$AL$2001=1)*(元データ!$AN$2:$AN$2001=1)*(元データ!$AE$2:$AE$2001=$C$108)*(元データ!$AO$2:$AO$2001=0)*(元データ!$AM$2:$AM$2001&lt;=7))</f>
        <v>0</v>
      </c>
      <c r="H109" s="49">
        <f ca="1">SUMPRODUCT((元データ!$AL$2:$AL$2001=1)*(元データ!$AN$2:$AN$2001=1)*(元データ!$AE$2:$AE$2001=$C$108)*(元データ!$AO$2:$AO$2001=0)*(元データ!$AM$2:$AM$2001&lt;=7)*(元データ!$E$2:$E$2001="20 確認待ち"))</f>
        <v>0</v>
      </c>
      <c r="I109" s="57" t="str" cm="1">
        <f t="array" aca="1" ref="I109" ca="1">IFERROR(_xlfn.TEXTJOIN(CHAR(10),TRUE,IF((元データ!$AL$2:$AL$2001=1)*(元データ!$AN$2:$AN$2001=1)*(元データ!$AE$2:$AE$2001=$C$108)*(元データ!$AO$2:$AO$2001=0)*(元データ!$AM$2:$AM$2001&lt;=7)*(元データ!$E$2:$E$2001="20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09" s="57"/>
      <c r="K109" s="57"/>
      <c r="L109" s="49">
        <f ca="1">SUMPRODUCT((元データ!$AL$2:$AL$2001=1)*(元データ!$AN$2:$AN$2001=1)*(元データ!$AE$2:$AE$2001=$C$108)*(元データ!$AO$2:$AO$2001=0)*(元データ!$AM$2:$AM$2001&lt;=7)*(元データ!$E$2:$E$2001="30 申請受付"))</f>
        <v>0</v>
      </c>
      <c r="M109" s="57" t="str" cm="1">
        <f t="array" aca="1" ref="M109" ca="1">IFERROR(_xlfn.TEXTJOIN(CHAR(10),TRUE,IF((元データ!$AL$2:$AL$2001=1)*(元データ!$AN$2:$AN$2001=1)*(元データ!$AE$2:$AE$2001=$C$108)*(元データ!$AO$2:$AO$2001=0)*(元データ!$AM$2:$AM$2001&lt;=7)*(元データ!$E$2:$E$2001="30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09" s="57"/>
      <c r="O109" s="57"/>
      <c r="P109" s="49">
        <f ca="1">SUMPRODUCT((元データ!$AL$2:$AL$2001=1)*(元データ!$AN$2:$AN$2001=1)*(元データ!$AE$2:$AE$2001=$C$108)*(元データ!$AO$2:$AO$2001=0)*(元データ!$AM$2:$AM$2001&lt;=7)*(元データ!$E$2:$E$2001="31 ＯＰ確認中"))</f>
        <v>0</v>
      </c>
      <c r="Q109" s="57" t="str" cm="1">
        <f t="array" aca="1" ref="Q109" ca="1">IFERROR(_xlfn.TEXTJOIN(CHAR(10),TRUE,IF((元データ!$AL$2:$AL$2001=1)*(元データ!$AN$2:$AN$2001=1)*(元データ!$AE$2:$AE$2001=$C$108)*(元データ!$AO$2:$AO$2001=0)*(元データ!$AM$2:$AM$2001&lt;=7)*(元データ!$E$2:$E$2001="31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09" s="57"/>
      <c r="S109" s="57"/>
      <c r="T109" s="49">
        <f ca="1">SUMPRODUCT((元データ!$AL$2:$AL$2001=1)*(元データ!$AN$2:$AN$2001=1)*(元データ!$AE$2:$AE$2001=$C$108)*(元データ!$AO$2:$AO$2001=0)*(元データ!$AM$2:$AM$2001&lt;=7)*(元データ!$E$2:$E$2001="32 ＳＶ確認中"))</f>
        <v>0</v>
      </c>
      <c r="U109" s="57" t="str" cm="1">
        <f t="array" aca="1" ref="U109" ca="1">IFERROR(_xlfn.TEXTJOIN(CHAR(10),TRUE,IF((元データ!$AL$2:$AL$2001=1)*(元データ!$AN$2:$AN$2001=1)*(元データ!$AE$2:$AE$2001=$C$108)*(元データ!$AO$2:$AO$2001=0)*(元データ!$AM$2:$AM$2001&lt;=7)*(元データ!$E$2:$E$2001="32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09" s="57"/>
      <c r="W109" s="57"/>
      <c r="X109" s="49">
        <f ca="1">SUMPRODUCT((元データ!$AL$2:$AL$2001=1)*(元データ!$AN$2:$AN$2001=1)*(元データ!$AE$2:$AE$2001=$C$108)*(元データ!$AO$2:$AO$2001=0)*(元データ!$AM$2:$AM$2001&gt;=8)*(元データ!$AM$2:$AM$2001&lt;=14))</f>
        <v>0</v>
      </c>
      <c r="Y109" s="49">
        <f ca="1">SUMPRODUCT((元データ!$AL$2:$AL$2001=1)*(元データ!$AN$2:$AN$2001=1)*(元データ!$AE$2:$AE$2001=$C$108)*(元データ!$AO$2:$AO$2001=0)*(元データ!$AM$2:$AM$2001&gt;=8)*(元データ!$AM$2:$AM$2001&lt;=14)*(元データ!$E$2:$E$2001="20 確認待ち"))</f>
        <v>0</v>
      </c>
      <c r="Z109" s="57" t="str" cm="1">
        <f t="array" aca="1" ref="Z109" ca="1">IFERROR(_xlfn.TEXTJOIN(CHAR(10),TRUE,IF((元データ!$AL$2:$AL$2001=1)*(元データ!$AN$2:$AN$2001=1)*(元データ!$AE$2:$AE$2001=$C$108)*(元データ!$AO$2:$AO$2001=0)*(元データ!$AM$2:$AM$2001&gt;=8)*(元データ!$AM$2:$AM$2001&lt;=14)*(元データ!$E$2:$E$2001="20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09" s="57"/>
      <c r="AB109" s="57"/>
      <c r="AC109" s="49">
        <f ca="1">SUMPRODUCT((元データ!$AL$2:$AL$2001=1)*(元データ!$AN$2:$AN$2001=1)*(元データ!$AE$2:$AE$2001=$C$108)*(元データ!$AO$2:$AO$2001=0)*(元データ!$AM$2:$AM$2001&gt;=8)*(元データ!$AM$2:$AM$2001&lt;=14)*(元データ!$E$2:$E$2001="30 申請受付"))</f>
        <v>0</v>
      </c>
      <c r="AD109" s="57" t="str" cm="1">
        <f t="array" aca="1" ref="AD109" ca="1">IFERROR(_xlfn.TEXTJOIN(CHAR(10),TRUE,IF((元データ!$AL$2:$AL$2001=1)*(元データ!$AN$2:$AN$2001=1)*(元データ!$AE$2:$AE$2001=$C$108)*(元データ!$AO$2:$AO$2001=0)*(元データ!$AM$2:$AM$2001&gt;=8)*(元データ!$AM$2:$AM$2001&lt;=14)*(元データ!$E$2:$E$2001="30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09" s="57"/>
      <c r="AF109" s="57"/>
      <c r="AG109" s="49">
        <f ca="1">SUMPRODUCT((元データ!$AL$2:$AL$2001=1)*(元データ!$AN$2:$AN$2001=1)*(元データ!$AE$2:$AE$2001=$C$108)*(元データ!$AO$2:$AO$2001=0)*(元データ!$AM$2:$AM$2001&gt;=8)*(元データ!$AM$2:$AM$2001&lt;=14)*(元データ!$E$2:$E$2001="31 ＯＰ確認中"))</f>
        <v>0</v>
      </c>
      <c r="AH109" s="57" t="str" cm="1">
        <f t="array" aca="1" ref="AH109" ca="1">IFERROR(_xlfn.TEXTJOIN(CHAR(10),TRUE,IF((元データ!$AL$2:$AL$2001=1)*(元データ!$AN$2:$AN$2001=1)*(元データ!$AE$2:$AE$2001=$C$108)*(元データ!$AO$2:$AO$2001=0)*(元データ!$AM$2:$AM$2001&gt;=8)*(元データ!$AM$2:$AM$2001&lt;=14)*(元データ!$E$2:$E$2001="31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09" s="57"/>
      <c r="AJ109" s="57"/>
      <c r="AK109" s="49">
        <f ca="1">SUMPRODUCT((元データ!$AL$2:$AL$2001=1)*(元データ!$AN$2:$AN$2001=1)*(元データ!$AE$2:$AE$2001=$C$108)*(元データ!$AO$2:$AO$2001=0)*(元データ!$AM$2:$AM$2001&gt;=8)*(元データ!$AM$2:$AM$2001&lt;=14)*(元データ!$E$2:$E$2001="32 ＳＶ確認中"))</f>
        <v>0</v>
      </c>
      <c r="AL109" s="57" t="str" cm="1">
        <f t="array" aca="1" ref="AL109" ca="1">IFERROR(_xlfn.TEXTJOIN(CHAR(10),TRUE,IF((元データ!$AL$2:$AL$2001=1)*(元データ!$AN$2:$AN$2001=1)*(元データ!$AE$2:$AE$2001=$C$108)*(元データ!$AO$2:$AO$2001=0)*(元データ!$AM$2:$AM$2001&gt;=8)*(元データ!$AM$2:$AM$2001&lt;=14)*(元データ!$E$2:$E$2001="32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09" s="57">
        <f ca="1">SUMPRODUCT((元データ!$AL$2:$AL$2001=1)*(元データ!$AN$2:$AN$2001=1)*(元データ!$AE$2:$AE$2001=$C$108)*(元データ!$AO$2:$AO$2001=0)*(元データ!$AM$2:$AM$2001&gt;=8)*(元データ!$AM$2:$AM$2001&lt;=14)*(元データ!$E$2:$E$2001="40 差戻し"))</f>
        <v>0</v>
      </c>
      <c r="AN109" s="57" t="str" cm="1">
        <f t="array" aca="1" ref="AN109" ca="1">IFERROR(_xlfn.TEXTJOIN(CHAR(10),TRUE,IF((元データ!$AL$2:$AL$2001=1)*(元データ!$AN$2:$AN$2001=1)*(元データ!$AE$2:$AE$2001=$C$108)*(元データ!$AO$2:$AO$2001=0)*(元データ!$AM$2:$AM$2001&gt;=8)*(元データ!$AM$2:$AM$2001&lt;=14)*(元データ!$E$2:$E$2001="40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09" s="44">
        <f ca="1">SUMPRODUCT((元データ!$AL$2:$AL$2001=1)*(元データ!$AN$2:$AN$2001=1)*(元データ!$AE$2:$AE$2001=$C$108)*(元データ!$AO$2:$AO$2001=0)*(元データ!$AM$2:$AM$2001&gt;=15)*(元データ!$AM$2:$AM$2001&lt;=21))</f>
        <v>0</v>
      </c>
      <c r="AP109" s="44">
        <f ca="1">SUMPRODUCT((元データ!$AL$2:$AL$2001=1)*(元データ!$AN$2:$AN$2001=1)*(元データ!$AE$2:$AE$2001=$C$108)*(元データ!$AO$2:$AO$2001=0)*(元データ!$AM$2:$AM$2001&gt;=15)*(元データ!$AM$2:$AM$2001&lt;=21)*(元データ!$E$2:$E$2001="20 確認待ち"))</f>
        <v>0</v>
      </c>
      <c r="AQ109" s="58" t="str" cm="1">
        <f t="array" aca="1" ref="AQ109" ca="1">IFERROR(_xlfn.TEXTJOIN(CHAR(10),TRUE,IF((元データ!$AL$2:$AL$2001=1)*(元データ!$AN$2:$AN$2001=1)*(元データ!$AE$2:$AE$2001=$C$108)*(元データ!$AO$2:$AO$2001=0)*(元データ!$AM$2:$AM$2001&gt;=15)*(元データ!$AM$2:$AM$2001&lt;=21)*(元データ!$E$2:$E$2001="20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09" s="58"/>
      <c r="AS109" s="58"/>
      <c r="AT109" s="44">
        <f ca="1">SUMPRODUCT((元データ!$AL$2:$AL$2001=1)*(元データ!$AN$2:$AN$2001=1)*(元データ!$AE$2:$AE$2001=$C$108)*(元データ!$AO$2:$AO$2001=0)*(元データ!$AM$2:$AM$2001&gt;=15)*(元データ!$AM$2:$AM$2001&lt;=21)*(元データ!$E$2:$E$2001="30 申請受付"))</f>
        <v>0</v>
      </c>
      <c r="AU109" s="58" t="str" cm="1">
        <f t="array" aca="1" ref="AU109" ca="1">IFERROR(_xlfn.TEXTJOIN(CHAR(10),TRUE,IF((元データ!$AL$2:$AL$2001=1)*(元データ!$AN$2:$AN$2001=1)*(元データ!$AE$2:$AE$2001=$C$108)*(元データ!$AO$2:$AO$2001=0)*(元データ!$AM$2:$AM$2001&gt;=15)*(元データ!$AM$2:$AM$2001&lt;=21)*(元データ!$E$2:$E$2001="30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09" s="58"/>
      <c r="AW109" s="58"/>
      <c r="AX109" s="44">
        <f ca="1">SUMPRODUCT((元データ!$AL$2:$AL$2001=1)*(元データ!$AN$2:$AN$2001=1)*(元データ!$AE$2:$AE$2001=$C$108)*(元データ!$AO$2:$AO$2001=0)*(元データ!$AM$2:$AM$2001&gt;=15)*(元データ!$AM$2:$AM$2001&lt;=21)*(元データ!$E$2:$E$2001="31 ＯＰ確認中"))</f>
        <v>0</v>
      </c>
      <c r="AY109" s="58" t="str" cm="1">
        <f t="array" aca="1" ref="AY109" ca="1">IFERROR(_xlfn.TEXTJOIN(CHAR(10),TRUE,IF((元データ!$AL$2:$AL$2001=1)*(元データ!$AN$2:$AN$2001=1)*(元データ!$AE$2:$AE$2001=$C$108)*(元データ!$AO$2:$AO$2001=0)*(元データ!$AM$2:$AM$2001&gt;=15)*(元データ!$AM$2:$AM$2001&lt;=21)*(元データ!$E$2:$E$2001="31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09" s="58"/>
      <c r="BA109" s="58"/>
      <c r="BB109" s="44">
        <f ca="1">SUMPRODUCT((元データ!$AL$2:$AL$2001=1)*(元データ!$AN$2:$AN$2001=1)*(元データ!$AE$2:$AE$2001=$C$108)*(元データ!$AO$2:$AO$2001=0)*(元データ!$AM$2:$AM$2001&gt;=15)*(元データ!$AM$2:$AM$2001&lt;=21)*(元データ!$E$2:$E$2001="32 ＳＶ確認中"))</f>
        <v>0</v>
      </c>
      <c r="BC109" s="58" t="str" cm="1">
        <f t="array" aca="1" ref="BC109" ca="1">IFERROR(_xlfn.TEXTJOIN(CHAR(10),TRUE,IF((元データ!$AL$2:$AL$2001=1)*(元データ!$AN$2:$AN$2001=1)*(元データ!$AE$2:$AE$2001=$C$108)*(元データ!$AO$2:$AO$2001=0)*(元データ!$AM$2:$AM$2001&gt;=15)*(元データ!$AM$2:$AM$2001&lt;=21)*(元データ!$E$2:$E$2001="32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09" s="58">
        <f ca="1">SUMPRODUCT((元データ!$AL$2:$AL$2001=1)*(元データ!$AN$2:$AN$2001=1)*(元データ!$AE$2:$AE$2001=$C$108)*(元データ!$AO$2:$AO$2001=0)*(元データ!$AM$2:$AM$2001&gt;=15)*(元データ!$AM$2:$AM$2001&lt;=21)*(元データ!$E$2:$E$2001="40 差戻し"))</f>
        <v>0</v>
      </c>
      <c r="BE109" s="58" t="str" cm="1">
        <f t="array" aca="1" ref="BE109" ca="1">IFERROR(_xlfn.TEXTJOIN(CHAR(10),TRUE,IF((元データ!$AL$2:$AL$2001=1)*(元データ!$AN$2:$AN$2001=1)*(元データ!$AE$2:$AE$2001=$C$108)*(元データ!$AO$2:$AO$2001=0)*(元データ!$AM$2:$AM$2001&gt;=15)*(元データ!$AM$2:$AM$2001&lt;=21)*(元データ!$E$2:$E$2001="40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09" s="45">
        <f ca="1">SUMPRODUCT((元データ!$AL$2:$AL$2001=1)*(元データ!$AN$2:$AN$2001=1)*(元データ!$AE$2:$AE$2001=$C$108)*(元データ!$AO$2:$AO$2001=0)*(元データ!$AM$2:$AM$2001&gt;=22)*(元データ!$AM$2:$AM$2001&lt;=30))</f>
        <v>0</v>
      </c>
      <c r="BG109" s="45">
        <f ca="1">SUMPRODUCT((元データ!$AL$2:$AL$2001=1)*(元データ!$AN$2:$AN$2001=1)*(元データ!$AE$2:$AE$2001=$C$108)*(元データ!$AO$2:$AO$2001=0)*(元データ!$AM$2:$AM$2001&gt;=22)*(元データ!$AM$2:$AM$2001&lt;=30)*(元データ!$E$2:$E$2001="20 確認待ち"))</f>
        <v>0</v>
      </c>
      <c r="BH109" s="59" t="str" cm="1">
        <f t="array" aca="1" ref="BH109" ca="1">IFERROR(_xlfn.TEXTJOIN(CHAR(10),TRUE,IF((元データ!$AL$2:$AL$2001=1)*(元データ!$AN$2:$AN$2001=1)*(元データ!$AE$2:$AE$2001=$C$108)*(元データ!$AO$2:$AO$2001=0)*(元データ!$AM$2:$AM$2001&gt;=22)*(元データ!$AM$2:$AM$2001&lt;=30)*(元データ!$E$2:$E$2001="20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09" s="59"/>
      <c r="BJ109" s="59"/>
      <c r="BK109" s="45">
        <f ca="1">SUMPRODUCT((元データ!$AL$2:$AL$2001=1)*(元データ!$AN$2:$AN$2001=1)*(元データ!$AE$2:$AE$2001=$C$108)*(元データ!$AO$2:$AO$2001=0)*(元データ!$AM$2:$AM$2001&gt;=22)*(元データ!$AM$2:$AM$2001&lt;=30)*(元データ!$E$2:$E$2001="30 申請受付"))</f>
        <v>0</v>
      </c>
      <c r="BL109" s="59" t="str" cm="1">
        <f t="array" aca="1" ref="BL109" ca="1">IFERROR(_xlfn.TEXTJOIN(CHAR(10),TRUE,IF((元データ!$AL$2:$AL$2001=1)*(元データ!$AN$2:$AN$2001=1)*(元データ!$AE$2:$AE$2001=$C$108)*(元データ!$AO$2:$AO$2001=0)*(元データ!$AM$2:$AM$2001&gt;=22)*(元データ!$AM$2:$AM$2001&lt;=30)*(元データ!$E$2:$E$2001="30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09" s="59"/>
      <c r="BN109" s="59"/>
      <c r="BO109" s="45">
        <f ca="1">SUMPRODUCT((元データ!$AL$2:$AL$2001=1)*(元データ!$AN$2:$AN$2001=1)*(元データ!$AE$2:$AE$2001=$C$108)*(元データ!$AO$2:$AO$2001=0)*(元データ!$AM$2:$AM$2001&gt;=22)*(元データ!$AM$2:$AM$2001&lt;=30)*(元データ!$E$2:$E$2001="31 ＯＰ確認中"))</f>
        <v>0</v>
      </c>
      <c r="BP109" s="59" t="str" cm="1">
        <f t="array" aca="1" ref="BP109" ca="1">IFERROR(_xlfn.TEXTJOIN(CHAR(10),TRUE,IF((元データ!$AL$2:$AL$2001=1)*(元データ!$AN$2:$AN$2001=1)*(元データ!$AE$2:$AE$2001=$C$108)*(元データ!$AO$2:$AO$2001=0)*(元データ!$AM$2:$AM$2001&gt;=22)*(元データ!$AM$2:$AM$2001&lt;=30)*(元データ!$E$2:$E$2001="31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09" s="59"/>
      <c r="BR109" s="59"/>
      <c r="BS109" s="45">
        <f ca="1">SUMPRODUCT((元データ!$AL$2:$AL$2001=1)*(元データ!$AN$2:$AN$2001=1)*(元データ!$AE$2:$AE$2001=$C$108)*(元データ!$AO$2:$AO$2001=0)*(元データ!$AM$2:$AM$2001&gt;=22)*(元データ!$AM$2:$AM$2001&lt;=30)*(元データ!$E$2:$E$2001="32 ＳＶ確認中"))</f>
        <v>0</v>
      </c>
      <c r="BT109" s="59" t="str" cm="1">
        <f t="array" aca="1" ref="BT109" ca="1">IFERROR(_xlfn.TEXTJOIN(CHAR(10),TRUE,IF((元データ!$AL$2:$AL$2001=1)*(元データ!$AN$2:$AN$2001=1)*(元データ!$AE$2:$AE$2001=$C$108)*(元データ!$AO$2:$AO$2001=0)*(元データ!$AM$2:$AM$2001&gt;=22)*(元データ!$AM$2:$AM$2001&lt;=30)*(元データ!$E$2:$E$2001="32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09" s="59">
        <f ca="1">SUMPRODUCT((元データ!$AL$2:$AL$2001=1)*(元データ!$AN$2:$AN$2001=1)*(元データ!$AE$2:$AE$2001=$C$108)*(元データ!$AO$2:$AO$2001=0)*(元データ!$AM$2:$AM$2001&gt;=22)*(元データ!$AM$2:$AM$2001&lt;=30)*(元データ!$E$2:$E$2001="40 差戻し"))</f>
        <v>0</v>
      </c>
      <c r="BV109" s="59" t="str" cm="1">
        <f t="array" aca="1" ref="BV109" ca="1">IFERROR(_xlfn.TEXTJOIN(CHAR(10),TRUE,IF((元データ!$AL$2:$AL$2001=1)*(元データ!$AN$2:$AN$2001=1)*(元データ!$AE$2:$AE$2001=$C$108)*(元データ!$AO$2:$AO$2001=0)*(元データ!$AM$2:$AM$2001&gt;=22)*(元データ!$AM$2:$AM$2001&lt;=30)*(元データ!$E$2:$E$2001="40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09" s="46">
        <f ca="1">SUMPRODUCT((元データ!$AL$2:$AL$2001=1)*(元データ!$AN$2:$AN$2001=1)*(元データ!$AE$2:$AE$2001=$C$108)*(元データ!$AO$2:$AO$2001=0)*(元データ!$AM$2:$AM$2001&gt;=31))</f>
        <v>4</v>
      </c>
      <c r="BX109" s="46">
        <f ca="1">SUMPRODUCT((元データ!$AL$2:$AL$2001=1)*(元データ!$AN$2:$AN$2001=1)*(元データ!$AE$2:$AE$2001=$C$108)*(元データ!$AO$2:$AO$2001=0)*(元データ!$AM$2:$AM$2001&gt;=31)*(元データ!$E$2:$E$2001="20 確認待ち"))</f>
        <v>0</v>
      </c>
      <c r="BY109" s="56" t="str" cm="1">
        <f t="array" aca="1" ref="BY109" ca="1">IFERROR(_xlfn.TEXTJOIN(CHAR(10),TRUE,IF((元データ!$AL$2:$AL$2001=1)*(元データ!$AN$2:$AN$2001=1)*(元データ!$AE$2:$AE$2001=$C$108)*(元データ!$AO$2:$AO$2001=0)*(元データ!$AM$2:$AM$2001&gt;=31)*(元データ!$E$2:$E$2001="20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09" s="56"/>
      <c r="CA109" s="56"/>
      <c r="CB109" s="46">
        <f ca="1">SUMPRODUCT((元データ!$AL$2:$AL$2001=1)*(元データ!$AN$2:$AN$2001=1)*(元データ!$AE$2:$AE$2001=$C$108)*(元データ!$AO$2:$AO$2001=0)*(元データ!$AM$2:$AM$2001&gt;=31)*(元データ!$E$2:$E$2001="30 申請受付"))</f>
        <v>1</v>
      </c>
      <c r="CC109" s="56" t="str" cm="1">
        <f t="array" aca="1" ref="CC109" ca="1">IFERROR(_xlfn.TEXTJOIN(CHAR(10),TRUE,IF((元データ!$AL$2:$AL$2001=1)*(元データ!$AN$2:$AN$2001=1)*(元データ!$AE$2:$AE$2001=$C$108)*(元データ!$AO$2:$AO$2001=0)*(元データ!$AM$2:$AM$2001&gt;=31)*(元データ!$E$2:$E$2001="30 申請受付"),元データ!$A$2:$A$2001&amp;IF(元データ!$AP$2:$AP$2001&lt;&gt;"","（"&amp;MID(元データ!$AP$2:$AP$2001,2,100)&amp;")",""),"")),"")</f>
        <v>202660001245</v>
      </c>
      <c r="CD109" s="56"/>
      <c r="CE109" s="56"/>
      <c r="CF109" s="46">
        <f ca="1">SUMPRODUCT((元データ!$AL$2:$AL$2001=1)*(元データ!$AN$2:$AN$2001=1)*(元データ!$AE$2:$AE$2001=$C$108)*(元データ!$AO$2:$AO$2001=0)*(元データ!$AM$2:$AM$2001&gt;=31)*(元データ!$E$2:$E$2001="31 ＯＰ確認中"))</f>
        <v>1</v>
      </c>
      <c r="CG109" s="56" t="str" cm="1">
        <f t="array" aca="1" ref="CG109" ca="1">IFERROR(_xlfn.TEXTJOIN(CHAR(10),TRUE,IF((元データ!$AL$2:$AL$2001=1)*(元データ!$AN$2:$AN$2001=1)*(元データ!$AE$2:$AE$2001=$C$108)*(元データ!$AO$2:$AO$2001=0)*(元データ!$AM$2:$AM$2001&gt;=31)*(元データ!$E$2:$E$2001="31 ＯＰ確認中"),元データ!$A$2:$A$2001&amp;IF(元データ!$AP$2:$AP$2001&lt;&gt;"","（"&amp;MID(元データ!$AP$2:$AP$2001,2,100)&amp;")",""),"")),"")</f>
        <v>201560001259（管)</v>
      </c>
      <c r="CH109" s="56"/>
      <c r="CI109" s="56"/>
      <c r="CJ109" s="46">
        <f ca="1">SUMPRODUCT((元データ!$AL$2:$AL$2001=1)*(元データ!$AN$2:$AN$2001=1)*(元データ!$AE$2:$AE$2001=$C$108)*(元データ!$AO$2:$AO$2001=0)*(元データ!$AM$2:$AM$2001&gt;=31)*(元データ!$E$2:$E$2001="32 ＳＶ確認中"))</f>
        <v>0</v>
      </c>
      <c r="CK109" s="56" t="str" cm="1">
        <f t="array" aca="1" ref="CK109" ca="1">IFERROR(_xlfn.TEXTJOIN(CHAR(10),TRUE,IF((元データ!$AL$2:$AL$2001=1)*(元データ!$AN$2:$AN$2001=1)*(元データ!$AE$2:$AE$2001=$C$108)*(元データ!$AO$2:$AO$2001=0)*(元データ!$AM$2:$AM$2001&gt;=31)*(元データ!$E$2:$E$2001="32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09" s="56">
        <f ca="1">SUMPRODUCT((元データ!$AL$2:$AL$2001=1)*(元データ!$AN$2:$AN$2001=1)*(元データ!$AE$2:$AE$2001=$C$108)*(元データ!$AO$2:$AO$2001=0)*(元データ!$AM$2:$AM$2001&gt;=31)*(元データ!$E$2:$E$2001="40 差戻し"))</f>
        <v>2</v>
      </c>
      <c r="CM109" s="56" t="str" cm="1">
        <f t="array" aca="1" ref="CM109" ca="1">IFERROR(_xlfn.TEXTJOIN(CHAR(10),TRUE,IF((元データ!$AL$2:$AL$2001=1)*(元データ!$AN$2:$AN$2001=1)*(元データ!$AE$2:$AE$2001=$C$108)*(元データ!$AO$2:$AO$2001=0)*(元データ!$AM$2:$AM$2001&gt;=31)*(元データ!$E$2:$E$2001="40 差戻し"),元データ!$A$2:$A$2001&amp;IF(元データ!$AP$2:$AP$2001&lt;&gt;"","（"&amp;MID(元データ!$AP$2:$AP$2001,2,100)&amp;")",""),"")),"")</f>
        <v>201560002704（削除)
202660001278（添待ち)</v>
      </c>
    </row>
    <row r="110" spans="2:91" ht="24.95" customHeight="1">
      <c r="B110" s="91"/>
      <c r="C110" s="63" t="s">
        <v>72</v>
      </c>
      <c r="D110" s="63"/>
      <c r="E110" s="41" t="s">
        <v>133</v>
      </c>
      <c r="F110" s="42">
        <f>SUMPRODUCT((元データ!$AL$2:$AL$2001=1)*(元データ!$AN$2:$AN$2001=1)*(元データ!$AE$2:$AE$2001=$C$110)*(元データ!$AO$2:$AO$2001=1))</f>
        <v>1</v>
      </c>
      <c r="G110" s="43">
        <f ca="1">SUMPRODUCT((元データ!$AL$2:$AL$2001=1)*(元データ!$AN$2:$AN$2001=1)*(元データ!$AE$2:$AE$2001=$C$110)*(元データ!$AO$2:$AO$2001=1)*(元データ!$AM$2:$AM$2001&lt;=7))</f>
        <v>0</v>
      </c>
      <c r="H110" s="43">
        <f ca="1">SUMPRODUCT((元データ!$AL$2:$AL$2001=1)*(元データ!$AN$2:$AN$2001=1)*(元データ!$AE$2:$AE$2001=$C$110)*(元データ!$AO$2:$AO$2001=1)*(元データ!$AM$2:$AM$2001&lt;=7)*(元データ!$E$2:$E$2001="20 確認待ち"))</f>
        <v>0</v>
      </c>
      <c r="I110" s="61" t="str" cm="1">
        <f t="array" aca="1" ref="I110" ca="1">IFERROR(_xlfn.TEXTJOIN(CHAR(10),TRUE,IF((元データ!$AL$2:$AL$2001=1)*(元データ!$AN$2:$AN$2001=1)*(元データ!$AE$2:$AE$2001=$C$110)*(元データ!$AO$2:$AO$2001=1)*(元データ!$AM$2:$AM$2001&lt;=7)*(元データ!$E$2:$E$2001="20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10" s="61"/>
      <c r="K110" s="61"/>
      <c r="L110" s="43">
        <f ca="1">SUMPRODUCT((元データ!$AL$2:$AL$2001=1)*(元データ!$AN$2:$AN$2001=1)*(元データ!$AE$2:$AE$2001=$C$110)*(元データ!$AO$2:$AO$2001=1)*(元データ!$AM$2:$AM$2001&lt;=7)*(元データ!$E$2:$E$2001="30 申請受付"))</f>
        <v>0</v>
      </c>
      <c r="M110" s="61" t="str" cm="1">
        <f t="array" aca="1" ref="M110" ca="1">IFERROR(_xlfn.TEXTJOIN(CHAR(10),TRUE,IF((元データ!$AL$2:$AL$2001=1)*(元データ!$AN$2:$AN$2001=1)*(元データ!$AE$2:$AE$2001=$C$110)*(元データ!$AO$2:$AO$2001=1)*(元データ!$AM$2:$AM$2001&lt;=7)*(元データ!$E$2:$E$2001="30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10" s="61"/>
      <c r="O110" s="61"/>
      <c r="P110" s="43">
        <f ca="1">SUMPRODUCT((元データ!$AL$2:$AL$2001=1)*(元データ!$AN$2:$AN$2001=1)*(元データ!$AE$2:$AE$2001=$C$110)*(元データ!$AO$2:$AO$2001=1)*(元データ!$AM$2:$AM$2001&lt;=7)*(元データ!$E$2:$E$2001="31 ＯＰ確認中"))</f>
        <v>0</v>
      </c>
      <c r="Q110" s="61" t="str" cm="1">
        <f t="array" aca="1" ref="Q110" ca="1">IFERROR(_xlfn.TEXTJOIN(CHAR(10),TRUE,IF((元データ!$AL$2:$AL$2001=1)*(元データ!$AN$2:$AN$2001=1)*(元データ!$AE$2:$AE$2001=$C$110)*(元データ!$AO$2:$AO$2001=1)*(元データ!$AM$2:$AM$2001&lt;=7)*(元データ!$E$2:$E$2001="31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10" s="61"/>
      <c r="S110" s="61"/>
      <c r="T110" s="43">
        <f ca="1">SUMPRODUCT((元データ!$AL$2:$AL$2001=1)*(元データ!$AN$2:$AN$2001=1)*(元データ!$AE$2:$AE$2001=$C$110)*(元データ!$AO$2:$AO$2001=1)*(元データ!$AM$2:$AM$2001&lt;=7)*(元データ!$E$2:$E$2001="32 ＳＶ確認中"))</f>
        <v>0</v>
      </c>
      <c r="U110" s="61" t="str" cm="1">
        <f t="array" aca="1" ref="U110" ca="1">IFERROR(_xlfn.TEXTJOIN(CHAR(10),TRUE,IF((元データ!$AL$2:$AL$2001=1)*(元データ!$AN$2:$AN$2001=1)*(元データ!$AE$2:$AE$2001=$C$110)*(元データ!$AO$2:$AO$2001=1)*(元データ!$AM$2:$AM$2001&lt;=7)*(元データ!$E$2:$E$2001="32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10" s="61"/>
      <c r="W110" s="61"/>
      <c r="X110" s="43">
        <f ca="1">SUMPRODUCT((元データ!$AL$2:$AL$2001=1)*(元データ!$AN$2:$AN$2001=1)*(元データ!$AE$2:$AE$2001=$C$110)*(元データ!$AO$2:$AO$2001=1)*(元データ!$AM$2:$AM$2001&gt;=8)*(元データ!$AM$2:$AM$2001&lt;=14))</f>
        <v>0</v>
      </c>
      <c r="Y110" s="43">
        <f ca="1">SUMPRODUCT((元データ!$AL$2:$AL$2001=1)*(元データ!$AN$2:$AN$2001=1)*(元データ!$AE$2:$AE$2001=$C$110)*(元データ!$AO$2:$AO$2001=1)*(元データ!$AM$2:$AM$2001&gt;=8)*(元データ!$AM$2:$AM$2001&lt;=14)*(元データ!$E$2:$E$2001="20 確認待ち"))</f>
        <v>0</v>
      </c>
      <c r="Z110" s="61" t="str" cm="1">
        <f t="array" aca="1" ref="Z110" ca="1">IFERROR(_xlfn.TEXTJOIN(CHAR(10),TRUE,IF((元データ!$AL$2:$AL$2001=1)*(元データ!$AN$2:$AN$2001=1)*(元データ!$AE$2:$AE$2001=$C$110)*(元データ!$AO$2:$AO$2001=1)*(元データ!$AM$2:$AM$2001&gt;=8)*(元データ!$AM$2:$AM$2001&lt;=14)*(元データ!$E$2:$E$2001="20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0" s="61"/>
      <c r="AB110" s="61"/>
      <c r="AC110" s="43">
        <f ca="1">SUMPRODUCT((元データ!$AL$2:$AL$2001=1)*(元データ!$AN$2:$AN$2001=1)*(元データ!$AE$2:$AE$2001=$C$110)*(元データ!$AO$2:$AO$2001=1)*(元データ!$AM$2:$AM$2001&gt;=8)*(元データ!$AM$2:$AM$2001&lt;=14)*(元データ!$E$2:$E$2001="30 申請受付"))</f>
        <v>0</v>
      </c>
      <c r="AD110" s="61" t="str" cm="1">
        <f t="array" aca="1" ref="AD110" ca="1">IFERROR(_xlfn.TEXTJOIN(CHAR(10),TRUE,IF((元データ!$AL$2:$AL$2001=1)*(元データ!$AN$2:$AN$2001=1)*(元データ!$AE$2:$AE$2001=$C$110)*(元データ!$AO$2:$AO$2001=1)*(元データ!$AM$2:$AM$2001&gt;=8)*(元データ!$AM$2:$AM$2001&lt;=14)*(元データ!$E$2:$E$2001="30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0" s="61"/>
      <c r="AF110" s="61"/>
      <c r="AG110" s="43">
        <f ca="1">SUMPRODUCT((元データ!$AL$2:$AL$2001=1)*(元データ!$AN$2:$AN$2001=1)*(元データ!$AE$2:$AE$2001=$C$110)*(元データ!$AO$2:$AO$2001=1)*(元データ!$AM$2:$AM$2001&gt;=8)*(元データ!$AM$2:$AM$2001&lt;=14)*(元データ!$E$2:$E$2001="31 ＯＰ確認中"))</f>
        <v>0</v>
      </c>
      <c r="AH110" s="61" t="str" cm="1">
        <f t="array" aca="1" ref="AH110" ca="1">IFERROR(_xlfn.TEXTJOIN(CHAR(10),TRUE,IF((元データ!$AL$2:$AL$2001=1)*(元データ!$AN$2:$AN$2001=1)*(元データ!$AE$2:$AE$2001=$C$110)*(元データ!$AO$2:$AO$2001=1)*(元データ!$AM$2:$AM$2001&gt;=8)*(元データ!$AM$2:$AM$2001&lt;=14)*(元データ!$E$2:$E$2001="31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0" s="61"/>
      <c r="AJ110" s="61"/>
      <c r="AK110" s="43">
        <f ca="1">SUMPRODUCT((元データ!$AL$2:$AL$2001=1)*(元データ!$AN$2:$AN$2001=1)*(元データ!$AE$2:$AE$2001=$C$110)*(元データ!$AO$2:$AO$2001=1)*(元データ!$AM$2:$AM$2001&gt;=8)*(元データ!$AM$2:$AM$2001&lt;=14)*(元データ!$E$2:$E$2001="32 ＳＶ確認中"))</f>
        <v>0</v>
      </c>
      <c r="AL110" s="61" t="str" cm="1">
        <f t="array" aca="1" ref="AL110" ca="1">IFERROR(_xlfn.TEXTJOIN(CHAR(10),TRUE,IF((元データ!$AL$2:$AL$2001=1)*(元データ!$AN$2:$AN$2001=1)*(元データ!$AE$2:$AE$2001=$C$110)*(元データ!$AO$2:$AO$2001=1)*(元データ!$AM$2:$AM$2001&gt;=8)*(元データ!$AM$2:$AM$2001&lt;=14)*(元データ!$E$2:$E$2001="32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0" s="61">
        <f ca="1">SUMPRODUCT((元データ!$AL$2:$AL$2001=1)*(元データ!$AN$2:$AN$2001=1)*(元データ!$AE$2:$AE$2001=$C$110)*(元データ!$AO$2:$AO$2001=1)*(元データ!$AM$2:$AM$2001&gt;=8)*(元データ!$AM$2:$AM$2001&lt;=14)*(元データ!$E$2:$E$2001="40 差戻し"))</f>
        <v>0</v>
      </c>
      <c r="AN110" s="61" t="str" cm="1">
        <f t="array" aca="1" ref="AN110" ca="1">IFERROR(_xlfn.TEXTJOIN(CHAR(10),TRUE,IF((元データ!$AL$2:$AL$2001=1)*(元データ!$AN$2:$AN$2001=1)*(元データ!$AE$2:$AE$2001=$C$110)*(元データ!$AO$2:$AO$2001=1)*(元データ!$AM$2:$AM$2001&gt;=8)*(元データ!$AM$2:$AM$2001&lt;=14)*(元データ!$E$2:$E$2001="40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0" s="44">
        <f ca="1">SUMPRODUCT((元データ!$AL$2:$AL$2001=1)*(元データ!$AN$2:$AN$2001=1)*(元データ!$AE$2:$AE$2001=$C$110)*(元データ!$AO$2:$AO$2001=1)*(元データ!$AM$2:$AM$2001&gt;=15)*(元データ!$AM$2:$AM$2001&lt;=21))</f>
        <v>0</v>
      </c>
      <c r="AP110" s="44">
        <f ca="1">SUMPRODUCT((元データ!$AL$2:$AL$2001=1)*(元データ!$AN$2:$AN$2001=1)*(元データ!$AE$2:$AE$2001=$C$110)*(元データ!$AO$2:$AO$2001=1)*(元データ!$AM$2:$AM$2001&gt;=15)*(元データ!$AM$2:$AM$2001&lt;=21)*(元データ!$E$2:$E$2001="20 確認待ち"))</f>
        <v>0</v>
      </c>
      <c r="AQ110" s="58" t="str" cm="1">
        <f t="array" aca="1" ref="AQ110" ca="1">IFERROR(_xlfn.TEXTJOIN(CHAR(10),TRUE,IF((元データ!$AL$2:$AL$2001=1)*(元データ!$AN$2:$AN$2001=1)*(元データ!$AE$2:$AE$2001=$C$110)*(元データ!$AO$2:$AO$2001=1)*(元データ!$AM$2:$AM$2001&gt;=15)*(元データ!$AM$2:$AM$2001&lt;=21)*(元データ!$E$2:$E$2001="20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0" s="58"/>
      <c r="AS110" s="58"/>
      <c r="AT110" s="44">
        <f ca="1">SUMPRODUCT((元データ!$AL$2:$AL$2001=1)*(元データ!$AN$2:$AN$2001=1)*(元データ!$AE$2:$AE$2001=$C$110)*(元データ!$AO$2:$AO$2001=1)*(元データ!$AM$2:$AM$2001&gt;=15)*(元データ!$AM$2:$AM$2001&lt;=21)*(元データ!$E$2:$E$2001="30 申請受付"))</f>
        <v>0</v>
      </c>
      <c r="AU110" s="58" t="str" cm="1">
        <f t="array" aca="1" ref="AU110" ca="1">IFERROR(_xlfn.TEXTJOIN(CHAR(10),TRUE,IF((元データ!$AL$2:$AL$2001=1)*(元データ!$AN$2:$AN$2001=1)*(元データ!$AE$2:$AE$2001=$C$110)*(元データ!$AO$2:$AO$2001=1)*(元データ!$AM$2:$AM$2001&gt;=15)*(元データ!$AM$2:$AM$2001&lt;=21)*(元データ!$E$2:$E$2001="30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0" s="58"/>
      <c r="AW110" s="58"/>
      <c r="AX110" s="44">
        <f ca="1">SUMPRODUCT((元データ!$AL$2:$AL$2001=1)*(元データ!$AN$2:$AN$2001=1)*(元データ!$AE$2:$AE$2001=$C$110)*(元データ!$AO$2:$AO$2001=1)*(元データ!$AM$2:$AM$2001&gt;=15)*(元データ!$AM$2:$AM$2001&lt;=21)*(元データ!$E$2:$E$2001="31 ＯＰ確認中"))</f>
        <v>0</v>
      </c>
      <c r="AY110" s="58" t="str" cm="1">
        <f t="array" aca="1" ref="AY110" ca="1">IFERROR(_xlfn.TEXTJOIN(CHAR(10),TRUE,IF((元データ!$AL$2:$AL$2001=1)*(元データ!$AN$2:$AN$2001=1)*(元データ!$AE$2:$AE$2001=$C$110)*(元データ!$AO$2:$AO$2001=1)*(元データ!$AM$2:$AM$2001&gt;=15)*(元データ!$AM$2:$AM$2001&lt;=21)*(元データ!$E$2:$E$2001="31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0" s="58"/>
      <c r="BA110" s="58"/>
      <c r="BB110" s="44">
        <f ca="1">SUMPRODUCT((元データ!$AL$2:$AL$2001=1)*(元データ!$AN$2:$AN$2001=1)*(元データ!$AE$2:$AE$2001=$C$110)*(元データ!$AO$2:$AO$2001=1)*(元データ!$AM$2:$AM$2001&gt;=15)*(元データ!$AM$2:$AM$2001&lt;=21)*(元データ!$E$2:$E$2001="32 ＳＶ確認中"))</f>
        <v>0</v>
      </c>
      <c r="BC110" s="58" t="str" cm="1">
        <f t="array" aca="1" ref="BC110" ca="1">IFERROR(_xlfn.TEXTJOIN(CHAR(10),TRUE,IF((元データ!$AL$2:$AL$2001=1)*(元データ!$AN$2:$AN$2001=1)*(元データ!$AE$2:$AE$2001=$C$110)*(元データ!$AO$2:$AO$2001=1)*(元データ!$AM$2:$AM$2001&gt;=15)*(元データ!$AM$2:$AM$2001&lt;=21)*(元データ!$E$2:$E$2001="32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0" s="58">
        <f ca="1">SUMPRODUCT((元データ!$AL$2:$AL$2001=1)*(元データ!$AN$2:$AN$2001=1)*(元データ!$AE$2:$AE$2001=$C$110)*(元データ!$AO$2:$AO$2001=1)*(元データ!$AM$2:$AM$2001&gt;=15)*(元データ!$AM$2:$AM$2001&lt;=21)*(元データ!$E$2:$E$2001="40 差戻し"))</f>
        <v>0</v>
      </c>
      <c r="BE110" s="58" t="str" cm="1">
        <f t="array" aca="1" ref="BE110" ca="1">IFERROR(_xlfn.TEXTJOIN(CHAR(10),TRUE,IF((元データ!$AL$2:$AL$2001=1)*(元データ!$AN$2:$AN$2001=1)*(元データ!$AE$2:$AE$2001=$C$110)*(元データ!$AO$2:$AO$2001=1)*(元データ!$AM$2:$AM$2001&gt;=15)*(元データ!$AM$2:$AM$2001&lt;=21)*(元データ!$E$2:$E$2001="40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0" s="45">
        <f ca="1">SUMPRODUCT((元データ!$AL$2:$AL$2001=1)*(元データ!$AN$2:$AN$2001=1)*(元データ!$AE$2:$AE$2001=$C$110)*(元データ!$AO$2:$AO$2001=1)*(元データ!$AM$2:$AM$2001&gt;=22)*(元データ!$AM$2:$AM$2001&lt;=30))</f>
        <v>0</v>
      </c>
      <c r="BG110" s="45">
        <f ca="1">SUMPRODUCT((元データ!$AL$2:$AL$2001=1)*(元データ!$AN$2:$AN$2001=1)*(元データ!$AE$2:$AE$2001=$C$110)*(元データ!$AO$2:$AO$2001=1)*(元データ!$AM$2:$AM$2001&gt;=22)*(元データ!$AM$2:$AM$2001&lt;=30)*(元データ!$E$2:$E$2001="20 確認待ち"))</f>
        <v>0</v>
      </c>
      <c r="BH110" s="60" t="str" cm="1">
        <f t="array" aca="1" ref="BH110" ca="1">IFERROR(_xlfn.TEXTJOIN(CHAR(10),TRUE,IF((元データ!$AL$2:$AL$2001=1)*(元データ!$AN$2:$AN$2001=1)*(元データ!$AE$2:$AE$2001=$C$110)*(元データ!$AO$2:$AO$2001=1)*(元データ!$AM$2:$AM$2001&gt;=22)*(元データ!$AM$2:$AM$2001&lt;=30)*(元データ!$E$2:$E$2001="20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0" s="60"/>
      <c r="BJ110" s="60"/>
      <c r="BK110" s="45">
        <f ca="1">SUMPRODUCT((元データ!$AL$2:$AL$2001=1)*(元データ!$AN$2:$AN$2001=1)*(元データ!$AE$2:$AE$2001=$C$110)*(元データ!$AO$2:$AO$2001=1)*(元データ!$AM$2:$AM$2001&gt;=22)*(元データ!$AM$2:$AM$2001&lt;=30)*(元データ!$E$2:$E$2001="30 申請受付"))</f>
        <v>0</v>
      </c>
      <c r="BL110" s="59" t="str" cm="1">
        <f t="array" aca="1" ref="BL110" ca="1">IFERROR(_xlfn.TEXTJOIN(CHAR(10),TRUE,IF((元データ!$AL$2:$AL$2001=1)*(元データ!$AN$2:$AN$2001=1)*(元データ!$AE$2:$AE$2001=$C$110)*(元データ!$AO$2:$AO$2001=1)*(元データ!$AM$2:$AM$2001&gt;=22)*(元データ!$AM$2:$AM$2001&lt;=30)*(元データ!$E$2:$E$2001="30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0" s="59"/>
      <c r="BN110" s="59"/>
      <c r="BO110" s="45">
        <f ca="1">SUMPRODUCT((元データ!$AL$2:$AL$2001=1)*(元データ!$AN$2:$AN$2001=1)*(元データ!$AE$2:$AE$2001=$C$110)*(元データ!$AO$2:$AO$2001=1)*(元データ!$AM$2:$AM$2001&gt;=22)*(元データ!$AM$2:$AM$2001&lt;=30)*(元データ!$E$2:$E$2001="31 ＯＰ確認中"))</f>
        <v>0</v>
      </c>
      <c r="BP110" s="59" t="str" cm="1">
        <f t="array" aca="1" ref="BP110" ca="1">IFERROR(_xlfn.TEXTJOIN(CHAR(10),TRUE,IF((元データ!$AL$2:$AL$2001=1)*(元データ!$AN$2:$AN$2001=1)*(元データ!$AE$2:$AE$2001=$C$110)*(元データ!$AO$2:$AO$2001=1)*(元データ!$AM$2:$AM$2001&gt;=22)*(元データ!$AM$2:$AM$2001&lt;=30)*(元データ!$E$2:$E$2001="31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0" s="59"/>
      <c r="BR110" s="59"/>
      <c r="BS110" s="45">
        <f ca="1">SUMPRODUCT((元データ!$AL$2:$AL$2001=1)*(元データ!$AN$2:$AN$2001=1)*(元データ!$AE$2:$AE$2001=$C$110)*(元データ!$AO$2:$AO$2001=1)*(元データ!$AM$2:$AM$2001&gt;=22)*(元データ!$AM$2:$AM$2001&lt;=30)*(元データ!$E$2:$E$2001="32 ＳＶ確認中"))</f>
        <v>0</v>
      </c>
      <c r="BT110" s="59" t="str" cm="1">
        <f t="array" aca="1" ref="BT110" ca="1">IFERROR(_xlfn.TEXTJOIN(CHAR(10),TRUE,IF((元データ!$AL$2:$AL$2001=1)*(元データ!$AN$2:$AN$2001=1)*(元データ!$AE$2:$AE$2001=$C$110)*(元データ!$AO$2:$AO$2001=1)*(元データ!$AM$2:$AM$2001&gt;=22)*(元データ!$AM$2:$AM$2001&lt;=30)*(元データ!$E$2:$E$2001="32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0" s="59">
        <f ca="1">SUMPRODUCT((元データ!$AL$2:$AL$2001=1)*(元データ!$AN$2:$AN$2001=1)*(元データ!$AE$2:$AE$2001=$C$110)*(元データ!$AO$2:$AO$2001=1)*(元データ!$AM$2:$AM$2001&gt;=22)*(元データ!$AM$2:$AM$2001&lt;=30)*(元データ!$E$2:$E$2001="40 差戻し"))</f>
        <v>0</v>
      </c>
      <c r="BV110" s="59" t="str" cm="1">
        <f t="array" aca="1" ref="BV110" ca="1">IFERROR(_xlfn.TEXTJOIN(CHAR(10),TRUE,IF((元データ!$AL$2:$AL$2001=1)*(元データ!$AN$2:$AN$2001=1)*(元データ!$AE$2:$AE$2001=$C$110)*(元データ!$AO$2:$AO$2001=1)*(元データ!$AM$2:$AM$2001&gt;=22)*(元データ!$AM$2:$AM$2001&lt;=30)*(元データ!$E$2:$E$2001="40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0" s="46">
        <f ca="1">SUMPRODUCT((元データ!$AL$2:$AL$2001=1)*(元データ!$AN$2:$AN$2001=1)*(元データ!$AE$2:$AE$2001=$C$110)*(元データ!$AO$2:$AO$2001=1)*(元データ!$AM$2:$AM$2001&gt;=31))</f>
        <v>1</v>
      </c>
      <c r="BX110" s="46">
        <f ca="1">SUMPRODUCT((元データ!$AL$2:$AL$2001=1)*(元データ!$AN$2:$AN$2001=1)*(元データ!$AE$2:$AE$2001=$C$110)*(元データ!$AO$2:$AO$2001=1)*(元データ!$AM$2:$AM$2001&gt;=31)*(元データ!$E$2:$E$2001="20 確認待ち"))</f>
        <v>0</v>
      </c>
      <c r="BY110" s="56" t="str" cm="1">
        <f t="array" aca="1" ref="BY110" ca="1">IFERROR(_xlfn.TEXTJOIN(CHAR(10),TRUE,IF((元データ!$AL$2:$AL$2001=1)*(元データ!$AN$2:$AN$2001=1)*(元データ!$AE$2:$AE$2001=$C$110)*(元データ!$AO$2:$AO$2001=1)*(元データ!$AM$2:$AM$2001&gt;=31)*(元データ!$E$2:$E$2001="20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10" s="56"/>
      <c r="CA110" s="56"/>
      <c r="CB110" s="46">
        <f ca="1">SUMPRODUCT((元データ!$AL$2:$AL$2001=1)*(元データ!$AN$2:$AN$2001=1)*(元データ!$AE$2:$AE$2001=$C$110)*(元データ!$AO$2:$AO$2001=1)*(元データ!$AM$2:$AM$2001&gt;=31)*(元データ!$E$2:$E$2001="30 申請受付"))</f>
        <v>0</v>
      </c>
      <c r="CC110" s="56" t="str" cm="1">
        <f t="array" aca="1" ref="CC110" ca="1">IFERROR(_xlfn.TEXTJOIN(CHAR(10),TRUE,IF((元データ!$AL$2:$AL$2001=1)*(元データ!$AN$2:$AN$2001=1)*(元データ!$AE$2:$AE$2001=$C$110)*(元データ!$AO$2:$AO$2001=1)*(元データ!$AM$2:$AM$2001&gt;=31)*(元データ!$E$2:$E$2001="30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10" s="56"/>
      <c r="CE110" s="56"/>
      <c r="CF110" s="46">
        <f ca="1">SUMPRODUCT((元データ!$AL$2:$AL$2001=1)*(元データ!$AN$2:$AN$2001=1)*(元データ!$AE$2:$AE$2001=$C$110)*(元データ!$AO$2:$AO$2001=1)*(元データ!$AM$2:$AM$2001&gt;=31)*(元データ!$E$2:$E$2001="31 ＯＰ確認中"))</f>
        <v>1</v>
      </c>
      <c r="CG110" s="56" t="str" cm="1">
        <f t="array" aca="1" ref="CG110" ca="1">IFERROR(_xlfn.TEXTJOIN(CHAR(10),TRUE,IF((元データ!$AL$2:$AL$2001=1)*(元データ!$AN$2:$AN$2001=1)*(元データ!$AE$2:$AE$2001=$C$110)*(元データ!$AO$2:$AO$2001=1)*(元データ!$AM$2:$AM$2001&gt;=31)*(元データ!$E$2:$E$2001="31 ＯＰ確認中"),元データ!$A$2:$A$2001&amp;IF(元データ!$AP$2:$AP$2001&lt;&gt;"","（"&amp;MID(元データ!$AP$2:$AP$2001,2,100)&amp;")",""),"")),"")</f>
        <v>202560001201</v>
      </c>
      <c r="CH110" s="56"/>
      <c r="CI110" s="56"/>
      <c r="CJ110" s="46">
        <f ca="1">SUMPRODUCT((元データ!$AL$2:$AL$2001=1)*(元データ!$AN$2:$AN$2001=1)*(元データ!$AE$2:$AE$2001=$C$110)*(元データ!$AO$2:$AO$2001=1)*(元データ!$AM$2:$AM$2001&gt;=31)*(元データ!$E$2:$E$2001="32 ＳＶ確認中"))</f>
        <v>0</v>
      </c>
      <c r="CK110" s="56" t="str" cm="1">
        <f t="array" aca="1" ref="CK110" ca="1">IFERROR(_xlfn.TEXTJOIN(CHAR(10),TRUE,IF((元データ!$AL$2:$AL$2001=1)*(元データ!$AN$2:$AN$2001=1)*(元データ!$AE$2:$AE$2001=$C$110)*(元データ!$AO$2:$AO$2001=1)*(元データ!$AM$2:$AM$2001&gt;=31)*(元データ!$E$2:$E$2001="32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110" s="56">
        <f ca="1">SUMPRODUCT((元データ!$AL$2:$AL$2001=1)*(元データ!$AN$2:$AN$2001=1)*(元データ!$AE$2:$AE$2001=$C$110)*(元データ!$AO$2:$AO$2001=1)*(元データ!$AM$2:$AM$2001&gt;=31)*(元データ!$E$2:$E$2001="40 差戻し"))</f>
        <v>0</v>
      </c>
      <c r="CM110" s="56" t="str" cm="1">
        <f t="array" aca="1" ref="CM110" ca="1">IFERROR(_xlfn.TEXTJOIN(CHAR(10),TRUE,IF((元データ!$AL$2:$AL$2001=1)*(元データ!$AN$2:$AN$2001=1)*(元データ!$AE$2:$AE$2001=$C$110)*(元データ!$AO$2:$AO$2001=1)*(元データ!$AM$2:$AM$2001&gt;=31)*(元データ!$E$2:$E$2001="40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11" spans="2:91" ht="24.95" customHeight="1">
      <c r="B111" s="92"/>
      <c r="C111" s="63"/>
      <c r="D111" s="63"/>
      <c r="E111" s="47" t="s">
        <v>134</v>
      </c>
      <c r="F111" s="48">
        <f>SUMPRODUCT((元データ!$AL$2:$AL$2001=1)*(元データ!$AN$2:$AN$2001=1)*(元データ!$AE$2:$AE$2001=$C$110)*(元データ!$AO$2:$AO$2001=0))</f>
        <v>4</v>
      </c>
      <c r="G111" s="49">
        <f ca="1">SUMPRODUCT((元データ!$AL$2:$AL$2001=1)*(元データ!$AN$2:$AN$2001=1)*(元データ!$AE$2:$AE$2001=$C$110)*(元データ!$AO$2:$AO$2001=0)*(元データ!$AM$2:$AM$2001&lt;=7))</f>
        <v>0</v>
      </c>
      <c r="H111" s="49">
        <f ca="1">SUMPRODUCT((元データ!$AL$2:$AL$2001=1)*(元データ!$AN$2:$AN$2001=1)*(元データ!$AE$2:$AE$2001=$C$110)*(元データ!$AO$2:$AO$2001=0)*(元データ!$AM$2:$AM$2001&lt;=7)*(元データ!$E$2:$E$2001="20 確認待ち"))</f>
        <v>0</v>
      </c>
      <c r="I111" s="57" t="str" cm="1">
        <f t="array" aca="1" ref="I111" ca="1">IFERROR(_xlfn.TEXTJOIN(CHAR(10),TRUE,IF((元データ!$AL$2:$AL$2001=1)*(元データ!$AN$2:$AN$2001=1)*(元データ!$AE$2:$AE$2001=$C$110)*(元データ!$AO$2:$AO$2001=0)*(元データ!$AM$2:$AM$2001&lt;=7)*(元データ!$E$2:$E$2001="20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11" s="57"/>
      <c r="K111" s="57"/>
      <c r="L111" s="49">
        <f ca="1">SUMPRODUCT((元データ!$AL$2:$AL$2001=1)*(元データ!$AN$2:$AN$2001=1)*(元データ!$AE$2:$AE$2001=$C$110)*(元データ!$AO$2:$AO$2001=0)*(元データ!$AM$2:$AM$2001&lt;=7)*(元データ!$E$2:$E$2001="30 申請受付"))</f>
        <v>0</v>
      </c>
      <c r="M111" s="57" t="str" cm="1">
        <f t="array" aca="1" ref="M111" ca="1">IFERROR(_xlfn.TEXTJOIN(CHAR(10),TRUE,IF((元データ!$AL$2:$AL$2001=1)*(元データ!$AN$2:$AN$2001=1)*(元データ!$AE$2:$AE$2001=$C$110)*(元データ!$AO$2:$AO$2001=0)*(元データ!$AM$2:$AM$2001&lt;=7)*(元データ!$E$2:$E$2001="30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11" s="57"/>
      <c r="O111" s="57"/>
      <c r="P111" s="49">
        <f ca="1">SUMPRODUCT((元データ!$AL$2:$AL$2001=1)*(元データ!$AN$2:$AN$2001=1)*(元データ!$AE$2:$AE$2001=$C$110)*(元データ!$AO$2:$AO$2001=0)*(元データ!$AM$2:$AM$2001&lt;=7)*(元データ!$E$2:$E$2001="31 ＯＰ確認中"))</f>
        <v>0</v>
      </c>
      <c r="Q111" s="57" t="str" cm="1">
        <f t="array" aca="1" ref="Q111" ca="1">IFERROR(_xlfn.TEXTJOIN(CHAR(10),TRUE,IF((元データ!$AL$2:$AL$2001=1)*(元データ!$AN$2:$AN$2001=1)*(元データ!$AE$2:$AE$2001=$C$110)*(元データ!$AO$2:$AO$2001=0)*(元データ!$AM$2:$AM$2001&lt;=7)*(元データ!$E$2:$E$2001="31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11" s="57"/>
      <c r="S111" s="57"/>
      <c r="T111" s="49">
        <f ca="1">SUMPRODUCT((元データ!$AL$2:$AL$2001=1)*(元データ!$AN$2:$AN$2001=1)*(元データ!$AE$2:$AE$2001=$C$110)*(元データ!$AO$2:$AO$2001=0)*(元データ!$AM$2:$AM$2001&lt;=7)*(元データ!$E$2:$E$2001="32 ＳＶ確認中"))</f>
        <v>0</v>
      </c>
      <c r="U111" s="57" t="str" cm="1">
        <f t="array" aca="1" ref="U111" ca="1">IFERROR(_xlfn.TEXTJOIN(CHAR(10),TRUE,IF((元データ!$AL$2:$AL$2001=1)*(元データ!$AN$2:$AN$2001=1)*(元データ!$AE$2:$AE$2001=$C$110)*(元データ!$AO$2:$AO$2001=0)*(元データ!$AM$2:$AM$2001&lt;=7)*(元データ!$E$2:$E$2001="32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11" s="57"/>
      <c r="W111" s="57"/>
      <c r="X111" s="49">
        <f ca="1">SUMPRODUCT((元データ!$AL$2:$AL$2001=1)*(元データ!$AN$2:$AN$2001=1)*(元データ!$AE$2:$AE$2001=$C$110)*(元データ!$AO$2:$AO$2001=0)*(元データ!$AM$2:$AM$2001&gt;=8)*(元データ!$AM$2:$AM$2001&lt;=14))</f>
        <v>0</v>
      </c>
      <c r="Y111" s="49">
        <f ca="1">SUMPRODUCT((元データ!$AL$2:$AL$2001=1)*(元データ!$AN$2:$AN$2001=1)*(元データ!$AE$2:$AE$2001=$C$110)*(元データ!$AO$2:$AO$2001=0)*(元データ!$AM$2:$AM$2001&gt;=8)*(元データ!$AM$2:$AM$2001&lt;=14)*(元データ!$E$2:$E$2001="20 確認待ち"))</f>
        <v>0</v>
      </c>
      <c r="Z111" s="57" t="str" cm="1">
        <f t="array" aca="1" ref="Z111" ca="1">IFERROR(_xlfn.TEXTJOIN(CHAR(10),TRUE,IF((元データ!$AL$2:$AL$2001=1)*(元データ!$AN$2:$AN$2001=1)*(元データ!$AE$2:$AE$2001=$C$110)*(元データ!$AO$2:$AO$2001=0)*(元データ!$AM$2:$AM$2001&gt;=8)*(元データ!$AM$2:$AM$2001&lt;=14)*(元データ!$E$2:$E$2001="20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1" s="57"/>
      <c r="AB111" s="57"/>
      <c r="AC111" s="49">
        <f ca="1">SUMPRODUCT((元データ!$AL$2:$AL$2001=1)*(元データ!$AN$2:$AN$2001=1)*(元データ!$AE$2:$AE$2001=$C$110)*(元データ!$AO$2:$AO$2001=0)*(元データ!$AM$2:$AM$2001&gt;=8)*(元データ!$AM$2:$AM$2001&lt;=14)*(元データ!$E$2:$E$2001="30 申請受付"))</f>
        <v>0</v>
      </c>
      <c r="AD111" s="57" t="str" cm="1">
        <f t="array" aca="1" ref="AD111" ca="1">IFERROR(_xlfn.TEXTJOIN(CHAR(10),TRUE,IF((元データ!$AL$2:$AL$2001=1)*(元データ!$AN$2:$AN$2001=1)*(元データ!$AE$2:$AE$2001=$C$110)*(元データ!$AO$2:$AO$2001=0)*(元データ!$AM$2:$AM$2001&gt;=8)*(元データ!$AM$2:$AM$2001&lt;=14)*(元データ!$E$2:$E$2001="30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1" s="57"/>
      <c r="AF111" s="57"/>
      <c r="AG111" s="49">
        <f ca="1">SUMPRODUCT((元データ!$AL$2:$AL$2001=1)*(元データ!$AN$2:$AN$2001=1)*(元データ!$AE$2:$AE$2001=$C$110)*(元データ!$AO$2:$AO$2001=0)*(元データ!$AM$2:$AM$2001&gt;=8)*(元データ!$AM$2:$AM$2001&lt;=14)*(元データ!$E$2:$E$2001="31 ＯＰ確認中"))</f>
        <v>0</v>
      </c>
      <c r="AH111" s="57" t="str" cm="1">
        <f t="array" aca="1" ref="AH111" ca="1">IFERROR(_xlfn.TEXTJOIN(CHAR(10),TRUE,IF((元データ!$AL$2:$AL$2001=1)*(元データ!$AN$2:$AN$2001=1)*(元データ!$AE$2:$AE$2001=$C$110)*(元データ!$AO$2:$AO$2001=0)*(元データ!$AM$2:$AM$2001&gt;=8)*(元データ!$AM$2:$AM$2001&lt;=14)*(元データ!$E$2:$E$2001="31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1" s="57"/>
      <c r="AJ111" s="57"/>
      <c r="AK111" s="49">
        <f ca="1">SUMPRODUCT((元データ!$AL$2:$AL$2001=1)*(元データ!$AN$2:$AN$2001=1)*(元データ!$AE$2:$AE$2001=$C$110)*(元データ!$AO$2:$AO$2001=0)*(元データ!$AM$2:$AM$2001&gt;=8)*(元データ!$AM$2:$AM$2001&lt;=14)*(元データ!$E$2:$E$2001="32 ＳＶ確認中"))</f>
        <v>0</v>
      </c>
      <c r="AL111" s="57" t="str" cm="1">
        <f t="array" aca="1" ref="AL111" ca="1">IFERROR(_xlfn.TEXTJOIN(CHAR(10),TRUE,IF((元データ!$AL$2:$AL$2001=1)*(元データ!$AN$2:$AN$2001=1)*(元データ!$AE$2:$AE$2001=$C$110)*(元データ!$AO$2:$AO$2001=0)*(元データ!$AM$2:$AM$2001&gt;=8)*(元データ!$AM$2:$AM$2001&lt;=14)*(元データ!$E$2:$E$2001="32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1" s="57">
        <f ca="1">SUMPRODUCT((元データ!$AL$2:$AL$2001=1)*(元データ!$AN$2:$AN$2001=1)*(元データ!$AE$2:$AE$2001=$C$110)*(元データ!$AO$2:$AO$2001=0)*(元データ!$AM$2:$AM$2001&gt;=8)*(元データ!$AM$2:$AM$2001&lt;=14)*(元データ!$E$2:$E$2001="40 差戻し"))</f>
        <v>0</v>
      </c>
      <c r="AN111" s="57" t="str" cm="1">
        <f t="array" aca="1" ref="AN111" ca="1">IFERROR(_xlfn.TEXTJOIN(CHAR(10),TRUE,IF((元データ!$AL$2:$AL$2001=1)*(元データ!$AN$2:$AN$2001=1)*(元データ!$AE$2:$AE$2001=$C$110)*(元データ!$AO$2:$AO$2001=0)*(元データ!$AM$2:$AM$2001&gt;=8)*(元データ!$AM$2:$AM$2001&lt;=14)*(元データ!$E$2:$E$2001="40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1" s="44">
        <f ca="1">SUMPRODUCT((元データ!$AL$2:$AL$2001=1)*(元データ!$AN$2:$AN$2001=1)*(元データ!$AE$2:$AE$2001=$C$110)*(元データ!$AO$2:$AO$2001=0)*(元データ!$AM$2:$AM$2001&gt;=15)*(元データ!$AM$2:$AM$2001&lt;=21))</f>
        <v>0</v>
      </c>
      <c r="AP111" s="44">
        <f ca="1">SUMPRODUCT((元データ!$AL$2:$AL$2001=1)*(元データ!$AN$2:$AN$2001=1)*(元データ!$AE$2:$AE$2001=$C$110)*(元データ!$AO$2:$AO$2001=0)*(元データ!$AM$2:$AM$2001&gt;=15)*(元データ!$AM$2:$AM$2001&lt;=21)*(元データ!$E$2:$E$2001="20 確認待ち"))</f>
        <v>0</v>
      </c>
      <c r="AQ111" s="58" t="str" cm="1">
        <f t="array" aca="1" ref="AQ111" ca="1">IFERROR(_xlfn.TEXTJOIN(CHAR(10),TRUE,IF((元データ!$AL$2:$AL$2001=1)*(元データ!$AN$2:$AN$2001=1)*(元データ!$AE$2:$AE$2001=$C$110)*(元データ!$AO$2:$AO$2001=0)*(元データ!$AM$2:$AM$2001&gt;=15)*(元データ!$AM$2:$AM$2001&lt;=21)*(元データ!$E$2:$E$2001="20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1" s="58"/>
      <c r="AS111" s="58"/>
      <c r="AT111" s="44">
        <f ca="1">SUMPRODUCT((元データ!$AL$2:$AL$2001=1)*(元データ!$AN$2:$AN$2001=1)*(元データ!$AE$2:$AE$2001=$C$110)*(元データ!$AO$2:$AO$2001=0)*(元データ!$AM$2:$AM$2001&gt;=15)*(元データ!$AM$2:$AM$2001&lt;=21)*(元データ!$E$2:$E$2001="30 申請受付"))</f>
        <v>0</v>
      </c>
      <c r="AU111" s="58" t="str" cm="1">
        <f t="array" aca="1" ref="AU111" ca="1">IFERROR(_xlfn.TEXTJOIN(CHAR(10),TRUE,IF((元データ!$AL$2:$AL$2001=1)*(元データ!$AN$2:$AN$2001=1)*(元データ!$AE$2:$AE$2001=$C$110)*(元データ!$AO$2:$AO$2001=0)*(元データ!$AM$2:$AM$2001&gt;=15)*(元データ!$AM$2:$AM$2001&lt;=21)*(元データ!$E$2:$E$2001="30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1" s="58"/>
      <c r="AW111" s="58"/>
      <c r="AX111" s="44">
        <f ca="1">SUMPRODUCT((元データ!$AL$2:$AL$2001=1)*(元データ!$AN$2:$AN$2001=1)*(元データ!$AE$2:$AE$2001=$C$110)*(元データ!$AO$2:$AO$2001=0)*(元データ!$AM$2:$AM$2001&gt;=15)*(元データ!$AM$2:$AM$2001&lt;=21)*(元データ!$E$2:$E$2001="31 ＯＰ確認中"))</f>
        <v>0</v>
      </c>
      <c r="AY111" s="58" t="str" cm="1">
        <f t="array" aca="1" ref="AY111" ca="1">IFERROR(_xlfn.TEXTJOIN(CHAR(10),TRUE,IF((元データ!$AL$2:$AL$2001=1)*(元データ!$AN$2:$AN$2001=1)*(元データ!$AE$2:$AE$2001=$C$110)*(元データ!$AO$2:$AO$2001=0)*(元データ!$AM$2:$AM$2001&gt;=15)*(元データ!$AM$2:$AM$2001&lt;=21)*(元データ!$E$2:$E$2001="31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1" s="58"/>
      <c r="BA111" s="58"/>
      <c r="BB111" s="44">
        <f ca="1">SUMPRODUCT((元データ!$AL$2:$AL$2001=1)*(元データ!$AN$2:$AN$2001=1)*(元データ!$AE$2:$AE$2001=$C$110)*(元データ!$AO$2:$AO$2001=0)*(元データ!$AM$2:$AM$2001&gt;=15)*(元データ!$AM$2:$AM$2001&lt;=21)*(元データ!$E$2:$E$2001="32 ＳＶ確認中"))</f>
        <v>0</v>
      </c>
      <c r="BC111" s="58" t="str" cm="1">
        <f t="array" aca="1" ref="BC111" ca="1">IFERROR(_xlfn.TEXTJOIN(CHAR(10),TRUE,IF((元データ!$AL$2:$AL$2001=1)*(元データ!$AN$2:$AN$2001=1)*(元データ!$AE$2:$AE$2001=$C$110)*(元データ!$AO$2:$AO$2001=0)*(元データ!$AM$2:$AM$2001&gt;=15)*(元データ!$AM$2:$AM$2001&lt;=21)*(元データ!$E$2:$E$2001="32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1" s="58">
        <f ca="1">SUMPRODUCT((元データ!$AL$2:$AL$2001=1)*(元データ!$AN$2:$AN$2001=1)*(元データ!$AE$2:$AE$2001=$C$110)*(元データ!$AO$2:$AO$2001=0)*(元データ!$AM$2:$AM$2001&gt;=15)*(元データ!$AM$2:$AM$2001&lt;=21)*(元データ!$E$2:$E$2001="40 差戻し"))</f>
        <v>0</v>
      </c>
      <c r="BE111" s="58" t="str" cm="1">
        <f t="array" aca="1" ref="BE111" ca="1">IFERROR(_xlfn.TEXTJOIN(CHAR(10),TRUE,IF((元データ!$AL$2:$AL$2001=1)*(元データ!$AN$2:$AN$2001=1)*(元データ!$AE$2:$AE$2001=$C$110)*(元データ!$AO$2:$AO$2001=0)*(元データ!$AM$2:$AM$2001&gt;=15)*(元データ!$AM$2:$AM$2001&lt;=21)*(元データ!$E$2:$E$2001="40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1" s="45">
        <f ca="1">SUMPRODUCT((元データ!$AL$2:$AL$2001=1)*(元データ!$AN$2:$AN$2001=1)*(元データ!$AE$2:$AE$2001=$C$110)*(元データ!$AO$2:$AO$2001=0)*(元データ!$AM$2:$AM$2001&gt;=22)*(元データ!$AM$2:$AM$2001&lt;=30))</f>
        <v>1</v>
      </c>
      <c r="BG111" s="45">
        <f ca="1">SUMPRODUCT((元データ!$AL$2:$AL$2001=1)*(元データ!$AN$2:$AN$2001=1)*(元データ!$AE$2:$AE$2001=$C$110)*(元データ!$AO$2:$AO$2001=0)*(元データ!$AM$2:$AM$2001&gt;=22)*(元データ!$AM$2:$AM$2001&lt;=30)*(元データ!$E$2:$E$2001="20 確認待ち"))</f>
        <v>0</v>
      </c>
      <c r="BH111" s="59" t="str" cm="1">
        <f t="array" aca="1" ref="BH111" ca="1">IFERROR(_xlfn.TEXTJOIN(CHAR(10),TRUE,IF((元データ!$AL$2:$AL$2001=1)*(元データ!$AN$2:$AN$2001=1)*(元データ!$AE$2:$AE$2001=$C$110)*(元データ!$AO$2:$AO$2001=0)*(元データ!$AM$2:$AM$2001&gt;=22)*(元データ!$AM$2:$AM$2001&lt;=30)*(元データ!$E$2:$E$2001="20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1" s="59"/>
      <c r="BJ111" s="59"/>
      <c r="BK111" s="45">
        <f ca="1">SUMPRODUCT((元データ!$AL$2:$AL$2001=1)*(元データ!$AN$2:$AN$2001=1)*(元データ!$AE$2:$AE$2001=$C$110)*(元データ!$AO$2:$AO$2001=0)*(元データ!$AM$2:$AM$2001&gt;=22)*(元データ!$AM$2:$AM$2001&lt;=30)*(元データ!$E$2:$E$2001="30 申請受付"))</f>
        <v>0</v>
      </c>
      <c r="BL111" s="59" t="str" cm="1">
        <f t="array" aca="1" ref="BL111" ca="1">IFERROR(_xlfn.TEXTJOIN(CHAR(10),TRUE,IF((元データ!$AL$2:$AL$2001=1)*(元データ!$AN$2:$AN$2001=1)*(元データ!$AE$2:$AE$2001=$C$110)*(元データ!$AO$2:$AO$2001=0)*(元データ!$AM$2:$AM$2001&gt;=22)*(元データ!$AM$2:$AM$2001&lt;=30)*(元データ!$E$2:$E$2001="30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1" s="59"/>
      <c r="BN111" s="59"/>
      <c r="BO111" s="45">
        <f ca="1">SUMPRODUCT((元データ!$AL$2:$AL$2001=1)*(元データ!$AN$2:$AN$2001=1)*(元データ!$AE$2:$AE$2001=$C$110)*(元データ!$AO$2:$AO$2001=0)*(元データ!$AM$2:$AM$2001&gt;=22)*(元データ!$AM$2:$AM$2001&lt;=30)*(元データ!$E$2:$E$2001="31 ＯＰ確認中"))</f>
        <v>0</v>
      </c>
      <c r="BP111" s="59" t="str" cm="1">
        <f t="array" aca="1" ref="BP111" ca="1">IFERROR(_xlfn.TEXTJOIN(CHAR(10),TRUE,IF((元データ!$AL$2:$AL$2001=1)*(元データ!$AN$2:$AN$2001=1)*(元データ!$AE$2:$AE$2001=$C$110)*(元データ!$AO$2:$AO$2001=0)*(元データ!$AM$2:$AM$2001&gt;=22)*(元データ!$AM$2:$AM$2001&lt;=30)*(元データ!$E$2:$E$2001="31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1" s="59"/>
      <c r="BR111" s="59"/>
      <c r="BS111" s="45">
        <f ca="1">SUMPRODUCT((元データ!$AL$2:$AL$2001=1)*(元データ!$AN$2:$AN$2001=1)*(元データ!$AE$2:$AE$2001=$C$110)*(元データ!$AO$2:$AO$2001=0)*(元データ!$AM$2:$AM$2001&gt;=22)*(元データ!$AM$2:$AM$2001&lt;=30)*(元データ!$E$2:$E$2001="32 ＳＶ確認中"))</f>
        <v>1</v>
      </c>
      <c r="BT111" s="59" t="str" cm="1">
        <f t="array" aca="1" ref="BT111" ca="1">IFERROR(_xlfn.TEXTJOIN(CHAR(10),TRUE,IF((元データ!$AL$2:$AL$2001=1)*(元データ!$AN$2:$AN$2001=1)*(元データ!$AE$2:$AE$2001=$C$110)*(元データ!$AO$2:$AO$2001=0)*(元データ!$AM$2:$AM$2001&gt;=22)*(元データ!$AM$2:$AM$2001&lt;=30)*(元データ!$E$2:$E$2001="32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>202660001333</v>
      </c>
      <c r="BU111" s="59">
        <f ca="1">SUMPRODUCT((元データ!$AL$2:$AL$2001=1)*(元データ!$AN$2:$AN$2001=1)*(元データ!$AE$2:$AE$2001=$C$110)*(元データ!$AO$2:$AO$2001=0)*(元データ!$AM$2:$AM$2001&gt;=22)*(元データ!$AM$2:$AM$2001&lt;=30)*(元データ!$E$2:$E$2001="40 差戻し"))</f>
        <v>0</v>
      </c>
      <c r="BV111" s="59" t="str" cm="1">
        <f t="array" aca="1" ref="BV111" ca="1">IFERROR(_xlfn.TEXTJOIN(CHAR(10),TRUE,IF((元データ!$AL$2:$AL$2001=1)*(元データ!$AN$2:$AN$2001=1)*(元データ!$AE$2:$AE$2001=$C$110)*(元データ!$AO$2:$AO$2001=0)*(元データ!$AM$2:$AM$2001&gt;=22)*(元データ!$AM$2:$AM$2001&lt;=30)*(元データ!$E$2:$E$2001="40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1" s="46">
        <f ca="1">SUMPRODUCT((元データ!$AL$2:$AL$2001=1)*(元データ!$AN$2:$AN$2001=1)*(元データ!$AE$2:$AE$2001=$C$110)*(元データ!$AO$2:$AO$2001=0)*(元データ!$AM$2:$AM$2001&gt;=31))</f>
        <v>3</v>
      </c>
      <c r="BX111" s="46">
        <f ca="1">SUMPRODUCT((元データ!$AL$2:$AL$2001=1)*(元データ!$AN$2:$AN$2001=1)*(元データ!$AE$2:$AE$2001=$C$110)*(元データ!$AO$2:$AO$2001=0)*(元データ!$AM$2:$AM$2001&gt;=31)*(元データ!$E$2:$E$2001="20 確認待ち"))</f>
        <v>0</v>
      </c>
      <c r="BY111" s="56" t="str" cm="1">
        <f t="array" aca="1" ref="BY111" ca="1">IFERROR(_xlfn.TEXTJOIN(CHAR(10),TRUE,IF((元データ!$AL$2:$AL$2001=1)*(元データ!$AN$2:$AN$2001=1)*(元データ!$AE$2:$AE$2001=$C$110)*(元データ!$AO$2:$AO$2001=0)*(元データ!$AM$2:$AM$2001&gt;=31)*(元データ!$E$2:$E$2001="20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11" s="56"/>
      <c r="CA111" s="56"/>
      <c r="CB111" s="46">
        <f ca="1">SUMPRODUCT((元データ!$AL$2:$AL$2001=1)*(元データ!$AN$2:$AN$2001=1)*(元データ!$AE$2:$AE$2001=$C$110)*(元データ!$AO$2:$AO$2001=0)*(元データ!$AM$2:$AM$2001&gt;=31)*(元データ!$E$2:$E$2001="30 申請受付"))</f>
        <v>0</v>
      </c>
      <c r="CC111" s="56" t="str" cm="1">
        <f t="array" aca="1" ref="CC111" ca="1">IFERROR(_xlfn.TEXTJOIN(CHAR(10),TRUE,IF((元データ!$AL$2:$AL$2001=1)*(元データ!$AN$2:$AN$2001=1)*(元データ!$AE$2:$AE$2001=$C$110)*(元データ!$AO$2:$AO$2001=0)*(元データ!$AM$2:$AM$2001&gt;=31)*(元データ!$E$2:$E$2001="30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11" s="56"/>
      <c r="CE111" s="56"/>
      <c r="CF111" s="46">
        <f ca="1">SUMPRODUCT((元データ!$AL$2:$AL$2001=1)*(元データ!$AN$2:$AN$2001=1)*(元データ!$AE$2:$AE$2001=$C$110)*(元データ!$AO$2:$AO$2001=0)*(元データ!$AM$2:$AM$2001&gt;=31)*(元データ!$E$2:$E$2001="31 ＯＰ確認中"))</f>
        <v>1</v>
      </c>
      <c r="CG111" s="56" t="str" cm="1">
        <f t="array" aca="1" ref="CG111" ca="1">IFERROR(_xlfn.TEXTJOIN(CHAR(10),TRUE,IF((元データ!$AL$2:$AL$2001=1)*(元データ!$AN$2:$AN$2001=1)*(元データ!$AE$2:$AE$2001=$C$110)*(元データ!$AO$2:$AO$2001=0)*(元データ!$AM$2:$AM$2001&gt;=31)*(元データ!$E$2:$E$2001="31 ＯＰ確認中"),元データ!$A$2:$A$2001&amp;IF(元データ!$AP$2:$AP$2001&lt;&gt;"","（"&amp;MID(元データ!$AP$2:$AP$2001,2,100)&amp;")",""),"")),"")</f>
        <v>202360000913</v>
      </c>
      <c r="CH111" s="56"/>
      <c r="CI111" s="56"/>
      <c r="CJ111" s="46">
        <f ca="1">SUMPRODUCT((元データ!$AL$2:$AL$2001=1)*(元データ!$AN$2:$AN$2001=1)*(元データ!$AE$2:$AE$2001=$C$110)*(元データ!$AO$2:$AO$2001=0)*(元データ!$AM$2:$AM$2001&gt;=31)*(元データ!$E$2:$E$2001="32 ＳＶ確認中"))</f>
        <v>0</v>
      </c>
      <c r="CK111" s="56" t="str" cm="1">
        <f t="array" aca="1" ref="CK111" ca="1">IFERROR(_xlfn.TEXTJOIN(CHAR(10),TRUE,IF((元データ!$AL$2:$AL$2001=1)*(元データ!$AN$2:$AN$2001=1)*(元データ!$AE$2:$AE$2001=$C$110)*(元データ!$AO$2:$AO$2001=0)*(元データ!$AM$2:$AM$2001&gt;=31)*(元データ!$E$2:$E$2001="32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11" s="56">
        <f ca="1">SUMPRODUCT((元データ!$AL$2:$AL$2001=1)*(元データ!$AN$2:$AN$2001=1)*(元データ!$AE$2:$AE$2001=$C$110)*(元データ!$AO$2:$AO$2001=0)*(元データ!$AM$2:$AM$2001&gt;=31)*(元データ!$E$2:$E$2001="40 差戻し"))</f>
        <v>2</v>
      </c>
      <c r="CM111" s="56" t="str" cm="1">
        <f t="array" aca="1" ref="CM111" ca="1">IFERROR(_xlfn.TEXTJOIN(CHAR(10),TRUE,IF((元データ!$AL$2:$AL$2001=1)*(元データ!$AN$2:$AN$2001=1)*(元データ!$AE$2:$AE$2001=$C$110)*(元データ!$AO$2:$AO$2001=0)*(元データ!$AM$2:$AM$2001&gt;=31)*(元データ!$E$2:$E$2001="40 差戻し"),元データ!$A$2:$A$2001&amp;IF(元データ!$AP$2:$AP$2001&lt;&gt;"","（"&amp;MID(元データ!$AP$2:$AP$2001,2,100)&amp;")",""),"")),"")</f>
        <v>202560001622（削除)
202660001197（削除)</v>
      </c>
    </row>
    <row r="112" spans="2:91" ht="24.95" customHeight="1">
      <c r="B112" s="91"/>
      <c r="C112" s="63" t="s">
        <v>64</v>
      </c>
      <c r="D112" s="63"/>
      <c r="E112" s="41" t="s">
        <v>133</v>
      </c>
      <c r="F112" s="42">
        <f>SUMPRODUCT((元データ!$AL$2:$AL$2001=1)*(元データ!$AN$2:$AN$2001=1)*(元データ!$AE$2:$AE$2001=$C$112)*(元データ!$AO$2:$AO$2001=1))</f>
        <v>2</v>
      </c>
      <c r="G112" s="43">
        <f ca="1">SUMPRODUCT((元データ!$AL$2:$AL$2001=1)*(元データ!$AN$2:$AN$2001=1)*(元データ!$AE$2:$AE$2001=$C$112)*(元データ!$AO$2:$AO$2001=1)*(元データ!$AM$2:$AM$2001&lt;=7))</f>
        <v>0</v>
      </c>
      <c r="H112" s="43">
        <f ca="1">SUMPRODUCT((元データ!$AL$2:$AL$2001=1)*(元データ!$AN$2:$AN$2001=1)*(元データ!$AE$2:$AE$2001=$C$112)*(元データ!$AO$2:$AO$2001=1)*(元データ!$AM$2:$AM$2001&lt;=7)*(元データ!$E$2:$E$2001="20 確認待ち"))</f>
        <v>0</v>
      </c>
      <c r="I112" s="61" t="str" cm="1">
        <f t="array" aca="1" ref="I112" ca="1">IFERROR(_xlfn.TEXTJOIN(CHAR(10),TRUE,IF((元データ!$AL$2:$AL$2001=1)*(元データ!$AN$2:$AN$2001=1)*(元データ!$AE$2:$AE$2001=$C$112)*(元データ!$AO$2:$AO$2001=1)*(元データ!$AM$2:$AM$2001&lt;=7)*(元データ!$E$2:$E$2001="20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12" s="61"/>
      <c r="K112" s="61"/>
      <c r="L112" s="43">
        <f ca="1">SUMPRODUCT((元データ!$AL$2:$AL$2001=1)*(元データ!$AN$2:$AN$2001=1)*(元データ!$AE$2:$AE$2001=$C$112)*(元データ!$AO$2:$AO$2001=1)*(元データ!$AM$2:$AM$2001&lt;=7)*(元データ!$E$2:$E$2001="30 申請受付"))</f>
        <v>0</v>
      </c>
      <c r="M112" s="61" t="str" cm="1">
        <f t="array" aca="1" ref="M112" ca="1">IFERROR(_xlfn.TEXTJOIN(CHAR(10),TRUE,IF((元データ!$AL$2:$AL$2001=1)*(元データ!$AN$2:$AN$2001=1)*(元データ!$AE$2:$AE$2001=$C$112)*(元データ!$AO$2:$AO$2001=1)*(元データ!$AM$2:$AM$2001&lt;=7)*(元データ!$E$2:$E$2001="30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12" s="61"/>
      <c r="O112" s="61"/>
      <c r="P112" s="43">
        <f ca="1">SUMPRODUCT((元データ!$AL$2:$AL$2001=1)*(元データ!$AN$2:$AN$2001=1)*(元データ!$AE$2:$AE$2001=$C$112)*(元データ!$AO$2:$AO$2001=1)*(元データ!$AM$2:$AM$2001&lt;=7)*(元データ!$E$2:$E$2001="31 ＯＰ確認中"))</f>
        <v>0</v>
      </c>
      <c r="Q112" s="61" t="str" cm="1">
        <f t="array" aca="1" ref="Q112" ca="1">IFERROR(_xlfn.TEXTJOIN(CHAR(10),TRUE,IF((元データ!$AL$2:$AL$2001=1)*(元データ!$AN$2:$AN$2001=1)*(元データ!$AE$2:$AE$2001=$C$112)*(元データ!$AO$2:$AO$2001=1)*(元データ!$AM$2:$AM$2001&lt;=7)*(元データ!$E$2:$E$2001="31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12" s="61"/>
      <c r="S112" s="61"/>
      <c r="T112" s="43">
        <f ca="1">SUMPRODUCT((元データ!$AL$2:$AL$2001=1)*(元データ!$AN$2:$AN$2001=1)*(元データ!$AE$2:$AE$2001=$C$112)*(元データ!$AO$2:$AO$2001=1)*(元データ!$AM$2:$AM$2001&lt;=7)*(元データ!$E$2:$E$2001="32 ＳＶ確認中"))</f>
        <v>0</v>
      </c>
      <c r="U112" s="61" t="str" cm="1">
        <f t="array" aca="1" ref="U112" ca="1">IFERROR(_xlfn.TEXTJOIN(CHAR(10),TRUE,IF((元データ!$AL$2:$AL$2001=1)*(元データ!$AN$2:$AN$2001=1)*(元データ!$AE$2:$AE$2001=$C$112)*(元データ!$AO$2:$AO$2001=1)*(元データ!$AM$2:$AM$2001&lt;=7)*(元データ!$E$2:$E$2001="32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12" s="61"/>
      <c r="W112" s="61"/>
      <c r="X112" s="43">
        <f ca="1">SUMPRODUCT((元データ!$AL$2:$AL$2001=1)*(元データ!$AN$2:$AN$2001=1)*(元データ!$AE$2:$AE$2001=$C$112)*(元データ!$AO$2:$AO$2001=1)*(元データ!$AM$2:$AM$2001&gt;=8)*(元データ!$AM$2:$AM$2001&lt;=14))</f>
        <v>0</v>
      </c>
      <c r="Y112" s="43">
        <f ca="1">SUMPRODUCT((元データ!$AL$2:$AL$2001=1)*(元データ!$AN$2:$AN$2001=1)*(元データ!$AE$2:$AE$2001=$C$112)*(元データ!$AO$2:$AO$2001=1)*(元データ!$AM$2:$AM$2001&gt;=8)*(元データ!$AM$2:$AM$2001&lt;=14)*(元データ!$E$2:$E$2001="20 確認待ち"))</f>
        <v>0</v>
      </c>
      <c r="Z112" s="61" t="str" cm="1">
        <f t="array" aca="1" ref="Z112" ca="1">IFERROR(_xlfn.TEXTJOIN(CHAR(10),TRUE,IF((元データ!$AL$2:$AL$2001=1)*(元データ!$AN$2:$AN$2001=1)*(元データ!$AE$2:$AE$2001=$C$112)*(元データ!$AO$2:$AO$2001=1)*(元データ!$AM$2:$AM$2001&gt;=8)*(元データ!$AM$2:$AM$2001&lt;=14)*(元データ!$E$2:$E$2001="20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2" s="61"/>
      <c r="AB112" s="61"/>
      <c r="AC112" s="43">
        <f ca="1">SUMPRODUCT((元データ!$AL$2:$AL$2001=1)*(元データ!$AN$2:$AN$2001=1)*(元データ!$AE$2:$AE$2001=$C$112)*(元データ!$AO$2:$AO$2001=1)*(元データ!$AM$2:$AM$2001&gt;=8)*(元データ!$AM$2:$AM$2001&lt;=14)*(元データ!$E$2:$E$2001="30 申請受付"))</f>
        <v>0</v>
      </c>
      <c r="AD112" s="61" t="str" cm="1">
        <f t="array" aca="1" ref="AD112" ca="1">IFERROR(_xlfn.TEXTJOIN(CHAR(10),TRUE,IF((元データ!$AL$2:$AL$2001=1)*(元データ!$AN$2:$AN$2001=1)*(元データ!$AE$2:$AE$2001=$C$112)*(元データ!$AO$2:$AO$2001=1)*(元データ!$AM$2:$AM$2001&gt;=8)*(元データ!$AM$2:$AM$2001&lt;=14)*(元データ!$E$2:$E$2001="30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2" s="61"/>
      <c r="AF112" s="61"/>
      <c r="AG112" s="43">
        <f ca="1">SUMPRODUCT((元データ!$AL$2:$AL$2001=1)*(元データ!$AN$2:$AN$2001=1)*(元データ!$AE$2:$AE$2001=$C$112)*(元データ!$AO$2:$AO$2001=1)*(元データ!$AM$2:$AM$2001&gt;=8)*(元データ!$AM$2:$AM$2001&lt;=14)*(元データ!$E$2:$E$2001="31 ＯＰ確認中"))</f>
        <v>0</v>
      </c>
      <c r="AH112" s="61" t="str" cm="1">
        <f t="array" aca="1" ref="AH112" ca="1">IFERROR(_xlfn.TEXTJOIN(CHAR(10),TRUE,IF((元データ!$AL$2:$AL$2001=1)*(元データ!$AN$2:$AN$2001=1)*(元データ!$AE$2:$AE$2001=$C$112)*(元データ!$AO$2:$AO$2001=1)*(元データ!$AM$2:$AM$2001&gt;=8)*(元データ!$AM$2:$AM$2001&lt;=14)*(元データ!$E$2:$E$2001="31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2" s="61"/>
      <c r="AJ112" s="61"/>
      <c r="AK112" s="43">
        <f ca="1">SUMPRODUCT((元データ!$AL$2:$AL$2001=1)*(元データ!$AN$2:$AN$2001=1)*(元データ!$AE$2:$AE$2001=$C$112)*(元データ!$AO$2:$AO$2001=1)*(元データ!$AM$2:$AM$2001&gt;=8)*(元データ!$AM$2:$AM$2001&lt;=14)*(元データ!$E$2:$E$2001="32 ＳＶ確認中"))</f>
        <v>0</v>
      </c>
      <c r="AL112" s="61" t="str" cm="1">
        <f t="array" aca="1" ref="AL112" ca="1">IFERROR(_xlfn.TEXTJOIN(CHAR(10),TRUE,IF((元データ!$AL$2:$AL$2001=1)*(元データ!$AN$2:$AN$2001=1)*(元データ!$AE$2:$AE$2001=$C$112)*(元データ!$AO$2:$AO$2001=1)*(元データ!$AM$2:$AM$2001&gt;=8)*(元データ!$AM$2:$AM$2001&lt;=14)*(元データ!$E$2:$E$2001="32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2" s="61">
        <f ca="1">SUMPRODUCT((元データ!$AL$2:$AL$2001=1)*(元データ!$AN$2:$AN$2001=1)*(元データ!$AE$2:$AE$2001=$C$112)*(元データ!$AO$2:$AO$2001=1)*(元データ!$AM$2:$AM$2001&gt;=8)*(元データ!$AM$2:$AM$2001&lt;=14)*(元データ!$E$2:$E$2001="40 差戻し"))</f>
        <v>0</v>
      </c>
      <c r="AN112" s="61" t="str" cm="1">
        <f t="array" aca="1" ref="AN112" ca="1">IFERROR(_xlfn.TEXTJOIN(CHAR(10),TRUE,IF((元データ!$AL$2:$AL$2001=1)*(元データ!$AN$2:$AN$2001=1)*(元データ!$AE$2:$AE$2001=$C$112)*(元データ!$AO$2:$AO$2001=1)*(元データ!$AM$2:$AM$2001&gt;=8)*(元データ!$AM$2:$AM$2001&lt;=14)*(元データ!$E$2:$E$2001="40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2" s="44">
        <f ca="1">SUMPRODUCT((元データ!$AL$2:$AL$2001=1)*(元データ!$AN$2:$AN$2001=1)*(元データ!$AE$2:$AE$2001=$C$112)*(元データ!$AO$2:$AO$2001=1)*(元データ!$AM$2:$AM$2001&gt;=15)*(元データ!$AM$2:$AM$2001&lt;=21))</f>
        <v>0</v>
      </c>
      <c r="AP112" s="44">
        <f ca="1">SUMPRODUCT((元データ!$AL$2:$AL$2001=1)*(元データ!$AN$2:$AN$2001=1)*(元データ!$AE$2:$AE$2001=$C$112)*(元データ!$AO$2:$AO$2001=1)*(元データ!$AM$2:$AM$2001&gt;=15)*(元データ!$AM$2:$AM$2001&lt;=21)*(元データ!$E$2:$E$2001="20 確認待ち"))</f>
        <v>0</v>
      </c>
      <c r="AQ112" s="58" t="str" cm="1">
        <f t="array" aca="1" ref="AQ112" ca="1">IFERROR(_xlfn.TEXTJOIN(CHAR(10),TRUE,IF((元データ!$AL$2:$AL$2001=1)*(元データ!$AN$2:$AN$2001=1)*(元データ!$AE$2:$AE$2001=$C$112)*(元データ!$AO$2:$AO$2001=1)*(元データ!$AM$2:$AM$2001&gt;=15)*(元データ!$AM$2:$AM$2001&lt;=21)*(元データ!$E$2:$E$2001="20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2" s="58"/>
      <c r="AS112" s="58"/>
      <c r="AT112" s="44">
        <f ca="1">SUMPRODUCT((元データ!$AL$2:$AL$2001=1)*(元データ!$AN$2:$AN$2001=1)*(元データ!$AE$2:$AE$2001=$C$112)*(元データ!$AO$2:$AO$2001=1)*(元データ!$AM$2:$AM$2001&gt;=15)*(元データ!$AM$2:$AM$2001&lt;=21)*(元データ!$E$2:$E$2001="30 申請受付"))</f>
        <v>0</v>
      </c>
      <c r="AU112" s="58" t="str" cm="1">
        <f t="array" aca="1" ref="AU112" ca="1">IFERROR(_xlfn.TEXTJOIN(CHAR(10),TRUE,IF((元データ!$AL$2:$AL$2001=1)*(元データ!$AN$2:$AN$2001=1)*(元データ!$AE$2:$AE$2001=$C$112)*(元データ!$AO$2:$AO$2001=1)*(元データ!$AM$2:$AM$2001&gt;=15)*(元データ!$AM$2:$AM$2001&lt;=21)*(元データ!$E$2:$E$2001="30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2" s="58"/>
      <c r="AW112" s="58"/>
      <c r="AX112" s="44">
        <f ca="1">SUMPRODUCT((元データ!$AL$2:$AL$2001=1)*(元データ!$AN$2:$AN$2001=1)*(元データ!$AE$2:$AE$2001=$C$112)*(元データ!$AO$2:$AO$2001=1)*(元データ!$AM$2:$AM$2001&gt;=15)*(元データ!$AM$2:$AM$2001&lt;=21)*(元データ!$E$2:$E$2001="31 ＯＰ確認中"))</f>
        <v>0</v>
      </c>
      <c r="AY112" s="58" t="str" cm="1">
        <f t="array" aca="1" ref="AY112" ca="1">IFERROR(_xlfn.TEXTJOIN(CHAR(10),TRUE,IF((元データ!$AL$2:$AL$2001=1)*(元データ!$AN$2:$AN$2001=1)*(元データ!$AE$2:$AE$2001=$C$112)*(元データ!$AO$2:$AO$2001=1)*(元データ!$AM$2:$AM$2001&gt;=15)*(元データ!$AM$2:$AM$2001&lt;=21)*(元データ!$E$2:$E$2001="31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2" s="58"/>
      <c r="BA112" s="58"/>
      <c r="BB112" s="44">
        <f ca="1">SUMPRODUCT((元データ!$AL$2:$AL$2001=1)*(元データ!$AN$2:$AN$2001=1)*(元データ!$AE$2:$AE$2001=$C$112)*(元データ!$AO$2:$AO$2001=1)*(元データ!$AM$2:$AM$2001&gt;=15)*(元データ!$AM$2:$AM$2001&lt;=21)*(元データ!$E$2:$E$2001="32 ＳＶ確認中"))</f>
        <v>0</v>
      </c>
      <c r="BC112" s="58" t="str" cm="1">
        <f t="array" aca="1" ref="BC112" ca="1">IFERROR(_xlfn.TEXTJOIN(CHAR(10),TRUE,IF((元データ!$AL$2:$AL$2001=1)*(元データ!$AN$2:$AN$2001=1)*(元データ!$AE$2:$AE$2001=$C$112)*(元データ!$AO$2:$AO$2001=1)*(元データ!$AM$2:$AM$2001&gt;=15)*(元データ!$AM$2:$AM$2001&lt;=21)*(元データ!$E$2:$E$2001="32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2" s="58">
        <f ca="1">SUMPRODUCT((元データ!$AL$2:$AL$2001=1)*(元データ!$AN$2:$AN$2001=1)*(元データ!$AE$2:$AE$2001=$C$112)*(元データ!$AO$2:$AO$2001=1)*(元データ!$AM$2:$AM$2001&gt;=15)*(元データ!$AM$2:$AM$2001&lt;=21)*(元データ!$E$2:$E$2001="40 差戻し"))</f>
        <v>0</v>
      </c>
      <c r="BE112" s="58" t="str" cm="1">
        <f t="array" aca="1" ref="BE112" ca="1">IFERROR(_xlfn.TEXTJOIN(CHAR(10),TRUE,IF((元データ!$AL$2:$AL$2001=1)*(元データ!$AN$2:$AN$2001=1)*(元データ!$AE$2:$AE$2001=$C$112)*(元データ!$AO$2:$AO$2001=1)*(元データ!$AM$2:$AM$2001&gt;=15)*(元データ!$AM$2:$AM$2001&lt;=21)*(元データ!$E$2:$E$2001="40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2" s="45">
        <f ca="1">SUMPRODUCT((元データ!$AL$2:$AL$2001=1)*(元データ!$AN$2:$AN$2001=1)*(元データ!$AE$2:$AE$2001=$C$112)*(元データ!$AO$2:$AO$2001=1)*(元データ!$AM$2:$AM$2001&gt;=22)*(元データ!$AM$2:$AM$2001&lt;=30))</f>
        <v>0</v>
      </c>
      <c r="BG112" s="45">
        <f ca="1">SUMPRODUCT((元データ!$AL$2:$AL$2001=1)*(元データ!$AN$2:$AN$2001=1)*(元データ!$AE$2:$AE$2001=$C$112)*(元データ!$AO$2:$AO$2001=1)*(元データ!$AM$2:$AM$2001&gt;=22)*(元データ!$AM$2:$AM$2001&lt;=30)*(元データ!$E$2:$E$2001="20 確認待ち"))</f>
        <v>0</v>
      </c>
      <c r="BH112" s="60" t="str" cm="1">
        <f t="array" aca="1" ref="BH112" ca="1">IFERROR(_xlfn.TEXTJOIN(CHAR(10),TRUE,IF((元データ!$AL$2:$AL$2001=1)*(元データ!$AN$2:$AN$2001=1)*(元データ!$AE$2:$AE$2001=$C$112)*(元データ!$AO$2:$AO$2001=1)*(元データ!$AM$2:$AM$2001&gt;=22)*(元データ!$AM$2:$AM$2001&lt;=30)*(元データ!$E$2:$E$2001="20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2" s="60"/>
      <c r="BJ112" s="60"/>
      <c r="BK112" s="45">
        <f ca="1">SUMPRODUCT((元データ!$AL$2:$AL$2001=1)*(元データ!$AN$2:$AN$2001=1)*(元データ!$AE$2:$AE$2001=$C$112)*(元データ!$AO$2:$AO$2001=1)*(元データ!$AM$2:$AM$2001&gt;=22)*(元データ!$AM$2:$AM$2001&lt;=30)*(元データ!$E$2:$E$2001="30 申請受付"))</f>
        <v>0</v>
      </c>
      <c r="BL112" s="59" t="str" cm="1">
        <f t="array" aca="1" ref="BL112" ca="1">IFERROR(_xlfn.TEXTJOIN(CHAR(10),TRUE,IF((元データ!$AL$2:$AL$2001=1)*(元データ!$AN$2:$AN$2001=1)*(元データ!$AE$2:$AE$2001=$C$112)*(元データ!$AO$2:$AO$2001=1)*(元データ!$AM$2:$AM$2001&gt;=22)*(元データ!$AM$2:$AM$2001&lt;=30)*(元データ!$E$2:$E$2001="30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2" s="59"/>
      <c r="BN112" s="59"/>
      <c r="BO112" s="45">
        <f ca="1">SUMPRODUCT((元データ!$AL$2:$AL$2001=1)*(元データ!$AN$2:$AN$2001=1)*(元データ!$AE$2:$AE$2001=$C$112)*(元データ!$AO$2:$AO$2001=1)*(元データ!$AM$2:$AM$2001&gt;=22)*(元データ!$AM$2:$AM$2001&lt;=30)*(元データ!$E$2:$E$2001="31 ＯＰ確認中"))</f>
        <v>0</v>
      </c>
      <c r="BP112" s="59" t="str" cm="1">
        <f t="array" aca="1" ref="BP112" ca="1">IFERROR(_xlfn.TEXTJOIN(CHAR(10),TRUE,IF((元データ!$AL$2:$AL$2001=1)*(元データ!$AN$2:$AN$2001=1)*(元データ!$AE$2:$AE$2001=$C$112)*(元データ!$AO$2:$AO$2001=1)*(元データ!$AM$2:$AM$2001&gt;=22)*(元データ!$AM$2:$AM$2001&lt;=30)*(元データ!$E$2:$E$2001="31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2" s="59"/>
      <c r="BR112" s="59"/>
      <c r="BS112" s="45">
        <f ca="1">SUMPRODUCT((元データ!$AL$2:$AL$2001=1)*(元データ!$AN$2:$AN$2001=1)*(元データ!$AE$2:$AE$2001=$C$112)*(元データ!$AO$2:$AO$2001=1)*(元データ!$AM$2:$AM$2001&gt;=22)*(元データ!$AM$2:$AM$2001&lt;=30)*(元データ!$E$2:$E$2001="32 ＳＶ確認中"))</f>
        <v>0</v>
      </c>
      <c r="BT112" s="59" t="str" cm="1">
        <f t="array" aca="1" ref="BT112" ca="1">IFERROR(_xlfn.TEXTJOIN(CHAR(10),TRUE,IF((元データ!$AL$2:$AL$2001=1)*(元データ!$AN$2:$AN$2001=1)*(元データ!$AE$2:$AE$2001=$C$112)*(元データ!$AO$2:$AO$2001=1)*(元データ!$AM$2:$AM$2001&gt;=22)*(元データ!$AM$2:$AM$2001&lt;=30)*(元データ!$E$2:$E$2001="32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2" s="59">
        <f ca="1">SUMPRODUCT((元データ!$AL$2:$AL$2001=1)*(元データ!$AN$2:$AN$2001=1)*(元データ!$AE$2:$AE$2001=$C$112)*(元データ!$AO$2:$AO$2001=1)*(元データ!$AM$2:$AM$2001&gt;=22)*(元データ!$AM$2:$AM$2001&lt;=30)*(元データ!$E$2:$E$2001="40 差戻し"))</f>
        <v>0</v>
      </c>
      <c r="BV112" s="59" t="str" cm="1">
        <f t="array" aca="1" ref="BV112" ca="1">IFERROR(_xlfn.TEXTJOIN(CHAR(10),TRUE,IF((元データ!$AL$2:$AL$2001=1)*(元データ!$AN$2:$AN$2001=1)*(元データ!$AE$2:$AE$2001=$C$112)*(元データ!$AO$2:$AO$2001=1)*(元データ!$AM$2:$AM$2001&gt;=22)*(元データ!$AM$2:$AM$2001&lt;=30)*(元データ!$E$2:$E$2001="40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2" s="46">
        <f ca="1">SUMPRODUCT((元データ!$AL$2:$AL$2001=1)*(元データ!$AN$2:$AN$2001=1)*(元データ!$AE$2:$AE$2001=$C$112)*(元データ!$AO$2:$AO$2001=1)*(元データ!$AM$2:$AM$2001&gt;=31))</f>
        <v>2</v>
      </c>
      <c r="BX112" s="46">
        <f ca="1">SUMPRODUCT((元データ!$AL$2:$AL$2001=1)*(元データ!$AN$2:$AN$2001=1)*(元データ!$AE$2:$AE$2001=$C$112)*(元データ!$AO$2:$AO$2001=1)*(元データ!$AM$2:$AM$2001&gt;=31)*(元データ!$E$2:$E$2001="20 確認待ち"))</f>
        <v>0</v>
      </c>
      <c r="BY112" s="56" t="str" cm="1">
        <f t="array" aca="1" ref="BY112" ca="1">IFERROR(_xlfn.TEXTJOIN(CHAR(10),TRUE,IF((元データ!$AL$2:$AL$2001=1)*(元データ!$AN$2:$AN$2001=1)*(元データ!$AE$2:$AE$2001=$C$112)*(元データ!$AO$2:$AO$2001=1)*(元データ!$AM$2:$AM$2001&gt;=31)*(元データ!$E$2:$E$2001="20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12" s="56"/>
      <c r="CA112" s="56"/>
      <c r="CB112" s="46">
        <f ca="1">SUMPRODUCT((元データ!$AL$2:$AL$2001=1)*(元データ!$AN$2:$AN$2001=1)*(元データ!$AE$2:$AE$2001=$C$112)*(元データ!$AO$2:$AO$2001=1)*(元データ!$AM$2:$AM$2001&gt;=31)*(元データ!$E$2:$E$2001="30 申請受付"))</f>
        <v>0</v>
      </c>
      <c r="CC112" s="56" t="str" cm="1">
        <f t="array" aca="1" ref="CC112" ca="1">IFERROR(_xlfn.TEXTJOIN(CHAR(10),TRUE,IF((元データ!$AL$2:$AL$2001=1)*(元データ!$AN$2:$AN$2001=1)*(元データ!$AE$2:$AE$2001=$C$112)*(元データ!$AO$2:$AO$2001=1)*(元データ!$AM$2:$AM$2001&gt;=31)*(元データ!$E$2:$E$2001="30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12" s="56"/>
      <c r="CE112" s="56"/>
      <c r="CF112" s="46">
        <f ca="1">SUMPRODUCT((元データ!$AL$2:$AL$2001=1)*(元データ!$AN$2:$AN$2001=1)*(元データ!$AE$2:$AE$2001=$C$112)*(元データ!$AO$2:$AO$2001=1)*(元データ!$AM$2:$AM$2001&gt;=31)*(元データ!$E$2:$E$2001="31 ＯＰ確認中"))</f>
        <v>1</v>
      </c>
      <c r="CG112" s="56" t="str" cm="1">
        <f t="array" aca="1" ref="CG112" ca="1">IFERROR(_xlfn.TEXTJOIN(CHAR(10),TRUE,IF((元データ!$AL$2:$AL$2001=1)*(元データ!$AN$2:$AN$2001=1)*(元データ!$AE$2:$AE$2001=$C$112)*(元データ!$AO$2:$AO$2001=1)*(元データ!$AM$2:$AM$2001&gt;=31)*(元データ!$E$2:$E$2001="31 ＯＰ確認中"),元データ!$A$2:$A$2001&amp;IF(元データ!$AP$2:$AP$2001&lt;&gt;"","（"&amp;MID(元データ!$AP$2:$AP$2001,2,100)&amp;")",""),"")),"")</f>
        <v>201860001862</v>
      </c>
      <c r="CH112" s="56"/>
      <c r="CI112" s="56"/>
      <c r="CJ112" s="46">
        <f ca="1">SUMPRODUCT((元データ!$AL$2:$AL$2001=1)*(元データ!$AN$2:$AN$2001=1)*(元データ!$AE$2:$AE$2001=$C$112)*(元データ!$AO$2:$AO$2001=1)*(元データ!$AM$2:$AM$2001&gt;=31)*(元データ!$E$2:$E$2001="32 ＳＶ確認中"))</f>
        <v>0</v>
      </c>
      <c r="CK112" s="56" t="str" cm="1">
        <f t="array" aca="1" ref="CK112" ca="1">IFERROR(_xlfn.TEXTJOIN(CHAR(10),TRUE,IF((元データ!$AL$2:$AL$2001=1)*(元データ!$AN$2:$AN$2001=1)*(元データ!$AE$2:$AE$2001=$C$112)*(元データ!$AO$2:$AO$2001=1)*(元データ!$AM$2:$AM$2001&gt;=31)*(元データ!$E$2:$E$2001="32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112" s="56">
        <f ca="1">SUMPRODUCT((元データ!$AL$2:$AL$2001=1)*(元データ!$AN$2:$AN$2001=1)*(元データ!$AE$2:$AE$2001=$C$112)*(元データ!$AO$2:$AO$2001=1)*(元データ!$AM$2:$AM$2001&gt;=31)*(元データ!$E$2:$E$2001="40 差戻し"))</f>
        <v>1</v>
      </c>
      <c r="CM112" s="56" t="str" cm="1">
        <f t="array" aca="1" ref="CM112" ca="1">IFERROR(_xlfn.TEXTJOIN(CHAR(10),TRUE,IF((元データ!$AL$2:$AL$2001=1)*(元データ!$AN$2:$AN$2001=1)*(元データ!$AE$2:$AE$2001=$C$112)*(元データ!$AO$2:$AO$2001=1)*(元データ!$AM$2:$AM$2001&gt;=31)*(元データ!$E$2:$E$2001="40 差戻し"),元データ!$A$2:$A$2001&amp;IF(元データ!$AP$2:$AP$2001&lt;&gt;"","（"&amp;MID(元データ!$AP$2:$AP$2001,2,100)&amp;")",""),"")),"")</f>
        <v>201660002819（削除)</v>
      </c>
    </row>
    <row r="113" spans="2:93" ht="24.95" customHeight="1">
      <c r="B113" s="92"/>
      <c r="C113" s="63"/>
      <c r="D113" s="63"/>
      <c r="E113" s="47" t="s">
        <v>134</v>
      </c>
      <c r="F113" s="48">
        <f>SUMPRODUCT((元データ!$AL$2:$AL$2001=1)*(元データ!$AN$2:$AN$2001=1)*(元データ!$AE$2:$AE$2001=$C$112)*(元データ!$AO$2:$AO$2001=0))</f>
        <v>0</v>
      </c>
      <c r="G113" s="49">
        <f ca="1">SUMPRODUCT((元データ!$AL$2:$AL$2001=1)*(元データ!$AN$2:$AN$2001=1)*(元データ!$AE$2:$AE$2001=$C$112)*(元データ!$AO$2:$AO$2001=0)*(元データ!$AM$2:$AM$2001&lt;=7))</f>
        <v>0</v>
      </c>
      <c r="H113" s="49">
        <f ca="1">SUMPRODUCT((元データ!$AL$2:$AL$2001=1)*(元データ!$AN$2:$AN$2001=1)*(元データ!$AE$2:$AE$2001=$C$112)*(元データ!$AO$2:$AO$2001=0)*(元データ!$AM$2:$AM$2001&lt;=7)*(元データ!$E$2:$E$2001="20 確認待ち"))</f>
        <v>0</v>
      </c>
      <c r="I113" s="57" t="str" cm="1">
        <f t="array" aca="1" ref="I113" ca="1">IFERROR(_xlfn.TEXTJOIN(CHAR(10),TRUE,IF((元データ!$AL$2:$AL$2001=1)*(元データ!$AN$2:$AN$2001=1)*(元データ!$AE$2:$AE$2001=$C$112)*(元データ!$AO$2:$AO$2001=0)*(元データ!$AM$2:$AM$2001&lt;=7)*(元データ!$E$2:$E$2001="20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13" s="57"/>
      <c r="K113" s="57"/>
      <c r="L113" s="49">
        <f ca="1">SUMPRODUCT((元データ!$AL$2:$AL$2001=1)*(元データ!$AN$2:$AN$2001=1)*(元データ!$AE$2:$AE$2001=$C$112)*(元データ!$AO$2:$AO$2001=0)*(元データ!$AM$2:$AM$2001&lt;=7)*(元データ!$E$2:$E$2001="30 申請受付"))</f>
        <v>0</v>
      </c>
      <c r="M113" s="57" t="str" cm="1">
        <f t="array" aca="1" ref="M113" ca="1">IFERROR(_xlfn.TEXTJOIN(CHAR(10),TRUE,IF((元データ!$AL$2:$AL$2001=1)*(元データ!$AN$2:$AN$2001=1)*(元データ!$AE$2:$AE$2001=$C$112)*(元データ!$AO$2:$AO$2001=0)*(元データ!$AM$2:$AM$2001&lt;=7)*(元データ!$E$2:$E$2001="30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13" s="57"/>
      <c r="O113" s="57"/>
      <c r="P113" s="49">
        <f ca="1">SUMPRODUCT((元データ!$AL$2:$AL$2001=1)*(元データ!$AN$2:$AN$2001=1)*(元データ!$AE$2:$AE$2001=$C$112)*(元データ!$AO$2:$AO$2001=0)*(元データ!$AM$2:$AM$2001&lt;=7)*(元データ!$E$2:$E$2001="31 ＯＰ確認中"))</f>
        <v>0</v>
      </c>
      <c r="Q113" s="57" t="str" cm="1">
        <f t="array" aca="1" ref="Q113" ca="1">IFERROR(_xlfn.TEXTJOIN(CHAR(10),TRUE,IF((元データ!$AL$2:$AL$2001=1)*(元データ!$AN$2:$AN$2001=1)*(元データ!$AE$2:$AE$2001=$C$112)*(元データ!$AO$2:$AO$2001=0)*(元データ!$AM$2:$AM$2001&lt;=7)*(元データ!$E$2:$E$2001="31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13" s="57"/>
      <c r="S113" s="57"/>
      <c r="T113" s="49">
        <f ca="1">SUMPRODUCT((元データ!$AL$2:$AL$2001=1)*(元データ!$AN$2:$AN$2001=1)*(元データ!$AE$2:$AE$2001=$C$112)*(元データ!$AO$2:$AO$2001=0)*(元データ!$AM$2:$AM$2001&lt;=7)*(元データ!$E$2:$E$2001="32 ＳＶ確認中"))</f>
        <v>0</v>
      </c>
      <c r="U113" s="57" t="str" cm="1">
        <f t="array" aca="1" ref="U113" ca="1">IFERROR(_xlfn.TEXTJOIN(CHAR(10),TRUE,IF((元データ!$AL$2:$AL$2001=1)*(元データ!$AN$2:$AN$2001=1)*(元データ!$AE$2:$AE$2001=$C$112)*(元データ!$AO$2:$AO$2001=0)*(元データ!$AM$2:$AM$2001&lt;=7)*(元データ!$E$2:$E$2001="32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13" s="57"/>
      <c r="W113" s="57"/>
      <c r="X113" s="49">
        <f ca="1">SUMPRODUCT((元データ!$AL$2:$AL$2001=1)*(元データ!$AN$2:$AN$2001=1)*(元データ!$AE$2:$AE$2001=$C$112)*(元データ!$AO$2:$AO$2001=0)*(元データ!$AM$2:$AM$2001&gt;=8)*(元データ!$AM$2:$AM$2001&lt;=14))</f>
        <v>0</v>
      </c>
      <c r="Y113" s="49">
        <f ca="1">SUMPRODUCT((元データ!$AL$2:$AL$2001=1)*(元データ!$AN$2:$AN$2001=1)*(元データ!$AE$2:$AE$2001=$C$112)*(元データ!$AO$2:$AO$2001=0)*(元データ!$AM$2:$AM$2001&gt;=8)*(元データ!$AM$2:$AM$2001&lt;=14)*(元データ!$E$2:$E$2001="20 確認待ち"))</f>
        <v>0</v>
      </c>
      <c r="Z113" s="57" t="str" cm="1">
        <f t="array" aca="1" ref="Z113" ca="1">IFERROR(_xlfn.TEXTJOIN(CHAR(10),TRUE,IF((元データ!$AL$2:$AL$2001=1)*(元データ!$AN$2:$AN$2001=1)*(元データ!$AE$2:$AE$2001=$C$112)*(元データ!$AO$2:$AO$2001=0)*(元データ!$AM$2:$AM$2001&gt;=8)*(元データ!$AM$2:$AM$2001&lt;=14)*(元データ!$E$2:$E$2001="20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3" s="57"/>
      <c r="AB113" s="57"/>
      <c r="AC113" s="49">
        <f ca="1">SUMPRODUCT((元データ!$AL$2:$AL$2001=1)*(元データ!$AN$2:$AN$2001=1)*(元データ!$AE$2:$AE$2001=$C$112)*(元データ!$AO$2:$AO$2001=0)*(元データ!$AM$2:$AM$2001&gt;=8)*(元データ!$AM$2:$AM$2001&lt;=14)*(元データ!$E$2:$E$2001="30 申請受付"))</f>
        <v>0</v>
      </c>
      <c r="AD113" s="57" t="str" cm="1">
        <f t="array" aca="1" ref="AD113" ca="1">IFERROR(_xlfn.TEXTJOIN(CHAR(10),TRUE,IF((元データ!$AL$2:$AL$2001=1)*(元データ!$AN$2:$AN$2001=1)*(元データ!$AE$2:$AE$2001=$C$112)*(元データ!$AO$2:$AO$2001=0)*(元データ!$AM$2:$AM$2001&gt;=8)*(元データ!$AM$2:$AM$2001&lt;=14)*(元データ!$E$2:$E$2001="30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3" s="57"/>
      <c r="AF113" s="57"/>
      <c r="AG113" s="49">
        <f ca="1">SUMPRODUCT((元データ!$AL$2:$AL$2001=1)*(元データ!$AN$2:$AN$2001=1)*(元データ!$AE$2:$AE$2001=$C$112)*(元データ!$AO$2:$AO$2001=0)*(元データ!$AM$2:$AM$2001&gt;=8)*(元データ!$AM$2:$AM$2001&lt;=14)*(元データ!$E$2:$E$2001="31 ＯＰ確認中"))</f>
        <v>0</v>
      </c>
      <c r="AH113" s="57" t="str" cm="1">
        <f t="array" aca="1" ref="AH113" ca="1">IFERROR(_xlfn.TEXTJOIN(CHAR(10),TRUE,IF((元データ!$AL$2:$AL$2001=1)*(元データ!$AN$2:$AN$2001=1)*(元データ!$AE$2:$AE$2001=$C$112)*(元データ!$AO$2:$AO$2001=0)*(元データ!$AM$2:$AM$2001&gt;=8)*(元データ!$AM$2:$AM$2001&lt;=14)*(元データ!$E$2:$E$2001="31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3" s="57"/>
      <c r="AJ113" s="57"/>
      <c r="AK113" s="49">
        <f ca="1">SUMPRODUCT((元データ!$AL$2:$AL$2001=1)*(元データ!$AN$2:$AN$2001=1)*(元データ!$AE$2:$AE$2001=$C$112)*(元データ!$AO$2:$AO$2001=0)*(元データ!$AM$2:$AM$2001&gt;=8)*(元データ!$AM$2:$AM$2001&lt;=14)*(元データ!$E$2:$E$2001="32 ＳＶ確認中"))</f>
        <v>0</v>
      </c>
      <c r="AL113" s="57" t="str" cm="1">
        <f t="array" aca="1" ref="AL113" ca="1">IFERROR(_xlfn.TEXTJOIN(CHAR(10),TRUE,IF((元データ!$AL$2:$AL$2001=1)*(元データ!$AN$2:$AN$2001=1)*(元データ!$AE$2:$AE$2001=$C$112)*(元データ!$AO$2:$AO$2001=0)*(元データ!$AM$2:$AM$2001&gt;=8)*(元データ!$AM$2:$AM$2001&lt;=14)*(元データ!$E$2:$E$2001="32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3" s="57">
        <f ca="1">SUMPRODUCT((元データ!$AL$2:$AL$2001=1)*(元データ!$AN$2:$AN$2001=1)*(元データ!$AE$2:$AE$2001=$C$112)*(元データ!$AO$2:$AO$2001=0)*(元データ!$AM$2:$AM$2001&gt;=8)*(元データ!$AM$2:$AM$2001&lt;=14)*(元データ!$E$2:$E$2001="40 差戻し"))</f>
        <v>0</v>
      </c>
      <c r="AN113" s="57" t="str" cm="1">
        <f t="array" aca="1" ref="AN113" ca="1">IFERROR(_xlfn.TEXTJOIN(CHAR(10),TRUE,IF((元データ!$AL$2:$AL$2001=1)*(元データ!$AN$2:$AN$2001=1)*(元データ!$AE$2:$AE$2001=$C$112)*(元データ!$AO$2:$AO$2001=0)*(元データ!$AM$2:$AM$2001&gt;=8)*(元データ!$AM$2:$AM$2001&lt;=14)*(元データ!$E$2:$E$2001="40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3" s="44">
        <f ca="1">SUMPRODUCT((元データ!$AL$2:$AL$2001=1)*(元データ!$AN$2:$AN$2001=1)*(元データ!$AE$2:$AE$2001=$C$112)*(元データ!$AO$2:$AO$2001=0)*(元データ!$AM$2:$AM$2001&gt;=15)*(元データ!$AM$2:$AM$2001&lt;=21))</f>
        <v>0</v>
      </c>
      <c r="AP113" s="44">
        <f ca="1">SUMPRODUCT((元データ!$AL$2:$AL$2001=1)*(元データ!$AN$2:$AN$2001=1)*(元データ!$AE$2:$AE$2001=$C$112)*(元データ!$AO$2:$AO$2001=0)*(元データ!$AM$2:$AM$2001&gt;=15)*(元データ!$AM$2:$AM$2001&lt;=21)*(元データ!$E$2:$E$2001="20 確認待ち"))</f>
        <v>0</v>
      </c>
      <c r="AQ113" s="58" t="str" cm="1">
        <f t="array" aca="1" ref="AQ113" ca="1">IFERROR(_xlfn.TEXTJOIN(CHAR(10),TRUE,IF((元データ!$AL$2:$AL$2001=1)*(元データ!$AN$2:$AN$2001=1)*(元データ!$AE$2:$AE$2001=$C$112)*(元データ!$AO$2:$AO$2001=0)*(元データ!$AM$2:$AM$2001&gt;=15)*(元データ!$AM$2:$AM$2001&lt;=21)*(元データ!$E$2:$E$2001="20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3" s="58"/>
      <c r="AS113" s="58"/>
      <c r="AT113" s="44">
        <f ca="1">SUMPRODUCT((元データ!$AL$2:$AL$2001=1)*(元データ!$AN$2:$AN$2001=1)*(元データ!$AE$2:$AE$2001=$C$112)*(元データ!$AO$2:$AO$2001=0)*(元データ!$AM$2:$AM$2001&gt;=15)*(元データ!$AM$2:$AM$2001&lt;=21)*(元データ!$E$2:$E$2001="30 申請受付"))</f>
        <v>0</v>
      </c>
      <c r="AU113" s="58" t="str" cm="1">
        <f t="array" aca="1" ref="AU113" ca="1">IFERROR(_xlfn.TEXTJOIN(CHAR(10),TRUE,IF((元データ!$AL$2:$AL$2001=1)*(元データ!$AN$2:$AN$2001=1)*(元データ!$AE$2:$AE$2001=$C$112)*(元データ!$AO$2:$AO$2001=0)*(元データ!$AM$2:$AM$2001&gt;=15)*(元データ!$AM$2:$AM$2001&lt;=21)*(元データ!$E$2:$E$2001="30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3" s="58"/>
      <c r="AW113" s="58"/>
      <c r="AX113" s="44">
        <f ca="1">SUMPRODUCT((元データ!$AL$2:$AL$2001=1)*(元データ!$AN$2:$AN$2001=1)*(元データ!$AE$2:$AE$2001=$C$112)*(元データ!$AO$2:$AO$2001=0)*(元データ!$AM$2:$AM$2001&gt;=15)*(元データ!$AM$2:$AM$2001&lt;=21)*(元データ!$E$2:$E$2001="31 ＯＰ確認中"))</f>
        <v>0</v>
      </c>
      <c r="AY113" s="58" t="str" cm="1">
        <f t="array" aca="1" ref="AY113" ca="1">IFERROR(_xlfn.TEXTJOIN(CHAR(10),TRUE,IF((元データ!$AL$2:$AL$2001=1)*(元データ!$AN$2:$AN$2001=1)*(元データ!$AE$2:$AE$2001=$C$112)*(元データ!$AO$2:$AO$2001=0)*(元データ!$AM$2:$AM$2001&gt;=15)*(元データ!$AM$2:$AM$2001&lt;=21)*(元データ!$E$2:$E$2001="31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3" s="58"/>
      <c r="BA113" s="58"/>
      <c r="BB113" s="44">
        <f ca="1">SUMPRODUCT((元データ!$AL$2:$AL$2001=1)*(元データ!$AN$2:$AN$2001=1)*(元データ!$AE$2:$AE$2001=$C$112)*(元データ!$AO$2:$AO$2001=0)*(元データ!$AM$2:$AM$2001&gt;=15)*(元データ!$AM$2:$AM$2001&lt;=21)*(元データ!$E$2:$E$2001="32 ＳＶ確認中"))</f>
        <v>0</v>
      </c>
      <c r="BC113" s="58" t="str" cm="1">
        <f t="array" aca="1" ref="BC113" ca="1">IFERROR(_xlfn.TEXTJOIN(CHAR(10),TRUE,IF((元データ!$AL$2:$AL$2001=1)*(元データ!$AN$2:$AN$2001=1)*(元データ!$AE$2:$AE$2001=$C$112)*(元データ!$AO$2:$AO$2001=0)*(元データ!$AM$2:$AM$2001&gt;=15)*(元データ!$AM$2:$AM$2001&lt;=21)*(元データ!$E$2:$E$2001="32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3" s="58">
        <f ca="1">SUMPRODUCT((元データ!$AL$2:$AL$2001=1)*(元データ!$AN$2:$AN$2001=1)*(元データ!$AE$2:$AE$2001=$C$112)*(元データ!$AO$2:$AO$2001=0)*(元データ!$AM$2:$AM$2001&gt;=15)*(元データ!$AM$2:$AM$2001&lt;=21)*(元データ!$E$2:$E$2001="40 差戻し"))</f>
        <v>0</v>
      </c>
      <c r="BE113" s="58" t="str" cm="1">
        <f t="array" aca="1" ref="BE113" ca="1">IFERROR(_xlfn.TEXTJOIN(CHAR(10),TRUE,IF((元データ!$AL$2:$AL$2001=1)*(元データ!$AN$2:$AN$2001=1)*(元データ!$AE$2:$AE$2001=$C$112)*(元データ!$AO$2:$AO$2001=0)*(元データ!$AM$2:$AM$2001&gt;=15)*(元データ!$AM$2:$AM$2001&lt;=21)*(元データ!$E$2:$E$2001="40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3" s="45">
        <f ca="1">SUMPRODUCT((元データ!$AL$2:$AL$2001=1)*(元データ!$AN$2:$AN$2001=1)*(元データ!$AE$2:$AE$2001=$C$112)*(元データ!$AO$2:$AO$2001=0)*(元データ!$AM$2:$AM$2001&gt;=22)*(元データ!$AM$2:$AM$2001&lt;=30))</f>
        <v>0</v>
      </c>
      <c r="BG113" s="45">
        <f ca="1">SUMPRODUCT((元データ!$AL$2:$AL$2001=1)*(元データ!$AN$2:$AN$2001=1)*(元データ!$AE$2:$AE$2001=$C$112)*(元データ!$AO$2:$AO$2001=0)*(元データ!$AM$2:$AM$2001&gt;=22)*(元データ!$AM$2:$AM$2001&lt;=30)*(元データ!$E$2:$E$2001="20 確認待ち"))</f>
        <v>0</v>
      </c>
      <c r="BH113" s="59" t="str" cm="1">
        <f t="array" aca="1" ref="BH113" ca="1">IFERROR(_xlfn.TEXTJOIN(CHAR(10),TRUE,IF((元データ!$AL$2:$AL$2001=1)*(元データ!$AN$2:$AN$2001=1)*(元データ!$AE$2:$AE$2001=$C$112)*(元データ!$AO$2:$AO$2001=0)*(元データ!$AM$2:$AM$2001&gt;=22)*(元データ!$AM$2:$AM$2001&lt;=30)*(元データ!$E$2:$E$2001="20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3" s="59"/>
      <c r="BJ113" s="59"/>
      <c r="BK113" s="45">
        <f ca="1">SUMPRODUCT((元データ!$AL$2:$AL$2001=1)*(元データ!$AN$2:$AN$2001=1)*(元データ!$AE$2:$AE$2001=$C$112)*(元データ!$AO$2:$AO$2001=0)*(元データ!$AM$2:$AM$2001&gt;=22)*(元データ!$AM$2:$AM$2001&lt;=30)*(元データ!$E$2:$E$2001="30 申請受付"))</f>
        <v>0</v>
      </c>
      <c r="BL113" s="59" t="str" cm="1">
        <f t="array" aca="1" ref="BL113" ca="1">IFERROR(_xlfn.TEXTJOIN(CHAR(10),TRUE,IF((元データ!$AL$2:$AL$2001=1)*(元データ!$AN$2:$AN$2001=1)*(元データ!$AE$2:$AE$2001=$C$112)*(元データ!$AO$2:$AO$2001=0)*(元データ!$AM$2:$AM$2001&gt;=22)*(元データ!$AM$2:$AM$2001&lt;=30)*(元データ!$E$2:$E$2001="30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3" s="59"/>
      <c r="BN113" s="59"/>
      <c r="BO113" s="45">
        <f ca="1">SUMPRODUCT((元データ!$AL$2:$AL$2001=1)*(元データ!$AN$2:$AN$2001=1)*(元データ!$AE$2:$AE$2001=$C$112)*(元データ!$AO$2:$AO$2001=0)*(元データ!$AM$2:$AM$2001&gt;=22)*(元データ!$AM$2:$AM$2001&lt;=30)*(元データ!$E$2:$E$2001="31 ＯＰ確認中"))</f>
        <v>0</v>
      </c>
      <c r="BP113" s="59" t="str" cm="1">
        <f t="array" aca="1" ref="BP113" ca="1">IFERROR(_xlfn.TEXTJOIN(CHAR(10),TRUE,IF((元データ!$AL$2:$AL$2001=1)*(元データ!$AN$2:$AN$2001=1)*(元データ!$AE$2:$AE$2001=$C$112)*(元データ!$AO$2:$AO$2001=0)*(元データ!$AM$2:$AM$2001&gt;=22)*(元データ!$AM$2:$AM$2001&lt;=30)*(元データ!$E$2:$E$2001="31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3" s="59"/>
      <c r="BR113" s="59"/>
      <c r="BS113" s="45">
        <f ca="1">SUMPRODUCT((元データ!$AL$2:$AL$2001=1)*(元データ!$AN$2:$AN$2001=1)*(元データ!$AE$2:$AE$2001=$C$112)*(元データ!$AO$2:$AO$2001=0)*(元データ!$AM$2:$AM$2001&gt;=22)*(元データ!$AM$2:$AM$2001&lt;=30)*(元データ!$E$2:$E$2001="32 ＳＶ確認中"))</f>
        <v>0</v>
      </c>
      <c r="BT113" s="59" t="str" cm="1">
        <f t="array" aca="1" ref="BT113" ca="1">IFERROR(_xlfn.TEXTJOIN(CHAR(10),TRUE,IF((元データ!$AL$2:$AL$2001=1)*(元データ!$AN$2:$AN$2001=1)*(元データ!$AE$2:$AE$2001=$C$112)*(元データ!$AO$2:$AO$2001=0)*(元データ!$AM$2:$AM$2001&gt;=22)*(元データ!$AM$2:$AM$2001&lt;=30)*(元データ!$E$2:$E$2001="32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3" s="59">
        <f ca="1">SUMPRODUCT((元データ!$AL$2:$AL$2001=1)*(元データ!$AN$2:$AN$2001=1)*(元データ!$AE$2:$AE$2001=$C$112)*(元データ!$AO$2:$AO$2001=0)*(元データ!$AM$2:$AM$2001&gt;=22)*(元データ!$AM$2:$AM$2001&lt;=30)*(元データ!$E$2:$E$2001="40 差戻し"))</f>
        <v>0</v>
      </c>
      <c r="BV113" s="59" t="str" cm="1">
        <f t="array" aca="1" ref="BV113" ca="1">IFERROR(_xlfn.TEXTJOIN(CHAR(10),TRUE,IF((元データ!$AL$2:$AL$2001=1)*(元データ!$AN$2:$AN$2001=1)*(元データ!$AE$2:$AE$2001=$C$112)*(元データ!$AO$2:$AO$2001=0)*(元データ!$AM$2:$AM$2001&gt;=22)*(元データ!$AM$2:$AM$2001&lt;=30)*(元データ!$E$2:$E$2001="40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3" s="46">
        <f ca="1">SUMPRODUCT((元データ!$AL$2:$AL$2001=1)*(元データ!$AN$2:$AN$2001=1)*(元データ!$AE$2:$AE$2001=$C$112)*(元データ!$AO$2:$AO$2001=0)*(元データ!$AM$2:$AM$2001&gt;=31))</f>
        <v>0</v>
      </c>
      <c r="BX113" s="46">
        <f ca="1">SUMPRODUCT((元データ!$AL$2:$AL$2001=1)*(元データ!$AN$2:$AN$2001=1)*(元データ!$AE$2:$AE$2001=$C$112)*(元データ!$AO$2:$AO$2001=0)*(元データ!$AM$2:$AM$2001&gt;=31)*(元データ!$E$2:$E$2001="20 確認待ち"))</f>
        <v>0</v>
      </c>
      <c r="BY113" s="56" t="str" cm="1">
        <f t="array" aca="1" ref="BY113" ca="1">IFERROR(_xlfn.TEXTJOIN(CHAR(10),TRUE,IF((元データ!$AL$2:$AL$2001=1)*(元データ!$AN$2:$AN$2001=1)*(元データ!$AE$2:$AE$2001=$C$112)*(元データ!$AO$2:$AO$2001=0)*(元データ!$AM$2:$AM$2001&gt;=31)*(元データ!$E$2:$E$2001="20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13" s="56"/>
      <c r="CA113" s="56"/>
      <c r="CB113" s="46">
        <f ca="1">SUMPRODUCT((元データ!$AL$2:$AL$2001=1)*(元データ!$AN$2:$AN$2001=1)*(元データ!$AE$2:$AE$2001=$C$112)*(元データ!$AO$2:$AO$2001=0)*(元データ!$AM$2:$AM$2001&gt;=31)*(元データ!$E$2:$E$2001="30 申請受付"))</f>
        <v>0</v>
      </c>
      <c r="CC113" s="56" t="str" cm="1">
        <f t="array" aca="1" ref="CC113" ca="1">IFERROR(_xlfn.TEXTJOIN(CHAR(10),TRUE,IF((元データ!$AL$2:$AL$2001=1)*(元データ!$AN$2:$AN$2001=1)*(元データ!$AE$2:$AE$2001=$C$112)*(元データ!$AO$2:$AO$2001=0)*(元データ!$AM$2:$AM$2001&gt;=31)*(元データ!$E$2:$E$2001="30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13" s="56"/>
      <c r="CE113" s="56"/>
      <c r="CF113" s="46">
        <f ca="1">SUMPRODUCT((元データ!$AL$2:$AL$2001=1)*(元データ!$AN$2:$AN$2001=1)*(元データ!$AE$2:$AE$2001=$C$112)*(元データ!$AO$2:$AO$2001=0)*(元データ!$AM$2:$AM$2001&gt;=31)*(元データ!$E$2:$E$2001="31 ＯＰ確認中"))</f>
        <v>0</v>
      </c>
      <c r="CG113" s="56" t="str" cm="1">
        <f t="array" aca="1" ref="CG113" ca="1">IFERROR(_xlfn.TEXTJOIN(CHAR(10),TRUE,IF((元データ!$AL$2:$AL$2001=1)*(元データ!$AN$2:$AN$2001=1)*(元データ!$AE$2:$AE$2001=$C$112)*(元データ!$AO$2:$AO$2001=0)*(元データ!$AM$2:$AM$2001&gt;=31)*(元データ!$E$2:$E$2001="31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13" s="56"/>
      <c r="CI113" s="56"/>
      <c r="CJ113" s="46">
        <f ca="1">SUMPRODUCT((元データ!$AL$2:$AL$2001=1)*(元データ!$AN$2:$AN$2001=1)*(元データ!$AE$2:$AE$2001=$C$112)*(元データ!$AO$2:$AO$2001=0)*(元データ!$AM$2:$AM$2001&gt;=31)*(元データ!$E$2:$E$2001="32 ＳＶ確認中"))</f>
        <v>0</v>
      </c>
      <c r="CK113" s="56" t="str" cm="1">
        <f t="array" aca="1" ref="CK113" ca="1">IFERROR(_xlfn.TEXTJOIN(CHAR(10),TRUE,IF((元データ!$AL$2:$AL$2001=1)*(元データ!$AN$2:$AN$2001=1)*(元データ!$AE$2:$AE$2001=$C$112)*(元データ!$AO$2:$AO$2001=0)*(元データ!$AM$2:$AM$2001&gt;=31)*(元データ!$E$2:$E$2001="32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13" s="56">
        <f ca="1">SUMPRODUCT((元データ!$AL$2:$AL$2001=1)*(元データ!$AN$2:$AN$2001=1)*(元データ!$AE$2:$AE$2001=$C$112)*(元データ!$AO$2:$AO$2001=0)*(元データ!$AM$2:$AM$2001&gt;=31)*(元データ!$E$2:$E$2001="40 差戻し"))</f>
        <v>0</v>
      </c>
      <c r="CM113" s="56" t="str" cm="1">
        <f t="array" aca="1" ref="CM113" ca="1">IFERROR(_xlfn.TEXTJOIN(CHAR(10),TRUE,IF((元データ!$AL$2:$AL$2001=1)*(元データ!$AN$2:$AN$2001=1)*(元データ!$AE$2:$AE$2001=$C$112)*(元データ!$AO$2:$AO$2001=0)*(元データ!$AM$2:$AM$2001&gt;=31)*(元データ!$E$2:$E$2001="40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14" spans="2:93" ht="24.95" customHeight="1">
      <c r="B114" s="91"/>
      <c r="C114" s="63" t="s">
        <v>45</v>
      </c>
      <c r="D114" s="63"/>
      <c r="E114" s="41" t="s">
        <v>133</v>
      </c>
      <c r="F114" s="42">
        <f>SUMPRODUCT((元データ!$AL$2:$AL$2001=1)*(元データ!$AN$2:$AN$2001=1)*(元データ!$AE$2:$AE$2001=$C$114)*(元データ!$AO$2:$AO$2001=1))</f>
        <v>15</v>
      </c>
      <c r="G114" s="43">
        <f ca="1">SUMPRODUCT((元データ!$AL$2:$AL$2001=1)*(元データ!$AN$2:$AN$2001=1)*(元データ!$AE$2:$AE$2001=$C$114)*(元データ!$AO$2:$AO$2001=1)*(元データ!$AM$2:$AM$2001&lt;=7))</f>
        <v>0</v>
      </c>
      <c r="H114" s="43">
        <f ca="1">SUMPRODUCT((元データ!$AL$2:$AL$2001=1)*(元データ!$AN$2:$AN$2001=1)*(元データ!$AE$2:$AE$2001=$C$114)*(元データ!$AO$2:$AO$2001=1)*(元データ!$AM$2:$AM$2001&lt;=7)*(元データ!$E$2:$E$2001="20 確認待ち"))</f>
        <v>0</v>
      </c>
      <c r="I114" s="61" t="str" cm="1">
        <f t="array" aca="1" ref="I114" ca="1">IFERROR(_xlfn.TEXTJOIN(CHAR(10),TRUE,IF((元データ!$AL$2:$AL$2001=1)*(元データ!$AN$2:$AN$2001=1)*(元データ!$AE$2:$AE$2001=$C$114)*(元データ!$AO$2:$AO$2001=1)*(元データ!$AM$2:$AM$2001&lt;=7)*(元データ!$E$2:$E$2001="20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14" s="61"/>
      <c r="K114" s="61"/>
      <c r="L114" s="43">
        <f ca="1">SUMPRODUCT((元データ!$AL$2:$AL$2001=1)*(元データ!$AN$2:$AN$2001=1)*(元データ!$AE$2:$AE$2001=$C$114)*(元データ!$AO$2:$AO$2001=1)*(元データ!$AM$2:$AM$2001&lt;=7)*(元データ!$E$2:$E$2001="30 申請受付"))</f>
        <v>0</v>
      </c>
      <c r="M114" s="61" t="str" cm="1">
        <f t="array" aca="1" ref="M114" ca="1">IFERROR(_xlfn.TEXTJOIN(CHAR(10),TRUE,IF((元データ!$AL$2:$AL$2001=1)*(元データ!$AN$2:$AN$2001=1)*(元データ!$AE$2:$AE$2001=$C$114)*(元データ!$AO$2:$AO$2001=1)*(元データ!$AM$2:$AM$2001&lt;=7)*(元データ!$E$2:$E$2001="30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14" s="61"/>
      <c r="O114" s="61"/>
      <c r="P114" s="43">
        <f ca="1">SUMPRODUCT((元データ!$AL$2:$AL$2001=1)*(元データ!$AN$2:$AN$2001=1)*(元データ!$AE$2:$AE$2001=$C$114)*(元データ!$AO$2:$AO$2001=1)*(元データ!$AM$2:$AM$2001&lt;=7)*(元データ!$E$2:$E$2001="31 ＯＰ確認中"))</f>
        <v>0</v>
      </c>
      <c r="Q114" s="61" t="str" cm="1">
        <f t="array" aca="1" ref="Q114" ca="1">IFERROR(_xlfn.TEXTJOIN(CHAR(10),TRUE,IF((元データ!$AL$2:$AL$2001=1)*(元データ!$AN$2:$AN$2001=1)*(元データ!$AE$2:$AE$2001=$C$114)*(元データ!$AO$2:$AO$2001=1)*(元データ!$AM$2:$AM$2001&lt;=7)*(元データ!$E$2:$E$2001="31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14" s="61"/>
      <c r="S114" s="61"/>
      <c r="T114" s="43">
        <f ca="1">SUMPRODUCT((元データ!$AL$2:$AL$2001=1)*(元データ!$AN$2:$AN$2001=1)*(元データ!$AE$2:$AE$2001=$C$114)*(元データ!$AO$2:$AO$2001=1)*(元データ!$AM$2:$AM$2001&lt;=7)*(元データ!$E$2:$E$2001="32 ＳＶ確認中"))</f>
        <v>0</v>
      </c>
      <c r="U114" s="61" t="str" cm="1">
        <f t="array" aca="1" ref="U114" ca="1">IFERROR(_xlfn.TEXTJOIN(CHAR(10),TRUE,IF((元データ!$AL$2:$AL$2001=1)*(元データ!$AN$2:$AN$2001=1)*(元データ!$AE$2:$AE$2001=$C$114)*(元データ!$AO$2:$AO$2001=1)*(元データ!$AM$2:$AM$2001&lt;=7)*(元データ!$E$2:$E$2001="32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14" s="61"/>
      <c r="W114" s="61"/>
      <c r="X114" s="43">
        <f ca="1">SUMPRODUCT((元データ!$AL$2:$AL$2001=1)*(元データ!$AN$2:$AN$2001=1)*(元データ!$AE$2:$AE$2001=$C$114)*(元データ!$AO$2:$AO$2001=1)*(元データ!$AM$2:$AM$2001&gt;=8)*(元データ!$AM$2:$AM$2001&lt;=14))</f>
        <v>0</v>
      </c>
      <c r="Y114" s="43">
        <f ca="1">SUMPRODUCT((元データ!$AL$2:$AL$2001=1)*(元データ!$AN$2:$AN$2001=1)*(元データ!$AE$2:$AE$2001=$C$114)*(元データ!$AO$2:$AO$2001=1)*(元データ!$AM$2:$AM$2001&gt;=8)*(元データ!$AM$2:$AM$2001&lt;=14)*(元データ!$E$2:$E$2001="20 確認待ち"))</f>
        <v>0</v>
      </c>
      <c r="Z114" s="61" t="str" cm="1">
        <f t="array" aca="1" ref="Z114" ca="1">IFERROR(_xlfn.TEXTJOIN(CHAR(10),TRUE,IF((元データ!$AL$2:$AL$2001=1)*(元データ!$AN$2:$AN$2001=1)*(元データ!$AE$2:$AE$2001=$C$114)*(元データ!$AO$2:$AO$2001=1)*(元データ!$AM$2:$AM$2001&gt;=8)*(元データ!$AM$2:$AM$2001&lt;=14)*(元データ!$E$2:$E$2001="20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4" s="61"/>
      <c r="AB114" s="61"/>
      <c r="AC114" s="43">
        <f ca="1">SUMPRODUCT((元データ!$AL$2:$AL$2001=1)*(元データ!$AN$2:$AN$2001=1)*(元データ!$AE$2:$AE$2001=$C$114)*(元データ!$AO$2:$AO$2001=1)*(元データ!$AM$2:$AM$2001&gt;=8)*(元データ!$AM$2:$AM$2001&lt;=14)*(元データ!$E$2:$E$2001="30 申請受付"))</f>
        <v>0</v>
      </c>
      <c r="AD114" s="61" t="str" cm="1">
        <f t="array" aca="1" ref="AD114" ca="1">IFERROR(_xlfn.TEXTJOIN(CHAR(10),TRUE,IF((元データ!$AL$2:$AL$2001=1)*(元データ!$AN$2:$AN$2001=1)*(元データ!$AE$2:$AE$2001=$C$114)*(元データ!$AO$2:$AO$2001=1)*(元データ!$AM$2:$AM$2001&gt;=8)*(元データ!$AM$2:$AM$2001&lt;=14)*(元データ!$E$2:$E$2001="30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4" s="61"/>
      <c r="AF114" s="61"/>
      <c r="AG114" s="43">
        <f ca="1">SUMPRODUCT((元データ!$AL$2:$AL$2001=1)*(元データ!$AN$2:$AN$2001=1)*(元データ!$AE$2:$AE$2001=$C$114)*(元データ!$AO$2:$AO$2001=1)*(元データ!$AM$2:$AM$2001&gt;=8)*(元データ!$AM$2:$AM$2001&lt;=14)*(元データ!$E$2:$E$2001="31 ＯＰ確認中"))</f>
        <v>0</v>
      </c>
      <c r="AH114" s="61" t="str" cm="1">
        <f t="array" aca="1" ref="AH114" ca="1">IFERROR(_xlfn.TEXTJOIN(CHAR(10),TRUE,IF((元データ!$AL$2:$AL$2001=1)*(元データ!$AN$2:$AN$2001=1)*(元データ!$AE$2:$AE$2001=$C$114)*(元データ!$AO$2:$AO$2001=1)*(元データ!$AM$2:$AM$2001&gt;=8)*(元データ!$AM$2:$AM$2001&lt;=14)*(元データ!$E$2:$E$2001="31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4" s="61"/>
      <c r="AJ114" s="61"/>
      <c r="AK114" s="43">
        <f ca="1">SUMPRODUCT((元データ!$AL$2:$AL$2001=1)*(元データ!$AN$2:$AN$2001=1)*(元データ!$AE$2:$AE$2001=$C$114)*(元データ!$AO$2:$AO$2001=1)*(元データ!$AM$2:$AM$2001&gt;=8)*(元データ!$AM$2:$AM$2001&lt;=14)*(元データ!$E$2:$E$2001="32 ＳＶ確認中"))</f>
        <v>0</v>
      </c>
      <c r="AL114" s="61" t="str" cm="1">
        <f t="array" aca="1" ref="AL114" ca="1">IFERROR(_xlfn.TEXTJOIN(CHAR(10),TRUE,IF((元データ!$AL$2:$AL$2001=1)*(元データ!$AN$2:$AN$2001=1)*(元データ!$AE$2:$AE$2001=$C$114)*(元データ!$AO$2:$AO$2001=1)*(元データ!$AM$2:$AM$2001&gt;=8)*(元データ!$AM$2:$AM$2001&lt;=14)*(元データ!$E$2:$E$2001="32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4" s="61">
        <f ca="1">SUMPRODUCT((元データ!$AL$2:$AL$2001=1)*(元データ!$AN$2:$AN$2001=1)*(元データ!$AE$2:$AE$2001=$C$114)*(元データ!$AO$2:$AO$2001=1)*(元データ!$AM$2:$AM$2001&gt;=8)*(元データ!$AM$2:$AM$2001&lt;=14)*(元データ!$E$2:$E$2001="40 差戻し"))</f>
        <v>0</v>
      </c>
      <c r="AN114" s="61" t="str" cm="1">
        <f t="array" aca="1" ref="AN114" ca="1">IFERROR(_xlfn.TEXTJOIN(CHAR(10),TRUE,IF((元データ!$AL$2:$AL$2001=1)*(元データ!$AN$2:$AN$2001=1)*(元データ!$AE$2:$AE$2001=$C$114)*(元データ!$AO$2:$AO$2001=1)*(元データ!$AM$2:$AM$2001&gt;=8)*(元データ!$AM$2:$AM$2001&lt;=14)*(元データ!$E$2:$E$2001="40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4" s="44">
        <f ca="1">SUMPRODUCT((元データ!$AL$2:$AL$2001=1)*(元データ!$AN$2:$AN$2001=1)*(元データ!$AE$2:$AE$2001=$C$114)*(元データ!$AO$2:$AO$2001=1)*(元データ!$AM$2:$AM$2001&gt;=15)*(元データ!$AM$2:$AM$2001&lt;=21))</f>
        <v>0</v>
      </c>
      <c r="AP114" s="44">
        <f ca="1">SUMPRODUCT((元データ!$AL$2:$AL$2001=1)*(元データ!$AN$2:$AN$2001=1)*(元データ!$AE$2:$AE$2001=$C$114)*(元データ!$AO$2:$AO$2001=1)*(元データ!$AM$2:$AM$2001&gt;=15)*(元データ!$AM$2:$AM$2001&lt;=21)*(元データ!$E$2:$E$2001="20 確認待ち"))</f>
        <v>0</v>
      </c>
      <c r="AQ114" s="58" t="str" cm="1">
        <f t="array" aca="1" ref="AQ114" ca="1">IFERROR(_xlfn.TEXTJOIN(CHAR(10),TRUE,IF((元データ!$AL$2:$AL$2001=1)*(元データ!$AN$2:$AN$2001=1)*(元データ!$AE$2:$AE$2001=$C$114)*(元データ!$AO$2:$AO$2001=1)*(元データ!$AM$2:$AM$2001&gt;=15)*(元データ!$AM$2:$AM$2001&lt;=21)*(元データ!$E$2:$E$2001="20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4" s="58"/>
      <c r="AS114" s="58"/>
      <c r="AT114" s="44">
        <f ca="1">SUMPRODUCT((元データ!$AL$2:$AL$2001=1)*(元データ!$AN$2:$AN$2001=1)*(元データ!$AE$2:$AE$2001=$C$114)*(元データ!$AO$2:$AO$2001=1)*(元データ!$AM$2:$AM$2001&gt;=15)*(元データ!$AM$2:$AM$2001&lt;=21)*(元データ!$E$2:$E$2001="30 申請受付"))</f>
        <v>0</v>
      </c>
      <c r="AU114" s="58" t="str" cm="1">
        <f t="array" aca="1" ref="AU114" ca="1">IFERROR(_xlfn.TEXTJOIN(CHAR(10),TRUE,IF((元データ!$AL$2:$AL$2001=1)*(元データ!$AN$2:$AN$2001=1)*(元データ!$AE$2:$AE$2001=$C$114)*(元データ!$AO$2:$AO$2001=1)*(元データ!$AM$2:$AM$2001&gt;=15)*(元データ!$AM$2:$AM$2001&lt;=21)*(元データ!$E$2:$E$2001="30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4" s="58"/>
      <c r="AW114" s="58"/>
      <c r="AX114" s="44">
        <f ca="1">SUMPRODUCT((元データ!$AL$2:$AL$2001=1)*(元データ!$AN$2:$AN$2001=1)*(元データ!$AE$2:$AE$2001=$C$114)*(元データ!$AO$2:$AO$2001=1)*(元データ!$AM$2:$AM$2001&gt;=15)*(元データ!$AM$2:$AM$2001&lt;=21)*(元データ!$E$2:$E$2001="31 ＯＰ確認中"))</f>
        <v>0</v>
      </c>
      <c r="AY114" s="58" t="str" cm="1">
        <f t="array" aca="1" ref="AY114" ca="1">IFERROR(_xlfn.TEXTJOIN(CHAR(10),TRUE,IF((元データ!$AL$2:$AL$2001=1)*(元データ!$AN$2:$AN$2001=1)*(元データ!$AE$2:$AE$2001=$C$114)*(元データ!$AO$2:$AO$2001=1)*(元データ!$AM$2:$AM$2001&gt;=15)*(元データ!$AM$2:$AM$2001&lt;=21)*(元データ!$E$2:$E$2001="31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4" s="58"/>
      <c r="BA114" s="58"/>
      <c r="BB114" s="44">
        <f ca="1">SUMPRODUCT((元データ!$AL$2:$AL$2001=1)*(元データ!$AN$2:$AN$2001=1)*(元データ!$AE$2:$AE$2001=$C$114)*(元データ!$AO$2:$AO$2001=1)*(元データ!$AM$2:$AM$2001&gt;=15)*(元データ!$AM$2:$AM$2001&lt;=21)*(元データ!$E$2:$E$2001="32 ＳＶ確認中"))</f>
        <v>0</v>
      </c>
      <c r="BC114" s="58" t="str" cm="1">
        <f t="array" aca="1" ref="BC114" ca="1">IFERROR(_xlfn.TEXTJOIN(CHAR(10),TRUE,IF((元データ!$AL$2:$AL$2001=1)*(元データ!$AN$2:$AN$2001=1)*(元データ!$AE$2:$AE$2001=$C$114)*(元データ!$AO$2:$AO$2001=1)*(元データ!$AM$2:$AM$2001&gt;=15)*(元データ!$AM$2:$AM$2001&lt;=21)*(元データ!$E$2:$E$2001="32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4" s="58">
        <f ca="1">SUMPRODUCT((元データ!$AL$2:$AL$2001=1)*(元データ!$AN$2:$AN$2001=1)*(元データ!$AE$2:$AE$2001=$C$114)*(元データ!$AO$2:$AO$2001=1)*(元データ!$AM$2:$AM$2001&gt;=15)*(元データ!$AM$2:$AM$2001&lt;=21)*(元データ!$E$2:$E$2001="40 差戻し"))</f>
        <v>0</v>
      </c>
      <c r="BE114" s="58" t="str" cm="1">
        <f t="array" aca="1" ref="BE114" ca="1">IFERROR(_xlfn.TEXTJOIN(CHAR(10),TRUE,IF((元データ!$AL$2:$AL$2001=1)*(元データ!$AN$2:$AN$2001=1)*(元データ!$AE$2:$AE$2001=$C$114)*(元データ!$AO$2:$AO$2001=1)*(元データ!$AM$2:$AM$2001&gt;=15)*(元データ!$AM$2:$AM$2001&lt;=21)*(元データ!$E$2:$E$2001="40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4" s="45">
        <f ca="1">SUMPRODUCT((元データ!$AL$2:$AL$2001=1)*(元データ!$AN$2:$AN$2001=1)*(元データ!$AE$2:$AE$2001=$C$114)*(元データ!$AO$2:$AO$2001=1)*(元データ!$AM$2:$AM$2001&gt;=22)*(元データ!$AM$2:$AM$2001&lt;=30))</f>
        <v>2</v>
      </c>
      <c r="BG114" s="45">
        <f ca="1">SUMPRODUCT((元データ!$AL$2:$AL$2001=1)*(元データ!$AN$2:$AN$2001=1)*(元データ!$AE$2:$AE$2001=$C$114)*(元データ!$AO$2:$AO$2001=1)*(元データ!$AM$2:$AM$2001&gt;=22)*(元データ!$AM$2:$AM$2001&lt;=30)*(元データ!$E$2:$E$2001="20 確認待ち"))</f>
        <v>0</v>
      </c>
      <c r="BH114" s="60" t="str" cm="1">
        <f t="array" aca="1" ref="BH114" ca="1">IFERROR(_xlfn.TEXTJOIN(CHAR(10),TRUE,IF((元データ!$AL$2:$AL$2001=1)*(元データ!$AN$2:$AN$2001=1)*(元データ!$AE$2:$AE$2001=$C$114)*(元データ!$AO$2:$AO$2001=1)*(元データ!$AM$2:$AM$2001&gt;=22)*(元データ!$AM$2:$AM$2001&lt;=30)*(元データ!$E$2:$E$2001="20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4" s="60"/>
      <c r="BJ114" s="60"/>
      <c r="BK114" s="45">
        <f ca="1">SUMPRODUCT((元データ!$AL$2:$AL$2001=1)*(元データ!$AN$2:$AN$2001=1)*(元データ!$AE$2:$AE$2001=$C$114)*(元データ!$AO$2:$AO$2001=1)*(元データ!$AM$2:$AM$2001&gt;=22)*(元データ!$AM$2:$AM$2001&lt;=30)*(元データ!$E$2:$E$2001="30 申請受付"))</f>
        <v>0</v>
      </c>
      <c r="BL114" s="59" t="str" cm="1">
        <f t="array" aca="1" ref="BL114" ca="1">IFERROR(_xlfn.TEXTJOIN(CHAR(10),TRUE,IF((元データ!$AL$2:$AL$2001=1)*(元データ!$AN$2:$AN$2001=1)*(元データ!$AE$2:$AE$2001=$C$114)*(元データ!$AO$2:$AO$2001=1)*(元データ!$AM$2:$AM$2001&gt;=22)*(元データ!$AM$2:$AM$2001&lt;=30)*(元データ!$E$2:$E$2001="30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4" s="59"/>
      <c r="BN114" s="59"/>
      <c r="BO114" s="45">
        <f ca="1">SUMPRODUCT((元データ!$AL$2:$AL$2001=1)*(元データ!$AN$2:$AN$2001=1)*(元データ!$AE$2:$AE$2001=$C$114)*(元データ!$AO$2:$AO$2001=1)*(元データ!$AM$2:$AM$2001&gt;=22)*(元データ!$AM$2:$AM$2001&lt;=30)*(元データ!$E$2:$E$2001="31 ＯＰ確認中"))</f>
        <v>0</v>
      </c>
      <c r="BP114" s="59" t="str" cm="1">
        <f t="array" aca="1" ref="BP114" ca="1">IFERROR(_xlfn.TEXTJOIN(CHAR(10),TRUE,IF((元データ!$AL$2:$AL$2001=1)*(元データ!$AN$2:$AN$2001=1)*(元データ!$AE$2:$AE$2001=$C$114)*(元データ!$AO$2:$AO$2001=1)*(元データ!$AM$2:$AM$2001&gt;=22)*(元データ!$AM$2:$AM$2001&lt;=30)*(元データ!$E$2:$E$2001="31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4" s="59"/>
      <c r="BR114" s="59"/>
      <c r="BS114" s="45">
        <f ca="1">SUMPRODUCT((元データ!$AL$2:$AL$2001=1)*(元データ!$AN$2:$AN$2001=1)*(元データ!$AE$2:$AE$2001=$C$114)*(元データ!$AO$2:$AO$2001=1)*(元データ!$AM$2:$AM$2001&gt;=22)*(元データ!$AM$2:$AM$2001&lt;=30)*(元データ!$E$2:$E$2001="32 ＳＶ確認中"))</f>
        <v>0</v>
      </c>
      <c r="BT114" s="59" t="str" cm="1">
        <f t="array" aca="1" ref="BT114" ca="1">IFERROR(_xlfn.TEXTJOIN(CHAR(10),TRUE,IF((元データ!$AL$2:$AL$2001=1)*(元データ!$AN$2:$AN$2001=1)*(元データ!$AE$2:$AE$2001=$C$114)*(元データ!$AO$2:$AO$2001=1)*(元データ!$AM$2:$AM$2001&gt;=22)*(元データ!$AM$2:$AM$2001&lt;=30)*(元データ!$E$2:$E$2001="32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4" s="59">
        <f ca="1">SUMPRODUCT((元データ!$AL$2:$AL$2001=1)*(元データ!$AN$2:$AN$2001=1)*(元データ!$AE$2:$AE$2001=$C$114)*(元データ!$AO$2:$AO$2001=1)*(元データ!$AM$2:$AM$2001&gt;=22)*(元データ!$AM$2:$AM$2001&lt;=30)*(元データ!$E$2:$E$2001="40 差戻し"))</f>
        <v>1</v>
      </c>
      <c r="BV114" s="59" t="str" cm="1">
        <f t="array" aca="1" ref="BV114" ca="1">IFERROR(_xlfn.TEXTJOIN(CHAR(10),TRUE,IF((元データ!$AL$2:$AL$2001=1)*(元データ!$AN$2:$AN$2001=1)*(元データ!$AE$2:$AE$2001=$C$114)*(元データ!$AO$2:$AO$2001=1)*(元データ!$AM$2:$AM$2001&gt;=22)*(元データ!$AM$2:$AM$2001&lt;=30)*(元データ!$E$2:$E$2001="40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>202660001269（削除)</v>
      </c>
      <c r="BW114" s="46">
        <f ca="1">SUMPRODUCT((元データ!$AL$2:$AL$2001=1)*(元データ!$AN$2:$AN$2001=1)*(元データ!$AE$2:$AE$2001=$C$114)*(元データ!$AO$2:$AO$2001=1)*(元データ!$AM$2:$AM$2001&gt;=31))</f>
        <v>13</v>
      </c>
      <c r="BX114" s="46">
        <f ca="1">SUMPRODUCT((元データ!$AL$2:$AL$2001=1)*(元データ!$AN$2:$AN$2001=1)*(元データ!$AE$2:$AE$2001=$C$114)*(元データ!$AO$2:$AO$2001=1)*(元データ!$AM$2:$AM$2001&gt;=31)*(元データ!$E$2:$E$2001="20 確認待ち"))</f>
        <v>3</v>
      </c>
      <c r="BY114" s="56" t="str" cm="1">
        <f t="array" aca="1" ref="BY114" ca="1">IFERROR(_xlfn.TEXTJOIN(CHAR(10),TRUE,IF((元データ!$AL$2:$AL$2001=1)*(元データ!$AN$2:$AN$2001=1)*(元データ!$AE$2:$AE$2001=$C$114)*(元データ!$AO$2:$AO$2001=1)*(元データ!$AM$2:$AM$2001&gt;=31)*(元データ!$E$2:$E$2001="20 確認待ち"),元データ!$A$2:$A$2001&amp;IF(元データ!$AP$2:$AP$2001&lt;&gt;"","（"&amp;MID(元データ!$AP$2:$AP$2001,2,100)&amp;")",""),"")),"")</f>
        <v>202660000364（添待ち)
202660000452（添待ち)
202660000967（添待ち)</v>
      </c>
      <c r="BZ114" s="56"/>
      <c r="CA114" s="56"/>
      <c r="CB114" s="46">
        <f ca="1">SUMPRODUCT((元データ!$AL$2:$AL$2001=1)*(元データ!$AN$2:$AN$2001=1)*(元データ!$AE$2:$AE$2001=$C$114)*(元データ!$AO$2:$AO$2001=1)*(元データ!$AM$2:$AM$2001&gt;=31)*(元データ!$E$2:$E$2001="30 申請受付"))</f>
        <v>0</v>
      </c>
      <c r="CC114" s="56" t="str" cm="1">
        <f t="array" aca="1" ref="CC114" ca="1">IFERROR(_xlfn.TEXTJOIN(CHAR(10),TRUE,IF((元データ!$AL$2:$AL$2001=1)*(元データ!$AN$2:$AN$2001=1)*(元データ!$AE$2:$AE$2001=$C$114)*(元データ!$AO$2:$AO$2001=1)*(元データ!$AM$2:$AM$2001&gt;=31)*(元データ!$E$2:$E$2001="30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14" s="56"/>
      <c r="CE114" s="56"/>
      <c r="CF114" s="46">
        <f ca="1">SUMPRODUCT((元データ!$AL$2:$AL$2001=1)*(元データ!$AN$2:$AN$2001=1)*(元データ!$AE$2:$AE$2001=$C$114)*(元データ!$AO$2:$AO$2001=1)*(元データ!$AM$2:$AM$2001&gt;=31)*(元データ!$E$2:$E$2001="31 ＯＰ確認中"))</f>
        <v>3</v>
      </c>
      <c r="CG114" s="56" t="str" cm="1">
        <f t="array" aca="1" ref="CG114" ca="1">IFERROR(_xlfn.TEXTJOIN(CHAR(10),TRUE,IF((元データ!$AL$2:$AL$2001=1)*(元データ!$AN$2:$AN$2001=1)*(元データ!$AE$2:$AE$2001=$C$114)*(元データ!$AO$2:$AO$2001=1)*(元データ!$AM$2:$AM$2001&gt;=31)*(元データ!$E$2:$E$2001="31 ＯＰ確認中"),元データ!$A$2:$A$2001&amp;IF(元データ!$AP$2:$AP$2001&lt;&gt;"","（"&amp;MID(元データ!$AP$2:$AP$2001,2,100)&amp;")",""),"")),"")</f>
        <v>200860002045
201160000813
201460000430</v>
      </c>
      <c r="CH114" s="56"/>
      <c r="CI114" s="56"/>
      <c r="CJ114" s="46">
        <f ca="1">SUMPRODUCT((元データ!$AL$2:$AL$2001=1)*(元データ!$AN$2:$AN$2001=1)*(元データ!$AE$2:$AE$2001=$C$114)*(元データ!$AO$2:$AO$2001=1)*(元データ!$AM$2:$AM$2001&gt;=31)*(元データ!$E$2:$E$2001="32 ＳＶ確認中"))</f>
        <v>1</v>
      </c>
      <c r="CK114" s="56" t="str" cm="1">
        <f t="array" aca="1" ref="CK114" ca="1">IFERROR(_xlfn.TEXTJOIN(CHAR(10),TRUE,IF((元データ!$AL$2:$AL$2001=1)*(元データ!$AN$2:$AN$2001=1)*(元データ!$AE$2:$AE$2001=$C$114)*(元データ!$AO$2:$AO$2001=1)*(元データ!$AM$2:$AM$2001&gt;=31)*(元データ!$E$2:$E$2001="32 ＳＶ確認中"),元データ!$A$2:$A$2001&amp;IF(元データ!$AP$2:$AP$2001&lt;&gt;"","（"&amp;MID(元データ!$AP$2:$AP$2001,2,100)&amp;")",""),"")),"")</f>
        <v>202660000646</v>
      </c>
      <c r="CL114" s="56">
        <f ca="1">SUMPRODUCT((元データ!$AL$2:$AL$2001=1)*(元データ!$AN$2:$AN$2001=1)*(元データ!$AE$2:$AE$2001=$C$114)*(元データ!$AO$2:$AO$2001=1)*(元データ!$AM$2:$AM$2001&gt;=31)*(元データ!$E$2:$E$2001="40 差戻し"))</f>
        <v>5</v>
      </c>
      <c r="CM114" s="56" t="str" cm="1">
        <f t="array" aca="1" ref="CM114" ca="1">IFERROR(_xlfn.TEXTJOIN(CHAR(10),TRUE,IF((元データ!$AL$2:$AL$2001=1)*(元データ!$AN$2:$AN$2001=1)*(元データ!$AE$2:$AE$2001=$C$114)*(元データ!$AO$2:$AO$2001=1)*(元データ!$AM$2:$AM$2001&gt;=31)*(元データ!$E$2:$E$2001="40 差戻し"),元データ!$A$2:$A$2001&amp;IF(元データ!$AP$2:$AP$2001&lt;&gt;"","（"&amp;MID(元データ!$AP$2:$AP$2001,2,100)&amp;")",""),"")),"")</f>
        <v>202460000121（削除)
202460000142（削除)
202660000842（削除)
202660001188（削除)
202660001215（添待ち)</v>
      </c>
    </row>
    <row r="115" spans="2:93" ht="24.95" customHeight="1">
      <c r="B115" s="92"/>
      <c r="C115" s="63"/>
      <c r="D115" s="63"/>
      <c r="E115" s="47" t="s">
        <v>134</v>
      </c>
      <c r="F115" s="48">
        <f>SUMPRODUCT((元データ!$AL$2:$AL$2001=1)*(元データ!$AN$2:$AN$2001=1)*(元データ!$AE$2:$AE$2001=$C$114)*(元データ!$AO$2:$AO$2001=0))</f>
        <v>3</v>
      </c>
      <c r="G115" s="49">
        <f ca="1">SUMPRODUCT((元データ!$AL$2:$AL$2001=1)*(元データ!$AN$2:$AN$2001=1)*(元データ!$AE$2:$AE$2001=$C$114)*(元データ!$AO$2:$AO$2001=0)*(元データ!$AM$2:$AM$2001&lt;=7))</f>
        <v>0</v>
      </c>
      <c r="H115" s="49">
        <f ca="1">SUMPRODUCT((元データ!$AL$2:$AL$2001=1)*(元データ!$AN$2:$AN$2001=1)*(元データ!$AE$2:$AE$2001=$C$114)*(元データ!$AO$2:$AO$2001=0)*(元データ!$AM$2:$AM$2001&lt;=7)*(元データ!$E$2:$E$2001="20 確認待ち"))</f>
        <v>0</v>
      </c>
      <c r="I115" s="57" t="str" cm="1">
        <f t="array" aca="1" ref="I115" ca="1">IFERROR(_xlfn.TEXTJOIN(CHAR(10),TRUE,IF((元データ!$AL$2:$AL$2001=1)*(元データ!$AN$2:$AN$2001=1)*(元データ!$AE$2:$AE$2001=$C$114)*(元データ!$AO$2:$AO$2001=0)*(元データ!$AM$2:$AM$2001&lt;=7)*(元データ!$E$2:$E$2001="20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15" s="57"/>
      <c r="K115" s="57"/>
      <c r="L115" s="49">
        <f ca="1">SUMPRODUCT((元データ!$AL$2:$AL$2001=1)*(元データ!$AN$2:$AN$2001=1)*(元データ!$AE$2:$AE$2001=$C$114)*(元データ!$AO$2:$AO$2001=0)*(元データ!$AM$2:$AM$2001&lt;=7)*(元データ!$E$2:$E$2001="30 申請受付"))</f>
        <v>0</v>
      </c>
      <c r="M115" s="57" t="str" cm="1">
        <f t="array" aca="1" ref="M115" ca="1">IFERROR(_xlfn.TEXTJOIN(CHAR(10),TRUE,IF((元データ!$AL$2:$AL$2001=1)*(元データ!$AN$2:$AN$2001=1)*(元データ!$AE$2:$AE$2001=$C$114)*(元データ!$AO$2:$AO$2001=0)*(元データ!$AM$2:$AM$2001&lt;=7)*(元データ!$E$2:$E$2001="30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15" s="57"/>
      <c r="O115" s="57"/>
      <c r="P115" s="49">
        <f ca="1">SUMPRODUCT((元データ!$AL$2:$AL$2001=1)*(元データ!$AN$2:$AN$2001=1)*(元データ!$AE$2:$AE$2001=$C$114)*(元データ!$AO$2:$AO$2001=0)*(元データ!$AM$2:$AM$2001&lt;=7)*(元データ!$E$2:$E$2001="31 ＯＰ確認中"))</f>
        <v>0</v>
      </c>
      <c r="Q115" s="57" t="str" cm="1">
        <f t="array" aca="1" ref="Q115" ca="1">IFERROR(_xlfn.TEXTJOIN(CHAR(10),TRUE,IF((元データ!$AL$2:$AL$2001=1)*(元データ!$AN$2:$AN$2001=1)*(元データ!$AE$2:$AE$2001=$C$114)*(元データ!$AO$2:$AO$2001=0)*(元データ!$AM$2:$AM$2001&lt;=7)*(元データ!$E$2:$E$2001="31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15" s="57"/>
      <c r="S115" s="57"/>
      <c r="T115" s="49">
        <f ca="1">SUMPRODUCT((元データ!$AL$2:$AL$2001=1)*(元データ!$AN$2:$AN$2001=1)*(元データ!$AE$2:$AE$2001=$C$114)*(元データ!$AO$2:$AO$2001=0)*(元データ!$AM$2:$AM$2001&lt;=7)*(元データ!$E$2:$E$2001="32 ＳＶ確認中"))</f>
        <v>0</v>
      </c>
      <c r="U115" s="57" t="str" cm="1">
        <f t="array" aca="1" ref="U115" ca="1">IFERROR(_xlfn.TEXTJOIN(CHAR(10),TRUE,IF((元データ!$AL$2:$AL$2001=1)*(元データ!$AN$2:$AN$2001=1)*(元データ!$AE$2:$AE$2001=$C$114)*(元データ!$AO$2:$AO$2001=0)*(元データ!$AM$2:$AM$2001&lt;=7)*(元データ!$E$2:$E$2001="32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15" s="57"/>
      <c r="W115" s="57"/>
      <c r="X115" s="49">
        <f ca="1">SUMPRODUCT((元データ!$AL$2:$AL$2001=1)*(元データ!$AN$2:$AN$2001=1)*(元データ!$AE$2:$AE$2001=$C$114)*(元データ!$AO$2:$AO$2001=0)*(元データ!$AM$2:$AM$2001&gt;=8)*(元データ!$AM$2:$AM$2001&lt;=14))</f>
        <v>0</v>
      </c>
      <c r="Y115" s="49">
        <f ca="1">SUMPRODUCT((元データ!$AL$2:$AL$2001=1)*(元データ!$AN$2:$AN$2001=1)*(元データ!$AE$2:$AE$2001=$C$114)*(元データ!$AO$2:$AO$2001=0)*(元データ!$AM$2:$AM$2001&gt;=8)*(元データ!$AM$2:$AM$2001&lt;=14)*(元データ!$E$2:$E$2001="20 確認待ち"))</f>
        <v>0</v>
      </c>
      <c r="Z115" s="57" t="str" cm="1">
        <f t="array" aca="1" ref="Z115" ca="1">IFERROR(_xlfn.TEXTJOIN(CHAR(10),TRUE,IF((元データ!$AL$2:$AL$2001=1)*(元データ!$AN$2:$AN$2001=1)*(元データ!$AE$2:$AE$2001=$C$114)*(元データ!$AO$2:$AO$2001=0)*(元データ!$AM$2:$AM$2001&gt;=8)*(元データ!$AM$2:$AM$2001&lt;=14)*(元データ!$E$2:$E$2001="20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5" s="57"/>
      <c r="AB115" s="57"/>
      <c r="AC115" s="49">
        <f ca="1">SUMPRODUCT((元データ!$AL$2:$AL$2001=1)*(元データ!$AN$2:$AN$2001=1)*(元データ!$AE$2:$AE$2001=$C$114)*(元データ!$AO$2:$AO$2001=0)*(元データ!$AM$2:$AM$2001&gt;=8)*(元データ!$AM$2:$AM$2001&lt;=14)*(元データ!$E$2:$E$2001="30 申請受付"))</f>
        <v>0</v>
      </c>
      <c r="AD115" s="57" t="str" cm="1">
        <f t="array" aca="1" ref="AD115" ca="1">IFERROR(_xlfn.TEXTJOIN(CHAR(10),TRUE,IF((元データ!$AL$2:$AL$2001=1)*(元データ!$AN$2:$AN$2001=1)*(元データ!$AE$2:$AE$2001=$C$114)*(元データ!$AO$2:$AO$2001=0)*(元データ!$AM$2:$AM$2001&gt;=8)*(元データ!$AM$2:$AM$2001&lt;=14)*(元データ!$E$2:$E$2001="30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5" s="57"/>
      <c r="AF115" s="57"/>
      <c r="AG115" s="49">
        <f ca="1">SUMPRODUCT((元データ!$AL$2:$AL$2001=1)*(元データ!$AN$2:$AN$2001=1)*(元データ!$AE$2:$AE$2001=$C$114)*(元データ!$AO$2:$AO$2001=0)*(元データ!$AM$2:$AM$2001&gt;=8)*(元データ!$AM$2:$AM$2001&lt;=14)*(元データ!$E$2:$E$2001="31 ＯＰ確認中"))</f>
        <v>0</v>
      </c>
      <c r="AH115" s="57" t="str" cm="1">
        <f t="array" aca="1" ref="AH115" ca="1">IFERROR(_xlfn.TEXTJOIN(CHAR(10),TRUE,IF((元データ!$AL$2:$AL$2001=1)*(元データ!$AN$2:$AN$2001=1)*(元データ!$AE$2:$AE$2001=$C$114)*(元データ!$AO$2:$AO$2001=0)*(元データ!$AM$2:$AM$2001&gt;=8)*(元データ!$AM$2:$AM$2001&lt;=14)*(元データ!$E$2:$E$2001="31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5" s="57"/>
      <c r="AJ115" s="57"/>
      <c r="AK115" s="49">
        <f ca="1">SUMPRODUCT((元データ!$AL$2:$AL$2001=1)*(元データ!$AN$2:$AN$2001=1)*(元データ!$AE$2:$AE$2001=$C$114)*(元データ!$AO$2:$AO$2001=0)*(元データ!$AM$2:$AM$2001&gt;=8)*(元データ!$AM$2:$AM$2001&lt;=14)*(元データ!$E$2:$E$2001="32 ＳＶ確認中"))</f>
        <v>0</v>
      </c>
      <c r="AL115" s="57" t="str" cm="1">
        <f t="array" aca="1" ref="AL115" ca="1">IFERROR(_xlfn.TEXTJOIN(CHAR(10),TRUE,IF((元データ!$AL$2:$AL$2001=1)*(元データ!$AN$2:$AN$2001=1)*(元データ!$AE$2:$AE$2001=$C$114)*(元データ!$AO$2:$AO$2001=0)*(元データ!$AM$2:$AM$2001&gt;=8)*(元データ!$AM$2:$AM$2001&lt;=14)*(元データ!$E$2:$E$2001="32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5" s="57">
        <f ca="1">SUMPRODUCT((元データ!$AL$2:$AL$2001=1)*(元データ!$AN$2:$AN$2001=1)*(元データ!$AE$2:$AE$2001=$C$114)*(元データ!$AO$2:$AO$2001=0)*(元データ!$AM$2:$AM$2001&gt;=8)*(元データ!$AM$2:$AM$2001&lt;=14)*(元データ!$E$2:$E$2001="40 差戻し"))</f>
        <v>0</v>
      </c>
      <c r="AN115" s="57" t="str" cm="1">
        <f t="array" aca="1" ref="AN115" ca="1">IFERROR(_xlfn.TEXTJOIN(CHAR(10),TRUE,IF((元データ!$AL$2:$AL$2001=1)*(元データ!$AN$2:$AN$2001=1)*(元データ!$AE$2:$AE$2001=$C$114)*(元データ!$AO$2:$AO$2001=0)*(元データ!$AM$2:$AM$2001&gt;=8)*(元データ!$AM$2:$AM$2001&lt;=14)*(元データ!$E$2:$E$2001="40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5" s="44">
        <f ca="1">SUMPRODUCT((元データ!$AL$2:$AL$2001=1)*(元データ!$AN$2:$AN$2001=1)*(元データ!$AE$2:$AE$2001=$C$114)*(元データ!$AO$2:$AO$2001=0)*(元データ!$AM$2:$AM$2001&gt;=15)*(元データ!$AM$2:$AM$2001&lt;=21))</f>
        <v>0</v>
      </c>
      <c r="AP115" s="44">
        <f ca="1">SUMPRODUCT((元データ!$AL$2:$AL$2001=1)*(元データ!$AN$2:$AN$2001=1)*(元データ!$AE$2:$AE$2001=$C$114)*(元データ!$AO$2:$AO$2001=0)*(元データ!$AM$2:$AM$2001&gt;=15)*(元データ!$AM$2:$AM$2001&lt;=21)*(元データ!$E$2:$E$2001="20 確認待ち"))</f>
        <v>0</v>
      </c>
      <c r="AQ115" s="58" t="str" cm="1">
        <f t="array" aca="1" ref="AQ115" ca="1">IFERROR(_xlfn.TEXTJOIN(CHAR(10),TRUE,IF((元データ!$AL$2:$AL$2001=1)*(元データ!$AN$2:$AN$2001=1)*(元データ!$AE$2:$AE$2001=$C$114)*(元データ!$AO$2:$AO$2001=0)*(元データ!$AM$2:$AM$2001&gt;=15)*(元データ!$AM$2:$AM$2001&lt;=21)*(元データ!$E$2:$E$2001="20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5" s="58"/>
      <c r="AS115" s="58"/>
      <c r="AT115" s="44">
        <f ca="1">SUMPRODUCT((元データ!$AL$2:$AL$2001=1)*(元データ!$AN$2:$AN$2001=1)*(元データ!$AE$2:$AE$2001=$C$114)*(元データ!$AO$2:$AO$2001=0)*(元データ!$AM$2:$AM$2001&gt;=15)*(元データ!$AM$2:$AM$2001&lt;=21)*(元データ!$E$2:$E$2001="30 申請受付"))</f>
        <v>0</v>
      </c>
      <c r="AU115" s="58" t="str" cm="1">
        <f t="array" aca="1" ref="AU115" ca="1">IFERROR(_xlfn.TEXTJOIN(CHAR(10),TRUE,IF((元データ!$AL$2:$AL$2001=1)*(元データ!$AN$2:$AN$2001=1)*(元データ!$AE$2:$AE$2001=$C$114)*(元データ!$AO$2:$AO$2001=0)*(元データ!$AM$2:$AM$2001&gt;=15)*(元データ!$AM$2:$AM$2001&lt;=21)*(元データ!$E$2:$E$2001="30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5" s="58"/>
      <c r="AW115" s="58"/>
      <c r="AX115" s="44">
        <f ca="1">SUMPRODUCT((元データ!$AL$2:$AL$2001=1)*(元データ!$AN$2:$AN$2001=1)*(元データ!$AE$2:$AE$2001=$C$114)*(元データ!$AO$2:$AO$2001=0)*(元データ!$AM$2:$AM$2001&gt;=15)*(元データ!$AM$2:$AM$2001&lt;=21)*(元データ!$E$2:$E$2001="31 ＯＰ確認中"))</f>
        <v>0</v>
      </c>
      <c r="AY115" s="58" t="str" cm="1">
        <f t="array" aca="1" ref="AY115" ca="1">IFERROR(_xlfn.TEXTJOIN(CHAR(10),TRUE,IF((元データ!$AL$2:$AL$2001=1)*(元データ!$AN$2:$AN$2001=1)*(元データ!$AE$2:$AE$2001=$C$114)*(元データ!$AO$2:$AO$2001=0)*(元データ!$AM$2:$AM$2001&gt;=15)*(元データ!$AM$2:$AM$2001&lt;=21)*(元データ!$E$2:$E$2001="31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5" s="58"/>
      <c r="BA115" s="58"/>
      <c r="BB115" s="44">
        <f ca="1">SUMPRODUCT((元データ!$AL$2:$AL$2001=1)*(元データ!$AN$2:$AN$2001=1)*(元データ!$AE$2:$AE$2001=$C$114)*(元データ!$AO$2:$AO$2001=0)*(元データ!$AM$2:$AM$2001&gt;=15)*(元データ!$AM$2:$AM$2001&lt;=21)*(元データ!$E$2:$E$2001="32 ＳＶ確認中"))</f>
        <v>0</v>
      </c>
      <c r="BC115" s="58" t="str" cm="1">
        <f t="array" aca="1" ref="BC115" ca="1">IFERROR(_xlfn.TEXTJOIN(CHAR(10),TRUE,IF((元データ!$AL$2:$AL$2001=1)*(元データ!$AN$2:$AN$2001=1)*(元データ!$AE$2:$AE$2001=$C$114)*(元データ!$AO$2:$AO$2001=0)*(元データ!$AM$2:$AM$2001&gt;=15)*(元データ!$AM$2:$AM$2001&lt;=21)*(元データ!$E$2:$E$2001="32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5" s="58">
        <f ca="1">SUMPRODUCT((元データ!$AL$2:$AL$2001=1)*(元データ!$AN$2:$AN$2001=1)*(元データ!$AE$2:$AE$2001=$C$114)*(元データ!$AO$2:$AO$2001=0)*(元データ!$AM$2:$AM$2001&gt;=15)*(元データ!$AM$2:$AM$2001&lt;=21)*(元データ!$E$2:$E$2001="40 差戻し"))</f>
        <v>0</v>
      </c>
      <c r="BE115" s="58" t="str" cm="1">
        <f t="array" aca="1" ref="BE115" ca="1">IFERROR(_xlfn.TEXTJOIN(CHAR(10),TRUE,IF((元データ!$AL$2:$AL$2001=1)*(元データ!$AN$2:$AN$2001=1)*(元データ!$AE$2:$AE$2001=$C$114)*(元データ!$AO$2:$AO$2001=0)*(元データ!$AM$2:$AM$2001&gt;=15)*(元データ!$AM$2:$AM$2001&lt;=21)*(元データ!$E$2:$E$2001="40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5" s="45">
        <f ca="1">SUMPRODUCT((元データ!$AL$2:$AL$2001=1)*(元データ!$AN$2:$AN$2001=1)*(元データ!$AE$2:$AE$2001=$C$114)*(元データ!$AO$2:$AO$2001=0)*(元データ!$AM$2:$AM$2001&gt;=22)*(元データ!$AM$2:$AM$2001&lt;=30))</f>
        <v>0</v>
      </c>
      <c r="BG115" s="45">
        <f ca="1">SUMPRODUCT((元データ!$AL$2:$AL$2001=1)*(元データ!$AN$2:$AN$2001=1)*(元データ!$AE$2:$AE$2001=$C$114)*(元データ!$AO$2:$AO$2001=0)*(元データ!$AM$2:$AM$2001&gt;=22)*(元データ!$AM$2:$AM$2001&lt;=30)*(元データ!$E$2:$E$2001="20 確認待ち"))</f>
        <v>0</v>
      </c>
      <c r="BH115" s="59" t="str" cm="1">
        <f t="array" aca="1" ref="BH115" ca="1">IFERROR(_xlfn.TEXTJOIN(CHAR(10),TRUE,IF((元データ!$AL$2:$AL$2001=1)*(元データ!$AN$2:$AN$2001=1)*(元データ!$AE$2:$AE$2001=$C$114)*(元データ!$AO$2:$AO$2001=0)*(元データ!$AM$2:$AM$2001&gt;=22)*(元データ!$AM$2:$AM$2001&lt;=30)*(元データ!$E$2:$E$2001="20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5" s="59"/>
      <c r="BJ115" s="59"/>
      <c r="BK115" s="45">
        <f ca="1">SUMPRODUCT((元データ!$AL$2:$AL$2001=1)*(元データ!$AN$2:$AN$2001=1)*(元データ!$AE$2:$AE$2001=$C$114)*(元データ!$AO$2:$AO$2001=0)*(元データ!$AM$2:$AM$2001&gt;=22)*(元データ!$AM$2:$AM$2001&lt;=30)*(元データ!$E$2:$E$2001="30 申請受付"))</f>
        <v>0</v>
      </c>
      <c r="BL115" s="59" t="str" cm="1">
        <f t="array" aca="1" ref="BL115" ca="1">IFERROR(_xlfn.TEXTJOIN(CHAR(10),TRUE,IF((元データ!$AL$2:$AL$2001=1)*(元データ!$AN$2:$AN$2001=1)*(元データ!$AE$2:$AE$2001=$C$114)*(元データ!$AO$2:$AO$2001=0)*(元データ!$AM$2:$AM$2001&gt;=22)*(元データ!$AM$2:$AM$2001&lt;=30)*(元データ!$E$2:$E$2001="30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5" s="59"/>
      <c r="BN115" s="59"/>
      <c r="BO115" s="45">
        <f ca="1">SUMPRODUCT((元データ!$AL$2:$AL$2001=1)*(元データ!$AN$2:$AN$2001=1)*(元データ!$AE$2:$AE$2001=$C$114)*(元データ!$AO$2:$AO$2001=0)*(元データ!$AM$2:$AM$2001&gt;=22)*(元データ!$AM$2:$AM$2001&lt;=30)*(元データ!$E$2:$E$2001="31 ＯＰ確認中"))</f>
        <v>0</v>
      </c>
      <c r="BP115" s="59" t="str" cm="1">
        <f t="array" aca="1" ref="BP115" ca="1">IFERROR(_xlfn.TEXTJOIN(CHAR(10),TRUE,IF((元データ!$AL$2:$AL$2001=1)*(元データ!$AN$2:$AN$2001=1)*(元データ!$AE$2:$AE$2001=$C$114)*(元データ!$AO$2:$AO$2001=0)*(元データ!$AM$2:$AM$2001&gt;=22)*(元データ!$AM$2:$AM$2001&lt;=30)*(元データ!$E$2:$E$2001="31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5" s="59"/>
      <c r="BR115" s="59"/>
      <c r="BS115" s="45">
        <f ca="1">SUMPRODUCT((元データ!$AL$2:$AL$2001=1)*(元データ!$AN$2:$AN$2001=1)*(元データ!$AE$2:$AE$2001=$C$114)*(元データ!$AO$2:$AO$2001=0)*(元データ!$AM$2:$AM$2001&gt;=22)*(元データ!$AM$2:$AM$2001&lt;=30)*(元データ!$E$2:$E$2001="32 ＳＶ確認中"))</f>
        <v>0</v>
      </c>
      <c r="BT115" s="59" t="str" cm="1">
        <f t="array" aca="1" ref="BT115" ca="1">IFERROR(_xlfn.TEXTJOIN(CHAR(10),TRUE,IF((元データ!$AL$2:$AL$2001=1)*(元データ!$AN$2:$AN$2001=1)*(元データ!$AE$2:$AE$2001=$C$114)*(元データ!$AO$2:$AO$2001=0)*(元データ!$AM$2:$AM$2001&gt;=22)*(元データ!$AM$2:$AM$2001&lt;=30)*(元データ!$E$2:$E$2001="32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5" s="59">
        <f ca="1">SUMPRODUCT((元データ!$AL$2:$AL$2001=1)*(元データ!$AN$2:$AN$2001=1)*(元データ!$AE$2:$AE$2001=$C$114)*(元データ!$AO$2:$AO$2001=0)*(元データ!$AM$2:$AM$2001&gt;=22)*(元データ!$AM$2:$AM$2001&lt;=30)*(元データ!$E$2:$E$2001="40 差戻し"))</f>
        <v>0</v>
      </c>
      <c r="BV115" s="59" t="str" cm="1">
        <f t="array" aca="1" ref="BV115" ca="1">IFERROR(_xlfn.TEXTJOIN(CHAR(10),TRUE,IF((元データ!$AL$2:$AL$2001=1)*(元データ!$AN$2:$AN$2001=1)*(元データ!$AE$2:$AE$2001=$C$114)*(元データ!$AO$2:$AO$2001=0)*(元データ!$AM$2:$AM$2001&gt;=22)*(元データ!$AM$2:$AM$2001&lt;=30)*(元データ!$E$2:$E$2001="40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5" s="46">
        <f ca="1">SUMPRODUCT((元データ!$AL$2:$AL$2001=1)*(元データ!$AN$2:$AN$2001=1)*(元データ!$AE$2:$AE$2001=$C$114)*(元データ!$AO$2:$AO$2001=0)*(元データ!$AM$2:$AM$2001&gt;=31))</f>
        <v>3</v>
      </c>
      <c r="BX115" s="46">
        <f ca="1">SUMPRODUCT((元データ!$AL$2:$AL$2001=1)*(元データ!$AN$2:$AN$2001=1)*(元データ!$AE$2:$AE$2001=$C$114)*(元データ!$AO$2:$AO$2001=0)*(元データ!$AM$2:$AM$2001&gt;=31)*(元データ!$E$2:$E$2001="20 確認待ち"))</f>
        <v>0</v>
      </c>
      <c r="BY115" s="56" t="str" cm="1">
        <f t="array" aca="1" ref="BY115" ca="1">IFERROR(_xlfn.TEXTJOIN(CHAR(10),TRUE,IF((元データ!$AL$2:$AL$2001=1)*(元データ!$AN$2:$AN$2001=1)*(元データ!$AE$2:$AE$2001=$C$114)*(元データ!$AO$2:$AO$2001=0)*(元データ!$AM$2:$AM$2001&gt;=31)*(元データ!$E$2:$E$2001="20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15" s="56"/>
      <c r="CA115" s="56"/>
      <c r="CB115" s="46">
        <f ca="1">SUMPRODUCT((元データ!$AL$2:$AL$2001=1)*(元データ!$AN$2:$AN$2001=1)*(元データ!$AE$2:$AE$2001=$C$114)*(元データ!$AO$2:$AO$2001=0)*(元データ!$AM$2:$AM$2001&gt;=31)*(元データ!$E$2:$E$2001="30 申請受付"))</f>
        <v>0</v>
      </c>
      <c r="CC115" s="56" t="str" cm="1">
        <f t="array" aca="1" ref="CC115" ca="1">IFERROR(_xlfn.TEXTJOIN(CHAR(10),TRUE,IF((元データ!$AL$2:$AL$2001=1)*(元データ!$AN$2:$AN$2001=1)*(元データ!$AE$2:$AE$2001=$C$114)*(元データ!$AO$2:$AO$2001=0)*(元データ!$AM$2:$AM$2001&gt;=31)*(元データ!$E$2:$E$2001="30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15" s="56"/>
      <c r="CE115" s="56"/>
      <c r="CF115" s="46">
        <f ca="1">SUMPRODUCT((元データ!$AL$2:$AL$2001=1)*(元データ!$AN$2:$AN$2001=1)*(元データ!$AE$2:$AE$2001=$C$114)*(元データ!$AO$2:$AO$2001=0)*(元データ!$AM$2:$AM$2001&gt;=31)*(元データ!$E$2:$E$2001="31 ＯＰ確認中"))</f>
        <v>0</v>
      </c>
      <c r="CG115" s="56" t="str" cm="1">
        <f t="array" aca="1" ref="CG115" ca="1">IFERROR(_xlfn.TEXTJOIN(CHAR(10),TRUE,IF((元データ!$AL$2:$AL$2001=1)*(元データ!$AN$2:$AN$2001=1)*(元データ!$AE$2:$AE$2001=$C$114)*(元データ!$AO$2:$AO$2001=0)*(元データ!$AM$2:$AM$2001&gt;=31)*(元データ!$E$2:$E$2001="31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15" s="56"/>
      <c r="CI115" s="56"/>
      <c r="CJ115" s="46">
        <f ca="1">SUMPRODUCT((元データ!$AL$2:$AL$2001=1)*(元データ!$AN$2:$AN$2001=1)*(元データ!$AE$2:$AE$2001=$C$114)*(元データ!$AO$2:$AO$2001=0)*(元データ!$AM$2:$AM$2001&gt;=31)*(元データ!$E$2:$E$2001="32 ＳＶ確認中"))</f>
        <v>1</v>
      </c>
      <c r="CK115" s="56" t="str" cm="1">
        <f t="array" aca="1" ref="CK115" ca="1">IFERROR(_xlfn.TEXTJOIN(CHAR(10),TRUE,IF((元データ!$AL$2:$AL$2001=1)*(元データ!$AN$2:$AN$2001=1)*(元データ!$AE$2:$AE$2001=$C$114)*(元データ!$AO$2:$AO$2001=0)*(元データ!$AM$2:$AM$2001&gt;=31)*(元データ!$E$2:$E$2001="32 ＳＶ確認中"),元データ!$A$2:$A$2001&amp;IF(元データ!$AP$2:$AP$2001&lt;&gt;"","（"&amp;MID(元データ!$AP$2:$AP$2001,2,100)&amp;")",""),"")),"")</f>
        <v>202660001108</v>
      </c>
      <c r="CL115" s="56">
        <f ca="1">SUMPRODUCT((元データ!$AL$2:$AL$2001=1)*(元データ!$AN$2:$AN$2001=1)*(元データ!$AE$2:$AE$2001=$C$114)*(元データ!$AO$2:$AO$2001=0)*(元データ!$AM$2:$AM$2001&gt;=31)*(元データ!$E$2:$E$2001="40 差戻し"))</f>
        <v>2</v>
      </c>
      <c r="CM115" s="56" t="str" cm="1">
        <f t="array" aca="1" ref="CM115" ca="1">IFERROR(_xlfn.TEXTJOIN(CHAR(10),TRUE,IF((元データ!$AL$2:$AL$2001=1)*(元データ!$AN$2:$AN$2001=1)*(元データ!$AE$2:$AE$2001=$C$114)*(元データ!$AO$2:$AO$2001=0)*(元データ!$AM$2:$AM$2001&gt;=31)*(元データ!$E$2:$E$2001="40 差戻し"),元データ!$A$2:$A$2001&amp;IF(元データ!$AP$2:$AP$2001&lt;&gt;"","（"&amp;MID(元データ!$AP$2:$AP$2001,2,100)&amp;")",""),"")),"")</f>
        <v>201360001338（削除)
202660000276（添待ち)</v>
      </c>
    </row>
    <row r="116" spans="2:93" ht="24.95" customHeight="1">
      <c r="B116" s="91"/>
      <c r="C116" s="63" t="s">
        <v>82</v>
      </c>
      <c r="D116" s="63"/>
      <c r="E116" s="41" t="s">
        <v>133</v>
      </c>
      <c r="F116" s="42">
        <f>SUMPRODUCT((元データ!$AL$2:$AL$2001=1)*(元データ!$AN$2:$AN$2001=1)*(元データ!$AE$2:$AE$2001=$C$116)*(元データ!$AO$2:$AO$2001=1))</f>
        <v>0</v>
      </c>
      <c r="G116" s="43">
        <f ca="1">SUMPRODUCT((元データ!$AL$2:$AL$2001=1)*(元データ!$AN$2:$AN$2001=1)*(元データ!$AE$2:$AE$2001=$C$116)*(元データ!$AO$2:$AO$2001=1)*(元データ!$AM$2:$AM$2001&lt;=7))</f>
        <v>0</v>
      </c>
      <c r="H116" s="43">
        <f ca="1">SUMPRODUCT((元データ!$AL$2:$AL$2001=1)*(元データ!$AN$2:$AN$2001=1)*(元データ!$AE$2:$AE$2001=$C$116)*(元データ!$AO$2:$AO$2001=1)*(元データ!$AM$2:$AM$2001&lt;=7)*(元データ!$E$2:$E$2001="20 確認待ち"))</f>
        <v>0</v>
      </c>
      <c r="I116" s="61" t="str" cm="1">
        <f t="array" aca="1" ref="I116" ca="1">IFERROR(_xlfn.TEXTJOIN(CHAR(10),TRUE,IF((元データ!$AL$2:$AL$2001=1)*(元データ!$AN$2:$AN$2001=1)*(元データ!$AE$2:$AE$2001=$C$116)*(元データ!$AO$2:$AO$2001=1)*(元データ!$AM$2:$AM$2001&lt;=7)*(元データ!$E$2:$E$2001="20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16" s="61"/>
      <c r="K116" s="61"/>
      <c r="L116" s="43">
        <f ca="1">SUMPRODUCT((元データ!$AL$2:$AL$2001=1)*(元データ!$AN$2:$AN$2001=1)*(元データ!$AE$2:$AE$2001=$C$116)*(元データ!$AO$2:$AO$2001=1)*(元データ!$AM$2:$AM$2001&lt;=7)*(元データ!$E$2:$E$2001="30 申請受付"))</f>
        <v>0</v>
      </c>
      <c r="M116" s="61" t="str" cm="1">
        <f t="array" aca="1" ref="M116" ca="1">IFERROR(_xlfn.TEXTJOIN(CHAR(10),TRUE,IF((元データ!$AL$2:$AL$2001=1)*(元データ!$AN$2:$AN$2001=1)*(元データ!$AE$2:$AE$2001=$C$116)*(元データ!$AO$2:$AO$2001=1)*(元データ!$AM$2:$AM$2001&lt;=7)*(元データ!$E$2:$E$2001="30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16" s="61"/>
      <c r="O116" s="61"/>
      <c r="P116" s="43">
        <f ca="1">SUMPRODUCT((元データ!$AL$2:$AL$2001=1)*(元データ!$AN$2:$AN$2001=1)*(元データ!$AE$2:$AE$2001=$C$116)*(元データ!$AO$2:$AO$2001=1)*(元データ!$AM$2:$AM$2001&lt;=7)*(元データ!$E$2:$E$2001="31 ＯＰ確認中"))</f>
        <v>0</v>
      </c>
      <c r="Q116" s="61" t="str" cm="1">
        <f t="array" aca="1" ref="Q116" ca="1">IFERROR(_xlfn.TEXTJOIN(CHAR(10),TRUE,IF((元データ!$AL$2:$AL$2001=1)*(元データ!$AN$2:$AN$2001=1)*(元データ!$AE$2:$AE$2001=$C$116)*(元データ!$AO$2:$AO$2001=1)*(元データ!$AM$2:$AM$2001&lt;=7)*(元データ!$E$2:$E$2001="31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16" s="61"/>
      <c r="S116" s="61"/>
      <c r="T116" s="43">
        <f ca="1">SUMPRODUCT((元データ!$AL$2:$AL$2001=1)*(元データ!$AN$2:$AN$2001=1)*(元データ!$AE$2:$AE$2001=$C$116)*(元データ!$AO$2:$AO$2001=1)*(元データ!$AM$2:$AM$2001&lt;=7)*(元データ!$E$2:$E$2001="32 ＳＶ確認中"))</f>
        <v>0</v>
      </c>
      <c r="U116" s="61" t="str" cm="1">
        <f t="array" aca="1" ref="U116" ca="1">IFERROR(_xlfn.TEXTJOIN(CHAR(10),TRUE,IF((元データ!$AL$2:$AL$2001=1)*(元データ!$AN$2:$AN$2001=1)*(元データ!$AE$2:$AE$2001=$C$116)*(元データ!$AO$2:$AO$2001=1)*(元データ!$AM$2:$AM$2001&lt;=7)*(元データ!$E$2:$E$2001="32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16" s="61"/>
      <c r="W116" s="61"/>
      <c r="X116" s="43">
        <f ca="1">SUMPRODUCT((元データ!$AL$2:$AL$2001=1)*(元データ!$AN$2:$AN$2001=1)*(元データ!$AE$2:$AE$2001=$C$116)*(元データ!$AO$2:$AO$2001=1)*(元データ!$AM$2:$AM$2001&gt;=8)*(元データ!$AM$2:$AM$2001&lt;=14))</f>
        <v>0</v>
      </c>
      <c r="Y116" s="43">
        <f ca="1">SUMPRODUCT((元データ!$AL$2:$AL$2001=1)*(元データ!$AN$2:$AN$2001=1)*(元データ!$AE$2:$AE$2001=$C$116)*(元データ!$AO$2:$AO$2001=1)*(元データ!$AM$2:$AM$2001&gt;=8)*(元データ!$AM$2:$AM$2001&lt;=14)*(元データ!$E$2:$E$2001="20 確認待ち"))</f>
        <v>0</v>
      </c>
      <c r="Z116" s="61" t="str" cm="1">
        <f t="array" aca="1" ref="Z116" ca="1">IFERROR(_xlfn.TEXTJOIN(CHAR(10),TRUE,IF((元データ!$AL$2:$AL$2001=1)*(元データ!$AN$2:$AN$2001=1)*(元データ!$AE$2:$AE$2001=$C$116)*(元データ!$AO$2:$AO$2001=1)*(元データ!$AM$2:$AM$2001&gt;=8)*(元データ!$AM$2:$AM$2001&lt;=14)*(元データ!$E$2:$E$2001="20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6" s="61"/>
      <c r="AB116" s="61"/>
      <c r="AC116" s="43">
        <f ca="1">SUMPRODUCT((元データ!$AL$2:$AL$2001=1)*(元データ!$AN$2:$AN$2001=1)*(元データ!$AE$2:$AE$2001=$C$116)*(元データ!$AO$2:$AO$2001=1)*(元データ!$AM$2:$AM$2001&gt;=8)*(元データ!$AM$2:$AM$2001&lt;=14)*(元データ!$E$2:$E$2001="30 申請受付"))</f>
        <v>0</v>
      </c>
      <c r="AD116" s="61" t="str" cm="1">
        <f t="array" aca="1" ref="AD116" ca="1">IFERROR(_xlfn.TEXTJOIN(CHAR(10),TRUE,IF((元データ!$AL$2:$AL$2001=1)*(元データ!$AN$2:$AN$2001=1)*(元データ!$AE$2:$AE$2001=$C$116)*(元データ!$AO$2:$AO$2001=1)*(元データ!$AM$2:$AM$2001&gt;=8)*(元データ!$AM$2:$AM$2001&lt;=14)*(元データ!$E$2:$E$2001="30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6" s="61"/>
      <c r="AF116" s="61"/>
      <c r="AG116" s="43">
        <f ca="1">SUMPRODUCT((元データ!$AL$2:$AL$2001=1)*(元データ!$AN$2:$AN$2001=1)*(元データ!$AE$2:$AE$2001=$C$116)*(元データ!$AO$2:$AO$2001=1)*(元データ!$AM$2:$AM$2001&gt;=8)*(元データ!$AM$2:$AM$2001&lt;=14)*(元データ!$E$2:$E$2001="31 ＯＰ確認中"))</f>
        <v>0</v>
      </c>
      <c r="AH116" s="61" t="str" cm="1">
        <f t="array" aca="1" ref="AH116" ca="1">IFERROR(_xlfn.TEXTJOIN(CHAR(10),TRUE,IF((元データ!$AL$2:$AL$2001=1)*(元データ!$AN$2:$AN$2001=1)*(元データ!$AE$2:$AE$2001=$C$116)*(元データ!$AO$2:$AO$2001=1)*(元データ!$AM$2:$AM$2001&gt;=8)*(元データ!$AM$2:$AM$2001&lt;=14)*(元データ!$E$2:$E$2001="31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6" s="61"/>
      <c r="AJ116" s="61"/>
      <c r="AK116" s="43">
        <f ca="1">SUMPRODUCT((元データ!$AL$2:$AL$2001=1)*(元データ!$AN$2:$AN$2001=1)*(元データ!$AE$2:$AE$2001=$C$116)*(元データ!$AO$2:$AO$2001=1)*(元データ!$AM$2:$AM$2001&gt;=8)*(元データ!$AM$2:$AM$2001&lt;=14)*(元データ!$E$2:$E$2001="32 ＳＶ確認中"))</f>
        <v>0</v>
      </c>
      <c r="AL116" s="61" t="str" cm="1">
        <f t="array" aca="1" ref="AL116" ca="1">IFERROR(_xlfn.TEXTJOIN(CHAR(10),TRUE,IF((元データ!$AL$2:$AL$2001=1)*(元データ!$AN$2:$AN$2001=1)*(元データ!$AE$2:$AE$2001=$C$116)*(元データ!$AO$2:$AO$2001=1)*(元データ!$AM$2:$AM$2001&gt;=8)*(元データ!$AM$2:$AM$2001&lt;=14)*(元データ!$E$2:$E$2001="32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6" s="61">
        <f ca="1">SUMPRODUCT((元データ!$AL$2:$AL$2001=1)*(元データ!$AN$2:$AN$2001=1)*(元データ!$AE$2:$AE$2001=$C$116)*(元データ!$AO$2:$AO$2001=1)*(元データ!$AM$2:$AM$2001&gt;=8)*(元データ!$AM$2:$AM$2001&lt;=14)*(元データ!$E$2:$E$2001="40 差戻し"))</f>
        <v>0</v>
      </c>
      <c r="AN116" s="61" t="str" cm="1">
        <f t="array" aca="1" ref="AN116" ca="1">IFERROR(_xlfn.TEXTJOIN(CHAR(10),TRUE,IF((元データ!$AL$2:$AL$2001=1)*(元データ!$AN$2:$AN$2001=1)*(元データ!$AE$2:$AE$2001=$C$116)*(元データ!$AO$2:$AO$2001=1)*(元データ!$AM$2:$AM$2001&gt;=8)*(元データ!$AM$2:$AM$2001&lt;=14)*(元データ!$E$2:$E$2001="40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6" s="44">
        <f ca="1">SUMPRODUCT((元データ!$AL$2:$AL$2001=1)*(元データ!$AN$2:$AN$2001=1)*(元データ!$AE$2:$AE$2001=$C$116)*(元データ!$AO$2:$AO$2001=1)*(元データ!$AM$2:$AM$2001&gt;=15)*(元データ!$AM$2:$AM$2001&lt;=21))</f>
        <v>0</v>
      </c>
      <c r="AP116" s="44">
        <f ca="1">SUMPRODUCT((元データ!$AL$2:$AL$2001=1)*(元データ!$AN$2:$AN$2001=1)*(元データ!$AE$2:$AE$2001=$C$116)*(元データ!$AO$2:$AO$2001=1)*(元データ!$AM$2:$AM$2001&gt;=15)*(元データ!$AM$2:$AM$2001&lt;=21)*(元データ!$E$2:$E$2001="20 確認待ち"))</f>
        <v>0</v>
      </c>
      <c r="AQ116" s="58" t="str" cm="1">
        <f t="array" aca="1" ref="AQ116" ca="1">IFERROR(_xlfn.TEXTJOIN(CHAR(10),TRUE,IF((元データ!$AL$2:$AL$2001=1)*(元データ!$AN$2:$AN$2001=1)*(元データ!$AE$2:$AE$2001=$C$116)*(元データ!$AO$2:$AO$2001=1)*(元データ!$AM$2:$AM$2001&gt;=15)*(元データ!$AM$2:$AM$2001&lt;=21)*(元データ!$E$2:$E$2001="20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6" s="58"/>
      <c r="AS116" s="58"/>
      <c r="AT116" s="44">
        <f ca="1">SUMPRODUCT((元データ!$AL$2:$AL$2001=1)*(元データ!$AN$2:$AN$2001=1)*(元データ!$AE$2:$AE$2001=$C$116)*(元データ!$AO$2:$AO$2001=1)*(元データ!$AM$2:$AM$2001&gt;=15)*(元データ!$AM$2:$AM$2001&lt;=21)*(元データ!$E$2:$E$2001="30 申請受付"))</f>
        <v>0</v>
      </c>
      <c r="AU116" s="58" t="str" cm="1">
        <f t="array" aca="1" ref="AU116" ca="1">IFERROR(_xlfn.TEXTJOIN(CHAR(10),TRUE,IF((元データ!$AL$2:$AL$2001=1)*(元データ!$AN$2:$AN$2001=1)*(元データ!$AE$2:$AE$2001=$C$116)*(元データ!$AO$2:$AO$2001=1)*(元データ!$AM$2:$AM$2001&gt;=15)*(元データ!$AM$2:$AM$2001&lt;=21)*(元データ!$E$2:$E$2001="30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6" s="58"/>
      <c r="AW116" s="58"/>
      <c r="AX116" s="44">
        <f ca="1">SUMPRODUCT((元データ!$AL$2:$AL$2001=1)*(元データ!$AN$2:$AN$2001=1)*(元データ!$AE$2:$AE$2001=$C$116)*(元データ!$AO$2:$AO$2001=1)*(元データ!$AM$2:$AM$2001&gt;=15)*(元データ!$AM$2:$AM$2001&lt;=21)*(元データ!$E$2:$E$2001="31 ＯＰ確認中"))</f>
        <v>0</v>
      </c>
      <c r="AY116" s="58" t="str" cm="1">
        <f t="array" aca="1" ref="AY116" ca="1">IFERROR(_xlfn.TEXTJOIN(CHAR(10),TRUE,IF((元データ!$AL$2:$AL$2001=1)*(元データ!$AN$2:$AN$2001=1)*(元データ!$AE$2:$AE$2001=$C$116)*(元データ!$AO$2:$AO$2001=1)*(元データ!$AM$2:$AM$2001&gt;=15)*(元データ!$AM$2:$AM$2001&lt;=21)*(元データ!$E$2:$E$2001="31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6" s="58"/>
      <c r="BA116" s="58"/>
      <c r="BB116" s="44">
        <f ca="1">SUMPRODUCT((元データ!$AL$2:$AL$2001=1)*(元データ!$AN$2:$AN$2001=1)*(元データ!$AE$2:$AE$2001=$C$116)*(元データ!$AO$2:$AO$2001=1)*(元データ!$AM$2:$AM$2001&gt;=15)*(元データ!$AM$2:$AM$2001&lt;=21)*(元データ!$E$2:$E$2001="32 ＳＶ確認中"))</f>
        <v>0</v>
      </c>
      <c r="BC116" s="58" t="str" cm="1">
        <f t="array" aca="1" ref="BC116" ca="1">IFERROR(_xlfn.TEXTJOIN(CHAR(10),TRUE,IF((元データ!$AL$2:$AL$2001=1)*(元データ!$AN$2:$AN$2001=1)*(元データ!$AE$2:$AE$2001=$C$116)*(元データ!$AO$2:$AO$2001=1)*(元データ!$AM$2:$AM$2001&gt;=15)*(元データ!$AM$2:$AM$2001&lt;=21)*(元データ!$E$2:$E$2001="32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6" s="58">
        <f ca="1">SUMPRODUCT((元データ!$AL$2:$AL$2001=1)*(元データ!$AN$2:$AN$2001=1)*(元データ!$AE$2:$AE$2001=$C$116)*(元データ!$AO$2:$AO$2001=1)*(元データ!$AM$2:$AM$2001&gt;=15)*(元データ!$AM$2:$AM$2001&lt;=21)*(元データ!$E$2:$E$2001="40 差戻し"))</f>
        <v>0</v>
      </c>
      <c r="BE116" s="58" t="str" cm="1">
        <f t="array" aca="1" ref="BE116" ca="1">IFERROR(_xlfn.TEXTJOIN(CHAR(10),TRUE,IF((元データ!$AL$2:$AL$2001=1)*(元データ!$AN$2:$AN$2001=1)*(元データ!$AE$2:$AE$2001=$C$116)*(元データ!$AO$2:$AO$2001=1)*(元データ!$AM$2:$AM$2001&gt;=15)*(元データ!$AM$2:$AM$2001&lt;=21)*(元データ!$E$2:$E$2001="40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6" s="45">
        <f ca="1">SUMPRODUCT((元データ!$AL$2:$AL$2001=1)*(元データ!$AN$2:$AN$2001=1)*(元データ!$AE$2:$AE$2001=$C$116)*(元データ!$AO$2:$AO$2001=1)*(元データ!$AM$2:$AM$2001&gt;=22)*(元データ!$AM$2:$AM$2001&lt;=30))</f>
        <v>0</v>
      </c>
      <c r="BG116" s="45">
        <f ca="1">SUMPRODUCT((元データ!$AL$2:$AL$2001=1)*(元データ!$AN$2:$AN$2001=1)*(元データ!$AE$2:$AE$2001=$C$116)*(元データ!$AO$2:$AO$2001=1)*(元データ!$AM$2:$AM$2001&gt;=22)*(元データ!$AM$2:$AM$2001&lt;=30)*(元データ!$E$2:$E$2001="20 確認待ち"))</f>
        <v>0</v>
      </c>
      <c r="BH116" s="60" t="str" cm="1">
        <f t="array" aca="1" ref="BH116" ca="1">IFERROR(_xlfn.TEXTJOIN(CHAR(10),TRUE,IF((元データ!$AL$2:$AL$2001=1)*(元データ!$AN$2:$AN$2001=1)*(元データ!$AE$2:$AE$2001=$C$116)*(元データ!$AO$2:$AO$2001=1)*(元データ!$AM$2:$AM$2001&gt;=22)*(元データ!$AM$2:$AM$2001&lt;=30)*(元データ!$E$2:$E$2001="20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6" s="60"/>
      <c r="BJ116" s="60"/>
      <c r="BK116" s="45">
        <f ca="1">SUMPRODUCT((元データ!$AL$2:$AL$2001=1)*(元データ!$AN$2:$AN$2001=1)*(元データ!$AE$2:$AE$2001=$C$116)*(元データ!$AO$2:$AO$2001=1)*(元データ!$AM$2:$AM$2001&gt;=22)*(元データ!$AM$2:$AM$2001&lt;=30)*(元データ!$E$2:$E$2001="30 申請受付"))</f>
        <v>0</v>
      </c>
      <c r="BL116" s="59" t="str" cm="1">
        <f t="array" aca="1" ref="BL116" ca="1">IFERROR(_xlfn.TEXTJOIN(CHAR(10),TRUE,IF((元データ!$AL$2:$AL$2001=1)*(元データ!$AN$2:$AN$2001=1)*(元データ!$AE$2:$AE$2001=$C$116)*(元データ!$AO$2:$AO$2001=1)*(元データ!$AM$2:$AM$2001&gt;=22)*(元データ!$AM$2:$AM$2001&lt;=30)*(元データ!$E$2:$E$2001="30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6" s="59"/>
      <c r="BN116" s="59"/>
      <c r="BO116" s="45">
        <f ca="1">SUMPRODUCT((元データ!$AL$2:$AL$2001=1)*(元データ!$AN$2:$AN$2001=1)*(元データ!$AE$2:$AE$2001=$C$116)*(元データ!$AO$2:$AO$2001=1)*(元データ!$AM$2:$AM$2001&gt;=22)*(元データ!$AM$2:$AM$2001&lt;=30)*(元データ!$E$2:$E$2001="31 ＯＰ確認中"))</f>
        <v>0</v>
      </c>
      <c r="BP116" s="59" t="str" cm="1">
        <f t="array" aca="1" ref="BP116" ca="1">IFERROR(_xlfn.TEXTJOIN(CHAR(10),TRUE,IF((元データ!$AL$2:$AL$2001=1)*(元データ!$AN$2:$AN$2001=1)*(元データ!$AE$2:$AE$2001=$C$116)*(元データ!$AO$2:$AO$2001=1)*(元データ!$AM$2:$AM$2001&gt;=22)*(元データ!$AM$2:$AM$2001&lt;=30)*(元データ!$E$2:$E$2001="31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6" s="59"/>
      <c r="BR116" s="59"/>
      <c r="BS116" s="45">
        <f ca="1">SUMPRODUCT((元データ!$AL$2:$AL$2001=1)*(元データ!$AN$2:$AN$2001=1)*(元データ!$AE$2:$AE$2001=$C$116)*(元データ!$AO$2:$AO$2001=1)*(元データ!$AM$2:$AM$2001&gt;=22)*(元データ!$AM$2:$AM$2001&lt;=30)*(元データ!$E$2:$E$2001="32 ＳＶ確認中"))</f>
        <v>0</v>
      </c>
      <c r="BT116" s="59" t="str" cm="1">
        <f t="array" aca="1" ref="BT116" ca="1">IFERROR(_xlfn.TEXTJOIN(CHAR(10),TRUE,IF((元データ!$AL$2:$AL$2001=1)*(元データ!$AN$2:$AN$2001=1)*(元データ!$AE$2:$AE$2001=$C$116)*(元データ!$AO$2:$AO$2001=1)*(元データ!$AM$2:$AM$2001&gt;=22)*(元データ!$AM$2:$AM$2001&lt;=30)*(元データ!$E$2:$E$2001="32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6" s="59">
        <f ca="1">SUMPRODUCT((元データ!$AL$2:$AL$2001=1)*(元データ!$AN$2:$AN$2001=1)*(元データ!$AE$2:$AE$2001=$C$116)*(元データ!$AO$2:$AO$2001=1)*(元データ!$AM$2:$AM$2001&gt;=22)*(元データ!$AM$2:$AM$2001&lt;=30)*(元データ!$E$2:$E$2001="40 差戻し"))</f>
        <v>0</v>
      </c>
      <c r="BV116" s="59" t="str" cm="1">
        <f t="array" aca="1" ref="BV116" ca="1">IFERROR(_xlfn.TEXTJOIN(CHAR(10),TRUE,IF((元データ!$AL$2:$AL$2001=1)*(元データ!$AN$2:$AN$2001=1)*(元データ!$AE$2:$AE$2001=$C$116)*(元データ!$AO$2:$AO$2001=1)*(元データ!$AM$2:$AM$2001&gt;=22)*(元データ!$AM$2:$AM$2001&lt;=30)*(元データ!$E$2:$E$2001="40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6" s="46">
        <f ca="1">SUMPRODUCT((元データ!$AL$2:$AL$2001=1)*(元データ!$AN$2:$AN$2001=1)*(元データ!$AE$2:$AE$2001=$C$116)*(元データ!$AO$2:$AO$2001=1)*(元データ!$AM$2:$AM$2001&gt;=31))</f>
        <v>0</v>
      </c>
      <c r="BX116" s="46">
        <f ca="1">SUMPRODUCT((元データ!$AL$2:$AL$2001=1)*(元データ!$AN$2:$AN$2001=1)*(元データ!$AE$2:$AE$2001=$C$116)*(元データ!$AO$2:$AO$2001=1)*(元データ!$AM$2:$AM$2001&gt;=31)*(元データ!$E$2:$E$2001="20 確認待ち"))</f>
        <v>0</v>
      </c>
      <c r="BY116" s="56" t="str" cm="1">
        <f t="array" aca="1" ref="BY116" ca="1">IFERROR(_xlfn.TEXTJOIN(CHAR(10),TRUE,IF((元データ!$AL$2:$AL$2001=1)*(元データ!$AN$2:$AN$2001=1)*(元データ!$AE$2:$AE$2001=$C$116)*(元データ!$AO$2:$AO$2001=1)*(元データ!$AM$2:$AM$2001&gt;=31)*(元データ!$E$2:$E$2001="20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16" s="56"/>
      <c r="CA116" s="56"/>
      <c r="CB116" s="46">
        <f ca="1">SUMPRODUCT((元データ!$AL$2:$AL$2001=1)*(元データ!$AN$2:$AN$2001=1)*(元データ!$AE$2:$AE$2001=$C$116)*(元データ!$AO$2:$AO$2001=1)*(元データ!$AM$2:$AM$2001&gt;=31)*(元データ!$E$2:$E$2001="30 申請受付"))</f>
        <v>0</v>
      </c>
      <c r="CC116" s="56" t="str" cm="1">
        <f t="array" aca="1" ref="CC116" ca="1">IFERROR(_xlfn.TEXTJOIN(CHAR(10),TRUE,IF((元データ!$AL$2:$AL$2001=1)*(元データ!$AN$2:$AN$2001=1)*(元データ!$AE$2:$AE$2001=$C$116)*(元データ!$AO$2:$AO$2001=1)*(元データ!$AM$2:$AM$2001&gt;=31)*(元データ!$E$2:$E$2001="30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16" s="56"/>
      <c r="CE116" s="56"/>
      <c r="CF116" s="46">
        <f ca="1">SUMPRODUCT((元データ!$AL$2:$AL$2001=1)*(元データ!$AN$2:$AN$2001=1)*(元データ!$AE$2:$AE$2001=$C$116)*(元データ!$AO$2:$AO$2001=1)*(元データ!$AM$2:$AM$2001&gt;=31)*(元データ!$E$2:$E$2001="31 ＯＰ確認中"))</f>
        <v>0</v>
      </c>
      <c r="CG116" s="56" t="str" cm="1">
        <f t="array" aca="1" ref="CG116" ca="1">IFERROR(_xlfn.TEXTJOIN(CHAR(10),TRUE,IF((元データ!$AL$2:$AL$2001=1)*(元データ!$AN$2:$AN$2001=1)*(元データ!$AE$2:$AE$2001=$C$116)*(元データ!$AO$2:$AO$2001=1)*(元データ!$AM$2:$AM$2001&gt;=31)*(元データ!$E$2:$E$2001="31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116" s="56"/>
      <c r="CI116" s="56"/>
      <c r="CJ116" s="46">
        <f ca="1">SUMPRODUCT((元データ!$AL$2:$AL$2001=1)*(元データ!$AN$2:$AN$2001=1)*(元データ!$AE$2:$AE$2001=$C$116)*(元データ!$AO$2:$AO$2001=1)*(元データ!$AM$2:$AM$2001&gt;=31)*(元データ!$E$2:$E$2001="32 ＳＶ確認中"))</f>
        <v>0</v>
      </c>
      <c r="CK116" s="56" t="str" cm="1">
        <f t="array" aca="1" ref="CK116" ca="1">IFERROR(_xlfn.TEXTJOIN(CHAR(10),TRUE,IF((元データ!$AL$2:$AL$2001=1)*(元データ!$AN$2:$AN$2001=1)*(元データ!$AE$2:$AE$2001=$C$116)*(元データ!$AO$2:$AO$2001=1)*(元データ!$AM$2:$AM$2001&gt;=31)*(元データ!$E$2:$E$2001="32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116" s="56">
        <f ca="1">SUMPRODUCT((元データ!$AL$2:$AL$2001=1)*(元データ!$AN$2:$AN$2001=1)*(元データ!$AE$2:$AE$2001=$C$116)*(元データ!$AO$2:$AO$2001=1)*(元データ!$AM$2:$AM$2001&gt;=31)*(元データ!$E$2:$E$2001="40 差戻し"))</f>
        <v>0</v>
      </c>
      <c r="CM116" s="56" t="str" cm="1">
        <f t="array" aca="1" ref="CM116" ca="1">IFERROR(_xlfn.TEXTJOIN(CHAR(10),TRUE,IF((元データ!$AL$2:$AL$2001=1)*(元データ!$AN$2:$AN$2001=1)*(元データ!$AE$2:$AE$2001=$C$116)*(元データ!$AO$2:$AO$2001=1)*(元データ!$AM$2:$AM$2001&gt;=31)*(元データ!$E$2:$E$2001="40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17" spans="2:93" ht="24.95" customHeight="1">
      <c r="B117" s="92"/>
      <c r="C117" s="63"/>
      <c r="D117" s="63"/>
      <c r="E117" s="47" t="s">
        <v>134</v>
      </c>
      <c r="F117" s="48">
        <f>SUMPRODUCT((元データ!$AL$2:$AL$2001=1)*(元データ!$AN$2:$AN$2001=1)*(元データ!$AE$2:$AE$2001=$C$116)*(元データ!$AO$2:$AO$2001=0))</f>
        <v>2</v>
      </c>
      <c r="G117" s="49">
        <f ca="1">SUMPRODUCT((元データ!$AL$2:$AL$2001=1)*(元データ!$AN$2:$AN$2001=1)*(元データ!$AE$2:$AE$2001=$C$116)*(元データ!$AO$2:$AO$2001=0)*(元データ!$AM$2:$AM$2001&lt;=7))</f>
        <v>0</v>
      </c>
      <c r="H117" s="49">
        <f ca="1">SUMPRODUCT((元データ!$AL$2:$AL$2001=1)*(元データ!$AN$2:$AN$2001=1)*(元データ!$AE$2:$AE$2001=$C$116)*(元データ!$AO$2:$AO$2001=0)*(元データ!$AM$2:$AM$2001&lt;=7)*(元データ!$E$2:$E$2001="20 確認待ち"))</f>
        <v>0</v>
      </c>
      <c r="I117" s="57" t="str" cm="1">
        <f t="array" aca="1" ref="I117" ca="1">IFERROR(_xlfn.TEXTJOIN(CHAR(10),TRUE,IF((元データ!$AL$2:$AL$2001=1)*(元データ!$AN$2:$AN$2001=1)*(元データ!$AE$2:$AE$2001=$C$116)*(元データ!$AO$2:$AO$2001=0)*(元データ!$AM$2:$AM$2001&lt;=7)*(元データ!$E$2:$E$2001="20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17" s="57"/>
      <c r="K117" s="57"/>
      <c r="L117" s="49">
        <f ca="1">SUMPRODUCT((元データ!$AL$2:$AL$2001=1)*(元データ!$AN$2:$AN$2001=1)*(元データ!$AE$2:$AE$2001=$C$116)*(元データ!$AO$2:$AO$2001=0)*(元データ!$AM$2:$AM$2001&lt;=7)*(元データ!$E$2:$E$2001="30 申請受付"))</f>
        <v>0</v>
      </c>
      <c r="M117" s="57" t="str" cm="1">
        <f t="array" aca="1" ref="M117" ca="1">IFERROR(_xlfn.TEXTJOIN(CHAR(10),TRUE,IF((元データ!$AL$2:$AL$2001=1)*(元データ!$AN$2:$AN$2001=1)*(元データ!$AE$2:$AE$2001=$C$116)*(元データ!$AO$2:$AO$2001=0)*(元データ!$AM$2:$AM$2001&lt;=7)*(元データ!$E$2:$E$2001="30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17" s="57"/>
      <c r="O117" s="57"/>
      <c r="P117" s="49">
        <f ca="1">SUMPRODUCT((元データ!$AL$2:$AL$2001=1)*(元データ!$AN$2:$AN$2001=1)*(元データ!$AE$2:$AE$2001=$C$116)*(元データ!$AO$2:$AO$2001=0)*(元データ!$AM$2:$AM$2001&lt;=7)*(元データ!$E$2:$E$2001="31 ＯＰ確認中"))</f>
        <v>0</v>
      </c>
      <c r="Q117" s="57" t="str" cm="1">
        <f t="array" aca="1" ref="Q117" ca="1">IFERROR(_xlfn.TEXTJOIN(CHAR(10),TRUE,IF((元データ!$AL$2:$AL$2001=1)*(元データ!$AN$2:$AN$2001=1)*(元データ!$AE$2:$AE$2001=$C$116)*(元データ!$AO$2:$AO$2001=0)*(元データ!$AM$2:$AM$2001&lt;=7)*(元データ!$E$2:$E$2001="31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17" s="57"/>
      <c r="S117" s="57"/>
      <c r="T117" s="49">
        <f ca="1">SUMPRODUCT((元データ!$AL$2:$AL$2001=1)*(元データ!$AN$2:$AN$2001=1)*(元データ!$AE$2:$AE$2001=$C$116)*(元データ!$AO$2:$AO$2001=0)*(元データ!$AM$2:$AM$2001&lt;=7)*(元データ!$E$2:$E$2001="32 ＳＶ確認中"))</f>
        <v>0</v>
      </c>
      <c r="U117" s="57" t="str" cm="1">
        <f t="array" aca="1" ref="U117" ca="1">IFERROR(_xlfn.TEXTJOIN(CHAR(10),TRUE,IF((元データ!$AL$2:$AL$2001=1)*(元データ!$AN$2:$AN$2001=1)*(元データ!$AE$2:$AE$2001=$C$116)*(元データ!$AO$2:$AO$2001=0)*(元データ!$AM$2:$AM$2001&lt;=7)*(元データ!$E$2:$E$2001="32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17" s="57"/>
      <c r="W117" s="57"/>
      <c r="X117" s="49">
        <f ca="1">SUMPRODUCT((元データ!$AL$2:$AL$2001=1)*(元データ!$AN$2:$AN$2001=1)*(元データ!$AE$2:$AE$2001=$C$116)*(元データ!$AO$2:$AO$2001=0)*(元データ!$AM$2:$AM$2001&gt;=8)*(元データ!$AM$2:$AM$2001&lt;=14))</f>
        <v>0</v>
      </c>
      <c r="Y117" s="49">
        <f ca="1">SUMPRODUCT((元データ!$AL$2:$AL$2001=1)*(元データ!$AN$2:$AN$2001=1)*(元データ!$AE$2:$AE$2001=$C$116)*(元データ!$AO$2:$AO$2001=0)*(元データ!$AM$2:$AM$2001&gt;=8)*(元データ!$AM$2:$AM$2001&lt;=14)*(元データ!$E$2:$E$2001="20 確認待ち"))</f>
        <v>0</v>
      </c>
      <c r="Z117" s="57" t="str" cm="1">
        <f t="array" aca="1" ref="Z117" ca="1">IFERROR(_xlfn.TEXTJOIN(CHAR(10),TRUE,IF((元データ!$AL$2:$AL$2001=1)*(元データ!$AN$2:$AN$2001=1)*(元データ!$AE$2:$AE$2001=$C$116)*(元データ!$AO$2:$AO$2001=0)*(元データ!$AM$2:$AM$2001&gt;=8)*(元データ!$AM$2:$AM$2001&lt;=14)*(元データ!$E$2:$E$2001="20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7" s="57"/>
      <c r="AB117" s="57"/>
      <c r="AC117" s="49">
        <f ca="1">SUMPRODUCT((元データ!$AL$2:$AL$2001=1)*(元データ!$AN$2:$AN$2001=1)*(元データ!$AE$2:$AE$2001=$C$116)*(元データ!$AO$2:$AO$2001=0)*(元データ!$AM$2:$AM$2001&gt;=8)*(元データ!$AM$2:$AM$2001&lt;=14)*(元データ!$E$2:$E$2001="30 申請受付"))</f>
        <v>0</v>
      </c>
      <c r="AD117" s="57" t="str" cm="1">
        <f t="array" aca="1" ref="AD117" ca="1">IFERROR(_xlfn.TEXTJOIN(CHAR(10),TRUE,IF((元データ!$AL$2:$AL$2001=1)*(元データ!$AN$2:$AN$2001=1)*(元データ!$AE$2:$AE$2001=$C$116)*(元データ!$AO$2:$AO$2001=0)*(元データ!$AM$2:$AM$2001&gt;=8)*(元データ!$AM$2:$AM$2001&lt;=14)*(元データ!$E$2:$E$2001="30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7" s="57"/>
      <c r="AF117" s="57"/>
      <c r="AG117" s="49">
        <f ca="1">SUMPRODUCT((元データ!$AL$2:$AL$2001=1)*(元データ!$AN$2:$AN$2001=1)*(元データ!$AE$2:$AE$2001=$C$116)*(元データ!$AO$2:$AO$2001=0)*(元データ!$AM$2:$AM$2001&gt;=8)*(元データ!$AM$2:$AM$2001&lt;=14)*(元データ!$E$2:$E$2001="31 ＯＰ確認中"))</f>
        <v>0</v>
      </c>
      <c r="AH117" s="57" t="str" cm="1">
        <f t="array" aca="1" ref="AH117" ca="1">IFERROR(_xlfn.TEXTJOIN(CHAR(10),TRUE,IF((元データ!$AL$2:$AL$2001=1)*(元データ!$AN$2:$AN$2001=1)*(元データ!$AE$2:$AE$2001=$C$116)*(元データ!$AO$2:$AO$2001=0)*(元データ!$AM$2:$AM$2001&gt;=8)*(元データ!$AM$2:$AM$2001&lt;=14)*(元データ!$E$2:$E$2001="31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7" s="57"/>
      <c r="AJ117" s="57"/>
      <c r="AK117" s="49">
        <f ca="1">SUMPRODUCT((元データ!$AL$2:$AL$2001=1)*(元データ!$AN$2:$AN$2001=1)*(元データ!$AE$2:$AE$2001=$C$116)*(元データ!$AO$2:$AO$2001=0)*(元データ!$AM$2:$AM$2001&gt;=8)*(元データ!$AM$2:$AM$2001&lt;=14)*(元データ!$E$2:$E$2001="32 ＳＶ確認中"))</f>
        <v>0</v>
      </c>
      <c r="AL117" s="57" t="str" cm="1">
        <f t="array" aca="1" ref="AL117" ca="1">IFERROR(_xlfn.TEXTJOIN(CHAR(10),TRUE,IF((元データ!$AL$2:$AL$2001=1)*(元データ!$AN$2:$AN$2001=1)*(元データ!$AE$2:$AE$2001=$C$116)*(元データ!$AO$2:$AO$2001=0)*(元データ!$AM$2:$AM$2001&gt;=8)*(元データ!$AM$2:$AM$2001&lt;=14)*(元データ!$E$2:$E$2001="32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7" s="57">
        <f ca="1">SUMPRODUCT((元データ!$AL$2:$AL$2001=1)*(元データ!$AN$2:$AN$2001=1)*(元データ!$AE$2:$AE$2001=$C$116)*(元データ!$AO$2:$AO$2001=0)*(元データ!$AM$2:$AM$2001&gt;=8)*(元データ!$AM$2:$AM$2001&lt;=14)*(元データ!$E$2:$E$2001="40 差戻し"))</f>
        <v>0</v>
      </c>
      <c r="AN117" s="57" t="str" cm="1">
        <f t="array" aca="1" ref="AN117" ca="1">IFERROR(_xlfn.TEXTJOIN(CHAR(10),TRUE,IF((元データ!$AL$2:$AL$2001=1)*(元データ!$AN$2:$AN$2001=1)*(元データ!$AE$2:$AE$2001=$C$116)*(元データ!$AO$2:$AO$2001=0)*(元データ!$AM$2:$AM$2001&gt;=8)*(元データ!$AM$2:$AM$2001&lt;=14)*(元データ!$E$2:$E$2001="40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7" s="44">
        <f ca="1">SUMPRODUCT((元データ!$AL$2:$AL$2001=1)*(元データ!$AN$2:$AN$2001=1)*(元データ!$AE$2:$AE$2001=$C$116)*(元データ!$AO$2:$AO$2001=0)*(元データ!$AM$2:$AM$2001&gt;=15)*(元データ!$AM$2:$AM$2001&lt;=21))</f>
        <v>0</v>
      </c>
      <c r="AP117" s="44">
        <f ca="1">SUMPRODUCT((元データ!$AL$2:$AL$2001=1)*(元データ!$AN$2:$AN$2001=1)*(元データ!$AE$2:$AE$2001=$C$116)*(元データ!$AO$2:$AO$2001=0)*(元データ!$AM$2:$AM$2001&gt;=15)*(元データ!$AM$2:$AM$2001&lt;=21)*(元データ!$E$2:$E$2001="20 確認待ち"))</f>
        <v>0</v>
      </c>
      <c r="AQ117" s="58" t="str" cm="1">
        <f t="array" aca="1" ref="AQ117" ca="1">IFERROR(_xlfn.TEXTJOIN(CHAR(10),TRUE,IF((元データ!$AL$2:$AL$2001=1)*(元データ!$AN$2:$AN$2001=1)*(元データ!$AE$2:$AE$2001=$C$116)*(元データ!$AO$2:$AO$2001=0)*(元データ!$AM$2:$AM$2001&gt;=15)*(元データ!$AM$2:$AM$2001&lt;=21)*(元データ!$E$2:$E$2001="20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7" s="58"/>
      <c r="AS117" s="58"/>
      <c r="AT117" s="44">
        <f ca="1">SUMPRODUCT((元データ!$AL$2:$AL$2001=1)*(元データ!$AN$2:$AN$2001=1)*(元データ!$AE$2:$AE$2001=$C$116)*(元データ!$AO$2:$AO$2001=0)*(元データ!$AM$2:$AM$2001&gt;=15)*(元データ!$AM$2:$AM$2001&lt;=21)*(元データ!$E$2:$E$2001="30 申請受付"))</f>
        <v>0</v>
      </c>
      <c r="AU117" s="58" t="str" cm="1">
        <f t="array" aca="1" ref="AU117" ca="1">IFERROR(_xlfn.TEXTJOIN(CHAR(10),TRUE,IF((元データ!$AL$2:$AL$2001=1)*(元データ!$AN$2:$AN$2001=1)*(元データ!$AE$2:$AE$2001=$C$116)*(元データ!$AO$2:$AO$2001=0)*(元データ!$AM$2:$AM$2001&gt;=15)*(元データ!$AM$2:$AM$2001&lt;=21)*(元データ!$E$2:$E$2001="30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7" s="58"/>
      <c r="AW117" s="58"/>
      <c r="AX117" s="44">
        <f ca="1">SUMPRODUCT((元データ!$AL$2:$AL$2001=1)*(元データ!$AN$2:$AN$2001=1)*(元データ!$AE$2:$AE$2001=$C$116)*(元データ!$AO$2:$AO$2001=0)*(元データ!$AM$2:$AM$2001&gt;=15)*(元データ!$AM$2:$AM$2001&lt;=21)*(元データ!$E$2:$E$2001="31 ＯＰ確認中"))</f>
        <v>0</v>
      </c>
      <c r="AY117" s="58" t="str" cm="1">
        <f t="array" aca="1" ref="AY117" ca="1">IFERROR(_xlfn.TEXTJOIN(CHAR(10),TRUE,IF((元データ!$AL$2:$AL$2001=1)*(元データ!$AN$2:$AN$2001=1)*(元データ!$AE$2:$AE$2001=$C$116)*(元データ!$AO$2:$AO$2001=0)*(元データ!$AM$2:$AM$2001&gt;=15)*(元データ!$AM$2:$AM$2001&lt;=21)*(元データ!$E$2:$E$2001="31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7" s="58"/>
      <c r="BA117" s="58"/>
      <c r="BB117" s="44">
        <f ca="1">SUMPRODUCT((元データ!$AL$2:$AL$2001=1)*(元データ!$AN$2:$AN$2001=1)*(元データ!$AE$2:$AE$2001=$C$116)*(元データ!$AO$2:$AO$2001=0)*(元データ!$AM$2:$AM$2001&gt;=15)*(元データ!$AM$2:$AM$2001&lt;=21)*(元データ!$E$2:$E$2001="32 ＳＶ確認中"))</f>
        <v>0</v>
      </c>
      <c r="BC117" s="58" t="str" cm="1">
        <f t="array" aca="1" ref="BC117" ca="1">IFERROR(_xlfn.TEXTJOIN(CHAR(10),TRUE,IF((元データ!$AL$2:$AL$2001=1)*(元データ!$AN$2:$AN$2001=1)*(元データ!$AE$2:$AE$2001=$C$116)*(元データ!$AO$2:$AO$2001=0)*(元データ!$AM$2:$AM$2001&gt;=15)*(元データ!$AM$2:$AM$2001&lt;=21)*(元データ!$E$2:$E$2001="32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7" s="58">
        <f ca="1">SUMPRODUCT((元データ!$AL$2:$AL$2001=1)*(元データ!$AN$2:$AN$2001=1)*(元データ!$AE$2:$AE$2001=$C$116)*(元データ!$AO$2:$AO$2001=0)*(元データ!$AM$2:$AM$2001&gt;=15)*(元データ!$AM$2:$AM$2001&lt;=21)*(元データ!$E$2:$E$2001="40 差戻し"))</f>
        <v>0</v>
      </c>
      <c r="BE117" s="58" t="str" cm="1">
        <f t="array" aca="1" ref="BE117" ca="1">IFERROR(_xlfn.TEXTJOIN(CHAR(10),TRUE,IF((元データ!$AL$2:$AL$2001=1)*(元データ!$AN$2:$AN$2001=1)*(元データ!$AE$2:$AE$2001=$C$116)*(元データ!$AO$2:$AO$2001=0)*(元データ!$AM$2:$AM$2001&gt;=15)*(元データ!$AM$2:$AM$2001&lt;=21)*(元データ!$E$2:$E$2001="40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7" s="45">
        <f ca="1">SUMPRODUCT((元データ!$AL$2:$AL$2001=1)*(元データ!$AN$2:$AN$2001=1)*(元データ!$AE$2:$AE$2001=$C$116)*(元データ!$AO$2:$AO$2001=0)*(元データ!$AM$2:$AM$2001&gt;=22)*(元データ!$AM$2:$AM$2001&lt;=30))</f>
        <v>0</v>
      </c>
      <c r="BG117" s="45">
        <f ca="1">SUMPRODUCT((元データ!$AL$2:$AL$2001=1)*(元データ!$AN$2:$AN$2001=1)*(元データ!$AE$2:$AE$2001=$C$116)*(元データ!$AO$2:$AO$2001=0)*(元データ!$AM$2:$AM$2001&gt;=22)*(元データ!$AM$2:$AM$2001&lt;=30)*(元データ!$E$2:$E$2001="20 確認待ち"))</f>
        <v>0</v>
      </c>
      <c r="BH117" s="59" t="str" cm="1">
        <f t="array" aca="1" ref="BH117" ca="1">IFERROR(_xlfn.TEXTJOIN(CHAR(10),TRUE,IF((元データ!$AL$2:$AL$2001=1)*(元データ!$AN$2:$AN$2001=1)*(元データ!$AE$2:$AE$2001=$C$116)*(元データ!$AO$2:$AO$2001=0)*(元データ!$AM$2:$AM$2001&gt;=22)*(元データ!$AM$2:$AM$2001&lt;=30)*(元データ!$E$2:$E$2001="20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7" s="59"/>
      <c r="BJ117" s="59"/>
      <c r="BK117" s="45">
        <f ca="1">SUMPRODUCT((元データ!$AL$2:$AL$2001=1)*(元データ!$AN$2:$AN$2001=1)*(元データ!$AE$2:$AE$2001=$C$116)*(元データ!$AO$2:$AO$2001=0)*(元データ!$AM$2:$AM$2001&gt;=22)*(元データ!$AM$2:$AM$2001&lt;=30)*(元データ!$E$2:$E$2001="30 申請受付"))</f>
        <v>0</v>
      </c>
      <c r="BL117" s="59" t="str" cm="1">
        <f t="array" aca="1" ref="BL117" ca="1">IFERROR(_xlfn.TEXTJOIN(CHAR(10),TRUE,IF((元データ!$AL$2:$AL$2001=1)*(元データ!$AN$2:$AN$2001=1)*(元データ!$AE$2:$AE$2001=$C$116)*(元データ!$AO$2:$AO$2001=0)*(元データ!$AM$2:$AM$2001&gt;=22)*(元データ!$AM$2:$AM$2001&lt;=30)*(元データ!$E$2:$E$2001="30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7" s="59"/>
      <c r="BN117" s="59"/>
      <c r="BO117" s="45">
        <f ca="1">SUMPRODUCT((元データ!$AL$2:$AL$2001=1)*(元データ!$AN$2:$AN$2001=1)*(元データ!$AE$2:$AE$2001=$C$116)*(元データ!$AO$2:$AO$2001=0)*(元データ!$AM$2:$AM$2001&gt;=22)*(元データ!$AM$2:$AM$2001&lt;=30)*(元データ!$E$2:$E$2001="31 ＯＰ確認中"))</f>
        <v>0</v>
      </c>
      <c r="BP117" s="59" t="str" cm="1">
        <f t="array" aca="1" ref="BP117" ca="1">IFERROR(_xlfn.TEXTJOIN(CHAR(10),TRUE,IF((元データ!$AL$2:$AL$2001=1)*(元データ!$AN$2:$AN$2001=1)*(元データ!$AE$2:$AE$2001=$C$116)*(元データ!$AO$2:$AO$2001=0)*(元データ!$AM$2:$AM$2001&gt;=22)*(元データ!$AM$2:$AM$2001&lt;=30)*(元データ!$E$2:$E$2001="31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7" s="59"/>
      <c r="BR117" s="59"/>
      <c r="BS117" s="45">
        <f ca="1">SUMPRODUCT((元データ!$AL$2:$AL$2001=1)*(元データ!$AN$2:$AN$2001=1)*(元データ!$AE$2:$AE$2001=$C$116)*(元データ!$AO$2:$AO$2001=0)*(元データ!$AM$2:$AM$2001&gt;=22)*(元データ!$AM$2:$AM$2001&lt;=30)*(元データ!$E$2:$E$2001="32 ＳＶ確認中"))</f>
        <v>0</v>
      </c>
      <c r="BT117" s="59" t="str" cm="1">
        <f t="array" aca="1" ref="BT117" ca="1">IFERROR(_xlfn.TEXTJOIN(CHAR(10),TRUE,IF((元データ!$AL$2:$AL$2001=1)*(元データ!$AN$2:$AN$2001=1)*(元データ!$AE$2:$AE$2001=$C$116)*(元データ!$AO$2:$AO$2001=0)*(元データ!$AM$2:$AM$2001&gt;=22)*(元データ!$AM$2:$AM$2001&lt;=30)*(元データ!$E$2:$E$2001="32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7" s="59">
        <f ca="1">SUMPRODUCT((元データ!$AL$2:$AL$2001=1)*(元データ!$AN$2:$AN$2001=1)*(元データ!$AE$2:$AE$2001=$C$116)*(元データ!$AO$2:$AO$2001=0)*(元データ!$AM$2:$AM$2001&gt;=22)*(元データ!$AM$2:$AM$2001&lt;=30)*(元データ!$E$2:$E$2001="40 差戻し"))</f>
        <v>0</v>
      </c>
      <c r="BV117" s="59" t="str" cm="1">
        <f t="array" aca="1" ref="BV117" ca="1">IFERROR(_xlfn.TEXTJOIN(CHAR(10),TRUE,IF((元データ!$AL$2:$AL$2001=1)*(元データ!$AN$2:$AN$2001=1)*(元データ!$AE$2:$AE$2001=$C$116)*(元データ!$AO$2:$AO$2001=0)*(元データ!$AM$2:$AM$2001&gt;=22)*(元データ!$AM$2:$AM$2001&lt;=30)*(元データ!$E$2:$E$2001="40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7" s="46">
        <f ca="1">SUMPRODUCT((元データ!$AL$2:$AL$2001=1)*(元データ!$AN$2:$AN$2001=1)*(元データ!$AE$2:$AE$2001=$C$116)*(元データ!$AO$2:$AO$2001=0)*(元データ!$AM$2:$AM$2001&gt;=31))</f>
        <v>2</v>
      </c>
      <c r="BX117" s="46">
        <f ca="1">SUMPRODUCT((元データ!$AL$2:$AL$2001=1)*(元データ!$AN$2:$AN$2001=1)*(元データ!$AE$2:$AE$2001=$C$116)*(元データ!$AO$2:$AO$2001=0)*(元データ!$AM$2:$AM$2001&gt;=31)*(元データ!$E$2:$E$2001="20 確認待ち"))</f>
        <v>0</v>
      </c>
      <c r="BY117" s="56" t="str" cm="1">
        <f t="array" aca="1" ref="BY117" ca="1">IFERROR(_xlfn.TEXTJOIN(CHAR(10),TRUE,IF((元データ!$AL$2:$AL$2001=1)*(元データ!$AN$2:$AN$2001=1)*(元データ!$AE$2:$AE$2001=$C$116)*(元データ!$AO$2:$AO$2001=0)*(元データ!$AM$2:$AM$2001&gt;=31)*(元データ!$E$2:$E$2001="20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17" s="56"/>
      <c r="CA117" s="56"/>
      <c r="CB117" s="46">
        <f ca="1">SUMPRODUCT((元データ!$AL$2:$AL$2001=1)*(元データ!$AN$2:$AN$2001=1)*(元データ!$AE$2:$AE$2001=$C$116)*(元データ!$AO$2:$AO$2001=0)*(元データ!$AM$2:$AM$2001&gt;=31)*(元データ!$E$2:$E$2001="30 申請受付"))</f>
        <v>1</v>
      </c>
      <c r="CC117" s="56" t="str" cm="1">
        <f t="array" aca="1" ref="CC117" ca="1">IFERROR(_xlfn.TEXTJOIN(CHAR(10),TRUE,IF((元データ!$AL$2:$AL$2001=1)*(元データ!$AN$2:$AN$2001=1)*(元データ!$AE$2:$AE$2001=$C$116)*(元データ!$AO$2:$AO$2001=0)*(元データ!$AM$2:$AM$2001&gt;=31)*(元データ!$E$2:$E$2001="30 申請受付"),元データ!$A$2:$A$2001&amp;IF(元データ!$AP$2:$AP$2001&lt;&gt;"","（"&amp;MID(元データ!$AP$2:$AP$2001,2,100)&amp;")",""),"")),"")</f>
        <v>202660001164</v>
      </c>
      <c r="CD117" s="56"/>
      <c r="CE117" s="56"/>
      <c r="CF117" s="46">
        <f ca="1">SUMPRODUCT((元データ!$AL$2:$AL$2001=1)*(元データ!$AN$2:$AN$2001=1)*(元データ!$AE$2:$AE$2001=$C$116)*(元データ!$AO$2:$AO$2001=0)*(元データ!$AM$2:$AM$2001&gt;=31)*(元データ!$E$2:$E$2001="31 ＯＰ確認中"))</f>
        <v>0</v>
      </c>
      <c r="CG117" s="56" t="str" cm="1">
        <f t="array" aca="1" ref="CG117" ca="1">IFERROR(_xlfn.TEXTJOIN(CHAR(10),TRUE,IF((元データ!$AL$2:$AL$2001=1)*(元データ!$AN$2:$AN$2001=1)*(元データ!$AE$2:$AE$2001=$C$116)*(元データ!$AO$2:$AO$2001=0)*(元データ!$AM$2:$AM$2001&gt;=31)*(元データ!$E$2:$E$2001="31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17" s="56"/>
      <c r="CI117" s="56"/>
      <c r="CJ117" s="46">
        <f ca="1">SUMPRODUCT((元データ!$AL$2:$AL$2001=1)*(元データ!$AN$2:$AN$2001=1)*(元データ!$AE$2:$AE$2001=$C$116)*(元データ!$AO$2:$AO$2001=0)*(元データ!$AM$2:$AM$2001&gt;=31)*(元データ!$E$2:$E$2001="32 ＳＶ確認中"))</f>
        <v>1</v>
      </c>
      <c r="CK117" s="56" t="str" cm="1">
        <f t="array" aca="1" ref="CK117" ca="1">IFERROR(_xlfn.TEXTJOIN(CHAR(10),TRUE,IF((元データ!$AL$2:$AL$2001=1)*(元データ!$AN$2:$AN$2001=1)*(元データ!$AE$2:$AE$2001=$C$116)*(元データ!$AO$2:$AO$2001=0)*(元データ!$AM$2:$AM$2001&gt;=31)*(元データ!$E$2:$E$2001="32 ＳＶ確認中"),元データ!$A$2:$A$2001&amp;IF(元データ!$AP$2:$AP$2001&lt;&gt;"","（"&amp;MID(元データ!$AP$2:$AP$2001,2,100)&amp;")",""),"")),"")</f>
        <v>202560002958</v>
      </c>
      <c r="CL117" s="56">
        <f ca="1">SUMPRODUCT((元データ!$AL$2:$AL$2001=1)*(元データ!$AN$2:$AN$2001=1)*(元データ!$AE$2:$AE$2001=$C$116)*(元データ!$AO$2:$AO$2001=0)*(元データ!$AM$2:$AM$2001&gt;=31)*(元データ!$E$2:$E$2001="40 差戻し"))</f>
        <v>0</v>
      </c>
      <c r="CM117" s="56" t="str" cm="1">
        <f t="array" aca="1" ref="CM117" ca="1">IFERROR(_xlfn.TEXTJOIN(CHAR(10),TRUE,IF((元データ!$AL$2:$AL$2001=1)*(元データ!$AN$2:$AN$2001=1)*(元データ!$AE$2:$AE$2001=$C$116)*(元データ!$AO$2:$AO$2001=0)*(元データ!$AM$2:$AM$2001&gt;=31)*(元データ!$E$2:$E$2001="40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18" spans="2:93" ht="24.95" customHeight="1">
      <c r="B118" s="91"/>
      <c r="C118" s="63" t="s">
        <v>58</v>
      </c>
      <c r="D118" s="63"/>
      <c r="E118" s="41" t="s">
        <v>133</v>
      </c>
      <c r="F118" s="42">
        <f>SUMPRODUCT((元データ!$AL$2:$AL$2001=1)*(元データ!$AN$2:$AN$2001=1)*(元データ!$AE$2:$AE$2001=$C$118)*(元データ!$AO$2:$AO$2001=1))</f>
        <v>8</v>
      </c>
      <c r="G118" s="43">
        <f ca="1">SUMPRODUCT((元データ!$AL$2:$AL$2001=1)*(元データ!$AN$2:$AN$2001=1)*(元データ!$AE$2:$AE$2001=$C$118)*(元データ!$AO$2:$AO$2001=1)*(元データ!$AM$2:$AM$2001&lt;=7))</f>
        <v>0</v>
      </c>
      <c r="H118" s="43">
        <f ca="1">SUMPRODUCT((元データ!$AL$2:$AL$2001=1)*(元データ!$AN$2:$AN$2001=1)*(元データ!$AE$2:$AE$2001=$C$118)*(元データ!$AO$2:$AO$2001=1)*(元データ!$AM$2:$AM$2001&lt;=7)*(元データ!$E$2:$E$2001="20 確認待ち"))</f>
        <v>0</v>
      </c>
      <c r="I118" s="61" t="str" cm="1">
        <f t="array" aca="1" ref="I118" ca="1">IFERROR(_xlfn.TEXTJOIN(CHAR(10),TRUE,IF((元データ!$AL$2:$AL$2001=1)*(元データ!$AN$2:$AN$2001=1)*(元データ!$AE$2:$AE$2001=$C$118)*(元データ!$AO$2:$AO$2001=1)*(元データ!$AM$2:$AM$2001&lt;=7)*(元データ!$E$2:$E$2001="20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18" s="61"/>
      <c r="K118" s="61"/>
      <c r="L118" s="43">
        <f ca="1">SUMPRODUCT((元データ!$AL$2:$AL$2001=1)*(元データ!$AN$2:$AN$2001=1)*(元データ!$AE$2:$AE$2001=$C$118)*(元データ!$AO$2:$AO$2001=1)*(元データ!$AM$2:$AM$2001&lt;=7)*(元データ!$E$2:$E$2001="30 申請受付"))</f>
        <v>0</v>
      </c>
      <c r="M118" s="61" t="str" cm="1">
        <f t="array" aca="1" ref="M118" ca="1">IFERROR(_xlfn.TEXTJOIN(CHAR(10),TRUE,IF((元データ!$AL$2:$AL$2001=1)*(元データ!$AN$2:$AN$2001=1)*(元データ!$AE$2:$AE$2001=$C$118)*(元データ!$AO$2:$AO$2001=1)*(元データ!$AM$2:$AM$2001&lt;=7)*(元データ!$E$2:$E$2001="30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18" s="61"/>
      <c r="O118" s="61"/>
      <c r="P118" s="43">
        <f ca="1">SUMPRODUCT((元データ!$AL$2:$AL$2001=1)*(元データ!$AN$2:$AN$2001=1)*(元データ!$AE$2:$AE$2001=$C$118)*(元データ!$AO$2:$AO$2001=1)*(元データ!$AM$2:$AM$2001&lt;=7)*(元データ!$E$2:$E$2001="31 ＯＰ確認中"))</f>
        <v>0</v>
      </c>
      <c r="Q118" s="61" t="str" cm="1">
        <f t="array" aca="1" ref="Q118" ca="1">IFERROR(_xlfn.TEXTJOIN(CHAR(10),TRUE,IF((元データ!$AL$2:$AL$2001=1)*(元データ!$AN$2:$AN$2001=1)*(元データ!$AE$2:$AE$2001=$C$118)*(元データ!$AO$2:$AO$2001=1)*(元データ!$AM$2:$AM$2001&lt;=7)*(元データ!$E$2:$E$2001="31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18" s="61"/>
      <c r="S118" s="61"/>
      <c r="T118" s="43">
        <f ca="1">SUMPRODUCT((元データ!$AL$2:$AL$2001=1)*(元データ!$AN$2:$AN$2001=1)*(元データ!$AE$2:$AE$2001=$C$118)*(元データ!$AO$2:$AO$2001=1)*(元データ!$AM$2:$AM$2001&lt;=7)*(元データ!$E$2:$E$2001="32 ＳＶ確認中"))</f>
        <v>0</v>
      </c>
      <c r="U118" s="61" t="str" cm="1">
        <f t="array" aca="1" ref="U118" ca="1">IFERROR(_xlfn.TEXTJOIN(CHAR(10),TRUE,IF((元データ!$AL$2:$AL$2001=1)*(元データ!$AN$2:$AN$2001=1)*(元データ!$AE$2:$AE$2001=$C$118)*(元データ!$AO$2:$AO$2001=1)*(元データ!$AM$2:$AM$2001&lt;=7)*(元データ!$E$2:$E$2001="32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18" s="61"/>
      <c r="W118" s="61"/>
      <c r="X118" s="43">
        <f ca="1">SUMPRODUCT((元データ!$AL$2:$AL$2001=1)*(元データ!$AN$2:$AN$2001=1)*(元データ!$AE$2:$AE$2001=$C$118)*(元データ!$AO$2:$AO$2001=1)*(元データ!$AM$2:$AM$2001&gt;=8)*(元データ!$AM$2:$AM$2001&lt;=14))</f>
        <v>0</v>
      </c>
      <c r="Y118" s="43">
        <f ca="1">SUMPRODUCT((元データ!$AL$2:$AL$2001=1)*(元データ!$AN$2:$AN$2001=1)*(元データ!$AE$2:$AE$2001=$C$118)*(元データ!$AO$2:$AO$2001=1)*(元データ!$AM$2:$AM$2001&gt;=8)*(元データ!$AM$2:$AM$2001&lt;=14)*(元データ!$E$2:$E$2001="20 確認待ち"))</f>
        <v>0</v>
      </c>
      <c r="Z118" s="61" t="str" cm="1">
        <f t="array" aca="1" ref="Z118" ca="1">IFERROR(_xlfn.TEXTJOIN(CHAR(10),TRUE,IF((元データ!$AL$2:$AL$2001=1)*(元データ!$AN$2:$AN$2001=1)*(元データ!$AE$2:$AE$2001=$C$118)*(元データ!$AO$2:$AO$2001=1)*(元データ!$AM$2:$AM$2001&gt;=8)*(元データ!$AM$2:$AM$2001&lt;=14)*(元データ!$E$2:$E$2001="20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8" s="61"/>
      <c r="AB118" s="61"/>
      <c r="AC118" s="43">
        <f ca="1">SUMPRODUCT((元データ!$AL$2:$AL$2001=1)*(元データ!$AN$2:$AN$2001=1)*(元データ!$AE$2:$AE$2001=$C$118)*(元データ!$AO$2:$AO$2001=1)*(元データ!$AM$2:$AM$2001&gt;=8)*(元データ!$AM$2:$AM$2001&lt;=14)*(元データ!$E$2:$E$2001="30 申請受付"))</f>
        <v>0</v>
      </c>
      <c r="AD118" s="61" t="str" cm="1">
        <f t="array" aca="1" ref="AD118" ca="1">IFERROR(_xlfn.TEXTJOIN(CHAR(10),TRUE,IF((元データ!$AL$2:$AL$2001=1)*(元データ!$AN$2:$AN$2001=1)*(元データ!$AE$2:$AE$2001=$C$118)*(元データ!$AO$2:$AO$2001=1)*(元データ!$AM$2:$AM$2001&gt;=8)*(元データ!$AM$2:$AM$2001&lt;=14)*(元データ!$E$2:$E$2001="30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8" s="61"/>
      <c r="AF118" s="61"/>
      <c r="AG118" s="43">
        <f ca="1">SUMPRODUCT((元データ!$AL$2:$AL$2001=1)*(元データ!$AN$2:$AN$2001=1)*(元データ!$AE$2:$AE$2001=$C$118)*(元データ!$AO$2:$AO$2001=1)*(元データ!$AM$2:$AM$2001&gt;=8)*(元データ!$AM$2:$AM$2001&lt;=14)*(元データ!$E$2:$E$2001="31 ＯＰ確認中"))</f>
        <v>0</v>
      </c>
      <c r="AH118" s="61" t="str" cm="1">
        <f t="array" aca="1" ref="AH118" ca="1">IFERROR(_xlfn.TEXTJOIN(CHAR(10),TRUE,IF((元データ!$AL$2:$AL$2001=1)*(元データ!$AN$2:$AN$2001=1)*(元データ!$AE$2:$AE$2001=$C$118)*(元データ!$AO$2:$AO$2001=1)*(元データ!$AM$2:$AM$2001&gt;=8)*(元データ!$AM$2:$AM$2001&lt;=14)*(元データ!$E$2:$E$2001="31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8" s="61"/>
      <c r="AJ118" s="61"/>
      <c r="AK118" s="43">
        <f ca="1">SUMPRODUCT((元データ!$AL$2:$AL$2001=1)*(元データ!$AN$2:$AN$2001=1)*(元データ!$AE$2:$AE$2001=$C$118)*(元データ!$AO$2:$AO$2001=1)*(元データ!$AM$2:$AM$2001&gt;=8)*(元データ!$AM$2:$AM$2001&lt;=14)*(元データ!$E$2:$E$2001="32 ＳＶ確認中"))</f>
        <v>0</v>
      </c>
      <c r="AL118" s="61" t="str" cm="1">
        <f t="array" aca="1" ref="AL118" ca="1">IFERROR(_xlfn.TEXTJOIN(CHAR(10),TRUE,IF((元データ!$AL$2:$AL$2001=1)*(元データ!$AN$2:$AN$2001=1)*(元データ!$AE$2:$AE$2001=$C$118)*(元データ!$AO$2:$AO$2001=1)*(元データ!$AM$2:$AM$2001&gt;=8)*(元データ!$AM$2:$AM$2001&lt;=14)*(元データ!$E$2:$E$2001="32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8" s="61">
        <f ca="1">SUMPRODUCT((元データ!$AL$2:$AL$2001=1)*(元データ!$AN$2:$AN$2001=1)*(元データ!$AE$2:$AE$2001=$C$118)*(元データ!$AO$2:$AO$2001=1)*(元データ!$AM$2:$AM$2001&gt;=8)*(元データ!$AM$2:$AM$2001&lt;=14)*(元データ!$E$2:$E$2001="40 差戻し"))</f>
        <v>0</v>
      </c>
      <c r="AN118" s="61" t="str" cm="1">
        <f t="array" aca="1" ref="AN118" ca="1">IFERROR(_xlfn.TEXTJOIN(CHAR(10),TRUE,IF((元データ!$AL$2:$AL$2001=1)*(元データ!$AN$2:$AN$2001=1)*(元データ!$AE$2:$AE$2001=$C$118)*(元データ!$AO$2:$AO$2001=1)*(元データ!$AM$2:$AM$2001&gt;=8)*(元データ!$AM$2:$AM$2001&lt;=14)*(元データ!$E$2:$E$2001="40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8" s="44">
        <f ca="1">SUMPRODUCT((元データ!$AL$2:$AL$2001=1)*(元データ!$AN$2:$AN$2001=1)*(元データ!$AE$2:$AE$2001=$C$118)*(元データ!$AO$2:$AO$2001=1)*(元データ!$AM$2:$AM$2001&gt;=15)*(元データ!$AM$2:$AM$2001&lt;=21))</f>
        <v>0</v>
      </c>
      <c r="AP118" s="44">
        <f ca="1">SUMPRODUCT((元データ!$AL$2:$AL$2001=1)*(元データ!$AN$2:$AN$2001=1)*(元データ!$AE$2:$AE$2001=$C$118)*(元データ!$AO$2:$AO$2001=1)*(元データ!$AM$2:$AM$2001&gt;=15)*(元データ!$AM$2:$AM$2001&lt;=21)*(元データ!$E$2:$E$2001="20 確認待ち"))</f>
        <v>0</v>
      </c>
      <c r="AQ118" s="58" t="str" cm="1">
        <f t="array" aca="1" ref="AQ118" ca="1">IFERROR(_xlfn.TEXTJOIN(CHAR(10),TRUE,IF((元データ!$AL$2:$AL$2001=1)*(元データ!$AN$2:$AN$2001=1)*(元データ!$AE$2:$AE$2001=$C$118)*(元データ!$AO$2:$AO$2001=1)*(元データ!$AM$2:$AM$2001&gt;=15)*(元データ!$AM$2:$AM$2001&lt;=21)*(元データ!$E$2:$E$2001="20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8" s="58"/>
      <c r="AS118" s="58"/>
      <c r="AT118" s="44">
        <f ca="1">SUMPRODUCT((元データ!$AL$2:$AL$2001=1)*(元データ!$AN$2:$AN$2001=1)*(元データ!$AE$2:$AE$2001=$C$118)*(元データ!$AO$2:$AO$2001=1)*(元データ!$AM$2:$AM$2001&gt;=15)*(元データ!$AM$2:$AM$2001&lt;=21)*(元データ!$E$2:$E$2001="30 申請受付"))</f>
        <v>0</v>
      </c>
      <c r="AU118" s="58" t="str" cm="1">
        <f t="array" aca="1" ref="AU118" ca="1">IFERROR(_xlfn.TEXTJOIN(CHAR(10),TRUE,IF((元データ!$AL$2:$AL$2001=1)*(元データ!$AN$2:$AN$2001=1)*(元データ!$AE$2:$AE$2001=$C$118)*(元データ!$AO$2:$AO$2001=1)*(元データ!$AM$2:$AM$2001&gt;=15)*(元データ!$AM$2:$AM$2001&lt;=21)*(元データ!$E$2:$E$2001="30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8" s="58"/>
      <c r="AW118" s="58"/>
      <c r="AX118" s="44">
        <f ca="1">SUMPRODUCT((元データ!$AL$2:$AL$2001=1)*(元データ!$AN$2:$AN$2001=1)*(元データ!$AE$2:$AE$2001=$C$118)*(元データ!$AO$2:$AO$2001=1)*(元データ!$AM$2:$AM$2001&gt;=15)*(元データ!$AM$2:$AM$2001&lt;=21)*(元データ!$E$2:$E$2001="31 ＯＰ確認中"))</f>
        <v>0</v>
      </c>
      <c r="AY118" s="58" t="str" cm="1">
        <f t="array" aca="1" ref="AY118" ca="1">IFERROR(_xlfn.TEXTJOIN(CHAR(10),TRUE,IF((元データ!$AL$2:$AL$2001=1)*(元データ!$AN$2:$AN$2001=1)*(元データ!$AE$2:$AE$2001=$C$118)*(元データ!$AO$2:$AO$2001=1)*(元データ!$AM$2:$AM$2001&gt;=15)*(元データ!$AM$2:$AM$2001&lt;=21)*(元データ!$E$2:$E$2001="31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8" s="58"/>
      <c r="BA118" s="58"/>
      <c r="BB118" s="44">
        <f ca="1">SUMPRODUCT((元データ!$AL$2:$AL$2001=1)*(元データ!$AN$2:$AN$2001=1)*(元データ!$AE$2:$AE$2001=$C$118)*(元データ!$AO$2:$AO$2001=1)*(元データ!$AM$2:$AM$2001&gt;=15)*(元データ!$AM$2:$AM$2001&lt;=21)*(元データ!$E$2:$E$2001="32 ＳＶ確認中"))</f>
        <v>0</v>
      </c>
      <c r="BC118" s="58" t="str" cm="1">
        <f t="array" aca="1" ref="BC118" ca="1">IFERROR(_xlfn.TEXTJOIN(CHAR(10),TRUE,IF((元データ!$AL$2:$AL$2001=1)*(元データ!$AN$2:$AN$2001=1)*(元データ!$AE$2:$AE$2001=$C$118)*(元データ!$AO$2:$AO$2001=1)*(元データ!$AM$2:$AM$2001&gt;=15)*(元データ!$AM$2:$AM$2001&lt;=21)*(元データ!$E$2:$E$2001="32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8" s="58">
        <f ca="1">SUMPRODUCT((元データ!$AL$2:$AL$2001=1)*(元データ!$AN$2:$AN$2001=1)*(元データ!$AE$2:$AE$2001=$C$118)*(元データ!$AO$2:$AO$2001=1)*(元データ!$AM$2:$AM$2001&gt;=15)*(元データ!$AM$2:$AM$2001&lt;=21)*(元データ!$E$2:$E$2001="40 差戻し"))</f>
        <v>0</v>
      </c>
      <c r="BE118" s="58" t="str" cm="1">
        <f t="array" aca="1" ref="BE118" ca="1">IFERROR(_xlfn.TEXTJOIN(CHAR(10),TRUE,IF((元データ!$AL$2:$AL$2001=1)*(元データ!$AN$2:$AN$2001=1)*(元データ!$AE$2:$AE$2001=$C$118)*(元データ!$AO$2:$AO$2001=1)*(元データ!$AM$2:$AM$2001&gt;=15)*(元データ!$AM$2:$AM$2001&lt;=21)*(元データ!$E$2:$E$2001="40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8" s="45">
        <f ca="1">SUMPRODUCT((元データ!$AL$2:$AL$2001=1)*(元データ!$AN$2:$AN$2001=1)*(元データ!$AE$2:$AE$2001=$C$118)*(元データ!$AO$2:$AO$2001=1)*(元データ!$AM$2:$AM$2001&gt;=22)*(元データ!$AM$2:$AM$2001&lt;=30))</f>
        <v>1</v>
      </c>
      <c r="BG118" s="45">
        <f ca="1">SUMPRODUCT((元データ!$AL$2:$AL$2001=1)*(元データ!$AN$2:$AN$2001=1)*(元データ!$AE$2:$AE$2001=$C$118)*(元データ!$AO$2:$AO$2001=1)*(元データ!$AM$2:$AM$2001&gt;=22)*(元データ!$AM$2:$AM$2001&lt;=30)*(元データ!$E$2:$E$2001="20 確認待ち"))</f>
        <v>0</v>
      </c>
      <c r="BH118" s="60" t="str" cm="1">
        <f t="array" aca="1" ref="BH118" ca="1">IFERROR(_xlfn.TEXTJOIN(CHAR(10),TRUE,IF((元データ!$AL$2:$AL$2001=1)*(元データ!$AN$2:$AN$2001=1)*(元データ!$AE$2:$AE$2001=$C$118)*(元データ!$AO$2:$AO$2001=1)*(元データ!$AM$2:$AM$2001&gt;=22)*(元データ!$AM$2:$AM$2001&lt;=30)*(元データ!$E$2:$E$2001="20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8" s="60"/>
      <c r="BJ118" s="60"/>
      <c r="BK118" s="45">
        <f ca="1">SUMPRODUCT((元データ!$AL$2:$AL$2001=1)*(元データ!$AN$2:$AN$2001=1)*(元データ!$AE$2:$AE$2001=$C$118)*(元データ!$AO$2:$AO$2001=1)*(元データ!$AM$2:$AM$2001&gt;=22)*(元データ!$AM$2:$AM$2001&lt;=30)*(元データ!$E$2:$E$2001="30 申請受付"))</f>
        <v>0</v>
      </c>
      <c r="BL118" s="59" t="str" cm="1">
        <f t="array" aca="1" ref="BL118" ca="1">IFERROR(_xlfn.TEXTJOIN(CHAR(10),TRUE,IF((元データ!$AL$2:$AL$2001=1)*(元データ!$AN$2:$AN$2001=1)*(元データ!$AE$2:$AE$2001=$C$118)*(元データ!$AO$2:$AO$2001=1)*(元データ!$AM$2:$AM$2001&gt;=22)*(元データ!$AM$2:$AM$2001&lt;=30)*(元データ!$E$2:$E$2001="30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8" s="59"/>
      <c r="BN118" s="59"/>
      <c r="BO118" s="45">
        <f ca="1">SUMPRODUCT((元データ!$AL$2:$AL$2001=1)*(元データ!$AN$2:$AN$2001=1)*(元データ!$AE$2:$AE$2001=$C$118)*(元データ!$AO$2:$AO$2001=1)*(元データ!$AM$2:$AM$2001&gt;=22)*(元データ!$AM$2:$AM$2001&lt;=30)*(元データ!$E$2:$E$2001="31 ＯＰ確認中"))</f>
        <v>1</v>
      </c>
      <c r="BP118" s="59" t="str" cm="1">
        <f t="array" aca="1" ref="BP118" ca="1">IFERROR(_xlfn.TEXTJOIN(CHAR(10),TRUE,IF((元データ!$AL$2:$AL$2001=1)*(元データ!$AN$2:$AN$2001=1)*(元データ!$AE$2:$AE$2001=$C$118)*(元データ!$AO$2:$AO$2001=1)*(元データ!$AM$2:$AM$2001&gt;=22)*(元データ!$AM$2:$AM$2001&lt;=30)*(元データ!$E$2:$E$2001="31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>202660001300</v>
      </c>
      <c r="BQ118" s="59"/>
      <c r="BR118" s="59"/>
      <c r="BS118" s="45">
        <f ca="1">SUMPRODUCT((元データ!$AL$2:$AL$2001=1)*(元データ!$AN$2:$AN$2001=1)*(元データ!$AE$2:$AE$2001=$C$118)*(元データ!$AO$2:$AO$2001=1)*(元データ!$AM$2:$AM$2001&gt;=22)*(元データ!$AM$2:$AM$2001&lt;=30)*(元データ!$E$2:$E$2001="32 ＳＶ確認中"))</f>
        <v>0</v>
      </c>
      <c r="BT118" s="59" t="str" cm="1">
        <f t="array" aca="1" ref="BT118" ca="1">IFERROR(_xlfn.TEXTJOIN(CHAR(10),TRUE,IF((元データ!$AL$2:$AL$2001=1)*(元データ!$AN$2:$AN$2001=1)*(元データ!$AE$2:$AE$2001=$C$118)*(元データ!$AO$2:$AO$2001=1)*(元データ!$AM$2:$AM$2001&gt;=22)*(元データ!$AM$2:$AM$2001&lt;=30)*(元データ!$E$2:$E$2001="32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8" s="59">
        <f ca="1">SUMPRODUCT((元データ!$AL$2:$AL$2001=1)*(元データ!$AN$2:$AN$2001=1)*(元データ!$AE$2:$AE$2001=$C$118)*(元データ!$AO$2:$AO$2001=1)*(元データ!$AM$2:$AM$2001&gt;=22)*(元データ!$AM$2:$AM$2001&lt;=30)*(元データ!$E$2:$E$2001="40 差戻し"))</f>
        <v>0</v>
      </c>
      <c r="BV118" s="59" t="str" cm="1">
        <f t="array" aca="1" ref="BV118" ca="1">IFERROR(_xlfn.TEXTJOIN(CHAR(10),TRUE,IF((元データ!$AL$2:$AL$2001=1)*(元データ!$AN$2:$AN$2001=1)*(元データ!$AE$2:$AE$2001=$C$118)*(元データ!$AO$2:$AO$2001=1)*(元データ!$AM$2:$AM$2001&gt;=22)*(元データ!$AM$2:$AM$2001&lt;=30)*(元データ!$E$2:$E$2001="40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8" s="46">
        <f ca="1">SUMPRODUCT((元データ!$AL$2:$AL$2001=1)*(元データ!$AN$2:$AN$2001=1)*(元データ!$AE$2:$AE$2001=$C$118)*(元データ!$AO$2:$AO$2001=1)*(元データ!$AM$2:$AM$2001&gt;=31))</f>
        <v>7</v>
      </c>
      <c r="BX118" s="46">
        <f ca="1">SUMPRODUCT((元データ!$AL$2:$AL$2001=1)*(元データ!$AN$2:$AN$2001=1)*(元データ!$AE$2:$AE$2001=$C$118)*(元データ!$AO$2:$AO$2001=1)*(元データ!$AM$2:$AM$2001&gt;=31)*(元データ!$E$2:$E$2001="20 確認待ち"))</f>
        <v>0</v>
      </c>
      <c r="BY118" s="56" t="str" cm="1">
        <f t="array" aca="1" ref="BY118" ca="1">IFERROR(_xlfn.TEXTJOIN(CHAR(10),TRUE,IF((元データ!$AL$2:$AL$2001=1)*(元データ!$AN$2:$AN$2001=1)*(元データ!$AE$2:$AE$2001=$C$118)*(元データ!$AO$2:$AO$2001=1)*(元データ!$AM$2:$AM$2001&gt;=31)*(元データ!$E$2:$E$2001="20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18" s="56"/>
      <c r="CA118" s="56"/>
      <c r="CB118" s="46">
        <f ca="1">SUMPRODUCT((元データ!$AL$2:$AL$2001=1)*(元データ!$AN$2:$AN$2001=1)*(元データ!$AE$2:$AE$2001=$C$118)*(元データ!$AO$2:$AO$2001=1)*(元データ!$AM$2:$AM$2001&gt;=31)*(元データ!$E$2:$E$2001="30 申請受付"))</f>
        <v>1</v>
      </c>
      <c r="CC118" s="56" t="str" cm="1">
        <f t="array" aca="1" ref="CC118" ca="1">IFERROR(_xlfn.TEXTJOIN(CHAR(10),TRUE,IF((元データ!$AL$2:$AL$2001=1)*(元データ!$AN$2:$AN$2001=1)*(元データ!$AE$2:$AE$2001=$C$118)*(元データ!$AO$2:$AO$2001=1)*(元データ!$AM$2:$AM$2001&gt;=31)*(元データ!$E$2:$E$2001="30 申請受付"),元データ!$A$2:$A$2001&amp;IF(元データ!$AP$2:$AP$2001&lt;&gt;"","（"&amp;MID(元データ!$AP$2:$AP$2001,2,100)&amp;")",""),"")),"")</f>
        <v>202660001292</v>
      </c>
      <c r="CD118" s="56"/>
      <c r="CE118" s="56"/>
      <c r="CF118" s="46">
        <f ca="1">SUMPRODUCT((元データ!$AL$2:$AL$2001=1)*(元データ!$AN$2:$AN$2001=1)*(元データ!$AE$2:$AE$2001=$C$118)*(元データ!$AO$2:$AO$2001=1)*(元データ!$AM$2:$AM$2001&gt;=31)*(元データ!$E$2:$E$2001="31 ＯＰ確認中"))</f>
        <v>4</v>
      </c>
      <c r="CG118" s="56" t="str" cm="1">
        <f t="array" aca="1" ref="CG118" ca="1">IFERROR(_xlfn.TEXTJOIN(CHAR(10),TRUE,IF((元データ!$AL$2:$AL$2001=1)*(元データ!$AN$2:$AN$2001=1)*(元データ!$AE$2:$AE$2001=$C$118)*(元データ!$AO$2:$AO$2001=1)*(元データ!$AM$2:$AM$2001&gt;=31)*(元データ!$E$2:$E$2001="31 ＯＰ確認中"),元データ!$A$2:$A$2001&amp;IF(元データ!$AP$2:$AP$2001&lt;&gt;"","（"&amp;MID(元データ!$AP$2:$AP$2001,2,100)&amp;")",""),"")),"")</f>
        <v>201060000063
202060003171
202360003315
202660000868（添待ち・SV)</v>
      </c>
      <c r="CH118" s="56"/>
      <c r="CI118" s="56"/>
      <c r="CJ118" s="46">
        <f ca="1">SUMPRODUCT((元データ!$AL$2:$AL$2001=1)*(元データ!$AN$2:$AN$2001=1)*(元データ!$AE$2:$AE$2001=$C$118)*(元データ!$AO$2:$AO$2001=1)*(元データ!$AM$2:$AM$2001&gt;=31)*(元データ!$E$2:$E$2001="32 ＳＶ確認中"))</f>
        <v>2</v>
      </c>
      <c r="CK118" s="56" t="str" cm="1">
        <f t="array" aca="1" ref="CK118" ca="1">IFERROR(_xlfn.TEXTJOIN(CHAR(10),TRUE,IF((元データ!$AL$2:$AL$2001=1)*(元データ!$AN$2:$AN$2001=1)*(元データ!$AE$2:$AE$2001=$C$118)*(元データ!$AO$2:$AO$2001=1)*(元データ!$AM$2:$AM$2001&gt;=31)*(元データ!$E$2:$E$2001="32 ＳＶ確認中"),元データ!$A$2:$A$2001&amp;IF(元データ!$AP$2:$AP$2001&lt;&gt;"","（"&amp;MID(元データ!$AP$2:$AP$2001,2,100)&amp;")",""),"")),"")</f>
        <v>202560000773（データ送付待ち)
202660001260</v>
      </c>
      <c r="CL118" s="56">
        <f ca="1">SUMPRODUCT((元データ!$AL$2:$AL$2001=1)*(元データ!$AN$2:$AN$2001=1)*(元データ!$AE$2:$AE$2001=$C$118)*(元データ!$AO$2:$AO$2001=1)*(元データ!$AM$2:$AM$2001&gt;=31)*(元データ!$E$2:$E$2001="40 差戻し"))</f>
        <v>0</v>
      </c>
      <c r="CM118" s="56" t="str" cm="1">
        <f t="array" aca="1" ref="CM118" ca="1">IFERROR(_xlfn.TEXTJOIN(CHAR(10),TRUE,IF((元データ!$AL$2:$AL$2001=1)*(元データ!$AN$2:$AN$2001=1)*(元データ!$AE$2:$AE$2001=$C$118)*(元データ!$AO$2:$AO$2001=1)*(元データ!$AM$2:$AM$2001&gt;=31)*(元データ!$E$2:$E$2001="40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19" spans="2:93" ht="24.95" customHeight="1">
      <c r="B119" s="92"/>
      <c r="C119" s="63"/>
      <c r="D119" s="63"/>
      <c r="E119" s="47" t="s">
        <v>134</v>
      </c>
      <c r="F119" s="48">
        <f>SUMPRODUCT((元データ!$AL$2:$AL$2001=1)*(元データ!$AN$2:$AN$2001=1)*(元データ!$AE$2:$AE$2001=$C$118)*(元データ!$AO$2:$AO$2001=0))</f>
        <v>1</v>
      </c>
      <c r="G119" s="49">
        <f ca="1">SUMPRODUCT((元データ!$AL$2:$AL$2001=1)*(元データ!$AN$2:$AN$2001=1)*(元データ!$AE$2:$AE$2001=$C$118)*(元データ!$AO$2:$AO$2001=0)*(元データ!$AM$2:$AM$2001&lt;=7))</f>
        <v>0</v>
      </c>
      <c r="H119" s="49">
        <f ca="1">SUMPRODUCT((元データ!$AL$2:$AL$2001=1)*(元データ!$AN$2:$AN$2001=1)*(元データ!$AE$2:$AE$2001=$C$118)*(元データ!$AO$2:$AO$2001=0)*(元データ!$AM$2:$AM$2001&lt;=7)*(元データ!$E$2:$E$2001="20 確認待ち"))</f>
        <v>0</v>
      </c>
      <c r="I119" s="57" t="str" cm="1">
        <f t="array" aca="1" ref="I119" ca="1">IFERROR(_xlfn.TEXTJOIN(CHAR(10),TRUE,IF((元データ!$AL$2:$AL$2001=1)*(元データ!$AN$2:$AN$2001=1)*(元データ!$AE$2:$AE$2001=$C$118)*(元データ!$AO$2:$AO$2001=0)*(元データ!$AM$2:$AM$2001&lt;=7)*(元データ!$E$2:$E$2001="20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19" s="57"/>
      <c r="K119" s="57"/>
      <c r="L119" s="49">
        <f ca="1">SUMPRODUCT((元データ!$AL$2:$AL$2001=1)*(元データ!$AN$2:$AN$2001=1)*(元データ!$AE$2:$AE$2001=$C$118)*(元データ!$AO$2:$AO$2001=0)*(元データ!$AM$2:$AM$2001&lt;=7)*(元データ!$E$2:$E$2001="30 申請受付"))</f>
        <v>0</v>
      </c>
      <c r="M119" s="57" t="str" cm="1">
        <f t="array" aca="1" ref="M119" ca="1">IFERROR(_xlfn.TEXTJOIN(CHAR(10),TRUE,IF((元データ!$AL$2:$AL$2001=1)*(元データ!$AN$2:$AN$2001=1)*(元データ!$AE$2:$AE$2001=$C$118)*(元データ!$AO$2:$AO$2001=0)*(元データ!$AM$2:$AM$2001&lt;=7)*(元データ!$E$2:$E$2001="30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19" s="57"/>
      <c r="O119" s="57"/>
      <c r="P119" s="49">
        <f ca="1">SUMPRODUCT((元データ!$AL$2:$AL$2001=1)*(元データ!$AN$2:$AN$2001=1)*(元データ!$AE$2:$AE$2001=$C$118)*(元データ!$AO$2:$AO$2001=0)*(元データ!$AM$2:$AM$2001&lt;=7)*(元データ!$E$2:$E$2001="31 ＯＰ確認中"))</f>
        <v>0</v>
      </c>
      <c r="Q119" s="57" t="str" cm="1">
        <f t="array" aca="1" ref="Q119" ca="1">IFERROR(_xlfn.TEXTJOIN(CHAR(10),TRUE,IF((元データ!$AL$2:$AL$2001=1)*(元データ!$AN$2:$AN$2001=1)*(元データ!$AE$2:$AE$2001=$C$118)*(元データ!$AO$2:$AO$2001=0)*(元データ!$AM$2:$AM$2001&lt;=7)*(元データ!$E$2:$E$2001="31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19" s="57"/>
      <c r="S119" s="57"/>
      <c r="T119" s="49">
        <f ca="1">SUMPRODUCT((元データ!$AL$2:$AL$2001=1)*(元データ!$AN$2:$AN$2001=1)*(元データ!$AE$2:$AE$2001=$C$118)*(元データ!$AO$2:$AO$2001=0)*(元データ!$AM$2:$AM$2001&lt;=7)*(元データ!$E$2:$E$2001="32 ＳＶ確認中"))</f>
        <v>0</v>
      </c>
      <c r="U119" s="57" t="str" cm="1">
        <f t="array" aca="1" ref="U119" ca="1">IFERROR(_xlfn.TEXTJOIN(CHAR(10),TRUE,IF((元データ!$AL$2:$AL$2001=1)*(元データ!$AN$2:$AN$2001=1)*(元データ!$AE$2:$AE$2001=$C$118)*(元データ!$AO$2:$AO$2001=0)*(元データ!$AM$2:$AM$2001&lt;=7)*(元データ!$E$2:$E$2001="32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19" s="57"/>
      <c r="W119" s="57"/>
      <c r="X119" s="49">
        <f ca="1">SUMPRODUCT((元データ!$AL$2:$AL$2001=1)*(元データ!$AN$2:$AN$2001=1)*(元データ!$AE$2:$AE$2001=$C$118)*(元データ!$AO$2:$AO$2001=0)*(元データ!$AM$2:$AM$2001&gt;=8)*(元データ!$AM$2:$AM$2001&lt;=14))</f>
        <v>0</v>
      </c>
      <c r="Y119" s="49">
        <f ca="1">SUMPRODUCT((元データ!$AL$2:$AL$2001=1)*(元データ!$AN$2:$AN$2001=1)*(元データ!$AE$2:$AE$2001=$C$118)*(元データ!$AO$2:$AO$2001=0)*(元データ!$AM$2:$AM$2001&gt;=8)*(元データ!$AM$2:$AM$2001&lt;=14)*(元データ!$E$2:$E$2001="20 確認待ち"))</f>
        <v>0</v>
      </c>
      <c r="Z119" s="57" t="str" cm="1">
        <f t="array" aca="1" ref="Z119" ca="1">IFERROR(_xlfn.TEXTJOIN(CHAR(10),TRUE,IF((元データ!$AL$2:$AL$2001=1)*(元データ!$AN$2:$AN$2001=1)*(元データ!$AE$2:$AE$2001=$C$118)*(元データ!$AO$2:$AO$2001=0)*(元データ!$AM$2:$AM$2001&gt;=8)*(元データ!$AM$2:$AM$2001&lt;=14)*(元データ!$E$2:$E$2001="20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19" s="57"/>
      <c r="AB119" s="57"/>
      <c r="AC119" s="49">
        <f ca="1">SUMPRODUCT((元データ!$AL$2:$AL$2001=1)*(元データ!$AN$2:$AN$2001=1)*(元データ!$AE$2:$AE$2001=$C$118)*(元データ!$AO$2:$AO$2001=0)*(元データ!$AM$2:$AM$2001&gt;=8)*(元データ!$AM$2:$AM$2001&lt;=14)*(元データ!$E$2:$E$2001="30 申請受付"))</f>
        <v>0</v>
      </c>
      <c r="AD119" s="57" t="str" cm="1">
        <f t="array" aca="1" ref="AD119" ca="1">IFERROR(_xlfn.TEXTJOIN(CHAR(10),TRUE,IF((元データ!$AL$2:$AL$2001=1)*(元データ!$AN$2:$AN$2001=1)*(元データ!$AE$2:$AE$2001=$C$118)*(元データ!$AO$2:$AO$2001=0)*(元データ!$AM$2:$AM$2001&gt;=8)*(元データ!$AM$2:$AM$2001&lt;=14)*(元データ!$E$2:$E$2001="30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19" s="57"/>
      <c r="AF119" s="57"/>
      <c r="AG119" s="49">
        <f ca="1">SUMPRODUCT((元データ!$AL$2:$AL$2001=1)*(元データ!$AN$2:$AN$2001=1)*(元データ!$AE$2:$AE$2001=$C$118)*(元データ!$AO$2:$AO$2001=0)*(元データ!$AM$2:$AM$2001&gt;=8)*(元データ!$AM$2:$AM$2001&lt;=14)*(元データ!$E$2:$E$2001="31 ＯＰ確認中"))</f>
        <v>0</v>
      </c>
      <c r="AH119" s="57" t="str" cm="1">
        <f t="array" aca="1" ref="AH119" ca="1">IFERROR(_xlfn.TEXTJOIN(CHAR(10),TRUE,IF((元データ!$AL$2:$AL$2001=1)*(元データ!$AN$2:$AN$2001=1)*(元データ!$AE$2:$AE$2001=$C$118)*(元データ!$AO$2:$AO$2001=0)*(元データ!$AM$2:$AM$2001&gt;=8)*(元データ!$AM$2:$AM$2001&lt;=14)*(元データ!$E$2:$E$2001="31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19" s="57"/>
      <c r="AJ119" s="57"/>
      <c r="AK119" s="49">
        <f ca="1">SUMPRODUCT((元データ!$AL$2:$AL$2001=1)*(元データ!$AN$2:$AN$2001=1)*(元データ!$AE$2:$AE$2001=$C$118)*(元データ!$AO$2:$AO$2001=0)*(元データ!$AM$2:$AM$2001&gt;=8)*(元データ!$AM$2:$AM$2001&lt;=14)*(元データ!$E$2:$E$2001="32 ＳＶ確認中"))</f>
        <v>0</v>
      </c>
      <c r="AL119" s="57" t="str" cm="1">
        <f t="array" aca="1" ref="AL119" ca="1">IFERROR(_xlfn.TEXTJOIN(CHAR(10),TRUE,IF((元データ!$AL$2:$AL$2001=1)*(元データ!$AN$2:$AN$2001=1)*(元データ!$AE$2:$AE$2001=$C$118)*(元データ!$AO$2:$AO$2001=0)*(元データ!$AM$2:$AM$2001&gt;=8)*(元データ!$AM$2:$AM$2001&lt;=14)*(元データ!$E$2:$E$2001="32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19" s="57">
        <f ca="1">SUMPRODUCT((元データ!$AL$2:$AL$2001=1)*(元データ!$AN$2:$AN$2001=1)*(元データ!$AE$2:$AE$2001=$C$118)*(元データ!$AO$2:$AO$2001=0)*(元データ!$AM$2:$AM$2001&gt;=8)*(元データ!$AM$2:$AM$2001&lt;=14)*(元データ!$E$2:$E$2001="40 差戻し"))</f>
        <v>0</v>
      </c>
      <c r="AN119" s="57" t="str" cm="1">
        <f t="array" aca="1" ref="AN119" ca="1">IFERROR(_xlfn.TEXTJOIN(CHAR(10),TRUE,IF((元データ!$AL$2:$AL$2001=1)*(元データ!$AN$2:$AN$2001=1)*(元データ!$AE$2:$AE$2001=$C$118)*(元データ!$AO$2:$AO$2001=0)*(元データ!$AM$2:$AM$2001&gt;=8)*(元データ!$AM$2:$AM$2001&lt;=14)*(元データ!$E$2:$E$2001="40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19" s="44">
        <f ca="1">SUMPRODUCT((元データ!$AL$2:$AL$2001=1)*(元データ!$AN$2:$AN$2001=1)*(元データ!$AE$2:$AE$2001=$C$118)*(元データ!$AO$2:$AO$2001=0)*(元データ!$AM$2:$AM$2001&gt;=15)*(元データ!$AM$2:$AM$2001&lt;=21))</f>
        <v>0</v>
      </c>
      <c r="AP119" s="44">
        <f ca="1">SUMPRODUCT((元データ!$AL$2:$AL$2001=1)*(元データ!$AN$2:$AN$2001=1)*(元データ!$AE$2:$AE$2001=$C$118)*(元データ!$AO$2:$AO$2001=0)*(元データ!$AM$2:$AM$2001&gt;=15)*(元データ!$AM$2:$AM$2001&lt;=21)*(元データ!$E$2:$E$2001="20 確認待ち"))</f>
        <v>0</v>
      </c>
      <c r="AQ119" s="58" t="str" cm="1">
        <f t="array" aca="1" ref="AQ119" ca="1">IFERROR(_xlfn.TEXTJOIN(CHAR(10),TRUE,IF((元データ!$AL$2:$AL$2001=1)*(元データ!$AN$2:$AN$2001=1)*(元データ!$AE$2:$AE$2001=$C$118)*(元データ!$AO$2:$AO$2001=0)*(元データ!$AM$2:$AM$2001&gt;=15)*(元データ!$AM$2:$AM$2001&lt;=21)*(元データ!$E$2:$E$2001="20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19" s="58"/>
      <c r="AS119" s="58"/>
      <c r="AT119" s="44">
        <f ca="1">SUMPRODUCT((元データ!$AL$2:$AL$2001=1)*(元データ!$AN$2:$AN$2001=1)*(元データ!$AE$2:$AE$2001=$C$118)*(元データ!$AO$2:$AO$2001=0)*(元データ!$AM$2:$AM$2001&gt;=15)*(元データ!$AM$2:$AM$2001&lt;=21)*(元データ!$E$2:$E$2001="30 申請受付"))</f>
        <v>0</v>
      </c>
      <c r="AU119" s="58" t="str" cm="1">
        <f t="array" aca="1" ref="AU119" ca="1">IFERROR(_xlfn.TEXTJOIN(CHAR(10),TRUE,IF((元データ!$AL$2:$AL$2001=1)*(元データ!$AN$2:$AN$2001=1)*(元データ!$AE$2:$AE$2001=$C$118)*(元データ!$AO$2:$AO$2001=0)*(元データ!$AM$2:$AM$2001&gt;=15)*(元データ!$AM$2:$AM$2001&lt;=21)*(元データ!$E$2:$E$2001="30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19" s="58"/>
      <c r="AW119" s="58"/>
      <c r="AX119" s="44">
        <f ca="1">SUMPRODUCT((元データ!$AL$2:$AL$2001=1)*(元データ!$AN$2:$AN$2001=1)*(元データ!$AE$2:$AE$2001=$C$118)*(元データ!$AO$2:$AO$2001=0)*(元データ!$AM$2:$AM$2001&gt;=15)*(元データ!$AM$2:$AM$2001&lt;=21)*(元データ!$E$2:$E$2001="31 ＯＰ確認中"))</f>
        <v>0</v>
      </c>
      <c r="AY119" s="58" t="str" cm="1">
        <f t="array" aca="1" ref="AY119" ca="1">IFERROR(_xlfn.TEXTJOIN(CHAR(10),TRUE,IF((元データ!$AL$2:$AL$2001=1)*(元データ!$AN$2:$AN$2001=1)*(元データ!$AE$2:$AE$2001=$C$118)*(元データ!$AO$2:$AO$2001=0)*(元データ!$AM$2:$AM$2001&gt;=15)*(元データ!$AM$2:$AM$2001&lt;=21)*(元データ!$E$2:$E$2001="31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19" s="58"/>
      <c r="BA119" s="58"/>
      <c r="BB119" s="44">
        <f ca="1">SUMPRODUCT((元データ!$AL$2:$AL$2001=1)*(元データ!$AN$2:$AN$2001=1)*(元データ!$AE$2:$AE$2001=$C$118)*(元データ!$AO$2:$AO$2001=0)*(元データ!$AM$2:$AM$2001&gt;=15)*(元データ!$AM$2:$AM$2001&lt;=21)*(元データ!$E$2:$E$2001="32 ＳＶ確認中"))</f>
        <v>0</v>
      </c>
      <c r="BC119" s="58" t="str" cm="1">
        <f t="array" aca="1" ref="BC119" ca="1">IFERROR(_xlfn.TEXTJOIN(CHAR(10),TRUE,IF((元データ!$AL$2:$AL$2001=1)*(元データ!$AN$2:$AN$2001=1)*(元データ!$AE$2:$AE$2001=$C$118)*(元データ!$AO$2:$AO$2001=0)*(元データ!$AM$2:$AM$2001&gt;=15)*(元データ!$AM$2:$AM$2001&lt;=21)*(元データ!$E$2:$E$2001="32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19" s="58">
        <f ca="1">SUMPRODUCT((元データ!$AL$2:$AL$2001=1)*(元データ!$AN$2:$AN$2001=1)*(元データ!$AE$2:$AE$2001=$C$118)*(元データ!$AO$2:$AO$2001=0)*(元データ!$AM$2:$AM$2001&gt;=15)*(元データ!$AM$2:$AM$2001&lt;=21)*(元データ!$E$2:$E$2001="40 差戻し"))</f>
        <v>0</v>
      </c>
      <c r="BE119" s="58" t="str" cm="1">
        <f t="array" aca="1" ref="BE119" ca="1">IFERROR(_xlfn.TEXTJOIN(CHAR(10),TRUE,IF((元データ!$AL$2:$AL$2001=1)*(元データ!$AN$2:$AN$2001=1)*(元データ!$AE$2:$AE$2001=$C$118)*(元データ!$AO$2:$AO$2001=0)*(元データ!$AM$2:$AM$2001&gt;=15)*(元データ!$AM$2:$AM$2001&lt;=21)*(元データ!$E$2:$E$2001="40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19" s="45">
        <f ca="1">SUMPRODUCT((元データ!$AL$2:$AL$2001=1)*(元データ!$AN$2:$AN$2001=1)*(元データ!$AE$2:$AE$2001=$C$118)*(元データ!$AO$2:$AO$2001=0)*(元データ!$AM$2:$AM$2001&gt;=22)*(元データ!$AM$2:$AM$2001&lt;=30))</f>
        <v>0</v>
      </c>
      <c r="BG119" s="45">
        <f ca="1">SUMPRODUCT((元データ!$AL$2:$AL$2001=1)*(元データ!$AN$2:$AN$2001=1)*(元データ!$AE$2:$AE$2001=$C$118)*(元データ!$AO$2:$AO$2001=0)*(元データ!$AM$2:$AM$2001&gt;=22)*(元データ!$AM$2:$AM$2001&lt;=30)*(元データ!$E$2:$E$2001="20 確認待ち"))</f>
        <v>0</v>
      </c>
      <c r="BH119" s="59" t="str" cm="1">
        <f t="array" aca="1" ref="BH119" ca="1">IFERROR(_xlfn.TEXTJOIN(CHAR(10),TRUE,IF((元データ!$AL$2:$AL$2001=1)*(元データ!$AN$2:$AN$2001=1)*(元データ!$AE$2:$AE$2001=$C$118)*(元データ!$AO$2:$AO$2001=0)*(元データ!$AM$2:$AM$2001&gt;=22)*(元データ!$AM$2:$AM$2001&lt;=30)*(元データ!$E$2:$E$2001="20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19" s="59"/>
      <c r="BJ119" s="59"/>
      <c r="BK119" s="45">
        <f ca="1">SUMPRODUCT((元データ!$AL$2:$AL$2001=1)*(元データ!$AN$2:$AN$2001=1)*(元データ!$AE$2:$AE$2001=$C$118)*(元データ!$AO$2:$AO$2001=0)*(元データ!$AM$2:$AM$2001&gt;=22)*(元データ!$AM$2:$AM$2001&lt;=30)*(元データ!$E$2:$E$2001="30 申請受付"))</f>
        <v>0</v>
      </c>
      <c r="BL119" s="59" t="str" cm="1">
        <f t="array" aca="1" ref="BL119" ca="1">IFERROR(_xlfn.TEXTJOIN(CHAR(10),TRUE,IF((元データ!$AL$2:$AL$2001=1)*(元データ!$AN$2:$AN$2001=1)*(元データ!$AE$2:$AE$2001=$C$118)*(元データ!$AO$2:$AO$2001=0)*(元データ!$AM$2:$AM$2001&gt;=22)*(元データ!$AM$2:$AM$2001&lt;=30)*(元データ!$E$2:$E$2001="30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19" s="59"/>
      <c r="BN119" s="59"/>
      <c r="BO119" s="45">
        <f ca="1">SUMPRODUCT((元データ!$AL$2:$AL$2001=1)*(元データ!$AN$2:$AN$2001=1)*(元データ!$AE$2:$AE$2001=$C$118)*(元データ!$AO$2:$AO$2001=0)*(元データ!$AM$2:$AM$2001&gt;=22)*(元データ!$AM$2:$AM$2001&lt;=30)*(元データ!$E$2:$E$2001="31 ＯＰ確認中"))</f>
        <v>0</v>
      </c>
      <c r="BP119" s="59" t="str" cm="1">
        <f t="array" aca="1" ref="BP119" ca="1">IFERROR(_xlfn.TEXTJOIN(CHAR(10),TRUE,IF((元データ!$AL$2:$AL$2001=1)*(元データ!$AN$2:$AN$2001=1)*(元データ!$AE$2:$AE$2001=$C$118)*(元データ!$AO$2:$AO$2001=0)*(元データ!$AM$2:$AM$2001&gt;=22)*(元データ!$AM$2:$AM$2001&lt;=30)*(元データ!$E$2:$E$2001="31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19" s="59"/>
      <c r="BR119" s="59"/>
      <c r="BS119" s="45">
        <f ca="1">SUMPRODUCT((元データ!$AL$2:$AL$2001=1)*(元データ!$AN$2:$AN$2001=1)*(元データ!$AE$2:$AE$2001=$C$118)*(元データ!$AO$2:$AO$2001=0)*(元データ!$AM$2:$AM$2001&gt;=22)*(元データ!$AM$2:$AM$2001&lt;=30)*(元データ!$E$2:$E$2001="32 ＳＶ確認中"))</f>
        <v>0</v>
      </c>
      <c r="BT119" s="59" t="str" cm="1">
        <f t="array" aca="1" ref="BT119" ca="1">IFERROR(_xlfn.TEXTJOIN(CHAR(10),TRUE,IF((元データ!$AL$2:$AL$2001=1)*(元データ!$AN$2:$AN$2001=1)*(元データ!$AE$2:$AE$2001=$C$118)*(元データ!$AO$2:$AO$2001=0)*(元データ!$AM$2:$AM$2001&gt;=22)*(元データ!$AM$2:$AM$2001&lt;=30)*(元データ!$E$2:$E$2001="32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19" s="59">
        <f ca="1">SUMPRODUCT((元データ!$AL$2:$AL$2001=1)*(元データ!$AN$2:$AN$2001=1)*(元データ!$AE$2:$AE$2001=$C$118)*(元データ!$AO$2:$AO$2001=0)*(元データ!$AM$2:$AM$2001&gt;=22)*(元データ!$AM$2:$AM$2001&lt;=30)*(元データ!$E$2:$E$2001="40 差戻し"))</f>
        <v>0</v>
      </c>
      <c r="BV119" s="59" t="str" cm="1">
        <f t="array" aca="1" ref="BV119" ca="1">IFERROR(_xlfn.TEXTJOIN(CHAR(10),TRUE,IF((元データ!$AL$2:$AL$2001=1)*(元データ!$AN$2:$AN$2001=1)*(元データ!$AE$2:$AE$2001=$C$118)*(元データ!$AO$2:$AO$2001=0)*(元データ!$AM$2:$AM$2001&gt;=22)*(元データ!$AM$2:$AM$2001&lt;=30)*(元データ!$E$2:$E$2001="40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19" s="46">
        <f ca="1">SUMPRODUCT((元データ!$AL$2:$AL$2001=1)*(元データ!$AN$2:$AN$2001=1)*(元データ!$AE$2:$AE$2001=$C$118)*(元データ!$AO$2:$AO$2001=0)*(元データ!$AM$2:$AM$2001&gt;=31))</f>
        <v>1</v>
      </c>
      <c r="BX119" s="46">
        <f ca="1">SUMPRODUCT((元データ!$AL$2:$AL$2001=1)*(元データ!$AN$2:$AN$2001=1)*(元データ!$AE$2:$AE$2001=$C$118)*(元データ!$AO$2:$AO$2001=0)*(元データ!$AM$2:$AM$2001&gt;=31)*(元データ!$E$2:$E$2001="20 確認待ち"))</f>
        <v>1</v>
      </c>
      <c r="BY119" s="56" t="str" cm="1">
        <f t="array" aca="1" ref="BY119" ca="1">IFERROR(_xlfn.TEXTJOIN(CHAR(10),TRUE,IF((元データ!$AL$2:$AL$2001=1)*(元データ!$AN$2:$AN$2001=1)*(元データ!$AE$2:$AE$2001=$C$118)*(元データ!$AO$2:$AO$2001=0)*(元データ!$AM$2:$AM$2001&gt;=31)*(元データ!$E$2:$E$2001="20 確認待ち"),元データ!$A$2:$A$2001&amp;IF(元データ!$AP$2:$AP$2001&lt;&gt;"","（"&amp;MID(元データ!$AP$2:$AP$2001,2,100)&amp;")",""),"")),"")</f>
        <v>202660000028（発信)</v>
      </c>
      <c r="BZ119" s="56"/>
      <c r="CA119" s="56"/>
      <c r="CB119" s="46">
        <f ca="1">SUMPRODUCT((元データ!$AL$2:$AL$2001=1)*(元データ!$AN$2:$AN$2001=1)*(元データ!$AE$2:$AE$2001=$C$118)*(元データ!$AO$2:$AO$2001=0)*(元データ!$AM$2:$AM$2001&gt;=31)*(元データ!$E$2:$E$2001="30 申請受付"))</f>
        <v>0</v>
      </c>
      <c r="CC119" s="56" t="str" cm="1">
        <f t="array" aca="1" ref="CC119" ca="1">IFERROR(_xlfn.TEXTJOIN(CHAR(10),TRUE,IF((元データ!$AL$2:$AL$2001=1)*(元データ!$AN$2:$AN$2001=1)*(元データ!$AE$2:$AE$2001=$C$118)*(元データ!$AO$2:$AO$2001=0)*(元データ!$AM$2:$AM$2001&gt;=31)*(元データ!$E$2:$E$2001="30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19" s="56"/>
      <c r="CE119" s="56"/>
      <c r="CF119" s="46">
        <f ca="1">SUMPRODUCT((元データ!$AL$2:$AL$2001=1)*(元データ!$AN$2:$AN$2001=1)*(元データ!$AE$2:$AE$2001=$C$118)*(元データ!$AO$2:$AO$2001=0)*(元データ!$AM$2:$AM$2001&gt;=31)*(元データ!$E$2:$E$2001="31 ＯＰ確認中"))</f>
        <v>0</v>
      </c>
      <c r="CG119" s="56" t="str" cm="1">
        <f t="array" aca="1" ref="CG119" ca="1">IFERROR(_xlfn.TEXTJOIN(CHAR(10),TRUE,IF((元データ!$AL$2:$AL$2001=1)*(元データ!$AN$2:$AN$2001=1)*(元データ!$AE$2:$AE$2001=$C$118)*(元データ!$AO$2:$AO$2001=0)*(元データ!$AM$2:$AM$2001&gt;=31)*(元データ!$E$2:$E$2001="31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19" s="56"/>
      <c r="CI119" s="56"/>
      <c r="CJ119" s="46">
        <f ca="1">SUMPRODUCT((元データ!$AL$2:$AL$2001=1)*(元データ!$AN$2:$AN$2001=1)*(元データ!$AE$2:$AE$2001=$C$118)*(元データ!$AO$2:$AO$2001=0)*(元データ!$AM$2:$AM$2001&gt;=31)*(元データ!$E$2:$E$2001="32 ＳＶ確認中"))</f>
        <v>0</v>
      </c>
      <c r="CK119" s="56" t="str" cm="1">
        <f t="array" aca="1" ref="CK119" ca="1">IFERROR(_xlfn.TEXTJOIN(CHAR(10),TRUE,IF((元データ!$AL$2:$AL$2001=1)*(元データ!$AN$2:$AN$2001=1)*(元データ!$AE$2:$AE$2001=$C$118)*(元データ!$AO$2:$AO$2001=0)*(元データ!$AM$2:$AM$2001&gt;=31)*(元データ!$E$2:$E$2001="32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19" s="56">
        <f ca="1">SUMPRODUCT((元データ!$AL$2:$AL$2001=1)*(元データ!$AN$2:$AN$2001=1)*(元データ!$AE$2:$AE$2001=$C$118)*(元データ!$AO$2:$AO$2001=0)*(元データ!$AM$2:$AM$2001&gt;=31)*(元データ!$E$2:$E$2001="40 差戻し"))</f>
        <v>0</v>
      </c>
      <c r="CM119" s="56" t="str" cm="1">
        <f t="array" aca="1" ref="CM119" ca="1">IFERROR(_xlfn.TEXTJOIN(CHAR(10),TRUE,IF((元データ!$AL$2:$AL$2001=1)*(元データ!$AN$2:$AN$2001=1)*(元データ!$AE$2:$AE$2001=$C$118)*(元データ!$AO$2:$AO$2001=0)*(元データ!$AM$2:$AM$2001&gt;=31)*(元データ!$E$2:$E$2001="40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20" spans="2:93" ht="24.95" customHeight="1">
      <c r="B120" s="91"/>
      <c r="C120" s="63" t="s">
        <v>71</v>
      </c>
      <c r="D120" s="63"/>
      <c r="E120" s="41" t="s">
        <v>133</v>
      </c>
      <c r="F120" s="42">
        <f>SUMPRODUCT((元データ!$AL$2:$AL$2001=1)*(元データ!$AN$2:$AN$2001=1)*(元データ!$AE$2:$AE$2001=$C$120)*(元データ!$AO$2:$AO$2001=1))</f>
        <v>10</v>
      </c>
      <c r="G120" s="43">
        <f ca="1">SUMPRODUCT((元データ!$AL$2:$AL$2001=1)*(元データ!$AN$2:$AN$2001=1)*(元データ!$AE$2:$AE$2001=$C$120)*(元データ!$AO$2:$AO$2001=1)*(元データ!$AM$2:$AM$2001&lt;=7))</f>
        <v>0</v>
      </c>
      <c r="H120" s="43">
        <f ca="1">SUMPRODUCT((元データ!$AL$2:$AL$2001=1)*(元データ!$AN$2:$AN$2001=1)*(元データ!$AE$2:$AE$2001=$C$120)*(元データ!$AO$2:$AO$2001=1)*(元データ!$AM$2:$AM$2001&lt;=7)*(元データ!$E$2:$E$2001="20 確認待ち"))</f>
        <v>0</v>
      </c>
      <c r="I120" s="61" t="str" cm="1">
        <f t="array" aca="1" ref="I120" ca="1">IFERROR(_xlfn.TEXTJOIN(CHAR(10),TRUE,IF((元データ!$AL$2:$AL$2001=1)*(元データ!$AN$2:$AN$2001=1)*(元データ!$AE$2:$AE$2001=$C$120)*(元データ!$AO$2:$AO$2001=1)*(元データ!$AM$2:$AM$2001&lt;=7)*(元データ!$E$2:$E$2001="20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20" s="61"/>
      <c r="K120" s="61"/>
      <c r="L120" s="43">
        <f ca="1">SUMPRODUCT((元データ!$AL$2:$AL$2001=1)*(元データ!$AN$2:$AN$2001=1)*(元データ!$AE$2:$AE$2001=$C$120)*(元データ!$AO$2:$AO$2001=1)*(元データ!$AM$2:$AM$2001&lt;=7)*(元データ!$E$2:$E$2001="30 申請受付"))</f>
        <v>0</v>
      </c>
      <c r="M120" s="61" t="str" cm="1">
        <f t="array" aca="1" ref="M120" ca="1">IFERROR(_xlfn.TEXTJOIN(CHAR(10),TRUE,IF((元データ!$AL$2:$AL$2001=1)*(元データ!$AN$2:$AN$2001=1)*(元データ!$AE$2:$AE$2001=$C$120)*(元データ!$AO$2:$AO$2001=1)*(元データ!$AM$2:$AM$2001&lt;=7)*(元データ!$E$2:$E$2001="30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20" s="61"/>
      <c r="O120" s="61"/>
      <c r="P120" s="43">
        <f ca="1">SUMPRODUCT((元データ!$AL$2:$AL$2001=1)*(元データ!$AN$2:$AN$2001=1)*(元データ!$AE$2:$AE$2001=$C$120)*(元データ!$AO$2:$AO$2001=1)*(元データ!$AM$2:$AM$2001&lt;=7)*(元データ!$E$2:$E$2001="31 ＯＰ確認中"))</f>
        <v>0</v>
      </c>
      <c r="Q120" s="61" t="str" cm="1">
        <f t="array" aca="1" ref="Q120" ca="1">IFERROR(_xlfn.TEXTJOIN(CHAR(10),TRUE,IF((元データ!$AL$2:$AL$2001=1)*(元データ!$AN$2:$AN$2001=1)*(元データ!$AE$2:$AE$2001=$C$120)*(元データ!$AO$2:$AO$2001=1)*(元データ!$AM$2:$AM$2001&lt;=7)*(元データ!$E$2:$E$2001="31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20" s="61"/>
      <c r="S120" s="61"/>
      <c r="T120" s="43">
        <f ca="1">SUMPRODUCT((元データ!$AL$2:$AL$2001=1)*(元データ!$AN$2:$AN$2001=1)*(元データ!$AE$2:$AE$2001=$C$120)*(元データ!$AO$2:$AO$2001=1)*(元データ!$AM$2:$AM$2001&lt;=7)*(元データ!$E$2:$E$2001="32 ＳＶ確認中"))</f>
        <v>0</v>
      </c>
      <c r="U120" s="61" t="str" cm="1">
        <f t="array" aca="1" ref="U120" ca="1">IFERROR(_xlfn.TEXTJOIN(CHAR(10),TRUE,IF((元データ!$AL$2:$AL$2001=1)*(元データ!$AN$2:$AN$2001=1)*(元データ!$AE$2:$AE$2001=$C$120)*(元データ!$AO$2:$AO$2001=1)*(元データ!$AM$2:$AM$2001&lt;=7)*(元データ!$E$2:$E$2001="32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20" s="61"/>
      <c r="W120" s="61"/>
      <c r="X120" s="43">
        <f ca="1">SUMPRODUCT((元データ!$AL$2:$AL$2001=1)*(元データ!$AN$2:$AN$2001=1)*(元データ!$AE$2:$AE$2001=$C$120)*(元データ!$AO$2:$AO$2001=1)*(元データ!$AM$2:$AM$2001&gt;=8)*(元データ!$AM$2:$AM$2001&lt;=14))</f>
        <v>0</v>
      </c>
      <c r="Y120" s="43">
        <f ca="1">SUMPRODUCT((元データ!$AL$2:$AL$2001=1)*(元データ!$AN$2:$AN$2001=1)*(元データ!$AE$2:$AE$2001=$C$120)*(元データ!$AO$2:$AO$2001=1)*(元データ!$AM$2:$AM$2001&gt;=8)*(元データ!$AM$2:$AM$2001&lt;=14)*(元データ!$E$2:$E$2001="20 確認待ち"))</f>
        <v>0</v>
      </c>
      <c r="Z120" s="61" t="str" cm="1">
        <f t="array" aca="1" ref="Z120" ca="1">IFERROR(_xlfn.TEXTJOIN(CHAR(10),TRUE,IF((元データ!$AL$2:$AL$2001=1)*(元データ!$AN$2:$AN$2001=1)*(元データ!$AE$2:$AE$2001=$C$120)*(元データ!$AO$2:$AO$2001=1)*(元データ!$AM$2:$AM$2001&gt;=8)*(元データ!$AM$2:$AM$2001&lt;=14)*(元データ!$E$2:$E$2001="20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20" s="61"/>
      <c r="AB120" s="61"/>
      <c r="AC120" s="43">
        <f ca="1">SUMPRODUCT((元データ!$AL$2:$AL$2001=1)*(元データ!$AN$2:$AN$2001=1)*(元データ!$AE$2:$AE$2001=$C$120)*(元データ!$AO$2:$AO$2001=1)*(元データ!$AM$2:$AM$2001&gt;=8)*(元データ!$AM$2:$AM$2001&lt;=14)*(元データ!$E$2:$E$2001="30 申請受付"))</f>
        <v>0</v>
      </c>
      <c r="AD120" s="61" t="str" cm="1">
        <f t="array" aca="1" ref="AD120" ca="1">IFERROR(_xlfn.TEXTJOIN(CHAR(10),TRUE,IF((元データ!$AL$2:$AL$2001=1)*(元データ!$AN$2:$AN$2001=1)*(元データ!$AE$2:$AE$2001=$C$120)*(元データ!$AO$2:$AO$2001=1)*(元データ!$AM$2:$AM$2001&gt;=8)*(元データ!$AM$2:$AM$2001&lt;=14)*(元データ!$E$2:$E$2001="30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20" s="61"/>
      <c r="AF120" s="61"/>
      <c r="AG120" s="43">
        <f ca="1">SUMPRODUCT((元データ!$AL$2:$AL$2001=1)*(元データ!$AN$2:$AN$2001=1)*(元データ!$AE$2:$AE$2001=$C$120)*(元データ!$AO$2:$AO$2001=1)*(元データ!$AM$2:$AM$2001&gt;=8)*(元データ!$AM$2:$AM$2001&lt;=14)*(元データ!$E$2:$E$2001="31 ＯＰ確認中"))</f>
        <v>0</v>
      </c>
      <c r="AH120" s="61" t="str" cm="1">
        <f t="array" aca="1" ref="AH120" ca="1">IFERROR(_xlfn.TEXTJOIN(CHAR(10),TRUE,IF((元データ!$AL$2:$AL$2001=1)*(元データ!$AN$2:$AN$2001=1)*(元データ!$AE$2:$AE$2001=$C$120)*(元データ!$AO$2:$AO$2001=1)*(元データ!$AM$2:$AM$2001&gt;=8)*(元データ!$AM$2:$AM$2001&lt;=14)*(元データ!$E$2:$E$2001="31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20" s="61"/>
      <c r="AJ120" s="61"/>
      <c r="AK120" s="43">
        <f ca="1">SUMPRODUCT((元データ!$AL$2:$AL$2001=1)*(元データ!$AN$2:$AN$2001=1)*(元データ!$AE$2:$AE$2001=$C$120)*(元データ!$AO$2:$AO$2001=1)*(元データ!$AM$2:$AM$2001&gt;=8)*(元データ!$AM$2:$AM$2001&lt;=14)*(元データ!$E$2:$E$2001="32 ＳＶ確認中"))</f>
        <v>0</v>
      </c>
      <c r="AL120" s="61" t="str" cm="1">
        <f t="array" aca="1" ref="AL120" ca="1">IFERROR(_xlfn.TEXTJOIN(CHAR(10),TRUE,IF((元データ!$AL$2:$AL$2001=1)*(元データ!$AN$2:$AN$2001=1)*(元データ!$AE$2:$AE$2001=$C$120)*(元データ!$AO$2:$AO$2001=1)*(元データ!$AM$2:$AM$2001&gt;=8)*(元データ!$AM$2:$AM$2001&lt;=14)*(元データ!$E$2:$E$2001="32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20" s="61">
        <f ca="1">SUMPRODUCT((元データ!$AL$2:$AL$2001=1)*(元データ!$AN$2:$AN$2001=1)*(元データ!$AE$2:$AE$2001=$C$120)*(元データ!$AO$2:$AO$2001=1)*(元データ!$AM$2:$AM$2001&gt;=8)*(元データ!$AM$2:$AM$2001&lt;=14)*(元データ!$E$2:$E$2001="40 差戻し"))</f>
        <v>0</v>
      </c>
      <c r="AN120" s="61" t="str" cm="1">
        <f t="array" aca="1" ref="AN120" ca="1">IFERROR(_xlfn.TEXTJOIN(CHAR(10),TRUE,IF((元データ!$AL$2:$AL$2001=1)*(元データ!$AN$2:$AN$2001=1)*(元データ!$AE$2:$AE$2001=$C$120)*(元データ!$AO$2:$AO$2001=1)*(元データ!$AM$2:$AM$2001&gt;=8)*(元データ!$AM$2:$AM$2001&lt;=14)*(元データ!$E$2:$E$2001="40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20" s="44">
        <f ca="1">SUMPRODUCT((元データ!$AL$2:$AL$2001=1)*(元データ!$AN$2:$AN$2001=1)*(元データ!$AE$2:$AE$2001=$C$120)*(元データ!$AO$2:$AO$2001=1)*(元データ!$AM$2:$AM$2001&gt;=15)*(元データ!$AM$2:$AM$2001&lt;=21))</f>
        <v>0</v>
      </c>
      <c r="AP120" s="44">
        <f ca="1">SUMPRODUCT((元データ!$AL$2:$AL$2001=1)*(元データ!$AN$2:$AN$2001=1)*(元データ!$AE$2:$AE$2001=$C$120)*(元データ!$AO$2:$AO$2001=1)*(元データ!$AM$2:$AM$2001&gt;=15)*(元データ!$AM$2:$AM$2001&lt;=21)*(元データ!$E$2:$E$2001="20 確認待ち"))</f>
        <v>0</v>
      </c>
      <c r="AQ120" s="58" t="str" cm="1">
        <f t="array" aca="1" ref="AQ120" ca="1">IFERROR(_xlfn.TEXTJOIN(CHAR(10),TRUE,IF((元データ!$AL$2:$AL$2001=1)*(元データ!$AN$2:$AN$2001=1)*(元データ!$AE$2:$AE$2001=$C$120)*(元データ!$AO$2:$AO$2001=1)*(元データ!$AM$2:$AM$2001&gt;=15)*(元データ!$AM$2:$AM$2001&lt;=21)*(元データ!$E$2:$E$2001="20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20" s="58"/>
      <c r="AS120" s="58"/>
      <c r="AT120" s="44">
        <f ca="1">SUMPRODUCT((元データ!$AL$2:$AL$2001=1)*(元データ!$AN$2:$AN$2001=1)*(元データ!$AE$2:$AE$2001=$C$120)*(元データ!$AO$2:$AO$2001=1)*(元データ!$AM$2:$AM$2001&gt;=15)*(元データ!$AM$2:$AM$2001&lt;=21)*(元データ!$E$2:$E$2001="30 申請受付"))</f>
        <v>0</v>
      </c>
      <c r="AU120" s="58" t="str" cm="1">
        <f t="array" aca="1" ref="AU120" ca="1">IFERROR(_xlfn.TEXTJOIN(CHAR(10),TRUE,IF((元データ!$AL$2:$AL$2001=1)*(元データ!$AN$2:$AN$2001=1)*(元データ!$AE$2:$AE$2001=$C$120)*(元データ!$AO$2:$AO$2001=1)*(元データ!$AM$2:$AM$2001&gt;=15)*(元データ!$AM$2:$AM$2001&lt;=21)*(元データ!$E$2:$E$2001="30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20" s="58"/>
      <c r="AW120" s="58"/>
      <c r="AX120" s="44">
        <f ca="1">SUMPRODUCT((元データ!$AL$2:$AL$2001=1)*(元データ!$AN$2:$AN$2001=1)*(元データ!$AE$2:$AE$2001=$C$120)*(元データ!$AO$2:$AO$2001=1)*(元データ!$AM$2:$AM$2001&gt;=15)*(元データ!$AM$2:$AM$2001&lt;=21)*(元データ!$E$2:$E$2001="31 ＯＰ確認中"))</f>
        <v>0</v>
      </c>
      <c r="AY120" s="58" t="str" cm="1">
        <f t="array" aca="1" ref="AY120" ca="1">IFERROR(_xlfn.TEXTJOIN(CHAR(10),TRUE,IF((元データ!$AL$2:$AL$2001=1)*(元データ!$AN$2:$AN$2001=1)*(元データ!$AE$2:$AE$2001=$C$120)*(元データ!$AO$2:$AO$2001=1)*(元データ!$AM$2:$AM$2001&gt;=15)*(元データ!$AM$2:$AM$2001&lt;=21)*(元データ!$E$2:$E$2001="31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20" s="58"/>
      <c r="BA120" s="58"/>
      <c r="BB120" s="44">
        <f ca="1">SUMPRODUCT((元データ!$AL$2:$AL$2001=1)*(元データ!$AN$2:$AN$2001=1)*(元データ!$AE$2:$AE$2001=$C$120)*(元データ!$AO$2:$AO$2001=1)*(元データ!$AM$2:$AM$2001&gt;=15)*(元データ!$AM$2:$AM$2001&lt;=21)*(元データ!$E$2:$E$2001="32 ＳＶ確認中"))</f>
        <v>0</v>
      </c>
      <c r="BC120" s="58" t="str" cm="1">
        <f t="array" aca="1" ref="BC120" ca="1">IFERROR(_xlfn.TEXTJOIN(CHAR(10),TRUE,IF((元データ!$AL$2:$AL$2001=1)*(元データ!$AN$2:$AN$2001=1)*(元データ!$AE$2:$AE$2001=$C$120)*(元データ!$AO$2:$AO$2001=1)*(元データ!$AM$2:$AM$2001&gt;=15)*(元データ!$AM$2:$AM$2001&lt;=21)*(元データ!$E$2:$E$2001="32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20" s="58">
        <f ca="1">SUMPRODUCT((元データ!$AL$2:$AL$2001=1)*(元データ!$AN$2:$AN$2001=1)*(元データ!$AE$2:$AE$2001=$C$120)*(元データ!$AO$2:$AO$2001=1)*(元データ!$AM$2:$AM$2001&gt;=15)*(元データ!$AM$2:$AM$2001&lt;=21)*(元データ!$E$2:$E$2001="40 差戻し"))</f>
        <v>0</v>
      </c>
      <c r="BE120" s="58" t="str" cm="1">
        <f t="array" aca="1" ref="BE120" ca="1">IFERROR(_xlfn.TEXTJOIN(CHAR(10),TRUE,IF((元データ!$AL$2:$AL$2001=1)*(元データ!$AN$2:$AN$2001=1)*(元データ!$AE$2:$AE$2001=$C$120)*(元データ!$AO$2:$AO$2001=1)*(元データ!$AM$2:$AM$2001&gt;=15)*(元データ!$AM$2:$AM$2001&lt;=21)*(元データ!$E$2:$E$2001="40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20" s="45">
        <f ca="1">SUMPRODUCT((元データ!$AL$2:$AL$2001=1)*(元データ!$AN$2:$AN$2001=1)*(元データ!$AE$2:$AE$2001=$C$120)*(元データ!$AO$2:$AO$2001=1)*(元データ!$AM$2:$AM$2001&gt;=22)*(元データ!$AM$2:$AM$2001&lt;=30))</f>
        <v>2</v>
      </c>
      <c r="BG120" s="45">
        <f ca="1">SUMPRODUCT((元データ!$AL$2:$AL$2001=1)*(元データ!$AN$2:$AN$2001=1)*(元データ!$AE$2:$AE$2001=$C$120)*(元データ!$AO$2:$AO$2001=1)*(元データ!$AM$2:$AM$2001&gt;=22)*(元データ!$AM$2:$AM$2001&lt;=30)*(元データ!$E$2:$E$2001="20 確認待ち"))</f>
        <v>1</v>
      </c>
      <c r="BH120" s="60" t="str" cm="1">
        <f t="array" aca="1" ref="BH120" ca="1">IFERROR(_xlfn.TEXTJOIN(CHAR(10),TRUE,IF((元データ!$AL$2:$AL$2001=1)*(元データ!$AN$2:$AN$2001=1)*(元データ!$AE$2:$AE$2001=$C$120)*(元データ!$AO$2:$AO$2001=1)*(元データ!$AM$2:$AM$2001&gt;=22)*(元データ!$AM$2:$AM$2001&lt;=30)*(元データ!$E$2:$E$2001="20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>202660001341（添待ち)</v>
      </c>
      <c r="BI120" s="60"/>
      <c r="BJ120" s="60"/>
      <c r="BK120" s="45">
        <f ca="1">SUMPRODUCT((元データ!$AL$2:$AL$2001=1)*(元データ!$AN$2:$AN$2001=1)*(元データ!$AE$2:$AE$2001=$C$120)*(元データ!$AO$2:$AO$2001=1)*(元データ!$AM$2:$AM$2001&gt;=22)*(元データ!$AM$2:$AM$2001&lt;=30)*(元データ!$E$2:$E$2001="30 申請受付"))</f>
        <v>0</v>
      </c>
      <c r="BL120" s="59" t="str" cm="1">
        <f t="array" aca="1" ref="BL120" ca="1">IFERROR(_xlfn.TEXTJOIN(CHAR(10),TRUE,IF((元データ!$AL$2:$AL$2001=1)*(元データ!$AN$2:$AN$2001=1)*(元データ!$AE$2:$AE$2001=$C$120)*(元データ!$AO$2:$AO$2001=1)*(元データ!$AM$2:$AM$2001&gt;=22)*(元データ!$AM$2:$AM$2001&lt;=30)*(元データ!$E$2:$E$2001="30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20" s="59"/>
      <c r="BN120" s="59"/>
      <c r="BO120" s="45">
        <f ca="1">SUMPRODUCT((元データ!$AL$2:$AL$2001=1)*(元データ!$AN$2:$AN$2001=1)*(元データ!$AE$2:$AE$2001=$C$120)*(元データ!$AO$2:$AO$2001=1)*(元データ!$AM$2:$AM$2001&gt;=22)*(元データ!$AM$2:$AM$2001&lt;=30)*(元データ!$E$2:$E$2001="31 ＯＰ確認中"))</f>
        <v>1</v>
      </c>
      <c r="BP120" s="59" t="str" cm="1">
        <f t="array" aca="1" ref="BP120" ca="1">IFERROR(_xlfn.TEXTJOIN(CHAR(10),TRUE,IF((元データ!$AL$2:$AL$2001=1)*(元データ!$AN$2:$AN$2001=1)*(元データ!$AE$2:$AE$2001=$C$120)*(元データ!$AO$2:$AO$2001=1)*(元データ!$AM$2:$AM$2001&gt;=22)*(元データ!$AM$2:$AM$2001&lt;=30)*(元データ!$E$2:$E$2001="31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>202660001320</v>
      </c>
      <c r="BQ120" s="59"/>
      <c r="BR120" s="59"/>
      <c r="BS120" s="45">
        <f ca="1">SUMPRODUCT((元データ!$AL$2:$AL$2001=1)*(元データ!$AN$2:$AN$2001=1)*(元データ!$AE$2:$AE$2001=$C$120)*(元データ!$AO$2:$AO$2001=1)*(元データ!$AM$2:$AM$2001&gt;=22)*(元データ!$AM$2:$AM$2001&lt;=30)*(元データ!$E$2:$E$2001="32 ＳＶ確認中"))</f>
        <v>0</v>
      </c>
      <c r="BT120" s="59" t="str" cm="1">
        <f t="array" aca="1" ref="BT120" ca="1">IFERROR(_xlfn.TEXTJOIN(CHAR(10),TRUE,IF((元データ!$AL$2:$AL$2001=1)*(元データ!$AN$2:$AN$2001=1)*(元データ!$AE$2:$AE$2001=$C$120)*(元データ!$AO$2:$AO$2001=1)*(元データ!$AM$2:$AM$2001&gt;=22)*(元データ!$AM$2:$AM$2001&lt;=30)*(元データ!$E$2:$E$2001="32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20" s="59">
        <f ca="1">SUMPRODUCT((元データ!$AL$2:$AL$2001=1)*(元データ!$AN$2:$AN$2001=1)*(元データ!$AE$2:$AE$2001=$C$120)*(元データ!$AO$2:$AO$2001=1)*(元データ!$AM$2:$AM$2001&gt;=22)*(元データ!$AM$2:$AM$2001&lt;=30)*(元データ!$E$2:$E$2001="40 差戻し"))</f>
        <v>0</v>
      </c>
      <c r="BV120" s="59" t="str" cm="1">
        <f t="array" aca="1" ref="BV120" ca="1">IFERROR(_xlfn.TEXTJOIN(CHAR(10),TRUE,IF((元データ!$AL$2:$AL$2001=1)*(元データ!$AN$2:$AN$2001=1)*(元データ!$AE$2:$AE$2001=$C$120)*(元データ!$AO$2:$AO$2001=1)*(元データ!$AM$2:$AM$2001&gt;=22)*(元データ!$AM$2:$AM$2001&lt;=30)*(元データ!$E$2:$E$2001="40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20" s="46">
        <f ca="1">SUMPRODUCT((元データ!$AL$2:$AL$2001=1)*(元データ!$AN$2:$AN$2001=1)*(元データ!$AE$2:$AE$2001=$C$120)*(元データ!$AO$2:$AO$2001=1)*(元データ!$AM$2:$AM$2001&gt;=31))</f>
        <v>8</v>
      </c>
      <c r="BX120" s="46">
        <f ca="1">SUMPRODUCT((元データ!$AL$2:$AL$2001=1)*(元データ!$AN$2:$AN$2001=1)*(元データ!$AE$2:$AE$2001=$C$120)*(元データ!$AO$2:$AO$2001=1)*(元データ!$AM$2:$AM$2001&gt;=31)*(元データ!$E$2:$E$2001="20 確認待ち"))</f>
        <v>0</v>
      </c>
      <c r="BY120" s="56" t="str" cm="1">
        <f t="array" aca="1" ref="BY120" ca="1">IFERROR(_xlfn.TEXTJOIN(CHAR(10),TRUE,IF((元データ!$AL$2:$AL$2001=1)*(元データ!$AN$2:$AN$2001=1)*(元データ!$AE$2:$AE$2001=$C$120)*(元データ!$AO$2:$AO$2001=1)*(元データ!$AM$2:$AM$2001&gt;=31)*(元データ!$E$2:$E$2001="20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20" s="56"/>
      <c r="CA120" s="56"/>
      <c r="CB120" s="46">
        <f ca="1">SUMPRODUCT((元データ!$AL$2:$AL$2001=1)*(元データ!$AN$2:$AN$2001=1)*(元データ!$AE$2:$AE$2001=$C$120)*(元データ!$AO$2:$AO$2001=1)*(元データ!$AM$2:$AM$2001&gt;=31)*(元データ!$E$2:$E$2001="30 申請受付"))</f>
        <v>0</v>
      </c>
      <c r="CC120" s="56" t="str" cm="1">
        <f t="array" aca="1" ref="CC120" ca="1">IFERROR(_xlfn.TEXTJOIN(CHAR(10),TRUE,IF((元データ!$AL$2:$AL$2001=1)*(元データ!$AN$2:$AN$2001=1)*(元データ!$AE$2:$AE$2001=$C$120)*(元データ!$AO$2:$AO$2001=1)*(元データ!$AM$2:$AM$2001&gt;=31)*(元データ!$E$2:$E$2001="30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20" s="56"/>
      <c r="CE120" s="56"/>
      <c r="CF120" s="46">
        <f ca="1">SUMPRODUCT((元データ!$AL$2:$AL$2001=1)*(元データ!$AN$2:$AN$2001=1)*(元データ!$AE$2:$AE$2001=$C$120)*(元データ!$AO$2:$AO$2001=1)*(元データ!$AM$2:$AM$2001&gt;=31)*(元データ!$E$2:$E$2001="31 ＯＰ確認中"))</f>
        <v>2</v>
      </c>
      <c r="CG120" s="56" t="str" cm="1">
        <f t="array" aca="1" ref="CG120" ca="1">IFERROR(_xlfn.TEXTJOIN(CHAR(10),TRUE,IF((元データ!$AL$2:$AL$2001=1)*(元データ!$AN$2:$AN$2001=1)*(元データ!$AE$2:$AE$2001=$C$120)*(元データ!$AO$2:$AO$2001=1)*(元データ!$AM$2:$AM$2001&gt;=31)*(元データ!$E$2:$E$2001="31 ＯＰ確認中"),元データ!$A$2:$A$2001&amp;IF(元データ!$AP$2:$AP$2001&lt;&gt;"","（"&amp;MID(元データ!$AP$2:$AP$2001,2,100)&amp;")",""),"")),"")</f>
        <v>202460003120（SV)
202560000309（SV)</v>
      </c>
      <c r="CH120" s="56"/>
      <c r="CI120" s="56"/>
      <c r="CJ120" s="46">
        <f ca="1">SUMPRODUCT((元データ!$AL$2:$AL$2001=1)*(元データ!$AN$2:$AN$2001=1)*(元データ!$AE$2:$AE$2001=$C$120)*(元データ!$AO$2:$AO$2001=1)*(元データ!$AM$2:$AM$2001&gt;=31)*(元データ!$E$2:$E$2001="32 ＳＶ確認中"))</f>
        <v>2</v>
      </c>
      <c r="CK120" s="56" t="str" cm="1">
        <f t="array" aca="1" ref="CK120" ca="1">IFERROR(_xlfn.TEXTJOIN(CHAR(10),TRUE,IF((元データ!$AL$2:$AL$2001=1)*(元データ!$AN$2:$AN$2001=1)*(元データ!$AE$2:$AE$2001=$C$120)*(元データ!$AO$2:$AO$2001=1)*(元データ!$AM$2:$AM$2001&gt;=31)*(元データ!$E$2:$E$2001="32 ＳＶ確認中"),元データ!$A$2:$A$2001&amp;IF(元データ!$AP$2:$AP$2001&lt;&gt;"","（"&amp;MID(元データ!$AP$2:$AP$2001,2,100)&amp;")",""),"")),"")</f>
        <v>202660000643（SV)
202660001125（削除)</v>
      </c>
      <c r="CL120" s="56">
        <f ca="1">SUMPRODUCT((元データ!$AL$2:$AL$2001=1)*(元データ!$AN$2:$AN$2001=1)*(元データ!$AE$2:$AE$2001=$C$120)*(元データ!$AO$2:$AO$2001=1)*(元データ!$AM$2:$AM$2001&gt;=31)*(元データ!$E$2:$E$2001="40 差戻し"))</f>
        <v>4</v>
      </c>
      <c r="CM120" s="56" t="str" cm="1">
        <f t="array" aca="1" ref="CM120" ca="1">IFERROR(_xlfn.TEXTJOIN(CHAR(10),TRUE,IF((元データ!$AL$2:$AL$2001=1)*(元データ!$AN$2:$AN$2001=1)*(元データ!$AE$2:$AE$2001=$C$120)*(元データ!$AO$2:$AO$2001=1)*(元データ!$AM$2:$AM$2001&gt;=31)*(元データ!$E$2:$E$2001="40 差戻し"),元データ!$A$2:$A$2001&amp;IF(元データ!$AP$2:$AP$2001&lt;&gt;"","（"&amp;MID(元データ!$AP$2:$AP$2001,2,100)&amp;")",""),"")),"")</f>
        <v>202060002824（削除)
202660000574（添待ち)
202660001066（添待ち・SV)
202660001086（削除)</v>
      </c>
    </row>
    <row r="121" spans="2:93" ht="24.95" customHeight="1">
      <c r="B121" s="92"/>
      <c r="C121" s="63"/>
      <c r="D121" s="63"/>
      <c r="E121" s="47" t="s">
        <v>134</v>
      </c>
      <c r="F121" s="48">
        <f>SUMPRODUCT((元データ!$AL$2:$AL$2001=1)*(元データ!$AN$2:$AN$2001=1)*(元データ!$AE$2:$AE$2001=$C$120)*(元データ!$AO$2:$AO$2001=0))</f>
        <v>2</v>
      </c>
      <c r="G121" s="49">
        <f ca="1">SUMPRODUCT((元データ!$AL$2:$AL$2001=1)*(元データ!$AN$2:$AN$2001=1)*(元データ!$AE$2:$AE$2001=$C$120)*(元データ!$AO$2:$AO$2001=0)*(元データ!$AM$2:$AM$2001&lt;=7))</f>
        <v>0</v>
      </c>
      <c r="H121" s="49">
        <f ca="1">SUMPRODUCT((元データ!$AL$2:$AL$2001=1)*(元データ!$AN$2:$AN$2001=1)*(元データ!$AE$2:$AE$2001=$C$120)*(元データ!$AO$2:$AO$2001=0)*(元データ!$AM$2:$AM$2001&lt;=7)*(元データ!$E$2:$E$2001="20 確認待ち"))</f>
        <v>0</v>
      </c>
      <c r="I121" s="57" t="str" cm="1">
        <f t="array" aca="1" ref="I121" ca="1">IFERROR(_xlfn.TEXTJOIN(CHAR(10),TRUE,IF((元データ!$AL$2:$AL$2001=1)*(元データ!$AN$2:$AN$2001=1)*(元データ!$AE$2:$AE$2001=$C$120)*(元データ!$AO$2:$AO$2001=0)*(元データ!$AM$2:$AM$2001&lt;=7)*(元データ!$E$2:$E$2001="20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21" s="57"/>
      <c r="K121" s="57"/>
      <c r="L121" s="49">
        <f ca="1">SUMPRODUCT((元データ!$AL$2:$AL$2001=1)*(元データ!$AN$2:$AN$2001=1)*(元データ!$AE$2:$AE$2001=$C$120)*(元データ!$AO$2:$AO$2001=0)*(元データ!$AM$2:$AM$2001&lt;=7)*(元データ!$E$2:$E$2001="30 申請受付"))</f>
        <v>0</v>
      </c>
      <c r="M121" s="57" t="str" cm="1">
        <f t="array" aca="1" ref="M121" ca="1">IFERROR(_xlfn.TEXTJOIN(CHAR(10),TRUE,IF((元データ!$AL$2:$AL$2001=1)*(元データ!$AN$2:$AN$2001=1)*(元データ!$AE$2:$AE$2001=$C$120)*(元データ!$AO$2:$AO$2001=0)*(元データ!$AM$2:$AM$2001&lt;=7)*(元データ!$E$2:$E$2001="30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21" s="57"/>
      <c r="O121" s="57"/>
      <c r="P121" s="49">
        <f ca="1">SUMPRODUCT((元データ!$AL$2:$AL$2001=1)*(元データ!$AN$2:$AN$2001=1)*(元データ!$AE$2:$AE$2001=$C$120)*(元データ!$AO$2:$AO$2001=0)*(元データ!$AM$2:$AM$2001&lt;=7)*(元データ!$E$2:$E$2001="31 ＯＰ確認中"))</f>
        <v>0</v>
      </c>
      <c r="Q121" s="57" t="str" cm="1">
        <f t="array" aca="1" ref="Q121" ca="1">IFERROR(_xlfn.TEXTJOIN(CHAR(10),TRUE,IF((元データ!$AL$2:$AL$2001=1)*(元データ!$AN$2:$AN$2001=1)*(元データ!$AE$2:$AE$2001=$C$120)*(元データ!$AO$2:$AO$2001=0)*(元データ!$AM$2:$AM$2001&lt;=7)*(元データ!$E$2:$E$2001="31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21" s="57"/>
      <c r="S121" s="57"/>
      <c r="T121" s="49">
        <f ca="1">SUMPRODUCT((元データ!$AL$2:$AL$2001=1)*(元データ!$AN$2:$AN$2001=1)*(元データ!$AE$2:$AE$2001=$C$120)*(元データ!$AO$2:$AO$2001=0)*(元データ!$AM$2:$AM$2001&lt;=7)*(元データ!$E$2:$E$2001="32 ＳＶ確認中"))</f>
        <v>0</v>
      </c>
      <c r="U121" s="57" t="str" cm="1">
        <f t="array" aca="1" ref="U121" ca="1">IFERROR(_xlfn.TEXTJOIN(CHAR(10),TRUE,IF((元データ!$AL$2:$AL$2001=1)*(元データ!$AN$2:$AN$2001=1)*(元データ!$AE$2:$AE$2001=$C$120)*(元データ!$AO$2:$AO$2001=0)*(元データ!$AM$2:$AM$2001&lt;=7)*(元データ!$E$2:$E$2001="32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21" s="57"/>
      <c r="W121" s="57"/>
      <c r="X121" s="49">
        <f ca="1">SUMPRODUCT((元データ!$AL$2:$AL$2001=1)*(元データ!$AN$2:$AN$2001=1)*(元データ!$AE$2:$AE$2001=$C$120)*(元データ!$AO$2:$AO$2001=0)*(元データ!$AM$2:$AM$2001&gt;=8)*(元データ!$AM$2:$AM$2001&lt;=14))</f>
        <v>0</v>
      </c>
      <c r="Y121" s="49">
        <f ca="1">SUMPRODUCT((元データ!$AL$2:$AL$2001=1)*(元データ!$AN$2:$AN$2001=1)*(元データ!$AE$2:$AE$2001=$C$120)*(元データ!$AO$2:$AO$2001=0)*(元データ!$AM$2:$AM$2001&gt;=8)*(元データ!$AM$2:$AM$2001&lt;=14)*(元データ!$E$2:$E$2001="20 確認待ち"))</f>
        <v>0</v>
      </c>
      <c r="Z121" s="57" t="str" cm="1">
        <f t="array" aca="1" ref="Z121" ca="1">IFERROR(_xlfn.TEXTJOIN(CHAR(10),TRUE,IF((元データ!$AL$2:$AL$2001=1)*(元データ!$AN$2:$AN$2001=1)*(元データ!$AE$2:$AE$2001=$C$120)*(元データ!$AO$2:$AO$2001=0)*(元データ!$AM$2:$AM$2001&gt;=8)*(元データ!$AM$2:$AM$2001&lt;=14)*(元データ!$E$2:$E$2001="20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21" s="57"/>
      <c r="AB121" s="57"/>
      <c r="AC121" s="49">
        <f ca="1">SUMPRODUCT((元データ!$AL$2:$AL$2001=1)*(元データ!$AN$2:$AN$2001=1)*(元データ!$AE$2:$AE$2001=$C$120)*(元データ!$AO$2:$AO$2001=0)*(元データ!$AM$2:$AM$2001&gt;=8)*(元データ!$AM$2:$AM$2001&lt;=14)*(元データ!$E$2:$E$2001="30 申請受付"))</f>
        <v>0</v>
      </c>
      <c r="AD121" s="57" t="str" cm="1">
        <f t="array" aca="1" ref="AD121" ca="1">IFERROR(_xlfn.TEXTJOIN(CHAR(10),TRUE,IF((元データ!$AL$2:$AL$2001=1)*(元データ!$AN$2:$AN$2001=1)*(元データ!$AE$2:$AE$2001=$C$120)*(元データ!$AO$2:$AO$2001=0)*(元データ!$AM$2:$AM$2001&gt;=8)*(元データ!$AM$2:$AM$2001&lt;=14)*(元データ!$E$2:$E$2001="30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21" s="57"/>
      <c r="AF121" s="57"/>
      <c r="AG121" s="49">
        <f ca="1">SUMPRODUCT((元データ!$AL$2:$AL$2001=1)*(元データ!$AN$2:$AN$2001=1)*(元データ!$AE$2:$AE$2001=$C$120)*(元データ!$AO$2:$AO$2001=0)*(元データ!$AM$2:$AM$2001&gt;=8)*(元データ!$AM$2:$AM$2001&lt;=14)*(元データ!$E$2:$E$2001="31 ＯＰ確認中"))</f>
        <v>0</v>
      </c>
      <c r="AH121" s="57" t="str" cm="1">
        <f t="array" aca="1" ref="AH121" ca="1">IFERROR(_xlfn.TEXTJOIN(CHAR(10),TRUE,IF((元データ!$AL$2:$AL$2001=1)*(元データ!$AN$2:$AN$2001=1)*(元データ!$AE$2:$AE$2001=$C$120)*(元データ!$AO$2:$AO$2001=0)*(元データ!$AM$2:$AM$2001&gt;=8)*(元データ!$AM$2:$AM$2001&lt;=14)*(元データ!$E$2:$E$2001="31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21" s="57"/>
      <c r="AJ121" s="57"/>
      <c r="AK121" s="49">
        <f ca="1">SUMPRODUCT((元データ!$AL$2:$AL$2001=1)*(元データ!$AN$2:$AN$2001=1)*(元データ!$AE$2:$AE$2001=$C$120)*(元データ!$AO$2:$AO$2001=0)*(元データ!$AM$2:$AM$2001&gt;=8)*(元データ!$AM$2:$AM$2001&lt;=14)*(元データ!$E$2:$E$2001="32 ＳＶ確認中"))</f>
        <v>0</v>
      </c>
      <c r="AL121" s="57" t="str" cm="1">
        <f t="array" aca="1" ref="AL121" ca="1">IFERROR(_xlfn.TEXTJOIN(CHAR(10),TRUE,IF((元データ!$AL$2:$AL$2001=1)*(元データ!$AN$2:$AN$2001=1)*(元データ!$AE$2:$AE$2001=$C$120)*(元データ!$AO$2:$AO$2001=0)*(元データ!$AM$2:$AM$2001&gt;=8)*(元データ!$AM$2:$AM$2001&lt;=14)*(元データ!$E$2:$E$2001="32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21" s="57">
        <f ca="1">SUMPRODUCT((元データ!$AL$2:$AL$2001=1)*(元データ!$AN$2:$AN$2001=1)*(元データ!$AE$2:$AE$2001=$C$120)*(元データ!$AO$2:$AO$2001=0)*(元データ!$AM$2:$AM$2001&gt;=8)*(元データ!$AM$2:$AM$2001&lt;=14)*(元データ!$E$2:$E$2001="40 差戻し"))</f>
        <v>0</v>
      </c>
      <c r="AN121" s="57" t="str" cm="1">
        <f t="array" aca="1" ref="AN121" ca="1">IFERROR(_xlfn.TEXTJOIN(CHAR(10),TRUE,IF((元データ!$AL$2:$AL$2001=1)*(元データ!$AN$2:$AN$2001=1)*(元データ!$AE$2:$AE$2001=$C$120)*(元データ!$AO$2:$AO$2001=0)*(元データ!$AM$2:$AM$2001&gt;=8)*(元データ!$AM$2:$AM$2001&lt;=14)*(元データ!$E$2:$E$2001="40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21" s="44">
        <f ca="1">SUMPRODUCT((元データ!$AL$2:$AL$2001=1)*(元データ!$AN$2:$AN$2001=1)*(元データ!$AE$2:$AE$2001=$C$120)*(元データ!$AO$2:$AO$2001=0)*(元データ!$AM$2:$AM$2001&gt;=15)*(元データ!$AM$2:$AM$2001&lt;=21))</f>
        <v>0</v>
      </c>
      <c r="AP121" s="44">
        <f ca="1">SUMPRODUCT((元データ!$AL$2:$AL$2001=1)*(元データ!$AN$2:$AN$2001=1)*(元データ!$AE$2:$AE$2001=$C$120)*(元データ!$AO$2:$AO$2001=0)*(元データ!$AM$2:$AM$2001&gt;=15)*(元データ!$AM$2:$AM$2001&lt;=21)*(元データ!$E$2:$E$2001="20 確認待ち"))</f>
        <v>0</v>
      </c>
      <c r="AQ121" s="58" t="str" cm="1">
        <f t="array" aca="1" ref="AQ121" ca="1">IFERROR(_xlfn.TEXTJOIN(CHAR(10),TRUE,IF((元データ!$AL$2:$AL$2001=1)*(元データ!$AN$2:$AN$2001=1)*(元データ!$AE$2:$AE$2001=$C$120)*(元データ!$AO$2:$AO$2001=0)*(元データ!$AM$2:$AM$2001&gt;=15)*(元データ!$AM$2:$AM$2001&lt;=21)*(元データ!$E$2:$E$2001="20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21" s="58"/>
      <c r="AS121" s="58"/>
      <c r="AT121" s="44">
        <f ca="1">SUMPRODUCT((元データ!$AL$2:$AL$2001=1)*(元データ!$AN$2:$AN$2001=1)*(元データ!$AE$2:$AE$2001=$C$120)*(元データ!$AO$2:$AO$2001=0)*(元データ!$AM$2:$AM$2001&gt;=15)*(元データ!$AM$2:$AM$2001&lt;=21)*(元データ!$E$2:$E$2001="30 申請受付"))</f>
        <v>0</v>
      </c>
      <c r="AU121" s="58" t="str" cm="1">
        <f t="array" aca="1" ref="AU121" ca="1">IFERROR(_xlfn.TEXTJOIN(CHAR(10),TRUE,IF((元データ!$AL$2:$AL$2001=1)*(元データ!$AN$2:$AN$2001=1)*(元データ!$AE$2:$AE$2001=$C$120)*(元データ!$AO$2:$AO$2001=0)*(元データ!$AM$2:$AM$2001&gt;=15)*(元データ!$AM$2:$AM$2001&lt;=21)*(元データ!$E$2:$E$2001="30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21" s="58"/>
      <c r="AW121" s="58"/>
      <c r="AX121" s="44">
        <f ca="1">SUMPRODUCT((元データ!$AL$2:$AL$2001=1)*(元データ!$AN$2:$AN$2001=1)*(元データ!$AE$2:$AE$2001=$C$120)*(元データ!$AO$2:$AO$2001=0)*(元データ!$AM$2:$AM$2001&gt;=15)*(元データ!$AM$2:$AM$2001&lt;=21)*(元データ!$E$2:$E$2001="31 ＯＰ確認中"))</f>
        <v>0</v>
      </c>
      <c r="AY121" s="58" t="str" cm="1">
        <f t="array" aca="1" ref="AY121" ca="1">IFERROR(_xlfn.TEXTJOIN(CHAR(10),TRUE,IF((元データ!$AL$2:$AL$2001=1)*(元データ!$AN$2:$AN$2001=1)*(元データ!$AE$2:$AE$2001=$C$120)*(元データ!$AO$2:$AO$2001=0)*(元データ!$AM$2:$AM$2001&gt;=15)*(元データ!$AM$2:$AM$2001&lt;=21)*(元データ!$E$2:$E$2001="31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21" s="58"/>
      <c r="BA121" s="58"/>
      <c r="BB121" s="44">
        <f ca="1">SUMPRODUCT((元データ!$AL$2:$AL$2001=1)*(元データ!$AN$2:$AN$2001=1)*(元データ!$AE$2:$AE$2001=$C$120)*(元データ!$AO$2:$AO$2001=0)*(元データ!$AM$2:$AM$2001&gt;=15)*(元データ!$AM$2:$AM$2001&lt;=21)*(元データ!$E$2:$E$2001="32 ＳＶ確認中"))</f>
        <v>0</v>
      </c>
      <c r="BC121" s="58" t="str" cm="1">
        <f t="array" aca="1" ref="BC121" ca="1">IFERROR(_xlfn.TEXTJOIN(CHAR(10),TRUE,IF((元データ!$AL$2:$AL$2001=1)*(元データ!$AN$2:$AN$2001=1)*(元データ!$AE$2:$AE$2001=$C$120)*(元データ!$AO$2:$AO$2001=0)*(元データ!$AM$2:$AM$2001&gt;=15)*(元データ!$AM$2:$AM$2001&lt;=21)*(元データ!$E$2:$E$2001="32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21" s="58">
        <f ca="1">SUMPRODUCT((元データ!$AL$2:$AL$2001=1)*(元データ!$AN$2:$AN$2001=1)*(元データ!$AE$2:$AE$2001=$C$120)*(元データ!$AO$2:$AO$2001=0)*(元データ!$AM$2:$AM$2001&gt;=15)*(元データ!$AM$2:$AM$2001&lt;=21)*(元データ!$E$2:$E$2001="40 差戻し"))</f>
        <v>0</v>
      </c>
      <c r="BE121" s="58" t="str" cm="1">
        <f t="array" aca="1" ref="BE121" ca="1">IFERROR(_xlfn.TEXTJOIN(CHAR(10),TRUE,IF((元データ!$AL$2:$AL$2001=1)*(元データ!$AN$2:$AN$2001=1)*(元データ!$AE$2:$AE$2001=$C$120)*(元データ!$AO$2:$AO$2001=0)*(元データ!$AM$2:$AM$2001&gt;=15)*(元データ!$AM$2:$AM$2001&lt;=21)*(元データ!$E$2:$E$2001="40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21" s="45">
        <f ca="1">SUMPRODUCT((元データ!$AL$2:$AL$2001=1)*(元データ!$AN$2:$AN$2001=1)*(元データ!$AE$2:$AE$2001=$C$120)*(元データ!$AO$2:$AO$2001=0)*(元データ!$AM$2:$AM$2001&gt;=22)*(元データ!$AM$2:$AM$2001&lt;=30))</f>
        <v>0</v>
      </c>
      <c r="BG121" s="45">
        <f ca="1">SUMPRODUCT((元データ!$AL$2:$AL$2001=1)*(元データ!$AN$2:$AN$2001=1)*(元データ!$AE$2:$AE$2001=$C$120)*(元データ!$AO$2:$AO$2001=0)*(元データ!$AM$2:$AM$2001&gt;=22)*(元データ!$AM$2:$AM$2001&lt;=30)*(元データ!$E$2:$E$2001="20 確認待ち"))</f>
        <v>0</v>
      </c>
      <c r="BH121" s="59" t="str" cm="1">
        <f t="array" aca="1" ref="BH121" ca="1">IFERROR(_xlfn.TEXTJOIN(CHAR(10),TRUE,IF((元データ!$AL$2:$AL$2001=1)*(元データ!$AN$2:$AN$2001=1)*(元データ!$AE$2:$AE$2001=$C$120)*(元データ!$AO$2:$AO$2001=0)*(元データ!$AM$2:$AM$2001&gt;=22)*(元データ!$AM$2:$AM$2001&lt;=30)*(元データ!$E$2:$E$2001="20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21" s="59"/>
      <c r="BJ121" s="59"/>
      <c r="BK121" s="45">
        <f ca="1">SUMPRODUCT((元データ!$AL$2:$AL$2001=1)*(元データ!$AN$2:$AN$2001=1)*(元データ!$AE$2:$AE$2001=$C$120)*(元データ!$AO$2:$AO$2001=0)*(元データ!$AM$2:$AM$2001&gt;=22)*(元データ!$AM$2:$AM$2001&lt;=30)*(元データ!$E$2:$E$2001="30 申請受付"))</f>
        <v>0</v>
      </c>
      <c r="BL121" s="59" t="str" cm="1">
        <f t="array" aca="1" ref="BL121" ca="1">IFERROR(_xlfn.TEXTJOIN(CHAR(10),TRUE,IF((元データ!$AL$2:$AL$2001=1)*(元データ!$AN$2:$AN$2001=1)*(元データ!$AE$2:$AE$2001=$C$120)*(元データ!$AO$2:$AO$2001=0)*(元データ!$AM$2:$AM$2001&gt;=22)*(元データ!$AM$2:$AM$2001&lt;=30)*(元データ!$E$2:$E$2001="30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21" s="59"/>
      <c r="BN121" s="59"/>
      <c r="BO121" s="45">
        <f ca="1">SUMPRODUCT((元データ!$AL$2:$AL$2001=1)*(元データ!$AN$2:$AN$2001=1)*(元データ!$AE$2:$AE$2001=$C$120)*(元データ!$AO$2:$AO$2001=0)*(元データ!$AM$2:$AM$2001&gt;=22)*(元データ!$AM$2:$AM$2001&lt;=30)*(元データ!$E$2:$E$2001="31 ＯＰ確認中"))</f>
        <v>0</v>
      </c>
      <c r="BP121" s="59" t="str" cm="1">
        <f t="array" aca="1" ref="BP121" ca="1">IFERROR(_xlfn.TEXTJOIN(CHAR(10),TRUE,IF((元データ!$AL$2:$AL$2001=1)*(元データ!$AN$2:$AN$2001=1)*(元データ!$AE$2:$AE$2001=$C$120)*(元データ!$AO$2:$AO$2001=0)*(元データ!$AM$2:$AM$2001&gt;=22)*(元データ!$AM$2:$AM$2001&lt;=30)*(元データ!$E$2:$E$2001="31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21" s="59"/>
      <c r="BR121" s="59"/>
      <c r="BS121" s="45">
        <f ca="1">SUMPRODUCT((元データ!$AL$2:$AL$2001=1)*(元データ!$AN$2:$AN$2001=1)*(元データ!$AE$2:$AE$2001=$C$120)*(元データ!$AO$2:$AO$2001=0)*(元データ!$AM$2:$AM$2001&gt;=22)*(元データ!$AM$2:$AM$2001&lt;=30)*(元データ!$E$2:$E$2001="32 ＳＶ確認中"))</f>
        <v>0</v>
      </c>
      <c r="BT121" s="59" t="str" cm="1">
        <f t="array" aca="1" ref="BT121" ca="1">IFERROR(_xlfn.TEXTJOIN(CHAR(10),TRUE,IF((元データ!$AL$2:$AL$2001=1)*(元データ!$AN$2:$AN$2001=1)*(元データ!$AE$2:$AE$2001=$C$120)*(元データ!$AO$2:$AO$2001=0)*(元データ!$AM$2:$AM$2001&gt;=22)*(元データ!$AM$2:$AM$2001&lt;=30)*(元データ!$E$2:$E$2001="32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21" s="59">
        <f ca="1">SUMPRODUCT((元データ!$AL$2:$AL$2001=1)*(元データ!$AN$2:$AN$2001=1)*(元データ!$AE$2:$AE$2001=$C$120)*(元データ!$AO$2:$AO$2001=0)*(元データ!$AM$2:$AM$2001&gt;=22)*(元データ!$AM$2:$AM$2001&lt;=30)*(元データ!$E$2:$E$2001="40 差戻し"))</f>
        <v>0</v>
      </c>
      <c r="BV121" s="59" t="str" cm="1">
        <f t="array" aca="1" ref="BV121" ca="1">IFERROR(_xlfn.TEXTJOIN(CHAR(10),TRUE,IF((元データ!$AL$2:$AL$2001=1)*(元データ!$AN$2:$AN$2001=1)*(元データ!$AE$2:$AE$2001=$C$120)*(元データ!$AO$2:$AO$2001=0)*(元データ!$AM$2:$AM$2001&gt;=22)*(元データ!$AM$2:$AM$2001&lt;=30)*(元データ!$E$2:$E$2001="40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21" s="46">
        <f ca="1">SUMPRODUCT((元データ!$AL$2:$AL$2001=1)*(元データ!$AN$2:$AN$2001=1)*(元データ!$AE$2:$AE$2001=$C$120)*(元データ!$AO$2:$AO$2001=0)*(元データ!$AM$2:$AM$2001&gt;=31))</f>
        <v>2</v>
      </c>
      <c r="BX121" s="46">
        <f ca="1">SUMPRODUCT((元データ!$AL$2:$AL$2001=1)*(元データ!$AN$2:$AN$2001=1)*(元データ!$AE$2:$AE$2001=$C$120)*(元データ!$AO$2:$AO$2001=0)*(元データ!$AM$2:$AM$2001&gt;=31)*(元データ!$E$2:$E$2001="20 確認待ち"))</f>
        <v>0</v>
      </c>
      <c r="BY121" s="56" t="str" cm="1">
        <f t="array" aca="1" ref="BY121" ca="1">IFERROR(_xlfn.TEXTJOIN(CHAR(10),TRUE,IF((元データ!$AL$2:$AL$2001=1)*(元データ!$AN$2:$AN$2001=1)*(元データ!$AE$2:$AE$2001=$C$120)*(元データ!$AO$2:$AO$2001=0)*(元データ!$AM$2:$AM$2001&gt;=31)*(元データ!$E$2:$E$2001="20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21" s="56"/>
      <c r="CA121" s="56"/>
      <c r="CB121" s="46">
        <f ca="1">SUMPRODUCT((元データ!$AL$2:$AL$2001=1)*(元データ!$AN$2:$AN$2001=1)*(元データ!$AE$2:$AE$2001=$C$120)*(元データ!$AO$2:$AO$2001=0)*(元データ!$AM$2:$AM$2001&gt;=31)*(元データ!$E$2:$E$2001="30 申請受付"))</f>
        <v>1</v>
      </c>
      <c r="CC121" s="56" t="str" cm="1">
        <f t="array" aca="1" ref="CC121" ca="1">IFERROR(_xlfn.TEXTJOIN(CHAR(10),TRUE,IF((元データ!$AL$2:$AL$2001=1)*(元データ!$AN$2:$AN$2001=1)*(元データ!$AE$2:$AE$2001=$C$120)*(元データ!$AO$2:$AO$2001=0)*(元データ!$AM$2:$AM$2001&gt;=31)*(元データ!$E$2:$E$2001="30 申請受付"),元データ!$A$2:$A$2001&amp;IF(元データ!$AP$2:$AP$2001&lt;&gt;"","（"&amp;MID(元データ!$AP$2:$AP$2001,2,100)&amp;")",""),"")),"")</f>
        <v>202660001267</v>
      </c>
      <c r="CD121" s="56"/>
      <c r="CE121" s="56"/>
      <c r="CF121" s="46">
        <f ca="1">SUMPRODUCT((元データ!$AL$2:$AL$2001=1)*(元データ!$AN$2:$AN$2001=1)*(元データ!$AE$2:$AE$2001=$C$120)*(元データ!$AO$2:$AO$2001=0)*(元データ!$AM$2:$AM$2001&gt;=31)*(元データ!$E$2:$E$2001="31 ＯＰ確認中"))</f>
        <v>1</v>
      </c>
      <c r="CG121" s="56" t="str" cm="1">
        <f t="array" aca="1" ref="CG121" ca="1">IFERROR(_xlfn.TEXTJOIN(CHAR(10),TRUE,IF((元データ!$AL$2:$AL$2001=1)*(元データ!$AN$2:$AN$2001=1)*(元データ!$AE$2:$AE$2001=$C$120)*(元データ!$AO$2:$AO$2001=0)*(元データ!$AM$2:$AM$2001&gt;=31)*(元データ!$E$2:$E$2001="31 ＯＰ確認中"),元データ!$A$2:$A$2001&amp;IF(元データ!$AP$2:$AP$2001&lt;&gt;"","（"&amp;MID(元データ!$AP$2:$AP$2001,2,100)&amp;")",""),"")),"")</f>
        <v>202660001265</v>
      </c>
      <c r="CH121" s="56"/>
      <c r="CI121" s="56"/>
      <c r="CJ121" s="46">
        <f ca="1">SUMPRODUCT((元データ!$AL$2:$AL$2001=1)*(元データ!$AN$2:$AN$2001=1)*(元データ!$AE$2:$AE$2001=$C$120)*(元データ!$AO$2:$AO$2001=0)*(元データ!$AM$2:$AM$2001&gt;=31)*(元データ!$E$2:$E$2001="32 ＳＶ確認中"))</f>
        <v>0</v>
      </c>
      <c r="CK121" s="56" t="str" cm="1">
        <f t="array" aca="1" ref="CK121" ca="1">IFERROR(_xlfn.TEXTJOIN(CHAR(10),TRUE,IF((元データ!$AL$2:$AL$2001=1)*(元データ!$AN$2:$AN$2001=1)*(元データ!$AE$2:$AE$2001=$C$120)*(元データ!$AO$2:$AO$2001=0)*(元データ!$AM$2:$AM$2001&gt;=31)*(元データ!$E$2:$E$2001="32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21" s="56">
        <f ca="1">SUMPRODUCT((元データ!$AL$2:$AL$2001=1)*(元データ!$AN$2:$AN$2001=1)*(元データ!$AE$2:$AE$2001=$C$120)*(元データ!$AO$2:$AO$2001=0)*(元データ!$AM$2:$AM$2001&gt;=31)*(元データ!$E$2:$E$2001="40 差戻し"))</f>
        <v>0</v>
      </c>
      <c r="CM121" s="56" t="str" cm="1">
        <f t="array" aca="1" ref="CM121" ca="1">IFERROR(_xlfn.TEXTJOIN(CHAR(10),TRUE,IF((元データ!$AL$2:$AL$2001=1)*(元データ!$AN$2:$AN$2001=1)*(元データ!$AE$2:$AE$2001=$C$120)*(元データ!$AO$2:$AO$2001=0)*(元データ!$AM$2:$AM$2001&gt;=31)*(元データ!$E$2:$E$2001="40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22" spans="2:93" ht="24.95" customHeight="1">
      <c r="B122" s="91"/>
      <c r="C122" s="63" t="s">
        <v>84</v>
      </c>
      <c r="D122" s="63"/>
      <c r="E122" s="41" t="s">
        <v>133</v>
      </c>
      <c r="F122" s="42">
        <f>SUMPRODUCT((元データ!$AL$2:$AL$2001=1)*(元データ!$AN$2:$AN$2001=1)*(元データ!$AE$2:$AE$2001=$C$122)*(元データ!$AO$2:$AO$2001=1))</f>
        <v>1</v>
      </c>
      <c r="G122" s="43">
        <f ca="1">SUMPRODUCT((元データ!$AL$2:$AL$2001=1)*(元データ!$AN$2:$AN$2001=1)*(元データ!$AE$2:$AE$2001=$C$122)*(元データ!$AO$2:$AO$2001=1)*(元データ!$AM$2:$AM$2001&lt;=7))</f>
        <v>0</v>
      </c>
      <c r="H122" s="43">
        <f ca="1">SUMPRODUCT((元データ!$AL$2:$AL$2001=1)*(元データ!$AN$2:$AN$2001=1)*(元データ!$AE$2:$AE$2001=$C$122)*(元データ!$AO$2:$AO$2001=1)*(元データ!$AM$2:$AM$2001&lt;=7)*(元データ!$E$2:$E$2001="20 確認待ち"))</f>
        <v>0</v>
      </c>
      <c r="I122" s="61" t="str" cm="1">
        <f t="array" aca="1" ref="I122" ca="1">IFERROR(_xlfn.TEXTJOIN(CHAR(10),TRUE,IF((元データ!$AL$2:$AL$2001=1)*(元データ!$AN$2:$AN$2001=1)*(元データ!$AE$2:$AE$2001=$C$122)*(元データ!$AO$2:$AO$2001=1)*(元データ!$AM$2:$AM$2001&lt;=7)*(元データ!$E$2:$E$2001="20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22" s="61"/>
      <c r="K122" s="61"/>
      <c r="L122" s="43">
        <f ca="1">SUMPRODUCT((元データ!$AL$2:$AL$2001=1)*(元データ!$AN$2:$AN$2001=1)*(元データ!$AE$2:$AE$2001=$C$122)*(元データ!$AO$2:$AO$2001=1)*(元データ!$AM$2:$AM$2001&lt;=7)*(元データ!$E$2:$E$2001="30 申請受付"))</f>
        <v>0</v>
      </c>
      <c r="M122" s="61" t="str" cm="1">
        <f t="array" aca="1" ref="M122" ca="1">IFERROR(_xlfn.TEXTJOIN(CHAR(10),TRUE,IF((元データ!$AL$2:$AL$2001=1)*(元データ!$AN$2:$AN$2001=1)*(元データ!$AE$2:$AE$2001=$C$122)*(元データ!$AO$2:$AO$2001=1)*(元データ!$AM$2:$AM$2001&lt;=7)*(元データ!$E$2:$E$2001="30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22" s="61"/>
      <c r="O122" s="61"/>
      <c r="P122" s="43">
        <f ca="1">SUMPRODUCT((元データ!$AL$2:$AL$2001=1)*(元データ!$AN$2:$AN$2001=1)*(元データ!$AE$2:$AE$2001=$C$122)*(元データ!$AO$2:$AO$2001=1)*(元データ!$AM$2:$AM$2001&lt;=7)*(元データ!$E$2:$E$2001="31 ＯＰ確認中"))</f>
        <v>0</v>
      </c>
      <c r="Q122" s="61" t="str" cm="1">
        <f t="array" aca="1" ref="Q122" ca="1">IFERROR(_xlfn.TEXTJOIN(CHAR(10),TRUE,IF((元データ!$AL$2:$AL$2001=1)*(元データ!$AN$2:$AN$2001=1)*(元データ!$AE$2:$AE$2001=$C$122)*(元データ!$AO$2:$AO$2001=1)*(元データ!$AM$2:$AM$2001&lt;=7)*(元データ!$E$2:$E$2001="31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22" s="61"/>
      <c r="S122" s="61"/>
      <c r="T122" s="43">
        <f ca="1">SUMPRODUCT((元データ!$AL$2:$AL$2001=1)*(元データ!$AN$2:$AN$2001=1)*(元データ!$AE$2:$AE$2001=$C$122)*(元データ!$AO$2:$AO$2001=1)*(元データ!$AM$2:$AM$2001&lt;=7)*(元データ!$E$2:$E$2001="32 ＳＶ確認中"))</f>
        <v>0</v>
      </c>
      <c r="U122" s="61" t="str" cm="1">
        <f t="array" aca="1" ref="U122" ca="1">IFERROR(_xlfn.TEXTJOIN(CHAR(10),TRUE,IF((元データ!$AL$2:$AL$2001=1)*(元データ!$AN$2:$AN$2001=1)*(元データ!$AE$2:$AE$2001=$C$122)*(元データ!$AO$2:$AO$2001=1)*(元データ!$AM$2:$AM$2001&lt;=7)*(元データ!$E$2:$E$2001="32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22" s="61"/>
      <c r="W122" s="61"/>
      <c r="X122" s="43">
        <f ca="1">SUMPRODUCT((元データ!$AL$2:$AL$2001=1)*(元データ!$AN$2:$AN$2001=1)*(元データ!$AE$2:$AE$2001=$C$122)*(元データ!$AO$2:$AO$2001=1)*(元データ!$AM$2:$AM$2001&gt;=8)*(元データ!$AM$2:$AM$2001&lt;=14))</f>
        <v>0</v>
      </c>
      <c r="Y122" s="43">
        <f ca="1">SUMPRODUCT((元データ!$AL$2:$AL$2001=1)*(元データ!$AN$2:$AN$2001=1)*(元データ!$AE$2:$AE$2001=$C$122)*(元データ!$AO$2:$AO$2001=1)*(元データ!$AM$2:$AM$2001&gt;=8)*(元データ!$AM$2:$AM$2001&lt;=14)*(元データ!$E$2:$E$2001="20 確認待ち"))</f>
        <v>0</v>
      </c>
      <c r="Z122" s="61" t="str" cm="1">
        <f t="array" aca="1" ref="Z122" ca="1">IFERROR(_xlfn.TEXTJOIN(CHAR(10),TRUE,IF((元データ!$AL$2:$AL$2001=1)*(元データ!$AN$2:$AN$2001=1)*(元データ!$AE$2:$AE$2001=$C$122)*(元データ!$AO$2:$AO$2001=1)*(元データ!$AM$2:$AM$2001&gt;=8)*(元データ!$AM$2:$AM$2001&lt;=14)*(元データ!$E$2:$E$2001="20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22" s="61"/>
      <c r="AB122" s="61"/>
      <c r="AC122" s="43">
        <f ca="1">SUMPRODUCT((元データ!$AL$2:$AL$2001=1)*(元データ!$AN$2:$AN$2001=1)*(元データ!$AE$2:$AE$2001=$C$122)*(元データ!$AO$2:$AO$2001=1)*(元データ!$AM$2:$AM$2001&gt;=8)*(元データ!$AM$2:$AM$2001&lt;=14)*(元データ!$E$2:$E$2001="30 申請受付"))</f>
        <v>0</v>
      </c>
      <c r="AD122" s="61" t="str" cm="1">
        <f t="array" aca="1" ref="AD122" ca="1">IFERROR(_xlfn.TEXTJOIN(CHAR(10),TRUE,IF((元データ!$AL$2:$AL$2001=1)*(元データ!$AN$2:$AN$2001=1)*(元データ!$AE$2:$AE$2001=$C$122)*(元データ!$AO$2:$AO$2001=1)*(元データ!$AM$2:$AM$2001&gt;=8)*(元データ!$AM$2:$AM$2001&lt;=14)*(元データ!$E$2:$E$2001="30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22" s="61"/>
      <c r="AF122" s="61"/>
      <c r="AG122" s="43">
        <f ca="1">SUMPRODUCT((元データ!$AL$2:$AL$2001=1)*(元データ!$AN$2:$AN$2001=1)*(元データ!$AE$2:$AE$2001=$C$122)*(元データ!$AO$2:$AO$2001=1)*(元データ!$AM$2:$AM$2001&gt;=8)*(元データ!$AM$2:$AM$2001&lt;=14)*(元データ!$E$2:$E$2001="31 ＯＰ確認中"))</f>
        <v>0</v>
      </c>
      <c r="AH122" s="61" t="str" cm="1">
        <f t="array" aca="1" ref="AH122" ca="1">IFERROR(_xlfn.TEXTJOIN(CHAR(10),TRUE,IF((元データ!$AL$2:$AL$2001=1)*(元データ!$AN$2:$AN$2001=1)*(元データ!$AE$2:$AE$2001=$C$122)*(元データ!$AO$2:$AO$2001=1)*(元データ!$AM$2:$AM$2001&gt;=8)*(元データ!$AM$2:$AM$2001&lt;=14)*(元データ!$E$2:$E$2001="31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22" s="61"/>
      <c r="AJ122" s="61"/>
      <c r="AK122" s="43">
        <f ca="1">SUMPRODUCT((元データ!$AL$2:$AL$2001=1)*(元データ!$AN$2:$AN$2001=1)*(元データ!$AE$2:$AE$2001=$C$122)*(元データ!$AO$2:$AO$2001=1)*(元データ!$AM$2:$AM$2001&gt;=8)*(元データ!$AM$2:$AM$2001&lt;=14)*(元データ!$E$2:$E$2001="32 ＳＶ確認中"))</f>
        <v>0</v>
      </c>
      <c r="AL122" s="61" t="str" cm="1">
        <f t="array" aca="1" ref="AL122" ca="1">IFERROR(_xlfn.TEXTJOIN(CHAR(10),TRUE,IF((元データ!$AL$2:$AL$2001=1)*(元データ!$AN$2:$AN$2001=1)*(元データ!$AE$2:$AE$2001=$C$122)*(元データ!$AO$2:$AO$2001=1)*(元データ!$AM$2:$AM$2001&gt;=8)*(元データ!$AM$2:$AM$2001&lt;=14)*(元データ!$E$2:$E$2001="32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22" s="61">
        <f ca="1">SUMPRODUCT((元データ!$AL$2:$AL$2001=1)*(元データ!$AN$2:$AN$2001=1)*(元データ!$AE$2:$AE$2001=$C$122)*(元データ!$AO$2:$AO$2001=1)*(元データ!$AM$2:$AM$2001&gt;=8)*(元データ!$AM$2:$AM$2001&lt;=14)*(元データ!$E$2:$E$2001="40 差戻し"))</f>
        <v>0</v>
      </c>
      <c r="AN122" s="61" t="str" cm="1">
        <f t="array" aca="1" ref="AN122" ca="1">IFERROR(_xlfn.TEXTJOIN(CHAR(10),TRUE,IF((元データ!$AL$2:$AL$2001=1)*(元データ!$AN$2:$AN$2001=1)*(元データ!$AE$2:$AE$2001=$C$122)*(元データ!$AO$2:$AO$2001=1)*(元データ!$AM$2:$AM$2001&gt;=8)*(元データ!$AM$2:$AM$2001&lt;=14)*(元データ!$E$2:$E$2001="40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22" s="44">
        <f ca="1">SUMPRODUCT((元データ!$AL$2:$AL$2001=1)*(元データ!$AN$2:$AN$2001=1)*(元データ!$AE$2:$AE$2001=$C$122)*(元データ!$AO$2:$AO$2001=1)*(元データ!$AM$2:$AM$2001&gt;=15)*(元データ!$AM$2:$AM$2001&lt;=21))</f>
        <v>0</v>
      </c>
      <c r="AP122" s="44">
        <f ca="1">SUMPRODUCT((元データ!$AL$2:$AL$2001=1)*(元データ!$AN$2:$AN$2001=1)*(元データ!$AE$2:$AE$2001=$C$122)*(元データ!$AO$2:$AO$2001=1)*(元データ!$AM$2:$AM$2001&gt;=15)*(元データ!$AM$2:$AM$2001&lt;=21)*(元データ!$E$2:$E$2001="20 確認待ち"))</f>
        <v>0</v>
      </c>
      <c r="AQ122" s="58" t="str" cm="1">
        <f t="array" aca="1" ref="AQ122" ca="1">IFERROR(_xlfn.TEXTJOIN(CHAR(10),TRUE,IF((元データ!$AL$2:$AL$2001=1)*(元データ!$AN$2:$AN$2001=1)*(元データ!$AE$2:$AE$2001=$C$122)*(元データ!$AO$2:$AO$2001=1)*(元データ!$AM$2:$AM$2001&gt;=15)*(元データ!$AM$2:$AM$2001&lt;=21)*(元データ!$E$2:$E$2001="20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22" s="58"/>
      <c r="AS122" s="58"/>
      <c r="AT122" s="44">
        <f ca="1">SUMPRODUCT((元データ!$AL$2:$AL$2001=1)*(元データ!$AN$2:$AN$2001=1)*(元データ!$AE$2:$AE$2001=$C$122)*(元データ!$AO$2:$AO$2001=1)*(元データ!$AM$2:$AM$2001&gt;=15)*(元データ!$AM$2:$AM$2001&lt;=21)*(元データ!$E$2:$E$2001="30 申請受付"))</f>
        <v>0</v>
      </c>
      <c r="AU122" s="58" t="str" cm="1">
        <f t="array" aca="1" ref="AU122" ca="1">IFERROR(_xlfn.TEXTJOIN(CHAR(10),TRUE,IF((元データ!$AL$2:$AL$2001=1)*(元データ!$AN$2:$AN$2001=1)*(元データ!$AE$2:$AE$2001=$C$122)*(元データ!$AO$2:$AO$2001=1)*(元データ!$AM$2:$AM$2001&gt;=15)*(元データ!$AM$2:$AM$2001&lt;=21)*(元データ!$E$2:$E$2001="30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22" s="58"/>
      <c r="AW122" s="58"/>
      <c r="AX122" s="44">
        <f ca="1">SUMPRODUCT((元データ!$AL$2:$AL$2001=1)*(元データ!$AN$2:$AN$2001=1)*(元データ!$AE$2:$AE$2001=$C$122)*(元データ!$AO$2:$AO$2001=1)*(元データ!$AM$2:$AM$2001&gt;=15)*(元データ!$AM$2:$AM$2001&lt;=21)*(元データ!$E$2:$E$2001="31 ＯＰ確認中"))</f>
        <v>0</v>
      </c>
      <c r="AY122" s="58" t="str" cm="1">
        <f t="array" aca="1" ref="AY122" ca="1">IFERROR(_xlfn.TEXTJOIN(CHAR(10),TRUE,IF((元データ!$AL$2:$AL$2001=1)*(元データ!$AN$2:$AN$2001=1)*(元データ!$AE$2:$AE$2001=$C$122)*(元データ!$AO$2:$AO$2001=1)*(元データ!$AM$2:$AM$2001&gt;=15)*(元データ!$AM$2:$AM$2001&lt;=21)*(元データ!$E$2:$E$2001="31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22" s="58"/>
      <c r="BA122" s="58"/>
      <c r="BB122" s="44">
        <f ca="1">SUMPRODUCT((元データ!$AL$2:$AL$2001=1)*(元データ!$AN$2:$AN$2001=1)*(元データ!$AE$2:$AE$2001=$C$122)*(元データ!$AO$2:$AO$2001=1)*(元データ!$AM$2:$AM$2001&gt;=15)*(元データ!$AM$2:$AM$2001&lt;=21)*(元データ!$E$2:$E$2001="32 ＳＶ確認中"))</f>
        <v>0</v>
      </c>
      <c r="BC122" s="58" t="str" cm="1">
        <f t="array" aca="1" ref="BC122" ca="1">IFERROR(_xlfn.TEXTJOIN(CHAR(10),TRUE,IF((元データ!$AL$2:$AL$2001=1)*(元データ!$AN$2:$AN$2001=1)*(元データ!$AE$2:$AE$2001=$C$122)*(元データ!$AO$2:$AO$2001=1)*(元データ!$AM$2:$AM$2001&gt;=15)*(元データ!$AM$2:$AM$2001&lt;=21)*(元データ!$E$2:$E$2001="32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22" s="58">
        <f ca="1">SUMPRODUCT((元データ!$AL$2:$AL$2001=1)*(元データ!$AN$2:$AN$2001=1)*(元データ!$AE$2:$AE$2001=$C$122)*(元データ!$AO$2:$AO$2001=1)*(元データ!$AM$2:$AM$2001&gt;=15)*(元データ!$AM$2:$AM$2001&lt;=21)*(元データ!$E$2:$E$2001="40 差戻し"))</f>
        <v>0</v>
      </c>
      <c r="BE122" s="58" t="str" cm="1">
        <f t="array" aca="1" ref="BE122" ca="1">IFERROR(_xlfn.TEXTJOIN(CHAR(10),TRUE,IF((元データ!$AL$2:$AL$2001=1)*(元データ!$AN$2:$AN$2001=1)*(元データ!$AE$2:$AE$2001=$C$122)*(元データ!$AO$2:$AO$2001=1)*(元データ!$AM$2:$AM$2001&gt;=15)*(元データ!$AM$2:$AM$2001&lt;=21)*(元データ!$E$2:$E$2001="40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22" s="45">
        <f ca="1">SUMPRODUCT((元データ!$AL$2:$AL$2001=1)*(元データ!$AN$2:$AN$2001=1)*(元データ!$AE$2:$AE$2001=$C$122)*(元データ!$AO$2:$AO$2001=1)*(元データ!$AM$2:$AM$2001&gt;=22)*(元データ!$AM$2:$AM$2001&lt;=30))</f>
        <v>1</v>
      </c>
      <c r="BG122" s="45">
        <f ca="1">SUMPRODUCT((元データ!$AL$2:$AL$2001=1)*(元データ!$AN$2:$AN$2001=1)*(元データ!$AE$2:$AE$2001=$C$122)*(元データ!$AO$2:$AO$2001=1)*(元データ!$AM$2:$AM$2001&gt;=22)*(元データ!$AM$2:$AM$2001&lt;=30)*(元データ!$E$2:$E$2001="20 確認待ち"))</f>
        <v>0</v>
      </c>
      <c r="BH122" s="60" t="str" cm="1">
        <f t="array" aca="1" ref="BH122" ca="1">IFERROR(_xlfn.TEXTJOIN(CHAR(10),TRUE,IF((元データ!$AL$2:$AL$2001=1)*(元データ!$AN$2:$AN$2001=1)*(元データ!$AE$2:$AE$2001=$C$122)*(元データ!$AO$2:$AO$2001=1)*(元データ!$AM$2:$AM$2001&gt;=22)*(元データ!$AM$2:$AM$2001&lt;=30)*(元データ!$E$2:$E$2001="20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22" s="60"/>
      <c r="BJ122" s="60"/>
      <c r="BK122" s="45">
        <f ca="1">SUMPRODUCT((元データ!$AL$2:$AL$2001=1)*(元データ!$AN$2:$AN$2001=1)*(元データ!$AE$2:$AE$2001=$C$122)*(元データ!$AO$2:$AO$2001=1)*(元データ!$AM$2:$AM$2001&gt;=22)*(元データ!$AM$2:$AM$2001&lt;=30)*(元データ!$E$2:$E$2001="30 申請受付"))</f>
        <v>1</v>
      </c>
      <c r="BL122" s="59" t="str" cm="1">
        <f t="array" aca="1" ref="BL122" ca="1">IFERROR(_xlfn.TEXTJOIN(CHAR(10),TRUE,IF((元データ!$AL$2:$AL$2001=1)*(元データ!$AN$2:$AN$2001=1)*(元データ!$AE$2:$AE$2001=$C$122)*(元データ!$AO$2:$AO$2001=1)*(元データ!$AM$2:$AM$2001&gt;=22)*(元データ!$AM$2:$AM$2001&lt;=30)*(元データ!$E$2:$E$2001="30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>202660001249</v>
      </c>
      <c r="BM122" s="59"/>
      <c r="BN122" s="59"/>
      <c r="BO122" s="45">
        <f ca="1">SUMPRODUCT((元データ!$AL$2:$AL$2001=1)*(元データ!$AN$2:$AN$2001=1)*(元データ!$AE$2:$AE$2001=$C$122)*(元データ!$AO$2:$AO$2001=1)*(元データ!$AM$2:$AM$2001&gt;=22)*(元データ!$AM$2:$AM$2001&lt;=30)*(元データ!$E$2:$E$2001="31 ＯＰ確認中"))</f>
        <v>0</v>
      </c>
      <c r="BP122" s="59" t="str" cm="1">
        <f t="array" aca="1" ref="BP122" ca="1">IFERROR(_xlfn.TEXTJOIN(CHAR(10),TRUE,IF((元データ!$AL$2:$AL$2001=1)*(元データ!$AN$2:$AN$2001=1)*(元データ!$AE$2:$AE$2001=$C$122)*(元データ!$AO$2:$AO$2001=1)*(元データ!$AM$2:$AM$2001&gt;=22)*(元データ!$AM$2:$AM$2001&lt;=30)*(元データ!$E$2:$E$2001="31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22" s="59"/>
      <c r="BR122" s="59"/>
      <c r="BS122" s="45">
        <f ca="1">SUMPRODUCT((元データ!$AL$2:$AL$2001=1)*(元データ!$AN$2:$AN$2001=1)*(元データ!$AE$2:$AE$2001=$C$122)*(元データ!$AO$2:$AO$2001=1)*(元データ!$AM$2:$AM$2001&gt;=22)*(元データ!$AM$2:$AM$2001&lt;=30)*(元データ!$E$2:$E$2001="32 ＳＶ確認中"))</f>
        <v>0</v>
      </c>
      <c r="BT122" s="59" t="str" cm="1">
        <f t="array" aca="1" ref="BT122" ca="1">IFERROR(_xlfn.TEXTJOIN(CHAR(10),TRUE,IF((元データ!$AL$2:$AL$2001=1)*(元データ!$AN$2:$AN$2001=1)*(元データ!$AE$2:$AE$2001=$C$122)*(元データ!$AO$2:$AO$2001=1)*(元データ!$AM$2:$AM$2001&gt;=22)*(元データ!$AM$2:$AM$2001&lt;=30)*(元データ!$E$2:$E$2001="32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22" s="59">
        <f ca="1">SUMPRODUCT((元データ!$AL$2:$AL$2001=1)*(元データ!$AN$2:$AN$2001=1)*(元データ!$AE$2:$AE$2001=$C$122)*(元データ!$AO$2:$AO$2001=1)*(元データ!$AM$2:$AM$2001&gt;=22)*(元データ!$AM$2:$AM$2001&lt;=30)*(元データ!$E$2:$E$2001="40 差戻し"))</f>
        <v>0</v>
      </c>
      <c r="BV122" s="59" t="str" cm="1">
        <f t="array" aca="1" ref="BV122" ca="1">IFERROR(_xlfn.TEXTJOIN(CHAR(10),TRUE,IF((元データ!$AL$2:$AL$2001=1)*(元データ!$AN$2:$AN$2001=1)*(元データ!$AE$2:$AE$2001=$C$122)*(元データ!$AO$2:$AO$2001=1)*(元データ!$AM$2:$AM$2001&gt;=22)*(元データ!$AM$2:$AM$2001&lt;=30)*(元データ!$E$2:$E$2001="40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22" s="46">
        <f ca="1">SUMPRODUCT((元データ!$AL$2:$AL$2001=1)*(元データ!$AN$2:$AN$2001=1)*(元データ!$AE$2:$AE$2001=$C$122)*(元データ!$AO$2:$AO$2001=1)*(元データ!$AM$2:$AM$2001&gt;=31))</f>
        <v>0</v>
      </c>
      <c r="BX122" s="46">
        <f ca="1">SUMPRODUCT((元データ!$AL$2:$AL$2001=1)*(元データ!$AN$2:$AN$2001=1)*(元データ!$AE$2:$AE$2001=$C$122)*(元データ!$AO$2:$AO$2001=1)*(元データ!$AM$2:$AM$2001&gt;=31)*(元データ!$E$2:$E$2001="20 確認待ち"))</f>
        <v>0</v>
      </c>
      <c r="BY122" s="56" t="str" cm="1">
        <f t="array" aca="1" ref="BY122" ca="1">IFERROR(_xlfn.TEXTJOIN(CHAR(10),TRUE,IF((元データ!$AL$2:$AL$2001=1)*(元データ!$AN$2:$AN$2001=1)*(元データ!$AE$2:$AE$2001=$C$122)*(元データ!$AO$2:$AO$2001=1)*(元データ!$AM$2:$AM$2001&gt;=31)*(元データ!$E$2:$E$2001="20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22" s="56"/>
      <c r="CA122" s="56"/>
      <c r="CB122" s="46">
        <f ca="1">SUMPRODUCT((元データ!$AL$2:$AL$2001=1)*(元データ!$AN$2:$AN$2001=1)*(元データ!$AE$2:$AE$2001=$C$122)*(元データ!$AO$2:$AO$2001=1)*(元データ!$AM$2:$AM$2001&gt;=31)*(元データ!$E$2:$E$2001="30 申請受付"))</f>
        <v>0</v>
      </c>
      <c r="CC122" s="56" t="str" cm="1">
        <f t="array" aca="1" ref="CC122" ca="1">IFERROR(_xlfn.TEXTJOIN(CHAR(10),TRUE,IF((元データ!$AL$2:$AL$2001=1)*(元データ!$AN$2:$AN$2001=1)*(元データ!$AE$2:$AE$2001=$C$122)*(元データ!$AO$2:$AO$2001=1)*(元データ!$AM$2:$AM$2001&gt;=31)*(元データ!$E$2:$E$2001="30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22" s="56"/>
      <c r="CE122" s="56"/>
      <c r="CF122" s="46">
        <f ca="1">SUMPRODUCT((元データ!$AL$2:$AL$2001=1)*(元データ!$AN$2:$AN$2001=1)*(元データ!$AE$2:$AE$2001=$C$122)*(元データ!$AO$2:$AO$2001=1)*(元データ!$AM$2:$AM$2001&gt;=31)*(元データ!$E$2:$E$2001="31 ＯＰ確認中"))</f>
        <v>0</v>
      </c>
      <c r="CG122" s="56" t="str" cm="1">
        <f t="array" aca="1" ref="CG122" ca="1">IFERROR(_xlfn.TEXTJOIN(CHAR(10),TRUE,IF((元データ!$AL$2:$AL$2001=1)*(元データ!$AN$2:$AN$2001=1)*(元データ!$AE$2:$AE$2001=$C$122)*(元データ!$AO$2:$AO$2001=1)*(元データ!$AM$2:$AM$2001&gt;=31)*(元データ!$E$2:$E$2001="31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122" s="56"/>
      <c r="CI122" s="56"/>
      <c r="CJ122" s="46">
        <f ca="1">SUMPRODUCT((元データ!$AL$2:$AL$2001=1)*(元データ!$AN$2:$AN$2001=1)*(元データ!$AE$2:$AE$2001=$C$122)*(元データ!$AO$2:$AO$2001=1)*(元データ!$AM$2:$AM$2001&gt;=31)*(元データ!$E$2:$E$2001="32 ＳＶ確認中"))</f>
        <v>0</v>
      </c>
      <c r="CK122" s="56" t="str" cm="1">
        <f t="array" aca="1" ref="CK122" ca="1">IFERROR(_xlfn.TEXTJOIN(CHAR(10),TRUE,IF((元データ!$AL$2:$AL$2001=1)*(元データ!$AN$2:$AN$2001=1)*(元データ!$AE$2:$AE$2001=$C$122)*(元データ!$AO$2:$AO$2001=1)*(元データ!$AM$2:$AM$2001&gt;=31)*(元データ!$E$2:$E$2001="32 ＳＶ確認中"),元データ!$A$2:$A$2001&amp;IF(元データ!$AP$2:$AP$2001&lt;&gt;"","（"&amp;MID(元データ!$AP$2:$AP$2001,2,100)&amp;")",""),"")),"")</f>
        <v/>
      </c>
      <c r="CL122" s="56">
        <f ca="1">SUMPRODUCT((元データ!$AL$2:$AL$2001=1)*(元データ!$AN$2:$AN$2001=1)*(元データ!$AE$2:$AE$2001=$C$122)*(元データ!$AO$2:$AO$2001=1)*(元データ!$AM$2:$AM$2001&gt;=31)*(元データ!$E$2:$E$2001="40 差戻し"))</f>
        <v>0</v>
      </c>
      <c r="CM122" s="56" t="str" cm="1">
        <f t="array" aca="1" ref="CM122" ca="1">IFERROR(_xlfn.TEXTJOIN(CHAR(10),TRUE,IF((元データ!$AL$2:$AL$2001=1)*(元データ!$AN$2:$AN$2001=1)*(元データ!$AE$2:$AE$2001=$C$122)*(元データ!$AO$2:$AO$2001=1)*(元データ!$AM$2:$AM$2001&gt;=31)*(元データ!$E$2:$E$2001="40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23" spans="2:93" ht="24.95" customHeight="1">
      <c r="B123" s="92"/>
      <c r="C123" s="63"/>
      <c r="D123" s="63"/>
      <c r="E123" s="47" t="s">
        <v>134</v>
      </c>
      <c r="F123" s="48">
        <f>SUMPRODUCT((元データ!$AL$2:$AL$2001=1)*(元データ!$AN$2:$AN$2001=1)*(元データ!$AE$2:$AE$2001=$C$122)*(元データ!$AO$2:$AO$2001=0))</f>
        <v>2</v>
      </c>
      <c r="G123" s="49">
        <f ca="1">SUMPRODUCT((元データ!$AL$2:$AL$2001=1)*(元データ!$AN$2:$AN$2001=1)*(元データ!$AE$2:$AE$2001=$C$122)*(元データ!$AO$2:$AO$2001=0)*(元データ!$AM$2:$AM$2001&lt;=7))</f>
        <v>0</v>
      </c>
      <c r="H123" s="49">
        <f ca="1">SUMPRODUCT((元データ!$AL$2:$AL$2001=1)*(元データ!$AN$2:$AN$2001=1)*(元データ!$AE$2:$AE$2001=$C$122)*(元データ!$AO$2:$AO$2001=0)*(元データ!$AM$2:$AM$2001&lt;=7)*(元データ!$E$2:$E$2001="20 確認待ち"))</f>
        <v>0</v>
      </c>
      <c r="I123" s="57" t="str" cm="1">
        <f t="array" aca="1" ref="I123" ca="1">IFERROR(_xlfn.TEXTJOIN(CHAR(10),TRUE,IF((元データ!$AL$2:$AL$2001=1)*(元データ!$AN$2:$AN$2001=1)*(元データ!$AE$2:$AE$2001=$C$122)*(元データ!$AO$2:$AO$2001=0)*(元データ!$AM$2:$AM$2001&lt;=7)*(元データ!$E$2:$E$2001="20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23" s="57"/>
      <c r="K123" s="57"/>
      <c r="L123" s="49">
        <f ca="1">SUMPRODUCT((元データ!$AL$2:$AL$2001=1)*(元データ!$AN$2:$AN$2001=1)*(元データ!$AE$2:$AE$2001=$C$122)*(元データ!$AO$2:$AO$2001=0)*(元データ!$AM$2:$AM$2001&lt;=7)*(元データ!$E$2:$E$2001="30 申請受付"))</f>
        <v>0</v>
      </c>
      <c r="M123" s="57" t="str" cm="1">
        <f t="array" aca="1" ref="M123" ca="1">IFERROR(_xlfn.TEXTJOIN(CHAR(10),TRUE,IF((元データ!$AL$2:$AL$2001=1)*(元データ!$AN$2:$AN$2001=1)*(元データ!$AE$2:$AE$2001=$C$122)*(元データ!$AO$2:$AO$2001=0)*(元データ!$AM$2:$AM$2001&lt;=7)*(元データ!$E$2:$E$2001="30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23" s="57"/>
      <c r="O123" s="57"/>
      <c r="P123" s="49">
        <f ca="1">SUMPRODUCT((元データ!$AL$2:$AL$2001=1)*(元データ!$AN$2:$AN$2001=1)*(元データ!$AE$2:$AE$2001=$C$122)*(元データ!$AO$2:$AO$2001=0)*(元データ!$AM$2:$AM$2001&lt;=7)*(元データ!$E$2:$E$2001="31 ＯＰ確認中"))</f>
        <v>0</v>
      </c>
      <c r="Q123" s="57" t="str" cm="1">
        <f t="array" aca="1" ref="Q123" ca="1">IFERROR(_xlfn.TEXTJOIN(CHAR(10),TRUE,IF((元データ!$AL$2:$AL$2001=1)*(元データ!$AN$2:$AN$2001=1)*(元データ!$AE$2:$AE$2001=$C$122)*(元データ!$AO$2:$AO$2001=0)*(元データ!$AM$2:$AM$2001&lt;=7)*(元データ!$E$2:$E$2001="31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23" s="57"/>
      <c r="S123" s="57"/>
      <c r="T123" s="49">
        <f ca="1">SUMPRODUCT((元データ!$AL$2:$AL$2001=1)*(元データ!$AN$2:$AN$2001=1)*(元データ!$AE$2:$AE$2001=$C$122)*(元データ!$AO$2:$AO$2001=0)*(元データ!$AM$2:$AM$2001&lt;=7)*(元データ!$E$2:$E$2001="32 ＳＶ確認中"))</f>
        <v>0</v>
      </c>
      <c r="U123" s="57" t="str" cm="1">
        <f t="array" aca="1" ref="U123" ca="1">IFERROR(_xlfn.TEXTJOIN(CHAR(10),TRUE,IF((元データ!$AL$2:$AL$2001=1)*(元データ!$AN$2:$AN$2001=1)*(元データ!$AE$2:$AE$2001=$C$122)*(元データ!$AO$2:$AO$2001=0)*(元データ!$AM$2:$AM$2001&lt;=7)*(元データ!$E$2:$E$2001="32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23" s="57"/>
      <c r="W123" s="57"/>
      <c r="X123" s="49">
        <f ca="1">SUMPRODUCT((元データ!$AL$2:$AL$2001=1)*(元データ!$AN$2:$AN$2001=1)*(元データ!$AE$2:$AE$2001=$C$122)*(元データ!$AO$2:$AO$2001=0)*(元データ!$AM$2:$AM$2001&gt;=8)*(元データ!$AM$2:$AM$2001&lt;=14))</f>
        <v>0</v>
      </c>
      <c r="Y123" s="49">
        <f ca="1">SUMPRODUCT((元データ!$AL$2:$AL$2001=1)*(元データ!$AN$2:$AN$2001=1)*(元データ!$AE$2:$AE$2001=$C$122)*(元データ!$AO$2:$AO$2001=0)*(元データ!$AM$2:$AM$2001&gt;=8)*(元データ!$AM$2:$AM$2001&lt;=14)*(元データ!$E$2:$E$2001="20 確認待ち"))</f>
        <v>0</v>
      </c>
      <c r="Z123" s="57" t="str" cm="1">
        <f t="array" aca="1" ref="Z123" ca="1">IFERROR(_xlfn.TEXTJOIN(CHAR(10),TRUE,IF((元データ!$AL$2:$AL$2001=1)*(元データ!$AN$2:$AN$2001=1)*(元データ!$AE$2:$AE$2001=$C$122)*(元データ!$AO$2:$AO$2001=0)*(元データ!$AM$2:$AM$2001&gt;=8)*(元データ!$AM$2:$AM$2001&lt;=14)*(元データ!$E$2:$E$2001="20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23" s="57"/>
      <c r="AB123" s="57"/>
      <c r="AC123" s="49">
        <f ca="1">SUMPRODUCT((元データ!$AL$2:$AL$2001=1)*(元データ!$AN$2:$AN$2001=1)*(元データ!$AE$2:$AE$2001=$C$122)*(元データ!$AO$2:$AO$2001=0)*(元データ!$AM$2:$AM$2001&gt;=8)*(元データ!$AM$2:$AM$2001&lt;=14)*(元データ!$E$2:$E$2001="30 申請受付"))</f>
        <v>0</v>
      </c>
      <c r="AD123" s="57" t="str" cm="1">
        <f t="array" aca="1" ref="AD123" ca="1">IFERROR(_xlfn.TEXTJOIN(CHAR(10),TRUE,IF((元データ!$AL$2:$AL$2001=1)*(元データ!$AN$2:$AN$2001=1)*(元データ!$AE$2:$AE$2001=$C$122)*(元データ!$AO$2:$AO$2001=0)*(元データ!$AM$2:$AM$2001&gt;=8)*(元データ!$AM$2:$AM$2001&lt;=14)*(元データ!$E$2:$E$2001="30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23" s="57"/>
      <c r="AF123" s="57"/>
      <c r="AG123" s="49">
        <f ca="1">SUMPRODUCT((元データ!$AL$2:$AL$2001=1)*(元データ!$AN$2:$AN$2001=1)*(元データ!$AE$2:$AE$2001=$C$122)*(元データ!$AO$2:$AO$2001=0)*(元データ!$AM$2:$AM$2001&gt;=8)*(元データ!$AM$2:$AM$2001&lt;=14)*(元データ!$E$2:$E$2001="31 ＯＰ確認中"))</f>
        <v>0</v>
      </c>
      <c r="AH123" s="57" t="str" cm="1">
        <f t="array" aca="1" ref="AH123" ca="1">IFERROR(_xlfn.TEXTJOIN(CHAR(10),TRUE,IF((元データ!$AL$2:$AL$2001=1)*(元データ!$AN$2:$AN$2001=1)*(元データ!$AE$2:$AE$2001=$C$122)*(元データ!$AO$2:$AO$2001=0)*(元データ!$AM$2:$AM$2001&gt;=8)*(元データ!$AM$2:$AM$2001&lt;=14)*(元データ!$E$2:$E$2001="31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23" s="57"/>
      <c r="AJ123" s="57"/>
      <c r="AK123" s="49">
        <f ca="1">SUMPRODUCT((元データ!$AL$2:$AL$2001=1)*(元データ!$AN$2:$AN$2001=1)*(元データ!$AE$2:$AE$2001=$C$122)*(元データ!$AO$2:$AO$2001=0)*(元データ!$AM$2:$AM$2001&gt;=8)*(元データ!$AM$2:$AM$2001&lt;=14)*(元データ!$E$2:$E$2001="32 ＳＶ確認中"))</f>
        <v>0</v>
      </c>
      <c r="AL123" s="57" t="str" cm="1">
        <f t="array" aca="1" ref="AL123" ca="1">IFERROR(_xlfn.TEXTJOIN(CHAR(10),TRUE,IF((元データ!$AL$2:$AL$2001=1)*(元データ!$AN$2:$AN$2001=1)*(元データ!$AE$2:$AE$2001=$C$122)*(元データ!$AO$2:$AO$2001=0)*(元データ!$AM$2:$AM$2001&gt;=8)*(元データ!$AM$2:$AM$2001&lt;=14)*(元データ!$E$2:$E$2001="32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23" s="57">
        <f ca="1">SUMPRODUCT((元データ!$AL$2:$AL$2001=1)*(元データ!$AN$2:$AN$2001=1)*(元データ!$AE$2:$AE$2001=$C$122)*(元データ!$AO$2:$AO$2001=0)*(元データ!$AM$2:$AM$2001&gt;=8)*(元データ!$AM$2:$AM$2001&lt;=14)*(元データ!$E$2:$E$2001="40 差戻し"))</f>
        <v>0</v>
      </c>
      <c r="AN123" s="57" t="str" cm="1">
        <f t="array" aca="1" ref="AN123" ca="1">IFERROR(_xlfn.TEXTJOIN(CHAR(10),TRUE,IF((元データ!$AL$2:$AL$2001=1)*(元データ!$AN$2:$AN$2001=1)*(元データ!$AE$2:$AE$2001=$C$122)*(元データ!$AO$2:$AO$2001=0)*(元データ!$AM$2:$AM$2001&gt;=8)*(元データ!$AM$2:$AM$2001&lt;=14)*(元データ!$E$2:$E$2001="40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23" s="44">
        <f ca="1">SUMPRODUCT((元データ!$AL$2:$AL$2001=1)*(元データ!$AN$2:$AN$2001=1)*(元データ!$AE$2:$AE$2001=$C$122)*(元データ!$AO$2:$AO$2001=0)*(元データ!$AM$2:$AM$2001&gt;=15)*(元データ!$AM$2:$AM$2001&lt;=21))</f>
        <v>0</v>
      </c>
      <c r="AP123" s="44">
        <f ca="1">SUMPRODUCT((元データ!$AL$2:$AL$2001=1)*(元データ!$AN$2:$AN$2001=1)*(元データ!$AE$2:$AE$2001=$C$122)*(元データ!$AO$2:$AO$2001=0)*(元データ!$AM$2:$AM$2001&gt;=15)*(元データ!$AM$2:$AM$2001&lt;=21)*(元データ!$E$2:$E$2001="20 確認待ち"))</f>
        <v>0</v>
      </c>
      <c r="AQ123" s="58" t="str" cm="1">
        <f t="array" aca="1" ref="AQ123" ca="1">IFERROR(_xlfn.TEXTJOIN(CHAR(10),TRUE,IF((元データ!$AL$2:$AL$2001=1)*(元データ!$AN$2:$AN$2001=1)*(元データ!$AE$2:$AE$2001=$C$122)*(元データ!$AO$2:$AO$2001=0)*(元データ!$AM$2:$AM$2001&gt;=15)*(元データ!$AM$2:$AM$2001&lt;=21)*(元データ!$E$2:$E$2001="20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23" s="58"/>
      <c r="AS123" s="58"/>
      <c r="AT123" s="44">
        <f ca="1">SUMPRODUCT((元データ!$AL$2:$AL$2001=1)*(元データ!$AN$2:$AN$2001=1)*(元データ!$AE$2:$AE$2001=$C$122)*(元データ!$AO$2:$AO$2001=0)*(元データ!$AM$2:$AM$2001&gt;=15)*(元データ!$AM$2:$AM$2001&lt;=21)*(元データ!$E$2:$E$2001="30 申請受付"))</f>
        <v>0</v>
      </c>
      <c r="AU123" s="58" t="str" cm="1">
        <f t="array" aca="1" ref="AU123" ca="1">IFERROR(_xlfn.TEXTJOIN(CHAR(10),TRUE,IF((元データ!$AL$2:$AL$2001=1)*(元データ!$AN$2:$AN$2001=1)*(元データ!$AE$2:$AE$2001=$C$122)*(元データ!$AO$2:$AO$2001=0)*(元データ!$AM$2:$AM$2001&gt;=15)*(元データ!$AM$2:$AM$2001&lt;=21)*(元データ!$E$2:$E$2001="30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23" s="58"/>
      <c r="AW123" s="58"/>
      <c r="AX123" s="44">
        <f ca="1">SUMPRODUCT((元データ!$AL$2:$AL$2001=1)*(元データ!$AN$2:$AN$2001=1)*(元データ!$AE$2:$AE$2001=$C$122)*(元データ!$AO$2:$AO$2001=0)*(元データ!$AM$2:$AM$2001&gt;=15)*(元データ!$AM$2:$AM$2001&lt;=21)*(元データ!$E$2:$E$2001="31 ＯＰ確認中"))</f>
        <v>0</v>
      </c>
      <c r="AY123" s="58" t="str" cm="1">
        <f t="array" aca="1" ref="AY123" ca="1">IFERROR(_xlfn.TEXTJOIN(CHAR(10),TRUE,IF((元データ!$AL$2:$AL$2001=1)*(元データ!$AN$2:$AN$2001=1)*(元データ!$AE$2:$AE$2001=$C$122)*(元データ!$AO$2:$AO$2001=0)*(元データ!$AM$2:$AM$2001&gt;=15)*(元データ!$AM$2:$AM$2001&lt;=21)*(元データ!$E$2:$E$2001="31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23" s="58"/>
      <c r="BA123" s="58"/>
      <c r="BB123" s="44">
        <f ca="1">SUMPRODUCT((元データ!$AL$2:$AL$2001=1)*(元データ!$AN$2:$AN$2001=1)*(元データ!$AE$2:$AE$2001=$C$122)*(元データ!$AO$2:$AO$2001=0)*(元データ!$AM$2:$AM$2001&gt;=15)*(元データ!$AM$2:$AM$2001&lt;=21)*(元データ!$E$2:$E$2001="32 ＳＶ確認中"))</f>
        <v>0</v>
      </c>
      <c r="BC123" s="58" t="str" cm="1">
        <f t="array" aca="1" ref="BC123" ca="1">IFERROR(_xlfn.TEXTJOIN(CHAR(10),TRUE,IF((元データ!$AL$2:$AL$2001=1)*(元データ!$AN$2:$AN$2001=1)*(元データ!$AE$2:$AE$2001=$C$122)*(元データ!$AO$2:$AO$2001=0)*(元データ!$AM$2:$AM$2001&gt;=15)*(元データ!$AM$2:$AM$2001&lt;=21)*(元データ!$E$2:$E$2001="32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23" s="58">
        <f ca="1">SUMPRODUCT((元データ!$AL$2:$AL$2001=1)*(元データ!$AN$2:$AN$2001=1)*(元データ!$AE$2:$AE$2001=$C$122)*(元データ!$AO$2:$AO$2001=0)*(元データ!$AM$2:$AM$2001&gt;=15)*(元データ!$AM$2:$AM$2001&lt;=21)*(元データ!$E$2:$E$2001="40 差戻し"))</f>
        <v>0</v>
      </c>
      <c r="BE123" s="58" t="str" cm="1">
        <f t="array" aca="1" ref="BE123" ca="1">IFERROR(_xlfn.TEXTJOIN(CHAR(10),TRUE,IF((元データ!$AL$2:$AL$2001=1)*(元データ!$AN$2:$AN$2001=1)*(元データ!$AE$2:$AE$2001=$C$122)*(元データ!$AO$2:$AO$2001=0)*(元データ!$AM$2:$AM$2001&gt;=15)*(元データ!$AM$2:$AM$2001&lt;=21)*(元データ!$E$2:$E$2001="40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23" s="45">
        <f ca="1">SUMPRODUCT((元データ!$AL$2:$AL$2001=1)*(元データ!$AN$2:$AN$2001=1)*(元データ!$AE$2:$AE$2001=$C$122)*(元データ!$AO$2:$AO$2001=0)*(元データ!$AM$2:$AM$2001&gt;=22)*(元データ!$AM$2:$AM$2001&lt;=30))</f>
        <v>1</v>
      </c>
      <c r="BG123" s="45">
        <f ca="1">SUMPRODUCT((元データ!$AL$2:$AL$2001=1)*(元データ!$AN$2:$AN$2001=1)*(元データ!$AE$2:$AE$2001=$C$122)*(元データ!$AO$2:$AO$2001=0)*(元データ!$AM$2:$AM$2001&gt;=22)*(元データ!$AM$2:$AM$2001&lt;=30)*(元データ!$E$2:$E$2001="20 確認待ち"))</f>
        <v>0</v>
      </c>
      <c r="BH123" s="59" t="str" cm="1">
        <f t="array" aca="1" ref="BH123" ca="1">IFERROR(_xlfn.TEXTJOIN(CHAR(10),TRUE,IF((元データ!$AL$2:$AL$2001=1)*(元データ!$AN$2:$AN$2001=1)*(元データ!$AE$2:$AE$2001=$C$122)*(元データ!$AO$2:$AO$2001=0)*(元データ!$AM$2:$AM$2001&gt;=22)*(元データ!$AM$2:$AM$2001&lt;=30)*(元データ!$E$2:$E$2001="20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23" s="59"/>
      <c r="BJ123" s="59"/>
      <c r="BK123" s="45">
        <f ca="1">SUMPRODUCT((元データ!$AL$2:$AL$2001=1)*(元データ!$AN$2:$AN$2001=1)*(元データ!$AE$2:$AE$2001=$C$122)*(元データ!$AO$2:$AO$2001=0)*(元データ!$AM$2:$AM$2001&gt;=22)*(元データ!$AM$2:$AM$2001&lt;=30)*(元データ!$E$2:$E$2001="30 申請受付"))</f>
        <v>1</v>
      </c>
      <c r="BL123" s="59" t="str" cm="1">
        <f t="array" aca="1" ref="BL123" ca="1">IFERROR(_xlfn.TEXTJOIN(CHAR(10),TRUE,IF((元データ!$AL$2:$AL$2001=1)*(元データ!$AN$2:$AN$2001=1)*(元データ!$AE$2:$AE$2001=$C$122)*(元データ!$AO$2:$AO$2001=0)*(元データ!$AM$2:$AM$2001&gt;=22)*(元データ!$AM$2:$AM$2001&lt;=30)*(元データ!$E$2:$E$2001="30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>202660001344</v>
      </c>
      <c r="BM123" s="59"/>
      <c r="BN123" s="59"/>
      <c r="BO123" s="45">
        <f ca="1">SUMPRODUCT((元データ!$AL$2:$AL$2001=1)*(元データ!$AN$2:$AN$2001=1)*(元データ!$AE$2:$AE$2001=$C$122)*(元データ!$AO$2:$AO$2001=0)*(元データ!$AM$2:$AM$2001&gt;=22)*(元データ!$AM$2:$AM$2001&lt;=30)*(元データ!$E$2:$E$2001="31 ＯＰ確認中"))</f>
        <v>0</v>
      </c>
      <c r="BP123" s="59" t="str" cm="1">
        <f t="array" aca="1" ref="BP123" ca="1">IFERROR(_xlfn.TEXTJOIN(CHAR(10),TRUE,IF((元データ!$AL$2:$AL$2001=1)*(元データ!$AN$2:$AN$2001=1)*(元データ!$AE$2:$AE$2001=$C$122)*(元データ!$AO$2:$AO$2001=0)*(元データ!$AM$2:$AM$2001&gt;=22)*(元データ!$AM$2:$AM$2001&lt;=30)*(元データ!$E$2:$E$2001="31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23" s="59"/>
      <c r="BR123" s="59"/>
      <c r="BS123" s="45">
        <f ca="1">SUMPRODUCT((元データ!$AL$2:$AL$2001=1)*(元データ!$AN$2:$AN$2001=1)*(元データ!$AE$2:$AE$2001=$C$122)*(元データ!$AO$2:$AO$2001=0)*(元データ!$AM$2:$AM$2001&gt;=22)*(元データ!$AM$2:$AM$2001&lt;=30)*(元データ!$E$2:$E$2001="32 ＳＶ確認中"))</f>
        <v>0</v>
      </c>
      <c r="BT123" s="59" t="str" cm="1">
        <f t="array" aca="1" ref="BT123" ca="1">IFERROR(_xlfn.TEXTJOIN(CHAR(10),TRUE,IF((元データ!$AL$2:$AL$2001=1)*(元データ!$AN$2:$AN$2001=1)*(元データ!$AE$2:$AE$2001=$C$122)*(元データ!$AO$2:$AO$2001=0)*(元データ!$AM$2:$AM$2001&gt;=22)*(元データ!$AM$2:$AM$2001&lt;=30)*(元データ!$E$2:$E$2001="32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23" s="59">
        <f ca="1">SUMPRODUCT((元データ!$AL$2:$AL$2001=1)*(元データ!$AN$2:$AN$2001=1)*(元データ!$AE$2:$AE$2001=$C$122)*(元データ!$AO$2:$AO$2001=0)*(元データ!$AM$2:$AM$2001&gt;=22)*(元データ!$AM$2:$AM$2001&lt;=30)*(元データ!$E$2:$E$2001="40 差戻し"))</f>
        <v>0</v>
      </c>
      <c r="BV123" s="59" t="str" cm="1">
        <f t="array" aca="1" ref="BV123" ca="1">IFERROR(_xlfn.TEXTJOIN(CHAR(10),TRUE,IF((元データ!$AL$2:$AL$2001=1)*(元データ!$AN$2:$AN$2001=1)*(元データ!$AE$2:$AE$2001=$C$122)*(元データ!$AO$2:$AO$2001=0)*(元データ!$AM$2:$AM$2001&gt;=22)*(元データ!$AM$2:$AM$2001&lt;=30)*(元データ!$E$2:$E$2001="40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23" s="46">
        <f ca="1">SUMPRODUCT((元データ!$AL$2:$AL$2001=1)*(元データ!$AN$2:$AN$2001=1)*(元データ!$AE$2:$AE$2001=$C$122)*(元データ!$AO$2:$AO$2001=0)*(元データ!$AM$2:$AM$2001&gt;=31))</f>
        <v>1</v>
      </c>
      <c r="BX123" s="46">
        <f ca="1">SUMPRODUCT((元データ!$AL$2:$AL$2001=1)*(元データ!$AN$2:$AN$2001=1)*(元データ!$AE$2:$AE$2001=$C$122)*(元データ!$AO$2:$AO$2001=0)*(元データ!$AM$2:$AM$2001&gt;=31)*(元データ!$E$2:$E$2001="20 確認待ち"))</f>
        <v>0</v>
      </c>
      <c r="BY123" s="56" t="str" cm="1">
        <f t="array" aca="1" ref="BY123" ca="1">IFERROR(_xlfn.TEXTJOIN(CHAR(10),TRUE,IF((元データ!$AL$2:$AL$2001=1)*(元データ!$AN$2:$AN$2001=1)*(元データ!$AE$2:$AE$2001=$C$122)*(元データ!$AO$2:$AO$2001=0)*(元データ!$AM$2:$AM$2001&gt;=31)*(元データ!$E$2:$E$2001="20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23" s="56"/>
      <c r="CA123" s="56"/>
      <c r="CB123" s="46">
        <f ca="1">SUMPRODUCT((元データ!$AL$2:$AL$2001=1)*(元データ!$AN$2:$AN$2001=1)*(元データ!$AE$2:$AE$2001=$C$122)*(元データ!$AO$2:$AO$2001=0)*(元データ!$AM$2:$AM$2001&gt;=31)*(元データ!$E$2:$E$2001="30 申請受付"))</f>
        <v>0</v>
      </c>
      <c r="CC123" s="56" t="str" cm="1">
        <f t="array" aca="1" ref="CC123" ca="1">IFERROR(_xlfn.TEXTJOIN(CHAR(10),TRUE,IF((元データ!$AL$2:$AL$2001=1)*(元データ!$AN$2:$AN$2001=1)*(元データ!$AE$2:$AE$2001=$C$122)*(元データ!$AO$2:$AO$2001=0)*(元データ!$AM$2:$AM$2001&gt;=31)*(元データ!$E$2:$E$2001="30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23" s="56"/>
      <c r="CE123" s="56"/>
      <c r="CF123" s="46">
        <f ca="1">SUMPRODUCT((元データ!$AL$2:$AL$2001=1)*(元データ!$AN$2:$AN$2001=1)*(元データ!$AE$2:$AE$2001=$C$122)*(元データ!$AO$2:$AO$2001=0)*(元データ!$AM$2:$AM$2001&gt;=31)*(元データ!$E$2:$E$2001="31 ＯＰ確認中"))</f>
        <v>1</v>
      </c>
      <c r="CG123" s="56" t="str" cm="1">
        <f t="array" aca="1" ref="CG123" ca="1">IFERROR(_xlfn.TEXTJOIN(CHAR(10),TRUE,IF((元データ!$AL$2:$AL$2001=1)*(元データ!$AN$2:$AN$2001=1)*(元データ!$AE$2:$AE$2001=$C$122)*(元データ!$AO$2:$AO$2001=0)*(元データ!$AM$2:$AM$2001&gt;=31)*(元データ!$E$2:$E$2001="31 ＯＰ確認中"),元データ!$A$2:$A$2001&amp;IF(元データ!$AP$2:$AP$2001&lt;&gt;"","（"&amp;MID(元データ!$AP$2:$AP$2001,2,100)&amp;")",""),"")),"")</f>
        <v>202560003091（SV)</v>
      </c>
      <c r="CH123" s="56"/>
      <c r="CI123" s="56"/>
      <c r="CJ123" s="46">
        <f ca="1">SUMPRODUCT((元データ!$AL$2:$AL$2001=1)*(元データ!$AN$2:$AN$2001=1)*(元データ!$AE$2:$AE$2001=$C$122)*(元データ!$AO$2:$AO$2001=0)*(元データ!$AM$2:$AM$2001&gt;=31)*(元データ!$E$2:$E$2001="32 ＳＶ確認中"))</f>
        <v>0</v>
      </c>
      <c r="CK123" s="56" t="str" cm="1">
        <f t="array" aca="1" ref="CK123" ca="1">IFERROR(_xlfn.TEXTJOIN(CHAR(10),TRUE,IF((元データ!$AL$2:$AL$2001=1)*(元データ!$AN$2:$AN$2001=1)*(元データ!$AE$2:$AE$2001=$C$122)*(元データ!$AO$2:$AO$2001=0)*(元データ!$AM$2:$AM$2001&gt;=31)*(元データ!$E$2:$E$2001="32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23" s="56">
        <f ca="1">SUMPRODUCT((元データ!$AL$2:$AL$2001=1)*(元データ!$AN$2:$AN$2001=1)*(元データ!$AE$2:$AE$2001=$C$122)*(元データ!$AO$2:$AO$2001=0)*(元データ!$AM$2:$AM$2001&gt;=31)*(元データ!$E$2:$E$2001="40 差戻し"))</f>
        <v>0</v>
      </c>
      <c r="CM123" s="56" t="str" cm="1">
        <f t="array" aca="1" ref="CM123" ca="1">IFERROR(_xlfn.TEXTJOIN(CHAR(10),TRUE,IF((元データ!$AL$2:$AL$2001=1)*(元データ!$AN$2:$AN$2001=1)*(元データ!$AE$2:$AE$2001=$C$122)*(元データ!$AO$2:$AO$2001=0)*(元データ!$AM$2:$AM$2001&gt;=31)*(元データ!$E$2:$E$2001="40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24" spans="2:93" ht="24.95" customHeight="1">
      <c r="B124" s="91"/>
      <c r="C124" s="63" t="s">
        <v>75</v>
      </c>
      <c r="D124" s="63"/>
      <c r="E124" s="41" t="s">
        <v>133</v>
      </c>
      <c r="F124" s="42" cm="1">
        <f t="array" ref="F124">SUMPRODUCT((元データ!$AL$2:$AL$2001=1)*(元データ!$AN$2:$AN$2001=1)*(元データ!$AE$2:$AE$2001=$C$124)*(元データ!$AO$2:$AO$2001=1))</f>
        <v>1</v>
      </c>
      <c r="G124" s="43">
        <f ca="1">SUMPRODUCT((元データ!$AL$2:$AL$2001=1)*(元データ!$AN$2:$AN$2001=1)*(元データ!$AE$2:$AE$2001=$C$124)*(元データ!$AO$2:$AO$2001=1)*(元データ!$AM$2:$AM$2001&lt;=7))</f>
        <v>0</v>
      </c>
      <c r="H124" s="43">
        <f ca="1">SUMPRODUCT((元データ!$AL$2:$AL$2001=1)*(元データ!$AN$2:$AN$2001=1)*(元データ!$AE$2:$AE$2001=$C$124)*(元データ!$AO$2:$AO$2001=1)*(元データ!$AM$2:$AM$2001&lt;=7)*(元データ!$E$2:$E$2001="20 確認待ち"))</f>
        <v>0</v>
      </c>
      <c r="I124" s="61" t="str" cm="1">
        <f t="array" aca="1" ref="I124" ca="1">IFERROR(_xlfn.TEXTJOIN(CHAR(10),TRUE,IF((元データ!$AL$2:$AL$2001=1)*(元データ!$AN$2:$AN$2001=1)*(元データ!$AE$2:$AE$2001=$C$124)*(元データ!$AO$2:$AO$2001=1)*(元データ!$AM$2:$AM$2001&lt;=7)*(元データ!$E$2:$E$2001="20 確認待ち"),元データ!$A$2:$A$2001&amp;IF(元データ!$AP$2:$AP$2001&lt;&gt;"","（"&amp;MID(元データ!$AP$2:$AP$2001,2,100)&amp;")",""),"")),"")</f>
        <v/>
      </c>
      <c r="J124" s="61"/>
      <c r="K124" s="61"/>
      <c r="L124" s="43">
        <f ca="1">SUMPRODUCT((元データ!$AL$2:$AL$2001=1)*(元データ!$AN$2:$AN$2001=1)*(元データ!$AE$2:$AE$2001=$C$124)*(元データ!$AO$2:$AO$2001=1)*(元データ!$AM$2:$AM$2001&lt;=7)*(元データ!$E$2:$E$2001="30 申請受付"))</f>
        <v>0</v>
      </c>
      <c r="M124" s="61" t="str" cm="1">
        <f t="array" aca="1" ref="M124" ca="1">IFERROR(_xlfn.TEXTJOIN(CHAR(10),TRUE,IF((元データ!$AL$2:$AL$2001=1)*(元データ!$AN$2:$AN$2001=1)*(元データ!$AE$2:$AE$2001=$C$124)*(元データ!$AO$2:$AO$2001=1)*(元データ!$AM$2:$AM$2001&lt;=7)*(元データ!$E$2:$E$2001="30 申請受付"),元データ!$A$2:$A$2001&amp;IF(元データ!$AP$2:$AP$2001&lt;&gt;"","（"&amp;MID(元データ!$AP$2:$AP$2001,2,100)&amp;")",""),"")),"")</f>
        <v/>
      </c>
      <c r="N124" s="61"/>
      <c r="O124" s="61"/>
      <c r="P124" s="43">
        <f ca="1">SUMPRODUCT((元データ!$AL$2:$AL$2001=1)*(元データ!$AN$2:$AN$2001=1)*(元データ!$AE$2:$AE$2001=$C$124)*(元データ!$AO$2:$AO$2001=1)*(元データ!$AM$2:$AM$2001&lt;=7)*(元データ!$E$2:$E$2001="31 ＯＰ確認中"))</f>
        <v>0</v>
      </c>
      <c r="Q124" s="61" t="str" cm="1">
        <f t="array" aca="1" ref="Q124" ca="1">IFERROR(_xlfn.TEXTJOIN(CHAR(10),TRUE,IF((元データ!$AL$2:$AL$2001=1)*(元データ!$AN$2:$AN$2001=1)*(元データ!$AE$2:$AE$2001=$C$124)*(元データ!$AO$2:$AO$2001=1)*(元データ!$AM$2:$AM$2001&lt;=7)*(元データ!$E$2:$E$2001="31 ＯＰ確認中"),元データ!$A$2:$A$2001&amp;IF(元データ!$AP$2:$AP$2001&lt;&gt;"","（"&amp;MID(元データ!$AP$2:$AP$2001,2,100)&amp;")",""),"")),"")</f>
        <v/>
      </c>
      <c r="R124" s="61"/>
      <c r="S124" s="61"/>
      <c r="T124" s="43">
        <f ca="1">SUMPRODUCT((元データ!$AL$2:$AL$2001=1)*(元データ!$AN$2:$AN$2001=1)*(元データ!$AE$2:$AE$2001=$C$124)*(元データ!$AO$2:$AO$2001=1)*(元データ!$AM$2:$AM$2001&lt;=7)*(元データ!$E$2:$E$2001="32 ＳＶ確認中"))</f>
        <v>0</v>
      </c>
      <c r="U124" s="61" t="str" cm="1">
        <f t="array" aca="1" ref="U124" ca="1">IFERROR(_xlfn.TEXTJOIN(CHAR(10),TRUE,IF((元データ!$AL$2:$AL$2001=1)*(元データ!$AN$2:$AN$2001=1)*(元データ!$AE$2:$AE$2001=$C$124)*(元データ!$AO$2:$AO$2001=1)*(元データ!$AM$2:$AM$2001&lt;=7)*(元データ!$E$2:$E$2001="32 ＳＶ確認中"),元データ!$A$2:$A$2001&amp;IF(元データ!$AP$2:$AP$2001&lt;&gt;"","（"&amp;MID(元データ!$AP$2:$AP$2001,2,100)&amp;")",""),"")),"")</f>
        <v/>
      </c>
      <c r="V124" s="61"/>
      <c r="W124" s="61"/>
      <c r="X124" s="43">
        <f ca="1">SUMPRODUCT((元データ!$AL$2:$AL$2001=1)*(元データ!$AN$2:$AN$2001=1)*(元データ!$AE$2:$AE$2001=$C$124)*(元データ!$AO$2:$AO$2001=1)*(元データ!$AM$2:$AM$2001&gt;=8)*(元データ!$AM$2:$AM$2001&lt;=14))</f>
        <v>0</v>
      </c>
      <c r="Y124" s="43">
        <f ca="1">SUMPRODUCT((元データ!$AL$2:$AL$2001=1)*(元データ!$AN$2:$AN$2001=1)*(元データ!$AE$2:$AE$2001=$C$124)*(元データ!$AO$2:$AO$2001=1)*(元データ!$AM$2:$AM$2001&gt;=8)*(元データ!$AM$2:$AM$2001&lt;=14)*(元データ!$E$2:$E$2001="20 確認待ち"))</f>
        <v>0</v>
      </c>
      <c r="Z124" s="61" t="str" cm="1">
        <f t="array" aca="1" ref="Z124" ca="1">IFERROR(_xlfn.TEXTJOIN(CHAR(10),TRUE,IF((元データ!$AL$2:$AL$2001=1)*(元データ!$AN$2:$AN$2001=1)*(元データ!$AE$2:$AE$2001=$C$124)*(元データ!$AO$2:$AO$2001=1)*(元データ!$AM$2:$AM$2001&gt;=8)*(元データ!$AM$2:$AM$2001&lt;=14)*(元データ!$E$2:$E$2001="20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24" s="61"/>
      <c r="AB124" s="61"/>
      <c r="AC124" s="43">
        <f ca="1">SUMPRODUCT((元データ!$AL$2:$AL$2001=1)*(元データ!$AN$2:$AN$2001=1)*(元データ!$AE$2:$AE$2001=$C$124)*(元データ!$AO$2:$AO$2001=1)*(元データ!$AM$2:$AM$2001&gt;=8)*(元データ!$AM$2:$AM$2001&lt;=14)*(元データ!$E$2:$E$2001="30 申請受付"))</f>
        <v>0</v>
      </c>
      <c r="AD124" s="61" t="str" cm="1">
        <f t="array" aca="1" ref="AD124" ca="1">IFERROR(_xlfn.TEXTJOIN(CHAR(10),TRUE,IF((元データ!$AL$2:$AL$2001=1)*(元データ!$AN$2:$AN$2001=1)*(元データ!$AE$2:$AE$2001=$C$124)*(元データ!$AO$2:$AO$2001=1)*(元データ!$AM$2:$AM$2001&gt;=8)*(元データ!$AM$2:$AM$2001&lt;=14)*(元データ!$E$2:$E$2001="30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24" s="61"/>
      <c r="AF124" s="61"/>
      <c r="AG124" s="43">
        <f ca="1">SUMPRODUCT((元データ!$AL$2:$AL$2001=1)*(元データ!$AN$2:$AN$2001=1)*(元データ!$AE$2:$AE$2001=$C$124)*(元データ!$AO$2:$AO$2001=1)*(元データ!$AM$2:$AM$2001&gt;=8)*(元データ!$AM$2:$AM$2001&lt;=14)*(元データ!$E$2:$E$2001="31 ＯＰ確認中"))</f>
        <v>0</v>
      </c>
      <c r="AH124" s="61" t="str" cm="1">
        <f t="array" aca="1" ref="AH124" ca="1">IFERROR(_xlfn.TEXTJOIN(CHAR(10),TRUE,IF((元データ!$AL$2:$AL$2001=1)*(元データ!$AN$2:$AN$2001=1)*(元データ!$AE$2:$AE$2001=$C$124)*(元データ!$AO$2:$AO$2001=1)*(元データ!$AM$2:$AM$2001&gt;=8)*(元データ!$AM$2:$AM$2001&lt;=14)*(元データ!$E$2:$E$2001="31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24" s="61"/>
      <c r="AJ124" s="61"/>
      <c r="AK124" s="43">
        <f ca="1">SUMPRODUCT((元データ!$AL$2:$AL$2001=1)*(元データ!$AN$2:$AN$2001=1)*(元データ!$AE$2:$AE$2001=$C$124)*(元データ!$AO$2:$AO$2001=1)*(元データ!$AM$2:$AM$2001&gt;=8)*(元データ!$AM$2:$AM$2001&lt;=14)*(元データ!$E$2:$E$2001="32 ＳＶ確認中"))</f>
        <v>0</v>
      </c>
      <c r="AL124" s="61" t="str" cm="1">
        <f t="array" aca="1" ref="AL124" ca="1">IFERROR(_xlfn.TEXTJOIN(CHAR(10),TRUE,IF((元データ!$AL$2:$AL$2001=1)*(元データ!$AN$2:$AN$2001=1)*(元データ!$AE$2:$AE$2001=$C$124)*(元データ!$AO$2:$AO$2001=1)*(元データ!$AM$2:$AM$2001&gt;=8)*(元データ!$AM$2:$AM$2001&lt;=14)*(元データ!$E$2:$E$2001="32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24" s="61">
        <f ca="1">SUMPRODUCT((元データ!$AL$2:$AL$2001=1)*(元データ!$AN$2:$AN$2001=1)*(元データ!$AE$2:$AE$2001=$C$124)*(元データ!$AO$2:$AO$2001=1)*(元データ!$AM$2:$AM$2001&gt;=8)*(元データ!$AM$2:$AM$2001&lt;=14)*(元データ!$E$2:$E$2001="40 差戻し"))</f>
        <v>0</v>
      </c>
      <c r="AN124" s="61" t="str" cm="1">
        <f t="array" aca="1" ref="AN124" ca="1">IFERROR(_xlfn.TEXTJOIN(CHAR(10),TRUE,IF((元データ!$AL$2:$AL$2001=1)*(元データ!$AN$2:$AN$2001=1)*(元データ!$AE$2:$AE$2001=$C$124)*(元データ!$AO$2:$AO$2001=1)*(元データ!$AM$2:$AM$2001&gt;=8)*(元データ!$AM$2:$AM$2001&lt;=14)*(元データ!$E$2:$E$2001="40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24" s="44">
        <f ca="1">SUMPRODUCT((元データ!$AL$2:$AL$2001=1)*(元データ!$AN$2:$AN$2001=1)*(元データ!$AE$2:$AE$2001=$C$124)*(元データ!$AO$2:$AO$2001=1)*(元データ!$AM$2:$AM$2001&gt;=15)*(元データ!$AM$2:$AM$2001&lt;=21))</f>
        <v>0</v>
      </c>
      <c r="AP124" s="44">
        <f ca="1">SUMPRODUCT((元データ!$AL$2:$AL$2001=1)*(元データ!$AN$2:$AN$2001=1)*(元データ!$AE$2:$AE$2001=$C$124)*(元データ!$AO$2:$AO$2001=1)*(元データ!$AM$2:$AM$2001&gt;=15)*(元データ!$AM$2:$AM$2001&lt;=21)*(元データ!$E$2:$E$2001="20 確認待ち"))</f>
        <v>0</v>
      </c>
      <c r="AQ124" s="58" t="str" cm="1">
        <f t="array" aca="1" ref="AQ124" ca="1">IFERROR(_xlfn.TEXTJOIN(CHAR(10),TRUE,IF((元データ!$AL$2:$AL$2001=1)*(元データ!$AN$2:$AN$2001=1)*(元データ!$AE$2:$AE$2001=$C$124)*(元データ!$AO$2:$AO$2001=1)*(元データ!$AM$2:$AM$2001&gt;=15)*(元データ!$AM$2:$AM$2001&lt;=21)*(元データ!$E$2:$E$2001="20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24" s="58"/>
      <c r="AS124" s="58"/>
      <c r="AT124" s="44">
        <f ca="1">SUMPRODUCT((元データ!$AL$2:$AL$2001=1)*(元データ!$AN$2:$AN$2001=1)*(元データ!$AE$2:$AE$2001=$C$124)*(元データ!$AO$2:$AO$2001=1)*(元データ!$AM$2:$AM$2001&gt;=15)*(元データ!$AM$2:$AM$2001&lt;=21)*(元データ!$E$2:$E$2001="30 申請受付"))</f>
        <v>0</v>
      </c>
      <c r="AU124" s="58" t="str" cm="1">
        <f t="array" aca="1" ref="AU124" ca="1">IFERROR(_xlfn.TEXTJOIN(CHAR(10),TRUE,IF((元データ!$AL$2:$AL$2001=1)*(元データ!$AN$2:$AN$2001=1)*(元データ!$AE$2:$AE$2001=$C$124)*(元データ!$AO$2:$AO$2001=1)*(元データ!$AM$2:$AM$2001&gt;=15)*(元データ!$AM$2:$AM$2001&lt;=21)*(元データ!$E$2:$E$2001="30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24" s="58"/>
      <c r="AW124" s="58"/>
      <c r="AX124" s="44">
        <f ca="1">SUMPRODUCT((元データ!$AL$2:$AL$2001=1)*(元データ!$AN$2:$AN$2001=1)*(元データ!$AE$2:$AE$2001=$C$124)*(元データ!$AO$2:$AO$2001=1)*(元データ!$AM$2:$AM$2001&gt;=15)*(元データ!$AM$2:$AM$2001&lt;=21)*(元データ!$E$2:$E$2001="31 ＯＰ確認中"))</f>
        <v>0</v>
      </c>
      <c r="AY124" s="58" t="str" cm="1">
        <f t="array" aca="1" ref="AY124" ca="1">IFERROR(_xlfn.TEXTJOIN(CHAR(10),TRUE,IF((元データ!$AL$2:$AL$2001=1)*(元データ!$AN$2:$AN$2001=1)*(元データ!$AE$2:$AE$2001=$C$124)*(元データ!$AO$2:$AO$2001=1)*(元データ!$AM$2:$AM$2001&gt;=15)*(元データ!$AM$2:$AM$2001&lt;=21)*(元データ!$E$2:$E$2001="31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24" s="58"/>
      <c r="BA124" s="58"/>
      <c r="BB124" s="44">
        <f ca="1">SUMPRODUCT((元データ!$AL$2:$AL$2001=1)*(元データ!$AN$2:$AN$2001=1)*(元データ!$AE$2:$AE$2001=$C$124)*(元データ!$AO$2:$AO$2001=1)*(元データ!$AM$2:$AM$2001&gt;=15)*(元データ!$AM$2:$AM$2001&lt;=21)*(元データ!$E$2:$E$2001="32 ＳＶ確認中"))</f>
        <v>0</v>
      </c>
      <c r="BC124" s="58" t="str" cm="1">
        <f t="array" aca="1" ref="BC124" ca="1">IFERROR(_xlfn.TEXTJOIN(CHAR(10),TRUE,IF((元データ!$AL$2:$AL$2001=1)*(元データ!$AN$2:$AN$2001=1)*(元データ!$AE$2:$AE$2001=$C$124)*(元データ!$AO$2:$AO$2001=1)*(元データ!$AM$2:$AM$2001&gt;=15)*(元データ!$AM$2:$AM$2001&lt;=21)*(元データ!$E$2:$E$2001="32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24" s="58">
        <f ca="1">SUMPRODUCT((元データ!$AL$2:$AL$2001=1)*(元データ!$AN$2:$AN$2001=1)*(元データ!$AE$2:$AE$2001=$C$124)*(元データ!$AO$2:$AO$2001=1)*(元データ!$AM$2:$AM$2001&gt;=15)*(元データ!$AM$2:$AM$2001&lt;=21)*(元データ!$E$2:$E$2001="40 差戻し"))</f>
        <v>0</v>
      </c>
      <c r="BE124" s="58" t="str" cm="1">
        <f t="array" aca="1" ref="BE124" ca="1">IFERROR(_xlfn.TEXTJOIN(CHAR(10),TRUE,IF((元データ!$AL$2:$AL$2001=1)*(元データ!$AN$2:$AN$2001=1)*(元データ!$AE$2:$AE$2001=$C$124)*(元データ!$AO$2:$AO$2001=1)*(元データ!$AM$2:$AM$2001&gt;=15)*(元データ!$AM$2:$AM$2001&lt;=21)*(元データ!$E$2:$E$2001="40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24" s="45">
        <f ca="1">SUMPRODUCT((元データ!$AL$2:$AL$2001=1)*(元データ!$AN$2:$AN$2001=1)*(元データ!$AE$2:$AE$2001=$C$124)*(元データ!$AO$2:$AO$2001=1)*(元データ!$AM$2:$AM$2001&gt;=22)*(元データ!$AM$2:$AM$2001&lt;=30))</f>
        <v>0</v>
      </c>
      <c r="BG124" s="45">
        <f ca="1">SUMPRODUCT((元データ!$AL$2:$AL$2001=1)*(元データ!$AN$2:$AN$2001=1)*(元データ!$AE$2:$AE$2001=$C$124)*(元データ!$AO$2:$AO$2001=1)*(元データ!$AM$2:$AM$2001&gt;=22)*(元データ!$AM$2:$AM$2001&lt;=30)*(元データ!$E$2:$E$2001="20 確認待ち"))</f>
        <v>0</v>
      </c>
      <c r="BH124" s="60" t="str" cm="1">
        <f t="array" aca="1" ref="BH124" ca="1">IFERROR(_xlfn.TEXTJOIN(CHAR(10),TRUE,IF((元データ!$AL$2:$AL$2001=1)*(元データ!$AN$2:$AN$2001=1)*(元データ!$AE$2:$AE$2001=$C$124)*(元データ!$AO$2:$AO$2001=1)*(元データ!$AM$2:$AM$2001&gt;=22)*(元データ!$AM$2:$AM$2001&lt;=30)*(元データ!$E$2:$E$2001="20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24" s="60"/>
      <c r="BJ124" s="60"/>
      <c r="BK124" s="45">
        <f ca="1">SUMPRODUCT((元データ!$AL$2:$AL$2001=1)*(元データ!$AN$2:$AN$2001=1)*(元データ!$AE$2:$AE$2001=$C$124)*(元データ!$AO$2:$AO$2001=1)*(元データ!$AM$2:$AM$2001&gt;=22)*(元データ!$AM$2:$AM$2001&lt;=30)*(元データ!$E$2:$E$2001="30 申請受付"))</f>
        <v>0</v>
      </c>
      <c r="BL124" s="59" t="str" cm="1">
        <f t="array" aca="1" ref="BL124" ca="1">IFERROR(_xlfn.TEXTJOIN(CHAR(10),TRUE,IF((元データ!$AL$2:$AL$2001=1)*(元データ!$AN$2:$AN$2001=1)*(元データ!$AE$2:$AE$2001=$C$124)*(元データ!$AO$2:$AO$2001=1)*(元データ!$AM$2:$AM$2001&gt;=22)*(元データ!$AM$2:$AM$2001&lt;=30)*(元データ!$E$2:$E$2001="30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24" s="59"/>
      <c r="BN124" s="59"/>
      <c r="BO124" s="45">
        <f ca="1">SUMPRODUCT((元データ!$AL$2:$AL$2001=1)*(元データ!$AN$2:$AN$2001=1)*(元データ!$AE$2:$AE$2001=$C$124)*(元データ!$AO$2:$AO$2001=1)*(元データ!$AM$2:$AM$2001&gt;=22)*(元データ!$AM$2:$AM$2001&lt;=30)*(元データ!$E$2:$E$2001="31 ＯＰ確認中"))</f>
        <v>0</v>
      </c>
      <c r="BP124" s="59" t="str" cm="1">
        <f t="array" aca="1" ref="BP124" ca="1">IFERROR(_xlfn.TEXTJOIN(CHAR(10),TRUE,IF((元データ!$AL$2:$AL$2001=1)*(元データ!$AN$2:$AN$2001=1)*(元データ!$AE$2:$AE$2001=$C$124)*(元データ!$AO$2:$AO$2001=1)*(元データ!$AM$2:$AM$2001&gt;=22)*(元データ!$AM$2:$AM$2001&lt;=30)*(元データ!$E$2:$E$2001="31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24" s="59"/>
      <c r="BR124" s="59"/>
      <c r="BS124" s="45">
        <f ca="1">SUMPRODUCT((元データ!$AL$2:$AL$2001=1)*(元データ!$AN$2:$AN$2001=1)*(元データ!$AE$2:$AE$2001=$C$124)*(元データ!$AO$2:$AO$2001=1)*(元データ!$AM$2:$AM$2001&gt;=22)*(元データ!$AM$2:$AM$2001&lt;=30)*(元データ!$E$2:$E$2001="32 ＳＶ確認中"))</f>
        <v>0</v>
      </c>
      <c r="BT124" s="59" t="str" cm="1">
        <f t="array" aca="1" ref="BT124" ca="1">IFERROR(_xlfn.TEXTJOIN(CHAR(10),TRUE,IF((元データ!$AL$2:$AL$2001=1)*(元データ!$AN$2:$AN$2001=1)*(元データ!$AE$2:$AE$2001=$C$124)*(元データ!$AO$2:$AO$2001=1)*(元データ!$AM$2:$AM$2001&gt;=22)*(元データ!$AM$2:$AM$2001&lt;=30)*(元データ!$E$2:$E$2001="32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24" s="59">
        <f ca="1">SUMPRODUCT((元データ!$AL$2:$AL$2001=1)*(元データ!$AN$2:$AN$2001=1)*(元データ!$AE$2:$AE$2001=$C$124)*(元データ!$AO$2:$AO$2001=1)*(元データ!$AM$2:$AM$2001&gt;=22)*(元データ!$AM$2:$AM$2001&lt;=30)*(元データ!$E$2:$E$2001="40 差戻し"))</f>
        <v>0</v>
      </c>
      <c r="BV124" s="59" t="str" cm="1">
        <f t="array" aca="1" ref="BV124" ca="1">IFERROR(_xlfn.TEXTJOIN(CHAR(10),TRUE,IF((元データ!$AL$2:$AL$2001=1)*(元データ!$AN$2:$AN$2001=1)*(元データ!$AE$2:$AE$2001=$C$124)*(元データ!$AO$2:$AO$2001=1)*(元データ!$AM$2:$AM$2001&gt;=22)*(元データ!$AM$2:$AM$2001&lt;=30)*(元データ!$E$2:$E$2001="40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24" s="46">
        <f ca="1">SUMPRODUCT((元データ!$AL$2:$AL$2001=1)*(元データ!$AN$2:$AN$2001=1)*(元データ!$AE$2:$AE$2001=$C$124)*(元データ!$AO$2:$AO$2001=1)*(元データ!$AM$2:$AM$2001&gt;=31))</f>
        <v>1</v>
      </c>
      <c r="BX124" s="46">
        <f ca="1">SUMPRODUCT((元データ!$AL$2:$AL$2001=1)*(元データ!$AN$2:$AN$2001=1)*(元データ!$AE$2:$AE$2001=$C$124)*(元データ!$AO$2:$AO$2001=1)*(元データ!$AM$2:$AM$2001&gt;=31)*(元データ!$E$2:$E$2001="20 確認待ち"))</f>
        <v>0</v>
      </c>
      <c r="BY124" s="56" t="str" cm="1">
        <f t="array" aca="1" ref="BY124" ca="1">IFERROR(_xlfn.TEXTJOIN(CHAR(10),TRUE,IF((元データ!$AL$2:$AL$2001=1)*(元データ!$AN$2:$AN$2001=1)*(元データ!$AE$2:$AE$2001=$C$124)*(元データ!$AO$2:$AO$2001=1)*(元データ!$AM$2:$AM$2001&gt;=31)*(元データ!$E$2:$E$2001="20 確認待ち"),元データ!$A$2:$A$2001&amp;IF(元データ!$AP$2:$AP$2001&lt;&gt;"","（"&amp;MID(元データ!$AP$2:$AP$2001,2,100)&amp;")",""),"")),"")</f>
        <v/>
      </c>
      <c r="BZ124" s="56"/>
      <c r="CA124" s="56"/>
      <c r="CB124" s="46">
        <f ca="1">SUMPRODUCT((元データ!$AL$2:$AL$2001=1)*(元データ!$AN$2:$AN$2001=1)*(元データ!$AE$2:$AE$2001=$C$124)*(元データ!$AO$2:$AO$2001=1)*(元データ!$AM$2:$AM$2001&gt;=31)*(元データ!$E$2:$E$2001="30 申請受付"))</f>
        <v>0</v>
      </c>
      <c r="CC124" s="56" t="str" cm="1">
        <f t="array" aca="1" ref="CC124" ca="1">IFERROR(_xlfn.TEXTJOIN(CHAR(10),TRUE,IF((元データ!$AL$2:$AL$2001=1)*(元データ!$AN$2:$AN$2001=1)*(元データ!$AE$2:$AE$2001=$C$124)*(元データ!$AO$2:$AO$2001=1)*(元データ!$AM$2:$AM$2001&gt;=31)*(元データ!$E$2:$E$2001="30 申請受付"),元データ!$A$2:$A$2001&amp;IF(元データ!$AP$2:$AP$2001&lt;&gt;"","（"&amp;MID(元データ!$AP$2:$AP$2001,2,100)&amp;")",""),"")),"")</f>
        <v/>
      </c>
      <c r="CD124" s="56"/>
      <c r="CE124" s="56"/>
      <c r="CF124" s="46">
        <f ca="1">SUMPRODUCT((元データ!$AL$2:$AL$2001=1)*(元データ!$AN$2:$AN$2001=1)*(元データ!$AE$2:$AE$2001=$C$124)*(元データ!$AO$2:$AO$2001=1)*(元データ!$AM$2:$AM$2001&gt;=31)*(元データ!$E$2:$E$2001="31 ＯＰ確認中"))</f>
        <v>0</v>
      </c>
      <c r="CG124" s="56" t="str" cm="1">
        <f t="array" aca="1" ref="CG124" ca="1">IFERROR(_xlfn.TEXTJOIN(CHAR(10),TRUE,IF((元データ!$AL$2:$AL$2001=1)*(元データ!$AN$2:$AN$2001=1)*(元データ!$AE$2:$AE$2001=$C$124)*(元データ!$AO$2:$AO$2001=1)*(元データ!$AM$2:$AM$2001&gt;=31)*(元データ!$E$2:$E$2001="31 ＯＰ確認中"),元データ!$A$2:$A$2001&amp;IF(元データ!$AP$2:$AP$2001&lt;&gt;"","（"&amp;MID(元データ!$AP$2:$AP$2001,2,100)&amp;")",""),"")),"")</f>
        <v/>
      </c>
      <c r="CH124" s="56"/>
      <c r="CI124" s="56"/>
      <c r="CJ124" s="46">
        <f ca="1">SUMPRODUCT((元データ!$AL$2:$AL$2001=1)*(元データ!$AN$2:$AN$2001=1)*(元データ!$AE$2:$AE$2001=$C$124)*(元データ!$AO$2:$AO$2001=1)*(元データ!$AM$2:$AM$2001&gt;=31)*(元データ!$E$2:$E$2001="32 ＳＶ確認中"))</f>
        <v>1</v>
      </c>
      <c r="CK124" s="56" t="str" cm="1">
        <f t="array" aca="1" ref="CK124" ca="1">IFERROR(_xlfn.TEXTJOIN(CHAR(10),TRUE,IF((元データ!$AL$2:$AL$2001=1)*(元データ!$AN$2:$AN$2001=1)*(元データ!$AE$2:$AE$2001=$C$124)*(元データ!$AO$2:$AO$2001=1)*(元データ!$AM$2:$AM$2001&gt;=31)*(元データ!$E$2:$E$2001="32 ＳＶ確認中"),元データ!$A$2:$A$2001&amp;IF(元データ!$AP$2:$AP$2001&lt;&gt;"","（"&amp;MID(元データ!$AP$2:$AP$2001,2,100)&amp;")",""),"")),"")</f>
        <v>202460002704</v>
      </c>
      <c r="CL124" s="56">
        <f ca="1">SUMPRODUCT((元データ!$AL$2:$AL$2001=1)*(元データ!$AN$2:$AN$2001=1)*(元データ!$AE$2:$AE$2001=$C$124)*(元データ!$AO$2:$AO$2001=1)*(元データ!$AM$2:$AM$2001&gt;=31)*(元データ!$E$2:$E$2001="40 差戻し"))</f>
        <v>0</v>
      </c>
      <c r="CM124" s="56" t="str" cm="1">
        <f t="array" aca="1" ref="CM124" ca="1">IFERROR(_xlfn.TEXTJOIN(CHAR(10),TRUE,IF((元データ!$AL$2:$AL$2001=1)*(元データ!$AN$2:$AN$2001=1)*(元データ!$AE$2:$AE$2001=$C$124)*(元データ!$AO$2:$AO$2001=1)*(元データ!$AM$2:$AM$2001&gt;=31)*(元データ!$E$2:$E$2001="40 差戻し"),元データ!$A$2:$A$2001&amp;IF(元データ!$AP$2:$AP$2001&lt;&gt;"","（"&amp;MID(元データ!$AP$2:$AP$2001,2,100)&amp;")",""),"")),"")</f>
        <v/>
      </c>
    </row>
    <row r="125" spans="2:93" ht="24.95" customHeight="1">
      <c r="B125" s="92"/>
      <c r="C125" s="63"/>
      <c r="D125" s="63"/>
      <c r="E125" s="47" t="s">
        <v>134</v>
      </c>
      <c r="F125" s="48">
        <f>SUMPRODUCT((元データ!$AL$2:$AL$2001=1)*(元データ!$AN$2:$AN$2001=1)*(元データ!$AE$2:$AE$2001=$C$124)*(元データ!$AO$2:$AO$2001=0))</f>
        <v>0</v>
      </c>
      <c r="G125" s="49">
        <f ca="1">SUMPRODUCT((元データ!$AL$2:$AL$2001=1)*(元データ!$AN$2:$AN$2001=1)*(元データ!$AE$2:$AE$2001=$C$124)*(元データ!$AO$2:$AO$2001=0)*(元データ!$AM$2:$AM$2001&lt;=7))</f>
        <v>0</v>
      </c>
      <c r="H125" s="49">
        <f ca="1">SUMPRODUCT((元データ!$AL$2:$AL$2001=1)*(元データ!$AN$2:$AN$2001=1)*(元データ!$AE$2:$AE$2001=$C$124)*(元データ!$AO$2:$AO$2001=0)*(元データ!$AM$2:$AM$2001&lt;=7)*(元データ!$E$2:$E$2001="20 確認待ち"))</f>
        <v>0</v>
      </c>
      <c r="I125" s="57" t="str" cm="1">
        <f t="array" aca="1" ref="I125" ca="1">IFERROR(_xlfn.TEXTJOIN(CHAR(10),TRUE,IF((元データ!$AL$2:$AL$2001=1)*(元データ!$AN$2:$AN$2001=1)*(元データ!$AE$2:$AE$2001=$C$124)*(元データ!$AO$2:$AO$2001=0)*(元データ!$AM$2:$AM$2001&lt;=7)*(元データ!$E$2:$E$2001="20 確認待ち"),元データ!$A$2:$A$2001&amp;IF(元データ!$AP$2:$AP$2001&lt;&gt;"","（"&amp;MID(元データ!$AP$2:$AP$2001,2,100)&amp;")",""),"")),"")</f>
        <v/>
      </c>
      <c r="J125" s="57"/>
      <c r="K125" s="57"/>
      <c r="L125" s="49">
        <f ca="1">SUMPRODUCT((元データ!$AL$2:$AL$2001=1)*(元データ!$AN$2:$AN$2001=1)*(元データ!$AE$2:$AE$2001=$C$124)*(元データ!$AO$2:$AO$2001=0)*(元データ!$AM$2:$AM$2001&lt;=7)*(元データ!$E$2:$E$2001="30 申請受付"))</f>
        <v>0</v>
      </c>
      <c r="M125" s="57" t="str" cm="1">
        <f t="array" aca="1" ref="M125" ca="1">IFERROR(_xlfn.TEXTJOIN(CHAR(10),TRUE,IF((元データ!$AL$2:$AL$2001=1)*(元データ!$AN$2:$AN$2001=1)*(元データ!$AE$2:$AE$2001=$C$124)*(元データ!$AO$2:$AO$2001=0)*(元データ!$AM$2:$AM$2001&lt;=7)*(元データ!$E$2:$E$2001="30 申請受付"),元データ!$A$2:$A$2001&amp;IF(元データ!$AP$2:$AP$2001&lt;&gt;"","（"&amp;MID(元データ!$AP$2:$AP$2001,2,100)&amp;")",""),"")),"")</f>
        <v/>
      </c>
      <c r="N125" s="57"/>
      <c r="O125" s="57"/>
      <c r="P125" s="49">
        <f ca="1">SUMPRODUCT((元データ!$AL$2:$AL$2001=1)*(元データ!$AN$2:$AN$2001=1)*(元データ!$AE$2:$AE$2001=$C$124)*(元データ!$AO$2:$AO$2001=0)*(元データ!$AM$2:$AM$2001&lt;=7)*(元データ!$E$2:$E$2001="31 ＯＰ確認中"))</f>
        <v>0</v>
      </c>
      <c r="Q125" s="57" t="str" cm="1">
        <f t="array" aca="1" ref="Q125" ca="1">IFERROR(_xlfn.TEXTJOIN(CHAR(10),TRUE,IF((元データ!$AL$2:$AL$2001=1)*(元データ!$AN$2:$AN$2001=1)*(元データ!$AE$2:$AE$2001=$C$124)*(元データ!$AO$2:$AO$2001=0)*(元データ!$AM$2:$AM$2001&lt;=7)*(元データ!$E$2:$E$2001="31 ＯＰ確認中"),元データ!$A$2:$A$2001&amp;IF(元データ!$AP$2:$AP$2001&lt;&gt;"","（"&amp;MID(元データ!$AP$2:$AP$2001,2,100)&amp;")",""),"")),"")</f>
        <v/>
      </c>
      <c r="R125" s="57"/>
      <c r="S125" s="57"/>
      <c r="T125" s="49">
        <f ca="1">SUMPRODUCT((元データ!$AL$2:$AL$2001=1)*(元データ!$AN$2:$AN$2001=1)*(元データ!$AE$2:$AE$2001=$C$124)*(元データ!$AO$2:$AO$2001=0)*(元データ!$AM$2:$AM$2001&lt;=7)*(元データ!$E$2:$E$2001="32 ＳＶ確認中"))</f>
        <v>0</v>
      </c>
      <c r="U125" s="57" t="str" cm="1">
        <f t="array" aca="1" ref="U125" ca="1">IFERROR(_xlfn.TEXTJOIN(CHAR(10),TRUE,IF((元データ!$AL$2:$AL$2001=1)*(元データ!$AN$2:$AN$2001=1)*(元データ!$AE$2:$AE$2001=$C$124)*(元データ!$AO$2:$AO$2001=0)*(元データ!$AM$2:$AM$2001&lt;=7)*(元データ!$E$2:$E$2001="32 ＳＶ確認中"),元データ!$A$2:$A$2001&amp;IF(元データ!$AP$2:$AP$2001&lt;&gt;"","（"&amp;MID(元データ!$AP$2:$AP$2001,2,100)&amp;")",""),"")),"")</f>
        <v/>
      </c>
      <c r="V125" s="57"/>
      <c r="W125" s="57"/>
      <c r="X125" s="49">
        <f ca="1">SUMPRODUCT((元データ!$AL$2:$AL$2001=1)*(元データ!$AN$2:$AN$2001=1)*(元データ!$AE$2:$AE$2001=$C$124)*(元データ!$AO$2:$AO$2001=0)*(元データ!$AM$2:$AM$2001&gt;=8)*(元データ!$AM$2:$AM$2001&lt;=14))</f>
        <v>0</v>
      </c>
      <c r="Y125" s="49">
        <f ca="1">SUMPRODUCT((元データ!$AL$2:$AL$2001=1)*(元データ!$AN$2:$AN$2001=1)*(元データ!$AE$2:$AE$2001=$C$124)*(元データ!$AO$2:$AO$2001=0)*(元データ!$AM$2:$AM$2001&gt;=8)*(元データ!$AM$2:$AM$2001&lt;=14)*(元データ!$E$2:$E$2001="20 確認待ち"))</f>
        <v>0</v>
      </c>
      <c r="Z125" s="57" t="str" cm="1">
        <f t="array" aca="1" ref="Z125" ca="1">IFERROR(_xlfn.TEXTJOIN(CHAR(10),TRUE,IF((元データ!$AL$2:$AL$2001=1)*(元データ!$AN$2:$AN$2001=1)*(元データ!$AE$2:$AE$2001=$C$124)*(元データ!$AO$2:$AO$2001=0)*(元データ!$AM$2:$AM$2001&gt;=8)*(元データ!$AM$2:$AM$2001&lt;=14)*(元データ!$E$2:$E$2001="20 確認待ち"),元データ!$A$2:$A$2001&amp;IF(元データ!$AP$2:$AP$2001&lt;&gt;"","（"&amp;MID(元データ!$AP$2:$AP$2001,2,100)&amp;")",""),"")),"")</f>
        <v/>
      </c>
      <c r="AA125" s="57"/>
      <c r="AB125" s="57"/>
      <c r="AC125" s="49">
        <f ca="1">SUMPRODUCT((元データ!$AL$2:$AL$2001=1)*(元データ!$AN$2:$AN$2001=1)*(元データ!$AE$2:$AE$2001=$C$124)*(元データ!$AO$2:$AO$2001=0)*(元データ!$AM$2:$AM$2001&gt;=8)*(元データ!$AM$2:$AM$2001&lt;=14)*(元データ!$E$2:$E$2001="30 申請受付"))</f>
        <v>0</v>
      </c>
      <c r="AD125" s="57" t="str" cm="1">
        <f t="array" aca="1" ref="AD125" ca="1">IFERROR(_xlfn.TEXTJOIN(CHAR(10),TRUE,IF((元データ!$AL$2:$AL$2001=1)*(元データ!$AN$2:$AN$2001=1)*(元データ!$AE$2:$AE$2001=$C$124)*(元データ!$AO$2:$AO$2001=0)*(元データ!$AM$2:$AM$2001&gt;=8)*(元データ!$AM$2:$AM$2001&lt;=14)*(元データ!$E$2:$E$2001="30 申請受付"),元データ!$A$2:$A$2001&amp;IF(元データ!$AP$2:$AP$2001&lt;&gt;"","（"&amp;MID(元データ!$AP$2:$AP$2001,2,100)&amp;")",""),"")),"")</f>
        <v/>
      </c>
      <c r="AE125" s="57"/>
      <c r="AF125" s="57"/>
      <c r="AG125" s="49">
        <f ca="1">SUMPRODUCT((元データ!$AL$2:$AL$2001=1)*(元データ!$AN$2:$AN$2001=1)*(元データ!$AE$2:$AE$2001=$C$124)*(元データ!$AO$2:$AO$2001=0)*(元データ!$AM$2:$AM$2001&gt;=8)*(元データ!$AM$2:$AM$2001&lt;=14)*(元データ!$E$2:$E$2001="31 ＯＰ確認中"))</f>
        <v>0</v>
      </c>
      <c r="AH125" s="57" t="str" cm="1">
        <f t="array" aca="1" ref="AH125" ca="1">IFERROR(_xlfn.TEXTJOIN(CHAR(10),TRUE,IF((元データ!$AL$2:$AL$2001=1)*(元データ!$AN$2:$AN$2001=1)*(元データ!$AE$2:$AE$2001=$C$124)*(元データ!$AO$2:$AO$2001=0)*(元データ!$AM$2:$AM$2001&gt;=8)*(元データ!$AM$2:$AM$2001&lt;=14)*(元データ!$E$2:$E$2001="31 ＯＰ確認中"),元データ!$A$2:$A$2001&amp;IF(元データ!$AP$2:$AP$2001&lt;&gt;"","（"&amp;MID(元データ!$AP$2:$AP$2001,2,100)&amp;")",""),"")),"")</f>
        <v/>
      </c>
      <c r="AI125" s="57"/>
      <c r="AJ125" s="57"/>
      <c r="AK125" s="49">
        <f ca="1">SUMPRODUCT((元データ!$AL$2:$AL$2001=1)*(元データ!$AN$2:$AN$2001=1)*(元データ!$AE$2:$AE$2001=$C$124)*(元データ!$AO$2:$AO$2001=0)*(元データ!$AM$2:$AM$2001&gt;=8)*(元データ!$AM$2:$AM$2001&lt;=14)*(元データ!$E$2:$E$2001="32 ＳＶ確認中"))</f>
        <v>0</v>
      </c>
      <c r="AL125" s="57" t="str" cm="1">
        <f t="array" aca="1" ref="AL125" ca="1">IFERROR(_xlfn.TEXTJOIN(CHAR(10),TRUE,IF((元データ!$AL$2:$AL$2001=1)*(元データ!$AN$2:$AN$2001=1)*(元データ!$AE$2:$AE$2001=$C$124)*(元データ!$AO$2:$AO$2001=0)*(元データ!$AM$2:$AM$2001&gt;=8)*(元データ!$AM$2:$AM$2001&lt;=14)*(元データ!$E$2:$E$2001="32 ＳＶ確認中"),元データ!$A$2:$A$2001&amp;IF(元データ!$AP$2:$AP$2001&lt;&gt;"","（"&amp;MID(元データ!$AP$2:$AP$2001,2,100)&amp;")",""),"")),"")</f>
        <v/>
      </c>
      <c r="AM125" s="57">
        <f ca="1">SUMPRODUCT((元データ!$AL$2:$AL$2001=1)*(元データ!$AN$2:$AN$2001=1)*(元データ!$AE$2:$AE$2001=$C$124)*(元データ!$AO$2:$AO$2001=0)*(元データ!$AM$2:$AM$2001&gt;=8)*(元データ!$AM$2:$AM$2001&lt;=14)*(元データ!$E$2:$E$2001="40 差戻し"))</f>
        <v>0</v>
      </c>
      <c r="AN125" s="57" t="str" cm="1">
        <f t="array" aca="1" ref="AN125" ca="1">IFERROR(_xlfn.TEXTJOIN(CHAR(10),TRUE,IF((元データ!$AL$2:$AL$2001=1)*(元データ!$AN$2:$AN$2001=1)*(元データ!$AE$2:$AE$2001=$C$124)*(元データ!$AO$2:$AO$2001=0)*(元データ!$AM$2:$AM$2001&gt;=8)*(元データ!$AM$2:$AM$2001&lt;=14)*(元データ!$E$2:$E$2001="40 差戻し"),元データ!$A$2:$A$2001&amp;IF(元データ!$AP$2:$AP$2001&lt;&gt;"","（"&amp;MID(元データ!$AP$2:$AP$2001,2,100)&amp;")",""),"")),"")</f>
        <v/>
      </c>
      <c r="AO125" s="44">
        <f ca="1">SUMPRODUCT((元データ!$AL$2:$AL$2001=1)*(元データ!$AN$2:$AN$2001=1)*(元データ!$AE$2:$AE$2001=$C$124)*(元データ!$AO$2:$AO$2001=0)*(元データ!$AM$2:$AM$2001&gt;=15)*(元データ!$AM$2:$AM$2001&lt;=21))</f>
        <v>0</v>
      </c>
      <c r="AP125" s="44">
        <f ca="1">SUMPRODUCT((元データ!$AL$2:$AL$2001=1)*(元データ!$AN$2:$AN$2001=1)*(元データ!$AE$2:$AE$2001=$C$124)*(元データ!$AO$2:$AO$2001=0)*(元データ!$AM$2:$AM$2001&gt;=15)*(元データ!$AM$2:$AM$2001&lt;=21)*(元データ!$E$2:$E$2001="20 確認待ち"))</f>
        <v>0</v>
      </c>
      <c r="AQ125" s="58" t="str" cm="1">
        <f t="array" aca="1" ref="AQ125" ca="1">IFERROR(_xlfn.TEXTJOIN(CHAR(10),TRUE,IF((元データ!$AL$2:$AL$2001=1)*(元データ!$AN$2:$AN$2001=1)*(元データ!$AE$2:$AE$2001=$C$124)*(元データ!$AO$2:$AO$2001=0)*(元データ!$AM$2:$AM$2001&gt;=15)*(元データ!$AM$2:$AM$2001&lt;=21)*(元データ!$E$2:$E$2001="20 確認待ち"),元データ!$A$2:$A$2001&amp;IF(元データ!$AP$2:$AP$2001&lt;&gt;"","（"&amp;MID(元データ!$AP$2:$AP$2001,2,100)&amp;")",""),"")),"")</f>
        <v/>
      </c>
      <c r="AR125" s="58"/>
      <c r="AS125" s="58"/>
      <c r="AT125" s="44">
        <f ca="1">SUMPRODUCT((元データ!$AL$2:$AL$2001=1)*(元データ!$AN$2:$AN$2001=1)*(元データ!$AE$2:$AE$2001=$C$124)*(元データ!$AO$2:$AO$2001=0)*(元データ!$AM$2:$AM$2001&gt;=15)*(元データ!$AM$2:$AM$2001&lt;=21)*(元データ!$E$2:$E$2001="30 申請受付"))</f>
        <v>0</v>
      </c>
      <c r="AU125" s="58" t="str" cm="1">
        <f t="array" aca="1" ref="AU125" ca="1">IFERROR(_xlfn.TEXTJOIN(CHAR(10),TRUE,IF((元データ!$AL$2:$AL$2001=1)*(元データ!$AN$2:$AN$2001=1)*(元データ!$AE$2:$AE$2001=$C$124)*(元データ!$AO$2:$AO$2001=0)*(元データ!$AM$2:$AM$2001&gt;=15)*(元データ!$AM$2:$AM$2001&lt;=21)*(元データ!$E$2:$E$2001="30 申請受付"),元データ!$A$2:$A$2001&amp;IF(元データ!$AP$2:$AP$2001&lt;&gt;"","（"&amp;MID(元データ!$AP$2:$AP$2001,2,100)&amp;")",""),"")),"")</f>
        <v/>
      </c>
      <c r="AV125" s="58"/>
      <c r="AW125" s="58"/>
      <c r="AX125" s="44">
        <f ca="1">SUMPRODUCT((元データ!$AL$2:$AL$2001=1)*(元データ!$AN$2:$AN$2001=1)*(元データ!$AE$2:$AE$2001=$C$124)*(元データ!$AO$2:$AO$2001=0)*(元データ!$AM$2:$AM$2001&gt;=15)*(元データ!$AM$2:$AM$2001&lt;=21)*(元データ!$E$2:$E$2001="31 ＯＰ確認中"))</f>
        <v>0</v>
      </c>
      <c r="AY125" s="58" t="str" cm="1">
        <f t="array" aca="1" ref="AY125" ca="1">IFERROR(_xlfn.TEXTJOIN(CHAR(10),TRUE,IF((元データ!$AL$2:$AL$2001=1)*(元データ!$AN$2:$AN$2001=1)*(元データ!$AE$2:$AE$2001=$C$124)*(元データ!$AO$2:$AO$2001=0)*(元データ!$AM$2:$AM$2001&gt;=15)*(元データ!$AM$2:$AM$2001&lt;=21)*(元データ!$E$2:$E$2001="31 ＯＰ確認中"),元データ!$A$2:$A$2001&amp;IF(元データ!$AP$2:$AP$2001&lt;&gt;"","（"&amp;MID(元データ!$AP$2:$AP$2001,2,100)&amp;")",""),"")),"")</f>
        <v/>
      </c>
      <c r="AZ125" s="58"/>
      <c r="BA125" s="58"/>
      <c r="BB125" s="44">
        <f ca="1">SUMPRODUCT((元データ!$AL$2:$AL$2001=1)*(元データ!$AN$2:$AN$2001=1)*(元データ!$AE$2:$AE$2001=$C$124)*(元データ!$AO$2:$AO$2001=0)*(元データ!$AM$2:$AM$2001&gt;=15)*(元データ!$AM$2:$AM$2001&lt;=21)*(元データ!$E$2:$E$2001="32 ＳＶ確認中"))</f>
        <v>0</v>
      </c>
      <c r="BC125" s="58" t="str" cm="1">
        <f t="array" aca="1" ref="BC125" ca="1">IFERROR(_xlfn.TEXTJOIN(CHAR(10),TRUE,IF((元データ!$AL$2:$AL$2001=1)*(元データ!$AN$2:$AN$2001=1)*(元データ!$AE$2:$AE$2001=$C$124)*(元データ!$AO$2:$AO$2001=0)*(元データ!$AM$2:$AM$2001&gt;=15)*(元データ!$AM$2:$AM$2001&lt;=21)*(元データ!$E$2:$E$2001="32 ＳＶ確認中"),元データ!$A$2:$A$2001&amp;IF(元データ!$AP$2:$AP$2001&lt;&gt;"","（"&amp;MID(元データ!$AP$2:$AP$2001,2,100)&amp;")",""),"")),"")</f>
        <v/>
      </c>
      <c r="BD125" s="58">
        <f ca="1">SUMPRODUCT((元データ!$AL$2:$AL$2001=1)*(元データ!$AN$2:$AN$2001=1)*(元データ!$AE$2:$AE$2001=$C$124)*(元データ!$AO$2:$AO$2001=0)*(元データ!$AM$2:$AM$2001&gt;=15)*(元データ!$AM$2:$AM$2001&lt;=21)*(元データ!$E$2:$E$2001="40 差戻し"))</f>
        <v>0</v>
      </c>
      <c r="BE125" s="58" t="str" cm="1">
        <f t="array" aca="1" ref="BE125" ca="1">IFERROR(_xlfn.TEXTJOIN(CHAR(10),TRUE,IF((元データ!$AL$2:$AL$2001=1)*(元データ!$AN$2:$AN$2001=1)*(元データ!$AE$2:$AE$2001=$C$124)*(元データ!$AO$2:$AO$2001=0)*(元データ!$AM$2:$AM$2001&gt;=15)*(元データ!$AM$2:$AM$2001&lt;=21)*(元データ!$E$2:$E$2001="40 差戻し"),元データ!$A$2:$A$2001&amp;IF(元データ!$AP$2:$AP$2001&lt;&gt;"","（"&amp;MID(元データ!$AP$2:$AP$2001,2,100)&amp;")",""),"")),"")</f>
        <v/>
      </c>
      <c r="BF125" s="45">
        <f ca="1">SUMPRODUCT((元データ!$AL$2:$AL$2001=1)*(元データ!$AN$2:$AN$2001=1)*(元データ!$AE$2:$AE$2001=$C$124)*(元データ!$AO$2:$AO$2001=0)*(元データ!$AM$2:$AM$2001&gt;=22)*(元データ!$AM$2:$AM$2001&lt;=30))</f>
        <v>0</v>
      </c>
      <c r="BG125" s="45">
        <f ca="1">SUMPRODUCT((元データ!$AL$2:$AL$2001=1)*(元データ!$AN$2:$AN$2001=1)*(元データ!$AE$2:$AE$2001=$C$124)*(元データ!$AO$2:$AO$2001=0)*(元データ!$AM$2:$AM$2001&gt;=22)*(元データ!$AM$2:$AM$2001&lt;=30)*(元データ!$E$2:$E$2001="20 確認待ち"))</f>
        <v>0</v>
      </c>
      <c r="BH125" s="59" t="str" cm="1">
        <f t="array" aca="1" ref="BH125" ca="1">IFERROR(_xlfn.TEXTJOIN(CHAR(10),TRUE,IF((元データ!$AL$2:$AL$2001=1)*(元データ!$AN$2:$AN$2001=1)*(元データ!$AE$2:$AE$2001=$C$124)*(元データ!$AO$2:$AO$2001=0)*(元データ!$AM$2:$AM$2001&gt;=22)*(元データ!$AM$2:$AM$2001&lt;=30)*(元データ!$E$2:$E$2001="20 確認待ち"),元データ!$A$2:$A$2001&amp;IF(元データ!$AP$2:$AP$2001&lt;&gt;"","（"&amp;MID(元データ!$AP$2:$AP$2001,2,100)&amp;")",""),"")),"")</f>
        <v/>
      </c>
      <c r="BI125" s="59"/>
      <c r="BJ125" s="59"/>
      <c r="BK125" s="45">
        <f ca="1">SUMPRODUCT((元データ!$AL$2:$AL$2001=1)*(元データ!$AN$2:$AN$2001=1)*(元データ!$AE$2:$AE$2001=$C$124)*(元データ!$AO$2:$AO$2001=0)*(元データ!$AM$2:$AM$2001&gt;=22)*(元データ!$AM$2:$AM$2001&lt;=30)*(元データ!$E$2:$E$2001="30 申請受付"))</f>
        <v>0</v>
      </c>
      <c r="BL125" s="59" t="str" cm="1">
        <f t="array" aca="1" ref="BL125" ca="1">IFERROR(_xlfn.TEXTJOIN(CHAR(10),TRUE,IF((元データ!$AL$2:$AL$2001=1)*(元データ!$AN$2:$AN$2001=1)*(元データ!$AE$2:$AE$2001=$C$124)*(元データ!$AO$2:$AO$2001=0)*(元データ!$AM$2:$AM$2001&gt;=22)*(元データ!$AM$2:$AM$2001&lt;=30)*(元データ!$E$2:$E$2001="30 申請受付"),元データ!$A$2:$A$2001&amp;IF(元データ!$AP$2:$AP$2001&lt;&gt;"","（"&amp;MID(元データ!$AP$2:$AP$2001,2,100)&amp;")",""),"")),"")</f>
        <v/>
      </c>
      <c r="BM125" s="59"/>
      <c r="BN125" s="59"/>
      <c r="BO125" s="45">
        <f ca="1">SUMPRODUCT((元データ!$AL$2:$AL$2001=1)*(元データ!$AN$2:$AN$2001=1)*(元データ!$AE$2:$AE$2001=$C$124)*(元データ!$AO$2:$AO$2001=0)*(元データ!$AM$2:$AM$2001&gt;=22)*(元データ!$AM$2:$AM$2001&lt;=30)*(元データ!$E$2:$E$2001="31 ＯＰ確認中"))</f>
        <v>0</v>
      </c>
      <c r="BP125" s="59" t="str" cm="1">
        <f t="array" aca="1" ref="BP125" ca="1">IFERROR(_xlfn.TEXTJOIN(CHAR(10),TRUE,IF((元データ!$AL$2:$AL$2001=1)*(元データ!$AN$2:$AN$2001=1)*(元データ!$AE$2:$AE$2001=$C$124)*(元データ!$AO$2:$AO$2001=0)*(元データ!$AM$2:$AM$2001&gt;=22)*(元データ!$AM$2:$AM$2001&lt;=30)*(元データ!$E$2:$E$2001="31 ＯＰ確認中"),元データ!$A$2:$A$2001&amp;IF(元データ!$AP$2:$AP$2001&lt;&gt;"","（"&amp;MID(元データ!$AP$2:$AP$2001,2,100)&amp;")",""),"")),"")</f>
        <v/>
      </c>
      <c r="BQ125" s="59"/>
      <c r="BR125" s="59"/>
      <c r="BS125" s="45">
        <f ca="1">SUMPRODUCT((元データ!$AL$2:$AL$2001=1)*(元データ!$AN$2:$AN$2001=1)*(元データ!$AE$2:$AE$2001=$C$124)*(元データ!$AO$2:$AO$2001=0)*(元データ!$AM$2:$AM$2001&gt;=22)*(元データ!$AM$2:$AM$2001&lt;=30)*(元データ!$E$2:$E$2001="32 ＳＶ確認中"))</f>
        <v>0</v>
      </c>
      <c r="BT125" s="59" t="str" cm="1">
        <f t="array" aca="1" ref="BT125" ca="1">IFERROR(_xlfn.TEXTJOIN(CHAR(10),TRUE,IF((元データ!$AL$2:$AL$2001=1)*(元データ!$AN$2:$AN$2001=1)*(元データ!$AE$2:$AE$2001=$C$124)*(元データ!$AO$2:$AO$2001=0)*(元データ!$AM$2:$AM$2001&gt;=22)*(元データ!$AM$2:$AM$2001&lt;=30)*(元データ!$E$2:$E$2001="32 ＳＶ確認中"),元データ!$A$2:$A$2001&amp;IF(元データ!$AP$2:$AP$2001&lt;&gt;"","（"&amp;MID(元データ!$AP$2:$AP$2001,2,100)&amp;")",""),"")),"")</f>
        <v/>
      </c>
      <c r="BU125" s="59">
        <f ca="1">SUMPRODUCT((元データ!$AL$2:$AL$2001=1)*(元データ!$AN$2:$AN$2001=1)*(元データ!$AE$2:$AE$2001=$C$124)*(元データ!$AO$2:$AO$2001=0)*(元データ!$AM$2:$AM$2001&gt;=22)*(元データ!$AM$2:$AM$2001&lt;=30)*(元データ!$E$2:$E$2001="40 差戻し"))</f>
        <v>0</v>
      </c>
      <c r="BV125" s="59" t="str" cm="1">
        <f t="array" aca="1" ref="BV125" ca="1">IFERROR(_xlfn.TEXTJOIN(CHAR(10),TRUE,IF((元データ!$AL$2:$AL$2001=1)*(元データ!$AN$2:$AN$2001=1)*(元データ!$AE$2:$AE$2001=$C$124)*(元データ!$AO$2:$AO$2001=0)*(元データ!$AM$2:$AM$2001&gt;=22)*(元データ!$AM$2:$AM$2001&lt;=30)*(元データ!$E$2:$E$2001="40 差戻し"),元データ!$A$2:$A$2001&amp;IF(元データ!$AP$2:$AP$2001&lt;&gt;"","（"&amp;MID(元データ!$AP$2:$AP$2001,2,100)&amp;")",""),"")),"")</f>
        <v/>
      </c>
      <c r="BW125" s="46">
        <f ca="1">SUMPRODUCT((元データ!$AL$2:$AL$2001=1)*(元データ!$AN$2:$AN$2001=1)*(元データ!$AE$2:$AE$2001=$C$124)*(元データ!$AO$2:$AO$2001=0)*(元データ!$AM$2:$AM$2001&gt;=31))</f>
        <v>0</v>
      </c>
      <c r="BX125" s="46">
        <f ca="1">SUMPRODUCT((元データ!$AL$2:$AL$2001=1)*(元データ!$AN$2:$AN$2001=1)*(元データ!$AE$2:$AE$2001=$C$124)*(元データ!$AO$2:$AO$2001=0)*(元データ!$AM$2:$AM$2001&gt;=31)*(元データ!$E$2:$E$2001="20 確認待ち"))</f>
        <v>0</v>
      </c>
      <c r="BY125" s="56" t="str" cm="1">
        <f t="array" aca="1" ref="BY125" ca="1">IFERROR(_xlfn.TEXTJOIN(CHAR(10),TRUE,IF((元データ!$AL$2:$AL$2001=1)*(元データ!$AN$2:$AN$2001=1)*(元データ!$AE$2:$AE$2001=$C$124)*(元データ!$AO$2:$AO$2001=0)*(元データ!$AM$2:$AM$2001&gt;=31)*(元データ!$E$2:$E$2001="20 確認待ち"),元データ!$A$2:$A$2001&amp;IF(元データ!$AP$2:$AP$2001&lt;&gt;"","（"&amp;MID(元データ!$AP$2:$AP$2001,2,100)&amp;")",""),"")),"")</f>
        <v/>
      </c>
      <c r="BZ125" s="56"/>
      <c r="CA125" s="56"/>
      <c r="CB125" s="46">
        <f ca="1">SUMPRODUCT((元データ!$AL$2:$AL$2001=1)*(元データ!$AN$2:$AN$2001=1)*(元データ!$AE$2:$AE$2001=$C$124)*(元データ!$AO$2:$AO$2001=0)*(元データ!$AM$2:$AM$2001&gt;=31)*(元データ!$E$2:$E$2001="30 申請受付"))</f>
        <v>0</v>
      </c>
      <c r="CC125" s="56" t="str" cm="1">
        <f t="array" aca="1" ref="CC125" ca="1">IFERROR(_xlfn.TEXTJOIN(CHAR(10),TRUE,IF((元データ!$AL$2:$AL$2001=1)*(元データ!$AN$2:$AN$2001=1)*(元データ!$AE$2:$AE$2001=$C$124)*(元データ!$AO$2:$AO$2001=0)*(元データ!$AM$2:$AM$2001&gt;=31)*(元データ!$E$2:$E$2001="30 申請受付"),元データ!$A$2:$A$2001&amp;IF(元データ!$AP$2:$AP$2001&lt;&gt;"","（"&amp;MID(元データ!$AP$2:$AP$2001,2,100)&amp;")",""),"")),"")</f>
        <v/>
      </c>
      <c r="CD125" s="56"/>
      <c r="CE125" s="56"/>
      <c r="CF125" s="46">
        <f ca="1">SUMPRODUCT((元データ!$AL$2:$AL$2001=1)*(元データ!$AN$2:$AN$2001=1)*(元データ!$AE$2:$AE$2001=$C$124)*(元データ!$AO$2:$AO$2001=0)*(元データ!$AM$2:$AM$2001&gt;=31)*(元データ!$E$2:$E$2001="31 ＯＰ確認中"))</f>
        <v>0</v>
      </c>
      <c r="CG125" s="56" t="str" cm="1">
        <f t="array" aca="1" ref="CG125" ca="1">IFERROR(_xlfn.TEXTJOIN(CHAR(10),TRUE,IF((元データ!$AL$2:$AL$2001=1)*(元データ!$AN$2:$AN$2001=1)*(元データ!$AE$2:$AE$2001=$C$124)*(元データ!$AO$2:$AO$2001=0)*(元データ!$AM$2:$AM$2001&gt;=31)*(元データ!$E$2:$E$2001="31 ＯＰ確認中"),元データ!$A$2:$A$2001&amp;IF(元データ!$AP$2:$AP$2001&lt;&gt;"","（"&amp;MID(元データ!$AP$2:$AP$2001,2,100)&amp;")",""),"")),"")</f>
        <v/>
      </c>
      <c r="CH125" s="56"/>
      <c r="CI125" s="56"/>
      <c r="CJ125" s="46">
        <f ca="1">SUMPRODUCT((元データ!$AL$2:$AL$2001=1)*(元データ!$AN$2:$AN$2001=1)*(元データ!$AE$2:$AE$2001=$C$124)*(元データ!$AO$2:$AO$2001=0)*(元データ!$AM$2:$AM$2001&gt;=31)*(元データ!$E$2:$E$2001="32 ＳＶ確認中"))</f>
        <v>0</v>
      </c>
      <c r="CK125" s="56" t="str" cm="1">
        <f t="array" aca="1" ref="CK125" ca="1">IFERROR(_xlfn.TEXTJOIN(CHAR(10),TRUE,IF((元データ!$AL$2:$AL$2001=1)*(元データ!$AN$2:$AN$2001=1)*(元データ!$AE$2:$AE$2001=$C$124)*(元データ!$AO$2:$AO$2001=0)*(元データ!$AM$2:$AM$2001&gt;=31)*(元データ!$E$2:$E$2001="32 ＳＶ確認中"),元データ!$A$2:$A$2001&amp;IF(元データ!$AP$2:$AP$2001&lt;&gt;"","（"&amp;MID(元データ!$AP$2:$AP$2001,2,100)&amp;")",""),"")),"")</f>
        <v/>
      </c>
      <c r="CL125" s="56">
        <f ca="1">SUMPRODUCT((元データ!$AL$2:$AL$2001=1)*(元データ!$AN$2:$AN$2001=1)*(元データ!$AE$2:$AE$2001=$C$124)*(元データ!$AO$2:$AO$2001=0)*(元データ!$AM$2:$AM$2001&gt;=31)*(元データ!$E$2:$E$2001="40 差戻し"))</f>
        <v>0</v>
      </c>
      <c r="CM125" s="56" t="str" cm="1">
        <f t="array" aca="1" ref="CM125" ca="1">IFERROR(_xlfn.TEXTJOIN(CHAR(10),TRUE,IF((元データ!$AL$2:$AL$2001=1)*(元データ!$AN$2:$AN$2001=1)*(元データ!$AE$2:$AE$2001=$C$124)*(元データ!$AO$2:$AO$2001=0)*(元データ!$AM$2:$AM$2001&gt;=31)*(元データ!$E$2:$E$2001="40 差戻し"),元データ!$A$2:$A$2001&amp;IF(元データ!$AP$2:$AP$2001&lt;&gt;"","（"&amp;MID(元データ!$AP$2:$AP$2001,2,100)&amp;")",""),"")),"")</f>
        <v/>
      </c>
    </row>
    <row r="126" spans="2:93" ht="24.95" customHeight="1">
      <c r="B126" s="55" t="s">
        <v>127</v>
      </c>
      <c r="C126" s="55"/>
      <c r="D126" s="55"/>
      <c r="E126" s="55"/>
      <c r="F126" s="51">
        <f>SUM(F80:F125)</f>
        <v>163</v>
      </c>
      <c r="G126" s="50">
        <f t="shared" ref="G126:H126" ca="1" si="0">SUM(G80:G125)</f>
        <v>0</v>
      </c>
      <c r="H126" s="50">
        <f t="shared" ca="1" si="0"/>
        <v>0</v>
      </c>
      <c r="I126" s="54" t="s">
        <v>244</v>
      </c>
      <c r="J126" s="54"/>
      <c r="K126" s="54"/>
      <c r="L126" s="50">
        <f t="shared" ref="L126" ca="1" si="1">SUM(L80:L125)</f>
        <v>0</v>
      </c>
      <c r="M126" s="54" t="s">
        <v>244</v>
      </c>
      <c r="N126" s="54"/>
      <c r="O126" s="54"/>
      <c r="P126" s="50">
        <f t="shared" ref="P126" ca="1" si="2">SUM(P80:P125)</f>
        <v>0</v>
      </c>
      <c r="Q126" s="54" t="s">
        <v>244</v>
      </c>
      <c r="R126" s="54"/>
      <c r="S126" s="54"/>
      <c r="T126" s="50">
        <f t="shared" ref="T126" ca="1" si="3">SUM(T80:T125)</f>
        <v>0</v>
      </c>
      <c r="U126" s="54" t="s">
        <v>244</v>
      </c>
      <c r="V126" s="54"/>
      <c r="W126" s="54"/>
      <c r="X126" s="50">
        <f t="shared" ref="X126" ca="1" si="4">SUM(X80:X125)</f>
        <v>1</v>
      </c>
      <c r="Y126" s="50">
        <f t="shared" ref="Y126" ca="1" si="5">SUM(Y80:Y125)</f>
        <v>1</v>
      </c>
      <c r="Z126" s="54" t="s">
        <v>244</v>
      </c>
      <c r="AA126" s="54"/>
      <c r="AB126" s="54"/>
      <c r="AC126" s="50">
        <f t="shared" ref="AC126" ca="1" si="6">SUM(AC80:AC125)</f>
        <v>0</v>
      </c>
      <c r="AD126" s="54" t="s">
        <v>244</v>
      </c>
      <c r="AE126" s="54"/>
      <c r="AF126" s="54"/>
      <c r="AG126" s="50">
        <f t="shared" ref="AG126" ca="1" si="7">SUM(AG80:AG125)</f>
        <v>0</v>
      </c>
      <c r="AH126" s="54" t="s">
        <v>244</v>
      </c>
      <c r="AI126" s="54"/>
      <c r="AJ126" s="54"/>
      <c r="AK126" s="50">
        <f t="shared" ref="AK126" ca="1" si="8">SUM(AK80:AK125)</f>
        <v>0</v>
      </c>
      <c r="AL126" s="54" t="s">
        <v>244</v>
      </c>
      <c r="AM126" s="54"/>
      <c r="AN126" s="54"/>
      <c r="AO126" s="50">
        <f t="shared" ref="AO126" ca="1" si="9">SUM(AO80:AO125)</f>
        <v>6</v>
      </c>
      <c r="AP126" s="50">
        <f t="shared" ref="AP126" ca="1" si="10">SUM(AP80:AP125)</f>
        <v>1</v>
      </c>
      <c r="AQ126" s="54" t="s">
        <v>244</v>
      </c>
      <c r="AR126" s="54"/>
      <c r="AS126" s="54"/>
      <c r="AT126" s="50">
        <f t="shared" ref="AT126" ca="1" si="11">SUM(AT80:AT125)</f>
        <v>0</v>
      </c>
      <c r="AU126" s="54" t="s">
        <v>244</v>
      </c>
      <c r="AV126" s="54"/>
      <c r="AW126" s="54"/>
      <c r="AX126" s="50">
        <f t="shared" ref="AX126" ca="1" si="12">SUM(AX80:AX125)</f>
        <v>3</v>
      </c>
      <c r="AY126" s="54" t="s">
        <v>244</v>
      </c>
      <c r="AZ126" s="54"/>
      <c r="BA126" s="54"/>
      <c r="BB126" s="50">
        <f t="shared" ref="BB126" ca="1" si="13">SUM(BB80:BB125)</f>
        <v>2</v>
      </c>
      <c r="BC126" s="54" t="s">
        <v>244</v>
      </c>
      <c r="BD126" s="54"/>
      <c r="BE126" s="54"/>
      <c r="BF126" s="50">
        <f t="shared" ref="BF126" ca="1" si="14">SUM(BF80:BF125)</f>
        <v>26</v>
      </c>
      <c r="BG126" s="50">
        <f t="shared" ref="BG126" ca="1" si="15">SUM(BG80:BG125)</f>
        <v>4</v>
      </c>
      <c r="BH126" s="54" t="s">
        <v>244</v>
      </c>
      <c r="BI126" s="54"/>
      <c r="BJ126" s="54"/>
      <c r="BK126" s="50">
        <f t="shared" ref="BK126" ca="1" si="16">SUM(BK80:BK125)</f>
        <v>2</v>
      </c>
      <c r="BL126" s="54" t="s">
        <v>244</v>
      </c>
      <c r="BM126" s="54"/>
      <c r="BN126" s="54"/>
      <c r="BO126" s="50">
        <f t="shared" ref="BO126" ca="1" si="17">SUM(BO80:BO125)</f>
        <v>5</v>
      </c>
      <c r="BP126" s="54" t="s">
        <v>244</v>
      </c>
      <c r="BQ126" s="54"/>
      <c r="BR126" s="54"/>
      <c r="BS126" s="50">
        <f t="shared" ref="BS126" ca="1" si="18">SUM(BS80:BS125)</f>
        <v>9</v>
      </c>
      <c r="BT126" s="54" t="s">
        <v>244</v>
      </c>
      <c r="BU126" s="54"/>
      <c r="BV126" s="54"/>
      <c r="BW126" s="50">
        <f t="shared" ref="BW126" ca="1" si="19">SUM(BW80:BW125)</f>
        <v>130</v>
      </c>
      <c r="BX126" s="50">
        <f t="shared" ref="BX126" ca="1" si="20">SUM(BX80:BX125)</f>
        <v>17</v>
      </c>
      <c r="BY126" s="54" t="s">
        <v>244</v>
      </c>
      <c r="BZ126" s="54"/>
      <c r="CA126" s="54"/>
      <c r="CB126" s="50">
        <f t="shared" ref="CB126" ca="1" si="21">SUM(CB80:CB125)</f>
        <v>5</v>
      </c>
      <c r="CC126" s="54" t="s">
        <v>244</v>
      </c>
      <c r="CD126" s="54"/>
      <c r="CE126" s="54"/>
      <c r="CF126" s="50">
        <f t="shared" ref="CF126" ca="1" si="22">SUM(CF80:CF125)</f>
        <v>39</v>
      </c>
      <c r="CG126" s="54" t="s">
        <v>244</v>
      </c>
      <c r="CH126" s="54"/>
      <c r="CI126" s="54"/>
      <c r="CJ126" s="50">
        <f t="shared" ref="CJ126" ca="1" si="23">SUM(CJ80:CJ125)</f>
        <v>22</v>
      </c>
      <c r="CK126" s="54" t="s">
        <v>244</v>
      </c>
      <c r="CL126" s="54"/>
      <c r="CM126" s="54"/>
      <c r="CO126" s="52" t="s">
        <v>245</v>
      </c>
    </row>
    <row r="127" spans="2:93" ht="24.95" customHeight="1">
      <c r="B127" s="53" t="s">
        <v>246</v>
      </c>
      <c r="G127" s="52" t="s">
        <v>245</v>
      </c>
    </row>
    <row r="128" spans="2:93" ht="24.95" customHeight="1">
      <c r="B128" s="39"/>
    </row>
    <row r="129" spans="1:9" ht="24.95" customHeight="1"/>
    <row r="130" spans="1:9" ht="24.95" customHeight="1">
      <c r="F130" s="40"/>
      <c r="G130" s="40"/>
      <c r="H130" s="40"/>
      <c r="I130" s="40"/>
    </row>
    <row r="131" spans="1:9" ht="24.95" customHeight="1">
      <c r="A131" s="40"/>
      <c r="B131" s="40"/>
      <c r="C131" s="40"/>
      <c r="D131" s="40"/>
      <c r="E131" s="40"/>
      <c r="F131" s="40"/>
      <c r="G131" s="40"/>
      <c r="H131" s="40"/>
      <c r="I131" s="40"/>
    </row>
    <row r="132" spans="1:9" ht="24.95" customHeight="1">
      <c r="A132" s="40"/>
      <c r="B132" s="40"/>
      <c r="C132" s="40"/>
      <c r="D132" s="40"/>
      <c r="E132" s="40"/>
      <c r="F132" s="40"/>
      <c r="G132" s="40"/>
      <c r="H132" s="40"/>
      <c r="I132" s="40"/>
    </row>
    <row r="133" spans="1:9" ht="24.95" customHeight="1">
      <c r="A133" s="40"/>
      <c r="B133" s="40"/>
      <c r="C133" s="40"/>
      <c r="D133" s="40"/>
      <c r="E133" s="40"/>
      <c r="F133" s="40"/>
      <c r="G133" s="40"/>
      <c r="H133" s="40"/>
      <c r="I133" s="40"/>
    </row>
    <row r="134" spans="1:9" ht="24.95" customHeight="1">
      <c r="A134" s="40"/>
      <c r="B134" s="40"/>
      <c r="C134" s="40"/>
      <c r="D134" s="40"/>
      <c r="E134" s="40"/>
      <c r="F134" s="40"/>
      <c r="G134" s="40"/>
      <c r="H134" s="40"/>
      <c r="I134" s="40"/>
    </row>
    <row r="135" spans="1:9" ht="24.95" customHeight="1">
      <c r="A135" s="40"/>
      <c r="B135" s="40"/>
      <c r="C135" s="40"/>
      <c r="D135" s="40"/>
      <c r="E135" s="40"/>
      <c r="F135" s="40"/>
      <c r="G135" s="40"/>
      <c r="H135" s="40"/>
      <c r="I135" s="40"/>
    </row>
    <row r="136" spans="1:9" ht="24.95" customHeight="1">
      <c r="A136" s="40"/>
      <c r="B136" s="40"/>
      <c r="C136" s="40"/>
      <c r="D136" s="40"/>
      <c r="E136" s="40"/>
      <c r="F136" s="40"/>
      <c r="G136" s="40"/>
      <c r="H136" s="40"/>
      <c r="I136" s="40"/>
    </row>
    <row r="137" spans="1:9">
      <c r="A137" s="40"/>
      <c r="B137" s="40"/>
      <c r="C137" s="40"/>
      <c r="D137" s="40"/>
      <c r="E137" s="40"/>
      <c r="F137" s="40"/>
      <c r="G137" s="40"/>
      <c r="H137" s="40"/>
      <c r="I137" s="40"/>
    </row>
    <row r="138" spans="1:9">
      <c r="A138" s="40"/>
      <c r="B138" s="40"/>
      <c r="C138" s="40"/>
      <c r="D138" s="40"/>
      <c r="E138" s="40"/>
      <c r="F138" s="40"/>
      <c r="G138" s="40"/>
      <c r="H138" s="40"/>
      <c r="I138" s="40"/>
    </row>
    <row r="139" spans="1:9">
      <c r="A139" s="40"/>
      <c r="B139" s="40"/>
      <c r="C139" s="40"/>
      <c r="D139" s="40"/>
      <c r="E139" s="40"/>
      <c r="F139" s="40"/>
      <c r="G139" s="40"/>
      <c r="H139" s="40"/>
      <c r="I139" s="40"/>
    </row>
    <row r="140" spans="1:9">
      <c r="A140" s="40"/>
      <c r="B140" s="40"/>
      <c r="C140" s="40"/>
      <c r="D140" s="40"/>
      <c r="E140" s="40"/>
      <c r="F140" s="40"/>
      <c r="G140" s="40"/>
      <c r="H140" s="40"/>
      <c r="I140" s="40"/>
    </row>
    <row r="141" spans="1:9">
      <c r="A141" s="40"/>
      <c r="B141" s="40"/>
      <c r="C141" s="40"/>
      <c r="D141" s="40"/>
      <c r="E141" s="40"/>
      <c r="F141" s="40"/>
      <c r="G141" s="40"/>
      <c r="H141" s="40"/>
      <c r="I141" s="40"/>
    </row>
    <row r="142" spans="1:9">
      <c r="A142" s="40"/>
      <c r="B142" s="40"/>
      <c r="C142" s="40"/>
      <c r="D142" s="40"/>
      <c r="E142" s="40"/>
      <c r="F142" s="40"/>
      <c r="G142" s="40"/>
      <c r="H142" s="40"/>
      <c r="I142" s="40"/>
    </row>
    <row r="143" spans="1:9">
      <c r="A143" s="40"/>
      <c r="B143" s="40"/>
      <c r="C143" s="40"/>
      <c r="D143" s="40"/>
      <c r="E143" s="40"/>
    </row>
  </sheetData>
  <mergeCells count="1189">
    <mergeCell ref="B114:B115"/>
    <mergeCell ref="B98:B99"/>
    <mergeCell ref="B100:B101"/>
    <mergeCell ref="F12:I12"/>
    <mergeCell ref="B90:B91"/>
    <mergeCell ref="B124:B125"/>
    <mergeCell ref="J12:M12"/>
    <mergeCell ref="B13:E13"/>
    <mergeCell ref="B108:B109"/>
    <mergeCell ref="B116:B117"/>
    <mergeCell ref="J13:M13"/>
    <mergeCell ref="B118:B119"/>
    <mergeCell ref="B102:B103"/>
    <mergeCell ref="B94:B95"/>
    <mergeCell ref="B77:B79"/>
    <mergeCell ref="B12:E12"/>
    <mergeCell ref="E77:E79"/>
    <mergeCell ref="B86:B87"/>
    <mergeCell ref="B120:B121"/>
    <mergeCell ref="B92:B93"/>
    <mergeCell ref="F77:F79"/>
    <mergeCell ref="B84:B85"/>
    <mergeCell ref="B104:B105"/>
    <mergeCell ref="B96:B97"/>
    <mergeCell ref="B80:B81"/>
    <mergeCell ref="B122:B123"/>
    <mergeCell ref="B112:B113"/>
    <mergeCell ref="D5:P5"/>
    <mergeCell ref="D6:P6"/>
    <mergeCell ref="D7:P7"/>
    <mergeCell ref="D8:P8"/>
    <mergeCell ref="D9:P9"/>
    <mergeCell ref="D10:P10"/>
    <mergeCell ref="B5:C5"/>
    <mergeCell ref="B6:C6"/>
    <mergeCell ref="B7:C7"/>
    <mergeCell ref="B8:C8"/>
    <mergeCell ref="B9:C9"/>
    <mergeCell ref="B10:C10"/>
    <mergeCell ref="B2:M2"/>
    <mergeCell ref="B88:B89"/>
    <mergeCell ref="B106:B107"/>
    <mergeCell ref="B110:B111"/>
    <mergeCell ref="F13:I13"/>
    <mergeCell ref="B82:B83"/>
    <mergeCell ref="N2:R2"/>
    <mergeCell ref="F16:G16"/>
    <mergeCell ref="H21:I21"/>
    <mergeCell ref="H20:I20"/>
    <mergeCell ref="H19:I19"/>
    <mergeCell ref="H18:I18"/>
    <mergeCell ref="H17:I17"/>
    <mergeCell ref="H16:I16"/>
    <mergeCell ref="H15:I15"/>
    <mergeCell ref="B15:C15"/>
    <mergeCell ref="B21:C21"/>
    <mergeCell ref="B20:C20"/>
    <mergeCell ref="B19:C19"/>
    <mergeCell ref="B18:C18"/>
    <mergeCell ref="B17:C17"/>
    <mergeCell ref="B16:C16"/>
    <mergeCell ref="D21:E21"/>
    <mergeCell ref="D20:E20"/>
    <mergeCell ref="D18:E18"/>
    <mergeCell ref="D19:E19"/>
    <mergeCell ref="D17:E17"/>
    <mergeCell ref="D16:E16"/>
    <mergeCell ref="D15:E15"/>
    <mergeCell ref="I23:J23"/>
    <mergeCell ref="I25:M25"/>
    <mergeCell ref="I26:M26"/>
    <mergeCell ref="I27:M27"/>
    <mergeCell ref="D26:F27"/>
    <mergeCell ref="J21:K21"/>
    <mergeCell ref="J20:K20"/>
    <mergeCell ref="J19:K19"/>
    <mergeCell ref="J18:K18"/>
    <mergeCell ref="J17:K17"/>
    <mergeCell ref="J16:K16"/>
    <mergeCell ref="J15:K15"/>
    <mergeCell ref="N15:O15"/>
    <mergeCell ref="N16:O16"/>
    <mergeCell ref="N17:O17"/>
    <mergeCell ref="N18:O18"/>
    <mergeCell ref="N19:O19"/>
    <mergeCell ref="N20:O20"/>
    <mergeCell ref="N21:O21"/>
    <mergeCell ref="L21:M21"/>
    <mergeCell ref="L20:M20"/>
    <mergeCell ref="L19:M19"/>
    <mergeCell ref="L18:M18"/>
    <mergeCell ref="L17:M17"/>
    <mergeCell ref="L16:M16"/>
    <mergeCell ref="L15:M15"/>
    <mergeCell ref="F15:G15"/>
    <mergeCell ref="F21:G21"/>
    <mergeCell ref="F20:G20"/>
    <mergeCell ref="F19:G19"/>
    <mergeCell ref="F18:G18"/>
    <mergeCell ref="F17:G17"/>
    <mergeCell ref="D64:F65"/>
    <mergeCell ref="D66:F67"/>
    <mergeCell ref="D28:F29"/>
    <mergeCell ref="D30:F31"/>
    <mergeCell ref="D48:F49"/>
    <mergeCell ref="D46:F47"/>
    <mergeCell ref="D44:F45"/>
    <mergeCell ref="D42:F43"/>
    <mergeCell ref="D40:F41"/>
    <mergeCell ref="D38:F39"/>
    <mergeCell ref="D36:F37"/>
    <mergeCell ref="D34:F35"/>
    <mergeCell ref="D32:F33"/>
    <mergeCell ref="B25:C25"/>
    <mergeCell ref="B23:C23"/>
    <mergeCell ref="D23:F23"/>
    <mergeCell ref="G23:H23"/>
    <mergeCell ref="I57:M57"/>
    <mergeCell ref="D68:F69"/>
    <mergeCell ref="D70:F71"/>
    <mergeCell ref="D72:F73"/>
    <mergeCell ref="I28:M28"/>
    <mergeCell ref="I29:M29"/>
    <mergeCell ref="I30:M30"/>
    <mergeCell ref="I31:M31"/>
    <mergeCell ref="I32:M32"/>
    <mergeCell ref="I33:M33"/>
    <mergeCell ref="I34:M34"/>
    <mergeCell ref="I35:M35"/>
    <mergeCell ref="I36:M36"/>
    <mergeCell ref="I37:M37"/>
    <mergeCell ref="I38:M38"/>
    <mergeCell ref="I39:M39"/>
    <mergeCell ref="I40:M40"/>
    <mergeCell ref="I41:M41"/>
    <mergeCell ref="I42:M42"/>
    <mergeCell ref="I43:M43"/>
    <mergeCell ref="I44:M44"/>
    <mergeCell ref="I45:M45"/>
    <mergeCell ref="I46:M46"/>
    <mergeCell ref="I47:M47"/>
    <mergeCell ref="I48:M48"/>
    <mergeCell ref="D50:F51"/>
    <mergeCell ref="D52:F53"/>
    <mergeCell ref="D54:F55"/>
    <mergeCell ref="D56:F57"/>
    <mergeCell ref="D58:F59"/>
    <mergeCell ref="D60:F61"/>
    <mergeCell ref="D62:F63"/>
    <mergeCell ref="C88:D89"/>
    <mergeCell ref="C90:D91"/>
    <mergeCell ref="C92:D93"/>
    <mergeCell ref="C94:D95"/>
    <mergeCell ref="C96:D97"/>
    <mergeCell ref="C98:D99"/>
    <mergeCell ref="I67:M67"/>
    <mergeCell ref="I68:M68"/>
    <mergeCell ref="I69:M69"/>
    <mergeCell ref="I70:M70"/>
    <mergeCell ref="I71:M71"/>
    <mergeCell ref="I72:M72"/>
    <mergeCell ref="I73:M73"/>
    <mergeCell ref="D25:F25"/>
    <mergeCell ref="C80:D81"/>
    <mergeCell ref="I58:M58"/>
    <mergeCell ref="I59:M59"/>
    <mergeCell ref="I60:M60"/>
    <mergeCell ref="I61:M61"/>
    <mergeCell ref="I62:M62"/>
    <mergeCell ref="I63:M63"/>
    <mergeCell ref="I64:M64"/>
    <mergeCell ref="I65:M65"/>
    <mergeCell ref="I66:M66"/>
    <mergeCell ref="I49:M49"/>
    <mergeCell ref="I50:M50"/>
    <mergeCell ref="I51:M51"/>
    <mergeCell ref="I52:M52"/>
    <mergeCell ref="I53:M53"/>
    <mergeCell ref="I54:M54"/>
    <mergeCell ref="I55:M55"/>
    <mergeCell ref="I56:M56"/>
    <mergeCell ref="C118:D119"/>
    <mergeCell ref="C120:D121"/>
    <mergeCell ref="C122:D123"/>
    <mergeCell ref="C124:D125"/>
    <mergeCell ref="C77:D79"/>
    <mergeCell ref="U79:W79"/>
    <mergeCell ref="T78:W78"/>
    <mergeCell ref="U80:W80"/>
    <mergeCell ref="I83:K83"/>
    <mergeCell ref="M83:O83"/>
    <mergeCell ref="Q83:S83"/>
    <mergeCell ref="U83:W83"/>
    <mergeCell ref="I86:K86"/>
    <mergeCell ref="M86:O86"/>
    <mergeCell ref="Q86:S86"/>
    <mergeCell ref="U86:W86"/>
    <mergeCell ref="I89:K89"/>
    <mergeCell ref="M89:O89"/>
    <mergeCell ref="Q89:S89"/>
    <mergeCell ref="U89:W89"/>
    <mergeCell ref="C100:D101"/>
    <mergeCell ref="C102:D103"/>
    <mergeCell ref="C104:D105"/>
    <mergeCell ref="C106:D107"/>
    <mergeCell ref="C108:D109"/>
    <mergeCell ref="C110:D111"/>
    <mergeCell ref="C112:D113"/>
    <mergeCell ref="C114:D115"/>
    <mergeCell ref="C116:D117"/>
    <mergeCell ref="C82:D83"/>
    <mergeCell ref="C84:D85"/>
    <mergeCell ref="C86:D87"/>
    <mergeCell ref="AO77:BE77"/>
    <mergeCell ref="Z80:AB80"/>
    <mergeCell ref="AD80:AF80"/>
    <mergeCell ref="AH80:AJ80"/>
    <mergeCell ref="AL80:AN80"/>
    <mergeCell ref="X77:AN77"/>
    <mergeCell ref="AO78:AO79"/>
    <mergeCell ref="Y78:AB78"/>
    <mergeCell ref="AC78:AF78"/>
    <mergeCell ref="AG78:AJ78"/>
    <mergeCell ref="AK78:AN78"/>
    <mergeCell ref="X78:X79"/>
    <mergeCell ref="Z79:AB79"/>
    <mergeCell ref="AD79:AF79"/>
    <mergeCell ref="AH79:AJ79"/>
    <mergeCell ref="AL79:AN79"/>
    <mergeCell ref="G78:G79"/>
    <mergeCell ref="I80:K80"/>
    <mergeCell ref="I79:K79"/>
    <mergeCell ref="H78:K78"/>
    <mergeCell ref="M80:O80"/>
    <mergeCell ref="M79:O79"/>
    <mergeCell ref="Q79:S79"/>
    <mergeCell ref="P78:S78"/>
    <mergeCell ref="L78:O78"/>
    <mergeCell ref="Q80:S80"/>
    <mergeCell ref="G77:W77"/>
    <mergeCell ref="BF77:BV77"/>
    <mergeCell ref="BW78:BW79"/>
    <mergeCell ref="BX78:CA78"/>
    <mergeCell ref="CB78:CE78"/>
    <mergeCell ref="CF78:CI78"/>
    <mergeCell ref="CJ78:CM78"/>
    <mergeCell ref="BY79:CA79"/>
    <mergeCell ref="CC79:CE79"/>
    <mergeCell ref="CG79:CI79"/>
    <mergeCell ref="CK79:CM79"/>
    <mergeCell ref="BW77:CM77"/>
    <mergeCell ref="AQ80:AS80"/>
    <mergeCell ref="AU80:AW80"/>
    <mergeCell ref="AY80:BA80"/>
    <mergeCell ref="BC80:BE80"/>
    <mergeCell ref="BF78:BF79"/>
    <mergeCell ref="BG78:BJ78"/>
    <mergeCell ref="BK78:BN78"/>
    <mergeCell ref="BO78:BR78"/>
    <mergeCell ref="BS78:BV78"/>
    <mergeCell ref="BH79:BJ79"/>
    <mergeCell ref="BL79:BN79"/>
    <mergeCell ref="BP79:BR79"/>
    <mergeCell ref="BT79:BV79"/>
    <mergeCell ref="AP78:AS78"/>
    <mergeCell ref="AT78:AW78"/>
    <mergeCell ref="AX78:BA78"/>
    <mergeCell ref="BB78:BE78"/>
    <mergeCell ref="AQ79:AS79"/>
    <mergeCell ref="AU79:AW79"/>
    <mergeCell ref="AY79:BA79"/>
    <mergeCell ref="BC79:BE79"/>
    <mergeCell ref="BY80:CA80"/>
    <mergeCell ref="CC80:CE80"/>
    <mergeCell ref="CG80:CI80"/>
    <mergeCell ref="CK80:CM80"/>
    <mergeCell ref="I81:K81"/>
    <mergeCell ref="M81:O81"/>
    <mergeCell ref="Q81:S81"/>
    <mergeCell ref="U81:W81"/>
    <mergeCell ref="Z81:AB81"/>
    <mergeCell ref="AD81:AF81"/>
    <mergeCell ref="AH81:AJ81"/>
    <mergeCell ref="AL81:AN81"/>
    <mergeCell ref="AQ81:AS81"/>
    <mergeCell ref="AU81:AW81"/>
    <mergeCell ref="AY81:BA81"/>
    <mergeCell ref="BC81:BE81"/>
    <mergeCell ref="BH80:BJ80"/>
    <mergeCell ref="BH81:BJ81"/>
    <mergeCell ref="BL80:BN80"/>
    <mergeCell ref="BL81:BN81"/>
    <mergeCell ref="BP80:BR80"/>
    <mergeCell ref="BP81:BR81"/>
    <mergeCell ref="BT80:BV80"/>
    <mergeCell ref="BT81:BV81"/>
    <mergeCell ref="BH83:BJ83"/>
    <mergeCell ref="BY81:CA81"/>
    <mergeCell ref="CC81:CE81"/>
    <mergeCell ref="CG81:CI81"/>
    <mergeCell ref="CK81:CM81"/>
    <mergeCell ref="I82:K82"/>
    <mergeCell ref="M82:O82"/>
    <mergeCell ref="Q82:S82"/>
    <mergeCell ref="U82:W82"/>
    <mergeCell ref="Z82:AB82"/>
    <mergeCell ref="AD82:AF82"/>
    <mergeCell ref="AH82:AJ82"/>
    <mergeCell ref="AL82:AN82"/>
    <mergeCell ref="AQ82:AS82"/>
    <mergeCell ref="AU82:AW82"/>
    <mergeCell ref="AY82:BA82"/>
    <mergeCell ref="BC82:BE82"/>
    <mergeCell ref="BH82:BJ82"/>
    <mergeCell ref="BL82:BN82"/>
    <mergeCell ref="BP82:BR82"/>
    <mergeCell ref="BT82:BV82"/>
    <mergeCell ref="BY82:CA82"/>
    <mergeCell ref="CC82:CE82"/>
    <mergeCell ref="CG82:CI82"/>
    <mergeCell ref="CK82:CM82"/>
    <mergeCell ref="BL83:BN83"/>
    <mergeCell ref="BP83:BR83"/>
    <mergeCell ref="BT83:BV83"/>
    <mergeCell ref="BY83:CA83"/>
    <mergeCell ref="CC83:CE83"/>
    <mergeCell ref="CG83:CI83"/>
    <mergeCell ref="CK83:CM83"/>
    <mergeCell ref="I84:K84"/>
    <mergeCell ref="M84:O84"/>
    <mergeCell ref="Q84:S84"/>
    <mergeCell ref="U84:W84"/>
    <mergeCell ref="Z84:AB84"/>
    <mergeCell ref="AD84:AF84"/>
    <mergeCell ref="AH84:AJ84"/>
    <mergeCell ref="AL84:AN84"/>
    <mergeCell ref="AQ84:AS84"/>
    <mergeCell ref="AU84:AW84"/>
    <mergeCell ref="AY84:BA84"/>
    <mergeCell ref="BC84:BE84"/>
    <mergeCell ref="BH84:BJ84"/>
    <mergeCell ref="BL84:BN84"/>
    <mergeCell ref="BP84:BR84"/>
    <mergeCell ref="BT84:BV84"/>
    <mergeCell ref="BY84:CA84"/>
    <mergeCell ref="Z83:AB83"/>
    <mergeCell ref="AD83:AF83"/>
    <mergeCell ref="AH83:AJ83"/>
    <mergeCell ref="AL83:AN83"/>
    <mergeCell ref="AQ83:AS83"/>
    <mergeCell ref="AU83:AW83"/>
    <mergeCell ref="AY83:BA83"/>
    <mergeCell ref="BC83:BE83"/>
    <mergeCell ref="BH86:BJ86"/>
    <mergeCell ref="CC84:CE84"/>
    <mergeCell ref="CG84:CI84"/>
    <mergeCell ref="CK84:CM84"/>
    <mergeCell ref="I85:K85"/>
    <mergeCell ref="M85:O85"/>
    <mergeCell ref="Q85:S85"/>
    <mergeCell ref="U85:W85"/>
    <mergeCell ref="Z85:AB85"/>
    <mergeCell ref="AD85:AF85"/>
    <mergeCell ref="AH85:AJ85"/>
    <mergeCell ref="AL85:AN85"/>
    <mergeCell ref="AQ85:AS85"/>
    <mergeCell ref="AU85:AW85"/>
    <mergeCell ref="AY85:BA85"/>
    <mergeCell ref="BC85:BE85"/>
    <mergeCell ref="BH85:BJ85"/>
    <mergeCell ref="BL85:BN85"/>
    <mergeCell ref="BP85:BR85"/>
    <mergeCell ref="BT85:BV85"/>
    <mergeCell ref="BY85:CA85"/>
    <mergeCell ref="CC85:CE85"/>
    <mergeCell ref="CG85:CI85"/>
    <mergeCell ref="CK85:CM85"/>
    <mergeCell ref="BL86:BN86"/>
    <mergeCell ref="BP86:BR86"/>
    <mergeCell ref="BT86:BV86"/>
    <mergeCell ref="BY86:CA86"/>
    <mergeCell ref="CC86:CE86"/>
    <mergeCell ref="CG86:CI86"/>
    <mergeCell ref="CK86:CM86"/>
    <mergeCell ref="I87:K87"/>
    <mergeCell ref="M87:O87"/>
    <mergeCell ref="Q87:S87"/>
    <mergeCell ref="U87:W87"/>
    <mergeCell ref="Z87:AB87"/>
    <mergeCell ref="AD87:AF87"/>
    <mergeCell ref="AH87:AJ87"/>
    <mergeCell ref="AL87:AN87"/>
    <mergeCell ref="AQ87:AS87"/>
    <mergeCell ref="AU87:AW87"/>
    <mergeCell ref="AY87:BA87"/>
    <mergeCell ref="BC87:BE87"/>
    <mergeCell ref="BH87:BJ87"/>
    <mergeCell ref="BL87:BN87"/>
    <mergeCell ref="BP87:BR87"/>
    <mergeCell ref="BT87:BV87"/>
    <mergeCell ref="BY87:CA87"/>
    <mergeCell ref="Z86:AB86"/>
    <mergeCell ref="AD86:AF86"/>
    <mergeCell ref="AH86:AJ86"/>
    <mergeCell ref="AL86:AN86"/>
    <mergeCell ref="AQ86:AS86"/>
    <mergeCell ref="AU86:AW86"/>
    <mergeCell ref="AY86:BA86"/>
    <mergeCell ref="BC86:BE86"/>
    <mergeCell ref="BH89:BJ89"/>
    <mergeCell ref="CC87:CE87"/>
    <mergeCell ref="CG87:CI87"/>
    <mergeCell ref="CK87:CM87"/>
    <mergeCell ref="I88:K88"/>
    <mergeCell ref="M88:O88"/>
    <mergeCell ref="Q88:S88"/>
    <mergeCell ref="U88:W88"/>
    <mergeCell ref="Z88:AB88"/>
    <mergeCell ref="AD88:AF88"/>
    <mergeCell ref="AH88:AJ88"/>
    <mergeCell ref="AL88:AN88"/>
    <mergeCell ref="AQ88:AS88"/>
    <mergeCell ref="AU88:AW88"/>
    <mergeCell ref="AY88:BA88"/>
    <mergeCell ref="BC88:BE88"/>
    <mergeCell ref="BH88:BJ88"/>
    <mergeCell ref="BL88:BN88"/>
    <mergeCell ref="BP88:BR88"/>
    <mergeCell ref="BT88:BV88"/>
    <mergeCell ref="BY88:CA88"/>
    <mergeCell ref="CC88:CE88"/>
    <mergeCell ref="CG88:CI88"/>
    <mergeCell ref="CK88:CM88"/>
    <mergeCell ref="BL89:BN89"/>
    <mergeCell ref="BP89:BR89"/>
    <mergeCell ref="BT89:BV89"/>
    <mergeCell ref="BY89:CA89"/>
    <mergeCell ref="CC89:CE89"/>
    <mergeCell ref="CG89:CI89"/>
    <mergeCell ref="CK89:CM89"/>
    <mergeCell ref="I90:K90"/>
    <mergeCell ref="M90:O90"/>
    <mergeCell ref="Q90:S90"/>
    <mergeCell ref="U90:W90"/>
    <mergeCell ref="Z90:AB90"/>
    <mergeCell ref="AD90:AF90"/>
    <mergeCell ref="AH90:AJ90"/>
    <mergeCell ref="AL90:AN90"/>
    <mergeCell ref="AQ90:AS90"/>
    <mergeCell ref="AU90:AW90"/>
    <mergeCell ref="AY90:BA90"/>
    <mergeCell ref="BC90:BE90"/>
    <mergeCell ref="BH90:BJ90"/>
    <mergeCell ref="BL90:BN90"/>
    <mergeCell ref="BP90:BR90"/>
    <mergeCell ref="BT90:BV90"/>
    <mergeCell ref="BY90:CA90"/>
    <mergeCell ref="Z89:AB89"/>
    <mergeCell ref="AD89:AF89"/>
    <mergeCell ref="AH89:AJ89"/>
    <mergeCell ref="AL89:AN89"/>
    <mergeCell ref="AQ89:AS89"/>
    <mergeCell ref="AU89:AW89"/>
    <mergeCell ref="AY89:BA89"/>
    <mergeCell ref="BC89:BE89"/>
    <mergeCell ref="CG90:CI90"/>
    <mergeCell ref="CK90:CM90"/>
    <mergeCell ref="I91:K91"/>
    <mergeCell ref="M91:O91"/>
    <mergeCell ref="Q91:S91"/>
    <mergeCell ref="U91:W91"/>
    <mergeCell ref="Z91:AB91"/>
    <mergeCell ref="AD91:AF91"/>
    <mergeCell ref="AH91:AJ91"/>
    <mergeCell ref="AL91:AN91"/>
    <mergeCell ref="AQ91:AS91"/>
    <mergeCell ref="AU91:AW91"/>
    <mergeCell ref="AY91:BA91"/>
    <mergeCell ref="BC91:BE91"/>
    <mergeCell ref="BH91:BJ91"/>
    <mergeCell ref="BL91:BN91"/>
    <mergeCell ref="BP91:BR91"/>
    <mergeCell ref="BT91:BV91"/>
    <mergeCell ref="BY91:CA91"/>
    <mergeCell ref="CC91:CE91"/>
    <mergeCell ref="CG91:CI91"/>
    <mergeCell ref="CK91:CM91"/>
    <mergeCell ref="BC92:BE92"/>
    <mergeCell ref="BH92:BJ92"/>
    <mergeCell ref="BL92:BN92"/>
    <mergeCell ref="BP92:BR92"/>
    <mergeCell ref="BT92:BV92"/>
    <mergeCell ref="BY92:CA92"/>
    <mergeCell ref="CC92:CE92"/>
    <mergeCell ref="I92:K92"/>
    <mergeCell ref="M92:O92"/>
    <mergeCell ref="Q92:S92"/>
    <mergeCell ref="U92:W92"/>
    <mergeCell ref="Z92:AB92"/>
    <mergeCell ref="AD92:AF92"/>
    <mergeCell ref="AH92:AJ92"/>
    <mergeCell ref="AL92:AN92"/>
    <mergeCell ref="AQ92:AS92"/>
    <mergeCell ref="CC90:CE90"/>
    <mergeCell ref="M94:O94"/>
    <mergeCell ref="Q94:S94"/>
    <mergeCell ref="U94:W94"/>
    <mergeCell ref="Z94:AB94"/>
    <mergeCell ref="AD94:AF94"/>
    <mergeCell ref="AH94:AJ94"/>
    <mergeCell ref="AL94:AN94"/>
    <mergeCell ref="AQ94:AS94"/>
    <mergeCell ref="CG92:CI92"/>
    <mergeCell ref="CK92:CM92"/>
    <mergeCell ref="I93:K93"/>
    <mergeCell ref="M93:O93"/>
    <mergeCell ref="Q93:S93"/>
    <mergeCell ref="U93:W93"/>
    <mergeCell ref="Z93:AB93"/>
    <mergeCell ref="AD93:AF93"/>
    <mergeCell ref="AH93:AJ93"/>
    <mergeCell ref="AL93:AN93"/>
    <mergeCell ref="AQ93:AS93"/>
    <mergeCell ref="AU93:AW93"/>
    <mergeCell ref="AY93:BA93"/>
    <mergeCell ref="BC93:BE93"/>
    <mergeCell ref="BH93:BJ93"/>
    <mergeCell ref="BL93:BN93"/>
    <mergeCell ref="BP93:BR93"/>
    <mergeCell ref="BT93:BV93"/>
    <mergeCell ref="BY93:CA93"/>
    <mergeCell ref="CC93:CE93"/>
    <mergeCell ref="CG93:CI93"/>
    <mergeCell ref="CK93:CM93"/>
    <mergeCell ref="AU92:AW92"/>
    <mergeCell ref="AY92:BA92"/>
    <mergeCell ref="CG94:CI94"/>
    <mergeCell ref="CK94:CM94"/>
    <mergeCell ref="I95:K95"/>
    <mergeCell ref="M95:O95"/>
    <mergeCell ref="Q95:S95"/>
    <mergeCell ref="U95:W95"/>
    <mergeCell ref="Z95:AB95"/>
    <mergeCell ref="AD95:AF95"/>
    <mergeCell ref="AH95:AJ95"/>
    <mergeCell ref="AL95:AN95"/>
    <mergeCell ref="AQ95:AS95"/>
    <mergeCell ref="AU95:AW95"/>
    <mergeCell ref="AY95:BA95"/>
    <mergeCell ref="BC95:BE95"/>
    <mergeCell ref="BH95:BJ95"/>
    <mergeCell ref="BL95:BN95"/>
    <mergeCell ref="BP95:BR95"/>
    <mergeCell ref="BT95:BV95"/>
    <mergeCell ref="BY95:CA95"/>
    <mergeCell ref="CC95:CE95"/>
    <mergeCell ref="CG95:CI95"/>
    <mergeCell ref="CK95:CM95"/>
    <mergeCell ref="AU94:AW94"/>
    <mergeCell ref="AY94:BA94"/>
    <mergeCell ref="BC94:BE94"/>
    <mergeCell ref="BH94:BJ94"/>
    <mergeCell ref="BL94:BN94"/>
    <mergeCell ref="BP94:BR94"/>
    <mergeCell ref="BT94:BV94"/>
    <mergeCell ref="BY94:CA94"/>
    <mergeCell ref="CC94:CE94"/>
    <mergeCell ref="I94:K94"/>
    <mergeCell ref="CK96:CM96"/>
    <mergeCell ref="I97:K97"/>
    <mergeCell ref="M97:O97"/>
    <mergeCell ref="Q97:S97"/>
    <mergeCell ref="U97:W97"/>
    <mergeCell ref="Z97:AB97"/>
    <mergeCell ref="AD97:AF97"/>
    <mergeCell ref="AH97:AJ97"/>
    <mergeCell ref="AL97:AN97"/>
    <mergeCell ref="AQ97:AS97"/>
    <mergeCell ref="AU97:AW97"/>
    <mergeCell ref="AY97:BA97"/>
    <mergeCell ref="BC97:BE97"/>
    <mergeCell ref="BH97:BJ97"/>
    <mergeCell ref="BL97:BN97"/>
    <mergeCell ref="BP97:BR97"/>
    <mergeCell ref="BT97:BV97"/>
    <mergeCell ref="BY97:CA97"/>
    <mergeCell ref="CC97:CE97"/>
    <mergeCell ref="CG97:CI97"/>
    <mergeCell ref="CK97:CM97"/>
    <mergeCell ref="AU96:AW96"/>
    <mergeCell ref="AY96:BA96"/>
    <mergeCell ref="BC96:BE96"/>
    <mergeCell ref="BH96:BJ96"/>
    <mergeCell ref="BL96:BN96"/>
    <mergeCell ref="BP96:BR96"/>
    <mergeCell ref="BT96:BV96"/>
    <mergeCell ref="BY96:CA96"/>
    <mergeCell ref="CC96:CE96"/>
    <mergeCell ref="I96:K96"/>
    <mergeCell ref="M96:O96"/>
    <mergeCell ref="BC98:BE98"/>
    <mergeCell ref="BH98:BJ98"/>
    <mergeCell ref="BL98:BN98"/>
    <mergeCell ref="BP98:BR98"/>
    <mergeCell ref="BT98:BV98"/>
    <mergeCell ref="BY98:CA98"/>
    <mergeCell ref="CC98:CE98"/>
    <mergeCell ref="I98:K98"/>
    <mergeCell ref="M98:O98"/>
    <mergeCell ref="Q98:S98"/>
    <mergeCell ref="U98:W98"/>
    <mergeCell ref="Z98:AB98"/>
    <mergeCell ref="AD98:AF98"/>
    <mergeCell ref="AH98:AJ98"/>
    <mergeCell ref="AL98:AN98"/>
    <mergeCell ref="AQ98:AS98"/>
    <mergeCell ref="CG96:CI96"/>
    <mergeCell ref="Q96:S96"/>
    <mergeCell ref="U96:W96"/>
    <mergeCell ref="Z96:AB96"/>
    <mergeCell ref="AD96:AF96"/>
    <mergeCell ref="AH96:AJ96"/>
    <mergeCell ref="AL96:AN96"/>
    <mergeCell ref="AQ96:AS96"/>
    <mergeCell ref="M100:O100"/>
    <mergeCell ref="Q100:S100"/>
    <mergeCell ref="U100:W100"/>
    <mergeCell ref="Z100:AB100"/>
    <mergeCell ref="AD100:AF100"/>
    <mergeCell ref="AH100:AJ100"/>
    <mergeCell ref="AL100:AN100"/>
    <mergeCell ref="AQ100:AS100"/>
    <mergeCell ref="CG98:CI98"/>
    <mergeCell ref="CK98:CM98"/>
    <mergeCell ref="I99:K99"/>
    <mergeCell ref="M99:O99"/>
    <mergeCell ref="Q99:S99"/>
    <mergeCell ref="U99:W99"/>
    <mergeCell ref="Z99:AB99"/>
    <mergeCell ref="AD99:AF99"/>
    <mergeCell ref="AH99:AJ99"/>
    <mergeCell ref="AL99:AN99"/>
    <mergeCell ref="AQ99:AS99"/>
    <mergeCell ref="AU99:AW99"/>
    <mergeCell ref="AY99:BA99"/>
    <mergeCell ref="BC99:BE99"/>
    <mergeCell ref="BH99:BJ99"/>
    <mergeCell ref="BL99:BN99"/>
    <mergeCell ref="BP99:BR99"/>
    <mergeCell ref="BT99:BV99"/>
    <mergeCell ref="BY99:CA99"/>
    <mergeCell ref="CC99:CE99"/>
    <mergeCell ref="CG99:CI99"/>
    <mergeCell ref="CK99:CM99"/>
    <mergeCell ref="AU98:AW98"/>
    <mergeCell ref="AY98:BA98"/>
    <mergeCell ref="CG100:CI100"/>
    <mergeCell ref="CK100:CM100"/>
    <mergeCell ref="I101:K101"/>
    <mergeCell ref="M101:O101"/>
    <mergeCell ref="Q101:S101"/>
    <mergeCell ref="U101:W101"/>
    <mergeCell ref="Z101:AB101"/>
    <mergeCell ref="AD101:AF101"/>
    <mergeCell ref="AH101:AJ101"/>
    <mergeCell ref="AL101:AN101"/>
    <mergeCell ref="AQ101:AS101"/>
    <mergeCell ref="AU101:AW101"/>
    <mergeCell ref="AY101:BA101"/>
    <mergeCell ref="BC101:BE101"/>
    <mergeCell ref="BH101:BJ101"/>
    <mergeCell ref="BL101:BN101"/>
    <mergeCell ref="BP101:BR101"/>
    <mergeCell ref="BT101:BV101"/>
    <mergeCell ref="BY101:CA101"/>
    <mergeCell ref="CC101:CE101"/>
    <mergeCell ref="CG101:CI101"/>
    <mergeCell ref="CK101:CM101"/>
    <mergeCell ref="AU100:AW100"/>
    <mergeCell ref="AY100:BA100"/>
    <mergeCell ref="BC100:BE100"/>
    <mergeCell ref="BH100:BJ100"/>
    <mergeCell ref="BL100:BN100"/>
    <mergeCell ref="BP100:BR100"/>
    <mergeCell ref="BT100:BV100"/>
    <mergeCell ref="BY100:CA100"/>
    <mergeCell ref="CC100:CE100"/>
    <mergeCell ref="I100:K100"/>
    <mergeCell ref="CK102:CM102"/>
    <mergeCell ref="I103:K103"/>
    <mergeCell ref="M103:O103"/>
    <mergeCell ref="Q103:S103"/>
    <mergeCell ref="U103:W103"/>
    <mergeCell ref="Z103:AB103"/>
    <mergeCell ref="AD103:AF103"/>
    <mergeCell ref="AH103:AJ103"/>
    <mergeCell ref="AL103:AN103"/>
    <mergeCell ref="AQ103:AS103"/>
    <mergeCell ref="AU103:AW103"/>
    <mergeCell ref="AY103:BA103"/>
    <mergeCell ref="BC103:BE103"/>
    <mergeCell ref="BH103:BJ103"/>
    <mergeCell ref="BL103:BN103"/>
    <mergeCell ref="BP103:BR103"/>
    <mergeCell ref="BT103:BV103"/>
    <mergeCell ref="BY103:CA103"/>
    <mergeCell ref="CC103:CE103"/>
    <mergeCell ref="CG103:CI103"/>
    <mergeCell ref="CK103:CM103"/>
    <mergeCell ref="AU102:AW102"/>
    <mergeCell ref="AY102:BA102"/>
    <mergeCell ref="BC102:BE102"/>
    <mergeCell ref="BH102:BJ102"/>
    <mergeCell ref="BL102:BN102"/>
    <mergeCell ref="BP102:BR102"/>
    <mergeCell ref="BT102:BV102"/>
    <mergeCell ref="BY102:CA102"/>
    <mergeCell ref="CC102:CE102"/>
    <mergeCell ref="I102:K102"/>
    <mergeCell ref="M102:O102"/>
    <mergeCell ref="BC104:BE104"/>
    <mergeCell ref="BH104:BJ104"/>
    <mergeCell ref="BL104:BN104"/>
    <mergeCell ref="BP104:BR104"/>
    <mergeCell ref="BT104:BV104"/>
    <mergeCell ref="BY104:CA104"/>
    <mergeCell ref="CC104:CE104"/>
    <mergeCell ref="I104:K104"/>
    <mergeCell ref="M104:O104"/>
    <mergeCell ref="Q104:S104"/>
    <mergeCell ref="U104:W104"/>
    <mergeCell ref="Z104:AB104"/>
    <mergeCell ref="AD104:AF104"/>
    <mergeCell ref="AH104:AJ104"/>
    <mergeCell ref="AL104:AN104"/>
    <mergeCell ref="AQ104:AS104"/>
    <mergeCell ref="CG102:CI102"/>
    <mergeCell ref="Q102:S102"/>
    <mergeCell ref="U102:W102"/>
    <mergeCell ref="Z102:AB102"/>
    <mergeCell ref="AD102:AF102"/>
    <mergeCell ref="AH102:AJ102"/>
    <mergeCell ref="AL102:AN102"/>
    <mergeCell ref="AQ102:AS102"/>
    <mergeCell ref="M106:O106"/>
    <mergeCell ref="Q106:S106"/>
    <mergeCell ref="U106:W106"/>
    <mergeCell ref="Z106:AB106"/>
    <mergeCell ref="AD106:AF106"/>
    <mergeCell ref="AH106:AJ106"/>
    <mergeCell ref="AL106:AN106"/>
    <mergeCell ref="AQ106:AS106"/>
    <mergeCell ref="CG104:CI104"/>
    <mergeCell ref="CK104:CM104"/>
    <mergeCell ref="I105:K105"/>
    <mergeCell ref="M105:O105"/>
    <mergeCell ref="Q105:S105"/>
    <mergeCell ref="U105:W105"/>
    <mergeCell ref="Z105:AB105"/>
    <mergeCell ref="AD105:AF105"/>
    <mergeCell ref="AH105:AJ105"/>
    <mergeCell ref="AL105:AN105"/>
    <mergeCell ref="AQ105:AS105"/>
    <mergeCell ref="AU105:AW105"/>
    <mergeCell ref="AY105:BA105"/>
    <mergeCell ref="BC105:BE105"/>
    <mergeCell ref="BH105:BJ105"/>
    <mergeCell ref="BL105:BN105"/>
    <mergeCell ref="BP105:BR105"/>
    <mergeCell ref="BT105:BV105"/>
    <mergeCell ref="BY105:CA105"/>
    <mergeCell ref="CC105:CE105"/>
    <mergeCell ref="CG105:CI105"/>
    <mergeCell ref="CK105:CM105"/>
    <mergeCell ref="AU104:AW104"/>
    <mergeCell ref="AY104:BA104"/>
    <mergeCell ref="CG106:CI106"/>
    <mergeCell ref="CK106:CM106"/>
    <mergeCell ref="I107:K107"/>
    <mergeCell ref="M107:O107"/>
    <mergeCell ref="Q107:S107"/>
    <mergeCell ref="U107:W107"/>
    <mergeCell ref="Z107:AB107"/>
    <mergeCell ref="AD107:AF107"/>
    <mergeCell ref="AH107:AJ107"/>
    <mergeCell ref="AL107:AN107"/>
    <mergeCell ref="AQ107:AS107"/>
    <mergeCell ref="AU107:AW107"/>
    <mergeCell ref="AY107:BA107"/>
    <mergeCell ref="BC107:BE107"/>
    <mergeCell ref="BH107:BJ107"/>
    <mergeCell ref="BL107:BN107"/>
    <mergeCell ref="BP107:BR107"/>
    <mergeCell ref="BT107:BV107"/>
    <mergeCell ref="BY107:CA107"/>
    <mergeCell ref="CC107:CE107"/>
    <mergeCell ref="CG107:CI107"/>
    <mergeCell ref="CK107:CM107"/>
    <mergeCell ref="AU106:AW106"/>
    <mergeCell ref="AY106:BA106"/>
    <mergeCell ref="BC106:BE106"/>
    <mergeCell ref="BH106:BJ106"/>
    <mergeCell ref="BL106:BN106"/>
    <mergeCell ref="BP106:BR106"/>
    <mergeCell ref="BT106:BV106"/>
    <mergeCell ref="BY106:CA106"/>
    <mergeCell ref="CC106:CE106"/>
    <mergeCell ref="I106:K106"/>
    <mergeCell ref="CK108:CM108"/>
    <mergeCell ref="I109:K109"/>
    <mergeCell ref="M109:O109"/>
    <mergeCell ref="Q109:S109"/>
    <mergeCell ref="U109:W109"/>
    <mergeCell ref="Z109:AB109"/>
    <mergeCell ref="AD109:AF109"/>
    <mergeCell ref="AH109:AJ109"/>
    <mergeCell ref="AL109:AN109"/>
    <mergeCell ref="AQ109:AS109"/>
    <mergeCell ref="AU109:AW109"/>
    <mergeCell ref="AY109:BA109"/>
    <mergeCell ref="BC109:BE109"/>
    <mergeCell ref="BH109:BJ109"/>
    <mergeCell ref="BL109:BN109"/>
    <mergeCell ref="BP109:BR109"/>
    <mergeCell ref="BT109:BV109"/>
    <mergeCell ref="BY109:CA109"/>
    <mergeCell ref="CC109:CE109"/>
    <mergeCell ref="CG109:CI109"/>
    <mergeCell ref="CK109:CM109"/>
    <mergeCell ref="AU108:AW108"/>
    <mergeCell ref="AY108:BA108"/>
    <mergeCell ref="BC108:BE108"/>
    <mergeCell ref="BH108:BJ108"/>
    <mergeCell ref="BL108:BN108"/>
    <mergeCell ref="BP108:BR108"/>
    <mergeCell ref="BT108:BV108"/>
    <mergeCell ref="BY108:CA108"/>
    <mergeCell ref="CC108:CE108"/>
    <mergeCell ref="I108:K108"/>
    <mergeCell ref="M108:O108"/>
    <mergeCell ref="BC110:BE110"/>
    <mergeCell ref="BH110:BJ110"/>
    <mergeCell ref="BL110:BN110"/>
    <mergeCell ref="BP110:BR110"/>
    <mergeCell ref="BT110:BV110"/>
    <mergeCell ref="BY110:CA110"/>
    <mergeCell ref="CC110:CE110"/>
    <mergeCell ref="I110:K110"/>
    <mergeCell ref="M110:O110"/>
    <mergeCell ref="Q110:S110"/>
    <mergeCell ref="U110:W110"/>
    <mergeCell ref="Z110:AB110"/>
    <mergeCell ref="AD110:AF110"/>
    <mergeCell ref="AH110:AJ110"/>
    <mergeCell ref="AL110:AN110"/>
    <mergeCell ref="AQ110:AS110"/>
    <mergeCell ref="CG108:CI108"/>
    <mergeCell ref="Q108:S108"/>
    <mergeCell ref="U108:W108"/>
    <mergeCell ref="Z108:AB108"/>
    <mergeCell ref="AD108:AF108"/>
    <mergeCell ref="AH108:AJ108"/>
    <mergeCell ref="AL108:AN108"/>
    <mergeCell ref="AQ108:AS108"/>
    <mergeCell ref="M112:O112"/>
    <mergeCell ref="Q112:S112"/>
    <mergeCell ref="U112:W112"/>
    <mergeCell ref="Z112:AB112"/>
    <mergeCell ref="AD112:AF112"/>
    <mergeCell ref="AH112:AJ112"/>
    <mergeCell ref="AL112:AN112"/>
    <mergeCell ref="AQ112:AS112"/>
    <mergeCell ref="CG110:CI110"/>
    <mergeCell ref="CK110:CM110"/>
    <mergeCell ref="I111:K111"/>
    <mergeCell ref="M111:O111"/>
    <mergeCell ref="Q111:S111"/>
    <mergeCell ref="U111:W111"/>
    <mergeCell ref="Z111:AB111"/>
    <mergeCell ref="AD111:AF111"/>
    <mergeCell ref="AH111:AJ111"/>
    <mergeCell ref="AL111:AN111"/>
    <mergeCell ref="AQ111:AS111"/>
    <mergeCell ref="AU111:AW111"/>
    <mergeCell ref="AY111:BA111"/>
    <mergeCell ref="BC111:BE111"/>
    <mergeCell ref="BH111:BJ111"/>
    <mergeCell ref="BL111:BN111"/>
    <mergeCell ref="BP111:BR111"/>
    <mergeCell ref="BT111:BV111"/>
    <mergeCell ref="BY111:CA111"/>
    <mergeCell ref="CC111:CE111"/>
    <mergeCell ref="CG111:CI111"/>
    <mergeCell ref="CK111:CM111"/>
    <mergeCell ref="AU110:AW110"/>
    <mergeCell ref="AY110:BA110"/>
    <mergeCell ref="CG112:CI112"/>
    <mergeCell ref="CK112:CM112"/>
    <mergeCell ref="I113:K113"/>
    <mergeCell ref="M113:O113"/>
    <mergeCell ref="Q113:S113"/>
    <mergeCell ref="U113:W113"/>
    <mergeCell ref="Z113:AB113"/>
    <mergeCell ref="AD113:AF113"/>
    <mergeCell ref="AH113:AJ113"/>
    <mergeCell ref="AL113:AN113"/>
    <mergeCell ref="AQ113:AS113"/>
    <mergeCell ref="AU113:AW113"/>
    <mergeCell ref="AY113:BA113"/>
    <mergeCell ref="BC113:BE113"/>
    <mergeCell ref="BH113:BJ113"/>
    <mergeCell ref="BL113:BN113"/>
    <mergeCell ref="BP113:BR113"/>
    <mergeCell ref="BT113:BV113"/>
    <mergeCell ref="BY113:CA113"/>
    <mergeCell ref="CC113:CE113"/>
    <mergeCell ref="CG113:CI113"/>
    <mergeCell ref="CK113:CM113"/>
    <mergeCell ref="AU112:AW112"/>
    <mergeCell ref="AY112:BA112"/>
    <mergeCell ref="BC112:BE112"/>
    <mergeCell ref="BH112:BJ112"/>
    <mergeCell ref="BL112:BN112"/>
    <mergeCell ref="BP112:BR112"/>
    <mergeCell ref="BT112:BV112"/>
    <mergeCell ref="BY112:CA112"/>
    <mergeCell ref="CC112:CE112"/>
    <mergeCell ref="I112:K112"/>
    <mergeCell ref="CK114:CM114"/>
    <mergeCell ref="I115:K115"/>
    <mergeCell ref="M115:O115"/>
    <mergeCell ref="Q115:S115"/>
    <mergeCell ref="U115:W115"/>
    <mergeCell ref="Z115:AB115"/>
    <mergeCell ref="AD115:AF115"/>
    <mergeCell ref="AH115:AJ115"/>
    <mergeCell ref="AL115:AN115"/>
    <mergeCell ref="AQ115:AS115"/>
    <mergeCell ref="AU115:AW115"/>
    <mergeCell ref="AY115:BA115"/>
    <mergeCell ref="BC115:BE115"/>
    <mergeCell ref="BH115:BJ115"/>
    <mergeCell ref="BL115:BN115"/>
    <mergeCell ref="BP115:BR115"/>
    <mergeCell ref="BT115:BV115"/>
    <mergeCell ref="BY115:CA115"/>
    <mergeCell ref="CC115:CE115"/>
    <mergeCell ref="CG115:CI115"/>
    <mergeCell ref="CK115:CM115"/>
    <mergeCell ref="AU114:AW114"/>
    <mergeCell ref="AY114:BA114"/>
    <mergeCell ref="BC114:BE114"/>
    <mergeCell ref="BH114:BJ114"/>
    <mergeCell ref="BL114:BN114"/>
    <mergeCell ref="BP114:BR114"/>
    <mergeCell ref="BT114:BV114"/>
    <mergeCell ref="BY114:CA114"/>
    <mergeCell ref="CC114:CE114"/>
    <mergeCell ref="I114:K114"/>
    <mergeCell ref="M114:O114"/>
    <mergeCell ref="BC116:BE116"/>
    <mergeCell ref="BH116:BJ116"/>
    <mergeCell ref="BL116:BN116"/>
    <mergeCell ref="BP116:BR116"/>
    <mergeCell ref="BT116:BV116"/>
    <mergeCell ref="BY116:CA116"/>
    <mergeCell ref="CC116:CE116"/>
    <mergeCell ref="I116:K116"/>
    <mergeCell ref="M116:O116"/>
    <mergeCell ref="Q116:S116"/>
    <mergeCell ref="U116:W116"/>
    <mergeCell ref="Z116:AB116"/>
    <mergeCell ref="AD116:AF116"/>
    <mergeCell ref="AH116:AJ116"/>
    <mergeCell ref="AL116:AN116"/>
    <mergeCell ref="AQ116:AS116"/>
    <mergeCell ref="CG114:CI114"/>
    <mergeCell ref="Q114:S114"/>
    <mergeCell ref="U114:W114"/>
    <mergeCell ref="Z114:AB114"/>
    <mergeCell ref="AD114:AF114"/>
    <mergeCell ref="AH114:AJ114"/>
    <mergeCell ref="AL114:AN114"/>
    <mergeCell ref="AQ114:AS114"/>
    <mergeCell ref="M118:O118"/>
    <mergeCell ref="Q118:S118"/>
    <mergeCell ref="U118:W118"/>
    <mergeCell ref="Z118:AB118"/>
    <mergeCell ref="AD118:AF118"/>
    <mergeCell ref="AH118:AJ118"/>
    <mergeCell ref="AL118:AN118"/>
    <mergeCell ref="AQ118:AS118"/>
    <mergeCell ref="CG116:CI116"/>
    <mergeCell ref="CK116:CM116"/>
    <mergeCell ref="I117:K117"/>
    <mergeCell ref="M117:O117"/>
    <mergeCell ref="Q117:S117"/>
    <mergeCell ref="U117:W117"/>
    <mergeCell ref="Z117:AB117"/>
    <mergeCell ref="AD117:AF117"/>
    <mergeCell ref="AH117:AJ117"/>
    <mergeCell ref="AL117:AN117"/>
    <mergeCell ref="AQ117:AS117"/>
    <mergeCell ref="AU117:AW117"/>
    <mergeCell ref="AY117:BA117"/>
    <mergeCell ref="BC117:BE117"/>
    <mergeCell ref="BH117:BJ117"/>
    <mergeCell ref="BL117:BN117"/>
    <mergeCell ref="BP117:BR117"/>
    <mergeCell ref="BT117:BV117"/>
    <mergeCell ref="BY117:CA117"/>
    <mergeCell ref="CC117:CE117"/>
    <mergeCell ref="CG117:CI117"/>
    <mergeCell ref="CK117:CM117"/>
    <mergeCell ref="AU116:AW116"/>
    <mergeCell ref="AY116:BA116"/>
    <mergeCell ref="CG118:CI118"/>
    <mergeCell ref="CK118:CM118"/>
    <mergeCell ref="I119:K119"/>
    <mergeCell ref="M119:O119"/>
    <mergeCell ref="Q119:S119"/>
    <mergeCell ref="U119:W119"/>
    <mergeCell ref="Z119:AB119"/>
    <mergeCell ref="AD119:AF119"/>
    <mergeCell ref="AH119:AJ119"/>
    <mergeCell ref="AL119:AN119"/>
    <mergeCell ref="AQ119:AS119"/>
    <mergeCell ref="AU119:AW119"/>
    <mergeCell ref="AY119:BA119"/>
    <mergeCell ref="BC119:BE119"/>
    <mergeCell ref="BH119:BJ119"/>
    <mergeCell ref="BL119:BN119"/>
    <mergeCell ref="BP119:BR119"/>
    <mergeCell ref="BT119:BV119"/>
    <mergeCell ref="BY119:CA119"/>
    <mergeCell ref="CC119:CE119"/>
    <mergeCell ref="CG119:CI119"/>
    <mergeCell ref="CK119:CM119"/>
    <mergeCell ref="AU118:AW118"/>
    <mergeCell ref="AY118:BA118"/>
    <mergeCell ref="BC118:BE118"/>
    <mergeCell ref="BH118:BJ118"/>
    <mergeCell ref="BL118:BN118"/>
    <mergeCell ref="BP118:BR118"/>
    <mergeCell ref="BT118:BV118"/>
    <mergeCell ref="BY118:CA118"/>
    <mergeCell ref="CC118:CE118"/>
    <mergeCell ref="I118:K118"/>
    <mergeCell ref="CK120:CM120"/>
    <mergeCell ref="I121:K121"/>
    <mergeCell ref="M121:O121"/>
    <mergeCell ref="Q121:S121"/>
    <mergeCell ref="U121:W121"/>
    <mergeCell ref="Z121:AB121"/>
    <mergeCell ref="AD121:AF121"/>
    <mergeCell ref="AH121:AJ121"/>
    <mergeCell ref="AL121:AN121"/>
    <mergeCell ref="AQ121:AS121"/>
    <mergeCell ref="AU121:AW121"/>
    <mergeCell ref="AY121:BA121"/>
    <mergeCell ref="BC121:BE121"/>
    <mergeCell ref="BH121:BJ121"/>
    <mergeCell ref="BL121:BN121"/>
    <mergeCell ref="BP121:BR121"/>
    <mergeCell ref="BT121:BV121"/>
    <mergeCell ref="BY121:CA121"/>
    <mergeCell ref="CC121:CE121"/>
    <mergeCell ref="CG121:CI121"/>
    <mergeCell ref="CK121:CM121"/>
    <mergeCell ref="AU120:AW120"/>
    <mergeCell ref="AY120:BA120"/>
    <mergeCell ref="BC120:BE120"/>
    <mergeCell ref="BH120:BJ120"/>
    <mergeCell ref="BL120:BN120"/>
    <mergeCell ref="BP120:BR120"/>
    <mergeCell ref="BT120:BV120"/>
    <mergeCell ref="BY120:CA120"/>
    <mergeCell ref="CC120:CE120"/>
    <mergeCell ref="I120:K120"/>
    <mergeCell ref="M120:O120"/>
    <mergeCell ref="BC122:BE122"/>
    <mergeCell ref="BH122:BJ122"/>
    <mergeCell ref="BL122:BN122"/>
    <mergeCell ref="BP122:BR122"/>
    <mergeCell ref="BT122:BV122"/>
    <mergeCell ref="BY122:CA122"/>
    <mergeCell ref="CC122:CE122"/>
    <mergeCell ref="I122:K122"/>
    <mergeCell ref="M122:O122"/>
    <mergeCell ref="Q122:S122"/>
    <mergeCell ref="U122:W122"/>
    <mergeCell ref="Z122:AB122"/>
    <mergeCell ref="AD122:AF122"/>
    <mergeCell ref="AH122:AJ122"/>
    <mergeCell ref="AL122:AN122"/>
    <mergeCell ref="AQ122:AS122"/>
    <mergeCell ref="CG120:CI120"/>
    <mergeCell ref="Q120:S120"/>
    <mergeCell ref="U120:W120"/>
    <mergeCell ref="Z120:AB120"/>
    <mergeCell ref="AD120:AF120"/>
    <mergeCell ref="AH120:AJ120"/>
    <mergeCell ref="AL120:AN120"/>
    <mergeCell ref="AQ120:AS120"/>
    <mergeCell ref="M124:O124"/>
    <mergeCell ref="Q124:S124"/>
    <mergeCell ref="U124:W124"/>
    <mergeCell ref="Z124:AB124"/>
    <mergeCell ref="AD124:AF124"/>
    <mergeCell ref="AH124:AJ124"/>
    <mergeCell ref="AL124:AN124"/>
    <mergeCell ref="AQ124:AS124"/>
    <mergeCell ref="CG122:CI122"/>
    <mergeCell ref="CK122:CM122"/>
    <mergeCell ref="I123:K123"/>
    <mergeCell ref="M123:O123"/>
    <mergeCell ref="Q123:S123"/>
    <mergeCell ref="U123:W123"/>
    <mergeCell ref="Z123:AB123"/>
    <mergeCell ref="AD123:AF123"/>
    <mergeCell ref="AH123:AJ123"/>
    <mergeCell ref="AL123:AN123"/>
    <mergeCell ref="AQ123:AS123"/>
    <mergeCell ref="AU123:AW123"/>
    <mergeCell ref="AY123:BA123"/>
    <mergeCell ref="BC123:BE123"/>
    <mergeCell ref="BH123:BJ123"/>
    <mergeCell ref="BL123:BN123"/>
    <mergeCell ref="BP123:BR123"/>
    <mergeCell ref="BT123:BV123"/>
    <mergeCell ref="BY123:CA123"/>
    <mergeCell ref="CC123:CE123"/>
    <mergeCell ref="CG123:CI123"/>
    <mergeCell ref="CK123:CM123"/>
    <mergeCell ref="AU122:AW122"/>
    <mergeCell ref="AY122:BA122"/>
    <mergeCell ref="CG124:CI124"/>
    <mergeCell ref="CK124:CM124"/>
    <mergeCell ref="I125:K125"/>
    <mergeCell ref="M125:O125"/>
    <mergeCell ref="Q125:S125"/>
    <mergeCell ref="U125:W125"/>
    <mergeCell ref="Z125:AB125"/>
    <mergeCell ref="AD125:AF125"/>
    <mergeCell ref="AH125:AJ125"/>
    <mergeCell ref="AL125:AN125"/>
    <mergeCell ref="AQ125:AS125"/>
    <mergeCell ref="AU125:AW125"/>
    <mergeCell ref="AY125:BA125"/>
    <mergeCell ref="BC125:BE125"/>
    <mergeCell ref="BH125:BJ125"/>
    <mergeCell ref="BL125:BN125"/>
    <mergeCell ref="BP125:BR125"/>
    <mergeCell ref="BT125:BV125"/>
    <mergeCell ref="BY125:CA125"/>
    <mergeCell ref="CC125:CE125"/>
    <mergeCell ref="CG125:CI125"/>
    <mergeCell ref="CK125:CM125"/>
    <mergeCell ref="AU124:AW124"/>
    <mergeCell ref="AY124:BA124"/>
    <mergeCell ref="BC124:BE124"/>
    <mergeCell ref="BH124:BJ124"/>
    <mergeCell ref="BL124:BN124"/>
    <mergeCell ref="BP124:BR124"/>
    <mergeCell ref="BT124:BV124"/>
    <mergeCell ref="BY124:CA124"/>
    <mergeCell ref="CC124:CE124"/>
    <mergeCell ref="I124:K124"/>
    <mergeCell ref="CC126:CE126"/>
    <mergeCell ref="CG126:CI126"/>
    <mergeCell ref="CK126:CM126"/>
    <mergeCell ref="B126:E126"/>
    <mergeCell ref="AQ126:AS126"/>
    <mergeCell ref="AU126:AW126"/>
    <mergeCell ref="AY126:BA126"/>
    <mergeCell ref="BC126:BE126"/>
    <mergeCell ref="BH126:BJ126"/>
    <mergeCell ref="BL126:BN126"/>
    <mergeCell ref="BP126:BR126"/>
    <mergeCell ref="BT126:BV126"/>
    <mergeCell ref="BY126:CA126"/>
    <mergeCell ref="I126:K126"/>
    <mergeCell ref="M126:O126"/>
    <mergeCell ref="Q126:S126"/>
    <mergeCell ref="U126:W126"/>
    <mergeCell ref="Z126:AB126"/>
    <mergeCell ref="AD126:AF126"/>
    <mergeCell ref="AH126:AJ126"/>
    <mergeCell ref="AL126:AN126"/>
  </mergeCells>
  <phoneticPr fontId="14"/>
  <dataValidations count="2">
    <dataValidation type="list" sqref="D23:D24" xr:uid="{00000000-0002-0000-0100-000000000000}">
      <formula1>"全件,確認待ち,申請受付,OP確認中,SV確認中,差戻し"</formula1>
    </dataValidation>
    <dataValidation type="list" sqref="I23:I24" xr:uid="{00000000-0002-0000-0100-000001000000}">
      <formula1>"全期間,7日以内,8〜14日,15〜21日,1か月超,2か月超"</formula1>
    </dataValidation>
  </dataValidations>
  <hyperlinks>
    <hyperlink ref="O23" location="ダッシュボード!A1" display="▲上に戻る" xr:uid="{0B0E31D6-8EE8-4FE6-9814-601BCAD178D6}"/>
    <hyperlink ref="H76" location="ダッシュボード!A1" display="▲上に戻る" xr:uid="{C872E490-A71F-4BE0-8979-82C155932DC9}"/>
    <hyperlink ref="CO76" location="ダッシュボード!A1" display="▲上に戻る" xr:uid="{38F38355-BC3F-4759-A65F-7A91BAB3FAA3}"/>
    <hyperlink ref="CO126" location="ダッシュボード!A1" display="▲上に戻る" xr:uid="{5EDFF498-11B1-4E7A-9A05-6F9B32A55F50}"/>
    <hyperlink ref="G127" location="ダッシュボード!A1" display="▲上に戻る" xr:uid="{0FD28277-2218-4A92-BB03-B5DB2F65A585}"/>
    <hyperlink ref="B127" location="ダッシュボード!B76" display="▲「事由別 件数」に戻る" xr:uid="{5BB90FBD-428F-4F02-A087-7324142353C2}"/>
    <hyperlink ref="R23" location="ダッシュボード!B76" display="▲「事由別 件数」に戻る" xr:uid="{6E67C208-EFF4-4AD1-B9B7-5F020263AC3C}"/>
  </hyperlink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200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/>
  <cols>
    <col min="1" max="37" width="14" customWidth="1"/>
    <col min="38" max="42" width="10" customWidth="1"/>
  </cols>
  <sheetData>
    <row r="1" spans="1:42" ht="27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14" t="s">
        <v>41</v>
      </c>
    </row>
    <row r="2" spans="1:42" ht="15" customHeight="1">
      <c r="A2" s="3">
        <v>200860002045</v>
      </c>
      <c r="B2" s="3">
        <v>69146</v>
      </c>
      <c r="C2" s="3"/>
      <c r="D2" s="3">
        <v>31</v>
      </c>
      <c r="E2" s="3" t="s">
        <v>42</v>
      </c>
      <c r="F2" s="3"/>
      <c r="G2" s="3"/>
      <c r="H2" s="4">
        <v>39904</v>
      </c>
      <c r="I2" s="5">
        <v>39898</v>
      </c>
      <c r="J2" s="4">
        <v>41984</v>
      </c>
      <c r="K2" s="4">
        <v>41984</v>
      </c>
      <c r="L2" s="3"/>
      <c r="M2" s="3"/>
      <c r="N2" s="3"/>
      <c r="O2" s="3" t="s">
        <v>43</v>
      </c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>
        <v>47</v>
      </c>
      <c r="AC2" s="3">
        <v>0</v>
      </c>
      <c r="AD2" s="6" t="s">
        <v>44</v>
      </c>
      <c r="AE2" s="3" t="s">
        <v>45</v>
      </c>
      <c r="AF2" s="6" t="s">
        <v>44</v>
      </c>
      <c r="AG2" s="6" t="s">
        <v>44</v>
      </c>
      <c r="AH2" s="6" t="s">
        <v>44</v>
      </c>
      <c r="AI2" s="3"/>
      <c r="AJ2" s="3"/>
      <c r="AK2" s="6" t="s">
        <v>46</v>
      </c>
      <c r="AL2" s="7">
        <f>IF(A2="","",IF(COUNTIF(A2:A$2001,A2)=1,1,0))</f>
        <v>1</v>
      </c>
      <c r="AM2" s="7">
        <f t="shared" ref="AM2:AM65" ca="1" si="0">IF(I2="","",TODAY()-I2)</f>
        <v>6399</v>
      </c>
      <c r="AN2" s="7">
        <f t="shared" ref="AN2:AN65" si="1">IF(A2="","",IF(AND(E2&lt;&gt;"33 確認済",E2&lt;&gt;"36 送付中"),1,0))</f>
        <v>1</v>
      </c>
      <c r="AO2" s="7">
        <f t="shared" ref="AO2:AO65" si="2">IF(A2="","",IF(AG2&lt;&gt;"",1,0))</f>
        <v>1</v>
      </c>
      <c r="AP2" s="15"/>
    </row>
    <row r="3" spans="1:42" ht="15" customHeight="1">
      <c r="A3" s="3">
        <v>200860002058</v>
      </c>
      <c r="B3" s="3">
        <v>1050015</v>
      </c>
      <c r="C3" s="3"/>
      <c r="D3" s="3">
        <v>31</v>
      </c>
      <c r="E3" s="3" t="s">
        <v>42</v>
      </c>
      <c r="F3" s="3"/>
      <c r="G3" s="3"/>
      <c r="H3" s="4">
        <v>39872</v>
      </c>
      <c r="I3" s="5">
        <v>39898</v>
      </c>
      <c r="J3" s="4">
        <v>41984</v>
      </c>
      <c r="K3" s="4">
        <v>41984</v>
      </c>
      <c r="L3" s="3"/>
      <c r="M3" s="3"/>
      <c r="N3" s="3"/>
      <c r="O3" s="3" t="s">
        <v>43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>
        <v>22</v>
      </c>
      <c r="AC3" s="3">
        <v>1</v>
      </c>
      <c r="AD3" s="6" t="s">
        <v>47</v>
      </c>
      <c r="AE3" s="3" t="s">
        <v>48</v>
      </c>
      <c r="AF3" s="3"/>
      <c r="AG3" s="6" t="s">
        <v>47</v>
      </c>
      <c r="AH3" s="3"/>
      <c r="AI3" s="3"/>
      <c r="AJ3" s="3"/>
      <c r="AK3" s="6" t="s">
        <v>49</v>
      </c>
      <c r="AL3" s="7">
        <f>IF(A3="","",IF(COUNTIF(A3:A$2001,A3)=1,1,0))</f>
        <v>1</v>
      </c>
      <c r="AM3" s="7">
        <f t="shared" ca="1" si="0"/>
        <v>6399</v>
      </c>
      <c r="AN3" s="7">
        <f t="shared" si="1"/>
        <v>1</v>
      </c>
      <c r="AO3" s="7">
        <f t="shared" si="2"/>
        <v>1</v>
      </c>
      <c r="AP3" s="15"/>
    </row>
    <row r="4" spans="1:42" ht="15" customHeight="1">
      <c r="A4" s="3">
        <v>200960002795</v>
      </c>
      <c r="B4" s="3">
        <v>1080082</v>
      </c>
      <c r="C4" s="3"/>
      <c r="D4" s="3">
        <v>40</v>
      </c>
      <c r="E4" s="3" t="s">
        <v>248</v>
      </c>
      <c r="F4" s="3">
        <v>20</v>
      </c>
      <c r="G4" s="3" t="s">
        <v>50</v>
      </c>
      <c r="H4" s="4">
        <v>30829</v>
      </c>
      <c r="I4" s="5">
        <v>40233</v>
      </c>
      <c r="J4" s="4">
        <v>40234</v>
      </c>
      <c r="K4" s="4">
        <v>40238</v>
      </c>
      <c r="L4" s="3"/>
      <c r="M4" s="3"/>
      <c r="N4" s="3"/>
      <c r="O4" s="3" t="s">
        <v>249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>
        <v>23</v>
      </c>
      <c r="AC4" s="3">
        <v>1</v>
      </c>
      <c r="AD4" s="6" t="s">
        <v>47</v>
      </c>
      <c r="AE4" s="3" t="s">
        <v>51</v>
      </c>
      <c r="AF4" s="3"/>
      <c r="AG4" s="3"/>
      <c r="AH4" s="3"/>
      <c r="AI4" s="3"/>
      <c r="AJ4" s="3"/>
      <c r="AK4" s="3"/>
      <c r="AL4" s="7">
        <f>IF(A4="","",IF(COUNTIF(A4:A$2001,A4)=1,1,0))</f>
        <v>0</v>
      </c>
      <c r="AM4" s="7">
        <f t="shared" ca="1" si="0"/>
        <v>6064</v>
      </c>
      <c r="AN4" s="7">
        <f t="shared" si="1"/>
        <v>1</v>
      </c>
      <c r="AO4" s="7">
        <f t="shared" si="2"/>
        <v>0</v>
      </c>
      <c r="AP4" s="15"/>
    </row>
    <row r="5" spans="1:42" ht="15" customHeight="1">
      <c r="A5" s="3">
        <v>200960002795</v>
      </c>
      <c r="B5" s="3">
        <v>1080082</v>
      </c>
      <c r="C5" s="3"/>
      <c r="D5" s="3">
        <v>40</v>
      </c>
      <c r="E5" s="3" t="s">
        <v>248</v>
      </c>
      <c r="F5" s="3">
        <v>20</v>
      </c>
      <c r="G5" s="3" t="s">
        <v>50</v>
      </c>
      <c r="H5" s="4">
        <v>30829</v>
      </c>
      <c r="I5" s="5">
        <v>40233</v>
      </c>
      <c r="J5" s="4">
        <v>40234</v>
      </c>
      <c r="K5" s="4">
        <v>40238</v>
      </c>
      <c r="L5" s="3"/>
      <c r="M5" s="3"/>
      <c r="N5" s="3"/>
      <c r="O5" s="3" t="s">
        <v>249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23</v>
      </c>
      <c r="AC5" s="3">
        <v>1</v>
      </c>
      <c r="AD5" s="6" t="s">
        <v>47</v>
      </c>
      <c r="AE5" s="3" t="s">
        <v>52</v>
      </c>
      <c r="AF5" s="3"/>
      <c r="AG5" s="3"/>
      <c r="AH5" s="3"/>
      <c r="AI5" s="3"/>
      <c r="AJ5" s="3"/>
      <c r="AK5" s="3"/>
      <c r="AL5" s="7">
        <f>IF(A5="","",IF(COUNTIF(A5:A$2001,A5)=1,1,0))</f>
        <v>1</v>
      </c>
      <c r="AM5" s="7">
        <f t="shared" ca="1" si="0"/>
        <v>6064</v>
      </c>
      <c r="AN5" s="7">
        <f t="shared" si="1"/>
        <v>1</v>
      </c>
      <c r="AO5" s="7">
        <f t="shared" si="2"/>
        <v>0</v>
      </c>
      <c r="AP5" s="15"/>
    </row>
    <row r="6" spans="1:42" ht="15" customHeight="1">
      <c r="A6" s="3">
        <v>200960002929</v>
      </c>
      <c r="B6" s="3">
        <v>1026078</v>
      </c>
      <c r="C6" s="3"/>
      <c r="D6" s="3">
        <v>31</v>
      </c>
      <c r="E6" s="3" t="s">
        <v>42</v>
      </c>
      <c r="F6" s="3"/>
      <c r="G6" s="3"/>
      <c r="H6" s="4">
        <v>40251</v>
      </c>
      <c r="I6" s="5">
        <v>40252</v>
      </c>
      <c r="J6" s="4">
        <v>41984</v>
      </c>
      <c r="K6" s="4">
        <v>41984</v>
      </c>
      <c r="L6" s="3"/>
      <c r="M6" s="3"/>
      <c r="N6" s="3"/>
      <c r="O6" s="3" t="s">
        <v>43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>
        <v>25</v>
      </c>
      <c r="AC6" s="3">
        <v>1</v>
      </c>
      <c r="AD6" s="6" t="s">
        <v>47</v>
      </c>
      <c r="AE6" s="3" t="s">
        <v>53</v>
      </c>
      <c r="AF6" s="3"/>
      <c r="AG6" s="3"/>
      <c r="AH6" s="3"/>
      <c r="AI6" s="3"/>
      <c r="AJ6" s="3"/>
      <c r="AK6" s="3"/>
      <c r="AL6" s="7">
        <f>IF(A6="","",IF(COUNTIF(A6:A$2001,A6)=1,1,0))</f>
        <v>1</v>
      </c>
      <c r="AM6" s="7">
        <f t="shared" ca="1" si="0"/>
        <v>6045</v>
      </c>
      <c r="AN6" s="7">
        <f t="shared" si="1"/>
        <v>1</v>
      </c>
      <c r="AO6" s="7">
        <f t="shared" si="2"/>
        <v>0</v>
      </c>
      <c r="AP6" s="15"/>
    </row>
    <row r="7" spans="1:42" ht="15" customHeight="1">
      <c r="A7" s="3">
        <v>200960002933</v>
      </c>
      <c r="B7" s="3">
        <v>69777</v>
      </c>
      <c r="C7" s="3"/>
      <c r="D7" s="3">
        <v>31</v>
      </c>
      <c r="E7" s="3" t="s">
        <v>42</v>
      </c>
      <c r="F7" s="3"/>
      <c r="G7" s="3"/>
      <c r="H7" s="4">
        <v>40238</v>
      </c>
      <c r="I7" s="5">
        <v>40253</v>
      </c>
      <c r="J7" s="4">
        <v>41984</v>
      </c>
      <c r="K7" s="4">
        <v>41984</v>
      </c>
      <c r="L7" s="3"/>
      <c r="M7" s="3"/>
      <c r="N7" s="3"/>
      <c r="O7" s="3" t="s">
        <v>43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>
        <v>21</v>
      </c>
      <c r="AC7" s="3">
        <v>1</v>
      </c>
      <c r="AD7" s="6" t="s">
        <v>47</v>
      </c>
      <c r="AE7" s="3" t="s">
        <v>54</v>
      </c>
      <c r="AF7" s="6" t="s">
        <v>47</v>
      </c>
      <c r="AG7" s="6" t="s">
        <v>47</v>
      </c>
      <c r="AH7" s="6" t="s">
        <v>47</v>
      </c>
      <c r="AI7" s="3"/>
      <c r="AJ7" s="3"/>
      <c r="AK7" s="3"/>
      <c r="AL7" s="7">
        <f>IF(A7="","",IF(COUNTIF(A7:A$2001,A7)=1,1,0))</f>
        <v>1</v>
      </c>
      <c r="AM7" s="7">
        <f t="shared" ca="1" si="0"/>
        <v>6044</v>
      </c>
      <c r="AN7" s="7">
        <f t="shared" si="1"/>
        <v>1</v>
      </c>
      <c r="AO7" s="7">
        <f t="shared" si="2"/>
        <v>1</v>
      </c>
      <c r="AP7" s="15"/>
    </row>
    <row r="8" spans="1:42" ht="15" customHeight="1">
      <c r="A8" s="3">
        <v>200960002999</v>
      </c>
      <c r="B8" s="3">
        <v>74167</v>
      </c>
      <c r="C8" s="3"/>
      <c r="D8" s="3">
        <v>31</v>
      </c>
      <c r="E8" s="3" t="s">
        <v>42</v>
      </c>
      <c r="F8" s="3"/>
      <c r="G8" s="3"/>
      <c r="H8" s="4">
        <v>40238</v>
      </c>
      <c r="I8" s="5">
        <v>40262</v>
      </c>
      <c r="J8" s="4">
        <v>40266</v>
      </c>
      <c r="K8" s="4">
        <v>40266</v>
      </c>
      <c r="L8" s="3"/>
      <c r="M8" s="3"/>
      <c r="N8" s="3"/>
      <c r="O8" s="3" t="s">
        <v>55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>
        <v>26</v>
      </c>
      <c r="AC8" s="3">
        <v>1</v>
      </c>
      <c r="AD8" s="6" t="s">
        <v>47</v>
      </c>
      <c r="AE8" s="3" t="s">
        <v>56</v>
      </c>
      <c r="AF8" s="6" t="s">
        <v>47</v>
      </c>
      <c r="AG8" s="6" t="s">
        <v>47</v>
      </c>
      <c r="AH8" s="6" t="s">
        <v>47</v>
      </c>
      <c r="AI8" s="3"/>
      <c r="AJ8" s="3"/>
      <c r="AK8" s="3"/>
      <c r="AL8" s="7">
        <f>IF(A8="","",IF(COUNTIF(A8:A$2001,A8)=1,1,0))</f>
        <v>1</v>
      </c>
      <c r="AM8" s="7">
        <f t="shared" ca="1" si="0"/>
        <v>6035</v>
      </c>
      <c r="AN8" s="7">
        <f t="shared" si="1"/>
        <v>1</v>
      </c>
      <c r="AO8" s="7">
        <f t="shared" si="2"/>
        <v>1</v>
      </c>
      <c r="AP8" s="15"/>
    </row>
    <row r="9" spans="1:42" ht="15" customHeight="1">
      <c r="A9" s="3">
        <v>200960003028</v>
      </c>
      <c r="B9" s="3">
        <v>781246</v>
      </c>
      <c r="C9" s="3"/>
      <c r="D9" s="3">
        <v>31</v>
      </c>
      <c r="E9" s="3" t="s">
        <v>42</v>
      </c>
      <c r="F9" s="3"/>
      <c r="G9" s="3"/>
      <c r="H9" s="4">
        <v>40254</v>
      </c>
      <c r="I9" s="5">
        <v>40266</v>
      </c>
      <c r="J9" s="4">
        <v>40267</v>
      </c>
      <c r="K9" s="4">
        <v>40616</v>
      </c>
      <c r="L9" s="3"/>
      <c r="M9" s="3"/>
      <c r="N9" s="3"/>
      <c r="O9" s="3" t="s">
        <v>55</v>
      </c>
      <c r="P9" s="3"/>
      <c r="Q9" s="3"/>
      <c r="R9" s="3"/>
      <c r="S9" s="6" t="s">
        <v>57</v>
      </c>
      <c r="T9" s="3"/>
      <c r="U9" s="3"/>
      <c r="V9" s="3"/>
      <c r="W9" s="3"/>
      <c r="X9" s="3"/>
      <c r="Y9" s="3"/>
      <c r="Z9" s="3"/>
      <c r="AA9" s="3"/>
      <c r="AB9" s="3">
        <v>23</v>
      </c>
      <c r="AC9" s="3">
        <v>1</v>
      </c>
      <c r="AD9" s="6" t="s">
        <v>47</v>
      </c>
      <c r="AE9" s="3" t="s">
        <v>51</v>
      </c>
      <c r="AF9" s="3"/>
      <c r="AG9" s="3"/>
      <c r="AH9" s="3"/>
      <c r="AI9" s="3"/>
      <c r="AJ9" s="3"/>
      <c r="AK9" s="3"/>
      <c r="AL9" s="7">
        <f>IF(A9="","",IF(COUNTIF(A9:A$2001,A9)=1,1,0))</f>
        <v>0</v>
      </c>
      <c r="AM9" s="7">
        <f t="shared" ca="1" si="0"/>
        <v>6031</v>
      </c>
      <c r="AN9" s="7">
        <f t="shared" si="1"/>
        <v>1</v>
      </c>
      <c r="AO9" s="7">
        <f t="shared" si="2"/>
        <v>0</v>
      </c>
      <c r="AP9" s="15" t="s">
        <v>335</v>
      </c>
    </row>
    <row r="10" spans="1:42" ht="15" customHeight="1">
      <c r="A10" s="3">
        <v>200960003028</v>
      </c>
      <c r="B10" s="3">
        <v>781246</v>
      </c>
      <c r="C10" s="3"/>
      <c r="D10" s="3">
        <v>31</v>
      </c>
      <c r="E10" s="3" t="s">
        <v>42</v>
      </c>
      <c r="F10" s="3"/>
      <c r="G10" s="3"/>
      <c r="H10" s="4">
        <v>40254</v>
      </c>
      <c r="I10" s="5">
        <v>40266</v>
      </c>
      <c r="J10" s="4">
        <v>40267</v>
      </c>
      <c r="K10" s="4">
        <v>40616</v>
      </c>
      <c r="L10" s="3"/>
      <c r="M10" s="3"/>
      <c r="N10" s="3"/>
      <c r="O10" s="3" t="s">
        <v>55</v>
      </c>
      <c r="P10" s="3"/>
      <c r="Q10" s="3"/>
      <c r="R10" s="3"/>
      <c r="S10" s="6" t="s">
        <v>57</v>
      </c>
      <c r="T10" s="3"/>
      <c r="U10" s="3"/>
      <c r="V10" s="3"/>
      <c r="W10" s="3"/>
      <c r="X10" s="3"/>
      <c r="Y10" s="3"/>
      <c r="Z10" s="3"/>
      <c r="AA10" s="3"/>
      <c r="AB10" s="3">
        <v>23</v>
      </c>
      <c r="AC10" s="3">
        <v>1</v>
      </c>
      <c r="AD10" s="6" t="s">
        <v>47</v>
      </c>
      <c r="AE10" s="3" t="s">
        <v>52</v>
      </c>
      <c r="AF10" s="3"/>
      <c r="AG10" s="3"/>
      <c r="AH10" s="3"/>
      <c r="AI10" s="3"/>
      <c r="AJ10" s="3"/>
      <c r="AK10" s="3"/>
      <c r="AL10" s="7">
        <f>IF(A10="","",IF(COUNTIF(A10:A$2001,A10)=1,1,0))</f>
        <v>1</v>
      </c>
      <c r="AM10" s="7">
        <f t="shared" ca="1" si="0"/>
        <v>6031</v>
      </c>
      <c r="AN10" s="7">
        <f t="shared" si="1"/>
        <v>1</v>
      </c>
      <c r="AO10" s="7">
        <f t="shared" si="2"/>
        <v>0</v>
      </c>
      <c r="AP10" s="15" t="s">
        <v>335</v>
      </c>
    </row>
    <row r="11" spans="1:42" ht="15" customHeight="1">
      <c r="A11" s="3">
        <v>201060000063</v>
      </c>
      <c r="B11" s="3">
        <v>69881</v>
      </c>
      <c r="C11" s="3"/>
      <c r="D11" s="3">
        <v>31</v>
      </c>
      <c r="E11" s="3" t="s">
        <v>42</v>
      </c>
      <c r="F11" s="3">
        <v>20</v>
      </c>
      <c r="G11" s="3" t="s">
        <v>50</v>
      </c>
      <c r="H11" s="4">
        <v>40268</v>
      </c>
      <c r="I11" s="5">
        <v>40270</v>
      </c>
      <c r="J11" s="4">
        <v>41984</v>
      </c>
      <c r="K11" s="4">
        <v>41984</v>
      </c>
      <c r="L11" s="3"/>
      <c r="M11" s="3"/>
      <c r="N11" s="3"/>
      <c r="O11" s="3" t="s">
        <v>43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>
        <v>50</v>
      </c>
      <c r="AC11" s="3">
        <v>0</v>
      </c>
      <c r="AD11" s="6" t="s">
        <v>44</v>
      </c>
      <c r="AE11" s="3" t="s">
        <v>58</v>
      </c>
      <c r="AF11" s="6" t="s">
        <v>44</v>
      </c>
      <c r="AG11" s="6" t="s">
        <v>44</v>
      </c>
      <c r="AH11" s="6" t="s">
        <v>44</v>
      </c>
      <c r="AI11" s="3"/>
      <c r="AJ11" s="3"/>
      <c r="AK11" s="3"/>
      <c r="AL11" s="7">
        <f>IF(A11="","",IF(COUNTIF(A11:A$2001,A11)=1,1,0))</f>
        <v>1</v>
      </c>
      <c r="AM11" s="7">
        <f t="shared" ca="1" si="0"/>
        <v>6027</v>
      </c>
      <c r="AN11" s="7">
        <f t="shared" si="1"/>
        <v>1</v>
      </c>
      <c r="AO11" s="7">
        <f t="shared" si="2"/>
        <v>1</v>
      </c>
      <c r="AP11" s="15"/>
    </row>
    <row r="12" spans="1:42" ht="15" customHeight="1">
      <c r="A12" s="3">
        <v>201060002518</v>
      </c>
      <c r="B12" s="3">
        <v>1047007</v>
      </c>
      <c r="C12" s="3"/>
      <c r="D12" s="3">
        <v>40</v>
      </c>
      <c r="E12" s="3" t="s">
        <v>248</v>
      </c>
      <c r="F12" s="3">
        <v>20</v>
      </c>
      <c r="G12" s="3" t="s">
        <v>50</v>
      </c>
      <c r="H12" s="4">
        <v>40273</v>
      </c>
      <c r="I12" s="5">
        <v>40574</v>
      </c>
      <c r="J12" s="4">
        <v>40617</v>
      </c>
      <c r="K12" s="4">
        <v>40617</v>
      </c>
      <c r="L12" s="3"/>
      <c r="M12" s="3"/>
      <c r="N12" s="3"/>
      <c r="O12" s="3" t="s">
        <v>249</v>
      </c>
      <c r="P12" s="6" t="s">
        <v>59</v>
      </c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>
        <v>99</v>
      </c>
      <c r="AC12" s="3">
        <v>1</v>
      </c>
      <c r="AD12" s="6" t="s">
        <v>47</v>
      </c>
      <c r="AE12" s="3" t="s">
        <v>60</v>
      </c>
      <c r="AF12" s="6" t="s">
        <v>47</v>
      </c>
      <c r="AG12" s="6" t="s">
        <v>47</v>
      </c>
      <c r="AH12" s="3"/>
      <c r="AI12" s="3"/>
      <c r="AJ12" s="3"/>
      <c r="AK12" s="3"/>
      <c r="AL12" s="7">
        <f>IF(A12="","",IF(COUNTIF(A12:A$2001,A12)=1,1,0))</f>
        <v>1</v>
      </c>
      <c r="AM12" s="7">
        <f t="shared" ca="1" si="0"/>
        <v>5723</v>
      </c>
      <c r="AN12" s="7">
        <f t="shared" si="1"/>
        <v>1</v>
      </c>
      <c r="AO12" s="7">
        <f t="shared" si="2"/>
        <v>1</v>
      </c>
      <c r="AP12" s="15" t="s">
        <v>336</v>
      </c>
    </row>
    <row r="13" spans="1:42" ht="15" customHeight="1">
      <c r="A13" s="3">
        <v>201160000813</v>
      </c>
      <c r="B13" s="3">
        <v>70850</v>
      </c>
      <c r="C13" s="3"/>
      <c r="D13" s="3">
        <v>31</v>
      </c>
      <c r="E13" s="3" t="s">
        <v>42</v>
      </c>
      <c r="F13" s="3">
        <v>20</v>
      </c>
      <c r="G13" s="3" t="s">
        <v>50</v>
      </c>
      <c r="H13" s="4">
        <v>40634</v>
      </c>
      <c r="I13" s="5">
        <v>40721</v>
      </c>
      <c r="J13" s="4">
        <v>41984</v>
      </c>
      <c r="K13" s="4">
        <v>41984</v>
      </c>
      <c r="L13" s="3"/>
      <c r="M13" s="3"/>
      <c r="N13" s="3"/>
      <c r="O13" s="3" t="s">
        <v>43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>
        <v>47</v>
      </c>
      <c r="AC13" s="3">
        <v>0</v>
      </c>
      <c r="AD13" s="6" t="s">
        <v>44</v>
      </c>
      <c r="AE13" s="3" t="s">
        <v>45</v>
      </c>
      <c r="AF13" s="3"/>
      <c r="AG13" s="6" t="s">
        <v>44</v>
      </c>
      <c r="AH13" s="3"/>
      <c r="AI13" s="3"/>
      <c r="AJ13" s="3"/>
      <c r="AK13" s="3"/>
      <c r="AL13" s="7">
        <f>IF(A13="","",IF(COUNTIF(A13:A$2001,A13)=1,1,0))</f>
        <v>1</v>
      </c>
      <c r="AM13" s="7">
        <f t="shared" ca="1" si="0"/>
        <v>5576</v>
      </c>
      <c r="AN13" s="7">
        <f t="shared" si="1"/>
        <v>1</v>
      </c>
      <c r="AO13" s="7">
        <f t="shared" si="2"/>
        <v>1</v>
      </c>
      <c r="AP13" s="15"/>
    </row>
    <row r="14" spans="1:42" ht="15" customHeight="1">
      <c r="A14" s="3">
        <v>201260002213</v>
      </c>
      <c r="B14" s="3">
        <v>1021138</v>
      </c>
      <c r="C14" s="3"/>
      <c r="D14" s="3">
        <v>31</v>
      </c>
      <c r="E14" s="3" t="s">
        <v>42</v>
      </c>
      <c r="F14" s="3"/>
      <c r="G14" s="3"/>
      <c r="H14" s="4">
        <v>41259</v>
      </c>
      <c r="I14" s="5">
        <v>41260</v>
      </c>
      <c r="J14" s="4">
        <v>41984</v>
      </c>
      <c r="K14" s="4">
        <v>41984</v>
      </c>
      <c r="L14" s="3"/>
      <c r="M14" s="3"/>
      <c r="N14" s="3"/>
      <c r="O14" s="3" t="s">
        <v>43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>
        <v>22</v>
      </c>
      <c r="AC14" s="3">
        <v>1</v>
      </c>
      <c r="AD14" s="6" t="s">
        <v>47</v>
      </c>
      <c r="AE14" s="3" t="s">
        <v>48</v>
      </c>
      <c r="AF14" s="6" t="s">
        <v>47</v>
      </c>
      <c r="AG14" s="6" t="s">
        <v>47</v>
      </c>
      <c r="AH14" s="6" t="s">
        <v>47</v>
      </c>
      <c r="AI14" s="3"/>
      <c r="AJ14" s="3"/>
      <c r="AK14" s="3"/>
      <c r="AL14" s="7">
        <f>IF(A14="","",IF(COUNTIF(A14:A$2001,A14)=1,1,0))</f>
        <v>1</v>
      </c>
      <c r="AM14" s="7">
        <f t="shared" ca="1" si="0"/>
        <v>5037</v>
      </c>
      <c r="AN14" s="7">
        <f t="shared" si="1"/>
        <v>1</v>
      </c>
      <c r="AO14" s="7">
        <f t="shared" si="2"/>
        <v>1</v>
      </c>
      <c r="AP14" s="15"/>
    </row>
    <row r="15" spans="1:42" ht="15" customHeight="1">
      <c r="A15" s="3">
        <v>201260002232</v>
      </c>
      <c r="B15" s="3">
        <v>1021138</v>
      </c>
      <c r="C15" s="3"/>
      <c r="D15" s="3">
        <v>31</v>
      </c>
      <c r="E15" s="3" t="s">
        <v>42</v>
      </c>
      <c r="F15" s="3"/>
      <c r="G15" s="3"/>
      <c r="H15" s="4">
        <v>41258</v>
      </c>
      <c r="I15" s="5">
        <v>41262</v>
      </c>
      <c r="J15" s="4">
        <v>41984</v>
      </c>
      <c r="K15" s="4">
        <v>41984</v>
      </c>
      <c r="L15" s="3"/>
      <c r="M15" s="3"/>
      <c r="N15" s="3"/>
      <c r="O15" s="3" t="s">
        <v>43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>
        <v>22</v>
      </c>
      <c r="AC15" s="3">
        <v>1</v>
      </c>
      <c r="AD15" s="6" t="s">
        <v>47</v>
      </c>
      <c r="AE15" s="3" t="s">
        <v>48</v>
      </c>
      <c r="AF15" s="6" t="s">
        <v>47</v>
      </c>
      <c r="AG15" s="6" t="s">
        <v>47</v>
      </c>
      <c r="AH15" s="6" t="s">
        <v>47</v>
      </c>
      <c r="AI15" s="3"/>
      <c r="AJ15" s="3"/>
      <c r="AK15" s="3"/>
      <c r="AL15" s="7">
        <f>IF(A15="","",IF(COUNTIF(A15:A$2001,A15)=1,1,0))</f>
        <v>1</v>
      </c>
      <c r="AM15" s="7">
        <f t="shared" ca="1" si="0"/>
        <v>5035</v>
      </c>
      <c r="AN15" s="7">
        <f t="shared" si="1"/>
        <v>1</v>
      </c>
      <c r="AO15" s="7">
        <f t="shared" si="2"/>
        <v>1</v>
      </c>
      <c r="AP15" s="15"/>
    </row>
    <row r="16" spans="1:42" ht="15" customHeight="1">
      <c r="A16" s="3">
        <v>201260002479</v>
      </c>
      <c r="B16" s="3">
        <v>1121087</v>
      </c>
      <c r="C16" s="3"/>
      <c r="D16" s="3">
        <v>31</v>
      </c>
      <c r="E16" s="3" t="s">
        <v>42</v>
      </c>
      <c r="F16" s="3"/>
      <c r="G16" s="3"/>
      <c r="H16" s="4">
        <v>41309</v>
      </c>
      <c r="I16" s="5">
        <v>41309</v>
      </c>
      <c r="J16" s="4">
        <v>41984</v>
      </c>
      <c r="K16" s="4">
        <v>41984</v>
      </c>
      <c r="L16" s="3"/>
      <c r="M16" s="3"/>
      <c r="N16" s="3"/>
      <c r="O16" s="3" t="s">
        <v>43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>
        <v>26</v>
      </c>
      <c r="AC16" s="3">
        <v>1</v>
      </c>
      <c r="AD16" s="6" t="s">
        <v>47</v>
      </c>
      <c r="AE16" s="3" t="s">
        <v>56</v>
      </c>
      <c r="AF16" s="3"/>
      <c r="AG16" s="6" t="s">
        <v>47</v>
      </c>
      <c r="AH16" s="3"/>
      <c r="AI16" s="3"/>
      <c r="AJ16" s="3"/>
      <c r="AK16" s="3"/>
      <c r="AL16" s="7">
        <f>IF(A16="","",IF(COUNTIF(A16:A$2001,A16)=1,1,0))</f>
        <v>1</v>
      </c>
      <c r="AM16" s="7">
        <f t="shared" ca="1" si="0"/>
        <v>4988</v>
      </c>
      <c r="AN16" s="7">
        <f t="shared" si="1"/>
        <v>1</v>
      </c>
      <c r="AO16" s="7">
        <f t="shared" si="2"/>
        <v>1</v>
      </c>
      <c r="AP16" s="15"/>
    </row>
    <row r="17" spans="1:42" ht="15" customHeight="1">
      <c r="A17" s="3">
        <v>201360001338</v>
      </c>
      <c r="B17" s="3">
        <v>800249</v>
      </c>
      <c r="C17" s="3"/>
      <c r="D17" s="3">
        <v>40</v>
      </c>
      <c r="E17" s="3" t="s">
        <v>248</v>
      </c>
      <c r="F17" s="3">
        <v>20</v>
      </c>
      <c r="G17" s="3" t="s">
        <v>50</v>
      </c>
      <c r="H17" s="4">
        <v>41518</v>
      </c>
      <c r="I17" s="5">
        <v>41554</v>
      </c>
      <c r="J17" s="4">
        <v>41554</v>
      </c>
      <c r="K17" s="4">
        <v>41554</v>
      </c>
      <c r="L17" s="3"/>
      <c r="M17" s="3"/>
      <c r="N17" s="3"/>
      <c r="O17" s="3" t="s">
        <v>61</v>
      </c>
      <c r="P17" s="3"/>
      <c r="Q17" s="3"/>
      <c r="R17" s="3"/>
      <c r="S17" s="3"/>
      <c r="T17" s="3"/>
      <c r="U17" s="3"/>
      <c r="V17" s="3"/>
      <c r="W17" s="6" t="s">
        <v>62</v>
      </c>
      <c r="X17" s="3"/>
      <c r="Y17" s="3"/>
      <c r="Z17" s="3"/>
      <c r="AA17" s="3"/>
      <c r="AB17" s="3">
        <v>47</v>
      </c>
      <c r="AC17" s="3">
        <v>0</v>
      </c>
      <c r="AD17" s="6" t="s">
        <v>44</v>
      </c>
      <c r="AE17" s="3" t="s">
        <v>45</v>
      </c>
      <c r="AF17" s="3"/>
      <c r="AG17" s="3"/>
      <c r="AH17" s="6" t="s">
        <v>44</v>
      </c>
      <c r="AI17" s="3"/>
      <c r="AJ17" s="3"/>
      <c r="AK17" s="3"/>
      <c r="AL17" s="7">
        <f>IF(A17="","",IF(COUNTIF(A17:A$2001,A17)=1,1,0))</f>
        <v>1</v>
      </c>
      <c r="AM17" s="7">
        <f t="shared" ca="1" si="0"/>
        <v>4743</v>
      </c>
      <c r="AN17" s="7">
        <f t="shared" si="1"/>
        <v>1</v>
      </c>
      <c r="AO17" s="7">
        <f t="shared" si="2"/>
        <v>0</v>
      </c>
      <c r="AP17" s="15" t="s">
        <v>337</v>
      </c>
    </row>
    <row r="18" spans="1:42" ht="15" customHeight="1">
      <c r="A18" s="3">
        <v>201360002263</v>
      </c>
      <c r="B18" s="3">
        <v>984174</v>
      </c>
      <c r="C18" s="3"/>
      <c r="D18" s="3">
        <v>40</v>
      </c>
      <c r="E18" s="3" t="s">
        <v>248</v>
      </c>
      <c r="F18" s="3">
        <v>20</v>
      </c>
      <c r="G18" s="3" t="s">
        <v>50</v>
      </c>
      <c r="H18" s="4">
        <v>41646</v>
      </c>
      <c r="I18" s="5">
        <v>41647</v>
      </c>
      <c r="J18" s="4">
        <v>41648</v>
      </c>
      <c r="K18" s="4">
        <v>41648</v>
      </c>
      <c r="L18" s="3"/>
      <c r="M18" s="3"/>
      <c r="N18" s="3"/>
      <c r="O18" s="3" t="s">
        <v>61</v>
      </c>
      <c r="P18" s="3"/>
      <c r="Q18" s="3"/>
      <c r="R18" s="3"/>
      <c r="S18" s="3"/>
      <c r="T18" s="3"/>
      <c r="U18" s="3"/>
      <c r="V18" s="3"/>
      <c r="W18" s="6" t="s">
        <v>62</v>
      </c>
      <c r="X18" s="3"/>
      <c r="Y18" s="3"/>
      <c r="Z18" s="3"/>
      <c r="AA18" s="3"/>
      <c r="AB18" s="3">
        <v>23</v>
      </c>
      <c r="AC18" s="3">
        <v>1</v>
      </c>
      <c r="AD18" s="6" t="s">
        <v>47</v>
      </c>
      <c r="AE18" s="3" t="s">
        <v>51</v>
      </c>
      <c r="AF18" s="6" t="s">
        <v>47</v>
      </c>
      <c r="AG18" s="6" t="s">
        <v>47</v>
      </c>
      <c r="AH18" s="6" t="s">
        <v>47</v>
      </c>
      <c r="AI18" s="3"/>
      <c r="AJ18" s="3"/>
      <c r="AK18" s="3"/>
      <c r="AL18" s="7">
        <f>IF(A18="","",IF(COUNTIF(A18:A$2001,A18)=1,1,0))</f>
        <v>0</v>
      </c>
      <c r="AM18" s="7">
        <f t="shared" ca="1" si="0"/>
        <v>4650</v>
      </c>
      <c r="AN18" s="7">
        <f t="shared" si="1"/>
        <v>1</v>
      </c>
      <c r="AO18" s="7">
        <f t="shared" si="2"/>
        <v>1</v>
      </c>
      <c r="AP18" s="15" t="s">
        <v>337</v>
      </c>
    </row>
    <row r="19" spans="1:42" ht="15" customHeight="1">
      <c r="A19" s="3">
        <v>201360002263</v>
      </c>
      <c r="B19" s="3">
        <v>984174</v>
      </c>
      <c r="C19" s="3"/>
      <c r="D19" s="3">
        <v>40</v>
      </c>
      <c r="E19" s="3" t="s">
        <v>248</v>
      </c>
      <c r="F19" s="3">
        <v>20</v>
      </c>
      <c r="G19" s="3" t="s">
        <v>50</v>
      </c>
      <c r="H19" s="4">
        <v>41646</v>
      </c>
      <c r="I19" s="5">
        <v>41647</v>
      </c>
      <c r="J19" s="4">
        <v>41648</v>
      </c>
      <c r="K19" s="4">
        <v>41648</v>
      </c>
      <c r="L19" s="3"/>
      <c r="M19" s="3"/>
      <c r="N19" s="3"/>
      <c r="O19" s="3" t="s">
        <v>61</v>
      </c>
      <c r="P19" s="3"/>
      <c r="Q19" s="3"/>
      <c r="R19" s="3"/>
      <c r="S19" s="3"/>
      <c r="T19" s="3"/>
      <c r="U19" s="3"/>
      <c r="V19" s="3"/>
      <c r="W19" s="6" t="s">
        <v>62</v>
      </c>
      <c r="X19" s="3"/>
      <c r="Y19" s="3"/>
      <c r="Z19" s="3"/>
      <c r="AA19" s="3"/>
      <c r="AB19" s="3">
        <v>23</v>
      </c>
      <c r="AC19" s="3">
        <v>1</v>
      </c>
      <c r="AD19" s="6" t="s">
        <v>47</v>
      </c>
      <c r="AE19" s="3" t="s">
        <v>52</v>
      </c>
      <c r="AF19" s="6" t="s">
        <v>47</v>
      </c>
      <c r="AG19" s="6" t="s">
        <v>47</v>
      </c>
      <c r="AH19" s="6" t="s">
        <v>47</v>
      </c>
      <c r="AI19" s="3"/>
      <c r="AJ19" s="3"/>
      <c r="AK19" s="3"/>
      <c r="AL19" s="7">
        <f>IF(A19="","",IF(COUNTIF(A19:A$2001,A19)=1,1,0))</f>
        <v>1</v>
      </c>
      <c r="AM19" s="7">
        <f t="shared" ca="1" si="0"/>
        <v>4650</v>
      </c>
      <c r="AN19" s="7">
        <f t="shared" si="1"/>
        <v>1</v>
      </c>
      <c r="AO19" s="7">
        <f t="shared" si="2"/>
        <v>1</v>
      </c>
      <c r="AP19" s="15" t="s">
        <v>337</v>
      </c>
    </row>
    <row r="20" spans="1:42" ht="15" customHeight="1">
      <c r="A20" s="3">
        <v>201460000430</v>
      </c>
      <c r="B20" s="3">
        <v>1130019</v>
      </c>
      <c r="C20" s="3"/>
      <c r="D20" s="3">
        <v>31</v>
      </c>
      <c r="E20" s="3" t="s">
        <v>42</v>
      </c>
      <c r="F20" s="3"/>
      <c r="G20" s="3"/>
      <c r="H20" s="4">
        <v>41754</v>
      </c>
      <c r="I20" s="5">
        <v>41754</v>
      </c>
      <c r="J20" s="4">
        <v>41985</v>
      </c>
      <c r="K20" s="4">
        <v>41985</v>
      </c>
      <c r="L20" s="3"/>
      <c r="M20" s="3"/>
      <c r="N20" s="3"/>
      <c r="O20" s="3" t="s">
        <v>43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>
        <v>47</v>
      </c>
      <c r="AC20" s="3">
        <v>0</v>
      </c>
      <c r="AD20" s="6" t="s">
        <v>44</v>
      </c>
      <c r="AE20" s="3" t="s">
        <v>45</v>
      </c>
      <c r="AF20" s="6" t="s">
        <v>44</v>
      </c>
      <c r="AG20" s="6" t="s">
        <v>44</v>
      </c>
      <c r="AH20" s="6" t="s">
        <v>44</v>
      </c>
      <c r="AI20" s="3"/>
      <c r="AJ20" s="3"/>
      <c r="AK20" s="3"/>
      <c r="AL20" s="7">
        <f>IF(A20="","",IF(COUNTIF(A20:A$2001,A20)=1,1,0))</f>
        <v>1</v>
      </c>
      <c r="AM20" s="7">
        <f t="shared" ca="1" si="0"/>
        <v>4543</v>
      </c>
      <c r="AN20" s="7">
        <f t="shared" si="1"/>
        <v>1</v>
      </c>
      <c r="AO20" s="7">
        <f t="shared" si="2"/>
        <v>1</v>
      </c>
      <c r="AP20" s="15"/>
    </row>
    <row r="21" spans="1:42" ht="15" customHeight="1">
      <c r="A21" s="3">
        <v>201560001259</v>
      </c>
      <c r="B21" s="3">
        <v>940472</v>
      </c>
      <c r="C21" s="3"/>
      <c r="D21" s="3">
        <v>31</v>
      </c>
      <c r="E21" s="3" t="s">
        <v>42</v>
      </c>
      <c r="F21" s="3"/>
      <c r="G21" s="3"/>
      <c r="H21" s="4">
        <v>42189</v>
      </c>
      <c r="I21" s="5">
        <v>42230</v>
      </c>
      <c r="J21" s="4">
        <v>42431</v>
      </c>
      <c r="K21" s="4">
        <v>42431</v>
      </c>
      <c r="L21" s="3"/>
      <c r="M21" s="3"/>
      <c r="N21" s="3"/>
      <c r="O21" s="3" t="s">
        <v>43</v>
      </c>
      <c r="P21" s="3"/>
      <c r="Q21" s="3"/>
      <c r="R21" s="3"/>
      <c r="S21" s="3"/>
      <c r="T21" s="6" t="s">
        <v>63</v>
      </c>
      <c r="U21" s="3"/>
      <c r="V21" s="3"/>
      <c r="W21" s="3"/>
      <c r="X21" s="3"/>
      <c r="Y21" s="3"/>
      <c r="Z21" s="3"/>
      <c r="AA21" s="3"/>
      <c r="AB21" s="3">
        <v>99</v>
      </c>
      <c r="AC21" s="3">
        <v>1</v>
      </c>
      <c r="AD21" s="6" t="s">
        <v>47</v>
      </c>
      <c r="AE21" s="3" t="s">
        <v>60</v>
      </c>
      <c r="AF21" s="6" t="s">
        <v>47</v>
      </c>
      <c r="AG21" s="3"/>
      <c r="AH21" s="6" t="s">
        <v>47</v>
      </c>
      <c r="AI21" s="3"/>
      <c r="AJ21" s="3"/>
      <c r="AK21" s="3"/>
      <c r="AL21" s="7">
        <f>IF(A21="","",IF(COUNTIF(A21:A$2001,A21)=1,1,0))</f>
        <v>1</v>
      </c>
      <c r="AM21" s="7">
        <f t="shared" ca="1" si="0"/>
        <v>4067</v>
      </c>
      <c r="AN21" s="7">
        <f t="shared" si="1"/>
        <v>1</v>
      </c>
      <c r="AO21" s="7">
        <f t="shared" si="2"/>
        <v>0</v>
      </c>
      <c r="AP21" s="15" t="s">
        <v>338</v>
      </c>
    </row>
    <row r="22" spans="1:42" ht="15" customHeight="1">
      <c r="A22" s="3">
        <v>201560002704</v>
      </c>
      <c r="B22" s="3">
        <v>1140029</v>
      </c>
      <c r="C22" s="3"/>
      <c r="D22" s="3">
        <v>40</v>
      </c>
      <c r="E22" s="3" t="s">
        <v>248</v>
      </c>
      <c r="F22" s="3">
        <v>20</v>
      </c>
      <c r="G22" s="3" t="s">
        <v>50</v>
      </c>
      <c r="H22" s="4">
        <v>42370</v>
      </c>
      <c r="I22" s="5">
        <v>42408</v>
      </c>
      <c r="J22" s="4">
        <v>42408</v>
      </c>
      <c r="K22" s="4">
        <v>42408</v>
      </c>
      <c r="L22" s="3"/>
      <c r="M22" s="3"/>
      <c r="N22" s="3"/>
      <c r="O22" s="3" t="s">
        <v>61</v>
      </c>
      <c r="P22" s="3"/>
      <c r="Q22" s="3"/>
      <c r="R22" s="3"/>
      <c r="S22" s="3"/>
      <c r="T22" s="3"/>
      <c r="U22" s="3"/>
      <c r="V22" s="3"/>
      <c r="W22" s="6" t="s">
        <v>62</v>
      </c>
      <c r="X22" s="3"/>
      <c r="Y22" s="3"/>
      <c r="Z22" s="3"/>
      <c r="AA22" s="3"/>
      <c r="AB22" s="3">
        <v>99</v>
      </c>
      <c r="AC22" s="3">
        <v>0</v>
      </c>
      <c r="AD22" s="6" t="s">
        <v>44</v>
      </c>
      <c r="AE22" s="3" t="s">
        <v>60</v>
      </c>
      <c r="AF22" s="3"/>
      <c r="AG22" s="3"/>
      <c r="AH22" s="6" t="s">
        <v>44</v>
      </c>
      <c r="AI22" s="3"/>
      <c r="AJ22" s="3"/>
      <c r="AK22" s="3"/>
      <c r="AL22" s="7">
        <f>IF(A22="","",IF(COUNTIF(A22:A$2001,A22)=1,1,0))</f>
        <v>1</v>
      </c>
      <c r="AM22" s="7">
        <f t="shared" ca="1" si="0"/>
        <v>3889</v>
      </c>
      <c r="AN22" s="7">
        <f t="shared" si="1"/>
        <v>1</v>
      </c>
      <c r="AO22" s="7">
        <f t="shared" si="2"/>
        <v>0</v>
      </c>
      <c r="AP22" s="15" t="s">
        <v>337</v>
      </c>
    </row>
    <row r="23" spans="1:42" ht="15" customHeight="1">
      <c r="A23" s="3">
        <v>201660002819</v>
      </c>
      <c r="B23" s="3">
        <v>880364</v>
      </c>
      <c r="C23" s="3"/>
      <c r="D23" s="3">
        <v>40</v>
      </c>
      <c r="E23" s="3" t="s">
        <v>248</v>
      </c>
      <c r="F23" s="3">
        <v>20</v>
      </c>
      <c r="G23" s="3" t="s">
        <v>50</v>
      </c>
      <c r="H23" s="4">
        <v>42566</v>
      </c>
      <c r="I23" s="5">
        <v>42732</v>
      </c>
      <c r="J23" s="4">
        <v>42739</v>
      </c>
      <c r="K23" s="4">
        <v>42739</v>
      </c>
      <c r="L23" s="3"/>
      <c r="M23" s="3"/>
      <c r="N23" s="3"/>
      <c r="O23" s="3" t="s">
        <v>61</v>
      </c>
      <c r="P23" s="3"/>
      <c r="Q23" s="3"/>
      <c r="R23" s="3"/>
      <c r="S23" s="3"/>
      <c r="T23" s="3"/>
      <c r="U23" s="3"/>
      <c r="V23" s="3"/>
      <c r="W23" s="6" t="s">
        <v>62</v>
      </c>
      <c r="X23" s="3"/>
      <c r="Y23" s="3"/>
      <c r="Z23" s="3"/>
      <c r="AA23" s="3"/>
      <c r="AB23" s="3">
        <v>9</v>
      </c>
      <c r="AC23" s="3">
        <v>0</v>
      </c>
      <c r="AD23" s="6" t="s">
        <v>44</v>
      </c>
      <c r="AE23" s="3" t="s">
        <v>64</v>
      </c>
      <c r="AF23" s="6" t="s">
        <v>44</v>
      </c>
      <c r="AG23" s="6" t="s">
        <v>44</v>
      </c>
      <c r="AH23" s="6" t="s">
        <v>44</v>
      </c>
      <c r="AI23" s="3"/>
      <c r="AJ23" s="3"/>
      <c r="AK23" s="3"/>
      <c r="AL23" s="7">
        <f>IF(A23="","",IF(COUNTIF(A23:A$2001,A23)=1,1,0))</f>
        <v>1</v>
      </c>
      <c r="AM23" s="7">
        <f t="shared" ca="1" si="0"/>
        <v>3565</v>
      </c>
      <c r="AN23" s="7">
        <f t="shared" si="1"/>
        <v>1</v>
      </c>
      <c r="AO23" s="7">
        <f t="shared" si="2"/>
        <v>1</v>
      </c>
      <c r="AP23" s="15" t="s">
        <v>337</v>
      </c>
    </row>
    <row r="24" spans="1:42" ht="15" customHeight="1">
      <c r="A24" s="3">
        <v>201760002086</v>
      </c>
      <c r="B24" s="3">
        <v>800677</v>
      </c>
      <c r="C24" s="3"/>
      <c r="D24" s="3">
        <v>40</v>
      </c>
      <c r="E24" s="3" t="s">
        <v>248</v>
      </c>
      <c r="F24" s="3">
        <v>20</v>
      </c>
      <c r="G24" s="3" t="s">
        <v>50</v>
      </c>
      <c r="H24" s="4">
        <v>43031</v>
      </c>
      <c r="I24" s="5">
        <v>43036</v>
      </c>
      <c r="J24" s="4">
        <v>43038</v>
      </c>
      <c r="K24" s="4">
        <v>43041</v>
      </c>
      <c r="L24" s="3"/>
      <c r="M24" s="3"/>
      <c r="N24" s="3"/>
      <c r="O24" s="3" t="s">
        <v>61</v>
      </c>
      <c r="P24" s="3"/>
      <c r="Q24" s="3"/>
      <c r="R24" s="3"/>
      <c r="S24" s="3"/>
      <c r="T24" s="3"/>
      <c r="U24" s="3"/>
      <c r="V24" s="3"/>
      <c r="W24" s="6" t="s">
        <v>62</v>
      </c>
      <c r="X24" s="3"/>
      <c r="Y24" s="3"/>
      <c r="Z24" s="3"/>
      <c r="AA24" s="3"/>
      <c r="AB24" s="3">
        <v>27</v>
      </c>
      <c r="AC24" s="3">
        <v>1</v>
      </c>
      <c r="AD24" s="6" t="s">
        <v>47</v>
      </c>
      <c r="AE24" s="3" t="s">
        <v>65</v>
      </c>
      <c r="AF24" s="3"/>
      <c r="AG24" s="3"/>
      <c r="AH24" s="6" t="s">
        <v>47</v>
      </c>
      <c r="AI24" s="3"/>
      <c r="AJ24" s="3"/>
      <c r="AK24" s="3"/>
      <c r="AL24" s="7">
        <f>IF(A24="","",IF(COUNTIF(A24:A$2001,A24)=1,1,0))</f>
        <v>1</v>
      </c>
      <c r="AM24" s="7">
        <f t="shared" ca="1" si="0"/>
        <v>3261</v>
      </c>
      <c r="AN24" s="7">
        <f t="shared" si="1"/>
        <v>1</v>
      </c>
      <c r="AO24" s="7">
        <f t="shared" si="2"/>
        <v>0</v>
      </c>
      <c r="AP24" s="15" t="s">
        <v>337</v>
      </c>
    </row>
    <row r="25" spans="1:42" ht="15" customHeight="1">
      <c r="A25" s="3">
        <v>201860001388</v>
      </c>
      <c r="B25" s="3">
        <v>1116116</v>
      </c>
      <c r="C25" s="3"/>
      <c r="D25" s="3">
        <v>40</v>
      </c>
      <c r="E25" s="3" t="s">
        <v>248</v>
      </c>
      <c r="F25" s="3">
        <v>20</v>
      </c>
      <c r="G25" s="3" t="s">
        <v>50</v>
      </c>
      <c r="H25" s="4">
        <v>43321</v>
      </c>
      <c r="I25" s="5">
        <v>43321</v>
      </c>
      <c r="J25" s="4">
        <v>43325</v>
      </c>
      <c r="K25" s="4">
        <v>43325</v>
      </c>
      <c r="L25" s="3"/>
      <c r="M25" s="3"/>
      <c r="N25" s="3"/>
      <c r="O25" s="3" t="s">
        <v>66</v>
      </c>
      <c r="P25" s="6" t="s">
        <v>59</v>
      </c>
      <c r="Q25" s="3"/>
      <c r="R25" s="3"/>
      <c r="S25" s="3"/>
      <c r="T25" s="3"/>
      <c r="U25" s="6" t="s">
        <v>67</v>
      </c>
      <c r="V25" s="3"/>
      <c r="W25" s="3"/>
      <c r="X25" s="3"/>
      <c r="Y25" s="3"/>
      <c r="Z25" s="3"/>
      <c r="AA25" s="3"/>
      <c r="AB25" s="3">
        <v>21</v>
      </c>
      <c r="AC25" s="3">
        <v>1</v>
      </c>
      <c r="AD25" s="6" t="s">
        <v>47</v>
      </c>
      <c r="AE25" s="3" t="s">
        <v>54</v>
      </c>
      <c r="AF25" s="3"/>
      <c r="AG25" s="6" t="s">
        <v>47</v>
      </c>
      <c r="AH25" s="3"/>
      <c r="AI25" s="3"/>
      <c r="AJ25" s="3"/>
      <c r="AK25" s="3"/>
      <c r="AL25" s="7">
        <f>IF(A25="","",IF(COUNTIF(A25:A$2001,A25)=1,1,0))</f>
        <v>1</v>
      </c>
      <c r="AM25" s="7">
        <f t="shared" ca="1" si="0"/>
        <v>2976</v>
      </c>
      <c r="AN25" s="7">
        <f t="shared" si="1"/>
        <v>1</v>
      </c>
      <c r="AO25" s="7">
        <f t="shared" si="2"/>
        <v>1</v>
      </c>
      <c r="AP25" s="15" t="s">
        <v>339</v>
      </c>
    </row>
    <row r="26" spans="1:42" ht="15" customHeight="1">
      <c r="A26" s="3">
        <v>201860001862</v>
      </c>
      <c r="B26" s="3">
        <v>890057</v>
      </c>
      <c r="C26" s="3"/>
      <c r="D26" s="3">
        <v>31</v>
      </c>
      <c r="E26" s="3" t="s">
        <v>42</v>
      </c>
      <c r="F26" s="3"/>
      <c r="G26" s="3"/>
      <c r="H26" s="4">
        <v>43341</v>
      </c>
      <c r="I26" s="5">
        <v>43371</v>
      </c>
      <c r="J26" s="4">
        <v>43411</v>
      </c>
      <c r="K26" s="4">
        <v>43411</v>
      </c>
      <c r="L26" s="3"/>
      <c r="M26" s="3"/>
      <c r="N26" s="3"/>
      <c r="O26" s="3" t="s">
        <v>43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>
        <v>9</v>
      </c>
      <c r="AC26" s="3">
        <v>0</v>
      </c>
      <c r="AD26" s="6" t="s">
        <v>44</v>
      </c>
      <c r="AE26" s="3" t="s">
        <v>64</v>
      </c>
      <c r="AF26" s="6" t="s">
        <v>44</v>
      </c>
      <c r="AG26" s="6" t="s">
        <v>44</v>
      </c>
      <c r="AH26" s="6" t="s">
        <v>44</v>
      </c>
      <c r="AI26" s="3"/>
      <c r="AJ26" s="3"/>
      <c r="AK26" s="3"/>
      <c r="AL26" s="7">
        <f>IF(A26="","",IF(COUNTIF(A26:A$2001,A26)=1,1,0))</f>
        <v>1</v>
      </c>
      <c r="AM26" s="7">
        <f t="shared" ca="1" si="0"/>
        <v>2926</v>
      </c>
      <c r="AN26" s="7">
        <f t="shared" si="1"/>
        <v>1</v>
      </c>
      <c r="AO26" s="7">
        <f t="shared" si="2"/>
        <v>1</v>
      </c>
      <c r="AP26" s="15"/>
    </row>
    <row r="27" spans="1:42" ht="15" customHeight="1">
      <c r="A27" s="3">
        <v>202060000569</v>
      </c>
      <c r="B27" s="3">
        <v>1190063</v>
      </c>
      <c r="C27" s="3"/>
      <c r="D27" s="3">
        <v>31</v>
      </c>
      <c r="E27" s="3" t="s">
        <v>42</v>
      </c>
      <c r="F27" s="3"/>
      <c r="G27" s="3"/>
      <c r="H27" s="4">
        <v>43937</v>
      </c>
      <c r="I27" s="5">
        <v>43951</v>
      </c>
      <c r="J27" s="4">
        <v>44013</v>
      </c>
      <c r="K27" s="4">
        <v>44013</v>
      </c>
      <c r="L27" s="3"/>
      <c r="M27" s="3"/>
      <c r="N27" s="3"/>
      <c r="O27" s="3" t="s">
        <v>43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>
        <v>22</v>
      </c>
      <c r="AC27" s="3">
        <v>1</v>
      </c>
      <c r="AD27" s="6" t="s">
        <v>47</v>
      </c>
      <c r="AE27" s="3" t="s">
        <v>48</v>
      </c>
      <c r="AF27" s="3"/>
      <c r="AG27" s="6" t="s">
        <v>47</v>
      </c>
      <c r="AH27" s="3"/>
      <c r="AI27" s="3"/>
      <c r="AJ27" s="3"/>
      <c r="AK27" s="3"/>
      <c r="AL27" s="7">
        <f>IF(A27="","",IF(COUNTIF(A27:A$2001,A27)=1,1,0))</f>
        <v>1</v>
      </c>
      <c r="AM27" s="7">
        <f t="shared" ca="1" si="0"/>
        <v>2346</v>
      </c>
      <c r="AN27" s="7">
        <f t="shared" si="1"/>
        <v>1</v>
      </c>
      <c r="AO27" s="7">
        <f t="shared" si="2"/>
        <v>1</v>
      </c>
      <c r="AP27" s="15"/>
    </row>
    <row r="28" spans="1:42" ht="15" customHeight="1">
      <c r="A28" s="3">
        <v>202060001460</v>
      </c>
      <c r="B28" s="3">
        <v>850115</v>
      </c>
      <c r="C28" s="3"/>
      <c r="D28" s="3">
        <v>40</v>
      </c>
      <c r="E28" s="3" t="s">
        <v>248</v>
      </c>
      <c r="F28" s="3">
        <v>20</v>
      </c>
      <c r="G28" s="3" t="s">
        <v>50</v>
      </c>
      <c r="H28" s="4">
        <v>43191</v>
      </c>
      <c r="I28" s="5">
        <v>44139</v>
      </c>
      <c r="J28" s="4">
        <v>44501</v>
      </c>
      <c r="K28" s="4">
        <v>44504</v>
      </c>
      <c r="L28" s="3"/>
      <c r="M28" s="3"/>
      <c r="N28" s="3"/>
      <c r="O28" s="3" t="s">
        <v>66</v>
      </c>
      <c r="P28" s="6" t="s">
        <v>59</v>
      </c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>
        <v>27</v>
      </c>
      <c r="AC28" s="3">
        <v>1</v>
      </c>
      <c r="AD28" s="6" t="s">
        <v>47</v>
      </c>
      <c r="AE28" s="3" t="s">
        <v>65</v>
      </c>
      <c r="AF28" s="6" t="s">
        <v>47</v>
      </c>
      <c r="AG28" s="6" t="s">
        <v>47</v>
      </c>
      <c r="AH28" s="6" t="s">
        <v>47</v>
      </c>
      <c r="AI28" s="3"/>
      <c r="AJ28" s="3"/>
      <c r="AK28" s="3"/>
      <c r="AL28" s="7">
        <f>IF(A28="","",IF(COUNTIF(A28:A$2001,A28)=1,1,0))</f>
        <v>1</v>
      </c>
      <c r="AM28" s="7">
        <f t="shared" ca="1" si="0"/>
        <v>2158</v>
      </c>
      <c r="AN28" s="7">
        <f t="shared" si="1"/>
        <v>1</v>
      </c>
      <c r="AO28" s="7">
        <f t="shared" si="2"/>
        <v>1</v>
      </c>
      <c r="AP28" s="15" t="s">
        <v>336</v>
      </c>
    </row>
    <row r="29" spans="1:42" ht="15" customHeight="1">
      <c r="A29" s="3">
        <v>202060002466</v>
      </c>
      <c r="B29" s="3">
        <v>1172212</v>
      </c>
      <c r="C29" s="3" t="s">
        <v>163</v>
      </c>
      <c r="D29" s="3">
        <v>20</v>
      </c>
      <c r="E29" s="3" t="s">
        <v>68</v>
      </c>
      <c r="F29" s="3">
        <v>20</v>
      </c>
      <c r="G29" s="3" t="s">
        <v>50</v>
      </c>
      <c r="H29" s="4">
        <v>44197</v>
      </c>
      <c r="I29" s="5">
        <v>44210</v>
      </c>
      <c r="J29" s="4">
        <v>44243</v>
      </c>
      <c r="K29" s="4">
        <v>45617</v>
      </c>
      <c r="L29" s="3"/>
      <c r="M29" s="3"/>
      <c r="N29" s="3"/>
      <c r="O29" s="3" t="s">
        <v>69</v>
      </c>
      <c r="P29" s="3"/>
      <c r="Q29" s="3"/>
      <c r="R29" s="6" t="s">
        <v>70</v>
      </c>
      <c r="S29" s="3"/>
      <c r="T29" s="3"/>
      <c r="U29" s="3"/>
      <c r="V29" s="3"/>
      <c r="W29" s="6" t="s">
        <v>62</v>
      </c>
      <c r="X29" s="3"/>
      <c r="Y29" s="3"/>
      <c r="Z29" s="3"/>
      <c r="AA29" s="3"/>
      <c r="AB29" s="3">
        <v>27</v>
      </c>
      <c r="AC29" s="3">
        <v>1</v>
      </c>
      <c r="AD29" s="6" t="s">
        <v>47</v>
      </c>
      <c r="AE29" s="3" t="s">
        <v>65</v>
      </c>
      <c r="AF29" s="6" t="s">
        <v>47</v>
      </c>
      <c r="AG29" s="6" t="s">
        <v>47</v>
      </c>
      <c r="AH29" s="3"/>
      <c r="AI29" s="3"/>
      <c r="AJ29" s="3"/>
      <c r="AK29" s="3"/>
      <c r="AL29" s="7">
        <f>IF(A29="","",IF(COUNTIF(A29:A$2001,A29)=1,1,0))</f>
        <v>1</v>
      </c>
      <c r="AM29" s="7">
        <f t="shared" ca="1" si="0"/>
        <v>2087</v>
      </c>
      <c r="AN29" s="7">
        <f t="shared" si="1"/>
        <v>1</v>
      </c>
      <c r="AO29" s="7">
        <f t="shared" si="2"/>
        <v>1</v>
      </c>
      <c r="AP29" s="15" t="s">
        <v>340</v>
      </c>
    </row>
    <row r="30" spans="1:42" ht="15" customHeight="1">
      <c r="A30" s="3">
        <v>202060002824</v>
      </c>
      <c r="B30" s="3">
        <v>910460</v>
      </c>
      <c r="C30" s="3" t="s">
        <v>250</v>
      </c>
      <c r="D30" s="3">
        <v>40</v>
      </c>
      <c r="E30" s="3" t="s">
        <v>248</v>
      </c>
      <c r="F30" s="3">
        <v>20</v>
      </c>
      <c r="G30" s="3" t="s">
        <v>50</v>
      </c>
      <c r="H30" s="4">
        <v>43497</v>
      </c>
      <c r="I30" s="5">
        <v>44232</v>
      </c>
      <c r="J30" s="4">
        <v>44236</v>
      </c>
      <c r="K30" s="4">
        <v>44236</v>
      </c>
      <c r="L30" s="3"/>
      <c r="M30" s="3"/>
      <c r="N30" s="3"/>
      <c r="O30" s="3" t="s">
        <v>61</v>
      </c>
      <c r="P30" s="3"/>
      <c r="Q30" s="3"/>
      <c r="R30" s="3"/>
      <c r="S30" s="3"/>
      <c r="T30" s="3"/>
      <c r="U30" s="3"/>
      <c r="V30" s="3"/>
      <c r="W30" s="6" t="s">
        <v>62</v>
      </c>
      <c r="X30" s="3"/>
      <c r="Y30" s="3"/>
      <c r="Z30" s="3"/>
      <c r="AA30" s="3"/>
      <c r="AB30" s="3">
        <v>51</v>
      </c>
      <c r="AC30" s="3">
        <v>0</v>
      </c>
      <c r="AD30" s="6" t="s">
        <v>44</v>
      </c>
      <c r="AE30" s="3" t="s">
        <v>71</v>
      </c>
      <c r="AF30" s="6" t="s">
        <v>44</v>
      </c>
      <c r="AG30" s="6" t="s">
        <v>44</v>
      </c>
      <c r="AH30" s="3"/>
      <c r="AI30" s="3"/>
      <c r="AJ30" s="3"/>
      <c r="AK30" s="3"/>
      <c r="AL30" s="7">
        <f>IF(A30="","",IF(COUNTIF(A30:A$2001,A30)=1,1,0))</f>
        <v>1</v>
      </c>
      <c r="AM30" s="7">
        <f t="shared" ca="1" si="0"/>
        <v>2065</v>
      </c>
      <c r="AN30" s="7">
        <f t="shared" si="1"/>
        <v>1</v>
      </c>
      <c r="AO30" s="7">
        <f t="shared" si="2"/>
        <v>1</v>
      </c>
      <c r="AP30" s="15" t="s">
        <v>337</v>
      </c>
    </row>
    <row r="31" spans="1:42" ht="15" customHeight="1">
      <c r="A31" s="3">
        <v>202060003171</v>
      </c>
      <c r="B31" s="3">
        <v>850287</v>
      </c>
      <c r="C31" s="3"/>
      <c r="D31" s="3">
        <v>31</v>
      </c>
      <c r="E31" s="3" t="s">
        <v>42</v>
      </c>
      <c r="F31" s="3"/>
      <c r="G31" s="3"/>
      <c r="H31" s="4">
        <v>44280</v>
      </c>
      <c r="I31" s="5">
        <v>44281</v>
      </c>
      <c r="J31" s="4">
        <v>44302</v>
      </c>
      <c r="K31" s="4">
        <v>44302</v>
      </c>
      <c r="L31" s="3"/>
      <c r="M31" s="3"/>
      <c r="N31" s="3"/>
      <c r="O31" s="3" t="s">
        <v>43</v>
      </c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>
        <v>50</v>
      </c>
      <c r="AC31" s="3">
        <v>0</v>
      </c>
      <c r="AD31" s="6" t="s">
        <v>44</v>
      </c>
      <c r="AE31" s="3" t="s">
        <v>58</v>
      </c>
      <c r="AF31" s="6" t="s">
        <v>44</v>
      </c>
      <c r="AG31" s="6" t="s">
        <v>44</v>
      </c>
      <c r="AH31" s="6" t="s">
        <v>44</v>
      </c>
      <c r="AI31" s="3"/>
      <c r="AJ31" s="3"/>
      <c r="AK31" s="3"/>
      <c r="AL31" s="7">
        <f>IF(A31="","",IF(COUNTIF(A31:A$2001,A31)=1,1,0))</f>
        <v>1</v>
      </c>
      <c r="AM31" s="7">
        <f t="shared" ca="1" si="0"/>
        <v>2016</v>
      </c>
      <c r="AN31" s="7">
        <f t="shared" si="1"/>
        <v>1</v>
      </c>
      <c r="AO31" s="7">
        <f t="shared" si="2"/>
        <v>1</v>
      </c>
      <c r="AP31" s="15"/>
    </row>
    <row r="32" spans="1:42" ht="15" customHeight="1">
      <c r="A32" s="3">
        <v>202360000913</v>
      </c>
      <c r="B32" s="3">
        <v>1204087</v>
      </c>
      <c r="C32" s="3"/>
      <c r="D32" s="3">
        <v>31</v>
      </c>
      <c r="E32" s="3" t="s">
        <v>42</v>
      </c>
      <c r="F32" s="3"/>
      <c r="G32" s="3"/>
      <c r="H32" s="4">
        <v>45062</v>
      </c>
      <c r="I32" s="5">
        <v>45096</v>
      </c>
      <c r="J32" s="4">
        <v>45098</v>
      </c>
      <c r="K32" s="4">
        <v>45148</v>
      </c>
      <c r="L32" s="3"/>
      <c r="M32" s="3"/>
      <c r="N32" s="3"/>
      <c r="O32" s="3" t="s">
        <v>43</v>
      </c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>
        <v>3</v>
      </c>
      <c r="AC32" s="3">
        <v>0</v>
      </c>
      <c r="AD32" s="6" t="s">
        <v>44</v>
      </c>
      <c r="AE32" s="3" t="s">
        <v>72</v>
      </c>
      <c r="AF32" s="3"/>
      <c r="AG32" s="3"/>
      <c r="AH32" s="3"/>
      <c r="AI32" s="3"/>
      <c r="AJ32" s="3"/>
      <c r="AK32" s="3"/>
      <c r="AL32" s="7">
        <f>IF(A32="","",IF(COUNTIF(A32:A$2001,A32)=1,1,0))</f>
        <v>1</v>
      </c>
      <c r="AM32" s="7">
        <f t="shared" ca="1" si="0"/>
        <v>1201</v>
      </c>
      <c r="AN32" s="7">
        <f t="shared" si="1"/>
        <v>1</v>
      </c>
      <c r="AO32" s="7">
        <f t="shared" si="2"/>
        <v>0</v>
      </c>
      <c r="AP32" s="15"/>
    </row>
    <row r="33" spans="1:42" ht="15" customHeight="1">
      <c r="A33" s="3">
        <v>202360003315</v>
      </c>
      <c r="B33" s="3">
        <v>890159</v>
      </c>
      <c r="C33" s="3"/>
      <c r="D33" s="3">
        <v>31</v>
      </c>
      <c r="E33" s="3" t="s">
        <v>42</v>
      </c>
      <c r="F33" s="3"/>
      <c r="G33" s="3"/>
      <c r="H33" s="4">
        <v>45370</v>
      </c>
      <c r="I33" s="5">
        <v>45370</v>
      </c>
      <c r="J33" s="4">
        <v>45575</v>
      </c>
      <c r="K33" s="4">
        <v>45575</v>
      </c>
      <c r="L33" s="3"/>
      <c r="M33" s="3"/>
      <c r="N33" s="3"/>
      <c r="O33" s="3" t="s">
        <v>43</v>
      </c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>
        <v>50</v>
      </c>
      <c r="AC33" s="3">
        <v>0</v>
      </c>
      <c r="AD33" s="6" t="s">
        <v>44</v>
      </c>
      <c r="AE33" s="3" t="s">
        <v>58</v>
      </c>
      <c r="AF33" s="6" t="s">
        <v>44</v>
      </c>
      <c r="AG33" s="6" t="s">
        <v>44</v>
      </c>
      <c r="AH33" s="6" t="s">
        <v>44</v>
      </c>
      <c r="AI33" s="3"/>
      <c r="AJ33" s="3"/>
      <c r="AK33" s="3"/>
      <c r="AL33" s="7">
        <f>IF(A33="","",IF(COUNTIF(A33:A$2001,A33)=1,1,0))</f>
        <v>1</v>
      </c>
      <c r="AM33" s="7">
        <f t="shared" ca="1" si="0"/>
        <v>927</v>
      </c>
      <c r="AN33" s="7">
        <f t="shared" si="1"/>
        <v>1</v>
      </c>
      <c r="AO33" s="7">
        <f t="shared" si="2"/>
        <v>1</v>
      </c>
      <c r="AP33" s="15"/>
    </row>
    <row r="34" spans="1:42" ht="15" customHeight="1">
      <c r="A34" s="3">
        <v>202360003320</v>
      </c>
      <c r="B34" s="3">
        <v>1122099</v>
      </c>
      <c r="C34" s="3" t="s">
        <v>164</v>
      </c>
      <c r="D34" s="3">
        <v>31</v>
      </c>
      <c r="E34" s="3" t="s">
        <v>42</v>
      </c>
      <c r="F34" s="3"/>
      <c r="G34" s="3"/>
      <c r="H34" s="4">
        <v>45352</v>
      </c>
      <c r="I34" s="5">
        <v>45370</v>
      </c>
      <c r="J34" s="4">
        <v>45373</v>
      </c>
      <c r="K34" s="4">
        <v>45373</v>
      </c>
      <c r="L34" s="3"/>
      <c r="M34" s="3"/>
      <c r="N34" s="3"/>
      <c r="O34" s="3" t="s">
        <v>55</v>
      </c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>
        <v>23</v>
      </c>
      <c r="AC34" s="3">
        <v>1</v>
      </c>
      <c r="AD34" s="6" t="s">
        <v>47</v>
      </c>
      <c r="AE34" s="3" t="s">
        <v>51</v>
      </c>
      <c r="AF34" s="3"/>
      <c r="AG34" s="3"/>
      <c r="AH34" s="3"/>
      <c r="AI34" s="3"/>
      <c r="AJ34" s="3"/>
      <c r="AK34" s="3"/>
      <c r="AL34" s="7">
        <f>IF(A34="","",IF(COUNTIF(A34:A$2001,A34)=1,1,0))</f>
        <v>0</v>
      </c>
      <c r="AM34" s="7">
        <f t="shared" ca="1" si="0"/>
        <v>927</v>
      </c>
      <c r="AN34" s="7">
        <f t="shared" si="1"/>
        <v>1</v>
      </c>
      <c r="AO34" s="7">
        <f t="shared" si="2"/>
        <v>0</v>
      </c>
      <c r="AP34" s="15"/>
    </row>
    <row r="35" spans="1:42" ht="15" customHeight="1">
      <c r="A35" s="3">
        <v>202360003320</v>
      </c>
      <c r="B35" s="3">
        <v>1122099</v>
      </c>
      <c r="C35" s="3" t="s">
        <v>164</v>
      </c>
      <c r="D35" s="3">
        <v>31</v>
      </c>
      <c r="E35" s="3" t="s">
        <v>42</v>
      </c>
      <c r="F35" s="3"/>
      <c r="G35" s="3"/>
      <c r="H35" s="4">
        <v>45352</v>
      </c>
      <c r="I35" s="5">
        <v>45370</v>
      </c>
      <c r="J35" s="4">
        <v>45373</v>
      </c>
      <c r="K35" s="4">
        <v>45373</v>
      </c>
      <c r="L35" s="3"/>
      <c r="M35" s="3"/>
      <c r="N35" s="3"/>
      <c r="O35" s="3" t="s">
        <v>55</v>
      </c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>
        <v>23</v>
      </c>
      <c r="AC35" s="3">
        <v>1</v>
      </c>
      <c r="AD35" s="6" t="s">
        <v>47</v>
      </c>
      <c r="AE35" s="3" t="s">
        <v>52</v>
      </c>
      <c r="AF35" s="3"/>
      <c r="AG35" s="3"/>
      <c r="AH35" s="3"/>
      <c r="AI35" s="3"/>
      <c r="AJ35" s="3"/>
      <c r="AK35" s="3"/>
      <c r="AL35" s="7">
        <f>IF(A35="","",IF(COUNTIF(A35:A$2001,A35)=1,1,0))</f>
        <v>1</v>
      </c>
      <c r="AM35" s="7">
        <f t="shared" ca="1" si="0"/>
        <v>927</v>
      </c>
      <c r="AN35" s="7">
        <f t="shared" si="1"/>
        <v>1</v>
      </c>
      <c r="AO35" s="7">
        <f t="shared" si="2"/>
        <v>0</v>
      </c>
      <c r="AP35" s="15"/>
    </row>
    <row r="36" spans="1:42" ht="15" customHeight="1">
      <c r="A36" s="3">
        <v>202460000110</v>
      </c>
      <c r="B36" s="3">
        <v>910247</v>
      </c>
      <c r="C36" s="3" t="s">
        <v>165</v>
      </c>
      <c r="D36" s="3">
        <v>20</v>
      </c>
      <c r="E36" s="3" t="s">
        <v>68</v>
      </c>
      <c r="F36" s="3">
        <v>20</v>
      </c>
      <c r="G36" s="3" t="s">
        <v>50</v>
      </c>
      <c r="H36" s="4">
        <v>45383</v>
      </c>
      <c r="I36" s="5">
        <v>45405</v>
      </c>
      <c r="J36" s="4">
        <v>45387</v>
      </c>
      <c r="K36" s="4">
        <v>45617</v>
      </c>
      <c r="L36" s="3"/>
      <c r="M36" s="3"/>
      <c r="N36" s="3"/>
      <c r="O36" s="3" t="s">
        <v>61</v>
      </c>
      <c r="P36" s="3"/>
      <c r="Q36" s="3"/>
      <c r="R36" s="3"/>
      <c r="S36" s="3"/>
      <c r="T36" s="3"/>
      <c r="U36" s="3"/>
      <c r="V36" s="3"/>
      <c r="W36" s="6" t="s">
        <v>62</v>
      </c>
      <c r="X36" s="3"/>
      <c r="Y36" s="3"/>
      <c r="Z36" s="3"/>
      <c r="AA36" s="3"/>
      <c r="AB36" s="3">
        <v>22</v>
      </c>
      <c r="AC36" s="3">
        <v>1</v>
      </c>
      <c r="AD36" s="6" t="s">
        <v>47</v>
      </c>
      <c r="AE36" s="3" t="s">
        <v>48</v>
      </c>
      <c r="AF36" s="6" t="s">
        <v>47</v>
      </c>
      <c r="AG36" s="6" t="s">
        <v>47</v>
      </c>
      <c r="AH36" s="3"/>
      <c r="AI36" s="3"/>
      <c r="AJ36" s="3"/>
      <c r="AK36" s="3"/>
      <c r="AL36" s="7">
        <f>IF(A36="","",IF(COUNTIF(A36:A$2001,A36)=1,1,0))</f>
        <v>1</v>
      </c>
      <c r="AM36" s="7">
        <f t="shared" ca="1" si="0"/>
        <v>892</v>
      </c>
      <c r="AN36" s="7">
        <f t="shared" si="1"/>
        <v>1</v>
      </c>
      <c r="AO36" s="7">
        <f t="shared" si="2"/>
        <v>1</v>
      </c>
      <c r="AP36" s="15" t="s">
        <v>337</v>
      </c>
    </row>
    <row r="37" spans="1:42" ht="15" customHeight="1">
      <c r="A37" s="3">
        <v>202460000121</v>
      </c>
      <c r="B37" s="3">
        <v>887937</v>
      </c>
      <c r="C37" s="3" t="s">
        <v>251</v>
      </c>
      <c r="D37" s="3">
        <v>40</v>
      </c>
      <c r="E37" s="3" t="s">
        <v>248</v>
      </c>
      <c r="F37" s="3">
        <v>20</v>
      </c>
      <c r="G37" s="3" t="s">
        <v>50</v>
      </c>
      <c r="H37" s="4">
        <v>45383</v>
      </c>
      <c r="I37" s="5">
        <v>45386</v>
      </c>
      <c r="J37" s="4">
        <v>45390</v>
      </c>
      <c r="K37" s="4">
        <v>45390</v>
      </c>
      <c r="L37" s="3"/>
      <c r="M37" s="3"/>
      <c r="N37" s="3"/>
      <c r="O37" s="3" t="s">
        <v>61</v>
      </c>
      <c r="P37" s="3"/>
      <c r="Q37" s="3"/>
      <c r="R37" s="3"/>
      <c r="S37" s="3"/>
      <c r="T37" s="3"/>
      <c r="U37" s="3"/>
      <c r="V37" s="3"/>
      <c r="W37" s="6" t="s">
        <v>62</v>
      </c>
      <c r="X37" s="3"/>
      <c r="Y37" s="3"/>
      <c r="Z37" s="3"/>
      <c r="AA37" s="3"/>
      <c r="AB37" s="3">
        <v>47</v>
      </c>
      <c r="AC37" s="3">
        <v>0</v>
      </c>
      <c r="AD37" s="6" t="s">
        <v>44</v>
      </c>
      <c r="AE37" s="3" t="s">
        <v>45</v>
      </c>
      <c r="AF37" s="6" t="s">
        <v>44</v>
      </c>
      <c r="AG37" s="6" t="s">
        <v>44</v>
      </c>
      <c r="AH37" s="6" t="s">
        <v>44</v>
      </c>
      <c r="AI37" s="3"/>
      <c r="AJ37" s="3"/>
      <c r="AK37" s="3"/>
      <c r="AL37" s="7">
        <f>IF(A37="","",IF(COUNTIF(A37:A$2001,A37)=1,1,0))</f>
        <v>1</v>
      </c>
      <c r="AM37" s="7">
        <f t="shared" ca="1" si="0"/>
        <v>911</v>
      </c>
      <c r="AN37" s="7">
        <f t="shared" si="1"/>
        <v>1</v>
      </c>
      <c r="AO37" s="7">
        <f t="shared" si="2"/>
        <v>1</v>
      </c>
      <c r="AP37" s="15" t="s">
        <v>337</v>
      </c>
    </row>
    <row r="38" spans="1:42" ht="15" customHeight="1">
      <c r="A38" s="3">
        <v>202460000142</v>
      </c>
      <c r="B38" s="3">
        <v>920872</v>
      </c>
      <c r="C38" s="3"/>
      <c r="D38" s="3">
        <v>40</v>
      </c>
      <c r="E38" s="3" t="s">
        <v>248</v>
      </c>
      <c r="F38" s="3">
        <v>20</v>
      </c>
      <c r="G38" s="3" t="s">
        <v>50</v>
      </c>
      <c r="H38" s="4">
        <v>45413</v>
      </c>
      <c r="I38" s="5">
        <v>45386</v>
      </c>
      <c r="J38" s="4">
        <v>45750</v>
      </c>
      <c r="K38" s="4">
        <v>45750</v>
      </c>
      <c r="L38" s="3"/>
      <c r="M38" s="3"/>
      <c r="N38" s="3"/>
      <c r="O38" s="3" t="s">
        <v>61</v>
      </c>
      <c r="P38" s="3"/>
      <c r="Q38" s="3"/>
      <c r="R38" s="3"/>
      <c r="S38" s="3"/>
      <c r="T38" s="3"/>
      <c r="U38" s="3"/>
      <c r="V38" s="3"/>
      <c r="W38" s="6" t="s">
        <v>62</v>
      </c>
      <c r="X38" s="3"/>
      <c r="Y38" s="3"/>
      <c r="Z38" s="3"/>
      <c r="AA38" s="3"/>
      <c r="AB38" s="3">
        <v>47</v>
      </c>
      <c r="AC38" s="3">
        <v>0</v>
      </c>
      <c r="AD38" s="6" t="s">
        <v>44</v>
      </c>
      <c r="AE38" s="3" t="s">
        <v>45</v>
      </c>
      <c r="AF38" s="3"/>
      <c r="AG38" s="6" t="s">
        <v>44</v>
      </c>
      <c r="AH38" s="3"/>
      <c r="AI38" s="3"/>
      <c r="AJ38" s="3"/>
      <c r="AK38" s="3"/>
      <c r="AL38" s="7">
        <f>IF(A38="","",IF(COUNTIF(A38:A$2001,A38)=1,1,0))</f>
        <v>1</v>
      </c>
      <c r="AM38" s="7">
        <f t="shared" ca="1" si="0"/>
        <v>911</v>
      </c>
      <c r="AN38" s="7">
        <f t="shared" si="1"/>
        <v>1</v>
      </c>
      <c r="AO38" s="7">
        <f t="shared" si="2"/>
        <v>1</v>
      </c>
      <c r="AP38" s="15" t="s">
        <v>337</v>
      </c>
    </row>
    <row r="39" spans="1:42" ht="15" customHeight="1">
      <c r="A39" s="3">
        <v>202460000609</v>
      </c>
      <c r="B39" s="3">
        <v>1012009</v>
      </c>
      <c r="C39" s="3" t="s">
        <v>166</v>
      </c>
      <c r="D39" s="3">
        <v>31</v>
      </c>
      <c r="E39" s="3" t="s">
        <v>42</v>
      </c>
      <c r="F39" s="3"/>
      <c r="G39" s="3"/>
      <c r="H39" s="4">
        <v>45296</v>
      </c>
      <c r="I39" s="5">
        <v>45413</v>
      </c>
      <c r="J39" s="4">
        <v>45420</v>
      </c>
      <c r="K39" s="4">
        <v>45425</v>
      </c>
      <c r="L39" s="3"/>
      <c r="M39" s="3"/>
      <c r="N39" s="3"/>
      <c r="O39" s="3" t="s">
        <v>55</v>
      </c>
      <c r="P39" s="3"/>
      <c r="Q39" s="3"/>
      <c r="R39" s="3"/>
      <c r="S39" s="6" t="s">
        <v>57</v>
      </c>
      <c r="T39" s="3"/>
      <c r="U39" s="3"/>
      <c r="V39" s="3"/>
      <c r="W39" s="3"/>
      <c r="X39" s="3"/>
      <c r="Y39" s="3"/>
      <c r="Z39" s="3"/>
      <c r="AA39" s="3"/>
      <c r="AB39" s="3">
        <v>99</v>
      </c>
      <c r="AC39" s="3">
        <v>1</v>
      </c>
      <c r="AD39" s="6" t="s">
        <v>47</v>
      </c>
      <c r="AE39" s="3" t="s">
        <v>60</v>
      </c>
      <c r="AF39" s="6" t="s">
        <v>47</v>
      </c>
      <c r="AG39" s="6" t="s">
        <v>47</v>
      </c>
      <c r="AH39" s="6" t="s">
        <v>47</v>
      </c>
      <c r="AI39" s="3"/>
      <c r="AJ39" s="3"/>
      <c r="AK39" s="3"/>
      <c r="AL39" s="7">
        <f>IF(A39="","",IF(COUNTIF(A39:A$2001,A39)=1,1,0))</f>
        <v>1</v>
      </c>
      <c r="AM39" s="7">
        <f t="shared" ca="1" si="0"/>
        <v>884</v>
      </c>
      <c r="AN39" s="7">
        <f t="shared" si="1"/>
        <v>1</v>
      </c>
      <c r="AO39" s="7">
        <f t="shared" si="2"/>
        <v>1</v>
      </c>
      <c r="AP39" s="15" t="s">
        <v>335</v>
      </c>
    </row>
    <row r="40" spans="1:42" ht="15" customHeight="1">
      <c r="A40" s="3">
        <v>202460002704</v>
      </c>
      <c r="B40" s="3">
        <v>810801</v>
      </c>
      <c r="C40" s="3"/>
      <c r="D40" s="3">
        <v>32</v>
      </c>
      <c r="E40" s="3" t="s">
        <v>73</v>
      </c>
      <c r="F40" s="3"/>
      <c r="G40" s="3"/>
      <c r="H40" s="4">
        <v>45641</v>
      </c>
      <c r="I40" s="5">
        <v>45642</v>
      </c>
      <c r="J40" s="4">
        <v>45651</v>
      </c>
      <c r="K40" s="4">
        <v>45651</v>
      </c>
      <c r="L40" s="3"/>
      <c r="M40" s="3"/>
      <c r="N40" s="3"/>
      <c r="O40" s="3" t="s">
        <v>74</v>
      </c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>
        <v>98</v>
      </c>
      <c r="AC40" s="3">
        <v>0</v>
      </c>
      <c r="AD40" s="6" t="s">
        <v>44</v>
      </c>
      <c r="AE40" s="3" t="s">
        <v>75</v>
      </c>
      <c r="AF40" s="3"/>
      <c r="AG40" s="6" t="s">
        <v>44</v>
      </c>
      <c r="AH40" s="3"/>
      <c r="AI40" s="3"/>
      <c r="AJ40" s="3"/>
      <c r="AK40" s="3"/>
      <c r="AL40" s="7">
        <f>IF(A40="","",IF(COUNTIF(A40:A$2001,A40)=1,1,0))</f>
        <v>1</v>
      </c>
      <c r="AM40" s="7">
        <f t="shared" ca="1" si="0"/>
        <v>655</v>
      </c>
      <c r="AN40" s="7">
        <f t="shared" si="1"/>
        <v>1</v>
      </c>
      <c r="AO40" s="7">
        <f t="shared" si="2"/>
        <v>1</v>
      </c>
      <c r="AP40" s="15"/>
    </row>
    <row r="41" spans="1:42" ht="15" customHeight="1">
      <c r="A41" s="3">
        <v>202460002924</v>
      </c>
      <c r="B41" s="3">
        <v>1132115</v>
      </c>
      <c r="C41" s="3" t="s">
        <v>252</v>
      </c>
      <c r="D41" s="3">
        <v>40</v>
      </c>
      <c r="E41" s="3" t="s">
        <v>248</v>
      </c>
      <c r="F41" s="3">
        <v>20</v>
      </c>
      <c r="G41" s="3" t="s">
        <v>50</v>
      </c>
      <c r="H41" s="4">
        <v>45626</v>
      </c>
      <c r="I41" s="5">
        <v>45681</v>
      </c>
      <c r="J41" s="4">
        <v>45734</v>
      </c>
      <c r="K41" s="4">
        <v>45735</v>
      </c>
      <c r="L41" s="3"/>
      <c r="M41" s="3"/>
      <c r="N41" s="3"/>
      <c r="O41" s="3" t="s">
        <v>61</v>
      </c>
      <c r="P41" s="3"/>
      <c r="Q41" s="3"/>
      <c r="R41" s="3"/>
      <c r="S41" s="3"/>
      <c r="T41" s="3"/>
      <c r="U41" s="3"/>
      <c r="V41" s="3"/>
      <c r="W41" s="6" t="s">
        <v>62</v>
      </c>
      <c r="X41" s="3"/>
      <c r="Y41" s="3"/>
      <c r="Z41" s="3"/>
      <c r="AA41" s="3"/>
      <c r="AB41" s="3">
        <v>22</v>
      </c>
      <c r="AC41" s="3">
        <v>1</v>
      </c>
      <c r="AD41" s="6" t="s">
        <v>47</v>
      </c>
      <c r="AE41" s="3" t="s">
        <v>48</v>
      </c>
      <c r="AF41" s="6" t="s">
        <v>47</v>
      </c>
      <c r="AG41" s="6" t="s">
        <v>47</v>
      </c>
      <c r="AH41" s="6" t="s">
        <v>47</v>
      </c>
      <c r="AI41" s="3"/>
      <c r="AJ41" s="3"/>
      <c r="AK41" s="3"/>
      <c r="AL41" s="7">
        <f>IF(A41="","",IF(COUNTIF(A41:A$2001,A41)=1,1,0))</f>
        <v>1</v>
      </c>
      <c r="AM41" s="7">
        <f t="shared" ca="1" si="0"/>
        <v>616</v>
      </c>
      <c r="AN41" s="7">
        <f t="shared" si="1"/>
        <v>1</v>
      </c>
      <c r="AO41" s="7">
        <f t="shared" si="2"/>
        <v>1</v>
      </c>
      <c r="AP41" s="15" t="s">
        <v>337</v>
      </c>
    </row>
    <row r="42" spans="1:42" ht="15" customHeight="1">
      <c r="A42" s="3">
        <v>202460003120</v>
      </c>
      <c r="B42" s="3">
        <v>850134</v>
      </c>
      <c r="C42" s="3"/>
      <c r="D42" s="3">
        <v>31</v>
      </c>
      <c r="E42" s="3" t="s">
        <v>42</v>
      </c>
      <c r="F42" s="3"/>
      <c r="G42" s="3"/>
      <c r="H42" s="4">
        <v>45716</v>
      </c>
      <c r="I42" s="5">
        <v>45716</v>
      </c>
      <c r="J42" s="4">
        <v>45734</v>
      </c>
      <c r="K42" s="4">
        <v>45735</v>
      </c>
      <c r="L42" s="3"/>
      <c r="M42" s="3"/>
      <c r="N42" s="3"/>
      <c r="O42" s="3" t="s">
        <v>55</v>
      </c>
      <c r="P42" s="3"/>
      <c r="Q42" s="3"/>
      <c r="R42" s="3"/>
      <c r="S42" s="3"/>
      <c r="T42" s="3"/>
      <c r="U42" s="6" t="s">
        <v>67</v>
      </c>
      <c r="V42" s="3"/>
      <c r="W42" s="3"/>
      <c r="X42" s="3"/>
      <c r="Y42" s="3"/>
      <c r="Z42" s="3"/>
      <c r="AA42" s="3"/>
      <c r="AB42" s="3">
        <v>51</v>
      </c>
      <c r="AC42" s="3">
        <v>0</v>
      </c>
      <c r="AD42" s="6" t="s">
        <v>44</v>
      </c>
      <c r="AE42" s="3" t="s">
        <v>71</v>
      </c>
      <c r="AF42" s="3"/>
      <c r="AG42" s="6" t="s">
        <v>44</v>
      </c>
      <c r="AH42" s="3"/>
      <c r="AI42" s="3"/>
      <c r="AJ42" s="3"/>
      <c r="AK42" s="3"/>
      <c r="AL42" s="7">
        <f>IF(A42="","",IF(COUNTIF(A42:A$2001,A42)=1,1,0))</f>
        <v>1</v>
      </c>
      <c r="AM42" s="7">
        <f t="shared" ca="1" si="0"/>
        <v>581</v>
      </c>
      <c r="AN42" s="7">
        <f t="shared" si="1"/>
        <v>1</v>
      </c>
      <c r="AO42" s="7">
        <f t="shared" si="2"/>
        <v>1</v>
      </c>
      <c r="AP42" s="15" t="s">
        <v>341</v>
      </c>
    </row>
    <row r="43" spans="1:42" ht="15" customHeight="1">
      <c r="A43" s="3">
        <v>202460003283</v>
      </c>
      <c r="B43" s="3">
        <v>1242133</v>
      </c>
      <c r="C43" s="3"/>
      <c r="D43" s="3">
        <v>31</v>
      </c>
      <c r="E43" s="3" t="s">
        <v>42</v>
      </c>
      <c r="F43" s="3"/>
      <c r="G43" s="3"/>
      <c r="H43" s="4">
        <v>45710</v>
      </c>
      <c r="I43" s="5">
        <v>45734</v>
      </c>
      <c r="J43" s="4">
        <v>45737</v>
      </c>
      <c r="K43" s="4">
        <v>45791</v>
      </c>
      <c r="L43" s="3"/>
      <c r="M43" s="3"/>
      <c r="N43" s="3"/>
      <c r="O43" s="3" t="s">
        <v>43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>
        <v>23</v>
      </c>
      <c r="AC43" s="3">
        <v>1</v>
      </c>
      <c r="AD43" s="6" t="s">
        <v>47</v>
      </c>
      <c r="AE43" s="3" t="s">
        <v>51</v>
      </c>
      <c r="AF43" s="3"/>
      <c r="AG43" s="3"/>
      <c r="AH43" s="3"/>
      <c r="AI43" s="3"/>
      <c r="AJ43" s="3"/>
      <c r="AK43" s="3"/>
      <c r="AL43" s="7">
        <f>IF(A43="","",IF(COUNTIF(A43:A$2001,A43)=1,1,0))</f>
        <v>0</v>
      </c>
      <c r="AM43" s="7">
        <f t="shared" ca="1" si="0"/>
        <v>563</v>
      </c>
      <c r="AN43" s="7">
        <f t="shared" si="1"/>
        <v>1</v>
      </c>
      <c r="AO43" s="7">
        <f t="shared" si="2"/>
        <v>0</v>
      </c>
      <c r="AP43" s="15"/>
    </row>
    <row r="44" spans="1:42" ht="15" customHeight="1">
      <c r="A44" s="3">
        <v>202460003283</v>
      </c>
      <c r="B44" s="3">
        <v>1242133</v>
      </c>
      <c r="C44" s="3"/>
      <c r="D44" s="3">
        <v>31</v>
      </c>
      <c r="E44" s="3" t="s">
        <v>42</v>
      </c>
      <c r="F44" s="3"/>
      <c r="G44" s="3"/>
      <c r="H44" s="4">
        <v>45710</v>
      </c>
      <c r="I44" s="5">
        <v>45734</v>
      </c>
      <c r="J44" s="4">
        <v>45737</v>
      </c>
      <c r="K44" s="4">
        <v>45791</v>
      </c>
      <c r="L44" s="3"/>
      <c r="M44" s="3"/>
      <c r="N44" s="3"/>
      <c r="O44" s="3" t="s">
        <v>43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>
        <v>23</v>
      </c>
      <c r="AC44" s="3">
        <v>1</v>
      </c>
      <c r="AD44" s="6" t="s">
        <v>47</v>
      </c>
      <c r="AE44" s="3" t="s">
        <v>52</v>
      </c>
      <c r="AF44" s="3"/>
      <c r="AG44" s="3"/>
      <c r="AH44" s="3"/>
      <c r="AI44" s="3"/>
      <c r="AJ44" s="3"/>
      <c r="AK44" s="3"/>
      <c r="AL44" s="7">
        <f>IF(A44="","",IF(COUNTIF(A44:A$2001,A44)=1,1,0))</f>
        <v>1</v>
      </c>
      <c r="AM44" s="7">
        <f t="shared" ca="1" si="0"/>
        <v>563</v>
      </c>
      <c r="AN44" s="7">
        <f t="shared" si="1"/>
        <v>1</v>
      </c>
      <c r="AO44" s="7">
        <f t="shared" si="2"/>
        <v>0</v>
      </c>
      <c r="AP44" s="15"/>
    </row>
    <row r="45" spans="1:42" ht="15" customHeight="1">
      <c r="A45" s="3">
        <v>202560000309</v>
      </c>
      <c r="B45" s="3">
        <v>1026051</v>
      </c>
      <c r="C45" s="3" t="s">
        <v>167</v>
      </c>
      <c r="D45" s="3">
        <v>31</v>
      </c>
      <c r="E45" s="3" t="s">
        <v>42</v>
      </c>
      <c r="F45" s="3">
        <v>20</v>
      </c>
      <c r="G45" s="3" t="s">
        <v>50</v>
      </c>
      <c r="H45" s="4">
        <v>45748</v>
      </c>
      <c r="I45" s="5">
        <v>45757</v>
      </c>
      <c r="J45" s="4">
        <v>45911</v>
      </c>
      <c r="K45" s="4">
        <v>45911</v>
      </c>
      <c r="L45" s="3"/>
      <c r="M45" s="3"/>
      <c r="N45" s="3"/>
      <c r="O45" s="3" t="s">
        <v>55</v>
      </c>
      <c r="P45" s="3"/>
      <c r="Q45" s="3"/>
      <c r="R45" s="3"/>
      <c r="S45" s="3"/>
      <c r="T45" s="3"/>
      <c r="U45" s="6" t="s">
        <v>67</v>
      </c>
      <c r="V45" s="3"/>
      <c r="W45" s="3"/>
      <c r="X45" s="3"/>
      <c r="Y45" s="3"/>
      <c r="Z45" s="3"/>
      <c r="AA45" s="3"/>
      <c r="AB45" s="3">
        <v>51</v>
      </c>
      <c r="AC45" s="3">
        <v>0</v>
      </c>
      <c r="AD45" s="6" t="s">
        <v>44</v>
      </c>
      <c r="AE45" s="3" t="s">
        <v>71</v>
      </c>
      <c r="AF45" s="6" t="s">
        <v>44</v>
      </c>
      <c r="AG45" s="6" t="s">
        <v>44</v>
      </c>
      <c r="AH45" s="3"/>
      <c r="AI45" s="3"/>
      <c r="AJ45" s="3"/>
      <c r="AK45" s="3"/>
      <c r="AL45" s="7">
        <f>IF(A45="","",IF(COUNTIF(A45:A$2001,A45)=1,1,0))</f>
        <v>1</v>
      </c>
      <c r="AM45" s="7">
        <f t="shared" ca="1" si="0"/>
        <v>540</v>
      </c>
      <c r="AN45" s="7">
        <f t="shared" si="1"/>
        <v>1</v>
      </c>
      <c r="AO45" s="7">
        <f t="shared" si="2"/>
        <v>1</v>
      </c>
      <c r="AP45" s="15" t="s">
        <v>341</v>
      </c>
    </row>
    <row r="46" spans="1:42" ht="15" customHeight="1">
      <c r="A46" s="3">
        <v>202560000569</v>
      </c>
      <c r="B46" s="3">
        <v>890169</v>
      </c>
      <c r="C46" s="3"/>
      <c r="D46" s="3">
        <v>40</v>
      </c>
      <c r="E46" s="3" t="s">
        <v>248</v>
      </c>
      <c r="F46" s="3">
        <v>20</v>
      </c>
      <c r="G46" s="3" t="s">
        <v>50</v>
      </c>
      <c r="H46" s="4">
        <v>45748</v>
      </c>
      <c r="I46" s="5">
        <v>45778</v>
      </c>
      <c r="J46" s="4">
        <v>45945</v>
      </c>
      <c r="K46" s="4">
        <v>45945</v>
      </c>
      <c r="L46" s="3"/>
      <c r="M46" s="3"/>
      <c r="N46" s="3"/>
      <c r="O46" s="3" t="s">
        <v>61</v>
      </c>
      <c r="P46" s="3"/>
      <c r="Q46" s="3"/>
      <c r="R46" s="3"/>
      <c r="S46" s="3"/>
      <c r="T46" s="3"/>
      <c r="U46" s="3"/>
      <c r="V46" s="3"/>
      <c r="W46" s="6" t="s">
        <v>62</v>
      </c>
      <c r="X46" s="3"/>
      <c r="Y46" s="3"/>
      <c r="Z46" s="3"/>
      <c r="AA46" s="3"/>
      <c r="AB46" s="3">
        <v>22</v>
      </c>
      <c r="AC46" s="3">
        <v>1</v>
      </c>
      <c r="AD46" s="6" t="s">
        <v>47</v>
      </c>
      <c r="AE46" s="3" t="s">
        <v>48</v>
      </c>
      <c r="AF46" s="6" t="s">
        <v>47</v>
      </c>
      <c r="AG46" s="6" t="s">
        <v>47</v>
      </c>
      <c r="AH46" s="6" t="s">
        <v>47</v>
      </c>
      <c r="AI46" s="3"/>
      <c r="AJ46" s="3"/>
      <c r="AK46" s="3"/>
      <c r="AL46" s="7">
        <f>IF(A46="","",IF(COUNTIF(A46:A$2001,A46)=1,1,0))</f>
        <v>1</v>
      </c>
      <c r="AM46" s="7">
        <f t="shared" ca="1" si="0"/>
        <v>519</v>
      </c>
      <c r="AN46" s="7">
        <f t="shared" si="1"/>
        <v>1</v>
      </c>
      <c r="AO46" s="7">
        <f t="shared" si="2"/>
        <v>1</v>
      </c>
      <c r="AP46" s="15" t="s">
        <v>337</v>
      </c>
    </row>
    <row r="47" spans="1:42" ht="15" customHeight="1">
      <c r="A47" s="3">
        <v>202560000773</v>
      </c>
      <c r="B47" s="3">
        <v>1071006</v>
      </c>
      <c r="C47" s="3"/>
      <c r="D47" s="3">
        <v>32</v>
      </c>
      <c r="E47" s="3" t="s">
        <v>73</v>
      </c>
      <c r="F47" s="3">
        <v>30</v>
      </c>
      <c r="G47" s="3" t="s">
        <v>76</v>
      </c>
      <c r="H47" s="4">
        <v>45804</v>
      </c>
      <c r="I47" s="5">
        <v>45804</v>
      </c>
      <c r="J47" s="4">
        <v>45806</v>
      </c>
      <c r="K47" s="4">
        <v>45832</v>
      </c>
      <c r="L47" s="3"/>
      <c r="M47" s="3"/>
      <c r="N47" s="3"/>
      <c r="O47" s="3" t="s">
        <v>77</v>
      </c>
      <c r="P47" s="3"/>
      <c r="Q47" s="3"/>
      <c r="R47" s="3"/>
      <c r="S47" s="3"/>
      <c r="T47" s="3"/>
      <c r="U47" s="3"/>
      <c r="V47" s="6" t="s">
        <v>78</v>
      </c>
      <c r="W47" s="3"/>
      <c r="X47" s="3"/>
      <c r="Y47" s="3"/>
      <c r="Z47" s="3"/>
      <c r="AA47" s="3"/>
      <c r="AB47" s="3">
        <v>50</v>
      </c>
      <c r="AC47" s="3">
        <v>0</v>
      </c>
      <c r="AD47" s="6" t="s">
        <v>44</v>
      </c>
      <c r="AE47" s="3" t="s">
        <v>58</v>
      </c>
      <c r="AF47" s="6" t="s">
        <v>44</v>
      </c>
      <c r="AG47" s="6" t="s">
        <v>44</v>
      </c>
      <c r="AH47" s="6" t="s">
        <v>44</v>
      </c>
      <c r="AI47" s="3"/>
      <c r="AJ47" s="3"/>
      <c r="AK47" s="3"/>
      <c r="AL47" s="7">
        <f>IF(A47="","",IF(COUNTIF(A47:A$2001,A47)=1,1,0))</f>
        <v>1</v>
      </c>
      <c r="AM47" s="7">
        <f t="shared" ca="1" si="0"/>
        <v>493</v>
      </c>
      <c r="AN47" s="7">
        <f t="shared" si="1"/>
        <v>1</v>
      </c>
      <c r="AO47" s="7">
        <f t="shared" si="2"/>
        <v>1</v>
      </c>
      <c r="AP47" s="15" t="s">
        <v>342</v>
      </c>
    </row>
    <row r="48" spans="1:42" ht="15" customHeight="1">
      <c r="A48" s="3">
        <v>202560001201</v>
      </c>
      <c r="B48" s="3">
        <v>1034029</v>
      </c>
      <c r="C48" s="3"/>
      <c r="D48" s="3">
        <v>31</v>
      </c>
      <c r="E48" s="3" t="s">
        <v>42</v>
      </c>
      <c r="F48" s="3"/>
      <c r="G48" s="3"/>
      <c r="H48" s="4">
        <v>45843</v>
      </c>
      <c r="I48" s="5">
        <v>45875</v>
      </c>
      <c r="J48" s="4">
        <v>45979</v>
      </c>
      <c r="K48" s="4">
        <v>45979</v>
      </c>
      <c r="L48" s="3"/>
      <c r="M48" s="3"/>
      <c r="N48" s="3"/>
      <c r="O48" s="3" t="s">
        <v>43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>
        <v>3</v>
      </c>
      <c r="AC48" s="3">
        <v>0</v>
      </c>
      <c r="AD48" s="6" t="s">
        <v>44</v>
      </c>
      <c r="AE48" s="3" t="s">
        <v>72</v>
      </c>
      <c r="AF48" s="6" t="s">
        <v>44</v>
      </c>
      <c r="AG48" s="6" t="s">
        <v>44</v>
      </c>
      <c r="AH48" s="6" t="s">
        <v>44</v>
      </c>
      <c r="AI48" s="3"/>
      <c r="AJ48" s="3"/>
      <c r="AK48" s="3"/>
      <c r="AL48" s="7">
        <f>IF(A48="","",IF(COUNTIF(A48:A$2001,A48)=1,1,0))</f>
        <v>1</v>
      </c>
      <c r="AM48" s="7">
        <f t="shared" ca="1" si="0"/>
        <v>422</v>
      </c>
      <c r="AN48" s="7">
        <f t="shared" si="1"/>
        <v>1</v>
      </c>
      <c r="AO48" s="7">
        <f t="shared" si="2"/>
        <v>1</v>
      </c>
      <c r="AP48" s="15"/>
    </row>
    <row r="49" spans="1:42" ht="15" customHeight="1">
      <c r="A49" s="3">
        <v>202560001622</v>
      </c>
      <c r="B49" s="3">
        <v>910704</v>
      </c>
      <c r="C49" s="3" t="s">
        <v>253</v>
      </c>
      <c r="D49" s="3">
        <v>40</v>
      </c>
      <c r="E49" s="3" t="s">
        <v>248</v>
      </c>
      <c r="F49" s="3">
        <v>20</v>
      </c>
      <c r="G49" s="3" t="s">
        <v>50</v>
      </c>
      <c r="H49" s="4">
        <v>45204</v>
      </c>
      <c r="I49" s="5">
        <v>45924</v>
      </c>
      <c r="J49" s="4">
        <v>45925</v>
      </c>
      <c r="K49" s="4">
        <v>45925</v>
      </c>
      <c r="L49" s="3"/>
      <c r="M49" s="3"/>
      <c r="N49" s="3"/>
      <c r="O49" s="3" t="s">
        <v>61</v>
      </c>
      <c r="P49" s="3"/>
      <c r="Q49" s="3"/>
      <c r="R49" s="3"/>
      <c r="S49" s="3"/>
      <c r="T49" s="3"/>
      <c r="U49" s="3"/>
      <c r="V49" s="3"/>
      <c r="W49" s="6" t="s">
        <v>62</v>
      </c>
      <c r="X49" s="3"/>
      <c r="Y49" s="3"/>
      <c r="Z49" s="3"/>
      <c r="AA49" s="3"/>
      <c r="AB49" s="3">
        <v>3</v>
      </c>
      <c r="AC49" s="3">
        <v>0</v>
      </c>
      <c r="AD49" s="6" t="s">
        <v>44</v>
      </c>
      <c r="AE49" s="3" t="s">
        <v>72</v>
      </c>
      <c r="AF49" s="3"/>
      <c r="AG49" s="3"/>
      <c r="AH49" s="3"/>
      <c r="AI49" s="3"/>
      <c r="AJ49" s="3"/>
      <c r="AK49" s="3"/>
      <c r="AL49" s="7">
        <f>IF(A49="","",IF(COUNTIF(A49:A$2001,A49)=1,1,0))</f>
        <v>1</v>
      </c>
      <c r="AM49" s="7">
        <f t="shared" ca="1" si="0"/>
        <v>373</v>
      </c>
      <c r="AN49" s="7">
        <f t="shared" si="1"/>
        <v>1</v>
      </c>
      <c r="AO49" s="7">
        <f t="shared" si="2"/>
        <v>0</v>
      </c>
      <c r="AP49" s="15" t="s">
        <v>337</v>
      </c>
    </row>
    <row r="50" spans="1:42" ht="15" customHeight="1">
      <c r="A50" s="3">
        <v>202560001758</v>
      </c>
      <c r="B50" s="3">
        <v>910205</v>
      </c>
      <c r="C50" s="3" t="s">
        <v>254</v>
      </c>
      <c r="D50" s="3">
        <v>40</v>
      </c>
      <c r="E50" s="3" t="s">
        <v>248</v>
      </c>
      <c r="F50" s="3">
        <v>20</v>
      </c>
      <c r="G50" s="3" t="s">
        <v>50</v>
      </c>
      <c r="H50" s="4">
        <v>45382</v>
      </c>
      <c r="I50" s="5">
        <v>45952</v>
      </c>
      <c r="J50" s="4">
        <v>45957</v>
      </c>
      <c r="K50" s="4">
        <v>45957</v>
      </c>
      <c r="L50" s="3"/>
      <c r="M50" s="3"/>
      <c r="N50" s="3"/>
      <c r="O50" s="3" t="s">
        <v>249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>
        <v>22</v>
      </c>
      <c r="AC50" s="3">
        <v>1</v>
      </c>
      <c r="AD50" s="6" t="s">
        <v>47</v>
      </c>
      <c r="AE50" s="3" t="s">
        <v>48</v>
      </c>
      <c r="AF50" s="6" t="s">
        <v>47</v>
      </c>
      <c r="AG50" s="6" t="s">
        <v>47</v>
      </c>
      <c r="AH50" s="6" t="s">
        <v>47</v>
      </c>
      <c r="AI50" s="3"/>
      <c r="AJ50" s="3"/>
      <c r="AK50" s="3"/>
      <c r="AL50" s="7">
        <f>IF(A50="","",IF(COUNTIF(A50:A$2001,A50)=1,1,0))</f>
        <v>1</v>
      </c>
      <c r="AM50" s="7">
        <f t="shared" ca="1" si="0"/>
        <v>345</v>
      </c>
      <c r="AN50" s="7">
        <f t="shared" si="1"/>
        <v>1</v>
      </c>
      <c r="AO50" s="7">
        <f t="shared" si="2"/>
        <v>1</v>
      </c>
      <c r="AP50" s="15"/>
    </row>
    <row r="51" spans="1:42" ht="15" customHeight="1">
      <c r="A51" s="3">
        <v>202560001779</v>
      </c>
      <c r="B51" s="3">
        <v>1023009</v>
      </c>
      <c r="C51" s="3" t="s">
        <v>255</v>
      </c>
      <c r="D51" s="3">
        <v>40</v>
      </c>
      <c r="E51" s="3" t="s">
        <v>248</v>
      </c>
      <c r="F51" s="3">
        <v>20</v>
      </c>
      <c r="G51" s="3" t="s">
        <v>50</v>
      </c>
      <c r="H51" s="3"/>
      <c r="I51" s="5">
        <v>45930</v>
      </c>
      <c r="J51" s="4">
        <v>45931</v>
      </c>
      <c r="K51" s="4">
        <v>45933</v>
      </c>
      <c r="L51" s="3"/>
      <c r="M51" s="3"/>
      <c r="N51" s="3"/>
      <c r="O51" s="3" t="s">
        <v>249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6" t="s">
        <v>44</v>
      </c>
      <c r="AE51" s="3"/>
      <c r="AF51" s="3"/>
      <c r="AG51" s="3"/>
      <c r="AH51" s="3"/>
      <c r="AI51" s="3"/>
      <c r="AJ51" s="6" t="s">
        <v>79</v>
      </c>
      <c r="AK51" s="3"/>
      <c r="AL51" s="7">
        <f>IF(A51="","",IF(COUNTIF(A51:A$2001,A51)=1,1,0))</f>
        <v>1</v>
      </c>
      <c r="AM51" s="7">
        <f t="shared" ca="1" si="0"/>
        <v>367</v>
      </c>
      <c r="AN51" s="7">
        <f t="shared" si="1"/>
        <v>1</v>
      </c>
      <c r="AO51" s="7">
        <f t="shared" si="2"/>
        <v>0</v>
      </c>
      <c r="AP51" s="15"/>
    </row>
    <row r="52" spans="1:42" ht="15" customHeight="1">
      <c r="A52" s="3">
        <v>202560002505</v>
      </c>
      <c r="B52" s="3">
        <v>1246014</v>
      </c>
      <c r="C52" s="3" t="s">
        <v>256</v>
      </c>
      <c r="D52" s="3">
        <v>40</v>
      </c>
      <c r="E52" s="3" t="s">
        <v>248</v>
      </c>
      <c r="F52" s="3">
        <v>20</v>
      </c>
      <c r="G52" s="3" t="s">
        <v>50</v>
      </c>
      <c r="H52" s="4">
        <v>46006</v>
      </c>
      <c r="I52" s="5">
        <v>46017</v>
      </c>
      <c r="J52" s="4">
        <v>46142</v>
      </c>
      <c r="K52" s="4">
        <v>46142</v>
      </c>
      <c r="L52" s="3"/>
      <c r="M52" s="3"/>
      <c r="N52" s="3"/>
      <c r="O52" s="3" t="s">
        <v>66</v>
      </c>
      <c r="P52" s="6" t="s">
        <v>59</v>
      </c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>
        <v>23</v>
      </c>
      <c r="AC52" s="3">
        <v>1</v>
      </c>
      <c r="AD52" s="6" t="s">
        <v>47</v>
      </c>
      <c r="AE52" s="3" t="s">
        <v>51</v>
      </c>
      <c r="AF52" s="6" t="s">
        <v>47</v>
      </c>
      <c r="AG52" s="6" t="s">
        <v>47</v>
      </c>
      <c r="AH52" s="3"/>
      <c r="AI52" s="3"/>
      <c r="AJ52" s="3"/>
      <c r="AK52" s="3"/>
      <c r="AL52" s="7">
        <f>IF(A52="","",IF(COUNTIF(A52:A$2001,A52)=1,1,0))</f>
        <v>0</v>
      </c>
      <c r="AM52" s="7">
        <f t="shared" ca="1" si="0"/>
        <v>280</v>
      </c>
      <c r="AN52" s="7">
        <f t="shared" si="1"/>
        <v>1</v>
      </c>
      <c r="AO52" s="7">
        <f t="shared" si="2"/>
        <v>1</v>
      </c>
      <c r="AP52" s="15" t="s">
        <v>336</v>
      </c>
    </row>
    <row r="53" spans="1:42" ht="15" customHeight="1">
      <c r="A53" s="3">
        <v>202560002505</v>
      </c>
      <c r="B53" s="3">
        <v>1246014</v>
      </c>
      <c r="C53" s="3" t="s">
        <v>256</v>
      </c>
      <c r="D53" s="3">
        <v>40</v>
      </c>
      <c r="E53" s="3" t="s">
        <v>248</v>
      </c>
      <c r="F53" s="3">
        <v>20</v>
      </c>
      <c r="G53" s="3" t="s">
        <v>50</v>
      </c>
      <c r="H53" s="4">
        <v>46006</v>
      </c>
      <c r="I53" s="5">
        <v>46017</v>
      </c>
      <c r="J53" s="4">
        <v>46142</v>
      </c>
      <c r="K53" s="4">
        <v>46142</v>
      </c>
      <c r="L53" s="3"/>
      <c r="M53" s="3"/>
      <c r="N53" s="3"/>
      <c r="O53" s="3" t="s">
        <v>66</v>
      </c>
      <c r="P53" s="6" t="s">
        <v>59</v>
      </c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>
        <v>23</v>
      </c>
      <c r="AC53" s="3">
        <v>1</v>
      </c>
      <c r="AD53" s="6" t="s">
        <v>47</v>
      </c>
      <c r="AE53" s="3" t="s">
        <v>52</v>
      </c>
      <c r="AF53" s="6" t="s">
        <v>47</v>
      </c>
      <c r="AG53" s="6" t="s">
        <v>47</v>
      </c>
      <c r="AH53" s="3"/>
      <c r="AI53" s="3"/>
      <c r="AJ53" s="3"/>
      <c r="AK53" s="3"/>
      <c r="AL53" s="7">
        <f>IF(A53="","",IF(COUNTIF(A53:A$2001,A53)=1,1,0))</f>
        <v>1</v>
      </c>
      <c r="AM53" s="7">
        <f t="shared" ca="1" si="0"/>
        <v>280</v>
      </c>
      <c r="AN53" s="7">
        <f t="shared" si="1"/>
        <v>1</v>
      </c>
      <c r="AO53" s="7">
        <f t="shared" si="2"/>
        <v>1</v>
      </c>
      <c r="AP53" s="15" t="s">
        <v>336</v>
      </c>
    </row>
    <row r="54" spans="1:42" ht="15" customHeight="1">
      <c r="A54" s="3">
        <v>202560002534</v>
      </c>
      <c r="B54" s="3">
        <v>1211102</v>
      </c>
      <c r="C54" s="3" t="s">
        <v>257</v>
      </c>
      <c r="D54" s="3">
        <v>40</v>
      </c>
      <c r="E54" s="3" t="s">
        <v>248</v>
      </c>
      <c r="F54" s="3">
        <v>20</v>
      </c>
      <c r="G54" s="3" t="s">
        <v>50</v>
      </c>
      <c r="H54" s="4">
        <v>46015</v>
      </c>
      <c r="I54" s="5">
        <v>46029</v>
      </c>
      <c r="J54" s="4">
        <v>46030</v>
      </c>
      <c r="K54" s="4">
        <v>46057</v>
      </c>
      <c r="L54" s="3"/>
      <c r="M54" s="3"/>
      <c r="N54" s="3"/>
      <c r="O54" s="3" t="s">
        <v>61</v>
      </c>
      <c r="P54" s="3"/>
      <c r="Q54" s="3"/>
      <c r="R54" s="3"/>
      <c r="S54" s="3"/>
      <c r="T54" s="3"/>
      <c r="U54" s="3"/>
      <c r="V54" s="3"/>
      <c r="W54" s="6" t="s">
        <v>62</v>
      </c>
      <c r="X54" s="3"/>
      <c r="Y54" s="3"/>
      <c r="Z54" s="3"/>
      <c r="AA54" s="3"/>
      <c r="AB54" s="3">
        <v>23</v>
      </c>
      <c r="AC54" s="3">
        <v>1</v>
      </c>
      <c r="AD54" s="6" t="s">
        <v>47</v>
      </c>
      <c r="AE54" s="3" t="s">
        <v>51</v>
      </c>
      <c r="AF54" s="3"/>
      <c r="AG54" s="3"/>
      <c r="AH54" s="3"/>
      <c r="AI54" s="3"/>
      <c r="AJ54" s="3"/>
      <c r="AK54" s="3"/>
      <c r="AL54" s="7">
        <f>IF(A54="","",IF(COUNTIF(A54:A$2001,A54)=1,1,0))</f>
        <v>0</v>
      </c>
      <c r="AM54" s="7">
        <f t="shared" ca="1" si="0"/>
        <v>268</v>
      </c>
      <c r="AN54" s="7">
        <f t="shared" si="1"/>
        <v>1</v>
      </c>
      <c r="AO54" s="7">
        <f t="shared" si="2"/>
        <v>0</v>
      </c>
      <c r="AP54" s="15" t="s">
        <v>337</v>
      </c>
    </row>
    <row r="55" spans="1:42" ht="15" customHeight="1">
      <c r="A55" s="3">
        <v>202560002534</v>
      </c>
      <c r="B55" s="3">
        <v>1211102</v>
      </c>
      <c r="C55" s="3" t="s">
        <v>257</v>
      </c>
      <c r="D55" s="3">
        <v>40</v>
      </c>
      <c r="E55" s="3" t="s">
        <v>248</v>
      </c>
      <c r="F55" s="3">
        <v>20</v>
      </c>
      <c r="G55" s="3" t="s">
        <v>50</v>
      </c>
      <c r="H55" s="4">
        <v>46015</v>
      </c>
      <c r="I55" s="5">
        <v>46029</v>
      </c>
      <c r="J55" s="4">
        <v>46030</v>
      </c>
      <c r="K55" s="4">
        <v>46057</v>
      </c>
      <c r="L55" s="3"/>
      <c r="M55" s="3"/>
      <c r="N55" s="3"/>
      <c r="O55" s="3" t="s">
        <v>61</v>
      </c>
      <c r="P55" s="3"/>
      <c r="Q55" s="3"/>
      <c r="R55" s="3"/>
      <c r="S55" s="3"/>
      <c r="T55" s="3"/>
      <c r="U55" s="3"/>
      <c r="V55" s="3"/>
      <c r="W55" s="6" t="s">
        <v>62</v>
      </c>
      <c r="X55" s="3"/>
      <c r="Y55" s="3"/>
      <c r="Z55" s="3"/>
      <c r="AA55" s="3"/>
      <c r="AB55" s="3">
        <v>23</v>
      </c>
      <c r="AC55" s="3">
        <v>1</v>
      </c>
      <c r="AD55" s="6" t="s">
        <v>47</v>
      </c>
      <c r="AE55" s="3" t="s">
        <v>52</v>
      </c>
      <c r="AF55" s="3"/>
      <c r="AG55" s="3"/>
      <c r="AH55" s="3"/>
      <c r="AI55" s="3"/>
      <c r="AJ55" s="3"/>
      <c r="AK55" s="3"/>
      <c r="AL55" s="7">
        <f>IF(A55="","",IF(COUNTIF(A55:A$2001,A55)=1,1,0))</f>
        <v>1</v>
      </c>
      <c r="AM55" s="7">
        <f t="shared" ca="1" si="0"/>
        <v>268</v>
      </c>
      <c r="AN55" s="7">
        <f t="shared" si="1"/>
        <v>1</v>
      </c>
      <c r="AO55" s="7">
        <f t="shared" si="2"/>
        <v>0</v>
      </c>
      <c r="AP55" s="15" t="s">
        <v>337</v>
      </c>
    </row>
    <row r="56" spans="1:42" ht="15" customHeight="1">
      <c r="A56" s="3">
        <v>202560002734</v>
      </c>
      <c r="B56" s="3">
        <v>1111322</v>
      </c>
      <c r="C56" s="3" t="s">
        <v>168</v>
      </c>
      <c r="D56" s="3">
        <v>20</v>
      </c>
      <c r="E56" s="3" t="s">
        <v>68</v>
      </c>
      <c r="F56" s="3"/>
      <c r="G56" s="3"/>
      <c r="H56" s="3"/>
      <c r="I56" s="5">
        <v>46057</v>
      </c>
      <c r="J56" s="3"/>
      <c r="K56" s="3"/>
      <c r="L56" s="3"/>
      <c r="M56" s="3"/>
      <c r="N56" s="3"/>
      <c r="O56" s="3" t="s">
        <v>80</v>
      </c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6" t="s">
        <v>44</v>
      </c>
      <c r="AE56" s="3"/>
      <c r="AF56" s="3"/>
      <c r="AG56" s="3"/>
      <c r="AH56" s="3"/>
      <c r="AI56" s="3"/>
      <c r="AJ56" s="6" t="s">
        <v>79</v>
      </c>
      <c r="AK56" s="3"/>
      <c r="AL56" s="7">
        <f>IF(A56="","",IF(COUNTIF(A56:A$2001,A56)=1,1,0))</f>
        <v>1</v>
      </c>
      <c r="AM56" s="7">
        <f t="shared" ca="1" si="0"/>
        <v>240</v>
      </c>
      <c r="AN56" s="7">
        <f t="shared" si="1"/>
        <v>1</v>
      </c>
      <c r="AO56" s="7">
        <f t="shared" si="2"/>
        <v>0</v>
      </c>
      <c r="AP56" s="15"/>
    </row>
    <row r="57" spans="1:42" ht="15" customHeight="1">
      <c r="A57" s="3">
        <v>202560002767</v>
      </c>
      <c r="B57" s="3">
        <v>1134002</v>
      </c>
      <c r="C57" s="3" t="s">
        <v>169</v>
      </c>
      <c r="D57" s="3">
        <v>32</v>
      </c>
      <c r="E57" s="3" t="s">
        <v>73</v>
      </c>
      <c r="F57" s="3"/>
      <c r="G57" s="3"/>
      <c r="H57" s="4">
        <v>46113</v>
      </c>
      <c r="I57" s="5">
        <v>46113</v>
      </c>
      <c r="J57" s="4">
        <v>46127</v>
      </c>
      <c r="K57" s="4">
        <v>46127</v>
      </c>
      <c r="L57" s="3"/>
      <c r="M57" s="3"/>
      <c r="N57" s="3"/>
      <c r="O57" s="3" t="s">
        <v>81</v>
      </c>
      <c r="P57" s="6" t="s">
        <v>59</v>
      </c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>
        <v>27</v>
      </c>
      <c r="AC57" s="3">
        <v>1</v>
      </c>
      <c r="AD57" s="6" t="s">
        <v>47</v>
      </c>
      <c r="AE57" s="3" t="s">
        <v>65</v>
      </c>
      <c r="AF57" s="6" t="s">
        <v>47</v>
      </c>
      <c r="AG57" s="6" t="s">
        <v>47</v>
      </c>
      <c r="AH57" s="6" t="s">
        <v>47</v>
      </c>
      <c r="AI57" s="3"/>
      <c r="AJ57" s="3"/>
      <c r="AK57" s="3"/>
      <c r="AL57" s="7">
        <f>IF(A57="","",IF(COUNTIF(A57:A$2001,A57)=1,1,0))</f>
        <v>1</v>
      </c>
      <c r="AM57" s="7">
        <f t="shared" ca="1" si="0"/>
        <v>184</v>
      </c>
      <c r="AN57" s="7">
        <f t="shared" si="1"/>
        <v>1</v>
      </c>
      <c r="AO57" s="7">
        <f t="shared" si="2"/>
        <v>1</v>
      </c>
      <c r="AP57" s="15" t="s">
        <v>336</v>
      </c>
    </row>
    <row r="58" spans="1:42" ht="15" customHeight="1">
      <c r="A58" s="3">
        <v>202560002878</v>
      </c>
      <c r="B58" s="3">
        <v>1162074</v>
      </c>
      <c r="C58" s="3" t="s">
        <v>258</v>
      </c>
      <c r="D58" s="3">
        <v>40</v>
      </c>
      <c r="E58" s="3" t="s">
        <v>248</v>
      </c>
      <c r="F58" s="3">
        <v>20</v>
      </c>
      <c r="G58" s="3" t="s">
        <v>50</v>
      </c>
      <c r="H58" s="4">
        <v>46052</v>
      </c>
      <c r="I58" s="5">
        <v>46092</v>
      </c>
      <c r="J58" s="4">
        <v>46133</v>
      </c>
      <c r="K58" s="4">
        <v>46260</v>
      </c>
      <c r="L58" s="3"/>
      <c r="M58" s="3"/>
      <c r="N58" s="3"/>
      <c r="O58" s="3" t="s">
        <v>66</v>
      </c>
      <c r="P58" s="6" t="s">
        <v>59</v>
      </c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>
        <v>25</v>
      </c>
      <c r="AC58" s="3">
        <v>1</v>
      </c>
      <c r="AD58" s="6" t="s">
        <v>47</v>
      </c>
      <c r="AE58" s="3" t="s">
        <v>53</v>
      </c>
      <c r="AF58" s="6" t="s">
        <v>47</v>
      </c>
      <c r="AG58" s="3"/>
      <c r="AH58" s="6" t="s">
        <v>47</v>
      </c>
      <c r="AI58" s="3"/>
      <c r="AJ58" s="3"/>
      <c r="AK58" s="3"/>
      <c r="AL58" s="7">
        <f>IF(A58="","",IF(COUNTIF(A58:A$2001,A58)=1,1,0))</f>
        <v>1</v>
      </c>
      <c r="AM58" s="7">
        <f t="shared" ca="1" si="0"/>
        <v>205</v>
      </c>
      <c r="AN58" s="7">
        <f t="shared" si="1"/>
        <v>1</v>
      </c>
      <c r="AO58" s="7">
        <f t="shared" si="2"/>
        <v>0</v>
      </c>
      <c r="AP58" s="15" t="s">
        <v>336</v>
      </c>
    </row>
    <row r="59" spans="1:42" ht="15" customHeight="1">
      <c r="A59" s="3">
        <v>202560002958</v>
      </c>
      <c r="B59" s="3">
        <v>1151044</v>
      </c>
      <c r="C59" s="3" t="s">
        <v>259</v>
      </c>
      <c r="D59" s="3">
        <v>32</v>
      </c>
      <c r="E59" s="3" t="s">
        <v>73</v>
      </c>
      <c r="F59" s="3">
        <v>20</v>
      </c>
      <c r="G59" s="3" t="s">
        <v>50</v>
      </c>
      <c r="H59" s="4">
        <v>46143</v>
      </c>
      <c r="I59" s="5">
        <v>46190</v>
      </c>
      <c r="J59" s="4">
        <v>46282</v>
      </c>
      <c r="K59" s="4">
        <v>46282</v>
      </c>
      <c r="L59" s="3"/>
      <c r="M59" s="3"/>
      <c r="N59" s="3"/>
      <c r="O59" s="3" t="s">
        <v>74</v>
      </c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>
        <v>49</v>
      </c>
      <c r="AC59" s="3">
        <v>0</v>
      </c>
      <c r="AD59" s="6" t="s">
        <v>44</v>
      </c>
      <c r="AE59" s="3" t="s">
        <v>82</v>
      </c>
      <c r="AF59" s="3"/>
      <c r="AG59" s="3"/>
      <c r="AH59" s="6" t="s">
        <v>44</v>
      </c>
      <c r="AI59" s="3"/>
      <c r="AJ59" s="3"/>
      <c r="AK59" s="3"/>
      <c r="AL59" s="7">
        <f>IF(A59="","",IF(COUNTIF(A59:A$2001,A59)=1,1,0))</f>
        <v>1</v>
      </c>
      <c r="AM59" s="7">
        <f t="shared" ca="1" si="0"/>
        <v>107</v>
      </c>
      <c r="AN59" s="7">
        <f t="shared" si="1"/>
        <v>1</v>
      </c>
      <c r="AO59" s="7">
        <f t="shared" si="2"/>
        <v>0</v>
      </c>
      <c r="AP59" s="15"/>
    </row>
    <row r="60" spans="1:42" ht="15" customHeight="1">
      <c r="A60" s="3">
        <v>202560002994</v>
      </c>
      <c r="B60" s="3">
        <v>1126104</v>
      </c>
      <c r="C60" s="3" t="s">
        <v>170</v>
      </c>
      <c r="D60" s="3">
        <v>31</v>
      </c>
      <c r="E60" s="3" t="s">
        <v>42</v>
      </c>
      <c r="F60" s="3">
        <v>20</v>
      </c>
      <c r="G60" s="3" t="s">
        <v>50</v>
      </c>
      <c r="H60" s="4">
        <v>46113</v>
      </c>
      <c r="I60" s="5">
        <v>46139</v>
      </c>
      <c r="J60" s="4">
        <v>46233</v>
      </c>
      <c r="K60" s="4">
        <v>46233</v>
      </c>
      <c r="L60" s="3"/>
      <c r="M60" s="3"/>
      <c r="N60" s="3"/>
      <c r="O60" s="3" t="s">
        <v>55</v>
      </c>
      <c r="P60" s="6" t="s">
        <v>59</v>
      </c>
      <c r="Q60" s="3"/>
      <c r="R60" s="3"/>
      <c r="S60" s="3"/>
      <c r="T60" s="3"/>
      <c r="U60" s="6" t="s">
        <v>67</v>
      </c>
      <c r="V60" s="3"/>
      <c r="W60" s="3"/>
      <c r="X60" s="3"/>
      <c r="Y60" s="3"/>
      <c r="Z60" s="3"/>
      <c r="AA60" s="3"/>
      <c r="AB60" s="3">
        <v>34</v>
      </c>
      <c r="AC60" s="3">
        <v>1</v>
      </c>
      <c r="AD60" s="6" t="s">
        <v>47</v>
      </c>
      <c r="AE60" s="3" t="s">
        <v>83</v>
      </c>
      <c r="AF60" s="6" t="s">
        <v>47</v>
      </c>
      <c r="AG60" s="6" t="s">
        <v>47</v>
      </c>
      <c r="AH60" s="6" t="s">
        <v>47</v>
      </c>
      <c r="AI60" s="3"/>
      <c r="AJ60" s="3"/>
      <c r="AK60" s="3"/>
      <c r="AL60" s="7">
        <f>IF(A60="","",IF(COUNTIF(A60:A$2001,A60)=1,1,0))</f>
        <v>1</v>
      </c>
      <c r="AM60" s="7">
        <f t="shared" ca="1" si="0"/>
        <v>158</v>
      </c>
      <c r="AN60" s="7">
        <f t="shared" si="1"/>
        <v>1</v>
      </c>
      <c r="AO60" s="7">
        <f t="shared" si="2"/>
        <v>1</v>
      </c>
      <c r="AP60" s="15" t="s">
        <v>339</v>
      </c>
    </row>
    <row r="61" spans="1:42" ht="15" customHeight="1">
      <c r="A61" s="3">
        <v>202560003011</v>
      </c>
      <c r="B61" s="3">
        <v>960341</v>
      </c>
      <c r="C61" s="3" t="s">
        <v>260</v>
      </c>
      <c r="D61" s="3">
        <v>40</v>
      </c>
      <c r="E61" s="3" t="s">
        <v>248</v>
      </c>
      <c r="F61" s="3">
        <v>20</v>
      </c>
      <c r="G61" s="3" t="s">
        <v>50</v>
      </c>
      <c r="H61" s="4">
        <v>46107</v>
      </c>
      <c r="I61" s="5">
        <v>46107</v>
      </c>
      <c r="J61" s="4">
        <v>46111</v>
      </c>
      <c r="K61" s="4">
        <v>46111</v>
      </c>
      <c r="L61" s="3"/>
      <c r="M61" s="3"/>
      <c r="N61" s="3"/>
      <c r="O61" s="3" t="s">
        <v>249</v>
      </c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>
        <v>28</v>
      </c>
      <c r="AC61" s="3">
        <v>3</v>
      </c>
      <c r="AD61" s="6" t="s">
        <v>44</v>
      </c>
      <c r="AE61" s="3"/>
      <c r="AF61" s="3"/>
      <c r="AG61" s="3"/>
      <c r="AH61" s="6" t="s">
        <v>47</v>
      </c>
      <c r="AI61" s="3"/>
      <c r="AJ61" s="3"/>
      <c r="AK61" s="3"/>
      <c r="AL61" s="7">
        <f>IF(A61="","",IF(COUNTIF(A61:A$2001,A61)=1,1,0))</f>
        <v>1</v>
      </c>
      <c r="AM61" s="7">
        <f t="shared" ca="1" si="0"/>
        <v>190</v>
      </c>
      <c r="AN61" s="7">
        <f t="shared" si="1"/>
        <v>1</v>
      </c>
      <c r="AO61" s="7">
        <f t="shared" si="2"/>
        <v>0</v>
      </c>
      <c r="AP61" s="15"/>
    </row>
    <row r="62" spans="1:42" ht="15" customHeight="1">
      <c r="A62" s="3">
        <v>202560003089</v>
      </c>
      <c r="B62" s="3">
        <v>1201022</v>
      </c>
      <c r="C62" s="3" t="s">
        <v>171</v>
      </c>
      <c r="D62" s="3">
        <v>32</v>
      </c>
      <c r="E62" s="3" t="s">
        <v>73</v>
      </c>
      <c r="F62" s="3"/>
      <c r="G62" s="3"/>
      <c r="H62" s="4">
        <v>46113</v>
      </c>
      <c r="I62" s="5">
        <v>46115</v>
      </c>
      <c r="J62" s="4">
        <v>46118</v>
      </c>
      <c r="K62" s="4">
        <v>46118</v>
      </c>
      <c r="L62" s="3"/>
      <c r="M62" s="3"/>
      <c r="N62" s="3"/>
      <c r="O62" s="3" t="s">
        <v>81</v>
      </c>
      <c r="P62" s="3"/>
      <c r="Q62" s="3"/>
      <c r="R62" s="3"/>
      <c r="S62" s="6" t="s">
        <v>57</v>
      </c>
      <c r="T62" s="3"/>
      <c r="U62" s="3"/>
      <c r="V62" s="3"/>
      <c r="W62" s="3"/>
      <c r="X62" s="3"/>
      <c r="Y62" s="3"/>
      <c r="Z62" s="3"/>
      <c r="AA62" s="3"/>
      <c r="AB62" s="3">
        <v>99</v>
      </c>
      <c r="AC62" s="3">
        <v>1</v>
      </c>
      <c r="AD62" s="6" t="s">
        <v>47</v>
      </c>
      <c r="AE62" s="3" t="s">
        <v>60</v>
      </c>
      <c r="AF62" s="3"/>
      <c r="AG62" s="6" t="s">
        <v>47</v>
      </c>
      <c r="AH62" s="6" t="s">
        <v>47</v>
      </c>
      <c r="AI62" s="3"/>
      <c r="AJ62" s="3"/>
      <c r="AK62" s="3"/>
      <c r="AL62" s="7">
        <f>IF(A62="","",IF(COUNTIF(A62:A$2001,A62)=1,1,0))</f>
        <v>1</v>
      </c>
      <c r="AM62" s="7">
        <f t="shared" ca="1" si="0"/>
        <v>182</v>
      </c>
      <c r="AN62" s="7">
        <f t="shared" si="1"/>
        <v>1</v>
      </c>
      <c r="AO62" s="7">
        <f t="shared" si="2"/>
        <v>1</v>
      </c>
      <c r="AP62" s="15" t="s">
        <v>335</v>
      </c>
    </row>
    <row r="63" spans="1:42" ht="15" customHeight="1">
      <c r="A63" s="3">
        <v>202560003091</v>
      </c>
      <c r="B63" s="3">
        <v>1162079</v>
      </c>
      <c r="C63" s="3" t="s">
        <v>172</v>
      </c>
      <c r="D63" s="3">
        <v>31</v>
      </c>
      <c r="E63" s="3" t="s">
        <v>42</v>
      </c>
      <c r="F63" s="3">
        <v>20</v>
      </c>
      <c r="G63" s="3" t="s">
        <v>50</v>
      </c>
      <c r="H63" s="4">
        <v>46044</v>
      </c>
      <c r="I63" s="5">
        <v>46112</v>
      </c>
      <c r="J63" s="4">
        <v>46280</v>
      </c>
      <c r="K63" s="4">
        <v>46280</v>
      </c>
      <c r="L63" s="3"/>
      <c r="M63" s="3"/>
      <c r="N63" s="3"/>
      <c r="O63" s="3" t="s">
        <v>55</v>
      </c>
      <c r="P63" s="3"/>
      <c r="Q63" s="3"/>
      <c r="R63" s="3"/>
      <c r="S63" s="3"/>
      <c r="T63" s="3"/>
      <c r="U63" s="6" t="s">
        <v>67</v>
      </c>
      <c r="V63" s="3"/>
      <c r="W63" s="3"/>
      <c r="X63" s="3"/>
      <c r="Y63" s="3"/>
      <c r="Z63" s="3"/>
      <c r="AA63" s="3"/>
      <c r="AB63" s="3">
        <v>54</v>
      </c>
      <c r="AC63" s="3">
        <v>0</v>
      </c>
      <c r="AD63" s="6" t="s">
        <v>44</v>
      </c>
      <c r="AE63" s="3" t="s">
        <v>84</v>
      </c>
      <c r="AF63" s="6" t="s">
        <v>44</v>
      </c>
      <c r="AG63" s="3"/>
      <c r="AH63" s="3"/>
      <c r="AI63" s="3"/>
      <c r="AJ63" s="3"/>
      <c r="AK63" s="3"/>
      <c r="AL63" s="7">
        <f>IF(A63="","",IF(COUNTIF(A63:A$2001,A63)=1,1,0))</f>
        <v>1</v>
      </c>
      <c r="AM63" s="7">
        <f t="shared" ca="1" si="0"/>
        <v>185</v>
      </c>
      <c r="AN63" s="7">
        <f t="shared" si="1"/>
        <v>1</v>
      </c>
      <c r="AO63" s="7">
        <f t="shared" si="2"/>
        <v>0</v>
      </c>
      <c r="AP63" s="15" t="s">
        <v>341</v>
      </c>
    </row>
    <row r="64" spans="1:42" ht="15" customHeight="1">
      <c r="A64" s="3">
        <v>202660000028</v>
      </c>
      <c r="B64" s="3">
        <v>1111162</v>
      </c>
      <c r="C64" s="3" t="s">
        <v>261</v>
      </c>
      <c r="D64" s="3">
        <v>20</v>
      </c>
      <c r="E64" s="3" t="s">
        <v>68</v>
      </c>
      <c r="F64" s="3"/>
      <c r="G64" s="3"/>
      <c r="H64" s="4">
        <v>46113</v>
      </c>
      <c r="I64" s="5">
        <v>46115</v>
      </c>
      <c r="J64" s="3"/>
      <c r="K64" s="3"/>
      <c r="L64" s="3"/>
      <c r="M64" s="3"/>
      <c r="N64" s="3"/>
      <c r="O64" s="3" t="s">
        <v>80</v>
      </c>
      <c r="P64" s="3"/>
      <c r="Q64" s="3"/>
      <c r="R64" s="6" t="s">
        <v>70</v>
      </c>
      <c r="S64" s="3"/>
      <c r="T64" s="3"/>
      <c r="U64" s="3"/>
      <c r="V64" s="3"/>
      <c r="W64" s="3"/>
      <c r="X64" s="3"/>
      <c r="Y64" s="3"/>
      <c r="Z64" s="3"/>
      <c r="AA64" s="3"/>
      <c r="AB64" s="3">
        <v>50</v>
      </c>
      <c r="AC64" s="3">
        <v>0</v>
      </c>
      <c r="AD64" s="6" t="s">
        <v>44</v>
      </c>
      <c r="AE64" s="3" t="s">
        <v>58</v>
      </c>
      <c r="AF64" s="6" t="s">
        <v>44</v>
      </c>
      <c r="AG64" s="3"/>
      <c r="AH64" s="3"/>
      <c r="AI64" s="3"/>
      <c r="AJ64" s="3"/>
      <c r="AK64" s="3"/>
      <c r="AL64" s="7">
        <f>IF(A64="","",IF(COUNTIF(A64:A$2001,A64)=1,1,0))</f>
        <v>1</v>
      </c>
      <c r="AM64" s="7">
        <f t="shared" ca="1" si="0"/>
        <v>182</v>
      </c>
      <c r="AN64" s="7">
        <f t="shared" si="1"/>
        <v>1</v>
      </c>
      <c r="AO64" s="7">
        <f t="shared" si="2"/>
        <v>0</v>
      </c>
      <c r="AP64" s="15" t="s">
        <v>343</v>
      </c>
    </row>
    <row r="65" spans="1:42" ht="15" customHeight="1">
      <c r="A65" s="3">
        <v>202660000073</v>
      </c>
      <c r="B65" s="3">
        <v>890689</v>
      </c>
      <c r="C65" s="3" t="s">
        <v>173</v>
      </c>
      <c r="D65" s="3">
        <v>20</v>
      </c>
      <c r="E65" s="3" t="s">
        <v>68</v>
      </c>
      <c r="F65" s="3">
        <v>20</v>
      </c>
      <c r="G65" s="3" t="s">
        <v>50</v>
      </c>
      <c r="H65" s="4">
        <v>46113</v>
      </c>
      <c r="I65" s="5">
        <v>46116</v>
      </c>
      <c r="J65" s="4">
        <v>46153</v>
      </c>
      <c r="K65" s="4">
        <v>46153</v>
      </c>
      <c r="L65" s="3"/>
      <c r="M65" s="3"/>
      <c r="N65" s="3"/>
      <c r="O65" s="3" t="s">
        <v>85</v>
      </c>
      <c r="P65" s="3"/>
      <c r="Q65" s="3"/>
      <c r="R65" s="3"/>
      <c r="S65" s="6" t="s">
        <v>57</v>
      </c>
      <c r="T65" s="3"/>
      <c r="U65" s="3"/>
      <c r="V65" s="3"/>
      <c r="W65" s="3"/>
      <c r="X65" s="3"/>
      <c r="Y65" s="3"/>
      <c r="Z65" s="3"/>
      <c r="AA65" s="3"/>
      <c r="AB65" s="3">
        <v>99</v>
      </c>
      <c r="AC65" s="3">
        <v>0</v>
      </c>
      <c r="AD65" s="6" t="s">
        <v>44</v>
      </c>
      <c r="AE65" s="3" t="s">
        <v>60</v>
      </c>
      <c r="AF65" s="6" t="s">
        <v>44</v>
      </c>
      <c r="AG65" s="6" t="s">
        <v>44</v>
      </c>
      <c r="AH65" s="6" t="s">
        <v>44</v>
      </c>
      <c r="AI65" s="3"/>
      <c r="AJ65" s="3"/>
      <c r="AK65" s="3"/>
      <c r="AL65" s="7">
        <f>IF(A65="","",IF(COUNTIF(A65:A$2001,A65)=1,1,0))</f>
        <v>1</v>
      </c>
      <c r="AM65" s="7">
        <f t="shared" ca="1" si="0"/>
        <v>181</v>
      </c>
      <c r="AN65" s="7">
        <f t="shared" si="1"/>
        <v>1</v>
      </c>
      <c r="AO65" s="7">
        <f t="shared" si="2"/>
        <v>1</v>
      </c>
      <c r="AP65" s="15" t="s">
        <v>335</v>
      </c>
    </row>
    <row r="66" spans="1:42" ht="15" customHeight="1">
      <c r="A66" s="3">
        <v>202660000276</v>
      </c>
      <c r="B66" s="3">
        <v>991275</v>
      </c>
      <c r="C66" s="3" t="s">
        <v>262</v>
      </c>
      <c r="D66" s="3">
        <v>40</v>
      </c>
      <c r="E66" s="3" t="s">
        <v>248</v>
      </c>
      <c r="F66" s="3">
        <v>20</v>
      </c>
      <c r="G66" s="3" t="s">
        <v>50</v>
      </c>
      <c r="H66" s="4">
        <v>46113</v>
      </c>
      <c r="I66" s="5">
        <v>46125</v>
      </c>
      <c r="J66" s="4">
        <v>46188</v>
      </c>
      <c r="K66" s="4">
        <v>46188</v>
      </c>
      <c r="L66" s="3"/>
      <c r="M66" s="3"/>
      <c r="N66" s="3"/>
      <c r="O66" s="3" t="s">
        <v>66</v>
      </c>
      <c r="P66" s="6" t="s">
        <v>59</v>
      </c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>
        <v>47</v>
      </c>
      <c r="AC66" s="3">
        <v>0</v>
      </c>
      <c r="AD66" s="6" t="s">
        <v>44</v>
      </c>
      <c r="AE66" s="3" t="s">
        <v>45</v>
      </c>
      <c r="AF66" s="3"/>
      <c r="AG66" s="3"/>
      <c r="AH66" s="3"/>
      <c r="AI66" s="3"/>
      <c r="AJ66" s="3"/>
      <c r="AK66" s="3"/>
      <c r="AL66" s="7">
        <f>IF(A66="","",IF(COUNTIF(A66:A$2001,A66)=1,1,0))</f>
        <v>1</v>
      </c>
      <c r="AM66" s="7">
        <f t="shared" ref="AM66:AM129" ca="1" si="3">IF(I66="","",TODAY()-I66)</f>
        <v>172</v>
      </c>
      <c r="AN66" s="7">
        <f t="shared" ref="AN66:AN129" si="4">IF(A66="","",IF(AND(E66&lt;&gt;"33 確認済",E66&lt;&gt;"36 送付中"),1,0))</f>
        <v>1</v>
      </c>
      <c r="AO66" s="7">
        <f t="shared" ref="AO66:AO129" si="5">IF(A66="","",IF(AG66&lt;&gt;"",1,0))</f>
        <v>0</v>
      </c>
      <c r="AP66" s="15" t="s">
        <v>336</v>
      </c>
    </row>
    <row r="67" spans="1:42" ht="15" customHeight="1">
      <c r="A67" s="3">
        <v>202660000336</v>
      </c>
      <c r="B67" s="3">
        <v>1021232</v>
      </c>
      <c r="C67" s="3" t="s">
        <v>263</v>
      </c>
      <c r="D67" s="3">
        <v>36</v>
      </c>
      <c r="E67" s="3" t="s">
        <v>264</v>
      </c>
      <c r="F67" s="3">
        <v>20</v>
      </c>
      <c r="G67" s="3" t="s">
        <v>50</v>
      </c>
      <c r="H67" s="4">
        <v>46113</v>
      </c>
      <c r="I67" s="5">
        <v>46155</v>
      </c>
      <c r="J67" s="4">
        <v>46279</v>
      </c>
      <c r="K67" s="4">
        <v>46279</v>
      </c>
      <c r="L67" s="4">
        <v>46289</v>
      </c>
      <c r="M67" s="4">
        <v>46289</v>
      </c>
      <c r="N67" s="3"/>
      <c r="O67" s="3" t="s">
        <v>265</v>
      </c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>
        <v>51</v>
      </c>
      <c r="AC67" s="3">
        <v>0</v>
      </c>
      <c r="AD67" s="6" t="s">
        <v>44</v>
      </c>
      <c r="AE67" s="3" t="s">
        <v>71</v>
      </c>
      <c r="AF67" s="3"/>
      <c r="AG67" s="6" t="s">
        <v>44</v>
      </c>
      <c r="AH67" s="6" t="s">
        <v>44</v>
      </c>
      <c r="AI67" s="3"/>
      <c r="AJ67" s="3"/>
      <c r="AK67" s="3"/>
      <c r="AL67" s="7">
        <f>IF(A67="","",IF(COUNTIF(A67:A$2001,A67)=1,1,0))</f>
        <v>1</v>
      </c>
      <c r="AM67" s="7">
        <f t="shared" ca="1" si="3"/>
        <v>142</v>
      </c>
      <c r="AN67" s="7">
        <f t="shared" si="4"/>
        <v>0</v>
      </c>
      <c r="AO67" s="7">
        <f t="shared" si="5"/>
        <v>1</v>
      </c>
      <c r="AP67" s="15"/>
    </row>
    <row r="68" spans="1:42" ht="15" customHeight="1">
      <c r="A68" s="3">
        <v>202660000364</v>
      </c>
      <c r="B68" s="3">
        <v>950451</v>
      </c>
      <c r="C68" s="3" t="s">
        <v>174</v>
      </c>
      <c r="D68" s="3">
        <v>20</v>
      </c>
      <c r="E68" s="3" t="s">
        <v>68</v>
      </c>
      <c r="F68" s="3"/>
      <c r="G68" s="3"/>
      <c r="H68" s="4">
        <v>46113</v>
      </c>
      <c r="I68" s="5">
        <v>46132</v>
      </c>
      <c r="J68" s="3"/>
      <c r="K68" s="3"/>
      <c r="L68" s="3"/>
      <c r="M68" s="3"/>
      <c r="N68" s="3"/>
      <c r="O68" s="3" t="s">
        <v>80</v>
      </c>
      <c r="P68" s="6" t="s">
        <v>59</v>
      </c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>
        <v>47</v>
      </c>
      <c r="AC68" s="3">
        <v>0</v>
      </c>
      <c r="AD68" s="6" t="s">
        <v>44</v>
      </c>
      <c r="AE68" s="3" t="s">
        <v>45</v>
      </c>
      <c r="AF68" s="6" t="s">
        <v>44</v>
      </c>
      <c r="AG68" s="6" t="s">
        <v>44</v>
      </c>
      <c r="AH68" s="6" t="s">
        <v>44</v>
      </c>
      <c r="AI68" s="3"/>
      <c r="AJ68" s="3"/>
      <c r="AK68" s="3"/>
      <c r="AL68" s="7">
        <f>IF(A68="","",IF(COUNTIF(A68:A$2001,A68)=1,1,0))</f>
        <v>1</v>
      </c>
      <c r="AM68" s="7">
        <f t="shared" ca="1" si="3"/>
        <v>165</v>
      </c>
      <c r="AN68" s="7">
        <f t="shared" si="4"/>
        <v>1</v>
      </c>
      <c r="AO68" s="7">
        <f t="shared" si="5"/>
        <v>1</v>
      </c>
      <c r="AP68" s="15" t="s">
        <v>336</v>
      </c>
    </row>
    <row r="69" spans="1:42" ht="15" customHeight="1">
      <c r="A69" s="3">
        <v>202660000434</v>
      </c>
      <c r="B69" s="3">
        <v>1151128</v>
      </c>
      <c r="C69" s="3" t="s">
        <v>175</v>
      </c>
      <c r="D69" s="3">
        <v>20</v>
      </c>
      <c r="E69" s="3" t="s">
        <v>68</v>
      </c>
      <c r="F69" s="3"/>
      <c r="G69" s="3"/>
      <c r="H69" s="3"/>
      <c r="I69" s="5">
        <v>46139</v>
      </c>
      <c r="J69" s="3"/>
      <c r="K69" s="3"/>
      <c r="L69" s="3"/>
      <c r="M69" s="3"/>
      <c r="N69" s="3"/>
      <c r="O69" s="3" t="s">
        <v>80</v>
      </c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6" t="s">
        <v>44</v>
      </c>
      <c r="AE69" s="3"/>
      <c r="AF69" s="3"/>
      <c r="AG69" s="3"/>
      <c r="AH69" s="3"/>
      <c r="AI69" s="3"/>
      <c r="AJ69" s="6" t="s">
        <v>79</v>
      </c>
      <c r="AK69" s="3"/>
      <c r="AL69" s="7">
        <f>IF(A69="","",IF(COUNTIF(A69:A$2001,A69)=1,1,0))</f>
        <v>1</v>
      </c>
      <c r="AM69" s="7">
        <f t="shared" ca="1" si="3"/>
        <v>158</v>
      </c>
      <c r="AN69" s="7">
        <f t="shared" si="4"/>
        <v>1</v>
      </c>
      <c r="AO69" s="7">
        <f t="shared" si="5"/>
        <v>0</v>
      </c>
      <c r="AP69" s="15"/>
    </row>
    <row r="70" spans="1:42" ht="15" customHeight="1">
      <c r="A70" s="3">
        <v>202660000452</v>
      </c>
      <c r="B70" s="3">
        <v>1024122</v>
      </c>
      <c r="C70" s="3" t="s">
        <v>176</v>
      </c>
      <c r="D70" s="3">
        <v>20</v>
      </c>
      <c r="E70" s="3" t="s">
        <v>68</v>
      </c>
      <c r="F70" s="3"/>
      <c r="G70" s="3"/>
      <c r="H70" s="4">
        <v>46113</v>
      </c>
      <c r="I70" s="5">
        <v>46266</v>
      </c>
      <c r="J70" s="3"/>
      <c r="K70" s="3"/>
      <c r="L70" s="3"/>
      <c r="M70" s="3"/>
      <c r="N70" s="3"/>
      <c r="O70" s="3" t="s">
        <v>66</v>
      </c>
      <c r="P70" s="6" t="s">
        <v>59</v>
      </c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>
        <v>47</v>
      </c>
      <c r="AC70" s="3">
        <v>0</v>
      </c>
      <c r="AD70" s="6" t="s">
        <v>44</v>
      </c>
      <c r="AE70" s="3" t="s">
        <v>45</v>
      </c>
      <c r="AF70" s="6" t="s">
        <v>44</v>
      </c>
      <c r="AG70" s="6" t="s">
        <v>44</v>
      </c>
      <c r="AH70" s="6" t="s">
        <v>44</v>
      </c>
      <c r="AI70" s="3"/>
      <c r="AJ70" s="3"/>
      <c r="AK70" s="3"/>
      <c r="AL70" s="7">
        <f>IF(A70="","",IF(COUNTIF(A70:A$2001,A70)=1,1,0))</f>
        <v>1</v>
      </c>
      <c r="AM70" s="7">
        <f t="shared" ca="1" si="3"/>
        <v>31</v>
      </c>
      <c r="AN70" s="7">
        <f t="shared" si="4"/>
        <v>1</v>
      </c>
      <c r="AO70" s="7">
        <f t="shared" si="5"/>
        <v>1</v>
      </c>
      <c r="AP70" s="15" t="s">
        <v>336</v>
      </c>
    </row>
    <row r="71" spans="1:42" ht="15" customHeight="1">
      <c r="A71" s="3">
        <v>202660000466</v>
      </c>
      <c r="B71" s="3">
        <v>1107035</v>
      </c>
      <c r="C71" s="3" t="s">
        <v>266</v>
      </c>
      <c r="D71" s="3">
        <v>40</v>
      </c>
      <c r="E71" s="3" t="s">
        <v>248</v>
      </c>
      <c r="F71" s="3">
        <v>20</v>
      </c>
      <c r="G71" s="3" t="s">
        <v>50</v>
      </c>
      <c r="H71" s="4">
        <v>46135</v>
      </c>
      <c r="I71" s="5">
        <v>46142</v>
      </c>
      <c r="J71" s="4">
        <v>46163</v>
      </c>
      <c r="K71" s="4">
        <v>46163</v>
      </c>
      <c r="L71" s="3"/>
      <c r="M71" s="3"/>
      <c r="N71" s="3"/>
      <c r="O71" s="3" t="s">
        <v>61</v>
      </c>
      <c r="P71" s="3"/>
      <c r="Q71" s="3"/>
      <c r="R71" s="3"/>
      <c r="S71" s="3"/>
      <c r="T71" s="3"/>
      <c r="U71" s="3"/>
      <c r="V71" s="3"/>
      <c r="W71" s="6" t="s">
        <v>62</v>
      </c>
      <c r="X71" s="3"/>
      <c r="Y71" s="3"/>
      <c r="Z71" s="3"/>
      <c r="AA71" s="3"/>
      <c r="AB71" s="3">
        <v>26</v>
      </c>
      <c r="AC71" s="3">
        <v>1</v>
      </c>
      <c r="AD71" s="6" t="s">
        <v>47</v>
      </c>
      <c r="AE71" s="3" t="s">
        <v>56</v>
      </c>
      <c r="AF71" s="6" t="s">
        <v>47</v>
      </c>
      <c r="AG71" s="3"/>
      <c r="AH71" s="6" t="s">
        <v>47</v>
      </c>
      <c r="AI71" s="3"/>
      <c r="AJ71" s="3"/>
      <c r="AK71" s="3"/>
      <c r="AL71" s="7">
        <f>IF(A71="","",IF(COUNTIF(A71:A$2001,A71)=1,1,0))</f>
        <v>1</v>
      </c>
      <c r="AM71" s="7">
        <f t="shared" ca="1" si="3"/>
        <v>155</v>
      </c>
      <c r="AN71" s="7">
        <f t="shared" si="4"/>
        <v>1</v>
      </c>
      <c r="AO71" s="7">
        <f t="shared" si="5"/>
        <v>0</v>
      </c>
      <c r="AP71" s="15" t="s">
        <v>337</v>
      </c>
    </row>
    <row r="72" spans="1:42" ht="15" customHeight="1">
      <c r="A72" s="3">
        <v>202660000490</v>
      </c>
      <c r="B72" s="3">
        <v>1224092</v>
      </c>
      <c r="C72" s="3" t="s">
        <v>177</v>
      </c>
      <c r="D72" s="3">
        <v>20</v>
      </c>
      <c r="E72" s="3" t="s">
        <v>68</v>
      </c>
      <c r="F72" s="3">
        <v>20</v>
      </c>
      <c r="G72" s="3" t="s">
        <v>50</v>
      </c>
      <c r="H72" s="4">
        <v>46082</v>
      </c>
      <c r="I72" s="5">
        <v>46142</v>
      </c>
      <c r="J72" s="4">
        <v>46279</v>
      </c>
      <c r="K72" s="4">
        <v>46279</v>
      </c>
      <c r="L72" s="3"/>
      <c r="M72" s="3"/>
      <c r="N72" s="3"/>
      <c r="O72" s="3" t="s">
        <v>85</v>
      </c>
      <c r="P72" s="6" t="s">
        <v>59</v>
      </c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>
        <v>99</v>
      </c>
      <c r="AC72" s="3">
        <v>1</v>
      </c>
      <c r="AD72" s="6" t="s">
        <v>47</v>
      </c>
      <c r="AE72" s="3" t="s">
        <v>60</v>
      </c>
      <c r="AF72" s="6" t="s">
        <v>47</v>
      </c>
      <c r="AG72" s="6" t="s">
        <v>47</v>
      </c>
      <c r="AH72" s="6" t="s">
        <v>47</v>
      </c>
      <c r="AI72" s="3"/>
      <c r="AJ72" s="3"/>
      <c r="AK72" s="3"/>
      <c r="AL72" s="7">
        <f>IF(A72="","",IF(COUNTIF(A72:A$2001,A72)=1,1,0))</f>
        <v>1</v>
      </c>
      <c r="AM72" s="7">
        <f t="shared" ca="1" si="3"/>
        <v>155</v>
      </c>
      <c r="AN72" s="7">
        <f t="shared" si="4"/>
        <v>1</v>
      </c>
      <c r="AO72" s="7">
        <f t="shared" si="5"/>
        <v>1</v>
      </c>
      <c r="AP72" s="15" t="s">
        <v>336</v>
      </c>
    </row>
    <row r="73" spans="1:42" ht="15" customHeight="1">
      <c r="A73" s="3">
        <v>202660000559</v>
      </c>
      <c r="B73" s="3">
        <v>920076</v>
      </c>
      <c r="C73" s="3" t="s">
        <v>267</v>
      </c>
      <c r="D73" s="3">
        <v>36</v>
      </c>
      <c r="E73" s="3" t="s">
        <v>264</v>
      </c>
      <c r="F73" s="3">
        <v>20</v>
      </c>
      <c r="G73" s="3" t="s">
        <v>50</v>
      </c>
      <c r="H73" s="4">
        <v>46154</v>
      </c>
      <c r="I73" s="5">
        <v>46174</v>
      </c>
      <c r="J73" s="4">
        <v>46280</v>
      </c>
      <c r="K73" s="4">
        <v>46280</v>
      </c>
      <c r="L73" s="4">
        <v>46289</v>
      </c>
      <c r="M73" s="4">
        <v>46289</v>
      </c>
      <c r="N73" s="3"/>
      <c r="O73" s="3" t="s">
        <v>265</v>
      </c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>
        <v>54</v>
      </c>
      <c r="AC73" s="3">
        <v>0</v>
      </c>
      <c r="AD73" s="6" t="s">
        <v>44</v>
      </c>
      <c r="AE73" s="3" t="s">
        <v>84</v>
      </c>
      <c r="AF73" s="6" t="s">
        <v>44</v>
      </c>
      <c r="AG73" s="6" t="s">
        <v>44</v>
      </c>
      <c r="AH73" s="6" t="s">
        <v>44</v>
      </c>
      <c r="AI73" s="3"/>
      <c r="AJ73" s="3"/>
      <c r="AK73" s="3"/>
      <c r="AL73" s="7">
        <f>IF(A73="","",IF(COUNTIF(A73:A$2001,A73)=1,1,0))</f>
        <v>1</v>
      </c>
      <c r="AM73" s="7">
        <f t="shared" ca="1" si="3"/>
        <v>123</v>
      </c>
      <c r="AN73" s="7">
        <f t="shared" si="4"/>
        <v>0</v>
      </c>
      <c r="AO73" s="7">
        <f t="shared" si="5"/>
        <v>1</v>
      </c>
      <c r="AP73" s="15"/>
    </row>
    <row r="74" spans="1:42" ht="15" customHeight="1">
      <c r="A74" s="3">
        <v>202660000573</v>
      </c>
      <c r="B74" s="3">
        <v>1212506</v>
      </c>
      <c r="C74" s="3"/>
      <c r="D74" s="3">
        <v>33</v>
      </c>
      <c r="E74" s="3" t="s">
        <v>268</v>
      </c>
      <c r="F74" s="3"/>
      <c r="G74" s="3"/>
      <c r="H74" s="4">
        <v>46134</v>
      </c>
      <c r="I74" s="5">
        <v>46156</v>
      </c>
      <c r="J74" s="4">
        <v>46157</v>
      </c>
      <c r="K74" s="4">
        <v>46161</v>
      </c>
      <c r="L74" s="3"/>
      <c r="M74" s="3"/>
      <c r="N74" s="3"/>
      <c r="O74" s="3" t="s">
        <v>249</v>
      </c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>
        <v>23</v>
      </c>
      <c r="AC74" s="3">
        <v>1</v>
      </c>
      <c r="AD74" s="6" t="s">
        <v>47</v>
      </c>
      <c r="AE74" s="3" t="s">
        <v>51</v>
      </c>
      <c r="AF74" s="3"/>
      <c r="AG74" s="3"/>
      <c r="AH74" s="3"/>
      <c r="AI74" s="3"/>
      <c r="AJ74" s="3"/>
      <c r="AK74" s="3"/>
      <c r="AL74" s="7">
        <f>IF(A74="","",IF(COUNTIF(A74:A$2001,A74)=1,1,0))</f>
        <v>0</v>
      </c>
      <c r="AM74" s="7">
        <f t="shared" ca="1" si="3"/>
        <v>141</v>
      </c>
      <c r="AN74" s="7">
        <f t="shared" si="4"/>
        <v>0</v>
      </c>
      <c r="AO74" s="7">
        <f t="shared" si="5"/>
        <v>0</v>
      </c>
      <c r="AP74" s="15"/>
    </row>
    <row r="75" spans="1:42" ht="15" customHeight="1">
      <c r="A75" s="3">
        <v>202660000573</v>
      </c>
      <c r="B75" s="3">
        <v>1212506</v>
      </c>
      <c r="C75" s="3"/>
      <c r="D75" s="3">
        <v>33</v>
      </c>
      <c r="E75" s="3" t="s">
        <v>268</v>
      </c>
      <c r="F75" s="3"/>
      <c r="G75" s="3"/>
      <c r="H75" s="4">
        <v>46134</v>
      </c>
      <c r="I75" s="5">
        <v>46156</v>
      </c>
      <c r="J75" s="4">
        <v>46157</v>
      </c>
      <c r="K75" s="4">
        <v>46161</v>
      </c>
      <c r="L75" s="3"/>
      <c r="M75" s="3"/>
      <c r="N75" s="3"/>
      <c r="O75" s="3" t="s">
        <v>249</v>
      </c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>
        <v>23</v>
      </c>
      <c r="AC75" s="3">
        <v>1</v>
      </c>
      <c r="AD75" s="6" t="s">
        <v>47</v>
      </c>
      <c r="AE75" s="3" t="s">
        <v>52</v>
      </c>
      <c r="AF75" s="3"/>
      <c r="AG75" s="3"/>
      <c r="AH75" s="3"/>
      <c r="AI75" s="3"/>
      <c r="AJ75" s="3"/>
      <c r="AK75" s="3"/>
      <c r="AL75" s="7">
        <f>IF(A75="","",IF(COUNTIF(A75:A$2001,A75)=1,1,0))</f>
        <v>1</v>
      </c>
      <c r="AM75" s="7">
        <f t="shared" ca="1" si="3"/>
        <v>141</v>
      </c>
      <c r="AN75" s="7">
        <f t="shared" si="4"/>
        <v>0</v>
      </c>
      <c r="AO75" s="7">
        <f t="shared" si="5"/>
        <v>0</v>
      </c>
      <c r="AP75" s="15"/>
    </row>
    <row r="76" spans="1:42" ht="15" customHeight="1">
      <c r="A76" s="3">
        <v>202660000574</v>
      </c>
      <c r="B76" s="3">
        <v>1122166</v>
      </c>
      <c r="C76" s="3" t="s">
        <v>269</v>
      </c>
      <c r="D76" s="3">
        <v>40</v>
      </c>
      <c r="E76" s="3" t="s">
        <v>248</v>
      </c>
      <c r="F76" s="3">
        <v>20</v>
      </c>
      <c r="G76" s="3" t="s">
        <v>50</v>
      </c>
      <c r="H76" s="4">
        <v>46113</v>
      </c>
      <c r="I76" s="5">
        <v>46156</v>
      </c>
      <c r="J76" s="4">
        <v>46239</v>
      </c>
      <c r="K76" s="4">
        <v>46239</v>
      </c>
      <c r="L76" s="3"/>
      <c r="M76" s="3"/>
      <c r="N76" s="3"/>
      <c r="O76" s="3" t="s">
        <v>66</v>
      </c>
      <c r="P76" s="6" t="s">
        <v>59</v>
      </c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>
        <v>51</v>
      </c>
      <c r="AC76" s="3">
        <v>0</v>
      </c>
      <c r="AD76" s="6" t="s">
        <v>44</v>
      </c>
      <c r="AE76" s="3" t="s">
        <v>71</v>
      </c>
      <c r="AF76" s="3"/>
      <c r="AG76" s="6" t="s">
        <v>44</v>
      </c>
      <c r="AH76" s="6" t="s">
        <v>44</v>
      </c>
      <c r="AI76" s="3"/>
      <c r="AJ76" s="3"/>
      <c r="AK76" s="3"/>
      <c r="AL76" s="7">
        <f>IF(A76="","",IF(COUNTIF(A76:A$2001,A76)=1,1,0))</f>
        <v>1</v>
      </c>
      <c r="AM76" s="7">
        <f t="shared" ca="1" si="3"/>
        <v>141</v>
      </c>
      <c r="AN76" s="7">
        <f t="shared" si="4"/>
        <v>1</v>
      </c>
      <c r="AO76" s="7">
        <f t="shared" si="5"/>
        <v>1</v>
      </c>
      <c r="AP76" s="15" t="s">
        <v>336</v>
      </c>
    </row>
    <row r="77" spans="1:42" ht="15" customHeight="1">
      <c r="A77" s="3">
        <v>202660000578</v>
      </c>
      <c r="B77" s="3">
        <v>1083011</v>
      </c>
      <c r="C77" s="3" t="s">
        <v>178</v>
      </c>
      <c r="D77" s="3">
        <v>20</v>
      </c>
      <c r="E77" s="3" t="s">
        <v>68</v>
      </c>
      <c r="F77" s="3">
        <v>20</v>
      </c>
      <c r="G77" s="3" t="s">
        <v>50</v>
      </c>
      <c r="H77" s="4">
        <v>46113</v>
      </c>
      <c r="I77" s="5">
        <v>46157</v>
      </c>
      <c r="J77" s="4">
        <v>46160</v>
      </c>
      <c r="K77" s="4">
        <v>46160</v>
      </c>
      <c r="L77" s="3"/>
      <c r="M77" s="3"/>
      <c r="N77" s="3"/>
      <c r="O77" s="3" t="s">
        <v>85</v>
      </c>
      <c r="P77" s="3"/>
      <c r="Q77" s="3"/>
      <c r="R77" s="3"/>
      <c r="S77" s="6" t="s">
        <v>57</v>
      </c>
      <c r="T77" s="3"/>
      <c r="U77" s="3"/>
      <c r="V77" s="3"/>
      <c r="W77" s="3"/>
      <c r="X77" s="3"/>
      <c r="Y77" s="3"/>
      <c r="Z77" s="3"/>
      <c r="AA77" s="3"/>
      <c r="AB77" s="3">
        <v>26</v>
      </c>
      <c r="AC77" s="3">
        <v>1</v>
      </c>
      <c r="AD77" s="6" t="s">
        <v>47</v>
      </c>
      <c r="AE77" s="3" t="s">
        <v>56</v>
      </c>
      <c r="AF77" s="6" t="s">
        <v>47</v>
      </c>
      <c r="AG77" s="6" t="s">
        <v>47</v>
      </c>
      <c r="AH77" s="6" t="s">
        <v>47</v>
      </c>
      <c r="AI77" s="3"/>
      <c r="AJ77" s="3"/>
      <c r="AK77" s="3"/>
      <c r="AL77" s="7">
        <f>IF(A77="","",IF(COUNTIF(A77:A$2001,A77)=1,1,0))</f>
        <v>1</v>
      </c>
      <c r="AM77" s="7">
        <f t="shared" ca="1" si="3"/>
        <v>140</v>
      </c>
      <c r="AN77" s="7">
        <f t="shared" si="4"/>
        <v>1</v>
      </c>
      <c r="AO77" s="7">
        <f t="shared" si="5"/>
        <v>1</v>
      </c>
      <c r="AP77" s="15" t="s">
        <v>335</v>
      </c>
    </row>
    <row r="78" spans="1:42" ht="15" customHeight="1">
      <c r="A78" s="3">
        <v>202660000643</v>
      </c>
      <c r="B78" s="3">
        <v>951199</v>
      </c>
      <c r="C78" s="3" t="s">
        <v>179</v>
      </c>
      <c r="D78" s="3">
        <v>32</v>
      </c>
      <c r="E78" s="3" t="s">
        <v>73</v>
      </c>
      <c r="F78" s="3"/>
      <c r="G78" s="3"/>
      <c r="H78" s="4">
        <v>46143</v>
      </c>
      <c r="I78" s="5">
        <v>46175</v>
      </c>
      <c r="J78" s="4">
        <v>46185</v>
      </c>
      <c r="K78" s="4">
        <v>46185</v>
      </c>
      <c r="L78" s="3"/>
      <c r="M78" s="3"/>
      <c r="N78" s="3"/>
      <c r="O78" s="3" t="s">
        <v>81</v>
      </c>
      <c r="P78" s="3"/>
      <c r="Q78" s="3"/>
      <c r="R78" s="3"/>
      <c r="S78" s="3"/>
      <c r="T78" s="3"/>
      <c r="U78" s="6" t="s">
        <v>67</v>
      </c>
      <c r="V78" s="3"/>
      <c r="W78" s="3"/>
      <c r="X78" s="3"/>
      <c r="Y78" s="3"/>
      <c r="Z78" s="3"/>
      <c r="AA78" s="3"/>
      <c r="AB78" s="3">
        <v>51</v>
      </c>
      <c r="AC78" s="3">
        <v>0</v>
      </c>
      <c r="AD78" s="6" t="s">
        <v>44</v>
      </c>
      <c r="AE78" s="3" t="s">
        <v>71</v>
      </c>
      <c r="AF78" s="6" t="s">
        <v>44</v>
      </c>
      <c r="AG78" s="6" t="s">
        <v>44</v>
      </c>
      <c r="AH78" s="6" t="s">
        <v>44</v>
      </c>
      <c r="AI78" s="3"/>
      <c r="AJ78" s="3"/>
      <c r="AK78" s="3"/>
      <c r="AL78" s="7">
        <f>IF(A78="","",IF(COUNTIF(A78:A$2001,A78)=1,1,0))</f>
        <v>1</v>
      </c>
      <c r="AM78" s="7">
        <f t="shared" ca="1" si="3"/>
        <v>122</v>
      </c>
      <c r="AN78" s="7">
        <f t="shared" si="4"/>
        <v>1</v>
      </c>
      <c r="AO78" s="7">
        <f t="shared" si="5"/>
        <v>1</v>
      </c>
      <c r="AP78" s="15" t="s">
        <v>341</v>
      </c>
    </row>
    <row r="79" spans="1:42" ht="15" customHeight="1">
      <c r="A79" s="3">
        <v>202660000646</v>
      </c>
      <c r="B79" s="3">
        <v>880721</v>
      </c>
      <c r="C79" s="3" t="s">
        <v>270</v>
      </c>
      <c r="D79" s="3">
        <v>32</v>
      </c>
      <c r="E79" s="3" t="s">
        <v>73</v>
      </c>
      <c r="F79" s="3">
        <v>20</v>
      </c>
      <c r="G79" s="3" t="s">
        <v>50</v>
      </c>
      <c r="H79" s="4">
        <v>46167</v>
      </c>
      <c r="I79" s="5">
        <v>46167</v>
      </c>
      <c r="J79" s="4">
        <v>46283</v>
      </c>
      <c r="K79" s="4">
        <v>46283</v>
      </c>
      <c r="L79" s="3"/>
      <c r="M79" s="3"/>
      <c r="N79" s="3"/>
      <c r="O79" s="3" t="s">
        <v>81</v>
      </c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>
        <v>47</v>
      </c>
      <c r="AC79" s="3">
        <v>0</v>
      </c>
      <c r="AD79" s="6" t="s">
        <v>44</v>
      </c>
      <c r="AE79" s="3" t="s">
        <v>45</v>
      </c>
      <c r="AF79" s="6" t="s">
        <v>44</v>
      </c>
      <c r="AG79" s="6" t="s">
        <v>44</v>
      </c>
      <c r="AH79" s="6" t="s">
        <v>44</v>
      </c>
      <c r="AI79" s="3"/>
      <c r="AJ79" s="3"/>
      <c r="AK79" s="3"/>
      <c r="AL79" s="7">
        <f>IF(A79="","",IF(COUNTIF(A79:A$2001,A79)=1,1,0))</f>
        <v>1</v>
      </c>
      <c r="AM79" s="7">
        <f t="shared" ca="1" si="3"/>
        <v>130</v>
      </c>
      <c r="AN79" s="7">
        <f t="shared" si="4"/>
        <v>1</v>
      </c>
      <c r="AO79" s="7">
        <f t="shared" si="5"/>
        <v>1</v>
      </c>
      <c r="AP79" s="15"/>
    </row>
    <row r="80" spans="1:42" ht="15" customHeight="1">
      <c r="A80" s="3">
        <v>202660000682</v>
      </c>
      <c r="B80" s="3">
        <v>1234070</v>
      </c>
      <c r="C80" s="3" t="s">
        <v>271</v>
      </c>
      <c r="D80" s="3">
        <v>40</v>
      </c>
      <c r="E80" s="3" t="s">
        <v>248</v>
      </c>
      <c r="F80" s="3">
        <v>20</v>
      </c>
      <c r="G80" s="3" t="s">
        <v>50</v>
      </c>
      <c r="H80" s="4">
        <v>46074</v>
      </c>
      <c r="I80" s="5">
        <v>46177</v>
      </c>
      <c r="J80" s="4">
        <v>46188</v>
      </c>
      <c r="K80" s="4">
        <v>46188</v>
      </c>
      <c r="L80" s="3"/>
      <c r="M80" s="3"/>
      <c r="N80" s="3"/>
      <c r="O80" s="3" t="s">
        <v>66</v>
      </c>
      <c r="P80" s="6" t="s">
        <v>59</v>
      </c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>
        <v>27</v>
      </c>
      <c r="AC80" s="3">
        <v>1</v>
      </c>
      <c r="AD80" s="6" t="s">
        <v>47</v>
      </c>
      <c r="AE80" s="3" t="s">
        <v>65</v>
      </c>
      <c r="AF80" s="6" t="s">
        <v>47</v>
      </c>
      <c r="AG80" s="6" t="s">
        <v>47</v>
      </c>
      <c r="AH80" s="6" t="s">
        <v>47</v>
      </c>
      <c r="AI80" s="3"/>
      <c r="AJ80" s="3"/>
      <c r="AK80" s="3"/>
      <c r="AL80" s="7">
        <f>IF(A80="","",IF(COUNTIF(A80:A$2001,A80)=1,1,0))</f>
        <v>1</v>
      </c>
      <c r="AM80" s="7">
        <f t="shared" ca="1" si="3"/>
        <v>120</v>
      </c>
      <c r="AN80" s="7">
        <f t="shared" si="4"/>
        <v>1</v>
      </c>
      <c r="AO80" s="7">
        <f t="shared" si="5"/>
        <v>1</v>
      </c>
      <c r="AP80" s="15" t="s">
        <v>336</v>
      </c>
    </row>
    <row r="81" spans="1:42" ht="15" customHeight="1">
      <c r="A81" s="3">
        <v>202660000703</v>
      </c>
      <c r="B81" s="3">
        <v>920832</v>
      </c>
      <c r="C81" s="3" t="s">
        <v>180</v>
      </c>
      <c r="D81" s="3">
        <v>20</v>
      </c>
      <c r="E81" s="3" t="s">
        <v>68</v>
      </c>
      <c r="F81" s="3"/>
      <c r="G81" s="3"/>
      <c r="H81" s="4">
        <v>46113</v>
      </c>
      <c r="I81" s="5">
        <v>46174</v>
      </c>
      <c r="J81" s="3"/>
      <c r="K81" s="3"/>
      <c r="L81" s="3"/>
      <c r="M81" s="3"/>
      <c r="N81" s="3"/>
      <c r="O81" s="3" t="s">
        <v>66</v>
      </c>
      <c r="P81" s="6" t="s">
        <v>59</v>
      </c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>
        <v>26</v>
      </c>
      <c r="AC81" s="3">
        <v>1</v>
      </c>
      <c r="AD81" s="6" t="s">
        <v>47</v>
      </c>
      <c r="AE81" s="3" t="s">
        <v>56</v>
      </c>
      <c r="AF81" s="3"/>
      <c r="AG81" s="6" t="s">
        <v>47</v>
      </c>
      <c r="AH81" s="6" t="s">
        <v>47</v>
      </c>
      <c r="AI81" s="3"/>
      <c r="AJ81" s="3"/>
      <c r="AK81" s="3"/>
      <c r="AL81" s="7">
        <f>IF(A81="","",IF(COUNTIF(A81:A$2001,A81)=1,1,0))</f>
        <v>1</v>
      </c>
      <c r="AM81" s="7">
        <f t="shared" ca="1" si="3"/>
        <v>123</v>
      </c>
      <c r="AN81" s="7">
        <f t="shared" si="4"/>
        <v>1</v>
      </c>
      <c r="AO81" s="7">
        <f t="shared" si="5"/>
        <v>1</v>
      </c>
      <c r="AP81" s="15" t="s">
        <v>336</v>
      </c>
    </row>
    <row r="82" spans="1:42" ht="15" customHeight="1">
      <c r="A82" s="3">
        <v>202660000721</v>
      </c>
      <c r="B82" s="3">
        <v>1201069</v>
      </c>
      <c r="C82" s="3" t="s">
        <v>181</v>
      </c>
      <c r="D82" s="3">
        <v>20</v>
      </c>
      <c r="E82" s="3" t="s">
        <v>68</v>
      </c>
      <c r="F82" s="3">
        <v>20</v>
      </c>
      <c r="G82" s="3" t="s">
        <v>50</v>
      </c>
      <c r="H82" s="4">
        <v>46139</v>
      </c>
      <c r="I82" s="5">
        <v>46181</v>
      </c>
      <c r="J82" s="4">
        <v>46189</v>
      </c>
      <c r="K82" s="4">
        <v>46189</v>
      </c>
      <c r="L82" s="3"/>
      <c r="M82" s="3"/>
      <c r="N82" s="3"/>
      <c r="O82" s="3" t="s">
        <v>85</v>
      </c>
      <c r="P82" s="3"/>
      <c r="Q82" s="3"/>
      <c r="R82" s="3"/>
      <c r="S82" s="6" t="s">
        <v>57</v>
      </c>
      <c r="T82" s="3"/>
      <c r="U82" s="3"/>
      <c r="V82" s="3"/>
      <c r="W82" s="3"/>
      <c r="X82" s="3"/>
      <c r="Y82" s="3"/>
      <c r="Z82" s="3"/>
      <c r="AA82" s="3"/>
      <c r="AB82" s="3">
        <v>23</v>
      </c>
      <c r="AC82" s="3">
        <v>1</v>
      </c>
      <c r="AD82" s="6" t="s">
        <v>47</v>
      </c>
      <c r="AE82" s="3" t="s">
        <v>51</v>
      </c>
      <c r="AF82" s="3"/>
      <c r="AG82" s="3"/>
      <c r="AH82" s="6" t="s">
        <v>47</v>
      </c>
      <c r="AI82" s="3"/>
      <c r="AJ82" s="3"/>
      <c r="AK82" s="3"/>
      <c r="AL82" s="7">
        <f>IF(A82="","",IF(COUNTIF(A82:A$2001,A82)=1,1,0))</f>
        <v>0</v>
      </c>
      <c r="AM82" s="7">
        <f t="shared" ca="1" si="3"/>
        <v>116</v>
      </c>
      <c r="AN82" s="7">
        <f t="shared" si="4"/>
        <v>1</v>
      </c>
      <c r="AO82" s="7">
        <f t="shared" si="5"/>
        <v>0</v>
      </c>
      <c r="AP82" s="15" t="s">
        <v>335</v>
      </c>
    </row>
    <row r="83" spans="1:42" ht="15" customHeight="1">
      <c r="A83" s="3">
        <v>202660000721</v>
      </c>
      <c r="B83" s="3">
        <v>1201069</v>
      </c>
      <c r="C83" s="3" t="s">
        <v>181</v>
      </c>
      <c r="D83" s="3">
        <v>20</v>
      </c>
      <c r="E83" s="3" t="s">
        <v>68</v>
      </c>
      <c r="F83" s="3">
        <v>20</v>
      </c>
      <c r="G83" s="3" t="s">
        <v>50</v>
      </c>
      <c r="H83" s="4">
        <v>46139</v>
      </c>
      <c r="I83" s="5">
        <v>46181</v>
      </c>
      <c r="J83" s="4">
        <v>46189</v>
      </c>
      <c r="K83" s="4">
        <v>46189</v>
      </c>
      <c r="L83" s="3"/>
      <c r="M83" s="3"/>
      <c r="N83" s="3"/>
      <c r="O83" s="3" t="s">
        <v>85</v>
      </c>
      <c r="P83" s="3"/>
      <c r="Q83" s="3"/>
      <c r="R83" s="3"/>
      <c r="S83" s="6" t="s">
        <v>57</v>
      </c>
      <c r="T83" s="3"/>
      <c r="U83" s="3"/>
      <c r="V83" s="3"/>
      <c r="W83" s="3"/>
      <c r="X83" s="3"/>
      <c r="Y83" s="3"/>
      <c r="Z83" s="3"/>
      <c r="AA83" s="3"/>
      <c r="AB83" s="3">
        <v>23</v>
      </c>
      <c r="AC83" s="3">
        <v>1</v>
      </c>
      <c r="AD83" s="6" t="s">
        <v>47</v>
      </c>
      <c r="AE83" s="3" t="s">
        <v>52</v>
      </c>
      <c r="AF83" s="3"/>
      <c r="AG83" s="3"/>
      <c r="AH83" s="6" t="s">
        <v>47</v>
      </c>
      <c r="AI83" s="3"/>
      <c r="AJ83" s="3"/>
      <c r="AK83" s="3"/>
      <c r="AL83" s="7">
        <f>IF(A83="","",IF(COUNTIF(A83:A$2001,A83)=1,1,0))</f>
        <v>1</v>
      </c>
      <c r="AM83" s="7">
        <f t="shared" ca="1" si="3"/>
        <v>116</v>
      </c>
      <c r="AN83" s="7">
        <f t="shared" si="4"/>
        <v>1</v>
      </c>
      <c r="AO83" s="7">
        <f t="shared" si="5"/>
        <v>0</v>
      </c>
      <c r="AP83" s="15" t="s">
        <v>335</v>
      </c>
    </row>
    <row r="84" spans="1:42" ht="15" customHeight="1">
      <c r="A84" s="3">
        <v>202660000762</v>
      </c>
      <c r="B84" s="3">
        <v>1066030</v>
      </c>
      <c r="C84" s="3" t="s">
        <v>182</v>
      </c>
      <c r="D84" s="3">
        <v>32</v>
      </c>
      <c r="E84" s="3" t="s">
        <v>73</v>
      </c>
      <c r="F84" s="3"/>
      <c r="G84" s="3"/>
      <c r="H84" s="4">
        <v>46174</v>
      </c>
      <c r="I84" s="5">
        <v>46182</v>
      </c>
      <c r="J84" s="4">
        <v>46196</v>
      </c>
      <c r="K84" s="4">
        <v>46196</v>
      </c>
      <c r="L84" s="3"/>
      <c r="M84" s="3"/>
      <c r="N84" s="3"/>
      <c r="O84" s="3" t="s">
        <v>81</v>
      </c>
      <c r="P84" s="3"/>
      <c r="Q84" s="3"/>
      <c r="R84" s="6" t="s">
        <v>70</v>
      </c>
      <c r="S84" s="3"/>
      <c r="T84" s="3"/>
      <c r="U84" s="6" t="s">
        <v>67</v>
      </c>
      <c r="V84" s="3"/>
      <c r="W84" s="3"/>
      <c r="X84" s="3"/>
      <c r="Y84" s="3"/>
      <c r="Z84" s="3"/>
      <c r="AA84" s="3"/>
      <c r="AB84" s="3">
        <v>27</v>
      </c>
      <c r="AC84" s="3">
        <v>1</v>
      </c>
      <c r="AD84" s="6" t="s">
        <v>47</v>
      </c>
      <c r="AE84" s="3" t="s">
        <v>65</v>
      </c>
      <c r="AF84" s="6" t="s">
        <v>47</v>
      </c>
      <c r="AG84" s="6" t="s">
        <v>47</v>
      </c>
      <c r="AH84" s="6" t="s">
        <v>47</v>
      </c>
      <c r="AI84" s="3"/>
      <c r="AJ84" s="3"/>
      <c r="AK84" s="3"/>
      <c r="AL84" s="7">
        <f>IF(A84="","",IF(COUNTIF(A84:A$2001,A84)=1,1,0))</f>
        <v>1</v>
      </c>
      <c r="AM84" s="7">
        <f t="shared" ca="1" si="3"/>
        <v>115</v>
      </c>
      <c r="AN84" s="7">
        <f t="shared" si="4"/>
        <v>1</v>
      </c>
      <c r="AO84" s="7">
        <f t="shared" si="5"/>
        <v>1</v>
      </c>
      <c r="AP84" s="15" t="s">
        <v>344</v>
      </c>
    </row>
    <row r="85" spans="1:42" ht="15" customHeight="1">
      <c r="A85" s="3">
        <v>202660000774</v>
      </c>
      <c r="B85" s="3">
        <v>1146056</v>
      </c>
      <c r="C85" s="3" t="s">
        <v>272</v>
      </c>
      <c r="D85" s="3">
        <v>34</v>
      </c>
      <c r="E85" s="3" t="s">
        <v>273</v>
      </c>
      <c r="F85" s="3">
        <v>20</v>
      </c>
      <c r="G85" s="3" t="s">
        <v>50</v>
      </c>
      <c r="H85" s="4">
        <v>46175</v>
      </c>
      <c r="I85" s="5">
        <v>46231</v>
      </c>
      <c r="J85" s="4">
        <v>46280</v>
      </c>
      <c r="K85" s="4">
        <v>46280</v>
      </c>
      <c r="L85" s="3"/>
      <c r="M85" s="3"/>
      <c r="N85" s="3"/>
      <c r="O85" s="3" t="s">
        <v>274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>
        <v>21</v>
      </c>
      <c r="AC85" s="3">
        <v>1</v>
      </c>
      <c r="AD85" s="6" t="s">
        <v>47</v>
      </c>
      <c r="AE85" s="3" t="s">
        <v>54</v>
      </c>
      <c r="AF85" s="6" t="s">
        <v>47</v>
      </c>
      <c r="AG85" s="6" t="s">
        <v>47</v>
      </c>
      <c r="AH85" s="6" t="s">
        <v>47</v>
      </c>
      <c r="AI85" s="3"/>
      <c r="AJ85" s="3"/>
      <c r="AK85" s="3"/>
      <c r="AL85" s="7">
        <f>IF(A85="","",IF(COUNTIF(A85:A$2001,A85)=1,1,0))</f>
        <v>1</v>
      </c>
      <c r="AM85" s="7">
        <f t="shared" ca="1" si="3"/>
        <v>66</v>
      </c>
      <c r="AN85" s="7">
        <f t="shared" si="4"/>
        <v>1</v>
      </c>
      <c r="AO85" s="7">
        <f t="shared" si="5"/>
        <v>1</v>
      </c>
      <c r="AP85" s="15"/>
    </row>
    <row r="86" spans="1:42" ht="15" customHeight="1">
      <c r="A86" s="3">
        <v>202660000808</v>
      </c>
      <c r="B86" s="3">
        <v>1186059</v>
      </c>
      <c r="C86" s="3"/>
      <c r="D86" s="3">
        <v>31</v>
      </c>
      <c r="E86" s="3" t="s">
        <v>42</v>
      </c>
      <c r="F86" s="3"/>
      <c r="G86" s="3"/>
      <c r="H86" s="4">
        <v>46172</v>
      </c>
      <c r="I86" s="5">
        <v>46188</v>
      </c>
      <c r="J86" s="4">
        <v>46189</v>
      </c>
      <c r="K86" s="4">
        <v>46239</v>
      </c>
      <c r="L86" s="3"/>
      <c r="M86" s="3"/>
      <c r="N86" s="3"/>
      <c r="O86" s="3" t="s">
        <v>43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>
        <v>23</v>
      </c>
      <c r="AC86" s="3">
        <v>1</v>
      </c>
      <c r="AD86" s="6" t="s">
        <v>47</v>
      </c>
      <c r="AE86" s="3" t="s">
        <v>51</v>
      </c>
      <c r="AF86" s="3"/>
      <c r="AG86" s="3"/>
      <c r="AH86" s="3"/>
      <c r="AI86" s="3"/>
      <c r="AJ86" s="3"/>
      <c r="AK86" s="3"/>
      <c r="AL86" s="7">
        <f>IF(A86="","",IF(COUNTIF(A86:A$2001,A86)=1,1,0))</f>
        <v>0</v>
      </c>
      <c r="AM86" s="7">
        <f t="shared" ca="1" si="3"/>
        <v>109</v>
      </c>
      <c r="AN86" s="7">
        <f t="shared" si="4"/>
        <v>1</v>
      </c>
      <c r="AO86" s="7">
        <f t="shared" si="5"/>
        <v>0</v>
      </c>
      <c r="AP86" s="15"/>
    </row>
    <row r="87" spans="1:42" ht="15" customHeight="1">
      <c r="A87" s="3">
        <v>202660000808</v>
      </c>
      <c r="B87" s="3">
        <v>1186059</v>
      </c>
      <c r="C87" s="3"/>
      <c r="D87" s="3">
        <v>31</v>
      </c>
      <c r="E87" s="3" t="s">
        <v>42</v>
      </c>
      <c r="F87" s="3"/>
      <c r="G87" s="3"/>
      <c r="H87" s="4">
        <v>46172</v>
      </c>
      <c r="I87" s="5">
        <v>46188</v>
      </c>
      <c r="J87" s="4">
        <v>46189</v>
      </c>
      <c r="K87" s="4">
        <v>46239</v>
      </c>
      <c r="L87" s="3"/>
      <c r="M87" s="3"/>
      <c r="N87" s="3"/>
      <c r="O87" s="3" t="s">
        <v>43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>
        <v>23</v>
      </c>
      <c r="AC87" s="3">
        <v>1</v>
      </c>
      <c r="AD87" s="6" t="s">
        <v>47</v>
      </c>
      <c r="AE87" s="3" t="s">
        <v>52</v>
      </c>
      <c r="AF87" s="3"/>
      <c r="AG87" s="3"/>
      <c r="AH87" s="3"/>
      <c r="AI87" s="3"/>
      <c r="AJ87" s="3"/>
      <c r="AK87" s="3"/>
      <c r="AL87" s="7">
        <f>IF(A87="","",IF(COUNTIF(A87:A$2001,A87)=1,1,0))</f>
        <v>1</v>
      </c>
      <c r="AM87" s="7">
        <f t="shared" ca="1" si="3"/>
        <v>109</v>
      </c>
      <c r="AN87" s="7">
        <f t="shared" si="4"/>
        <v>1</v>
      </c>
      <c r="AO87" s="7">
        <f t="shared" si="5"/>
        <v>0</v>
      </c>
      <c r="AP87" s="15"/>
    </row>
    <row r="88" spans="1:42" ht="15" customHeight="1">
      <c r="A88" s="3">
        <v>202660000834</v>
      </c>
      <c r="B88" s="3">
        <v>920602</v>
      </c>
      <c r="C88" s="3" t="s">
        <v>183</v>
      </c>
      <c r="D88" s="3">
        <v>20</v>
      </c>
      <c r="E88" s="3" t="s">
        <v>68</v>
      </c>
      <c r="F88" s="3">
        <v>20</v>
      </c>
      <c r="G88" s="3" t="s">
        <v>50</v>
      </c>
      <c r="H88" s="4">
        <v>46181</v>
      </c>
      <c r="I88" s="5">
        <v>46204</v>
      </c>
      <c r="J88" s="4">
        <v>46226</v>
      </c>
      <c r="K88" s="4">
        <v>46226</v>
      </c>
      <c r="L88" s="3"/>
      <c r="M88" s="3"/>
      <c r="N88" s="3"/>
      <c r="O88" s="3" t="s">
        <v>86</v>
      </c>
      <c r="P88" s="3"/>
      <c r="Q88" s="3"/>
      <c r="R88" s="3"/>
      <c r="S88" s="6" t="s">
        <v>57</v>
      </c>
      <c r="T88" s="3"/>
      <c r="U88" s="3"/>
      <c r="V88" s="3"/>
      <c r="W88" s="3"/>
      <c r="X88" s="3"/>
      <c r="Y88" s="3"/>
      <c r="Z88" s="3"/>
      <c r="AA88" s="3"/>
      <c r="AB88" s="3">
        <v>24</v>
      </c>
      <c r="AC88" s="3">
        <v>1</v>
      </c>
      <c r="AD88" s="6" t="s">
        <v>47</v>
      </c>
      <c r="AE88" s="3" t="s">
        <v>87</v>
      </c>
      <c r="AF88" s="6" t="s">
        <v>47</v>
      </c>
      <c r="AG88" s="6" t="s">
        <v>47</v>
      </c>
      <c r="AH88" s="3"/>
      <c r="AI88" s="3"/>
      <c r="AJ88" s="3"/>
      <c r="AK88" s="3"/>
      <c r="AL88" s="7">
        <f>IF(A88="","",IF(COUNTIF(A88:A$2001,A88)=1,1,0))</f>
        <v>1</v>
      </c>
      <c r="AM88" s="7">
        <f t="shared" ca="1" si="3"/>
        <v>93</v>
      </c>
      <c r="AN88" s="7">
        <f t="shared" si="4"/>
        <v>1</v>
      </c>
      <c r="AO88" s="7">
        <f t="shared" si="5"/>
        <v>1</v>
      </c>
      <c r="AP88" s="15" t="s">
        <v>335</v>
      </c>
    </row>
    <row r="89" spans="1:42" ht="15" customHeight="1">
      <c r="A89" s="3">
        <v>202660000842</v>
      </c>
      <c r="B89" s="3">
        <v>994229</v>
      </c>
      <c r="C89" s="3" t="s">
        <v>229</v>
      </c>
      <c r="D89" s="3">
        <v>40</v>
      </c>
      <c r="E89" s="3" t="s">
        <v>248</v>
      </c>
      <c r="F89" s="3">
        <v>20</v>
      </c>
      <c r="G89" s="3" t="s">
        <v>50</v>
      </c>
      <c r="H89" s="4">
        <v>46174</v>
      </c>
      <c r="I89" s="5">
        <v>46248</v>
      </c>
      <c r="J89" s="4">
        <v>46252</v>
      </c>
      <c r="K89" s="4">
        <v>46279</v>
      </c>
      <c r="L89" s="3"/>
      <c r="M89" s="3"/>
      <c r="N89" s="3"/>
      <c r="O89" s="3" t="s">
        <v>61</v>
      </c>
      <c r="P89" s="3"/>
      <c r="Q89" s="3"/>
      <c r="R89" s="3"/>
      <c r="S89" s="3"/>
      <c r="T89" s="3"/>
      <c r="U89" s="3"/>
      <c r="V89" s="3"/>
      <c r="W89" s="6" t="s">
        <v>62</v>
      </c>
      <c r="X89" s="3"/>
      <c r="Y89" s="3"/>
      <c r="Z89" s="3"/>
      <c r="AA89" s="3"/>
      <c r="AB89" s="3">
        <v>47</v>
      </c>
      <c r="AC89" s="3">
        <v>0</v>
      </c>
      <c r="AD89" s="6" t="s">
        <v>44</v>
      </c>
      <c r="AE89" s="3" t="s">
        <v>45</v>
      </c>
      <c r="AF89" s="3"/>
      <c r="AG89" s="6" t="s">
        <v>44</v>
      </c>
      <c r="AH89" s="6" t="s">
        <v>44</v>
      </c>
      <c r="AI89" s="3"/>
      <c r="AJ89" s="3"/>
      <c r="AK89" s="3"/>
      <c r="AL89" s="7">
        <f>IF(A89="","",IF(COUNTIF(A89:A$2001,A89)=1,1,0))</f>
        <v>1</v>
      </c>
      <c r="AM89" s="7">
        <f t="shared" ca="1" si="3"/>
        <v>49</v>
      </c>
      <c r="AN89" s="7">
        <f t="shared" si="4"/>
        <v>1</v>
      </c>
      <c r="AO89" s="7">
        <f t="shared" si="5"/>
        <v>1</v>
      </c>
      <c r="AP89" s="15" t="s">
        <v>337</v>
      </c>
    </row>
    <row r="90" spans="1:42" ht="15" customHeight="1">
      <c r="A90" s="3">
        <v>202660000850</v>
      </c>
      <c r="B90" s="3">
        <v>1191368</v>
      </c>
      <c r="C90" s="3" t="s">
        <v>184</v>
      </c>
      <c r="D90" s="3">
        <v>31</v>
      </c>
      <c r="E90" s="3" t="s">
        <v>42</v>
      </c>
      <c r="F90" s="3">
        <v>20</v>
      </c>
      <c r="G90" s="3" t="s">
        <v>50</v>
      </c>
      <c r="H90" s="4">
        <v>46167</v>
      </c>
      <c r="I90" s="5">
        <v>46225</v>
      </c>
      <c r="J90" s="4">
        <v>46282</v>
      </c>
      <c r="K90" s="4">
        <v>46282</v>
      </c>
      <c r="L90" s="3"/>
      <c r="M90" s="3"/>
      <c r="N90" s="3"/>
      <c r="O90" s="3" t="s">
        <v>43</v>
      </c>
      <c r="P90" s="3"/>
      <c r="Q90" s="3"/>
      <c r="R90" s="3"/>
      <c r="S90" s="6" t="s">
        <v>57</v>
      </c>
      <c r="T90" s="3"/>
      <c r="U90" s="3"/>
      <c r="V90" s="3"/>
      <c r="W90" s="3"/>
      <c r="X90" s="3"/>
      <c r="Y90" s="3"/>
      <c r="Z90" s="3"/>
      <c r="AA90" s="3"/>
      <c r="AB90" s="3">
        <v>22</v>
      </c>
      <c r="AC90" s="3">
        <v>1</v>
      </c>
      <c r="AD90" s="6" t="s">
        <v>47</v>
      </c>
      <c r="AE90" s="3" t="s">
        <v>48</v>
      </c>
      <c r="AF90" s="6" t="s">
        <v>47</v>
      </c>
      <c r="AG90" s="6" t="s">
        <v>47</v>
      </c>
      <c r="AH90" s="6" t="s">
        <v>47</v>
      </c>
      <c r="AI90" s="3"/>
      <c r="AJ90" s="3"/>
      <c r="AK90" s="3"/>
      <c r="AL90" s="7">
        <f>IF(A90="","",IF(COUNTIF(A90:A$2001,A90)=1,1,0))</f>
        <v>1</v>
      </c>
      <c r="AM90" s="7">
        <f t="shared" ca="1" si="3"/>
        <v>72</v>
      </c>
      <c r="AN90" s="7">
        <f t="shared" si="4"/>
        <v>1</v>
      </c>
      <c r="AO90" s="7">
        <f t="shared" si="5"/>
        <v>1</v>
      </c>
      <c r="AP90" s="15" t="s">
        <v>335</v>
      </c>
    </row>
    <row r="91" spans="1:42" ht="15" customHeight="1">
      <c r="A91" s="3">
        <v>202660000868</v>
      </c>
      <c r="B91" s="3">
        <v>1110061</v>
      </c>
      <c r="C91" s="3" t="s">
        <v>185</v>
      </c>
      <c r="D91" s="3">
        <v>31</v>
      </c>
      <c r="E91" s="3" t="s">
        <v>42</v>
      </c>
      <c r="F91" s="3"/>
      <c r="G91" s="3"/>
      <c r="H91" s="4">
        <v>46113</v>
      </c>
      <c r="I91" s="5">
        <v>46197</v>
      </c>
      <c r="J91" s="4">
        <v>46198</v>
      </c>
      <c r="K91" s="4">
        <v>46198</v>
      </c>
      <c r="L91" s="3"/>
      <c r="M91" s="3"/>
      <c r="N91" s="3"/>
      <c r="O91" s="3" t="s">
        <v>55</v>
      </c>
      <c r="P91" s="6" t="s">
        <v>59</v>
      </c>
      <c r="Q91" s="3"/>
      <c r="R91" s="3"/>
      <c r="S91" s="3"/>
      <c r="T91" s="3"/>
      <c r="U91" s="6" t="s">
        <v>67</v>
      </c>
      <c r="V91" s="3"/>
      <c r="W91" s="3"/>
      <c r="X91" s="3"/>
      <c r="Y91" s="3"/>
      <c r="Z91" s="3"/>
      <c r="AA91" s="3"/>
      <c r="AB91" s="3">
        <v>50</v>
      </c>
      <c r="AC91" s="3">
        <v>0</v>
      </c>
      <c r="AD91" s="6" t="s">
        <v>44</v>
      </c>
      <c r="AE91" s="3" t="s">
        <v>58</v>
      </c>
      <c r="AF91" s="3"/>
      <c r="AG91" s="6" t="s">
        <v>44</v>
      </c>
      <c r="AH91" s="3"/>
      <c r="AI91" s="3"/>
      <c r="AJ91" s="3"/>
      <c r="AK91" s="3"/>
      <c r="AL91" s="7">
        <f>IF(A91="","",IF(COUNTIF(A91:A$2001,A91)=1,1,0))</f>
        <v>1</v>
      </c>
      <c r="AM91" s="7">
        <f t="shared" ca="1" si="3"/>
        <v>100</v>
      </c>
      <c r="AN91" s="7">
        <f t="shared" si="4"/>
        <v>1</v>
      </c>
      <c r="AO91" s="7">
        <f t="shared" si="5"/>
        <v>1</v>
      </c>
      <c r="AP91" s="15" t="s">
        <v>339</v>
      </c>
    </row>
    <row r="92" spans="1:42" ht="15" customHeight="1">
      <c r="A92" s="3">
        <v>202660000900</v>
      </c>
      <c r="B92" s="3">
        <v>1246022</v>
      </c>
      <c r="C92" s="3" t="s">
        <v>275</v>
      </c>
      <c r="D92" s="3">
        <v>34</v>
      </c>
      <c r="E92" s="3" t="s">
        <v>273</v>
      </c>
      <c r="F92" s="3">
        <v>20</v>
      </c>
      <c r="G92" s="3" t="s">
        <v>50</v>
      </c>
      <c r="H92" s="4">
        <v>46188</v>
      </c>
      <c r="I92" s="5">
        <v>46203</v>
      </c>
      <c r="J92" s="4">
        <v>46279</v>
      </c>
      <c r="K92" s="4">
        <v>46279</v>
      </c>
      <c r="L92" s="3"/>
      <c r="M92" s="3"/>
      <c r="N92" s="3"/>
      <c r="O92" s="3" t="s">
        <v>274</v>
      </c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>
        <v>21</v>
      </c>
      <c r="AC92" s="3">
        <v>1</v>
      </c>
      <c r="AD92" s="6" t="s">
        <v>47</v>
      </c>
      <c r="AE92" s="3" t="s">
        <v>54</v>
      </c>
      <c r="AF92" s="6" t="s">
        <v>47</v>
      </c>
      <c r="AG92" s="3"/>
      <c r="AH92" s="3"/>
      <c r="AI92" s="3"/>
      <c r="AJ92" s="3"/>
      <c r="AK92" s="3"/>
      <c r="AL92" s="7">
        <f>IF(A92="","",IF(COUNTIF(A92:A$2001,A92)=1,1,0))</f>
        <v>1</v>
      </c>
      <c r="AM92" s="7">
        <f t="shared" ca="1" si="3"/>
        <v>94</v>
      </c>
      <c r="AN92" s="7">
        <f t="shared" si="4"/>
        <v>1</v>
      </c>
      <c r="AO92" s="7">
        <f t="shared" si="5"/>
        <v>0</v>
      </c>
      <c r="AP92" s="15"/>
    </row>
    <row r="93" spans="1:42" ht="15" customHeight="1">
      <c r="A93" s="3">
        <v>202660000967</v>
      </c>
      <c r="B93" s="3">
        <v>900638</v>
      </c>
      <c r="C93" s="3" t="s">
        <v>186</v>
      </c>
      <c r="D93" s="3">
        <v>20</v>
      </c>
      <c r="E93" s="3" t="s">
        <v>68</v>
      </c>
      <c r="F93" s="3">
        <v>20</v>
      </c>
      <c r="G93" s="3" t="s">
        <v>50</v>
      </c>
      <c r="H93" s="4">
        <v>46054</v>
      </c>
      <c r="I93" s="5">
        <v>46226</v>
      </c>
      <c r="J93" s="4">
        <v>46231</v>
      </c>
      <c r="K93" s="4">
        <v>46231</v>
      </c>
      <c r="L93" s="3"/>
      <c r="M93" s="3"/>
      <c r="N93" s="3"/>
      <c r="O93" s="3" t="s">
        <v>85</v>
      </c>
      <c r="P93" s="6" t="s">
        <v>59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>
        <v>47</v>
      </c>
      <c r="AC93" s="3">
        <v>0</v>
      </c>
      <c r="AD93" s="6" t="s">
        <v>44</v>
      </c>
      <c r="AE93" s="3" t="s">
        <v>45</v>
      </c>
      <c r="AF93" s="6" t="s">
        <v>44</v>
      </c>
      <c r="AG93" s="6" t="s">
        <v>44</v>
      </c>
      <c r="AH93" s="3"/>
      <c r="AI93" s="3"/>
      <c r="AJ93" s="3"/>
      <c r="AK93" s="3"/>
      <c r="AL93" s="7">
        <f>IF(A93="","",IF(COUNTIF(A93:A$2001,A93)=1,1,0))</f>
        <v>1</v>
      </c>
      <c r="AM93" s="7">
        <f t="shared" ca="1" si="3"/>
        <v>71</v>
      </c>
      <c r="AN93" s="7">
        <f t="shared" si="4"/>
        <v>1</v>
      </c>
      <c r="AO93" s="7">
        <f t="shared" si="5"/>
        <v>1</v>
      </c>
      <c r="AP93" s="15" t="s">
        <v>336</v>
      </c>
    </row>
    <row r="94" spans="1:42" ht="15" customHeight="1">
      <c r="A94" s="3">
        <v>202660001000</v>
      </c>
      <c r="B94" s="3">
        <v>1031250</v>
      </c>
      <c r="C94" s="3" t="s">
        <v>187</v>
      </c>
      <c r="D94" s="3">
        <v>40</v>
      </c>
      <c r="E94" s="3" t="s">
        <v>248</v>
      </c>
      <c r="F94" s="3">
        <v>20</v>
      </c>
      <c r="G94" s="3" t="s">
        <v>50</v>
      </c>
      <c r="H94" s="4">
        <v>46204</v>
      </c>
      <c r="I94" s="5">
        <v>46216</v>
      </c>
      <c r="J94" s="4">
        <v>46220</v>
      </c>
      <c r="K94" s="4">
        <v>46220</v>
      </c>
      <c r="L94" s="3"/>
      <c r="M94" s="3"/>
      <c r="N94" s="3"/>
      <c r="O94" s="3" t="s">
        <v>66</v>
      </c>
      <c r="P94" s="6" t="s">
        <v>59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>
        <v>26</v>
      </c>
      <c r="AC94" s="3">
        <v>1</v>
      </c>
      <c r="AD94" s="6" t="s">
        <v>47</v>
      </c>
      <c r="AE94" s="3" t="s">
        <v>56</v>
      </c>
      <c r="AF94" s="6" t="s">
        <v>47</v>
      </c>
      <c r="AG94" s="6" t="s">
        <v>47</v>
      </c>
      <c r="AH94" s="6" t="s">
        <v>47</v>
      </c>
      <c r="AI94" s="3"/>
      <c r="AJ94" s="3"/>
      <c r="AK94" s="3"/>
      <c r="AL94" s="7">
        <f>IF(A94="","",IF(COUNTIF(A94:A$2001,A94)=1,1,0))</f>
        <v>1</v>
      </c>
      <c r="AM94" s="7">
        <f t="shared" ca="1" si="3"/>
        <v>81</v>
      </c>
      <c r="AN94" s="7">
        <f t="shared" si="4"/>
        <v>1</v>
      </c>
      <c r="AO94" s="7">
        <f t="shared" si="5"/>
        <v>1</v>
      </c>
      <c r="AP94" s="15" t="s">
        <v>336</v>
      </c>
    </row>
    <row r="95" spans="1:42" ht="15" customHeight="1">
      <c r="A95" s="3">
        <v>202660001008</v>
      </c>
      <c r="B95" s="3">
        <v>1251500</v>
      </c>
      <c r="C95" s="3" t="s">
        <v>188</v>
      </c>
      <c r="D95" s="3">
        <v>31</v>
      </c>
      <c r="E95" s="3" t="s">
        <v>42</v>
      </c>
      <c r="F95" s="3"/>
      <c r="G95" s="3"/>
      <c r="H95" s="4">
        <v>46217</v>
      </c>
      <c r="I95" s="5">
        <v>46227</v>
      </c>
      <c r="J95" s="4">
        <v>46237</v>
      </c>
      <c r="K95" s="4">
        <v>46237</v>
      </c>
      <c r="L95" s="3"/>
      <c r="M95" s="3"/>
      <c r="N95" s="3"/>
      <c r="O95" s="3" t="s">
        <v>55</v>
      </c>
      <c r="P95" s="6" t="s">
        <v>59</v>
      </c>
      <c r="Q95" s="3"/>
      <c r="R95" s="3"/>
      <c r="S95" s="3"/>
      <c r="T95" s="3"/>
      <c r="U95" s="6" t="s">
        <v>67</v>
      </c>
      <c r="V95" s="3"/>
      <c r="W95" s="3"/>
      <c r="X95" s="3"/>
      <c r="Y95" s="3"/>
      <c r="Z95" s="3"/>
      <c r="AA95" s="3"/>
      <c r="AB95" s="3">
        <v>26</v>
      </c>
      <c r="AC95" s="3">
        <v>1</v>
      </c>
      <c r="AD95" s="6" t="s">
        <v>47</v>
      </c>
      <c r="AE95" s="3" t="s">
        <v>56</v>
      </c>
      <c r="AF95" s="6" t="s">
        <v>47</v>
      </c>
      <c r="AG95" s="6" t="s">
        <v>47</v>
      </c>
      <c r="AH95" s="6" t="s">
        <v>47</v>
      </c>
      <c r="AI95" s="3"/>
      <c r="AJ95" s="3"/>
      <c r="AK95" s="3"/>
      <c r="AL95" s="7">
        <f>IF(A95="","",IF(COUNTIF(A95:A$2001,A95)=1,1,0))</f>
        <v>1</v>
      </c>
      <c r="AM95" s="7">
        <f t="shared" ca="1" si="3"/>
        <v>70</v>
      </c>
      <c r="AN95" s="7">
        <f t="shared" si="4"/>
        <v>1</v>
      </c>
      <c r="AO95" s="7">
        <f t="shared" si="5"/>
        <v>1</v>
      </c>
      <c r="AP95" s="15" t="s">
        <v>339</v>
      </c>
    </row>
    <row r="96" spans="1:42" ht="15" customHeight="1">
      <c r="A96" s="3">
        <v>202660001026</v>
      </c>
      <c r="B96" s="3">
        <v>1231123</v>
      </c>
      <c r="C96" s="3" t="s">
        <v>276</v>
      </c>
      <c r="D96" s="3">
        <v>32</v>
      </c>
      <c r="E96" s="3" t="s">
        <v>73</v>
      </c>
      <c r="F96" s="3"/>
      <c r="G96" s="3"/>
      <c r="H96" s="4">
        <v>46204</v>
      </c>
      <c r="I96" s="5">
        <v>46220</v>
      </c>
      <c r="J96" s="4">
        <v>46224</v>
      </c>
      <c r="K96" s="4">
        <v>46224</v>
      </c>
      <c r="L96" s="3"/>
      <c r="M96" s="3"/>
      <c r="N96" s="3"/>
      <c r="O96" s="3" t="s">
        <v>81</v>
      </c>
      <c r="P96" s="6" t="s">
        <v>59</v>
      </c>
      <c r="Q96" s="3"/>
      <c r="R96" s="3"/>
      <c r="S96" s="3"/>
      <c r="T96" s="3"/>
      <c r="U96" s="6" t="s">
        <v>67</v>
      </c>
      <c r="V96" s="3"/>
      <c r="W96" s="3"/>
      <c r="X96" s="3"/>
      <c r="Y96" s="3"/>
      <c r="Z96" s="3"/>
      <c r="AA96" s="3"/>
      <c r="AB96" s="3">
        <v>22</v>
      </c>
      <c r="AC96" s="3">
        <v>1</v>
      </c>
      <c r="AD96" s="6" t="s">
        <v>47</v>
      </c>
      <c r="AE96" s="3" t="s">
        <v>48</v>
      </c>
      <c r="AF96" s="3"/>
      <c r="AG96" s="6" t="s">
        <v>47</v>
      </c>
      <c r="AH96" s="3"/>
      <c r="AI96" s="3"/>
      <c r="AJ96" s="3"/>
      <c r="AK96" s="3"/>
      <c r="AL96" s="7">
        <f>IF(A96="","",IF(COUNTIF(A96:A$2001,A96)=1,1,0))</f>
        <v>1</v>
      </c>
      <c r="AM96" s="7">
        <f t="shared" ca="1" si="3"/>
        <v>77</v>
      </c>
      <c r="AN96" s="7">
        <f t="shared" si="4"/>
        <v>1</v>
      </c>
      <c r="AO96" s="7">
        <f t="shared" si="5"/>
        <v>1</v>
      </c>
      <c r="AP96" s="15" t="s">
        <v>339</v>
      </c>
    </row>
    <row r="97" spans="1:42" ht="15" customHeight="1">
      <c r="A97" s="3">
        <v>202660001028</v>
      </c>
      <c r="B97" s="3">
        <v>1216089</v>
      </c>
      <c r="C97" s="3" t="s">
        <v>277</v>
      </c>
      <c r="D97" s="3">
        <v>36</v>
      </c>
      <c r="E97" s="3" t="s">
        <v>264</v>
      </c>
      <c r="F97" s="3"/>
      <c r="G97" s="3"/>
      <c r="H97" s="4">
        <v>46023</v>
      </c>
      <c r="I97" s="5">
        <v>46220</v>
      </c>
      <c r="J97" s="4">
        <v>46262</v>
      </c>
      <c r="K97" s="4">
        <v>46262</v>
      </c>
      <c r="L97" s="4">
        <v>46289</v>
      </c>
      <c r="M97" s="4">
        <v>46289</v>
      </c>
      <c r="N97" s="3"/>
      <c r="O97" s="3" t="s">
        <v>265</v>
      </c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>
        <v>25</v>
      </c>
      <c r="AC97" s="3">
        <v>1</v>
      </c>
      <c r="AD97" s="6" t="s">
        <v>47</v>
      </c>
      <c r="AE97" s="3" t="s">
        <v>53</v>
      </c>
      <c r="AF97" s="3"/>
      <c r="AG97" s="3"/>
      <c r="AH97" s="6" t="s">
        <v>47</v>
      </c>
      <c r="AI97" s="3"/>
      <c r="AJ97" s="3"/>
      <c r="AK97" s="3"/>
      <c r="AL97" s="7">
        <f>IF(A97="","",IF(COUNTIF(A97:A$2001,A97)=1,1,0))</f>
        <v>1</v>
      </c>
      <c r="AM97" s="7">
        <f t="shared" ca="1" si="3"/>
        <v>77</v>
      </c>
      <c r="AN97" s="7">
        <f t="shared" si="4"/>
        <v>0</v>
      </c>
      <c r="AO97" s="7">
        <f t="shared" si="5"/>
        <v>0</v>
      </c>
      <c r="AP97" s="15"/>
    </row>
    <row r="98" spans="1:42" ht="15" customHeight="1">
      <c r="A98" s="3">
        <v>202660001033</v>
      </c>
      <c r="B98" s="3">
        <v>1206008</v>
      </c>
      <c r="C98" s="3" t="s">
        <v>278</v>
      </c>
      <c r="D98" s="3">
        <v>32</v>
      </c>
      <c r="E98" s="3" t="s">
        <v>73</v>
      </c>
      <c r="F98" s="3">
        <v>20</v>
      </c>
      <c r="G98" s="3" t="s">
        <v>50</v>
      </c>
      <c r="H98" s="4">
        <v>46237</v>
      </c>
      <c r="I98" s="5">
        <v>46247</v>
      </c>
      <c r="J98" s="4">
        <v>46279</v>
      </c>
      <c r="K98" s="4">
        <v>46279</v>
      </c>
      <c r="L98" s="3"/>
      <c r="M98" s="3"/>
      <c r="N98" s="3"/>
      <c r="O98" s="3" t="s">
        <v>74</v>
      </c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>
        <v>21</v>
      </c>
      <c r="AC98" s="3">
        <v>1</v>
      </c>
      <c r="AD98" s="6" t="s">
        <v>47</v>
      </c>
      <c r="AE98" s="3" t="s">
        <v>54</v>
      </c>
      <c r="AF98" s="6" t="s">
        <v>47</v>
      </c>
      <c r="AG98" s="6" t="s">
        <v>47</v>
      </c>
      <c r="AH98" s="6" t="s">
        <v>47</v>
      </c>
      <c r="AI98" s="3"/>
      <c r="AJ98" s="3"/>
      <c r="AK98" s="3"/>
      <c r="AL98" s="7">
        <f>IF(A98="","",IF(COUNTIF(A98:A$2001,A98)=1,1,0))</f>
        <v>1</v>
      </c>
      <c r="AM98" s="7">
        <f t="shared" ca="1" si="3"/>
        <v>50</v>
      </c>
      <c r="AN98" s="7">
        <f t="shared" si="4"/>
        <v>1</v>
      </c>
      <c r="AO98" s="7">
        <f t="shared" si="5"/>
        <v>1</v>
      </c>
      <c r="AP98" s="15"/>
    </row>
    <row r="99" spans="1:42" ht="15" customHeight="1">
      <c r="A99" s="3">
        <v>202660001034</v>
      </c>
      <c r="B99" s="3">
        <v>1151265</v>
      </c>
      <c r="C99" s="3" t="s">
        <v>279</v>
      </c>
      <c r="D99" s="3">
        <v>34</v>
      </c>
      <c r="E99" s="3" t="s">
        <v>273</v>
      </c>
      <c r="F99" s="3">
        <v>20</v>
      </c>
      <c r="G99" s="3" t="s">
        <v>50</v>
      </c>
      <c r="H99" s="4">
        <v>46214</v>
      </c>
      <c r="I99" s="5">
        <v>46237</v>
      </c>
      <c r="J99" s="4">
        <v>46280</v>
      </c>
      <c r="K99" s="4">
        <v>46280</v>
      </c>
      <c r="L99" s="3"/>
      <c r="M99" s="3"/>
      <c r="N99" s="3"/>
      <c r="O99" s="3" t="s">
        <v>274</v>
      </c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>
        <v>21</v>
      </c>
      <c r="AC99" s="3">
        <v>1</v>
      </c>
      <c r="AD99" s="6" t="s">
        <v>47</v>
      </c>
      <c r="AE99" s="3" t="s">
        <v>54</v>
      </c>
      <c r="AF99" s="6" t="s">
        <v>47</v>
      </c>
      <c r="AG99" s="6" t="s">
        <v>47</v>
      </c>
      <c r="AH99" s="6" t="s">
        <v>47</v>
      </c>
      <c r="AI99" s="3"/>
      <c r="AJ99" s="3"/>
      <c r="AK99" s="3"/>
      <c r="AL99" s="7">
        <f>IF(A99="","",IF(COUNTIF(A99:A$2001,A99)=1,1,0))</f>
        <v>1</v>
      </c>
      <c r="AM99" s="7">
        <f t="shared" ca="1" si="3"/>
        <v>60</v>
      </c>
      <c r="AN99" s="7">
        <f t="shared" si="4"/>
        <v>1</v>
      </c>
      <c r="AO99" s="7">
        <f t="shared" si="5"/>
        <v>1</v>
      </c>
      <c r="AP99" s="15"/>
    </row>
    <row r="100" spans="1:42" ht="15" customHeight="1">
      <c r="A100" s="3">
        <v>202660001060</v>
      </c>
      <c r="B100" s="3">
        <v>1131326</v>
      </c>
      <c r="C100" s="3" t="s">
        <v>280</v>
      </c>
      <c r="D100" s="3">
        <v>40</v>
      </c>
      <c r="E100" s="3" t="s">
        <v>248</v>
      </c>
      <c r="F100" s="3">
        <v>20</v>
      </c>
      <c r="G100" s="3" t="s">
        <v>50</v>
      </c>
      <c r="H100" s="4">
        <v>46211</v>
      </c>
      <c r="I100" s="5">
        <v>46227</v>
      </c>
      <c r="J100" s="4">
        <v>46262</v>
      </c>
      <c r="K100" s="4">
        <v>46262</v>
      </c>
      <c r="L100" s="3"/>
      <c r="M100" s="3"/>
      <c r="N100" s="3"/>
      <c r="O100" s="3" t="s">
        <v>66</v>
      </c>
      <c r="P100" s="6" t="s">
        <v>59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>
        <v>21</v>
      </c>
      <c r="AC100" s="3">
        <v>1</v>
      </c>
      <c r="AD100" s="6" t="s">
        <v>47</v>
      </c>
      <c r="AE100" s="3" t="s">
        <v>54</v>
      </c>
      <c r="AF100" s="6" t="s">
        <v>47</v>
      </c>
      <c r="AG100" s="6" t="s">
        <v>47</v>
      </c>
      <c r="AH100" s="6" t="s">
        <v>47</v>
      </c>
      <c r="AI100" s="3"/>
      <c r="AJ100" s="3"/>
      <c r="AK100" s="3"/>
      <c r="AL100" s="7">
        <f>IF(A100="","",IF(COUNTIF(A100:A$2001,A100)=1,1,0))</f>
        <v>1</v>
      </c>
      <c r="AM100" s="7">
        <f t="shared" ca="1" si="3"/>
        <v>70</v>
      </c>
      <c r="AN100" s="7">
        <f t="shared" si="4"/>
        <v>1</v>
      </c>
      <c r="AO100" s="7">
        <f t="shared" si="5"/>
        <v>1</v>
      </c>
      <c r="AP100" s="15" t="s">
        <v>336</v>
      </c>
    </row>
    <row r="101" spans="1:42" ht="15" customHeight="1">
      <c r="A101" s="3">
        <v>202660001066</v>
      </c>
      <c r="B101" s="3">
        <v>920135</v>
      </c>
      <c r="C101" s="3" t="s">
        <v>281</v>
      </c>
      <c r="D101" s="3">
        <v>40</v>
      </c>
      <c r="E101" s="3" t="s">
        <v>248</v>
      </c>
      <c r="F101" s="3">
        <v>20</v>
      </c>
      <c r="G101" s="3" t="s">
        <v>50</v>
      </c>
      <c r="H101" s="4">
        <v>46204</v>
      </c>
      <c r="I101" s="5">
        <v>46232</v>
      </c>
      <c r="J101" s="4">
        <v>46255</v>
      </c>
      <c r="K101" s="4">
        <v>46255</v>
      </c>
      <c r="L101" s="3"/>
      <c r="M101" s="3"/>
      <c r="N101" s="3"/>
      <c r="O101" s="3" t="s">
        <v>66</v>
      </c>
      <c r="P101" s="6" t="s">
        <v>59</v>
      </c>
      <c r="Q101" s="3"/>
      <c r="R101" s="3"/>
      <c r="S101" s="3"/>
      <c r="T101" s="3"/>
      <c r="U101" s="6" t="s">
        <v>67</v>
      </c>
      <c r="V101" s="3"/>
      <c r="W101" s="3"/>
      <c r="X101" s="3"/>
      <c r="Y101" s="3"/>
      <c r="Z101" s="3"/>
      <c r="AA101" s="3"/>
      <c r="AB101" s="3">
        <v>51</v>
      </c>
      <c r="AC101" s="3">
        <v>0</v>
      </c>
      <c r="AD101" s="6" t="s">
        <v>44</v>
      </c>
      <c r="AE101" s="3" t="s">
        <v>71</v>
      </c>
      <c r="AF101" s="6" t="s">
        <v>44</v>
      </c>
      <c r="AG101" s="6" t="s">
        <v>44</v>
      </c>
      <c r="AH101" s="6" t="s">
        <v>44</v>
      </c>
      <c r="AI101" s="3"/>
      <c r="AJ101" s="3"/>
      <c r="AK101" s="3"/>
      <c r="AL101" s="7">
        <f>IF(A101="","",IF(COUNTIF(A101:A$2001,A101)=1,1,0))</f>
        <v>1</v>
      </c>
      <c r="AM101" s="7">
        <f t="shared" ca="1" si="3"/>
        <v>65</v>
      </c>
      <c r="AN101" s="7">
        <f t="shared" si="4"/>
        <v>1</v>
      </c>
      <c r="AO101" s="7">
        <f t="shared" si="5"/>
        <v>1</v>
      </c>
      <c r="AP101" s="15" t="s">
        <v>339</v>
      </c>
    </row>
    <row r="102" spans="1:42" ht="15" customHeight="1">
      <c r="A102" s="3">
        <v>202660001070</v>
      </c>
      <c r="B102" s="3">
        <v>1216008</v>
      </c>
      <c r="C102" s="3" t="s">
        <v>189</v>
      </c>
      <c r="D102" s="3">
        <v>32</v>
      </c>
      <c r="E102" s="3" t="s">
        <v>73</v>
      </c>
      <c r="F102" s="3">
        <v>20</v>
      </c>
      <c r="G102" s="3" t="s">
        <v>50</v>
      </c>
      <c r="H102" s="4">
        <v>46186</v>
      </c>
      <c r="I102" s="5">
        <v>46231</v>
      </c>
      <c r="J102" s="4">
        <v>46233</v>
      </c>
      <c r="K102" s="4">
        <v>46233</v>
      </c>
      <c r="L102" s="3"/>
      <c r="M102" s="3"/>
      <c r="N102" s="3"/>
      <c r="O102" s="3" t="s">
        <v>69</v>
      </c>
      <c r="P102" s="6" t="s">
        <v>59</v>
      </c>
      <c r="Q102" s="3"/>
      <c r="R102" s="3"/>
      <c r="S102" s="3"/>
      <c r="T102" s="3"/>
      <c r="U102" s="6" t="s">
        <v>67</v>
      </c>
      <c r="V102" s="3"/>
      <c r="W102" s="3"/>
      <c r="X102" s="3"/>
      <c r="Y102" s="3"/>
      <c r="Z102" s="3"/>
      <c r="AA102" s="3"/>
      <c r="AB102" s="3">
        <v>31</v>
      </c>
      <c r="AC102" s="3">
        <v>1</v>
      </c>
      <c r="AD102" s="6" t="s">
        <v>47</v>
      </c>
      <c r="AE102" s="3" t="s">
        <v>88</v>
      </c>
      <c r="AF102" s="6" t="s">
        <v>47</v>
      </c>
      <c r="AG102" s="6" t="s">
        <v>47</v>
      </c>
      <c r="AH102" s="6" t="s">
        <v>47</v>
      </c>
      <c r="AI102" s="3"/>
      <c r="AJ102" s="3"/>
      <c r="AK102" s="3"/>
      <c r="AL102" s="7">
        <f>IF(A102="","",IF(COUNTIF(A102:A$2001,A102)=1,1,0))</f>
        <v>1</v>
      </c>
      <c r="AM102" s="7">
        <f t="shared" ca="1" si="3"/>
        <v>66</v>
      </c>
      <c r="AN102" s="7">
        <f t="shared" si="4"/>
        <v>1</v>
      </c>
      <c r="AO102" s="7">
        <f t="shared" si="5"/>
        <v>1</v>
      </c>
      <c r="AP102" s="15" t="s">
        <v>339</v>
      </c>
    </row>
    <row r="103" spans="1:42" ht="15" customHeight="1">
      <c r="A103" s="3">
        <v>202660001080</v>
      </c>
      <c r="B103" s="3">
        <v>1186098</v>
      </c>
      <c r="C103" s="3" t="s">
        <v>282</v>
      </c>
      <c r="D103" s="3">
        <v>20</v>
      </c>
      <c r="E103" s="3" t="s">
        <v>68</v>
      </c>
      <c r="F103" s="3">
        <v>20</v>
      </c>
      <c r="G103" s="3" t="s">
        <v>50</v>
      </c>
      <c r="H103" s="4">
        <v>46204</v>
      </c>
      <c r="I103" s="5">
        <v>46232</v>
      </c>
      <c r="J103" s="4">
        <v>46253</v>
      </c>
      <c r="K103" s="4">
        <v>46253</v>
      </c>
      <c r="L103" s="3"/>
      <c r="M103" s="3"/>
      <c r="N103" s="3"/>
      <c r="O103" s="3" t="s">
        <v>85</v>
      </c>
      <c r="P103" s="6" t="s">
        <v>59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>
        <v>22</v>
      </c>
      <c r="AC103" s="3">
        <v>1</v>
      </c>
      <c r="AD103" s="6" t="s">
        <v>47</v>
      </c>
      <c r="AE103" s="3" t="s">
        <v>48</v>
      </c>
      <c r="AF103" s="6" t="s">
        <v>47</v>
      </c>
      <c r="AG103" s="6" t="s">
        <v>47</v>
      </c>
      <c r="AH103" s="3"/>
      <c r="AI103" s="3"/>
      <c r="AJ103" s="3"/>
      <c r="AK103" s="3"/>
      <c r="AL103" s="7">
        <f>IF(A103="","",IF(COUNTIF(A103:A$2001,A103)=1,1,0))</f>
        <v>1</v>
      </c>
      <c r="AM103" s="7">
        <f t="shared" ca="1" si="3"/>
        <v>65</v>
      </c>
      <c r="AN103" s="7">
        <f t="shared" si="4"/>
        <v>1</v>
      </c>
      <c r="AO103" s="7">
        <f t="shared" si="5"/>
        <v>1</v>
      </c>
      <c r="AP103" s="15" t="s">
        <v>336</v>
      </c>
    </row>
    <row r="104" spans="1:42" ht="15" customHeight="1">
      <c r="A104" s="3">
        <v>202660001083</v>
      </c>
      <c r="B104" s="3">
        <v>5047894</v>
      </c>
      <c r="C104" s="3" t="s">
        <v>283</v>
      </c>
      <c r="D104" s="3">
        <v>31</v>
      </c>
      <c r="E104" s="3" t="s">
        <v>42</v>
      </c>
      <c r="F104" s="3">
        <v>20</v>
      </c>
      <c r="G104" s="3" t="s">
        <v>50</v>
      </c>
      <c r="H104" s="4">
        <v>46232</v>
      </c>
      <c r="I104" s="5">
        <v>46232</v>
      </c>
      <c r="J104" s="4">
        <v>46289</v>
      </c>
      <c r="K104" s="4">
        <v>46289</v>
      </c>
      <c r="L104" s="3"/>
      <c r="M104" s="3"/>
      <c r="N104" s="3"/>
      <c r="O104" s="3" t="s">
        <v>55</v>
      </c>
      <c r="P104" s="3"/>
      <c r="Q104" s="3"/>
      <c r="R104" s="3"/>
      <c r="S104" s="3"/>
      <c r="T104" s="3"/>
      <c r="U104" s="3" t="s">
        <v>67</v>
      </c>
      <c r="V104" s="3"/>
      <c r="W104" s="3"/>
      <c r="X104" s="3"/>
      <c r="Y104" s="3"/>
      <c r="Z104" s="3"/>
      <c r="AA104" s="3"/>
      <c r="AB104" s="3">
        <v>26</v>
      </c>
      <c r="AC104" s="3">
        <v>1</v>
      </c>
      <c r="AD104" s="6" t="s">
        <v>47</v>
      </c>
      <c r="AE104" s="3" t="s">
        <v>56</v>
      </c>
      <c r="AF104" s="6" t="s">
        <v>47</v>
      </c>
      <c r="AG104" s="6" t="s">
        <v>47</v>
      </c>
      <c r="AH104" s="6" t="s">
        <v>47</v>
      </c>
      <c r="AI104" s="3"/>
      <c r="AJ104" s="3"/>
      <c r="AK104" s="3"/>
      <c r="AL104" s="7">
        <f>IF(A104="","",IF(COUNTIF(A104:A$2001,A104)=1,1,0))</f>
        <v>1</v>
      </c>
      <c r="AM104" s="7">
        <f t="shared" ca="1" si="3"/>
        <v>65</v>
      </c>
      <c r="AN104" s="7">
        <f t="shared" si="4"/>
        <v>1</v>
      </c>
      <c r="AO104" s="7">
        <f t="shared" si="5"/>
        <v>1</v>
      </c>
      <c r="AP104" s="15" t="s">
        <v>341</v>
      </c>
    </row>
    <row r="105" spans="1:42" ht="15" customHeight="1">
      <c r="A105" s="3">
        <v>202660001086</v>
      </c>
      <c r="B105" s="3">
        <v>830457</v>
      </c>
      <c r="C105" s="3" t="s">
        <v>284</v>
      </c>
      <c r="D105" s="3">
        <v>40</v>
      </c>
      <c r="E105" s="3" t="s">
        <v>248</v>
      </c>
      <c r="F105" s="3">
        <v>20</v>
      </c>
      <c r="G105" s="3" t="s">
        <v>50</v>
      </c>
      <c r="H105" s="4">
        <v>46108</v>
      </c>
      <c r="I105" s="5">
        <v>46235</v>
      </c>
      <c r="J105" s="4">
        <v>46238</v>
      </c>
      <c r="K105" s="4">
        <v>46241</v>
      </c>
      <c r="L105" s="3"/>
      <c r="M105" s="3"/>
      <c r="N105" s="3"/>
      <c r="O105" s="3" t="s">
        <v>61</v>
      </c>
      <c r="P105" s="3"/>
      <c r="Q105" s="3"/>
      <c r="R105" s="3"/>
      <c r="S105" s="3"/>
      <c r="T105" s="3"/>
      <c r="U105" s="3"/>
      <c r="V105" s="3"/>
      <c r="W105" s="6" t="s">
        <v>62</v>
      </c>
      <c r="X105" s="3"/>
      <c r="Y105" s="3"/>
      <c r="Z105" s="3"/>
      <c r="AA105" s="3"/>
      <c r="AB105" s="3">
        <v>51</v>
      </c>
      <c r="AC105" s="3">
        <v>0</v>
      </c>
      <c r="AD105" s="6" t="s">
        <v>44</v>
      </c>
      <c r="AE105" s="3" t="s">
        <v>71</v>
      </c>
      <c r="AF105" s="6" t="s">
        <v>44</v>
      </c>
      <c r="AG105" s="6" t="s">
        <v>44</v>
      </c>
      <c r="AH105" s="6" t="s">
        <v>44</v>
      </c>
      <c r="AI105" s="3"/>
      <c r="AJ105" s="3"/>
      <c r="AK105" s="3"/>
      <c r="AL105" s="7">
        <f>IF(A105="","",IF(COUNTIF(A105:A$2001,A105)=1,1,0))</f>
        <v>1</v>
      </c>
      <c r="AM105" s="7">
        <f t="shared" ca="1" si="3"/>
        <v>62</v>
      </c>
      <c r="AN105" s="7">
        <f t="shared" si="4"/>
        <v>1</v>
      </c>
      <c r="AO105" s="7">
        <f t="shared" si="5"/>
        <v>1</v>
      </c>
      <c r="AP105" s="15" t="s">
        <v>337</v>
      </c>
    </row>
    <row r="106" spans="1:42" ht="15" customHeight="1">
      <c r="A106" s="3">
        <v>202660001090</v>
      </c>
      <c r="B106" s="3">
        <v>1016076</v>
      </c>
      <c r="C106" s="3" t="s">
        <v>190</v>
      </c>
      <c r="D106" s="3">
        <v>20</v>
      </c>
      <c r="E106" s="3" t="s">
        <v>68</v>
      </c>
      <c r="F106" s="3">
        <v>20</v>
      </c>
      <c r="G106" s="3" t="s">
        <v>50</v>
      </c>
      <c r="H106" s="4">
        <v>46228</v>
      </c>
      <c r="I106" s="5">
        <v>46234</v>
      </c>
      <c r="J106" s="4">
        <v>46267</v>
      </c>
      <c r="K106" s="4">
        <v>46267</v>
      </c>
      <c r="L106" s="3"/>
      <c r="M106" s="3"/>
      <c r="N106" s="3"/>
      <c r="O106" s="3" t="s">
        <v>85</v>
      </c>
      <c r="P106" s="6" t="s">
        <v>59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>
        <v>22</v>
      </c>
      <c r="AC106" s="3">
        <v>1</v>
      </c>
      <c r="AD106" s="6" t="s">
        <v>47</v>
      </c>
      <c r="AE106" s="3" t="s">
        <v>48</v>
      </c>
      <c r="AF106" s="6" t="s">
        <v>47</v>
      </c>
      <c r="AG106" s="6" t="s">
        <v>47</v>
      </c>
      <c r="AH106" s="3"/>
      <c r="AI106" s="3"/>
      <c r="AJ106" s="3"/>
      <c r="AK106" s="3"/>
      <c r="AL106" s="7">
        <f>IF(A106="","",IF(COUNTIF(A106:A$2001,A106)=1,1,0))</f>
        <v>1</v>
      </c>
      <c r="AM106" s="7">
        <f t="shared" ca="1" si="3"/>
        <v>63</v>
      </c>
      <c r="AN106" s="7">
        <f t="shared" si="4"/>
        <v>1</v>
      </c>
      <c r="AO106" s="7">
        <f t="shared" si="5"/>
        <v>1</v>
      </c>
      <c r="AP106" s="15" t="s">
        <v>336</v>
      </c>
    </row>
    <row r="107" spans="1:42" ht="15" customHeight="1">
      <c r="A107" s="3">
        <v>202660001097</v>
      </c>
      <c r="B107" s="3">
        <v>1042009</v>
      </c>
      <c r="C107" s="3" t="s">
        <v>285</v>
      </c>
      <c r="D107" s="3">
        <v>34</v>
      </c>
      <c r="E107" s="3" t="s">
        <v>273</v>
      </c>
      <c r="F107" s="3">
        <v>20</v>
      </c>
      <c r="G107" s="3" t="s">
        <v>50</v>
      </c>
      <c r="H107" s="4">
        <v>46205</v>
      </c>
      <c r="I107" s="5">
        <v>46234</v>
      </c>
      <c r="J107" s="4">
        <v>46280</v>
      </c>
      <c r="K107" s="4">
        <v>46280</v>
      </c>
      <c r="L107" s="3"/>
      <c r="M107" s="3"/>
      <c r="N107" s="3"/>
      <c r="O107" s="3" t="s">
        <v>274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>
        <v>47</v>
      </c>
      <c r="AC107" s="3">
        <v>0</v>
      </c>
      <c r="AD107" s="6" t="s">
        <v>44</v>
      </c>
      <c r="AE107" s="3" t="s">
        <v>45</v>
      </c>
      <c r="AF107" s="6" t="s">
        <v>44</v>
      </c>
      <c r="AG107" s="6" t="s">
        <v>44</v>
      </c>
      <c r="AH107" s="3"/>
      <c r="AI107" s="3"/>
      <c r="AJ107" s="3"/>
      <c r="AK107" s="3"/>
      <c r="AL107" s="7">
        <f>IF(A107="","",IF(COUNTIF(A107:A$2001,A107)=1,1,0))</f>
        <v>1</v>
      </c>
      <c r="AM107" s="7">
        <f t="shared" ca="1" si="3"/>
        <v>63</v>
      </c>
      <c r="AN107" s="7">
        <f t="shared" si="4"/>
        <v>1</v>
      </c>
      <c r="AO107" s="7">
        <f t="shared" si="5"/>
        <v>1</v>
      </c>
      <c r="AP107" s="15"/>
    </row>
    <row r="108" spans="1:42" ht="15" customHeight="1">
      <c r="A108" s="3">
        <v>202660001108</v>
      </c>
      <c r="B108" s="3">
        <v>860583</v>
      </c>
      <c r="C108" s="3" t="s">
        <v>191</v>
      </c>
      <c r="D108" s="3">
        <v>32</v>
      </c>
      <c r="E108" s="3" t="s">
        <v>73</v>
      </c>
      <c r="F108" s="3"/>
      <c r="G108" s="3"/>
      <c r="H108" s="4">
        <v>46204</v>
      </c>
      <c r="I108" s="5">
        <v>46261</v>
      </c>
      <c r="J108" s="4">
        <v>46265</v>
      </c>
      <c r="K108" s="4">
        <v>46279</v>
      </c>
      <c r="L108" s="3"/>
      <c r="M108" s="3"/>
      <c r="N108" s="3"/>
      <c r="O108" s="3" t="s">
        <v>74</v>
      </c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>
        <v>47</v>
      </c>
      <c r="AC108" s="3">
        <v>0</v>
      </c>
      <c r="AD108" s="6" t="s">
        <v>44</v>
      </c>
      <c r="AE108" s="3" t="s">
        <v>45</v>
      </c>
      <c r="AF108" s="3"/>
      <c r="AG108" s="3"/>
      <c r="AH108" s="6" t="s">
        <v>44</v>
      </c>
      <c r="AI108" s="3"/>
      <c r="AJ108" s="3"/>
      <c r="AK108" s="3"/>
      <c r="AL108" s="7">
        <f>IF(A108="","",IF(COUNTIF(A108:A$2001,A108)=1,1,0))</f>
        <v>1</v>
      </c>
      <c r="AM108" s="7">
        <f t="shared" ca="1" si="3"/>
        <v>36</v>
      </c>
      <c r="AN108" s="7">
        <f t="shared" si="4"/>
        <v>1</v>
      </c>
      <c r="AO108" s="7">
        <f t="shared" si="5"/>
        <v>0</v>
      </c>
      <c r="AP108" s="15"/>
    </row>
    <row r="109" spans="1:42" ht="15" customHeight="1">
      <c r="A109" s="3">
        <v>202660001115</v>
      </c>
      <c r="B109" s="3">
        <v>1161171</v>
      </c>
      <c r="C109" s="3" t="s">
        <v>286</v>
      </c>
      <c r="D109" s="3">
        <v>32</v>
      </c>
      <c r="E109" s="3" t="s">
        <v>73</v>
      </c>
      <c r="F109" s="3">
        <v>20</v>
      </c>
      <c r="G109" s="3" t="s">
        <v>50</v>
      </c>
      <c r="H109" s="4">
        <v>46226</v>
      </c>
      <c r="I109" s="5">
        <v>46230</v>
      </c>
      <c r="J109" s="4">
        <v>46279</v>
      </c>
      <c r="K109" s="4">
        <v>46279</v>
      </c>
      <c r="L109" s="3"/>
      <c r="M109" s="3"/>
      <c r="N109" s="3"/>
      <c r="O109" s="3" t="s">
        <v>74</v>
      </c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>
        <v>21</v>
      </c>
      <c r="AC109" s="3">
        <v>1</v>
      </c>
      <c r="AD109" s="6" t="s">
        <v>47</v>
      </c>
      <c r="AE109" s="3" t="s">
        <v>54</v>
      </c>
      <c r="AF109" s="6" t="s">
        <v>47</v>
      </c>
      <c r="AG109" s="3"/>
      <c r="AH109" s="3"/>
      <c r="AI109" s="3"/>
      <c r="AJ109" s="3"/>
      <c r="AK109" s="3"/>
      <c r="AL109" s="7">
        <f>IF(A109="","",IF(COUNTIF(A109:A$2001,A109)=1,1,0))</f>
        <v>1</v>
      </c>
      <c r="AM109" s="7">
        <f t="shared" ca="1" si="3"/>
        <v>67</v>
      </c>
      <c r="AN109" s="7">
        <f t="shared" si="4"/>
        <v>1</v>
      </c>
      <c r="AO109" s="7">
        <f t="shared" si="5"/>
        <v>0</v>
      </c>
      <c r="AP109" s="15"/>
    </row>
    <row r="110" spans="1:42" ht="15" customHeight="1">
      <c r="A110" s="3">
        <v>202660001121</v>
      </c>
      <c r="B110" s="3">
        <v>1250002</v>
      </c>
      <c r="C110" s="3" t="s">
        <v>192</v>
      </c>
      <c r="D110" s="3">
        <v>30</v>
      </c>
      <c r="E110" s="3" t="s">
        <v>89</v>
      </c>
      <c r="F110" s="3"/>
      <c r="G110" s="3"/>
      <c r="H110" s="4">
        <v>45830</v>
      </c>
      <c r="I110" s="5">
        <v>46238</v>
      </c>
      <c r="J110" s="4">
        <v>46240</v>
      </c>
      <c r="K110" s="3"/>
      <c r="L110" s="3"/>
      <c r="M110" s="3"/>
      <c r="N110" s="3"/>
      <c r="O110" s="3" t="s">
        <v>90</v>
      </c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>
        <v>55</v>
      </c>
      <c r="AC110" s="3">
        <v>0</v>
      </c>
      <c r="AD110" s="6" t="s">
        <v>44</v>
      </c>
      <c r="AE110" s="3" t="s">
        <v>91</v>
      </c>
      <c r="AF110" s="6" t="s">
        <v>44</v>
      </c>
      <c r="AG110" s="6" t="s">
        <v>44</v>
      </c>
      <c r="AH110" s="6" t="s">
        <v>44</v>
      </c>
      <c r="AI110" s="3"/>
      <c r="AJ110" s="3"/>
      <c r="AK110" s="3"/>
      <c r="AL110" s="7">
        <f>IF(A110="","",IF(COUNTIF(A110:A$2001,A110)=1,1,0))</f>
        <v>1</v>
      </c>
      <c r="AM110" s="7">
        <f t="shared" ca="1" si="3"/>
        <v>59</v>
      </c>
      <c r="AN110" s="7">
        <f t="shared" si="4"/>
        <v>1</v>
      </c>
      <c r="AO110" s="7">
        <f t="shared" si="5"/>
        <v>1</v>
      </c>
      <c r="AP110" s="15"/>
    </row>
    <row r="111" spans="1:42" ht="15" customHeight="1">
      <c r="A111" s="3">
        <v>202660001125</v>
      </c>
      <c r="B111" s="3">
        <v>920490</v>
      </c>
      <c r="C111" s="3" t="s">
        <v>193</v>
      </c>
      <c r="D111" s="3">
        <v>32</v>
      </c>
      <c r="E111" s="3" t="s">
        <v>73</v>
      </c>
      <c r="F111" s="3"/>
      <c r="G111" s="3"/>
      <c r="H111" s="4">
        <v>45566</v>
      </c>
      <c r="I111" s="5">
        <v>46238</v>
      </c>
      <c r="J111" s="4">
        <v>46240</v>
      </c>
      <c r="K111" s="4">
        <v>46241</v>
      </c>
      <c r="L111" s="3"/>
      <c r="M111" s="3"/>
      <c r="N111" s="3"/>
      <c r="O111" s="3" t="s">
        <v>81</v>
      </c>
      <c r="P111" s="3"/>
      <c r="Q111" s="3"/>
      <c r="R111" s="3"/>
      <c r="S111" s="3"/>
      <c r="T111" s="3"/>
      <c r="U111" s="3"/>
      <c r="V111" s="3"/>
      <c r="W111" s="6" t="s">
        <v>62</v>
      </c>
      <c r="X111" s="3"/>
      <c r="Y111" s="3"/>
      <c r="Z111" s="3"/>
      <c r="AA111" s="3"/>
      <c r="AB111" s="3">
        <v>51</v>
      </c>
      <c r="AC111" s="3">
        <v>0</v>
      </c>
      <c r="AD111" s="6" t="s">
        <v>44</v>
      </c>
      <c r="AE111" s="3" t="s">
        <v>71</v>
      </c>
      <c r="AF111" s="3"/>
      <c r="AG111" s="6" t="s">
        <v>44</v>
      </c>
      <c r="AH111" s="3"/>
      <c r="AI111" s="3"/>
      <c r="AJ111" s="3"/>
      <c r="AK111" s="3"/>
      <c r="AL111" s="7">
        <f>IF(A111="","",IF(COUNTIF(A111:A$2001,A111)=1,1,0))</f>
        <v>1</v>
      </c>
      <c r="AM111" s="7">
        <f t="shared" ca="1" si="3"/>
        <v>59</v>
      </c>
      <c r="AN111" s="7">
        <f t="shared" si="4"/>
        <v>1</v>
      </c>
      <c r="AO111" s="7">
        <f t="shared" si="5"/>
        <v>1</v>
      </c>
      <c r="AP111" s="15" t="s">
        <v>337</v>
      </c>
    </row>
    <row r="112" spans="1:42" ht="15" customHeight="1">
      <c r="A112" s="3">
        <v>202660001131</v>
      </c>
      <c r="B112" s="3">
        <v>4965367</v>
      </c>
      <c r="C112" s="3" t="s">
        <v>194</v>
      </c>
      <c r="D112" s="3">
        <v>31</v>
      </c>
      <c r="E112" s="3" t="s">
        <v>42</v>
      </c>
      <c r="F112" s="3"/>
      <c r="G112" s="3"/>
      <c r="H112" s="4">
        <v>46221</v>
      </c>
      <c r="I112" s="5">
        <v>46239</v>
      </c>
      <c r="J112" s="4">
        <v>46240</v>
      </c>
      <c r="K112" s="4">
        <v>46241</v>
      </c>
      <c r="L112" s="3"/>
      <c r="M112" s="3"/>
      <c r="N112" s="3"/>
      <c r="O112" s="3" t="s">
        <v>55</v>
      </c>
      <c r="P112" s="3"/>
      <c r="Q112" s="3"/>
      <c r="R112" s="3"/>
      <c r="S112" s="6" t="s">
        <v>57</v>
      </c>
      <c r="T112" s="3"/>
      <c r="U112" s="3"/>
      <c r="V112" s="3"/>
      <c r="W112" s="3"/>
      <c r="X112" s="3"/>
      <c r="Y112" s="3"/>
      <c r="Z112" s="3"/>
      <c r="AA112" s="3"/>
      <c r="AB112" s="3">
        <v>22</v>
      </c>
      <c r="AC112" s="3">
        <v>1</v>
      </c>
      <c r="AD112" s="6" t="s">
        <v>47</v>
      </c>
      <c r="AE112" s="3" t="s">
        <v>48</v>
      </c>
      <c r="AF112" s="6" t="s">
        <v>47</v>
      </c>
      <c r="AG112" s="6" t="s">
        <v>47</v>
      </c>
      <c r="AH112" s="6" t="s">
        <v>47</v>
      </c>
      <c r="AI112" s="3"/>
      <c r="AJ112" s="3"/>
      <c r="AK112" s="3"/>
      <c r="AL112" s="7">
        <f>IF(A112="","",IF(COUNTIF(A112:A$2001,A112)=1,1,0))</f>
        <v>1</v>
      </c>
      <c r="AM112" s="7">
        <f t="shared" ca="1" si="3"/>
        <v>58</v>
      </c>
      <c r="AN112" s="7">
        <f t="shared" si="4"/>
        <v>1</v>
      </c>
      <c r="AO112" s="7">
        <f t="shared" si="5"/>
        <v>1</v>
      </c>
      <c r="AP112" s="15" t="s">
        <v>335</v>
      </c>
    </row>
    <row r="113" spans="1:42" ht="15" customHeight="1">
      <c r="A113" s="3">
        <v>202660001142</v>
      </c>
      <c r="B113" s="3">
        <v>1212515</v>
      </c>
      <c r="C113" s="3" t="s">
        <v>208</v>
      </c>
      <c r="D113" s="3">
        <v>34</v>
      </c>
      <c r="E113" s="3" t="s">
        <v>273</v>
      </c>
      <c r="F113" s="3">
        <v>20</v>
      </c>
      <c r="G113" s="3" t="s">
        <v>50</v>
      </c>
      <c r="H113" s="4">
        <v>46234</v>
      </c>
      <c r="I113" s="5">
        <v>46241</v>
      </c>
      <c r="J113" s="4">
        <v>46281</v>
      </c>
      <c r="K113" s="4">
        <v>46281</v>
      </c>
      <c r="L113" s="3"/>
      <c r="M113" s="3"/>
      <c r="N113" s="3"/>
      <c r="O113" s="3" t="s">
        <v>274</v>
      </c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>
        <v>21</v>
      </c>
      <c r="AC113" s="3">
        <v>1</v>
      </c>
      <c r="AD113" s="6" t="s">
        <v>47</v>
      </c>
      <c r="AE113" s="3" t="s">
        <v>54</v>
      </c>
      <c r="AF113" s="6" t="s">
        <v>47</v>
      </c>
      <c r="AG113" s="6" t="s">
        <v>47</v>
      </c>
      <c r="AH113" s="6" t="s">
        <v>47</v>
      </c>
      <c r="AI113" s="3"/>
      <c r="AJ113" s="3"/>
      <c r="AK113" s="3"/>
      <c r="AL113" s="7">
        <f>IF(A113="","",IF(COUNTIF(A113:A$2001,A113)=1,1,0))</f>
        <v>1</v>
      </c>
      <c r="AM113" s="7">
        <f t="shared" ca="1" si="3"/>
        <v>56</v>
      </c>
      <c r="AN113" s="7">
        <f t="shared" si="4"/>
        <v>1</v>
      </c>
      <c r="AO113" s="7">
        <f t="shared" si="5"/>
        <v>1</v>
      </c>
      <c r="AP113" s="15"/>
    </row>
    <row r="114" spans="1:42" ht="15" customHeight="1">
      <c r="A114" s="3">
        <v>202660001144</v>
      </c>
      <c r="B114" s="3">
        <v>1191418</v>
      </c>
      <c r="C114" s="3" t="s">
        <v>287</v>
      </c>
      <c r="D114" s="3">
        <v>34</v>
      </c>
      <c r="E114" s="3" t="s">
        <v>273</v>
      </c>
      <c r="F114" s="3">
        <v>20</v>
      </c>
      <c r="G114" s="3" t="s">
        <v>50</v>
      </c>
      <c r="H114" s="4">
        <v>46237</v>
      </c>
      <c r="I114" s="5">
        <v>46251</v>
      </c>
      <c r="J114" s="4">
        <v>46280</v>
      </c>
      <c r="K114" s="4">
        <v>46280</v>
      </c>
      <c r="L114" s="3"/>
      <c r="M114" s="3"/>
      <c r="N114" s="3"/>
      <c r="O114" s="3" t="s">
        <v>274</v>
      </c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>
        <v>21</v>
      </c>
      <c r="AC114" s="3">
        <v>1</v>
      </c>
      <c r="AD114" s="6" t="s">
        <v>47</v>
      </c>
      <c r="AE114" s="3" t="s">
        <v>54</v>
      </c>
      <c r="AF114" s="6" t="s">
        <v>47</v>
      </c>
      <c r="AG114" s="6" t="s">
        <v>47</v>
      </c>
      <c r="AH114" s="6" t="s">
        <v>47</v>
      </c>
      <c r="AI114" s="3"/>
      <c r="AJ114" s="3"/>
      <c r="AK114" s="3"/>
      <c r="AL114" s="7">
        <f>IF(A114="","",IF(COUNTIF(A114:A$2001,A114)=1,1,0))</f>
        <v>1</v>
      </c>
      <c r="AM114" s="7">
        <f t="shared" ca="1" si="3"/>
        <v>46</v>
      </c>
      <c r="AN114" s="7">
        <f t="shared" si="4"/>
        <v>1</v>
      </c>
      <c r="AO114" s="7">
        <f t="shared" si="5"/>
        <v>1</v>
      </c>
      <c r="AP114" s="15"/>
    </row>
    <row r="115" spans="1:42" ht="15" customHeight="1">
      <c r="A115" s="3">
        <v>202660001153</v>
      </c>
      <c r="B115" s="3">
        <v>1224076</v>
      </c>
      <c r="C115" s="3" t="s">
        <v>195</v>
      </c>
      <c r="D115" s="3">
        <v>20</v>
      </c>
      <c r="E115" s="3" t="s">
        <v>68</v>
      </c>
      <c r="F115" s="3"/>
      <c r="G115" s="3"/>
      <c r="H115" s="4">
        <v>46229</v>
      </c>
      <c r="I115" s="5">
        <v>46237</v>
      </c>
      <c r="J115" s="3"/>
      <c r="K115" s="3"/>
      <c r="L115" s="3"/>
      <c r="M115" s="3"/>
      <c r="N115" s="3"/>
      <c r="O115" s="3" t="s">
        <v>66</v>
      </c>
      <c r="P115" s="6" t="s">
        <v>59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>
        <v>21</v>
      </c>
      <c r="AC115" s="3">
        <v>1</v>
      </c>
      <c r="AD115" s="6" t="s">
        <v>47</v>
      </c>
      <c r="AE115" s="3" t="s">
        <v>54</v>
      </c>
      <c r="AF115" s="6" t="s">
        <v>47</v>
      </c>
      <c r="AG115" s="6" t="s">
        <v>47</v>
      </c>
      <c r="AH115" s="6" t="s">
        <v>47</v>
      </c>
      <c r="AI115" s="3"/>
      <c r="AJ115" s="3"/>
      <c r="AK115" s="3"/>
      <c r="AL115" s="7">
        <f>IF(A115="","",IF(COUNTIF(A115:A$2001,A115)=1,1,0))</f>
        <v>1</v>
      </c>
      <c r="AM115" s="7">
        <f t="shared" ca="1" si="3"/>
        <v>60</v>
      </c>
      <c r="AN115" s="7">
        <f t="shared" si="4"/>
        <v>1</v>
      </c>
      <c r="AO115" s="7">
        <f t="shared" si="5"/>
        <v>1</v>
      </c>
      <c r="AP115" s="15" t="s">
        <v>336</v>
      </c>
    </row>
    <row r="116" spans="1:42" ht="15" customHeight="1">
      <c r="A116" s="3">
        <v>202660001157</v>
      </c>
      <c r="B116" s="3">
        <v>1214007</v>
      </c>
      <c r="C116" s="3" t="s">
        <v>196</v>
      </c>
      <c r="D116" s="3">
        <v>40</v>
      </c>
      <c r="E116" s="3" t="s">
        <v>248</v>
      </c>
      <c r="F116" s="3">
        <v>20</v>
      </c>
      <c r="G116" s="3" t="s">
        <v>50</v>
      </c>
      <c r="H116" s="3"/>
      <c r="I116" s="5">
        <v>46246</v>
      </c>
      <c r="J116" s="4">
        <v>46248</v>
      </c>
      <c r="K116" s="4">
        <v>46248</v>
      </c>
      <c r="L116" s="3"/>
      <c r="M116" s="3"/>
      <c r="N116" s="3"/>
      <c r="O116" s="3" t="s">
        <v>66</v>
      </c>
      <c r="P116" s="6" t="s">
        <v>59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6" t="s">
        <v>44</v>
      </c>
      <c r="AE116" s="3"/>
      <c r="AF116" s="3"/>
      <c r="AG116" s="3"/>
      <c r="AH116" s="3"/>
      <c r="AI116" s="3"/>
      <c r="AJ116" s="6" t="s">
        <v>79</v>
      </c>
      <c r="AK116" s="3"/>
      <c r="AL116" s="7">
        <f>IF(A116="","",IF(COUNTIF(A116:A$2001,A116)=1,1,0))</f>
        <v>1</v>
      </c>
      <c r="AM116" s="7">
        <f t="shared" ca="1" si="3"/>
        <v>51</v>
      </c>
      <c r="AN116" s="7">
        <f t="shared" si="4"/>
        <v>1</v>
      </c>
      <c r="AO116" s="7">
        <f t="shared" si="5"/>
        <v>0</v>
      </c>
      <c r="AP116" s="15" t="s">
        <v>336</v>
      </c>
    </row>
    <row r="117" spans="1:42" ht="15" customHeight="1">
      <c r="A117" s="3">
        <v>202660001163</v>
      </c>
      <c r="B117" s="3">
        <v>971053</v>
      </c>
      <c r="C117" s="3" t="s">
        <v>288</v>
      </c>
      <c r="D117" s="3">
        <v>32</v>
      </c>
      <c r="E117" s="3" t="s">
        <v>73</v>
      </c>
      <c r="F117" s="3"/>
      <c r="G117" s="3"/>
      <c r="H117" s="4">
        <v>46244</v>
      </c>
      <c r="I117" s="5">
        <v>46246</v>
      </c>
      <c r="J117" s="4">
        <v>46248</v>
      </c>
      <c r="K117" s="4">
        <v>46248</v>
      </c>
      <c r="L117" s="3"/>
      <c r="M117" s="3"/>
      <c r="N117" s="3"/>
      <c r="O117" s="3" t="s">
        <v>81</v>
      </c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>
        <v>20</v>
      </c>
      <c r="AC117" s="3">
        <v>2</v>
      </c>
      <c r="AD117" s="6" t="s">
        <v>44</v>
      </c>
      <c r="AE117" s="3"/>
      <c r="AF117" s="3"/>
      <c r="AG117" s="3"/>
      <c r="AH117" s="3"/>
      <c r="AI117" s="3"/>
      <c r="AJ117" s="3"/>
      <c r="AK117" s="3"/>
      <c r="AL117" s="7">
        <f>IF(A117="","",IF(COUNTIF(A117:A$2001,A117)=1,1,0))</f>
        <v>1</v>
      </c>
      <c r="AM117" s="7">
        <f t="shared" ca="1" si="3"/>
        <v>51</v>
      </c>
      <c r="AN117" s="7">
        <f t="shared" si="4"/>
        <v>1</v>
      </c>
      <c r="AO117" s="7">
        <f t="shared" si="5"/>
        <v>0</v>
      </c>
      <c r="AP117" s="15"/>
    </row>
    <row r="118" spans="1:42" ht="15" customHeight="1">
      <c r="A118" s="3">
        <v>202660001164</v>
      </c>
      <c r="B118" s="3">
        <v>1032012</v>
      </c>
      <c r="C118" s="3" t="s">
        <v>197</v>
      </c>
      <c r="D118" s="3">
        <v>30</v>
      </c>
      <c r="E118" s="3" t="s">
        <v>89</v>
      </c>
      <c r="F118" s="3"/>
      <c r="G118" s="3"/>
      <c r="H118" s="4">
        <v>46143</v>
      </c>
      <c r="I118" s="5">
        <v>46246</v>
      </c>
      <c r="J118" s="4">
        <v>46248</v>
      </c>
      <c r="K118" s="3"/>
      <c r="L118" s="3"/>
      <c r="M118" s="3"/>
      <c r="N118" s="3"/>
      <c r="O118" s="3" t="s">
        <v>90</v>
      </c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>
        <v>49</v>
      </c>
      <c r="AC118" s="3">
        <v>0</v>
      </c>
      <c r="AD118" s="6" t="s">
        <v>44</v>
      </c>
      <c r="AE118" s="3" t="s">
        <v>82</v>
      </c>
      <c r="AF118" s="3"/>
      <c r="AG118" s="3"/>
      <c r="AH118" s="6" t="s">
        <v>44</v>
      </c>
      <c r="AI118" s="3"/>
      <c r="AJ118" s="3"/>
      <c r="AK118" s="3"/>
      <c r="AL118" s="7">
        <f>IF(A118="","",IF(COUNTIF(A118:A$2001,A118)=1,1,0))</f>
        <v>1</v>
      </c>
      <c r="AM118" s="7">
        <f t="shared" ca="1" si="3"/>
        <v>51</v>
      </c>
      <c r="AN118" s="7">
        <f t="shared" si="4"/>
        <v>1</v>
      </c>
      <c r="AO118" s="7">
        <f t="shared" si="5"/>
        <v>0</v>
      </c>
      <c r="AP118" s="15"/>
    </row>
    <row r="119" spans="1:42" ht="15" customHeight="1">
      <c r="A119" s="3">
        <v>202660001165</v>
      </c>
      <c r="B119" s="3">
        <v>972007</v>
      </c>
      <c r="C119" s="3" t="s">
        <v>198</v>
      </c>
      <c r="D119" s="3">
        <v>31</v>
      </c>
      <c r="E119" s="3" t="s">
        <v>42</v>
      </c>
      <c r="F119" s="3">
        <v>20</v>
      </c>
      <c r="G119" s="3" t="s">
        <v>50</v>
      </c>
      <c r="H119" s="4">
        <v>46204</v>
      </c>
      <c r="I119" s="5">
        <v>46246</v>
      </c>
      <c r="J119" s="4">
        <v>46282</v>
      </c>
      <c r="K119" s="4">
        <v>46282</v>
      </c>
      <c r="L119" s="3"/>
      <c r="M119" s="3"/>
      <c r="N119" s="3"/>
      <c r="O119" s="3" t="s">
        <v>55</v>
      </c>
      <c r="P119" s="3"/>
      <c r="Q119" s="3"/>
      <c r="R119" s="3"/>
      <c r="S119" s="3"/>
      <c r="T119" s="3"/>
      <c r="U119" s="6" t="s">
        <v>67</v>
      </c>
      <c r="V119" s="3"/>
      <c r="W119" s="3"/>
      <c r="X119" s="3"/>
      <c r="Y119" s="3"/>
      <c r="Z119" s="3"/>
      <c r="AA119" s="3"/>
      <c r="AB119" s="3">
        <v>26</v>
      </c>
      <c r="AC119" s="3">
        <v>1</v>
      </c>
      <c r="AD119" s="6" t="s">
        <v>47</v>
      </c>
      <c r="AE119" s="3" t="s">
        <v>56</v>
      </c>
      <c r="AF119" s="6" t="s">
        <v>47</v>
      </c>
      <c r="AG119" s="6" t="s">
        <v>47</v>
      </c>
      <c r="AH119" s="6" t="s">
        <v>47</v>
      </c>
      <c r="AI119" s="3"/>
      <c r="AJ119" s="3"/>
      <c r="AK119" s="3"/>
      <c r="AL119" s="7">
        <f>IF(A119="","",IF(COUNTIF(A119:A$2001,A119)=1,1,0))</f>
        <v>1</v>
      </c>
      <c r="AM119" s="7">
        <f t="shared" ca="1" si="3"/>
        <v>51</v>
      </c>
      <c r="AN119" s="7">
        <f t="shared" si="4"/>
        <v>1</v>
      </c>
      <c r="AO119" s="7">
        <f t="shared" si="5"/>
        <v>1</v>
      </c>
      <c r="AP119" s="15" t="s">
        <v>341</v>
      </c>
    </row>
    <row r="120" spans="1:42" ht="15" customHeight="1">
      <c r="A120" s="3">
        <v>202660001169</v>
      </c>
      <c r="B120" s="3">
        <v>1151503</v>
      </c>
      <c r="C120" s="3" t="s">
        <v>199</v>
      </c>
      <c r="D120" s="3">
        <v>30</v>
      </c>
      <c r="E120" s="3" t="s">
        <v>89</v>
      </c>
      <c r="F120" s="3"/>
      <c r="G120" s="3"/>
      <c r="H120" s="4">
        <v>46027</v>
      </c>
      <c r="I120" s="5">
        <v>46247</v>
      </c>
      <c r="J120" s="4">
        <v>46255</v>
      </c>
      <c r="K120" s="3"/>
      <c r="L120" s="3"/>
      <c r="M120" s="3"/>
      <c r="N120" s="3"/>
      <c r="O120" s="3" t="s">
        <v>90</v>
      </c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>
        <v>97</v>
      </c>
      <c r="AC120" s="3">
        <v>3</v>
      </c>
      <c r="AD120" s="6" t="s">
        <v>44</v>
      </c>
      <c r="AE120" s="3"/>
      <c r="AF120" s="3"/>
      <c r="AG120" s="3"/>
      <c r="AH120" s="6" t="s">
        <v>47</v>
      </c>
      <c r="AI120" s="3"/>
      <c r="AJ120" s="3"/>
      <c r="AK120" s="3"/>
      <c r="AL120" s="7">
        <f>IF(A120="","",IF(COUNTIF(A120:A$2001,A120)=1,1,0))</f>
        <v>1</v>
      </c>
      <c r="AM120" s="7">
        <f t="shared" ca="1" si="3"/>
        <v>50</v>
      </c>
      <c r="AN120" s="7">
        <f t="shared" si="4"/>
        <v>1</v>
      </c>
      <c r="AO120" s="7">
        <f t="shared" si="5"/>
        <v>0</v>
      </c>
      <c r="AP120" s="15"/>
    </row>
    <row r="121" spans="1:42" ht="15" customHeight="1">
      <c r="A121" s="3">
        <v>202660001171</v>
      </c>
      <c r="B121" s="3">
        <v>1146009</v>
      </c>
      <c r="C121" s="3" t="s">
        <v>289</v>
      </c>
      <c r="D121" s="3">
        <v>40</v>
      </c>
      <c r="E121" s="3" t="s">
        <v>248</v>
      </c>
      <c r="F121" s="3">
        <v>20</v>
      </c>
      <c r="G121" s="3" t="s">
        <v>50</v>
      </c>
      <c r="H121" s="4">
        <v>46113</v>
      </c>
      <c r="I121" s="5">
        <v>46251</v>
      </c>
      <c r="J121" s="4">
        <v>46261</v>
      </c>
      <c r="K121" s="4">
        <v>46261</v>
      </c>
      <c r="L121" s="3"/>
      <c r="M121" s="3"/>
      <c r="N121" s="3"/>
      <c r="O121" s="3" t="s">
        <v>66</v>
      </c>
      <c r="P121" s="6" t="s">
        <v>59</v>
      </c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>
        <v>27</v>
      </c>
      <c r="AC121" s="3">
        <v>1</v>
      </c>
      <c r="AD121" s="6" t="s">
        <v>47</v>
      </c>
      <c r="AE121" s="3" t="s">
        <v>65</v>
      </c>
      <c r="AF121" s="6" t="s">
        <v>47</v>
      </c>
      <c r="AG121" s="6" t="s">
        <v>47</v>
      </c>
      <c r="AH121" s="6" t="s">
        <v>47</v>
      </c>
      <c r="AI121" s="3"/>
      <c r="AJ121" s="3"/>
      <c r="AK121" s="3"/>
      <c r="AL121" s="7">
        <f>IF(A121="","",IF(COUNTIF(A121:A$2001,A121)=1,1,0))</f>
        <v>1</v>
      </c>
      <c r="AM121" s="7">
        <f t="shared" ca="1" si="3"/>
        <v>46</v>
      </c>
      <c r="AN121" s="7">
        <f t="shared" si="4"/>
        <v>1</v>
      </c>
      <c r="AO121" s="7">
        <f t="shared" si="5"/>
        <v>1</v>
      </c>
      <c r="AP121" s="15" t="s">
        <v>336</v>
      </c>
    </row>
    <row r="122" spans="1:42" ht="15" customHeight="1">
      <c r="A122" s="3">
        <v>202660001173</v>
      </c>
      <c r="B122" s="3">
        <v>1262043</v>
      </c>
      <c r="C122" s="3" t="s">
        <v>200</v>
      </c>
      <c r="D122" s="3">
        <v>20</v>
      </c>
      <c r="E122" s="3" t="s">
        <v>68</v>
      </c>
      <c r="F122" s="3">
        <v>20</v>
      </c>
      <c r="G122" s="3" t="s">
        <v>50</v>
      </c>
      <c r="H122" s="4">
        <v>46247</v>
      </c>
      <c r="I122" s="5">
        <v>46247</v>
      </c>
      <c r="J122" s="4">
        <v>46267</v>
      </c>
      <c r="K122" s="4">
        <v>46267</v>
      </c>
      <c r="L122" s="3"/>
      <c r="M122" s="3"/>
      <c r="N122" s="3"/>
      <c r="O122" s="3" t="s">
        <v>85</v>
      </c>
      <c r="P122" s="6" t="s">
        <v>59</v>
      </c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>
        <v>24</v>
      </c>
      <c r="AC122" s="3">
        <v>1</v>
      </c>
      <c r="AD122" s="6" t="s">
        <v>47</v>
      </c>
      <c r="AE122" s="3" t="s">
        <v>87</v>
      </c>
      <c r="AF122" s="6" t="s">
        <v>47</v>
      </c>
      <c r="AG122" s="6" t="s">
        <v>47</v>
      </c>
      <c r="AH122" s="3"/>
      <c r="AI122" s="3"/>
      <c r="AJ122" s="3"/>
      <c r="AK122" s="3"/>
      <c r="AL122" s="7">
        <f>IF(A122="","",IF(COUNTIF(A122:A$2001,A122)=1,1,0))</f>
        <v>1</v>
      </c>
      <c r="AM122" s="7">
        <f t="shared" ca="1" si="3"/>
        <v>50</v>
      </c>
      <c r="AN122" s="7">
        <f t="shared" si="4"/>
        <v>1</v>
      </c>
      <c r="AO122" s="7">
        <f t="shared" si="5"/>
        <v>1</v>
      </c>
      <c r="AP122" s="15" t="s">
        <v>336</v>
      </c>
    </row>
    <row r="123" spans="1:42" ht="15" customHeight="1">
      <c r="A123" s="3">
        <v>202660001183</v>
      </c>
      <c r="B123" s="3">
        <v>1224090</v>
      </c>
      <c r="C123" s="3" t="s">
        <v>290</v>
      </c>
      <c r="D123" s="3">
        <v>40</v>
      </c>
      <c r="E123" s="3" t="s">
        <v>248</v>
      </c>
      <c r="F123" s="3">
        <v>20</v>
      </c>
      <c r="G123" s="3" t="s">
        <v>50</v>
      </c>
      <c r="H123" s="4">
        <v>46219</v>
      </c>
      <c r="I123" s="5">
        <v>46249</v>
      </c>
      <c r="J123" s="4">
        <v>46253</v>
      </c>
      <c r="K123" s="4">
        <v>46253</v>
      </c>
      <c r="L123" s="3"/>
      <c r="M123" s="3"/>
      <c r="N123" s="3"/>
      <c r="O123" s="3" t="s">
        <v>66</v>
      </c>
      <c r="P123" s="6" t="s">
        <v>59</v>
      </c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>
        <v>22</v>
      </c>
      <c r="AC123" s="3">
        <v>1</v>
      </c>
      <c r="AD123" s="6" t="s">
        <v>47</v>
      </c>
      <c r="AE123" s="3" t="s">
        <v>48</v>
      </c>
      <c r="AF123" s="6" t="s">
        <v>47</v>
      </c>
      <c r="AG123" s="6" t="s">
        <v>47</v>
      </c>
      <c r="AH123" s="3"/>
      <c r="AI123" s="3"/>
      <c r="AJ123" s="3"/>
      <c r="AK123" s="3"/>
      <c r="AL123" s="7">
        <f>IF(A123="","",IF(COUNTIF(A123:A$2001,A123)=1,1,0))</f>
        <v>1</v>
      </c>
      <c r="AM123" s="7">
        <f t="shared" ca="1" si="3"/>
        <v>48</v>
      </c>
      <c r="AN123" s="7">
        <f t="shared" si="4"/>
        <v>1</v>
      </c>
      <c r="AO123" s="7">
        <f t="shared" si="5"/>
        <v>1</v>
      </c>
      <c r="AP123" s="15" t="s">
        <v>336</v>
      </c>
    </row>
    <row r="124" spans="1:42" ht="15" customHeight="1">
      <c r="A124" s="3">
        <v>202660001185</v>
      </c>
      <c r="B124" s="3">
        <v>1186028</v>
      </c>
      <c r="C124" s="3" t="s">
        <v>291</v>
      </c>
      <c r="D124" s="3">
        <v>36</v>
      </c>
      <c r="E124" s="3" t="s">
        <v>264</v>
      </c>
      <c r="F124" s="3"/>
      <c r="G124" s="3"/>
      <c r="H124" s="4">
        <v>46215</v>
      </c>
      <c r="I124" s="5">
        <v>46252</v>
      </c>
      <c r="J124" s="4">
        <v>46258</v>
      </c>
      <c r="K124" s="4">
        <v>46258</v>
      </c>
      <c r="L124" s="4">
        <v>46289</v>
      </c>
      <c r="M124" s="4">
        <v>46289</v>
      </c>
      <c r="N124" s="3"/>
      <c r="O124" s="3" t="s">
        <v>265</v>
      </c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>
        <v>25</v>
      </c>
      <c r="AC124" s="3">
        <v>1</v>
      </c>
      <c r="AD124" s="6" t="s">
        <v>47</v>
      </c>
      <c r="AE124" s="3" t="s">
        <v>53</v>
      </c>
      <c r="AF124" s="3"/>
      <c r="AG124" s="3"/>
      <c r="AH124" s="6" t="s">
        <v>47</v>
      </c>
      <c r="AI124" s="3"/>
      <c r="AJ124" s="3"/>
      <c r="AK124" s="3"/>
      <c r="AL124" s="7">
        <f>IF(A124="","",IF(COUNTIF(A124:A$2001,A124)=1,1,0))</f>
        <v>1</v>
      </c>
      <c r="AM124" s="7">
        <f t="shared" ca="1" si="3"/>
        <v>45</v>
      </c>
      <c r="AN124" s="7">
        <f t="shared" si="4"/>
        <v>0</v>
      </c>
      <c r="AO124" s="7">
        <f t="shared" si="5"/>
        <v>0</v>
      </c>
      <c r="AP124" s="15"/>
    </row>
    <row r="125" spans="1:42" ht="15" customHeight="1">
      <c r="A125" s="3">
        <v>202660001188</v>
      </c>
      <c r="B125" s="3">
        <v>930614</v>
      </c>
      <c r="C125" s="3" t="s">
        <v>292</v>
      </c>
      <c r="D125" s="3">
        <v>40</v>
      </c>
      <c r="E125" s="3" t="s">
        <v>248</v>
      </c>
      <c r="F125" s="3">
        <v>20</v>
      </c>
      <c r="G125" s="3" t="s">
        <v>50</v>
      </c>
      <c r="H125" s="4">
        <v>46216</v>
      </c>
      <c r="I125" s="5">
        <v>46251</v>
      </c>
      <c r="J125" s="4">
        <v>46252</v>
      </c>
      <c r="K125" s="4">
        <v>46282</v>
      </c>
      <c r="L125" s="3"/>
      <c r="M125" s="3"/>
      <c r="N125" s="3"/>
      <c r="O125" s="3" t="s">
        <v>61</v>
      </c>
      <c r="P125" s="3"/>
      <c r="Q125" s="3"/>
      <c r="R125" s="3"/>
      <c r="S125" s="3"/>
      <c r="T125" s="3"/>
      <c r="U125" s="3"/>
      <c r="V125" s="3"/>
      <c r="W125" s="6" t="s">
        <v>62</v>
      </c>
      <c r="X125" s="3"/>
      <c r="Y125" s="3"/>
      <c r="Z125" s="3"/>
      <c r="AA125" s="3"/>
      <c r="AB125" s="3">
        <v>47</v>
      </c>
      <c r="AC125" s="3">
        <v>0</v>
      </c>
      <c r="AD125" s="6" t="s">
        <v>44</v>
      </c>
      <c r="AE125" s="3" t="s">
        <v>45</v>
      </c>
      <c r="AF125" s="3"/>
      <c r="AG125" s="6" t="s">
        <v>44</v>
      </c>
      <c r="AH125" s="3"/>
      <c r="AI125" s="3"/>
      <c r="AJ125" s="3"/>
      <c r="AK125" s="3"/>
      <c r="AL125" s="7">
        <f>IF(A125="","",IF(COUNTIF(A125:A$2001,A125)=1,1,0))</f>
        <v>1</v>
      </c>
      <c r="AM125" s="7">
        <f t="shared" ca="1" si="3"/>
        <v>46</v>
      </c>
      <c r="AN125" s="7">
        <f t="shared" si="4"/>
        <v>1</v>
      </c>
      <c r="AO125" s="7">
        <f t="shared" si="5"/>
        <v>1</v>
      </c>
      <c r="AP125" s="15" t="s">
        <v>337</v>
      </c>
    </row>
    <row r="126" spans="1:42" ht="15" customHeight="1">
      <c r="A126" s="3">
        <v>202660001197</v>
      </c>
      <c r="B126" s="3">
        <v>1191118</v>
      </c>
      <c r="C126" s="3" t="s">
        <v>293</v>
      </c>
      <c r="D126" s="3">
        <v>40</v>
      </c>
      <c r="E126" s="3" t="s">
        <v>248</v>
      </c>
      <c r="F126" s="3">
        <v>20</v>
      </c>
      <c r="G126" s="3" t="s">
        <v>50</v>
      </c>
      <c r="H126" s="4">
        <v>46251</v>
      </c>
      <c r="I126" s="5">
        <v>46252</v>
      </c>
      <c r="J126" s="4">
        <v>46252</v>
      </c>
      <c r="K126" s="4">
        <v>46267</v>
      </c>
      <c r="L126" s="3"/>
      <c r="M126" s="3"/>
      <c r="N126" s="3"/>
      <c r="O126" s="3" t="s">
        <v>61</v>
      </c>
      <c r="P126" s="3"/>
      <c r="Q126" s="3"/>
      <c r="R126" s="3"/>
      <c r="S126" s="3"/>
      <c r="T126" s="3"/>
      <c r="U126" s="3"/>
      <c r="V126" s="3"/>
      <c r="W126" s="6" t="s">
        <v>62</v>
      </c>
      <c r="X126" s="3"/>
      <c r="Y126" s="3"/>
      <c r="Z126" s="3"/>
      <c r="AA126" s="3"/>
      <c r="AB126" s="3">
        <v>3</v>
      </c>
      <c r="AC126" s="3">
        <v>0</v>
      </c>
      <c r="AD126" s="6" t="s">
        <v>44</v>
      </c>
      <c r="AE126" s="3" t="s">
        <v>72</v>
      </c>
      <c r="AF126" s="3"/>
      <c r="AG126" s="3"/>
      <c r="AH126" s="3"/>
      <c r="AI126" s="3"/>
      <c r="AJ126" s="3"/>
      <c r="AK126" s="3"/>
      <c r="AL126" s="7">
        <f>IF(A126="","",IF(COUNTIF(A126:A$2001,A126)=1,1,0))</f>
        <v>1</v>
      </c>
      <c r="AM126" s="7">
        <f t="shared" ca="1" si="3"/>
        <v>45</v>
      </c>
      <c r="AN126" s="7">
        <f t="shared" si="4"/>
        <v>1</v>
      </c>
      <c r="AO126" s="7">
        <f t="shared" si="5"/>
        <v>0</v>
      </c>
      <c r="AP126" s="15" t="s">
        <v>337</v>
      </c>
    </row>
    <row r="127" spans="1:42" ht="15" customHeight="1">
      <c r="A127" s="3">
        <v>202660001203</v>
      </c>
      <c r="B127" s="3">
        <v>1086114</v>
      </c>
      <c r="C127" s="3" t="s">
        <v>294</v>
      </c>
      <c r="D127" s="3">
        <v>32</v>
      </c>
      <c r="E127" s="3" t="s">
        <v>73</v>
      </c>
      <c r="F127" s="3">
        <v>20</v>
      </c>
      <c r="G127" s="3" t="s">
        <v>50</v>
      </c>
      <c r="H127" s="4">
        <v>46246</v>
      </c>
      <c r="I127" s="5">
        <v>46252</v>
      </c>
      <c r="J127" s="4">
        <v>46283</v>
      </c>
      <c r="K127" s="4">
        <v>46283</v>
      </c>
      <c r="L127" s="3"/>
      <c r="M127" s="3"/>
      <c r="N127" s="3"/>
      <c r="O127" s="3" t="s">
        <v>74</v>
      </c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>
        <v>21</v>
      </c>
      <c r="AC127" s="3">
        <v>1</v>
      </c>
      <c r="AD127" s="6" t="s">
        <v>47</v>
      </c>
      <c r="AE127" s="3" t="s">
        <v>54</v>
      </c>
      <c r="AF127" s="6" t="s">
        <v>47</v>
      </c>
      <c r="AG127" s="6" t="s">
        <v>47</v>
      </c>
      <c r="AH127" s="6" t="s">
        <v>47</v>
      </c>
      <c r="AI127" s="3"/>
      <c r="AJ127" s="3"/>
      <c r="AK127" s="3"/>
      <c r="AL127" s="7">
        <f>IF(A127="","",IF(COUNTIF(A127:A$2001,A127)=1,1,0))</f>
        <v>1</v>
      </c>
      <c r="AM127" s="7">
        <f t="shared" ca="1" si="3"/>
        <v>45</v>
      </c>
      <c r="AN127" s="7">
        <f t="shared" si="4"/>
        <v>1</v>
      </c>
      <c r="AO127" s="7">
        <f t="shared" si="5"/>
        <v>1</v>
      </c>
      <c r="AP127" s="15"/>
    </row>
    <row r="128" spans="1:42" ht="15" customHeight="1">
      <c r="A128" s="3">
        <v>202660001204</v>
      </c>
      <c r="B128" s="3">
        <v>1221095</v>
      </c>
      <c r="C128" s="3" t="s">
        <v>201</v>
      </c>
      <c r="D128" s="3">
        <v>32</v>
      </c>
      <c r="E128" s="3" t="s">
        <v>73</v>
      </c>
      <c r="F128" s="3"/>
      <c r="G128" s="3"/>
      <c r="H128" s="4">
        <v>46242</v>
      </c>
      <c r="I128" s="5">
        <v>46252</v>
      </c>
      <c r="J128" s="4">
        <v>46253</v>
      </c>
      <c r="K128" s="4">
        <v>46265</v>
      </c>
      <c r="L128" s="3"/>
      <c r="M128" s="3"/>
      <c r="N128" s="3"/>
      <c r="O128" s="3" t="s">
        <v>74</v>
      </c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>
        <v>23</v>
      </c>
      <c r="AC128" s="3">
        <v>1</v>
      </c>
      <c r="AD128" s="6" t="s">
        <v>47</v>
      </c>
      <c r="AE128" s="3" t="s">
        <v>51</v>
      </c>
      <c r="AF128" s="3"/>
      <c r="AG128" s="3"/>
      <c r="AH128" s="3"/>
      <c r="AI128" s="3"/>
      <c r="AJ128" s="3"/>
      <c r="AK128" s="3"/>
      <c r="AL128" s="7">
        <f>IF(A128="","",IF(COUNTIF(A128:A$2001,A128)=1,1,0))</f>
        <v>0</v>
      </c>
      <c r="AM128" s="7">
        <f t="shared" ca="1" si="3"/>
        <v>45</v>
      </c>
      <c r="AN128" s="7">
        <f t="shared" si="4"/>
        <v>1</v>
      </c>
      <c r="AO128" s="7">
        <f t="shared" si="5"/>
        <v>0</v>
      </c>
      <c r="AP128" s="15"/>
    </row>
    <row r="129" spans="1:42" ht="15" customHeight="1">
      <c r="A129" s="3">
        <v>202660001204</v>
      </c>
      <c r="B129" s="3">
        <v>1221095</v>
      </c>
      <c r="C129" s="3" t="s">
        <v>201</v>
      </c>
      <c r="D129" s="3">
        <v>32</v>
      </c>
      <c r="E129" s="3" t="s">
        <v>73</v>
      </c>
      <c r="F129" s="3"/>
      <c r="G129" s="3"/>
      <c r="H129" s="4">
        <v>46242</v>
      </c>
      <c r="I129" s="5">
        <v>46252</v>
      </c>
      <c r="J129" s="4">
        <v>46253</v>
      </c>
      <c r="K129" s="4">
        <v>46265</v>
      </c>
      <c r="L129" s="3"/>
      <c r="M129" s="3"/>
      <c r="N129" s="3"/>
      <c r="O129" s="3" t="s">
        <v>74</v>
      </c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>
        <v>23</v>
      </c>
      <c r="AC129" s="3">
        <v>1</v>
      </c>
      <c r="AD129" s="6" t="s">
        <v>47</v>
      </c>
      <c r="AE129" s="3" t="s">
        <v>52</v>
      </c>
      <c r="AF129" s="3"/>
      <c r="AG129" s="3"/>
      <c r="AH129" s="3"/>
      <c r="AI129" s="3"/>
      <c r="AJ129" s="3"/>
      <c r="AK129" s="3"/>
      <c r="AL129" s="7">
        <f>IF(A129="","",IF(COUNTIF(A129:A$2001,A129)=1,1,0))</f>
        <v>1</v>
      </c>
      <c r="AM129" s="7">
        <f t="shared" ca="1" si="3"/>
        <v>45</v>
      </c>
      <c r="AN129" s="7">
        <f t="shared" si="4"/>
        <v>1</v>
      </c>
      <c r="AO129" s="7">
        <f t="shared" si="5"/>
        <v>0</v>
      </c>
      <c r="AP129" s="15"/>
    </row>
    <row r="130" spans="1:42" ht="15" customHeight="1">
      <c r="A130" s="3">
        <v>202660001209</v>
      </c>
      <c r="B130" s="3">
        <v>940483</v>
      </c>
      <c r="C130" s="3" t="s">
        <v>295</v>
      </c>
      <c r="D130" s="3">
        <v>31</v>
      </c>
      <c r="E130" s="3" t="s">
        <v>42</v>
      </c>
      <c r="F130" s="3">
        <v>20</v>
      </c>
      <c r="G130" s="3" t="s">
        <v>50</v>
      </c>
      <c r="H130" s="4">
        <v>46242</v>
      </c>
      <c r="I130" s="5">
        <v>46253</v>
      </c>
      <c r="J130" s="4">
        <v>46289</v>
      </c>
      <c r="K130" s="4">
        <v>46289</v>
      </c>
      <c r="L130" s="3"/>
      <c r="M130" s="3"/>
      <c r="N130" s="3"/>
      <c r="O130" s="3" t="s">
        <v>43</v>
      </c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>
        <v>23</v>
      </c>
      <c r="AC130" s="3">
        <v>1</v>
      </c>
      <c r="AD130" s="6" t="s">
        <v>47</v>
      </c>
      <c r="AE130" s="3" t="s">
        <v>51</v>
      </c>
      <c r="AF130" s="3"/>
      <c r="AG130" s="3"/>
      <c r="AH130" s="3"/>
      <c r="AI130" s="3"/>
      <c r="AJ130" s="3"/>
      <c r="AK130" s="3"/>
      <c r="AL130" s="7">
        <f>IF(A130="","",IF(COUNTIF(A130:A$2001,A130)=1,1,0))</f>
        <v>0</v>
      </c>
      <c r="AM130" s="7">
        <f t="shared" ref="AM130:AM193" ca="1" si="6">IF(I130="","",TODAY()-I130)</f>
        <v>44</v>
      </c>
      <c r="AN130" s="7">
        <f t="shared" ref="AN130:AN193" si="7">IF(A130="","",IF(AND(E130&lt;&gt;"33 確認済",E130&lt;&gt;"36 送付中"),1,0))</f>
        <v>1</v>
      </c>
      <c r="AO130" s="7">
        <f t="shared" ref="AO130:AO193" si="8">IF(A130="","",IF(AG130&lt;&gt;"",1,0))</f>
        <v>0</v>
      </c>
      <c r="AP130" s="15"/>
    </row>
    <row r="131" spans="1:42" ht="15" customHeight="1">
      <c r="A131" s="3">
        <v>202660001209</v>
      </c>
      <c r="B131" s="3">
        <v>940483</v>
      </c>
      <c r="C131" s="3" t="s">
        <v>295</v>
      </c>
      <c r="D131" s="3">
        <v>31</v>
      </c>
      <c r="E131" s="3" t="s">
        <v>42</v>
      </c>
      <c r="F131" s="3">
        <v>20</v>
      </c>
      <c r="G131" s="3" t="s">
        <v>50</v>
      </c>
      <c r="H131" s="4">
        <v>46242</v>
      </c>
      <c r="I131" s="5">
        <v>46253</v>
      </c>
      <c r="J131" s="4">
        <v>46289</v>
      </c>
      <c r="K131" s="4">
        <v>46289</v>
      </c>
      <c r="L131" s="3"/>
      <c r="M131" s="3"/>
      <c r="N131" s="3"/>
      <c r="O131" s="3" t="s">
        <v>43</v>
      </c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>
        <v>23</v>
      </c>
      <c r="AC131" s="3">
        <v>1</v>
      </c>
      <c r="AD131" s="6" t="s">
        <v>47</v>
      </c>
      <c r="AE131" s="3" t="s">
        <v>52</v>
      </c>
      <c r="AF131" s="3"/>
      <c r="AG131" s="3"/>
      <c r="AH131" s="3"/>
      <c r="AI131" s="3"/>
      <c r="AJ131" s="3"/>
      <c r="AK131" s="3"/>
      <c r="AL131" s="7">
        <f>IF(A131="","",IF(COUNTIF(A131:A$2001,A131)=1,1,0))</f>
        <v>1</v>
      </c>
      <c r="AM131" s="7">
        <f t="shared" ca="1" si="6"/>
        <v>44</v>
      </c>
      <c r="AN131" s="7">
        <f t="shared" si="7"/>
        <v>1</v>
      </c>
      <c r="AO131" s="7">
        <f t="shared" si="8"/>
        <v>0</v>
      </c>
      <c r="AP131" s="15"/>
    </row>
    <row r="132" spans="1:42" ht="15" customHeight="1">
      <c r="A132" s="3">
        <v>202660001210</v>
      </c>
      <c r="B132" s="3">
        <v>1141151</v>
      </c>
      <c r="C132" s="3" t="s">
        <v>296</v>
      </c>
      <c r="D132" s="3">
        <v>34</v>
      </c>
      <c r="E132" s="3" t="s">
        <v>273</v>
      </c>
      <c r="F132" s="3"/>
      <c r="G132" s="3"/>
      <c r="H132" s="4">
        <v>46143</v>
      </c>
      <c r="I132" s="5">
        <v>46253</v>
      </c>
      <c r="J132" s="4">
        <v>46258</v>
      </c>
      <c r="K132" s="4">
        <v>46258</v>
      </c>
      <c r="L132" s="3"/>
      <c r="M132" s="3"/>
      <c r="N132" s="3"/>
      <c r="O132" s="3" t="s">
        <v>274</v>
      </c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>
        <v>48</v>
      </c>
      <c r="AC132" s="3">
        <v>0</v>
      </c>
      <c r="AD132" s="6" t="s">
        <v>44</v>
      </c>
      <c r="AE132" s="3" t="s">
        <v>92</v>
      </c>
      <c r="AF132" s="6" t="s">
        <v>44</v>
      </c>
      <c r="AG132" s="6" t="s">
        <v>44</v>
      </c>
      <c r="AH132" s="6" t="s">
        <v>44</v>
      </c>
      <c r="AI132" s="3"/>
      <c r="AJ132" s="3"/>
      <c r="AK132" s="3"/>
      <c r="AL132" s="7">
        <f>IF(A132="","",IF(COUNTIF(A132:A$2001,A132)=1,1,0))</f>
        <v>1</v>
      </c>
      <c r="AM132" s="7">
        <f t="shared" ca="1" si="6"/>
        <v>44</v>
      </c>
      <c r="AN132" s="7">
        <f t="shared" si="7"/>
        <v>1</v>
      </c>
      <c r="AO132" s="7">
        <f t="shared" si="8"/>
        <v>1</v>
      </c>
      <c r="AP132" s="15"/>
    </row>
    <row r="133" spans="1:42" ht="15" customHeight="1">
      <c r="A133" s="3">
        <v>202660001211</v>
      </c>
      <c r="B133" s="3">
        <v>1152127</v>
      </c>
      <c r="C133" s="3" t="s">
        <v>202</v>
      </c>
      <c r="D133" s="3">
        <v>40</v>
      </c>
      <c r="E133" s="3" t="s">
        <v>248</v>
      </c>
      <c r="F133" s="3">
        <v>20</v>
      </c>
      <c r="G133" s="3" t="s">
        <v>50</v>
      </c>
      <c r="H133" s="4">
        <v>46248</v>
      </c>
      <c r="I133" s="5">
        <v>46253</v>
      </c>
      <c r="J133" s="4">
        <v>46255</v>
      </c>
      <c r="K133" s="4">
        <v>46255</v>
      </c>
      <c r="L133" s="3"/>
      <c r="M133" s="3"/>
      <c r="N133" s="3"/>
      <c r="O133" s="3" t="s">
        <v>66</v>
      </c>
      <c r="P133" s="6" t="s">
        <v>59</v>
      </c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>
        <v>21</v>
      </c>
      <c r="AC133" s="3">
        <v>1</v>
      </c>
      <c r="AD133" s="6" t="s">
        <v>47</v>
      </c>
      <c r="AE133" s="3" t="s">
        <v>54</v>
      </c>
      <c r="AF133" s="6" t="s">
        <v>47</v>
      </c>
      <c r="AG133" s="6" t="s">
        <v>47</v>
      </c>
      <c r="AH133" s="6" t="s">
        <v>47</v>
      </c>
      <c r="AI133" s="3"/>
      <c r="AJ133" s="3"/>
      <c r="AK133" s="3"/>
      <c r="AL133" s="7">
        <f>IF(A133="","",IF(COUNTIF(A133:A$2001,A133)=1,1,0))</f>
        <v>1</v>
      </c>
      <c r="AM133" s="7">
        <f t="shared" ca="1" si="6"/>
        <v>44</v>
      </c>
      <c r="AN133" s="7">
        <f t="shared" si="7"/>
        <v>1</v>
      </c>
      <c r="AO133" s="7">
        <f t="shared" si="8"/>
        <v>1</v>
      </c>
      <c r="AP133" s="15" t="s">
        <v>336</v>
      </c>
    </row>
    <row r="134" spans="1:42" ht="15" customHeight="1">
      <c r="A134" s="3">
        <v>202660001212</v>
      </c>
      <c r="B134" s="3">
        <v>1234106</v>
      </c>
      <c r="C134" s="3" t="s">
        <v>203</v>
      </c>
      <c r="D134" s="3">
        <v>31</v>
      </c>
      <c r="E134" s="3" t="s">
        <v>42</v>
      </c>
      <c r="F134" s="3"/>
      <c r="G134" s="3"/>
      <c r="H134" s="4">
        <v>46114</v>
      </c>
      <c r="I134" s="5">
        <v>46253</v>
      </c>
      <c r="J134" s="4">
        <v>46266</v>
      </c>
      <c r="K134" s="4">
        <v>46266</v>
      </c>
      <c r="L134" s="3"/>
      <c r="M134" s="3"/>
      <c r="N134" s="3"/>
      <c r="O134" s="3" t="s">
        <v>43</v>
      </c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>
        <v>21</v>
      </c>
      <c r="AC134" s="3">
        <v>1</v>
      </c>
      <c r="AD134" s="6" t="s">
        <v>47</v>
      </c>
      <c r="AE134" s="3" t="s">
        <v>54</v>
      </c>
      <c r="AF134" s="3"/>
      <c r="AG134" s="3"/>
      <c r="AH134" s="6" t="s">
        <v>47</v>
      </c>
      <c r="AI134" s="3"/>
      <c r="AJ134" s="3"/>
      <c r="AK134" s="3"/>
      <c r="AL134" s="7">
        <f>IF(A134="","",IF(COUNTIF(A134:A$2001,A134)=1,1,0))</f>
        <v>1</v>
      </c>
      <c r="AM134" s="7">
        <f t="shared" ca="1" si="6"/>
        <v>44</v>
      </c>
      <c r="AN134" s="7">
        <f t="shared" si="7"/>
        <v>1</v>
      </c>
      <c r="AO134" s="7">
        <f t="shared" si="8"/>
        <v>0</v>
      </c>
      <c r="AP134" s="15"/>
    </row>
    <row r="135" spans="1:42" ht="15" customHeight="1">
      <c r="A135" s="3">
        <v>202660001215</v>
      </c>
      <c r="B135" s="3">
        <v>1167018</v>
      </c>
      <c r="C135" s="3" t="s">
        <v>297</v>
      </c>
      <c r="D135" s="3">
        <v>40</v>
      </c>
      <c r="E135" s="3" t="s">
        <v>248</v>
      </c>
      <c r="F135" s="3">
        <v>20</v>
      </c>
      <c r="G135" s="3" t="s">
        <v>50</v>
      </c>
      <c r="H135" s="4">
        <v>46113</v>
      </c>
      <c r="I135" s="5">
        <v>46258</v>
      </c>
      <c r="J135" s="4">
        <v>46260</v>
      </c>
      <c r="K135" s="4">
        <v>46260</v>
      </c>
      <c r="L135" s="3"/>
      <c r="M135" s="3"/>
      <c r="N135" s="3"/>
      <c r="O135" s="3" t="s">
        <v>66</v>
      </c>
      <c r="P135" s="6" t="s">
        <v>59</v>
      </c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>
        <v>47</v>
      </c>
      <c r="AC135" s="3">
        <v>0</v>
      </c>
      <c r="AD135" s="6" t="s">
        <v>44</v>
      </c>
      <c r="AE135" s="3" t="s">
        <v>45</v>
      </c>
      <c r="AF135" s="6" t="s">
        <v>44</v>
      </c>
      <c r="AG135" s="6" t="s">
        <v>44</v>
      </c>
      <c r="AH135" s="6" t="s">
        <v>44</v>
      </c>
      <c r="AI135" s="3"/>
      <c r="AJ135" s="3"/>
      <c r="AK135" s="3"/>
      <c r="AL135" s="7">
        <f>IF(A135="","",IF(COUNTIF(A135:A$2001,A135)=1,1,0))</f>
        <v>1</v>
      </c>
      <c r="AM135" s="7">
        <f t="shared" ca="1" si="6"/>
        <v>39</v>
      </c>
      <c r="AN135" s="7">
        <f t="shared" si="7"/>
        <v>1</v>
      </c>
      <c r="AO135" s="7">
        <f t="shared" si="8"/>
        <v>1</v>
      </c>
      <c r="AP135" s="15" t="s">
        <v>336</v>
      </c>
    </row>
    <row r="136" spans="1:42" ht="15" customHeight="1">
      <c r="A136" s="3">
        <v>202660001217</v>
      </c>
      <c r="B136" s="3">
        <v>820188</v>
      </c>
      <c r="C136" s="3" t="s">
        <v>298</v>
      </c>
      <c r="D136" s="3">
        <v>31</v>
      </c>
      <c r="E136" s="3" t="s">
        <v>42</v>
      </c>
      <c r="F136" s="3">
        <v>20</v>
      </c>
      <c r="G136" s="3" t="s">
        <v>50</v>
      </c>
      <c r="H136" s="4">
        <v>46248</v>
      </c>
      <c r="I136" s="5">
        <v>46254</v>
      </c>
      <c r="J136" s="4">
        <v>46283</v>
      </c>
      <c r="K136" s="4">
        <v>46283</v>
      </c>
      <c r="L136" s="3"/>
      <c r="M136" s="3"/>
      <c r="N136" s="3"/>
      <c r="O136" s="3" t="s">
        <v>43</v>
      </c>
      <c r="P136" s="3"/>
      <c r="Q136" s="3"/>
      <c r="R136" s="3"/>
      <c r="S136" s="6" t="s">
        <v>57</v>
      </c>
      <c r="T136" s="3"/>
      <c r="U136" s="3"/>
      <c r="V136" s="3"/>
      <c r="W136" s="3"/>
      <c r="X136" s="3"/>
      <c r="Y136" s="3"/>
      <c r="Z136" s="3"/>
      <c r="AA136" s="3"/>
      <c r="AB136" s="3">
        <v>22</v>
      </c>
      <c r="AC136" s="3">
        <v>1</v>
      </c>
      <c r="AD136" s="6" t="s">
        <v>47</v>
      </c>
      <c r="AE136" s="3" t="s">
        <v>48</v>
      </c>
      <c r="AF136" s="3"/>
      <c r="AG136" s="6" t="s">
        <v>47</v>
      </c>
      <c r="AH136" s="3"/>
      <c r="AI136" s="3"/>
      <c r="AJ136" s="3"/>
      <c r="AK136" s="3"/>
      <c r="AL136" s="7">
        <f>IF(A136="","",IF(COUNTIF(A136:A$2001,A136)=1,1,0))</f>
        <v>1</v>
      </c>
      <c r="AM136" s="7">
        <f t="shared" ca="1" si="6"/>
        <v>43</v>
      </c>
      <c r="AN136" s="7">
        <f t="shared" si="7"/>
        <v>1</v>
      </c>
      <c r="AO136" s="7">
        <f t="shared" si="8"/>
        <v>1</v>
      </c>
      <c r="AP136" s="15" t="s">
        <v>335</v>
      </c>
    </row>
    <row r="137" spans="1:42" ht="15" customHeight="1">
      <c r="A137" s="3">
        <v>202660001220</v>
      </c>
      <c r="B137" s="3">
        <v>1151488</v>
      </c>
      <c r="C137" s="3" t="s">
        <v>299</v>
      </c>
      <c r="D137" s="3">
        <v>40</v>
      </c>
      <c r="E137" s="3" t="s">
        <v>248</v>
      </c>
      <c r="F137" s="3">
        <v>20</v>
      </c>
      <c r="G137" s="3" t="s">
        <v>50</v>
      </c>
      <c r="H137" s="4">
        <v>46251</v>
      </c>
      <c r="I137" s="5">
        <v>46255</v>
      </c>
      <c r="J137" s="4">
        <v>46259</v>
      </c>
      <c r="K137" s="4">
        <v>46259</v>
      </c>
      <c r="L137" s="3"/>
      <c r="M137" s="3"/>
      <c r="N137" s="3"/>
      <c r="O137" s="3" t="s">
        <v>66</v>
      </c>
      <c r="P137" s="6" t="s">
        <v>59</v>
      </c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>
        <v>99</v>
      </c>
      <c r="AC137" s="3">
        <v>1</v>
      </c>
      <c r="AD137" s="6" t="s">
        <v>47</v>
      </c>
      <c r="AE137" s="3" t="s">
        <v>60</v>
      </c>
      <c r="AF137" s="6" t="s">
        <v>47</v>
      </c>
      <c r="AG137" s="6" t="s">
        <v>47</v>
      </c>
      <c r="AH137" s="6" t="s">
        <v>47</v>
      </c>
      <c r="AI137" s="3"/>
      <c r="AJ137" s="3"/>
      <c r="AK137" s="3"/>
      <c r="AL137" s="7">
        <f>IF(A137="","",IF(COUNTIF(A137:A$2001,A137)=1,1,0))</f>
        <v>1</v>
      </c>
      <c r="AM137" s="7">
        <f t="shared" ca="1" si="6"/>
        <v>42</v>
      </c>
      <c r="AN137" s="7">
        <f t="shared" si="7"/>
        <v>1</v>
      </c>
      <c r="AO137" s="7">
        <f t="shared" si="8"/>
        <v>1</v>
      </c>
      <c r="AP137" s="15" t="s">
        <v>336</v>
      </c>
    </row>
    <row r="138" spans="1:42" ht="15" customHeight="1">
      <c r="A138" s="3">
        <v>202660001221</v>
      </c>
      <c r="B138" s="3">
        <v>950163</v>
      </c>
      <c r="C138" s="3" t="s">
        <v>300</v>
      </c>
      <c r="D138" s="3">
        <v>32</v>
      </c>
      <c r="E138" s="3" t="s">
        <v>73</v>
      </c>
      <c r="F138" s="3">
        <v>20</v>
      </c>
      <c r="G138" s="3" t="s">
        <v>50</v>
      </c>
      <c r="H138" s="4">
        <v>46254</v>
      </c>
      <c r="I138" s="5">
        <v>46255</v>
      </c>
      <c r="J138" s="4">
        <v>46283</v>
      </c>
      <c r="K138" s="4">
        <v>46283</v>
      </c>
      <c r="L138" s="3"/>
      <c r="M138" s="3"/>
      <c r="N138" s="3"/>
      <c r="O138" s="3" t="s">
        <v>74</v>
      </c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>
        <v>26</v>
      </c>
      <c r="AC138" s="3">
        <v>1</v>
      </c>
      <c r="AD138" s="6" t="s">
        <v>47</v>
      </c>
      <c r="AE138" s="3" t="s">
        <v>56</v>
      </c>
      <c r="AF138" s="6" t="s">
        <v>47</v>
      </c>
      <c r="AG138" s="6" t="s">
        <v>47</v>
      </c>
      <c r="AH138" s="6" t="s">
        <v>47</v>
      </c>
      <c r="AI138" s="3"/>
      <c r="AJ138" s="3"/>
      <c r="AK138" s="3"/>
      <c r="AL138" s="7">
        <f>IF(A138="","",IF(COUNTIF(A138:A$2001,A138)=1,1,0))</f>
        <v>1</v>
      </c>
      <c r="AM138" s="7">
        <f t="shared" ca="1" si="6"/>
        <v>42</v>
      </c>
      <c r="AN138" s="7">
        <f t="shared" si="7"/>
        <v>1</v>
      </c>
      <c r="AO138" s="7">
        <f t="shared" si="8"/>
        <v>1</v>
      </c>
      <c r="AP138" s="15"/>
    </row>
    <row r="139" spans="1:42" ht="15" customHeight="1">
      <c r="A139" s="3">
        <v>202660001231</v>
      </c>
      <c r="B139" s="3">
        <v>1032003</v>
      </c>
      <c r="C139" s="3" t="s">
        <v>301</v>
      </c>
      <c r="D139" s="3">
        <v>32</v>
      </c>
      <c r="E139" s="3" t="s">
        <v>73</v>
      </c>
      <c r="F139" s="3">
        <v>20</v>
      </c>
      <c r="G139" s="3" t="s">
        <v>50</v>
      </c>
      <c r="H139" s="4">
        <v>46234</v>
      </c>
      <c r="I139" s="5">
        <v>46259</v>
      </c>
      <c r="J139" s="4">
        <v>46283</v>
      </c>
      <c r="K139" s="4">
        <v>46283</v>
      </c>
      <c r="L139" s="3"/>
      <c r="M139" s="3"/>
      <c r="N139" s="3"/>
      <c r="O139" s="3" t="s">
        <v>81</v>
      </c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>
        <v>22</v>
      </c>
      <c r="AC139" s="3">
        <v>1</v>
      </c>
      <c r="AD139" s="6" t="s">
        <v>47</v>
      </c>
      <c r="AE139" s="3" t="s">
        <v>48</v>
      </c>
      <c r="AF139" s="6" t="s">
        <v>47</v>
      </c>
      <c r="AG139" s="6" t="s">
        <v>47</v>
      </c>
      <c r="AH139" s="6" t="s">
        <v>47</v>
      </c>
      <c r="AI139" s="3"/>
      <c r="AJ139" s="3"/>
      <c r="AK139" s="3"/>
      <c r="AL139" s="7">
        <f>IF(A139="","",IF(COUNTIF(A139:A$2001,A139)=1,1,0))</f>
        <v>1</v>
      </c>
      <c r="AM139" s="7">
        <f t="shared" ca="1" si="6"/>
        <v>38</v>
      </c>
      <c r="AN139" s="7">
        <f t="shared" si="7"/>
        <v>1</v>
      </c>
      <c r="AO139" s="7">
        <f t="shared" si="8"/>
        <v>1</v>
      </c>
      <c r="AP139" s="15"/>
    </row>
    <row r="140" spans="1:42" ht="15" customHeight="1">
      <c r="A140" s="3">
        <v>202660001233</v>
      </c>
      <c r="B140" s="3">
        <v>1251493</v>
      </c>
      <c r="C140" s="3" t="s">
        <v>302</v>
      </c>
      <c r="D140" s="3">
        <v>40</v>
      </c>
      <c r="E140" s="3" t="s">
        <v>248</v>
      </c>
      <c r="F140" s="3">
        <v>20</v>
      </c>
      <c r="G140" s="3" t="s">
        <v>50</v>
      </c>
      <c r="H140" s="4">
        <v>46255</v>
      </c>
      <c r="I140" s="5">
        <v>46260</v>
      </c>
      <c r="J140" s="4">
        <v>46273</v>
      </c>
      <c r="K140" s="4">
        <v>46273</v>
      </c>
      <c r="L140" s="3"/>
      <c r="M140" s="3"/>
      <c r="N140" s="3"/>
      <c r="O140" s="3" t="s">
        <v>249</v>
      </c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>
        <v>22</v>
      </c>
      <c r="AC140" s="3">
        <v>1</v>
      </c>
      <c r="AD140" s="6" t="s">
        <v>47</v>
      </c>
      <c r="AE140" s="3" t="s">
        <v>48</v>
      </c>
      <c r="AF140" s="3"/>
      <c r="AG140" s="6" t="s">
        <v>47</v>
      </c>
      <c r="AH140" s="3"/>
      <c r="AI140" s="3"/>
      <c r="AJ140" s="3"/>
      <c r="AK140" s="3"/>
      <c r="AL140" s="7">
        <f>IF(A140="","",IF(COUNTIF(A140:A$2001,A140)=1,1,0))</f>
        <v>1</v>
      </c>
      <c r="AM140" s="7">
        <f t="shared" ca="1" si="6"/>
        <v>37</v>
      </c>
      <c r="AN140" s="7">
        <f t="shared" si="7"/>
        <v>1</v>
      </c>
      <c r="AO140" s="7">
        <f t="shared" si="8"/>
        <v>1</v>
      </c>
      <c r="AP140" s="15"/>
    </row>
    <row r="141" spans="1:42" ht="15" customHeight="1">
      <c r="A141" s="3">
        <v>202660001236</v>
      </c>
      <c r="B141" s="3">
        <v>1161342</v>
      </c>
      <c r="C141" s="3" t="s">
        <v>303</v>
      </c>
      <c r="D141" s="3">
        <v>40</v>
      </c>
      <c r="E141" s="3" t="s">
        <v>248</v>
      </c>
      <c r="F141" s="3">
        <v>20</v>
      </c>
      <c r="G141" s="3" t="s">
        <v>50</v>
      </c>
      <c r="H141" s="4"/>
      <c r="I141" s="5">
        <v>46258</v>
      </c>
      <c r="J141" s="4">
        <v>46267</v>
      </c>
      <c r="K141" s="4">
        <v>46267</v>
      </c>
      <c r="L141" s="3"/>
      <c r="M141" s="3"/>
      <c r="N141" s="3"/>
      <c r="O141" s="3" t="s">
        <v>66</v>
      </c>
      <c r="P141" s="6" t="s">
        <v>59</v>
      </c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6" t="s">
        <v>44</v>
      </c>
      <c r="AE141" s="3"/>
      <c r="AF141" s="6"/>
      <c r="AG141" s="3"/>
      <c r="AH141" s="3"/>
      <c r="AI141" s="3"/>
      <c r="AJ141" s="3" t="s">
        <v>79</v>
      </c>
      <c r="AK141" s="3"/>
      <c r="AL141" s="7">
        <f>IF(A141="","",IF(COUNTIF(A141:A$2001,A141)=1,1,0))</f>
        <v>1</v>
      </c>
      <c r="AM141" s="7">
        <f t="shared" ca="1" si="6"/>
        <v>39</v>
      </c>
      <c r="AN141" s="7">
        <f t="shared" si="7"/>
        <v>1</v>
      </c>
      <c r="AO141" s="7">
        <f t="shared" si="8"/>
        <v>0</v>
      </c>
      <c r="AP141" s="15" t="s">
        <v>336</v>
      </c>
    </row>
    <row r="142" spans="1:42" ht="15" customHeight="1">
      <c r="A142" s="3">
        <v>202660001240</v>
      </c>
      <c r="B142" s="3">
        <v>1211007</v>
      </c>
      <c r="C142" s="3" t="s">
        <v>204</v>
      </c>
      <c r="D142" s="3">
        <v>20</v>
      </c>
      <c r="E142" s="3" t="s">
        <v>68</v>
      </c>
      <c r="F142" s="3"/>
      <c r="G142" s="3"/>
      <c r="H142" s="3"/>
      <c r="I142" s="5">
        <v>46259</v>
      </c>
      <c r="J142" s="3"/>
      <c r="K142" s="3"/>
      <c r="L142" s="3"/>
      <c r="M142" s="3"/>
      <c r="N142" s="3"/>
      <c r="O142" s="3" t="s">
        <v>80</v>
      </c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6" t="s">
        <v>44</v>
      </c>
      <c r="AE142" s="3"/>
      <c r="AF142" s="3"/>
      <c r="AG142" s="3"/>
      <c r="AH142" s="3"/>
      <c r="AI142" s="3"/>
      <c r="AJ142" s="6" t="s">
        <v>79</v>
      </c>
      <c r="AK142" s="3"/>
      <c r="AL142" s="7">
        <f>IF(A142="","",IF(COUNTIF(A142:A$2001,A142)=1,1,0))</f>
        <v>1</v>
      </c>
      <c r="AM142" s="7">
        <f t="shared" ca="1" si="6"/>
        <v>38</v>
      </c>
      <c r="AN142" s="7">
        <f t="shared" si="7"/>
        <v>1</v>
      </c>
      <c r="AO142" s="7">
        <f t="shared" si="8"/>
        <v>0</v>
      </c>
      <c r="AP142" s="15"/>
    </row>
    <row r="143" spans="1:42" ht="15" customHeight="1">
      <c r="A143" s="3">
        <v>202660001245</v>
      </c>
      <c r="B143" s="3">
        <v>1101223</v>
      </c>
      <c r="C143" s="3" t="s">
        <v>205</v>
      </c>
      <c r="D143" s="3">
        <v>30</v>
      </c>
      <c r="E143" s="3" t="s">
        <v>89</v>
      </c>
      <c r="F143" s="3"/>
      <c r="G143" s="3"/>
      <c r="H143" s="4">
        <v>46171</v>
      </c>
      <c r="I143" s="5">
        <v>46259</v>
      </c>
      <c r="J143" s="4">
        <v>46260</v>
      </c>
      <c r="K143" s="3"/>
      <c r="L143" s="3"/>
      <c r="M143" s="3"/>
      <c r="N143" s="3"/>
      <c r="O143" s="3" t="s">
        <v>90</v>
      </c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>
        <v>99</v>
      </c>
      <c r="AC143" s="3">
        <v>1</v>
      </c>
      <c r="AD143" s="6" t="s">
        <v>47</v>
      </c>
      <c r="AE143" s="3" t="s">
        <v>60</v>
      </c>
      <c r="AF143" s="3"/>
      <c r="AG143" s="3"/>
      <c r="AH143" s="3"/>
      <c r="AI143" s="3"/>
      <c r="AJ143" s="3"/>
      <c r="AK143" s="3"/>
      <c r="AL143" s="7">
        <f>IF(A143="","",IF(COUNTIF(A143:A$2001,A143)=1,1,0))</f>
        <v>1</v>
      </c>
      <c r="AM143" s="7">
        <f t="shared" ca="1" si="6"/>
        <v>38</v>
      </c>
      <c r="AN143" s="7">
        <f t="shared" si="7"/>
        <v>1</v>
      </c>
      <c r="AO143" s="7">
        <f t="shared" si="8"/>
        <v>0</v>
      </c>
      <c r="AP143" s="15"/>
    </row>
    <row r="144" spans="1:42" ht="15" customHeight="1">
      <c r="A144" s="3">
        <v>202660001249</v>
      </c>
      <c r="B144" s="3">
        <v>1106070</v>
      </c>
      <c r="C144" s="3" t="s">
        <v>206</v>
      </c>
      <c r="D144" s="3">
        <v>30</v>
      </c>
      <c r="E144" s="3" t="s">
        <v>89</v>
      </c>
      <c r="F144" s="3"/>
      <c r="G144" s="3"/>
      <c r="H144" s="4">
        <v>46127</v>
      </c>
      <c r="I144" s="5">
        <v>46273</v>
      </c>
      <c r="J144" s="4">
        <v>46289</v>
      </c>
      <c r="K144" s="3"/>
      <c r="L144" s="3"/>
      <c r="M144" s="3"/>
      <c r="N144" s="3"/>
      <c r="O144" s="3" t="s">
        <v>90</v>
      </c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>
        <v>54</v>
      </c>
      <c r="AC144" s="3">
        <v>0</v>
      </c>
      <c r="AD144" s="6" t="s">
        <v>44</v>
      </c>
      <c r="AE144" s="3" t="s">
        <v>84</v>
      </c>
      <c r="AF144" s="6" t="s">
        <v>44</v>
      </c>
      <c r="AG144" s="6" t="s">
        <v>44</v>
      </c>
      <c r="AH144" s="6" t="s">
        <v>44</v>
      </c>
      <c r="AI144" s="3"/>
      <c r="AJ144" s="3"/>
      <c r="AK144" s="3"/>
      <c r="AL144" s="7">
        <f>IF(A144="","",IF(COUNTIF(A144:A$2001,A144)=1,1,0))</f>
        <v>1</v>
      </c>
      <c r="AM144" s="7">
        <f t="shared" ca="1" si="6"/>
        <v>24</v>
      </c>
      <c r="AN144" s="7">
        <f t="shared" si="7"/>
        <v>1</v>
      </c>
      <c r="AO144" s="7">
        <f t="shared" si="8"/>
        <v>1</v>
      </c>
      <c r="AP144" s="15"/>
    </row>
    <row r="145" spans="1:42" ht="15" customHeight="1">
      <c r="A145" s="3">
        <v>202660001253</v>
      </c>
      <c r="B145" s="3">
        <v>1126114</v>
      </c>
      <c r="C145" s="3" t="s">
        <v>304</v>
      </c>
      <c r="D145" s="3">
        <v>32</v>
      </c>
      <c r="E145" s="3" t="s">
        <v>73</v>
      </c>
      <c r="F145" s="3">
        <v>20</v>
      </c>
      <c r="G145" s="3" t="s">
        <v>50</v>
      </c>
      <c r="H145" s="4">
        <v>46253</v>
      </c>
      <c r="I145" s="5">
        <v>46260</v>
      </c>
      <c r="J145" s="4">
        <v>46276</v>
      </c>
      <c r="K145" s="4">
        <v>46276</v>
      </c>
      <c r="L145" s="3"/>
      <c r="M145" s="3"/>
      <c r="N145" s="3"/>
      <c r="O145" s="3" t="s">
        <v>74</v>
      </c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>
        <v>21</v>
      </c>
      <c r="AC145" s="3">
        <v>1</v>
      </c>
      <c r="AD145" s="6" t="s">
        <v>47</v>
      </c>
      <c r="AE145" s="3" t="s">
        <v>54</v>
      </c>
      <c r="AF145" s="6" t="s">
        <v>47</v>
      </c>
      <c r="AG145" s="6" t="s">
        <v>47</v>
      </c>
      <c r="AH145" s="6" t="s">
        <v>47</v>
      </c>
      <c r="AI145" s="3"/>
      <c r="AJ145" s="3"/>
      <c r="AK145" s="3"/>
      <c r="AL145" s="7">
        <f>IF(A145="","",IF(COUNTIF(A145:A$2001,A145)=1,1,0))</f>
        <v>1</v>
      </c>
      <c r="AM145" s="7">
        <f t="shared" ca="1" si="6"/>
        <v>37</v>
      </c>
      <c r="AN145" s="7">
        <f t="shared" si="7"/>
        <v>1</v>
      </c>
      <c r="AO145" s="7">
        <f t="shared" si="8"/>
        <v>1</v>
      </c>
      <c r="AP145" s="15"/>
    </row>
    <row r="146" spans="1:42" ht="15" customHeight="1">
      <c r="A146" s="3">
        <v>202660001257</v>
      </c>
      <c r="B146" s="3">
        <v>840419</v>
      </c>
      <c r="C146" s="3" t="s">
        <v>207</v>
      </c>
      <c r="D146" s="3">
        <v>32</v>
      </c>
      <c r="E146" s="3" t="s">
        <v>73</v>
      </c>
      <c r="F146" s="3"/>
      <c r="G146" s="3"/>
      <c r="H146" s="4">
        <v>46149</v>
      </c>
      <c r="I146" s="5">
        <v>46261</v>
      </c>
      <c r="J146" s="4">
        <v>46262</v>
      </c>
      <c r="K146" s="4">
        <v>46262</v>
      </c>
      <c r="L146" s="3"/>
      <c r="M146" s="3"/>
      <c r="N146" s="3"/>
      <c r="O146" s="3" t="s">
        <v>74</v>
      </c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>
        <v>28</v>
      </c>
      <c r="AC146" s="3">
        <v>1</v>
      </c>
      <c r="AD146" s="6" t="s">
        <v>47</v>
      </c>
      <c r="AE146" s="3" t="s">
        <v>93</v>
      </c>
      <c r="AF146" s="6" t="s">
        <v>47</v>
      </c>
      <c r="AG146" s="3"/>
      <c r="AH146" s="6" t="s">
        <v>47</v>
      </c>
      <c r="AI146" s="3"/>
      <c r="AJ146" s="3"/>
      <c r="AK146" s="3"/>
      <c r="AL146" s="7">
        <f>IF(A146="","",IF(COUNTIF(A146:A$2001,A146)=1,1,0))</f>
        <v>1</v>
      </c>
      <c r="AM146" s="7">
        <f t="shared" ca="1" si="6"/>
        <v>36</v>
      </c>
      <c r="AN146" s="7">
        <f t="shared" si="7"/>
        <v>1</v>
      </c>
      <c r="AO146" s="7">
        <f t="shared" si="8"/>
        <v>0</v>
      </c>
      <c r="AP146" s="15"/>
    </row>
    <row r="147" spans="1:42" ht="15" customHeight="1">
      <c r="A147" s="3">
        <v>202660001258</v>
      </c>
      <c r="B147" s="3">
        <v>1166048</v>
      </c>
      <c r="C147" s="3" t="s">
        <v>305</v>
      </c>
      <c r="D147" s="3">
        <v>32</v>
      </c>
      <c r="E147" s="3" t="s">
        <v>73</v>
      </c>
      <c r="F147" s="3"/>
      <c r="G147" s="3"/>
      <c r="H147" s="4">
        <v>46216</v>
      </c>
      <c r="I147" s="5">
        <v>46261</v>
      </c>
      <c r="J147" s="4">
        <v>46268</v>
      </c>
      <c r="K147" s="4">
        <v>46268</v>
      </c>
      <c r="L147" s="3"/>
      <c r="M147" s="3"/>
      <c r="N147" s="3"/>
      <c r="O147" s="3" t="s">
        <v>74</v>
      </c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>
        <v>28</v>
      </c>
      <c r="AC147" s="3">
        <v>1</v>
      </c>
      <c r="AD147" s="6" t="s">
        <v>47</v>
      </c>
      <c r="AE147" s="3" t="s">
        <v>93</v>
      </c>
      <c r="AF147" s="6" t="s">
        <v>47</v>
      </c>
      <c r="AG147" s="6" t="s">
        <v>47</v>
      </c>
      <c r="AH147" s="6" t="s">
        <v>47</v>
      </c>
      <c r="AI147" s="3"/>
      <c r="AJ147" s="3"/>
      <c r="AK147" s="3"/>
      <c r="AL147" s="7">
        <f>IF(A147="","",IF(COUNTIF(A147:A$2001,A147)=1,1,0))</f>
        <v>1</v>
      </c>
      <c r="AM147" s="7">
        <f t="shared" ca="1" si="6"/>
        <v>36</v>
      </c>
      <c r="AN147" s="7">
        <f t="shared" si="7"/>
        <v>1</v>
      </c>
      <c r="AO147" s="7">
        <f t="shared" si="8"/>
        <v>1</v>
      </c>
      <c r="AP147" s="15"/>
    </row>
    <row r="148" spans="1:42" ht="15" customHeight="1">
      <c r="A148" s="3">
        <v>202660001259</v>
      </c>
      <c r="B148" s="3">
        <v>1202303</v>
      </c>
      <c r="C148" s="3" t="s">
        <v>306</v>
      </c>
      <c r="D148" s="3">
        <v>34</v>
      </c>
      <c r="E148" s="3" t="s">
        <v>273</v>
      </c>
      <c r="F148" s="3">
        <v>20</v>
      </c>
      <c r="G148" s="3" t="s">
        <v>50</v>
      </c>
      <c r="H148" s="4">
        <v>46255</v>
      </c>
      <c r="I148" s="5">
        <v>46265</v>
      </c>
      <c r="J148" s="4">
        <v>46281</v>
      </c>
      <c r="K148" s="4">
        <v>46281</v>
      </c>
      <c r="L148" s="3"/>
      <c r="M148" s="3"/>
      <c r="N148" s="3"/>
      <c r="O148" s="3" t="s">
        <v>274</v>
      </c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>
        <v>21</v>
      </c>
      <c r="AC148" s="3">
        <v>1</v>
      </c>
      <c r="AD148" s="6" t="s">
        <v>47</v>
      </c>
      <c r="AE148" s="3" t="s">
        <v>54</v>
      </c>
      <c r="AF148" s="6" t="s">
        <v>47</v>
      </c>
      <c r="AG148" s="6" t="s">
        <v>47</v>
      </c>
      <c r="AH148" s="6" t="s">
        <v>47</v>
      </c>
      <c r="AI148" s="3"/>
      <c r="AJ148" s="3"/>
      <c r="AK148" s="3"/>
      <c r="AL148" s="7">
        <f>IF(A148="","",IF(COUNTIF(A148:A$2001,A148)=1,1,0))</f>
        <v>1</v>
      </c>
      <c r="AM148" s="7">
        <f t="shared" ca="1" si="6"/>
        <v>32</v>
      </c>
      <c r="AN148" s="7">
        <f t="shared" si="7"/>
        <v>1</v>
      </c>
      <c r="AO148" s="7">
        <f t="shared" si="8"/>
        <v>1</v>
      </c>
      <c r="AP148" s="15"/>
    </row>
    <row r="149" spans="1:42" ht="15" customHeight="1">
      <c r="A149" s="3">
        <v>202660001260</v>
      </c>
      <c r="B149" s="3">
        <v>870361</v>
      </c>
      <c r="C149" s="3" t="s">
        <v>307</v>
      </c>
      <c r="D149" s="3">
        <v>32</v>
      </c>
      <c r="E149" s="3" t="s">
        <v>73</v>
      </c>
      <c r="F149" s="3"/>
      <c r="G149" s="3"/>
      <c r="H149" s="4">
        <v>46254</v>
      </c>
      <c r="I149" s="5">
        <v>46255</v>
      </c>
      <c r="J149" s="4">
        <v>46265</v>
      </c>
      <c r="K149" s="4">
        <v>46280</v>
      </c>
      <c r="L149" s="3"/>
      <c r="M149" s="3"/>
      <c r="N149" s="3"/>
      <c r="O149" s="3" t="s">
        <v>74</v>
      </c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>
        <v>50</v>
      </c>
      <c r="AC149" s="3">
        <v>0</v>
      </c>
      <c r="AD149" s="6" t="s">
        <v>44</v>
      </c>
      <c r="AE149" s="3" t="s">
        <v>58</v>
      </c>
      <c r="AF149" s="6" t="s">
        <v>44</v>
      </c>
      <c r="AG149" s="6" t="s">
        <v>44</v>
      </c>
      <c r="AH149" s="6" t="s">
        <v>44</v>
      </c>
      <c r="AI149" s="3"/>
      <c r="AJ149" s="3"/>
      <c r="AK149" s="3"/>
      <c r="AL149" s="7">
        <f>IF(A149="","",IF(COUNTIF(A149:A$2001,A149)=1,1,0))</f>
        <v>1</v>
      </c>
      <c r="AM149" s="7">
        <f t="shared" ca="1" si="6"/>
        <v>42</v>
      </c>
      <c r="AN149" s="7">
        <f t="shared" si="7"/>
        <v>1</v>
      </c>
      <c r="AO149" s="7">
        <f t="shared" si="8"/>
        <v>1</v>
      </c>
      <c r="AP149" s="15"/>
    </row>
    <row r="150" spans="1:42" ht="15" customHeight="1">
      <c r="A150" s="3">
        <v>202660001262</v>
      </c>
      <c r="B150" s="3">
        <v>1151295</v>
      </c>
      <c r="C150" s="3" t="s">
        <v>308</v>
      </c>
      <c r="D150" s="3">
        <v>32</v>
      </c>
      <c r="E150" s="3" t="s">
        <v>73</v>
      </c>
      <c r="F150" s="3"/>
      <c r="G150" s="3"/>
      <c r="H150" s="4">
        <v>46272</v>
      </c>
      <c r="I150" s="5">
        <v>46272</v>
      </c>
      <c r="J150" s="4">
        <v>46280</v>
      </c>
      <c r="K150" s="4">
        <v>46280</v>
      </c>
      <c r="L150" s="3"/>
      <c r="M150" s="3"/>
      <c r="N150" s="3"/>
      <c r="O150" s="3" t="s">
        <v>81</v>
      </c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>
        <v>26</v>
      </c>
      <c r="AC150" s="3">
        <v>1</v>
      </c>
      <c r="AD150" s="6" t="s">
        <v>47</v>
      </c>
      <c r="AE150" s="3" t="s">
        <v>56</v>
      </c>
      <c r="AF150" s="6" t="s">
        <v>47</v>
      </c>
      <c r="AG150" s="6" t="s">
        <v>47</v>
      </c>
      <c r="AH150" s="3"/>
      <c r="AI150" s="3"/>
      <c r="AJ150" s="3"/>
      <c r="AK150" s="3"/>
      <c r="AL150" s="7">
        <f>IF(A150="","",IF(COUNTIF(A150:A$2001,A150)=1,1,0))</f>
        <v>1</v>
      </c>
      <c r="AM150" s="7">
        <f t="shared" ca="1" si="6"/>
        <v>25</v>
      </c>
      <c r="AN150" s="7">
        <f t="shared" si="7"/>
        <v>1</v>
      </c>
      <c r="AO150" s="7">
        <f t="shared" si="8"/>
        <v>1</v>
      </c>
      <c r="AP150" s="15"/>
    </row>
    <row r="151" spans="1:42" ht="15" customHeight="1">
      <c r="A151" s="3">
        <v>202660001265</v>
      </c>
      <c r="B151" s="3">
        <v>1212515</v>
      </c>
      <c r="C151" s="3" t="s">
        <v>208</v>
      </c>
      <c r="D151" s="3">
        <v>31</v>
      </c>
      <c r="E151" s="3" t="s">
        <v>42</v>
      </c>
      <c r="F151" s="3"/>
      <c r="G151" s="3"/>
      <c r="H151" s="4">
        <v>46197</v>
      </c>
      <c r="I151" s="5">
        <v>46237</v>
      </c>
      <c r="J151" s="4">
        <v>46280</v>
      </c>
      <c r="K151" s="4">
        <v>46280</v>
      </c>
      <c r="L151" s="3"/>
      <c r="M151" s="3"/>
      <c r="N151" s="3"/>
      <c r="O151" s="3" t="s">
        <v>55</v>
      </c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>
        <v>51</v>
      </c>
      <c r="AC151" s="3">
        <v>0</v>
      </c>
      <c r="AD151" s="6" t="s">
        <v>44</v>
      </c>
      <c r="AE151" s="3" t="s">
        <v>71</v>
      </c>
      <c r="AF151" s="6" t="s">
        <v>44</v>
      </c>
      <c r="AG151" s="3"/>
      <c r="AH151" s="3"/>
      <c r="AI151" s="3"/>
      <c r="AJ151" s="3"/>
      <c r="AK151" s="3"/>
      <c r="AL151" s="7">
        <f>IF(A151="","",IF(COUNTIF(A151:A$2001,A151)=1,1,0))</f>
        <v>1</v>
      </c>
      <c r="AM151" s="7">
        <f t="shared" ca="1" si="6"/>
        <v>60</v>
      </c>
      <c r="AN151" s="7">
        <f t="shared" si="7"/>
        <v>1</v>
      </c>
      <c r="AO151" s="7">
        <f t="shared" si="8"/>
        <v>0</v>
      </c>
      <c r="AP151" s="15"/>
    </row>
    <row r="152" spans="1:42" ht="15" customHeight="1">
      <c r="A152" s="3">
        <v>202660001267</v>
      </c>
      <c r="B152" s="3">
        <v>1014039</v>
      </c>
      <c r="C152" s="3" t="s">
        <v>209</v>
      </c>
      <c r="D152" s="3">
        <v>30</v>
      </c>
      <c r="E152" s="3" t="s">
        <v>89</v>
      </c>
      <c r="F152" s="3"/>
      <c r="G152" s="3"/>
      <c r="H152" s="4">
        <v>46023</v>
      </c>
      <c r="I152" s="5">
        <v>46262</v>
      </c>
      <c r="J152" s="4">
        <v>46265</v>
      </c>
      <c r="K152" s="3"/>
      <c r="L152" s="3"/>
      <c r="M152" s="3"/>
      <c r="N152" s="3"/>
      <c r="O152" s="3" t="s">
        <v>90</v>
      </c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>
        <v>51</v>
      </c>
      <c r="AC152" s="3">
        <v>0</v>
      </c>
      <c r="AD152" s="6" t="s">
        <v>44</v>
      </c>
      <c r="AE152" s="3" t="s">
        <v>71</v>
      </c>
      <c r="AF152" s="3"/>
      <c r="AG152" s="3"/>
      <c r="AH152" s="6" t="s">
        <v>44</v>
      </c>
      <c r="AI152" s="3"/>
      <c r="AJ152" s="3"/>
      <c r="AK152" s="3"/>
      <c r="AL152" s="7">
        <f>IF(A152="","",IF(COUNTIF(A152:A$2001,A152)=1,1,0))</f>
        <v>1</v>
      </c>
      <c r="AM152" s="7">
        <f t="shared" ca="1" si="6"/>
        <v>35</v>
      </c>
      <c r="AN152" s="7">
        <f t="shared" si="7"/>
        <v>1</v>
      </c>
      <c r="AO152" s="7">
        <f t="shared" si="8"/>
        <v>0</v>
      </c>
      <c r="AP152" s="15"/>
    </row>
    <row r="153" spans="1:42" ht="15" customHeight="1">
      <c r="A153" s="3">
        <v>202660001269</v>
      </c>
      <c r="B153" s="3">
        <v>1024179</v>
      </c>
      <c r="C153" s="3" t="s">
        <v>309</v>
      </c>
      <c r="D153" s="3">
        <v>40</v>
      </c>
      <c r="E153" s="3" t="s">
        <v>248</v>
      </c>
      <c r="F153" s="3">
        <v>20</v>
      </c>
      <c r="G153" s="3" t="s">
        <v>50</v>
      </c>
      <c r="H153" s="4">
        <v>46251</v>
      </c>
      <c r="I153" s="5">
        <v>46273</v>
      </c>
      <c r="J153" s="4">
        <v>46274</v>
      </c>
      <c r="K153" s="4">
        <v>46274</v>
      </c>
      <c r="L153" s="3"/>
      <c r="M153" s="3"/>
      <c r="N153" s="3"/>
      <c r="O153" s="3" t="s">
        <v>61</v>
      </c>
      <c r="P153" s="3"/>
      <c r="Q153" s="3"/>
      <c r="R153" s="3"/>
      <c r="S153" s="3"/>
      <c r="T153" s="3"/>
      <c r="U153" s="3"/>
      <c r="V153" s="3"/>
      <c r="W153" s="6" t="s">
        <v>62</v>
      </c>
      <c r="X153" s="3"/>
      <c r="Y153" s="3"/>
      <c r="Z153" s="3"/>
      <c r="AA153" s="3"/>
      <c r="AB153" s="3">
        <v>47</v>
      </c>
      <c r="AC153" s="3">
        <v>0</v>
      </c>
      <c r="AD153" s="6" t="s">
        <v>44</v>
      </c>
      <c r="AE153" s="3" t="s">
        <v>45</v>
      </c>
      <c r="AF153" s="6" t="s">
        <v>44</v>
      </c>
      <c r="AG153" s="6" t="s">
        <v>44</v>
      </c>
      <c r="AH153" s="3"/>
      <c r="AI153" s="3"/>
      <c r="AJ153" s="3"/>
      <c r="AK153" s="3"/>
      <c r="AL153" s="7">
        <f>IF(A153="","",IF(COUNTIF(A153:A$2001,A153)=1,1,0))</f>
        <v>1</v>
      </c>
      <c r="AM153" s="7">
        <f t="shared" ca="1" si="6"/>
        <v>24</v>
      </c>
      <c r="AN153" s="7">
        <f t="shared" si="7"/>
        <v>1</v>
      </c>
      <c r="AO153" s="7">
        <f t="shared" si="8"/>
        <v>1</v>
      </c>
      <c r="AP153" s="15" t="s">
        <v>337</v>
      </c>
    </row>
    <row r="154" spans="1:42" ht="15" customHeight="1">
      <c r="A154" s="3">
        <v>202660001270</v>
      </c>
      <c r="B154" s="3">
        <v>1186038</v>
      </c>
      <c r="C154" s="3" t="s">
        <v>310</v>
      </c>
      <c r="D154" s="3">
        <v>40</v>
      </c>
      <c r="E154" s="3" t="s">
        <v>248</v>
      </c>
      <c r="F154" s="3">
        <v>20</v>
      </c>
      <c r="G154" s="3" t="s">
        <v>50</v>
      </c>
      <c r="H154" s="4">
        <v>46255</v>
      </c>
      <c r="I154" s="5">
        <v>46262</v>
      </c>
      <c r="J154" s="4">
        <v>46269</v>
      </c>
      <c r="K154" s="4">
        <v>46269</v>
      </c>
      <c r="L154" s="3"/>
      <c r="M154" s="3"/>
      <c r="N154" s="3"/>
      <c r="O154" s="3" t="s">
        <v>66</v>
      </c>
      <c r="P154" s="6" t="s">
        <v>59</v>
      </c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>
        <v>21</v>
      </c>
      <c r="AC154" s="3">
        <v>1</v>
      </c>
      <c r="AD154" s="6" t="s">
        <v>47</v>
      </c>
      <c r="AE154" s="3" t="s">
        <v>54</v>
      </c>
      <c r="AF154" s="6" t="s">
        <v>47</v>
      </c>
      <c r="AG154" s="6" t="s">
        <v>47</v>
      </c>
      <c r="AH154" s="6" t="s">
        <v>47</v>
      </c>
      <c r="AI154" s="3"/>
      <c r="AJ154" s="3"/>
      <c r="AK154" s="3"/>
      <c r="AL154" s="7">
        <f>IF(A154="","",IF(COUNTIF(A154:A$2001,A154)=1,1,0))</f>
        <v>1</v>
      </c>
      <c r="AM154" s="7">
        <f t="shared" ca="1" si="6"/>
        <v>35</v>
      </c>
      <c r="AN154" s="7">
        <f t="shared" si="7"/>
        <v>1</v>
      </c>
      <c r="AO154" s="7">
        <f t="shared" si="8"/>
        <v>1</v>
      </c>
      <c r="AP154" s="15" t="s">
        <v>336</v>
      </c>
    </row>
    <row r="155" spans="1:42" ht="15" customHeight="1">
      <c r="A155" s="3">
        <v>202660001271</v>
      </c>
      <c r="B155" s="3">
        <v>1211501</v>
      </c>
      <c r="C155" s="3" t="s">
        <v>210</v>
      </c>
      <c r="D155" s="3">
        <v>40</v>
      </c>
      <c r="E155" s="3" t="s">
        <v>248</v>
      </c>
      <c r="F155" s="3">
        <v>20</v>
      </c>
      <c r="G155" s="3" t="s">
        <v>50</v>
      </c>
      <c r="H155" s="4">
        <v>46255</v>
      </c>
      <c r="I155" s="5">
        <v>46262</v>
      </c>
      <c r="J155" s="4">
        <v>46266</v>
      </c>
      <c r="K155" s="4">
        <v>46266</v>
      </c>
      <c r="L155" s="3"/>
      <c r="M155" s="3"/>
      <c r="N155" s="3"/>
      <c r="O155" s="3" t="s">
        <v>66</v>
      </c>
      <c r="P155" s="6" t="s">
        <v>59</v>
      </c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>
        <v>21</v>
      </c>
      <c r="AC155" s="3">
        <v>1</v>
      </c>
      <c r="AD155" s="6" t="s">
        <v>47</v>
      </c>
      <c r="AE155" s="3" t="s">
        <v>54</v>
      </c>
      <c r="AF155" s="6" t="s">
        <v>47</v>
      </c>
      <c r="AG155" s="6" t="s">
        <v>47</v>
      </c>
      <c r="AH155" s="6" t="s">
        <v>47</v>
      </c>
      <c r="AI155" s="3"/>
      <c r="AJ155" s="3"/>
      <c r="AK155" s="3"/>
      <c r="AL155" s="7">
        <f>IF(A155="","",IF(COUNTIF(A155:A$2001,A155)=1,1,0))</f>
        <v>1</v>
      </c>
      <c r="AM155" s="7">
        <f t="shared" ca="1" si="6"/>
        <v>35</v>
      </c>
      <c r="AN155" s="7">
        <f t="shared" si="7"/>
        <v>1</v>
      </c>
      <c r="AO155" s="7">
        <f t="shared" si="8"/>
        <v>1</v>
      </c>
      <c r="AP155" s="15" t="s">
        <v>336</v>
      </c>
    </row>
    <row r="156" spans="1:42" ht="15" customHeight="1">
      <c r="A156" s="3">
        <v>202660001274</v>
      </c>
      <c r="B156" s="3">
        <v>950187</v>
      </c>
      <c r="C156" s="3" t="s">
        <v>211</v>
      </c>
      <c r="D156" s="3">
        <v>20</v>
      </c>
      <c r="E156" s="3" t="s">
        <v>68</v>
      </c>
      <c r="F156" s="3"/>
      <c r="G156" s="3"/>
      <c r="H156" s="4">
        <v>46204</v>
      </c>
      <c r="I156" s="5">
        <v>46262</v>
      </c>
      <c r="J156" s="3"/>
      <c r="K156" s="3"/>
      <c r="L156" s="3"/>
      <c r="M156" s="3"/>
      <c r="N156" s="3"/>
      <c r="O156" s="3" t="s">
        <v>66</v>
      </c>
      <c r="P156" s="6" t="s">
        <v>59</v>
      </c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>
        <v>99</v>
      </c>
      <c r="AC156" s="3">
        <v>0</v>
      </c>
      <c r="AD156" s="6" t="s">
        <v>44</v>
      </c>
      <c r="AE156" s="3" t="s">
        <v>60</v>
      </c>
      <c r="AF156" s="6" t="s">
        <v>44</v>
      </c>
      <c r="AG156" s="6" t="s">
        <v>44</v>
      </c>
      <c r="AH156" s="3"/>
      <c r="AI156" s="3"/>
      <c r="AJ156" s="3"/>
      <c r="AK156" s="3"/>
      <c r="AL156" s="7">
        <f>IF(A156="","",IF(COUNTIF(A156:A$2001,A156)=1,1,0))</f>
        <v>1</v>
      </c>
      <c r="AM156" s="7">
        <f t="shared" ca="1" si="6"/>
        <v>35</v>
      </c>
      <c r="AN156" s="7">
        <f t="shared" si="7"/>
        <v>1</v>
      </c>
      <c r="AO156" s="7">
        <f t="shared" si="8"/>
        <v>1</v>
      </c>
      <c r="AP156" s="15" t="s">
        <v>336</v>
      </c>
    </row>
    <row r="157" spans="1:42" ht="15" customHeight="1">
      <c r="A157" s="3">
        <v>202660001278</v>
      </c>
      <c r="B157" s="3">
        <v>840202</v>
      </c>
      <c r="C157" s="3" t="s">
        <v>212</v>
      </c>
      <c r="D157" s="3">
        <v>40</v>
      </c>
      <c r="E157" s="3" t="s">
        <v>248</v>
      </c>
      <c r="F157" s="3">
        <v>20</v>
      </c>
      <c r="G157" s="3" t="s">
        <v>50</v>
      </c>
      <c r="H157" s="4">
        <v>46262</v>
      </c>
      <c r="I157" s="5">
        <v>46265</v>
      </c>
      <c r="J157" s="4">
        <v>46269</v>
      </c>
      <c r="K157" s="4">
        <v>46269</v>
      </c>
      <c r="L157" s="3"/>
      <c r="M157" s="3"/>
      <c r="N157" s="3"/>
      <c r="O157" s="3" t="s">
        <v>66</v>
      </c>
      <c r="P157" s="6" t="s">
        <v>59</v>
      </c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>
        <v>99</v>
      </c>
      <c r="AC157" s="3">
        <v>0</v>
      </c>
      <c r="AD157" s="6" t="s">
        <v>44</v>
      </c>
      <c r="AE157" s="3" t="s">
        <v>60</v>
      </c>
      <c r="AF157" s="6" t="s">
        <v>44</v>
      </c>
      <c r="AG157" s="3"/>
      <c r="AH157" s="6" t="s">
        <v>44</v>
      </c>
      <c r="AI157" s="3"/>
      <c r="AJ157" s="3"/>
      <c r="AK157" s="3"/>
      <c r="AL157" s="7">
        <f>IF(A157="","",IF(COUNTIF(A157:A$2001,A157)=1,1,0))</f>
        <v>1</v>
      </c>
      <c r="AM157" s="7">
        <f t="shared" ca="1" si="6"/>
        <v>32</v>
      </c>
      <c r="AN157" s="7">
        <f t="shared" si="7"/>
        <v>1</v>
      </c>
      <c r="AO157" s="7">
        <f t="shared" si="8"/>
        <v>0</v>
      </c>
      <c r="AP157" s="15" t="s">
        <v>336</v>
      </c>
    </row>
    <row r="158" spans="1:42" ht="15" customHeight="1">
      <c r="A158" s="3">
        <v>202660001281</v>
      </c>
      <c r="B158" s="3">
        <v>940493</v>
      </c>
      <c r="C158" s="3" t="s">
        <v>311</v>
      </c>
      <c r="D158" s="3">
        <v>31</v>
      </c>
      <c r="E158" s="3" t="s">
        <v>42</v>
      </c>
      <c r="F158" s="3">
        <v>30</v>
      </c>
      <c r="G158" s="3" t="s">
        <v>76</v>
      </c>
      <c r="H158" s="4">
        <v>46170</v>
      </c>
      <c r="I158" s="5">
        <v>46265</v>
      </c>
      <c r="J158" s="4">
        <v>46268</v>
      </c>
      <c r="K158" s="4">
        <v>46268</v>
      </c>
      <c r="L158" s="3"/>
      <c r="M158" s="3"/>
      <c r="N158" s="3"/>
      <c r="O158" s="3" t="s">
        <v>312</v>
      </c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>
        <v>48</v>
      </c>
      <c r="AC158" s="3">
        <v>0</v>
      </c>
      <c r="AD158" s="6" t="s">
        <v>44</v>
      </c>
      <c r="AE158" s="3" t="s">
        <v>92</v>
      </c>
      <c r="AF158" s="6" t="s">
        <v>44</v>
      </c>
      <c r="AG158" s="6" t="s">
        <v>44</v>
      </c>
      <c r="AH158" s="6" t="s">
        <v>44</v>
      </c>
      <c r="AI158" s="3"/>
      <c r="AJ158" s="3"/>
      <c r="AK158" s="3"/>
      <c r="AL158" s="7">
        <f>IF(A158="","",IF(COUNTIF(A158:A$2001,A158)=1,1,0))</f>
        <v>1</v>
      </c>
      <c r="AM158" s="7">
        <f t="shared" ca="1" si="6"/>
        <v>32</v>
      </c>
      <c r="AN158" s="7">
        <f t="shared" si="7"/>
        <v>1</v>
      </c>
      <c r="AO158" s="7">
        <f t="shared" si="8"/>
        <v>1</v>
      </c>
      <c r="AP158" s="15"/>
    </row>
    <row r="159" spans="1:42" ht="15" customHeight="1">
      <c r="A159" s="3">
        <v>202660001282</v>
      </c>
      <c r="B159" s="3">
        <v>1236010</v>
      </c>
      <c r="C159" s="3" t="s">
        <v>313</v>
      </c>
      <c r="D159" s="3">
        <v>36</v>
      </c>
      <c r="E159" s="3" t="s">
        <v>264</v>
      </c>
      <c r="F159" s="3"/>
      <c r="G159" s="3"/>
      <c r="H159" s="4">
        <v>46261</v>
      </c>
      <c r="I159" s="5">
        <v>46265</v>
      </c>
      <c r="J159" s="4">
        <v>46279</v>
      </c>
      <c r="K159" s="4">
        <v>46279</v>
      </c>
      <c r="L159" s="4">
        <v>46289</v>
      </c>
      <c r="M159" s="4">
        <v>46289</v>
      </c>
      <c r="N159" s="3"/>
      <c r="O159" s="3" t="s">
        <v>265</v>
      </c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>
        <v>21</v>
      </c>
      <c r="AC159" s="3">
        <v>1</v>
      </c>
      <c r="AD159" s="6" t="s">
        <v>47</v>
      </c>
      <c r="AE159" s="3" t="s">
        <v>54</v>
      </c>
      <c r="AF159" s="6" t="s">
        <v>47</v>
      </c>
      <c r="AG159" s="6" t="s">
        <v>47</v>
      </c>
      <c r="AH159" s="6" t="s">
        <v>47</v>
      </c>
      <c r="AI159" s="3"/>
      <c r="AJ159" s="3"/>
      <c r="AK159" s="3"/>
      <c r="AL159" s="7">
        <f>IF(A159="","",IF(COUNTIF(A159:A$2001,A159)=1,1,0))</f>
        <v>1</v>
      </c>
      <c r="AM159" s="7">
        <f t="shared" ca="1" si="6"/>
        <v>32</v>
      </c>
      <c r="AN159" s="7">
        <f t="shared" si="7"/>
        <v>0</v>
      </c>
      <c r="AO159" s="7">
        <f t="shared" si="8"/>
        <v>1</v>
      </c>
      <c r="AP159" s="15"/>
    </row>
    <row r="160" spans="1:42" ht="15" customHeight="1">
      <c r="A160" s="3">
        <v>202660001290</v>
      </c>
      <c r="B160" s="3">
        <v>960031</v>
      </c>
      <c r="C160" s="3" t="s">
        <v>314</v>
      </c>
      <c r="D160" s="3">
        <v>40</v>
      </c>
      <c r="E160" s="3" t="s">
        <v>248</v>
      </c>
      <c r="F160" s="3">
        <v>20</v>
      </c>
      <c r="G160" s="3" t="s">
        <v>50</v>
      </c>
      <c r="H160" s="3"/>
      <c r="I160" s="5">
        <v>46266</v>
      </c>
      <c r="J160" s="4">
        <v>46269</v>
      </c>
      <c r="K160" s="4">
        <v>46269</v>
      </c>
      <c r="L160" s="3"/>
      <c r="M160" s="3"/>
      <c r="N160" s="3"/>
      <c r="O160" s="3" t="s">
        <v>66</v>
      </c>
      <c r="P160" s="6" t="s">
        <v>59</v>
      </c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6" t="s">
        <v>44</v>
      </c>
      <c r="AE160" s="3"/>
      <c r="AF160" s="3"/>
      <c r="AG160" s="3"/>
      <c r="AH160" s="3"/>
      <c r="AI160" s="3"/>
      <c r="AJ160" s="6" t="s">
        <v>79</v>
      </c>
      <c r="AK160" s="3"/>
      <c r="AL160" s="7">
        <f>IF(A160="","",IF(COUNTIF(A160:A$2001,A160)=1,1,0))</f>
        <v>1</v>
      </c>
      <c r="AM160" s="7">
        <f t="shared" ca="1" si="6"/>
        <v>31</v>
      </c>
      <c r="AN160" s="7">
        <f t="shared" si="7"/>
        <v>1</v>
      </c>
      <c r="AO160" s="7">
        <f t="shared" si="8"/>
        <v>0</v>
      </c>
      <c r="AP160" s="15" t="s">
        <v>336</v>
      </c>
    </row>
    <row r="161" spans="1:42" ht="15" customHeight="1">
      <c r="A161" s="3">
        <v>202660001292</v>
      </c>
      <c r="B161" s="3">
        <v>1121121</v>
      </c>
      <c r="C161" s="3" t="s">
        <v>213</v>
      </c>
      <c r="D161" s="3">
        <v>30</v>
      </c>
      <c r="E161" s="3" t="s">
        <v>89</v>
      </c>
      <c r="F161" s="3"/>
      <c r="G161" s="3"/>
      <c r="H161" s="4">
        <v>46265</v>
      </c>
      <c r="I161" s="5">
        <v>46265</v>
      </c>
      <c r="J161" s="4">
        <v>46269</v>
      </c>
      <c r="K161" s="3"/>
      <c r="L161" s="3"/>
      <c r="M161" s="3"/>
      <c r="N161" s="3"/>
      <c r="O161" s="3" t="s">
        <v>90</v>
      </c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>
        <v>50</v>
      </c>
      <c r="AC161" s="3">
        <v>0</v>
      </c>
      <c r="AD161" s="6" t="s">
        <v>44</v>
      </c>
      <c r="AE161" s="3" t="s">
        <v>58</v>
      </c>
      <c r="AF161" s="6" t="s">
        <v>44</v>
      </c>
      <c r="AG161" s="6" t="s">
        <v>44</v>
      </c>
      <c r="AH161" s="3"/>
      <c r="AI161" s="3"/>
      <c r="AJ161" s="3"/>
      <c r="AK161" s="3"/>
      <c r="AL161" s="7">
        <f>IF(A161="","",IF(COUNTIF(A161:A$2001,A161)=1,1,0))</f>
        <v>1</v>
      </c>
      <c r="AM161" s="7">
        <f t="shared" ca="1" si="6"/>
        <v>32</v>
      </c>
      <c r="AN161" s="7">
        <f t="shared" si="7"/>
        <v>1</v>
      </c>
      <c r="AO161" s="7">
        <f t="shared" si="8"/>
        <v>1</v>
      </c>
      <c r="AP161" s="15"/>
    </row>
    <row r="162" spans="1:42" ht="15" customHeight="1">
      <c r="A162" s="3">
        <v>202660001296</v>
      </c>
      <c r="B162" s="3">
        <v>971027</v>
      </c>
      <c r="C162" s="3" t="s">
        <v>214</v>
      </c>
      <c r="D162" s="3">
        <v>40</v>
      </c>
      <c r="E162" s="3" t="s">
        <v>248</v>
      </c>
      <c r="F162" s="3">
        <v>20</v>
      </c>
      <c r="G162" s="3" t="s">
        <v>50</v>
      </c>
      <c r="H162" s="3"/>
      <c r="I162" s="5">
        <v>46266</v>
      </c>
      <c r="J162" s="4">
        <v>46272</v>
      </c>
      <c r="K162" s="4">
        <v>46272</v>
      </c>
      <c r="L162" s="3"/>
      <c r="M162" s="3"/>
      <c r="N162" s="3"/>
      <c r="O162" s="3" t="s">
        <v>66</v>
      </c>
      <c r="P162" s="6" t="s">
        <v>59</v>
      </c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6" t="s">
        <v>44</v>
      </c>
      <c r="AE162" s="3"/>
      <c r="AF162" s="3"/>
      <c r="AG162" s="3"/>
      <c r="AH162" s="3"/>
      <c r="AI162" s="3"/>
      <c r="AJ162" s="6" t="s">
        <v>79</v>
      </c>
      <c r="AK162" s="3"/>
      <c r="AL162" s="7">
        <f>IF(A162="","",IF(COUNTIF(A162:A$2001,A162)=1,1,0))</f>
        <v>1</v>
      </c>
      <c r="AM162" s="7">
        <f t="shared" ca="1" si="6"/>
        <v>31</v>
      </c>
      <c r="AN162" s="7">
        <f t="shared" si="7"/>
        <v>1</v>
      </c>
      <c r="AO162" s="7">
        <f t="shared" si="8"/>
        <v>0</v>
      </c>
      <c r="AP162" s="15" t="s">
        <v>336</v>
      </c>
    </row>
    <row r="163" spans="1:42" ht="15" customHeight="1">
      <c r="A163" s="3">
        <v>202660001298</v>
      </c>
      <c r="B163" s="3">
        <v>1042043</v>
      </c>
      <c r="C163" s="3" t="s">
        <v>315</v>
      </c>
      <c r="D163" s="3">
        <v>40</v>
      </c>
      <c r="E163" s="3" t="s">
        <v>248</v>
      </c>
      <c r="F163" s="3">
        <v>20</v>
      </c>
      <c r="G163" s="3" t="s">
        <v>50</v>
      </c>
      <c r="H163" s="4">
        <v>46263</v>
      </c>
      <c r="I163" s="5">
        <v>46267</v>
      </c>
      <c r="J163" s="4">
        <v>46269</v>
      </c>
      <c r="K163" s="4">
        <v>46269</v>
      </c>
      <c r="L163" s="3"/>
      <c r="M163" s="3"/>
      <c r="N163" s="3"/>
      <c r="O163" s="3" t="s">
        <v>66</v>
      </c>
      <c r="P163" s="6" t="s">
        <v>59</v>
      </c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>
        <v>26</v>
      </c>
      <c r="AC163" s="3">
        <v>1</v>
      </c>
      <c r="AD163" s="6" t="s">
        <v>47</v>
      </c>
      <c r="AE163" s="3" t="s">
        <v>56</v>
      </c>
      <c r="AF163" s="6" t="s">
        <v>47</v>
      </c>
      <c r="AG163" s="6" t="s">
        <v>47</v>
      </c>
      <c r="AH163" s="6" t="s">
        <v>47</v>
      </c>
      <c r="AI163" s="3"/>
      <c r="AJ163" s="3"/>
      <c r="AK163" s="3"/>
      <c r="AL163" s="7">
        <f>IF(A163="","",IF(COUNTIF(A163:A$2001,A163)=1,1,0))</f>
        <v>1</v>
      </c>
      <c r="AM163" s="7">
        <f t="shared" ca="1" si="6"/>
        <v>30</v>
      </c>
      <c r="AN163" s="7">
        <f t="shared" si="7"/>
        <v>1</v>
      </c>
      <c r="AO163" s="7">
        <f t="shared" si="8"/>
        <v>1</v>
      </c>
      <c r="AP163" s="15" t="s">
        <v>336</v>
      </c>
    </row>
    <row r="164" spans="1:42" ht="15" customHeight="1">
      <c r="A164" s="3">
        <v>202660001300</v>
      </c>
      <c r="B164" s="3">
        <v>890601</v>
      </c>
      <c r="C164" s="3" t="s">
        <v>215</v>
      </c>
      <c r="D164" s="3">
        <v>31</v>
      </c>
      <c r="E164" s="3" t="s">
        <v>42</v>
      </c>
      <c r="F164" s="3">
        <v>20</v>
      </c>
      <c r="G164" s="3" t="s">
        <v>50</v>
      </c>
      <c r="H164" s="4">
        <v>46262</v>
      </c>
      <c r="I164" s="5">
        <v>46267</v>
      </c>
      <c r="J164" s="4">
        <v>46290</v>
      </c>
      <c r="K164" s="4">
        <v>46290</v>
      </c>
      <c r="L164" s="3"/>
      <c r="M164" s="3"/>
      <c r="N164" s="3"/>
      <c r="O164" s="3" t="s">
        <v>43</v>
      </c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>
        <v>50</v>
      </c>
      <c r="AC164" s="3">
        <v>0</v>
      </c>
      <c r="AD164" s="6" t="s">
        <v>44</v>
      </c>
      <c r="AE164" s="3" t="s">
        <v>58</v>
      </c>
      <c r="AF164" s="6" t="s">
        <v>44</v>
      </c>
      <c r="AG164" s="6" t="s">
        <v>44</v>
      </c>
      <c r="AH164" s="6" t="s">
        <v>44</v>
      </c>
      <c r="AI164" s="3"/>
      <c r="AJ164" s="3"/>
      <c r="AK164" s="3"/>
      <c r="AL164" s="7">
        <f>IF(A164="","",IF(COUNTIF(A164:A$2001,A164)=1,1,0))</f>
        <v>1</v>
      </c>
      <c r="AM164" s="7">
        <f t="shared" ca="1" si="6"/>
        <v>30</v>
      </c>
      <c r="AN164" s="7">
        <f t="shared" si="7"/>
        <v>1</v>
      </c>
      <c r="AO164" s="7">
        <f t="shared" si="8"/>
        <v>1</v>
      </c>
      <c r="AP164" s="15"/>
    </row>
    <row r="165" spans="1:42" ht="15" customHeight="1">
      <c r="A165" s="3">
        <v>202660001305</v>
      </c>
      <c r="B165" s="3">
        <v>1166062</v>
      </c>
      <c r="C165" s="3" t="s">
        <v>316</v>
      </c>
      <c r="D165" s="3">
        <v>36</v>
      </c>
      <c r="E165" s="3" t="s">
        <v>264</v>
      </c>
      <c r="F165" s="3">
        <v>30</v>
      </c>
      <c r="G165" s="3" t="s">
        <v>76</v>
      </c>
      <c r="H165" s="4">
        <v>46265</v>
      </c>
      <c r="I165" s="5">
        <v>46268</v>
      </c>
      <c r="J165" s="4">
        <v>46276</v>
      </c>
      <c r="K165" s="4">
        <v>46276</v>
      </c>
      <c r="L165" s="4">
        <v>46289</v>
      </c>
      <c r="M165" s="4">
        <v>46289</v>
      </c>
      <c r="N165" s="3"/>
      <c r="O165" s="3" t="s">
        <v>265</v>
      </c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>
        <v>21</v>
      </c>
      <c r="AC165" s="3">
        <v>1</v>
      </c>
      <c r="AD165" s="6" t="s">
        <v>47</v>
      </c>
      <c r="AE165" s="3" t="s">
        <v>54</v>
      </c>
      <c r="AF165" s="6" t="s">
        <v>47</v>
      </c>
      <c r="AG165" s="6" t="s">
        <v>47</v>
      </c>
      <c r="AH165" s="6" t="s">
        <v>47</v>
      </c>
      <c r="AI165" s="3"/>
      <c r="AJ165" s="3"/>
      <c r="AK165" s="3"/>
      <c r="AL165" s="7">
        <f>IF(A165="","",IF(COUNTIF(A165:A$2001,A165)=1,1,0))</f>
        <v>1</v>
      </c>
      <c r="AM165" s="7">
        <f t="shared" ca="1" si="6"/>
        <v>29</v>
      </c>
      <c r="AN165" s="7">
        <f t="shared" si="7"/>
        <v>0</v>
      </c>
      <c r="AO165" s="7">
        <f t="shared" si="8"/>
        <v>1</v>
      </c>
      <c r="AP165" s="15"/>
    </row>
    <row r="166" spans="1:42" ht="15" customHeight="1">
      <c r="A166" s="3">
        <v>202660001307</v>
      </c>
      <c r="B166" s="3">
        <v>1183017</v>
      </c>
      <c r="C166" s="3" t="s">
        <v>317</v>
      </c>
      <c r="D166" s="3">
        <v>31</v>
      </c>
      <c r="E166" s="3" t="s">
        <v>42</v>
      </c>
      <c r="F166" s="3"/>
      <c r="G166" s="3"/>
      <c r="H166" s="4">
        <v>43963</v>
      </c>
      <c r="I166" s="5">
        <v>46269</v>
      </c>
      <c r="J166" s="4">
        <v>46280</v>
      </c>
      <c r="K166" s="4">
        <v>46280</v>
      </c>
      <c r="L166" s="3"/>
      <c r="M166" s="3"/>
      <c r="N166" s="3"/>
      <c r="O166" s="3" t="s">
        <v>55</v>
      </c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>
        <v>21</v>
      </c>
      <c r="AC166" s="3">
        <v>1</v>
      </c>
      <c r="AD166" s="6" t="s">
        <v>47</v>
      </c>
      <c r="AE166" s="3" t="s">
        <v>54</v>
      </c>
      <c r="AF166" s="6" t="s">
        <v>47</v>
      </c>
      <c r="AG166" s="3"/>
      <c r="AH166" s="3"/>
      <c r="AI166" s="3"/>
      <c r="AJ166" s="3"/>
      <c r="AK166" s="3"/>
      <c r="AL166" s="7">
        <f>IF(A166="","",IF(COUNTIF(A166:A$2001,A166)=1,1,0))</f>
        <v>1</v>
      </c>
      <c r="AM166" s="7">
        <f t="shared" ca="1" si="6"/>
        <v>28</v>
      </c>
      <c r="AN166" s="7">
        <f t="shared" si="7"/>
        <v>1</v>
      </c>
      <c r="AO166" s="7">
        <f t="shared" si="8"/>
        <v>0</v>
      </c>
      <c r="AP166" s="15"/>
    </row>
    <row r="167" spans="1:42" ht="15" customHeight="1">
      <c r="A167" s="3">
        <v>202660001310</v>
      </c>
      <c r="B167" s="3">
        <v>1196068</v>
      </c>
      <c r="C167" s="3" t="s">
        <v>216</v>
      </c>
      <c r="D167" s="3">
        <v>20</v>
      </c>
      <c r="E167" s="3" t="s">
        <v>68</v>
      </c>
      <c r="F167" s="3">
        <v>20</v>
      </c>
      <c r="G167" s="3" t="s">
        <v>50</v>
      </c>
      <c r="H167" s="4">
        <v>46263</v>
      </c>
      <c r="I167" s="5">
        <v>46268</v>
      </c>
      <c r="J167" s="4">
        <v>46275</v>
      </c>
      <c r="K167" s="4">
        <v>46275</v>
      </c>
      <c r="L167" s="3"/>
      <c r="M167" s="3"/>
      <c r="N167" s="3"/>
      <c r="O167" s="3" t="s">
        <v>85</v>
      </c>
      <c r="P167" s="3"/>
      <c r="Q167" s="3"/>
      <c r="R167" s="3"/>
      <c r="S167" s="3"/>
      <c r="T167" s="3"/>
      <c r="U167" s="3"/>
      <c r="V167" s="3"/>
      <c r="W167" s="6" t="s">
        <v>62</v>
      </c>
      <c r="X167" s="3"/>
      <c r="Y167" s="3"/>
      <c r="Z167" s="3"/>
      <c r="AA167" s="3"/>
      <c r="AB167" s="3">
        <v>21</v>
      </c>
      <c r="AC167" s="3">
        <v>1</v>
      </c>
      <c r="AD167" s="6" t="s">
        <v>47</v>
      </c>
      <c r="AE167" s="3" t="s">
        <v>54</v>
      </c>
      <c r="AF167" s="6" t="s">
        <v>47</v>
      </c>
      <c r="AG167" s="6" t="s">
        <v>47</v>
      </c>
      <c r="AH167" s="6" t="s">
        <v>47</v>
      </c>
      <c r="AI167" s="3"/>
      <c r="AJ167" s="3"/>
      <c r="AK167" s="3"/>
      <c r="AL167" s="7">
        <f>IF(A167="","",IF(COUNTIF(A167:A$2001,A167)=1,1,0))</f>
        <v>1</v>
      </c>
      <c r="AM167" s="7">
        <f t="shared" ca="1" si="6"/>
        <v>29</v>
      </c>
      <c r="AN167" s="7">
        <f t="shared" si="7"/>
        <v>1</v>
      </c>
      <c r="AO167" s="7">
        <f t="shared" si="8"/>
        <v>1</v>
      </c>
      <c r="AP167" s="15" t="s">
        <v>337</v>
      </c>
    </row>
    <row r="168" spans="1:42" ht="15" customHeight="1">
      <c r="A168" s="3">
        <v>202660001313</v>
      </c>
      <c r="B168" s="3">
        <v>1091228</v>
      </c>
      <c r="C168" s="3" t="s">
        <v>318</v>
      </c>
      <c r="D168" s="3">
        <v>31</v>
      </c>
      <c r="E168" s="3" t="s">
        <v>42</v>
      </c>
      <c r="F168" s="3"/>
      <c r="G168" s="3"/>
      <c r="H168" s="4">
        <v>46272</v>
      </c>
      <c r="I168" s="5">
        <v>46282</v>
      </c>
      <c r="J168" s="4">
        <v>46283</v>
      </c>
      <c r="K168" s="4">
        <v>46283</v>
      </c>
      <c r="L168" s="3"/>
      <c r="M168" s="3"/>
      <c r="N168" s="3"/>
      <c r="O168" s="3" t="s">
        <v>43</v>
      </c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>
        <v>21</v>
      </c>
      <c r="AC168" s="3">
        <v>1</v>
      </c>
      <c r="AD168" s="6" t="s">
        <v>47</v>
      </c>
      <c r="AE168" s="3" t="s">
        <v>54</v>
      </c>
      <c r="AF168" s="6" t="s">
        <v>47</v>
      </c>
      <c r="AG168" s="6" t="s">
        <v>47</v>
      </c>
      <c r="AH168" s="6" t="s">
        <v>47</v>
      </c>
      <c r="AI168" s="3"/>
      <c r="AJ168" s="3"/>
      <c r="AK168" s="3"/>
      <c r="AL168" s="7">
        <f>IF(A168="","",IF(COUNTIF(A168:A$2001,A168)=1,1,0))</f>
        <v>1</v>
      </c>
      <c r="AM168" s="7">
        <f t="shared" ca="1" si="6"/>
        <v>15</v>
      </c>
      <c r="AN168" s="7">
        <f t="shared" si="7"/>
        <v>1</v>
      </c>
      <c r="AO168" s="7">
        <f t="shared" si="8"/>
        <v>1</v>
      </c>
      <c r="AP168" s="15"/>
    </row>
    <row r="169" spans="1:42" ht="15" customHeight="1">
      <c r="A169" s="3">
        <v>202660001314</v>
      </c>
      <c r="B169" s="3">
        <v>1196062</v>
      </c>
      <c r="C169" s="3" t="s">
        <v>319</v>
      </c>
      <c r="D169" s="3">
        <v>34</v>
      </c>
      <c r="E169" s="3" t="s">
        <v>273</v>
      </c>
      <c r="F169" s="3"/>
      <c r="G169" s="3"/>
      <c r="H169" s="4">
        <v>46263</v>
      </c>
      <c r="I169" s="5">
        <v>46268</v>
      </c>
      <c r="J169" s="4">
        <v>46280</v>
      </c>
      <c r="K169" s="4">
        <v>46280</v>
      </c>
      <c r="L169" s="3"/>
      <c r="M169" s="3"/>
      <c r="N169" s="3"/>
      <c r="O169" s="3" t="s">
        <v>274</v>
      </c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>
        <v>21</v>
      </c>
      <c r="AC169" s="3">
        <v>1</v>
      </c>
      <c r="AD169" s="6" t="s">
        <v>47</v>
      </c>
      <c r="AE169" s="3" t="s">
        <v>54</v>
      </c>
      <c r="AF169" s="6" t="s">
        <v>47</v>
      </c>
      <c r="AG169" s="6" t="s">
        <v>47</v>
      </c>
      <c r="AH169" s="6" t="s">
        <v>47</v>
      </c>
      <c r="AI169" s="3"/>
      <c r="AJ169" s="3"/>
      <c r="AK169" s="3"/>
      <c r="AL169" s="7">
        <f>IF(A169="","",IF(COUNTIF(A169:A$2001,A169)=1,1,0))</f>
        <v>1</v>
      </c>
      <c r="AM169" s="7">
        <f t="shared" ca="1" si="6"/>
        <v>29</v>
      </c>
      <c r="AN169" s="7">
        <f t="shared" si="7"/>
        <v>1</v>
      </c>
      <c r="AO169" s="7">
        <f t="shared" si="8"/>
        <v>1</v>
      </c>
      <c r="AP169" s="15"/>
    </row>
    <row r="170" spans="1:42" ht="15" customHeight="1">
      <c r="A170" s="3">
        <v>202660001319</v>
      </c>
      <c r="B170" s="3">
        <v>1021098</v>
      </c>
      <c r="C170" s="3" t="s">
        <v>217</v>
      </c>
      <c r="D170" s="3">
        <v>32</v>
      </c>
      <c r="E170" s="3" t="s">
        <v>73</v>
      </c>
      <c r="F170" s="3"/>
      <c r="G170" s="3"/>
      <c r="H170" s="4">
        <v>46259</v>
      </c>
      <c r="I170" s="5">
        <v>46269</v>
      </c>
      <c r="J170" s="4">
        <v>46282</v>
      </c>
      <c r="K170" s="4">
        <v>46282</v>
      </c>
      <c r="L170" s="3"/>
      <c r="M170" s="3"/>
      <c r="N170" s="3"/>
      <c r="O170" s="3" t="s">
        <v>81</v>
      </c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>
        <v>24</v>
      </c>
      <c r="AC170" s="3">
        <v>1</v>
      </c>
      <c r="AD170" s="6" t="s">
        <v>47</v>
      </c>
      <c r="AE170" s="3" t="s">
        <v>87</v>
      </c>
      <c r="AF170" s="6" t="s">
        <v>47</v>
      </c>
      <c r="AG170" s="3"/>
      <c r="AH170" s="3"/>
      <c r="AI170" s="3"/>
      <c r="AJ170" s="3"/>
      <c r="AK170" s="3"/>
      <c r="AL170" s="7">
        <f>IF(A170="","",IF(COUNTIF(A170:A$2001,A170)=1,1,0))</f>
        <v>1</v>
      </c>
      <c r="AM170" s="7">
        <f t="shared" ca="1" si="6"/>
        <v>28</v>
      </c>
      <c r="AN170" s="7">
        <f t="shared" si="7"/>
        <v>1</v>
      </c>
      <c r="AO170" s="7">
        <f t="shared" si="8"/>
        <v>0</v>
      </c>
      <c r="AP170" s="15"/>
    </row>
    <row r="171" spans="1:42" ht="15" customHeight="1">
      <c r="A171" s="3">
        <v>202660001320</v>
      </c>
      <c r="B171" s="3">
        <v>1154008</v>
      </c>
      <c r="C171" s="3" t="s">
        <v>320</v>
      </c>
      <c r="D171" s="3">
        <v>31</v>
      </c>
      <c r="E171" s="3" t="s">
        <v>42</v>
      </c>
      <c r="F171" s="3"/>
      <c r="G171" s="3"/>
      <c r="H171" s="4">
        <v>46266</v>
      </c>
      <c r="I171" s="5">
        <v>46269</v>
      </c>
      <c r="J171" s="4">
        <v>46289</v>
      </c>
      <c r="K171" s="4">
        <v>46289</v>
      </c>
      <c r="L171" s="3"/>
      <c r="M171" s="3"/>
      <c r="N171" s="3"/>
      <c r="O171" s="3" t="s">
        <v>55</v>
      </c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>
        <v>51</v>
      </c>
      <c r="AC171" s="3">
        <v>0</v>
      </c>
      <c r="AD171" s="6" t="s">
        <v>44</v>
      </c>
      <c r="AE171" s="3" t="s">
        <v>71</v>
      </c>
      <c r="AF171" s="6" t="s">
        <v>44</v>
      </c>
      <c r="AG171" s="6" t="s">
        <v>44</v>
      </c>
      <c r="AH171" s="3"/>
      <c r="AI171" s="3"/>
      <c r="AJ171" s="3"/>
      <c r="AK171" s="3"/>
      <c r="AL171" s="7">
        <f>IF(A171="","",IF(COUNTIF(A171:A$2001,A171)=1,1,0))</f>
        <v>1</v>
      </c>
      <c r="AM171" s="7">
        <f t="shared" ca="1" si="6"/>
        <v>28</v>
      </c>
      <c r="AN171" s="7">
        <f t="shared" si="7"/>
        <v>1</v>
      </c>
      <c r="AO171" s="7">
        <f t="shared" si="8"/>
        <v>1</v>
      </c>
      <c r="AP171" s="15"/>
    </row>
    <row r="172" spans="1:42" ht="15" customHeight="1">
      <c r="A172" s="3">
        <v>202660001321</v>
      </c>
      <c r="B172" s="3">
        <v>1211171</v>
      </c>
      <c r="C172" s="3" t="s">
        <v>218</v>
      </c>
      <c r="D172" s="3">
        <v>32</v>
      </c>
      <c r="E172" s="3" t="s">
        <v>73</v>
      </c>
      <c r="F172" s="3">
        <v>30</v>
      </c>
      <c r="G172" s="3" t="s">
        <v>76</v>
      </c>
      <c r="H172" s="4">
        <v>46259</v>
      </c>
      <c r="I172" s="5">
        <v>46269</v>
      </c>
      <c r="J172" s="4">
        <v>46272</v>
      </c>
      <c r="K172" s="4">
        <v>46272</v>
      </c>
      <c r="L172" s="3"/>
      <c r="M172" s="3"/>
      <c r="N172" s="3"/>
      <c r="O172" s="3" t="s">
        <v>74</v>
      </c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>
        <v>23</v>
      </c>
      <c r="AC172" s="3">
        <v>1</v>
      </c>
      <c r="AD172" s="6" t="s">
        <v>47</v>
      </c>
      <c r="AE172" s="3" t="s">
        <v>51</v>
      </c>
      <c r="AF172" s="3"/>
      <c r="AG172" s="3"/>
      <c r="AH172" s="3"/>
      <c r="AI172" s="3"/>
      <c r="AJ172" s="3"/>
      <c r="AK172" s="3"/>
      <c r="AL172" s="7">
        <f>IF(A172="","",IF(COUNTIF(A172:A$2001,A172)=1,1,0))</f>
        <v>0</v>
      </c>
      <c r="AM172" s="7">
        <f t="shared" ca="1" si="6"/>
        <v>28</v>
      </c>
      <c r="AN172" s="7">
        <f t="shared" si="7"/>
        <v>1</v>
      </c>
      <c r="AO172" s="7">
        <f t="shared" si="8"/>
        <v>0</v>
      </c>
      <c r="AP172" s="15"/>
    </row>
    <row r="173" spans="1:42" ht="15" customHeight="1">
      <c r="A173" s="3">
        <v>202660001321</v>
      </c>
      <c r="B173" s="3">
        <v>1211171</v>
      </c>
      <c r="C173" s="3" t="s">
        <v>218</v>
      </c>
      <c r="D173" s="3">
        <v>32</v>
      </c>
      <c r="E173" s="3" t="s">
        <v>73</v>
      </c>
      <c r="F173" s="3">
        <v>30</v>
      </c>
      <c r="G173" s="3" t="s">
        <v>76</v>
      </c>
      <c r="H173" s="4">
        <v>46259</v>
      </c>
      <c r="I173" s="5">
        <v>46269</v>
      </c>
      <c r="J173" s="4">
        <v>46272</v>
      </c>
      <c r="K173" s="4">
        <v>46272</v>
      </c>
      <c r="L173" s="3"/>
      <c r="M173" s="3"/>
      <c r="N173" s="3"/>
      <c r="O173" s="3" t="s">
        <v>74</v>
      </c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>
        <v>23</v>
      </c>
      <c r="AC173" s="3">
        <v>1</v>
      </c>
      <c r="AD173" s="6" t="s">
        <v>47</v>
      </c>
      <c r="AE173" s="3" t="s">
        <v>52</v>
      </c>
      <c r="AF173" s="3"/>
      <c r="AG173" s="3"/>
      <c r="AH173" s="3"/>
      <c r="AI173" s="3"/>
      <c r="AJ173" s="3"/>
      <c r="AK173" s="3"/>
      <c r="AL173" s="7">
        <f>IF(A173="","",IF(COUNTIF(A173:A$2001,A173)=1,1,0))</f>
        <v>1</v>
      </c>
      <c r="AM173" s="7">
        <f t="shared" ca="1" si="6"/>
        <v>28</v>
      </c>
      <c r="AN173" s="7">
        <f t="shared" si="7"/>
        <v>1</v>
      </c>
      <c r="AO173" s="7">
        <f t="shared" si="8"/>
        <v>0</v>
      </c>
      <c r="AP173" s="15"/>
    </row>
    <row r="174" spans="1:42" ht="15" customHeight="1">
      <c r="A174" s="3">
        <v>202660001323</v>
      </c>
      <c r="B174" s="3">
        <v>910756</v>
      </c>
      <c r="C174" s="3" t="s">
        <v>219</v>
      </c>
      <c r="D174" s="3">
        <v>32</v>
      </c>
      <c r="E174" s="3" t="s">
        <v>73</v>
      </c>
      <c r="F174" s="3"/>
      <c r="G174" s="3"/>
      <c r="H174" s="4">
        <v>46254</v>
      </c>
      <c r="I174" s="5">
        <v>46272</v>
      </c>
      <c r="J174" s="4">
        <v>46276</v>
      </c>
      <c r="K174" s="4">
        <v>46276</v>
      </c>
      <c r="L174" s="3"/>
      <c r="M174" s="3"/>
      <c r="N174" s="3"/>
      <c r="O174" s="3" t="s">
        <v>74</v>
      </c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>
        <v>28</v>
      </c>
      <c r="AC174" s="3">
        <v>3</v>
      </c>
      <c r="AD174" s="6" t="s">
        <v>44</v>
      </c>
      <c r="AE174" s="3"/>
      <c r="AF174" s="3"/>
      <c r="AG174" s="3"/>
      <c r="AH174" s="6" t="s">
        <v>47</v>
      </c>
      <c r="AI174" s="3"/>
      <c r="AJ174" s="3"/>
      <c r="AK174" s="3"/>
      <c r="AL174" s="7">
        <f>IF(A174="","",IF(COUNTIF(A174:A$2001,A174)=1,1,0))</f>
        <v>1</v>
      </c>
      <c r="AM174" s="7">
        <f t="shared" ca="1" si="6"/>
        <v>25</v>
      </c>
      <c r="AN174" s="7">
        <f t="shared" si="7"/>
        <v>1</v>
      </c>
      <c r="AO174" s="7">
        <f t="shared" si="8"/>
        <v>0</v>
      </c>
      <c r="AP174" s="15"/>
    </row>
    <row r="175" spans="1:42" ht="15" customHeight="1">
      <c r="A175" s="3">
        <v>202660001327</v>
      </c>
      <c r="B175" s="3">
        <v>1102052</v>
      </c>
      <c r="C175" s="3" t="s">
        <v>321</v>
      </c>
      <c r="D175" s="3">
        <v>32</v>
      </c>
      <c r="E175" s="3" t="s">
        <v>73</v>
      </c>
      <c r="F175" s="3"/>
      <c r="G175" s="3"/>
      <c r="H175" s="4">
        <v>46271</v>
      </c>
      <c r="I175" s="5">
        <v>46276</v>
      </c>
      <c r="J175" s="4">
        <v>46279</v>
      </c>
      <c r="K175" s="4">
        <v>46279</v>
      </c>
      <c r="L175" s="3"/>
      <c r="M175" s="3"/>
      <c r="N175" s="3"/>
      <c r="O175" s="3" t="s">
        <v>74</v>
      </c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>
        <v>21</v>
      </c>
      <c r="AC175" s="3">
        <v>1</v>
      </c>
      <c r="AD175" s="6" t="s">
        <v>47</v>
      </c>
      <c r="AE175" s="3" t="s">
        <v>54</v>
      </c>
      <c r="AF175" s="6" t="s">
        <v>47</v>
      </c>
      <c r="AG175" s="6" t="s">
        <v>47</v>
      </c>
      <c r="AH175" s="6" t="s">
        <v>47</v>
      </c>
      <c r="AI175" s="3"/>
      <c r="AJ175" s="3"/>
      <c r="AK175" s="3"/>
      <c r="AL175" s="7">
        <f>IF(A175="","",IF(COUNTIF(A175:A$2001,A175)=1,1,0))</f>
        <v>1</v>
      </c>
      <c r="AM175" s="7">
        <f t="shared" ca="1" si="6"/>
        <v>21</v>
      </c>
      <c r="AN175" s="7">
        <f t="shared" si="7"/>
        <v>1</v>
      </c>
      <c r="AO175" s="7">
        <f t="shared" si="8"/>
        <v>1</v>
      </c>
      <c r="AP175" s="15"/>
    </row>
    <row r="176" spans="1:42" ht="15" customHeight="1">
      <c r="A176" s="3">
        <v>202660001328</v>
      </c>
      <c r="B176" s="3">
        <v>1161047</v>
      </c>
      <c r="C176" s="3" t="s">
        <v>322</v>
      </c>
      <c r="D176" s="3">
        <v>32</v>
      </c>
      <c r="E176" s="3" t="s">
        <v>73</v>
      </c>
      <c r="F176" s="3"/>
      <c r="G176" s="3"/>
      <c r="H176" s="4">
        <v>46246</v>
      </c>
      <c r="I176" s="5">
        <v>46273</v>
      </c>
      <c r="J176" s="4">
        <v>46273</v>
      </c>
      <c r="K176" s="4">
        <v>46273</v>
      </c>
      <c r="L176" s="3"/>
      <c r="M176" s="3"/>
      <c r="N176" s="3"/>
      <c r="O176" s="3" t="s">
        <v>74</v>
      </c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>
        <v>23</v>
      </c>
      <c r="AC176" s="3">
        <v>1</v>
      </c>
      <c r="AD176" s="6" t="s">
        <v>47</v>
      </c>
      <c r="AE176" s="3" t="s">
        <v>51</v>
      </c>
      <c r="AF176" s="3"/>
      <c r="AG176" s="3"/>
      <c r="AH176" s="3"/>
      <c r="AI176" s="3"/>
      <c r="AJ176" s="3"/>
      <c r="AK176" s="3"/>
      <c r="AL176" s="7">
        <f>IF(A176="","",IF(COUNTIF(A176:A$2001,A176)=1,1,0))</f>
        <v>0</v>
      </c>
      <c r="AM176" s="7">
        <f t="shared" ca="1" si="6"/>
        <v>24</v>
      </c>
      <c r="AN176" s="7">
        <f t="shared" si="7"/>
        <v>1</v>
      </c>
      <c r="AO176" s="7">
        <f t="shared" si="8"/>
        <v>0</v>
      </c>
      <c r="AP176" s="15"/>
    </row>
    <row r="177" spans="1:42" ht="15" customHeight="1">
      <c r="A177" s="3">
        <v>202660001328</v>
      </c>
      <c r="B177" s="3">
        <v>1161047</v>
      </c>
      <c r="C177" s="3" t="s">
        <v>322</v>
      </c>
      <c r="D177" s="3">
        <v>32</v>
      </c>
      <c r="E177" s="3" t="s">
        <v>73</v>
      </c>
      <c r="F177" s="3"/>
      <c r="G177" s="3"/>
      <c r="H177" s="4">
        <v>46246</v>
      </c>
      <c r="I177" s="5">
        <v>46273</v>
      </c>
      <c r="J177" s="4">
        <v>46273</v>
      </c>
      <c r="K177" s="4">
        <v>46273</v>
      </c>
      <c r="L177" s="3"/>
      <c r="M177" s="3"/>
      <c r="N177" s="3"/>
      <c r="O177" s="3" t="s">
        <v>74</v>
      </c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>
        <v>23</v>
      </c>
      <c r="AC177" s="3">
        <v>1</v>
      </c>
      <c r="AD177" s="6" t="s">
        <v>47</v>
      </c>
      <c r="AE177" s="3" t="s">
        <v>52</v>
      </c>
      <c r="AF177" s="3"/>
      <c r="AG177" s="3"/>
      <c r="AH177" s="3"/>
      <c r="AI177" s="3"/>
      <c r="AJ177" s="3"/>
      <c r="AK177" s="3"/>
      <c r="AL177" s="7">
        <f>IF(A177="","",IF(COUNTIF(A177:A$2001,A177)=1,1,0))</f>
        <v>1</v>
      </c>
      <c r="AM177" s="7">
        <f t="shared" ca="1" si="6"/>
        <v>24</v>
      </c>
      <c r="AN177" s="7">
        <f t="shared" si="7"/>
        <v>1</v>
      </c>
      <c r="AO177" s="7">
        <f t="shared" si="8"/>
        <v>0</v>
      </c>
      <c r="AP177" s="15"/>
    </row>
    <row r="178" spans="1:42" ht="15" customHeight="1">
      <c r="A178" s="3">
        <v>202660001329</v>
      </c>
      <c r="B178" s="3">
        <v>1142120</v>
      </c>
      <c r="C178" s="3" t="s">
        <v>323</v>
      </c>
      <c r="D178" s="3">
        <v>34</v>
      </c>
      <c r="E178" s="3" t="s">
        <v>273</v>
      </c>
      <c r="F178" s="3"/>
      <c r="G178" s="3"/>
      <c r="H178" s="4">
        <v>46174</v>
      </c>
      <c r="I178" s="5">
        <v>46273</v>
      </c>
      <c r="J178" s="4">
        <v>46275</v>
      </c>
      <c r="K178" s="4">
        <v>46275</v>
      </c>
      <c r="L178" s="3"/>
      <c r="M178" s="3"/>
      <c r="N178" s="3"/>
      <c r="O178" s="3" t="s">
        <v>274</v>
      </c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>
        <v>47</v>
      </c>
      <c r="AC178" s="3">
        <v>0</v>
      </c>
      <c r="AD178" s="6" t="s">
        <v>44</v>
      </c>
      <c r="AE178" s="3" t="s">
        <v>45</v>
      </c>
      <c r="AF178" s="6" t="s">
        <v>44</v>
      </c>
      <c r="AG178" s="6" t="s">
        <v>44</v>
      </c>
      <c r="AH178" s="6" t="s">
        <v>44</v>
      </c>
      <c r="AI178" s="3"/>
      <c r="AJ178" s="3"/>
      <c r="AK178" s="3"/>
      <c r="AL178" s="7">
        <f>IF(A178="","",IF(COUNTIF(A178:A$2001,A178)=1,1,0))</f>
        <v>1</v>
      </c>
      <c r="AM178" s="7">
        <f t="shared" ca="1" si="6"/>
        <v>24</v>
      </c>
      <c r="AN178" s="7">
        <f t="shared" si="7"/>
        <v>1</v>
      </c>
      <c r="AO178" s="7">
        <f t="shared" si="8"/>
        <v>1</v>
      </c>
      <c r="AP178" s="15"/>
    </row>
    <row r="179" spans="1:42" ht="15" customHeight="1">
      <c r="A179" s="3">
        <v>202660001330</v>
      </c>
      <c r="B179" s="3">
        <v>885522</v>
      </c>
      <c r="C179" s="3" t="s">
        <v>324</v>
      </c>
      <c r="D179" s="3">
        <v>34</v>
      </c>
      <c r="E179" s="3" t="s">
        <v>273</v>
      </c>
      <c r="F179" s="3"/>
      <c r="G179" s="3"/>
      <c r="H179" s="4">
        <v>46265</v>
      </c>
      <c r="I179" s="5">
        <v>46273</v>
      </c>
      <c r="J179" s="4">
        <v>46279</v>
      </c>
      <c r="K179" s="4">
        <v>46279</v>
      </c>
      <c r="L179" s="3"/>
      <c r="M179" s="3"/>
      <c r="N179" s="3"/>
      <c r="O179" s="3" t="s">
        <v>274</v>
      </c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>
        <v>99</v>
      </c>
      <c r="AC179" s="3">
        <v>1</v>
      </c>
      <c r="AD179" s="6" t="s">
        <v>47</v>
      </c>
      <c r="AE179" s="3" t="s">
        <v>60</v>
      </c>
      <c r="AF179" s="6" t="s">
        <v>47</v>
      </c>
      <c r="AG179" s="6" t="s">
        <v>47</v>
      </c>
      <c r="AH179" s="3"/>
      <c r="AI179" s="3"/>
      <c r="AJ179" s="3"/>
      <c r="AK179" s="3"/>
      <c r="AL179" s="7">
        <f>IF(A179="","",IF(COUNTIF(A179:A$2001,A179)=1,1,0))</f>
        <v>1</v>
      </c>
      <c r="AM179" s="7">
        <f t="shared" ca="1" si="6"/>
        <v>24</v>
      </c>
      <c r="AN179" s="7">
        <f t="shared" si="7"/>
        <v>1</v>
      </c>
      <c r="AO179" s="7">
        <f t="shared" si="8"/>
        <v>1</v>
      </c>
      <c r="AP179" s="15"/>
    </row>
    <row r="180" spans="1:42" ht="15" customHeight="1">
      <c r="A180" s="3">
        <v>202660001331</v>
      </c>
      <c r="B180" s="3">
        <v>1234113</v>
      </c>
      <c r="C180" s="3" t="s">
        <v>325</v>
      </c>
      <c r="D180" s="3">
        <v>32</v>
      </c>
      <c r="E180" s="3" t="s">
        <v>73</v>
      </c>
      <c r="F180" s="3">
        <v>30</v>
      </c>
      <c r="G180" s="3" t="s">
        <v>76</v>
      </c>
      <c r="H180" s="4">
        <v>46261</v>
      </c>
      <c r="I180" s="5">
        <v>46273</v>
      </c>
      <c r="J180" s="4">
        <v>46279</v>
      </c>
      <c r="K180" s="4">
        <v>46279</v>
      </c>
      <c r="L180" s="3"/>
      <c r="M180" s="3"/>
      <c r="N180" s="3"/>
      <c r="O180" s="3" t="s">
        <v>74</v>
      </c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>
        <v>21</v>
      </c>
      <c r="AC180" s="3">
        <v>1</v>
      </c>
      <c r="AD180" s="6" t="s">
        <v>47</v>
      </c>
      <c r="AE180" s="3" t="s">
        <v>54</v>
      </c>
      <c r="AF180" s="6" t="s">
        <v>47</v>
      </c>
      <c r="AG180" s="6" t="s">
        <v>47</v>
      </c>
      <c r="AH180" s="6" t="s">
        <v>47</v>
      </c>
      <c r="AI180" s="3"/>
      <c r="AJ180" s="3"/>
      <c r="AK180" s="3"/>
      <c r="AL180" s="7">
        <f>IF(A180="","",IF(COUNTIF(A180:A$2001,A180)=1,1,0))</f>
        <v>1</v>
      </c>
      <c r="AM180" s="7">
        <f t="shared" ca="1" si="6"/>
        <v>24</v>
      </c>
      <c r="AN180" s="7">
        <f t="shared" si="7"/>
        <v>1</v>
      </c>
      <c r="AO180" s="7">
        <f t="shared" si="8"/>
        <v>1</v>
      </c>
      <c r="AP180" s="15"/>
    </row>
    <row r="181" spans="1:42" ht="15" customHeight="1">
      <c r="A181" s="3">
        <v>202660001333</v>
      </c>
      <c r="B181" s="3">
        <v>1221034</v>
      </c>
      <c r="C181" s="3" t="s">
        <v>220</v>
      </c>
      <c r="D181" s="3">
        <v>32</v>
      </c>
      <c r="E181" s="3" t="s">
        <v>73</v>
      </c>
      <c r="F181" s="3"/>
      <c r="G181" s="3"/>
      <c r="H181" s="4">
        <v>46234</v>
      </c>
      <c r="I181" s="5">
        <v>46273</v>
      </c>
      <c r="J181" s="4">
        <v>46274</v>
      </c>
      <c r="K181" s="4">
        <v>46282</v>
      </c>
      <c r="L181" s="3"/>
      <c r="M181" s="3"/>
      <c r="N181" s="3"/>
      <c r="O181" s="3" t="s">
        <v>74</v>
      </c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>
        <v>3</v>
      </c>
      <c r="AC181" s="3">
        <v>0</v>
      </c>
      <c r="AD181" s="6" t="s">
        <v>44</v>
      </c>
      <c r="AE181" s="3" t="s">
        <v>72</v>
      </c>
      <c r="AF181" s="3"/>
      <c r="AG181" s="3"/>
      <c r="AH181" s="3"/>
      <c r="AI181" s="3"/>
      <c r="AJ181" s="3"/>
      <c r="AK181" s="3"/>
      <c r="AL181" s="7">
        <f>IF(A181="","",IF(COUNTIF(A181:A$2001,A181)=1,1,0))</f>
        <v>1</v>
      </c>
      <c r="AM181" s="7">
        <f t="shared" ca="1" si="6"/>
        <v>24</v>
      </c>
      <c r="AN181" s="7">
        <f t="shared" si="7"/>
        <v>1</v>
      </c>
      <c r="AO181" s="7">
        <f t="shared" si="8"/>
        <v>0</v>
      </c>
      <c r="AP181" s="15"/>
    </row>
    <row r="182" spans="1:42" ht="15" customHeight="1">
      <c r="A182" s="3">
        <v>202660001334</v>
      </c>
      <c r="B182" s="3">
        <v>1171349</v>
      </c>
      <c r="C182" s="3" t="s">
        <v>326</v>
      </c>
      <c r="D182" s="3">
        <v>20</v>
      </c>
      <c r="E182" s="3" t="s">
        <v>68</v>
      </c>
      <c r="F182" s="3">
        <v>20</v>
      </c>
      <c r="G182" s="3" t="s">
        <v>50</v>
      </c>
      <c r="H182" s="4">
        <v>46271</v>
      </c>
      <c r="I182" s="5">
        <v>46273</v>
      </c>
      <c r="J182" s="4">
        <v>46275</v>
      </c>
      <c r="K182" s="4">
        <v>46275</v>
      </c>
      <c r="L182" s="3"/>
      <c r="M182" s="3"/>
      <c r="N182" s="3"/>
      <c r="O182" s="3" t="s">
        <v>85</v>
      </c>
      <c r="P182" s="6" t="s">
        <v>59</v>
      </c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>
        <v>21</v>
      </c>
      <c r="AC182" s="3">
        <v>1</v>
      </c>
      <c r="AD182" s="6" t="s">
        <v>47</v>
      </c>
      <c r="AE182" s="3" t="s">
        <v>54</v>
      </c>
      <c r="AF182" s="6" t="s">
        <v>47</v>
      </c>
      <c r="AG182" s="6" t="s">
        <v>47</v>
      </c>
      <c r="AH182" s="6" t="s">
        <v>47</v>
      </c>
      <c r="AI182" s="3"/>
      <c r="AJ182" s="3"/>
      <c r="AK182" s="3"/>
      <c r="AL182" s="7">
        <f>IF(A182="","",IF(COUNTIF(A182:A$2001,A182)=1,1,0))</f>
        <v>1</v>
      </c>
      <c r="AM182" s="7">
        <f t="shared" ca="1" si="6"/>
        <v>24</v>
      </c>
      <c r="AN182" s="7">
        <f t="shared" si="7"/>
        <v>1</v>
      </c>
      <c r="AO182" s="7">
        <f t="shared" si="8"/>
        <v>1</v>
      </c>
      <c r="AP182" s="15" t="s">
        <v>336</v>
      </c>
    </row>
    <row r="183" spans="1:42" ht="15" customHeight="1">
      <c r="A183" s="3">
        <v>202660001337</v>
      </c>
      <c r="B183" s="3">
        <v>1176062</v>
      </c>
      <c r="C183" s="3" t="s">
        <v>327</v>
      </c>
      <c r="D183" s="3">
        <v>20</v>
      </c>
      <c r="E183" s="3" t="s">
        <v>68</v>
      </c>
      <c r="F183" s="3"/>
      <c r="G183" s="3"/>
      <c r="H183" s="4">
        <v>46254</v>
      </c>
      <c r="I183" s="5">
        <v>46273</v>
      </c>
      <c r="J183" s="3"/>
      <c r="K183" s="3"/>
      <c r="L183" s="3"/>
      <c r="M183" s="3"/>
      <c r="N183" s="3"/>
      <c r="O183" s="3" t="s">
        <v>66</v>
      </c>
      <c r="P183" s="6" t="s">
        <v>59</v>
      </c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>
        <v>21</v>
      </c>
      <c r="AC183" s="3">
        <v>1</v>
      </c>
      <c r="AD183" s="6" t="s">
        <v>47</v>
      </c>
      <c r="AE183" s="3" t="s">
        <v>54</v>
      </c>
      <c r="AF183" s="6" t="s">
        <v>47</v>
      </c>
      <c r="AG183" s="6" t="s">
        <v>47</v>
      </c>
      <c r="AH183" s="6" t="s">
        <v>47</v>
      </c>
      <c r="AI183" s="3"/>
      <c r="AJ183" s="3"/>
      <c r="AK183" s="3"/>
      <c r="AL183" s="7">
        <f>IF(A183="","",IF(COUNTIF(A183:A$2001,A183)=1,1,0))</f>
        <v>1</v>
      </c>
      <c r="AM183" s="7">
        <f t="shared" ca="1" si="6"/>
        <v>24</v>
      </c>
      <c r="AN183" s="7">
        <f t="shared" si="7"/>
        <v>1</v>
      </c>
      <c r="AO183" s="7">
        <f t="shared" si="8"/>
        <v>1</v>
      </c>
      <c r="AP183" s="15" t="s">
        <v>336</v>
      </c>
    </row>
    <row r="184" spans="1:42" ht="15" customHeight="1">
      <c r="A184" s="3">
        <v>202660001338</v>
      </c>
      <c r="B184" s="3">
        <v>1216028</v>
      </c>
      <c r="C184" s="3" t="s">
        <v>221</v>
      </c>
      <c r="D184" s="3">
        <v>32</v>
      </c>
      <c r="E184" s="3" t="s">
        <v>73</v>
      </c>
      <c r="F184" s="3"/>
      <c r="G184" s="3"/>
      <c r="H184" s="4">
        <v>46267</v>
      </c>
      <c r="I184" s="5">
        <v>46273</v>
      </c>
      <c r="J184" s="4">
        <v>46274</v>
      </c>
      <c r="K184" s="4">
        <v>46276</v>
      </c>
      <c r="L184" s="3"/>
      <c r="M184" s="3"/>
      <c r="N184" s="3"/>
      <c r="O184" s="3" t="s">
        <v>74</v>
      </c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>
        <v>23</v>
      </c>
      <c r="AC184" s="3">
        <v>1</v>
      </c>
      <c r="AD184" s="6" t="s">
        <v>47</v>
      </c>
      <c r="AE184" s="3" t="s">
        <v>51</v>
      </c>
      <c r="AF184" s="3"/>
      <c r="AG184" s="3"/>
      <c r="AH184" s="3"/>
      <c r="AI184" s="3"/>
      <c r="AJ184" s="3"/>
      <c r="AK184" s="3"/>
      <c r="AL184" s="7">
        <f>IF(A184="","",IF(COUNTIF(A184:A$2001,A184)=1,1,0))</f>
        <v>0</v>
      </c>
      <c r="AM184" s="7">
        <f t="shared" ca="1" si="6"/>
        <v>24</v>
      </c>
      <c r="AN184" s="7">
        <f t="shared" si="7"/>
        <v>1</v>
      </c>
      <c r="AO184" s="7">
        <f t="shared" si="8"/>
        <v>0</v>
      </c>
      <c r="AP184" s="15"/>
    </row>
    <row r="185" spans="1:42" ht="15" customHeight="1">
      <c r="A185" s="3">
        <v>202660001338</v>
      </c>
      <c r="B185" s="3">
        <v>1216028</v>
      </c>
      <c r="C185" s="3" t="s">
        <v>221</v>
      </c>
      <c r="D185" s="3">
        <v>32</v>
      </c>
      <c r="E185" s="3" t="s">
        <v>73</v>
      </c>
      <c r="F185" s="3"/>
      <c r="G185" s="3"/>
      <c r="H185" s="4">
        <v>46267</v>
      </c>
      <c r="I185" s="5">
        <v>46273</v>
      </c>
      <c r="J185" s="4">
        <v>46274</v>
      </c>
      <c r="K185" s="4">
        <v>46276</v>
      </c>
      <c r="L185" s="3"/>
      <c r="M185" s="3"/>
      <c r="N185" s="3"/>
      <c r="O185" s="3" t="s">
        <v>74</v>
      </c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>
        <v>23</v>
      </c>
      <c r="AC185" s="3">
        <v>1</v>
      </c>
      <c r="AD185" s="6" t="s">
        <v>47</v>
      </c>
      <c r="AE185" s="3" t="s">
        <v>52</v>
      </c>
      <c r="AF185" s="3"/>
      <c r="AG185" s="3"/>
      <c r="AH185" s="3"/>
      <c r="AI185" s="3"/>
      <c r="AJ185" s="3"/>
      <c r="AK185" s="3"/>
      <c r="AL185" s="7">
        <f>IF(A185="","",IF(COUNTIF(A185:A$2001,A185)=1,1,0))</f>
        <v>1</v>
      </c>
      <c r="AM185" s="7">
        <f t="shared" ca="1" si="6"/>
        <v>24</v>
      </c>
      <c r="AN185" s="7">
        <f t="shared" si="7"/>
        <v>1</v>
      </c>
      <c r="AO185" s="7">
        <f t="shared" si="8"/>
        <v>0</v>
      </c>
      <c r="AP185" s="15"/>
    </row>
    <row r="186" spans="1:42" ht="15" customHeight="1">
      <c r="A186" s="3">
        <v>202660001340</v>
      </c>
      <c r="B186" s="3">
        <v>1026012</v>
      </c>
      <c r="C186" s="3" t="s">
        <v>222</v>
      </c>
      <c r="D186" s="3">
        <v>31</v>
      </c>
      <c r="E186" s="3" t="s">
        <v>42</v>
      </c>
      <c r="F186" s="3"/>
      <c r="G186" s="3"/>
      <c r="H186" s="4">
        <v>46113</v>
      </c>
      <c r="I186" s="5">
        <v>46274</v>
      </c>
      <c r="J186" s="4">
        <v>46283</v>
      </c>
      <c r="K186" s="4">
        <v>46283</v>
      </c>
      <c r="L186" s="3"/>
      <c r="M186" s="3"/>
      <c r="N186" s="3"/>
      <c r="O186" s="3" t="s">
        <v>55</v>
      </c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>
        <v>97</v>
      </c>
      <c r="AC186" s="3">
        <v>1</v>
      </c>
      <c r="AD186" s="6" t="s">
        <v>47</v>
      </c>
      <c r="AE186" s="3" t="s">
        <v>94</v>
      </c>
      <c r="AF186" s="6" t="s">
        <v>47</v>
      </c>
      <c r="AG186" s="6" t="s">
        <v>47</v>
      </c>
      <c r="AH186" s="6" t="s">
        <v>47</v>
      </c>
      <c r="AI186" s="3"/>
      <c r="AJ186" s="3"/>
      <c r="AK186" s="3"/>
      <c r="AL186" s="7">
        <f>IF(A186="","",IF(COUNTIF(A186:A$2001,A186)=1,1,0))</f>
        <v>1</v>
      </c>
      <c r="AM186" s="7">
        <f t="shared" ca="1" si="6"/>
        <v>23</v>
      </c>
      <c r="AN186" s="7">
        <f t="shared" si="7"/>
        <v>1</v>
      </c>
      <c r="AO186" s="7">
        <f t="shared" si="8"/>
        <v>1</v>
      </c>
      <c r="AP186" s="15"/>
    </row>
    <row r="187" spans="1:42" ht="15" customHeight="1">
      <c r="A187" s="3">
        <v>202660001341</v>
      </c>
      <c r="B187" s="3">
        <v>850341</v>
      </c>
      <c r="C187" s="3" t="s">
        <v>328</v>
      </c>
      <c r="D187" s="3">
        <v>20</v>
      </c>
      <c r="E187" s="3" t="s">
        <v>68</v>
      </c>
      <c r="F187" s="3"/>
      <c r="G187" s="3"/>
      <c r="H187" s="4">
        <v>45948</v>
      </c>
      <c r="I187" s="5">
        <v>46274</v>
      </c>
      <c r="J187" s="3"/>
      <c r="K187" s="3"/>
      <c r="L187" s="3"/>
      <c r="M187" s="3"/>
      <c r="N187" s="3"/>
      <c r="O187" s="3" t="s">
        <v>66</v>
      </c>
      <c r="P187" s="6" t="s">
        <v>59</v>
      </c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>
        <v>51</v>
      </c>
      <c r="AC187" s="3">
        <v>0</v>
      </c>
      <c r="AD187" s="6" t="s">
        <v>44</v>
      </c>
      <c r="AE187" s="3" t="s">
        <v>71</v>
      </c>
      <c r="AF187" s="6" t="s">
        <v>44</v>
      </c>
      <c r="AG187" s="6" t="s">
        <v>44</v>
      </c>
      <c r="AH187" s="3"/>
      <c r="AI187" s="3"/>
      <c r="AJ187" s="3"/>
      <c r="AK187" s="3"/>
      <c r="AL187" s="7">
        <f>IF(A187="","",IF(COUNTIF(A187:A$2001,A187)=1,1,0))</f>
        <v>1</v>
      </c>
      <c r="AM187" s="7">
        <f t="shared" ca="1" si="6"/>
        <v>23</v>
      </c>
      <c r="AN187" s="7">
        <f t="shared" si="7"/>
        <v>1</v>
      </c>
      <c r="AO187" s="7">
        <f t="shared" si="8"/>
        <v>1</v>
      </c>
      <c r="AP187" s="15" t="s">
        <v>336</v>
      </c>
    </row>
    <row r="188" spans="1:42" ht="15" customHeight="1">
      <c r="A188" s="3">
        <v>202660001342</v>
      </c>
      <c r="B188" s="3">
        <v>1171045</v>
      </c>
      <c r="C188" s="3" t="s">
        <v>329</v>
      </c>
      <c r="D188" s="3">
        <v>40</v>
      </c>
      <c r="E188" s="3" t="s">
        <v>248</v>
      </c>
      <c r="F188" s="3">
        <v>20</v>
      </c>
      <c r="G188" s="3" t="s">
        <v>50</v>
      </c>
      <c r="H188" s="4">
        <v>46266</v>
      </c>
      <c r="I188" s="5">
        <v>46274</v>
      </c>
      <c r="J188" s="4">
        <v>46275</v>
      </c>
      <c r="K188" s="4">
        <v>46275</v>
      </c>
      <c r="L188" s="3"/>
      <c r="M188" s="3"/>
      <c r="N188" s="3"/>
      <c r="O188" s="3" t="s">
        <v>66</v>
      </c>
      <c r="P188" s="6" t="s">
        <v>59</v>
      </c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>
        <v>26</v>
      </c>
      <c r="AC188" s="3">
        <v>1</v>
      </c>
      <c r="AD188" s="6" t="s">
        <v>47</v>
      </c>
      <c r="AE188" s="3" t="s">
        <v>56</v>
      </c>
      <c r="AF188" s="6" t="s">
        <v>47</v>
      </c>
      <c r="AG188" s="3"/>
      <c r="AH188" s="3"/>
      <c r="AI188" s="3"/>
      <c r="AJ188" s="3"/>
      <c r="AK188" s="3"/>
      <c r="AL188" s="7">
        <f>IF(A188="","",IF(COUNTIF(A188:A$2001,A188)=1,1,0))</f>
        <v>1</v>
      </c>
      <c r="AM188" s="7">
        <f t="shared" ca="1" si="6"/>
        <v>23</v>
      </c>
      <c r="AN188" s="7">
        <f t="shared" si="7"/>
        <v>1</v>
      </c>
      <c r="AO188" s="7">
        <f t="shared" si="8"/>
        <v>0</v>
      </c>
      <c r="AP188" s="15" t="s">
        <v>336</v>
      </c>
    </row>
    <row r="189" spans="1:42" ht="15" customHeight="1">
      <c r="A189" s="3">
        <v>202660001343</v>
      </c>
      <c r="B189" s="3">
        <v>960287</v>
      </c>
      <c r="C189" s="3" t="s">
        <v>223</v>
      </c>
      <c r="D189" s="3">
        <v>32</v>
      </c>
      <c r="E189" s="3" t="s">
        <v>73</v>
      </c>
      <c r="F189" s="3"/>
      <c r="G189" s="3"/>
      <c r="H189" s="4">
        <v>46266</v>
      </c>
      <c r="I189" s="5">
        <v>46274</v>
      </c>
      <c r="J189" s="4">
        <v>46276</v>
      </c>
      <c r="K189" s="4">
        <v>46276</v>
      </c>
      <c r="L189" s="3"/>
      <c r="M189" s="3"/>
      <c r="N189" s="3"/>
      <c r="O189" s="3" t="s">
        <v>81</v>
      </c>
      <c r="P189" s="3"/>
      <c r="Q189" s="3"/>
      <c r="R189" s="3"/>
      <c r="S189" s="6" t="s">
        <v>57</v>
      </c>
      <c r="T189" s="3"/>
      <c r="U189" s="3"/>
      <c r="V189" s="3"/>
      <c r="W189" s="3"/>
      <c r="X189" s="3"/>
      <c r="Y189" s="3"/>
      <c r="Z189" s="3"/>
      <c r="AA189" s="3"/>
      <c r="AB189" s="3">
        <v>97</v>
      </c>
      <c r="AC189" s="3">
        <v>1</v>
      </c>
      <c r="AD189" s="6" t="s">
        <v>47</v>
      </c>
      <c r="AE189" s="3" t="s">
        <v>94</v>
      </c>
      <c r="AF189" s="3"/>
      <c r="AG189" s="6" t="s">
        <v>47</v>
      </c>
      <c r="AH189" s="6" t="s">
        <v>47</v>
      </c>
      <c r="AI189" s="3"/>
      <c r="AJ189" s="3"/>
      <c r="AK189" s="3"/>
      <c r="AL189" s="7">
        <f>IF(A189="","",IF(COUNTIF(A189:A$2001,A189)=1,1,0))</f>
        <v>1</v>
      </c>
      <c r="AM189" s="7">
        <f t="shared" ca="1" si="6"/>
        <v>23</v>
      </c>
      <c r="AN189" s="7">
        <f t="shared" si="7"/>
        <v>1</v>
      </c>
      <c r="AO189" s="7">
        <f t="shared" si="8"/>
        <v>1</v>
      </c>
      <c r="AP189" s="15" t="s">
        <v>335</v>
      </c>
    </row>
    <row r="190" spans="1:42" ht="15" customHeight="1">
      <c r="A190" s="3">
        <v>202660001344</v>
      </c>
      <c r="B190" s="3">
        <v>1156082</v>
      </c>
      <c r="C190" s="3" t="s">
        <v>224</v>
      </c>
      <c r="D190" s="3">
        <v>30</v>
      </c>
      <c r="E190" s="3" t="s">
        <v>89</v>
      </c>
      <c r="F190" s="3"/>
      <c r="G190" s="3"/>
      <c r="H190" s="4">
        <v>46023</v>
      </c>
      <c r="I190" s="5">
        <v>46274</v>
      </c>
      <c r="J190" s="4">
        <v>46275</v>
      </c>
      <c r="K190" s="3"/>
      <c r="L190" s="3"/>
      <c r="M190" s="3"/>
      <c r="N190" s="3"/>
      <c r="O190" s="3" t="s">
        <v>90</v>
      </c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>
        <v>54</v>
      </c>
      <c r="AC190" s="3">
        <v>0</v>
      </c>
      <c r="AD190" s="6" t="s">
        <v>44</v>
      </c>
      <c r="AE190" s="3" t="s">
        <v>84</v>
      </c>
      <c r="AF190" s="3"/>
      <c r="AG190" s="3"/>
      <c r="AH190" s="6" t="s">
        <v>44</v>
      </c>
      <c r="AI190" s="3"/>
      <c r="AJ190" s="3"/>
      <c r="AK190" s="3"/>
      <c r="AL190" s="7">
        <f>IF(A190="","",IF(COUNTIF(A190:A$2001,A190)=1,1,0))</f>
        <v>1</v>
      </c>
      <c r="AM190" s="7">
        <f t="shared" ca="1" si="6"/>
        <v>23</v>
      </c>
      <c r="AN190" s="7">
        <f t="shared" si="7"/>
        <v>1</v>
      </c>
      <c r="AO190" s="7">
        <f t="shared" si="8"/>
        <v>0</v>
      </c>
      <c r="AP190" s="15"/>
    </row>
    <row r="191" spans="1:42" ht="15" customHeight="1">
      <c r="A191" s="3">
        <v>202660001345</v>
      </c>
      <c r="B191" s="3">
        <v>1201148</v>
      </c>
      <c r="C191" s="3" t="s">
        <v>330</v>
      </c>
      <c r="D191" s="3">
        <v>31</v>
      </c>
      <c r="E191" s="3" t="s">
        <v>42</v>
      </c>
      <c r="F191" s="3"/>
      <c r="G191" s="3"/>
      <c r="H191" s="4">
        <v>46272</v>
      </c>
      <c r="I191" s="5">
        <v>46281</v>
      </c>
      <c r="J191" s="4">
        <v>46283</v>
      </c>
      <c r="K191" s="4">
        <v>46283</v>
      </c>
      <c r="L191" s="3"/>
      <c r="M191" s="3"/>
      <c r="N191" s="3"/>
      <c r="O191" s="3" t="s">
        <v>43</v>
      </c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>
        <v>21</v>
      </c>
      <c r="AC191" s="3">
        <v>1</v>
      </c>
      <c r="AD191" s="6" t="s">
        <v>47</v>
      </c>
      <c r="AE191" s="3" t="s">
        <v>54</v>
      </c>
      <c r="AF191" s="6" t="s">
        <v>47</v>
      </c>
      <c r="AG191" s="6" t="s">
        <v>47</v>
      </c>
      <c r="AH191" s="6" t="s">
        <v>47</v>
      </c>
      <c r="AI191" s="3"/>
      <c r="AJ191" s="3"/>
      <c r="AK191" s="3"/>
      <c r="AL191" s="7">
        <f>IF(A191="","",IF(COUNTIF(A191:A$2001,A191)=1,1,0))</f>
        <v>1</v>
      </c>
      <c r="AM191" s="7">
        <f t="shared" ca="1" si="6"/>
        <v>16</v>
      </c>
      <c r="AN191" s="7">
        <f t="shared" si="7"/>
        <v>1</v>
      </c>
      <c r="AO191" s="7">
        <f t="shared" si="8"/>
        <v>1</v>
      </c>
      <c r="AP191" s="15"/>
    </row>
    <row r="192" spans="1:42" ht="15" customHeight="1">
      <c r="A192" s="3">
        <v>202660001346</v>
      </c>
      <c r="B192" s="3">
        <v>1151271</v>
      </c>
      <c r="C192" s="3" t="s">
        <v>230</v>
      </c>
      <c r="D192" s="3">
        <v>36</v>
      </c>
      <c r="E192" s="3" t="s">
        <v>264</v>
      </c>
      <c r="F192" s="3">
        <v>30</v>
      </c>
      <c r="G192" s="3" t="s">
        <v>76</v>
      </c>
      <c r="H192" s="4">
        <v>46248</v>
      </c>
      <c r="I192" s="5">
        <v>46251</v>
      </c>
      <c r="J192" s="4">
        <v>46276</v>
      </c>
      <c r="K192" s="4">
        <v>46276</v>
      </c>
      <c r="L192" s="4">
        <v>46289</v>
      </c>
      <c r="M192" s="4">
        <v>46289</v>
      </c>
      <c r="N192" s="3"/>
      <c r="O192" s="3" t="s">
        <v>265</v>
      </c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>
        <v>21</v>
      </c>
      <c r="AC192" s="3">
        <v>1</v>
      </c>
      <c r="AD192" s="6" t="s">
        <v>47</v>
      </c>
      <c r="AE192" s="3" t="s">
        <v>54</v>
      </c>
      <c r="AF192" s="6" t="s">
        <v>47</v>
      </c>
      <c r="AG192" s="6" t="s">
        <v>47</v>
      </c>
      <c r="AH192" s="6" t="s">
        <v>47</v>
      </c>
      <c r="AI192" s="3"/>
      <c r="AJ192" s="3"/>
      <c r="AK192" s="3"/>
      <c r="AL192" s="7">
        <f>IF(A192="","",IF(COUNTIF(A192:A$2001,A192)=1,1,0))</f>
        <v>1</v>
      </c>
      <c r="AM192" s="7">
        <f t="shared" ca="1" si="6"/>
        <v>46</v>
      </c>
      <c r="AN192" s="7">
        <f t="shared" si="7"/>
        <v>0</v>
      </c>
      <c r="AO192" s="7">
        <f t="shared" si="8"/>
        <v>1</v>
      </c>
      <c r="AP192" s="15"/>
    </row>
    <row r="193" spans="1:42" ht="15" customHeight="1">
      <c r="A193" s="3">
        <v>202660001349</v>
      </c>
      <c r="B193" s="3">
        <v>1146012</v>
      </c>
      <c r="C193" s="3" t="s">
        <v>331</v>
      </c>
      <c r="D193" s="3">
        <v>31</v>
      </c>
      <c r="E193" s="3" t="s">
        <v>42</v>
      </c>
      <c r="F193" s="3"/>
      <c r="G193" s="3"/>
      <c r="H193" s="4">
        <v>46269</v>
      </c>
      <c r="I193" s="5">
        <v>46275</v>
      </c>
      <c r="J193" s="4">
        <v>46280</v>
      </c>
      <c r="K193" s="4">
        <v>46280</v>
      </c>
      <c r="L193" s="3"/>
      <c r="M193" s="3"/>
      <c r="N193" s="3"/>
      <c r="O193" s="3" t="s">
        <v>55</v>
      </c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>
        <v>21</v>
      </c>
      <c r="AC193" s="3">
        <v>1</v>
      </c>
      <c r="AD193" s="6" t="s">
        <v>47</v>
      </c>
      <c r="AE193" s="3" t="s">
        <v>54</v>
      </c>
      <c r="AF193" s="6" t="s">
        <v>47</v>
      </c>
      <c r="AG193" s="6" t="s">
        <v>47</v>
      </c>
      <c r="AH193" s="6" t="s">
        <v>47</v>
      </c>
      <c r="AI193" s="3"/>
      <c r="AJ193" s="3"/>
      <c r="AK193" s="3"/>
      <c r="AL193" s="7">
        <f>IF(A193="","",IF(COUNTIF(A193:A$2001,A193)=1,1,0))</f>
        <v>1</v>
      </c>
      <c r="AM193" s="7">
        <f t="shared" ca="1" si="6"/>
        <v>22</v>
      </c>
      <c r="AN193" s="7">
        <f t="shared" si="7"/>
        <v>1</v>
      </c>
      <c r="AO193" s="7">
        <f t="shared" si="8"/>
        <v>1</v>
      </c>
      <c r="AP193" s="15"/>
    </row>
    <row r="194" spans="1:42" ht="15" customHeight="1">
      <c r="A194" s="3">
        <v>202660001350</v>
      </c>
      <c r="B194" s="3">
        <v>1001072</v>
      </c>
      <c r="C194" s="3" t="s">
        <v>332</v>
      </c>
      <c r="D194" s="3">
        <v>32</v>
      </c>
      <c r="E194" s="3" t="s">
        <v>73</v>
      </c>
      <c r="F194" s="3"/>
      <c r="G194" s="3"/>
      <c r="H194" s="4">
        <v>46266</v>
      </c>
      <c r="I194" s="5">
        <v>46275</v>
      </c>
      <c r="J194" s="4">
        <v>46275</v>
      </c>
      <c r="K194" s="4">
        <v>46275</v>
      </c>
      <c r="L194" s="3"/>
      <c r="M194" s="3"/>
      <c r="N194" s="3"/>
      <c r="O194" s="3" t="s">
        <v>74</v>
      </c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>
        <v>26</v>
      </c>
      <c r="AC194" s="3">
        <v>1</v>
      </c>
      <c r="AD194" s="6" t="s">
        <v>47</v>
      </c>
      <c r="AE194" s="3" t="s">
        <v>56</v>
      </c>
      <c r="AF194" s="3"/>
      <c r="AG194" s="3"/>
      <c r="AH194" s="6" t="s">
        <v>47</v>
      </c>
      <c r="AI194" s="3"/>
      <c r="AJ194" s="3"/>
      <c r="AK194" s="3"/>
      <c r="AL194" s="7">
        <f>IF(A194="","",IF(COUNTIF(A194:A$2001,A194)=1,1,0))</f>
        <v>1</v>
      </c>
      <c r="AM194" s="7">
        <f t="shared" ref="AM194:AM257" ca="1" si="9">IF(I194="","",TODAY()-I194)</f>
        <v>22</v>
      </c>
      <c r="AN194" s="7">
        <f t="shared" ref="AN194:AN257" si="10">IF(A194="","",IF(AND(E194&lt;&gt;"33 確認済",E194&lt;&gt;"36 送付中"),1,0))</f>
        <v>1</v>
      </c>
      <c r="AO194" s="7">
        <f t="shared" ref="AO194:AO257" si="11">IF(A194="","",IF(AG194&lt;&gt;"",1,0))</f>
        <v>0</v>
      </c>
      <c r="AP194" s="15"/>
    </row>
    <row r="195" spans="1:42" ht="15" customHeight="1">
      <c r="A195" s="3">
        <v>202660001351</v>
      </c>
      <c r="B195" s="3">
        <v>1182055</v>
      </c>
      <c r="C195" s="3" t="s">
        <v>333</v>
      </c>
      <c r="D195" s="3">
        <v>32</v>
      </c>
      <c r="E195" s="3" t="s">
        <v>73</v>
      </c>
      <c r="F195" s="3"/>
      <c r="G195" s="3"/>
      <c r="H195" s="4">
        <v>46266</v>
      </c>
      <c r="I195" s="5">
        <v>46280</v>
      </c>
      <c r="J195" s="4">
        <v>46281</v>
      </c>
      <c r="K195" s="4">
        <v>46281</v>
      </c>
      <c r="L195" s="3"/>
      <c r="M195" s="3"/>
      <c r="N195" s="3"/>
      <c r="O195" s="3" t="s">
        <v>74</v>
      </c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>
        <v>21</v>
      </c>
      <c r="AC195" s="3">
        <v>1</v>
      </c>
      <c r="AD195" s="6" t="s">
        <v>47</v>
      </c>
      <c r="AE195" s="3" t="s">
        <v>54</v>
      </c>
      <c r="AF195" s="6" t="s">
        <v>47</v>
      </c>
      <c r="AG195" s="6" t="s">
        <v>47</v>
      </c>
      <c r="AH195" s="6" t="s">
        <v>47</v>
      </c>
      <c r="AI195" s="3"/>
      <c r="AJ195" s="3"/>
      <c r="AK195" s="3"/>
      <c r="AL195" s="7">
        <f>IF(A195="","",IF(COUNTIF(A195:A$2001,A195)=1,1,0))</f>
        <v>1</v>
      </c>
      <c r="AM195" s="7">
        <f t="shared" ca="1" si="9"/>
        <v>17</v>
      </c>
      <c r="AN195" s="7">
        <f t="shared" si="10"/>
        <v>1</v>
      </c>
      <c r="AO195" s="7">
        <f t="shared" si="11"/>
        <v>1</v>
      </c>
      <c r="AP195" s="15"/>
    </row>
    <row r="196" spans="1:42" ht="15" customHeight="1">
      <c r="A196" s="3">
        <v>202660001352</v>
      </c>
      <c r="B196" s="3">
        <v>1231161</v>
      </c>
      <c r="C196" s="3" t="s">
        <v>225</v>
      </c>
      <c r="D196" s="3">
        <v>31</v>
      </c>
      <c r="E196" s="3" t="s">
        <v>42</v>
      </c>
      <c r="F196" s="3"/>
      <c r="G196" s="3"/>
      <c r="H196" s="4">
        <v>46144</v>
      </c>
      <c r="I196" s="5">
        <v>46149</v>
      </c>
      <c r="J196" s="4">
        <v>46279</v>
      </c>
      <c r="K196" s="4">
        <v>46279</v>
      </c>
      <c r="L196" s="3"/>
      <c r="M196" s="3"/>
      <c r="N196" s="3"/>
      <c r="O196" s="3" t="s">
        <v>55</v>
      </c>
      <c r="P196" s="3"/>
      <c r="Q196" s="3"/>
      <c r="R196" s="3"/>
      <c r="S196" s="3"/>
      <c r="T196" s="3"/>
      <c r="U196" s="6" t="s">
        <v>67</v>
      </c>
      <c r="V196" s="3"/>
      <c r="W196" s="3"/>
      <c r="X196" s="3"/>
      <c r="Y196" s="3"/>
      <c r="Z196" s="3"/>
      <c r="AA196" s="3"/>
      <c r="AB196" s="3">
        <v>25</v>
      </c>
      <c r="AC196" s="3">
        <v>1</v>
      </c>
      <c r="AD196" s="6" t="s">
        <v>47</v>
      </c>
      <c r="AE196" s="3" t="s">
        <v>53</v>
      </c>
      <c r="AF196" s="6" t="s">
        <v>47</v>
      </c>
      <c r="AG196" s="3"/>
      <c r="AH196" s="3"/>
      <c r="AI196" s="3"/>
      <c r="AJ196" s="3"/>
      <c r="AK196" s="3"/>
      <c r="AL196" s="7">
        <f>IF(A196="","",IF(COUNTIF(A196:A$2001,A196)=1,1,0))</f>
        <v>1</v>
      </c>
      <c r="AM196" s="7">
        <f t="shared" ca="1" si="9"/>
        <v>148</v>
      </c>
      <c r="AN196" s="7">
        <f t="shared" si="10"/>
        <v>1</v>
      </c>
      <c r="AO196" s="7">
        <f t="shared" si="11"/>
        <v>0</v>
      </c>
      <c r="AP196" s="15" t="s">
        <v>341</v>
      </c>
    </row>
    <row r="197" spans="1:42" ht="15" customHeight="1">
      <c r="A197" s="3">
        <v>202660001353</v>
      </c>
      <c r="B197" s="3">
        <v>1001211</v>
      </c>
      <c r="C197" s="3" t="s">
        <v>226</v>
      </c>
      <c r="D197" s="3">
        <v>32</v>
      </c>
      <c r="E197" s="3" t="s">
        <v>73</v>
      </c>
      <c r="F197" s="3"/>
      <c r="G197" s="3"/>
      <c r="H197" s="4">
        <v>46204</v>
      </c>
      <c r="I197" s="5">
        <v>46275</v>
      </c>
      <c r="J197" s="4">
        <v>46279</v>
      </c>
      <c r="K197" s="4">
        <v>46279</v>
      </c>
      <c r="L197" s="3"/>
      <c r="M197" s="3"/>
      <c r="N197" s="3"/>
      <c r="O197" s="3" t="s">
        <v>74</v>
      </c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>
        <v>28</v>
      </c>
      <c r="AC197" s="3">
        <v>3</v>
      </c>
      <c r="AD197" s="6" t="s">
        <v>44</v>
      </c>
      <c r="AE197" s="3"/>
      <c r="AF197" s="3"/>
      <c r="AG197" s="3"/>
      <c r="AH197" s="3"/>
      <c r="AI197" s="3"/>
      <c r="AJ197" s="3"/>
      <c r="AK197" s="3"/>
      <c r="AL197" s="7">
        <f>IF(A197="","",IF(COUNTIF(A197:A$2001,A197)=1,1,0))</f>
        <v>1</v>
      </c>
      <c r="AM197" s="7">
        <f t="shared" ca="1" si="9"/>
        <v>22</v>
      </c>
      <c r="AN197" s="7">
        <f t="shared" si="10"/>
        <v>1</v>
      </c>
      <c r="AO197" s="7">
        <f t="shared" si="11"/>
        <v>0</v>
      </c>
      <c r="AP197" s="15"/>
    </row>
    <row r="198" spans="1:42" ht="15" customHeight="1">
      <c r="A198" s="3">
        <v>202660001354</v>
      </c>
      <c r="B198" s="3">
        <v>1166138</v>
      </c>
      <c r="C198" s="3" t="s">
        <v>334</v>
      </c>
      <c r="D198" s="3">
        <v>20</v>
      </c>
      <c r="E198" s="3" t="s">
        <v>68</v>
      </c>
      <c r="F198" s="3"/>
      <c r="G198" s="3"/>
      <c r="H198" s="4">
        <v>46273</v>
      </c>
      <c r="I198" s="5">
        <v>46276</v>
      </c>
      <c r="J198" s="3"/>
      <c r="K198" s="3"/>
      <c r="L198" s="3"/>
      <c r="M198" s="3"/>
      <c r="N198" s="3"/>
      <c r="O198" s="3" t="s">
        <v>66</v>
      </c>
      <c r="P198" s="6" t="s">
        <v>59</v>
      </c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>
        <v>22</v>
      </c>
      <c r="AC198" s="3">
        <v>1</v>
      </c>
      <c r="AD198" s="6" t="s">
        <v>47</v>
      </c>
      <c r="AE198" s="3" t="s">
        <v>48</v>
      </c>
      <c r="AF198" s="6" t="s">
        <v>47</v>
      </c>
      <c r="AG198" s="6" t="s">
        <v>47</v>
      </c>
      <c r="AH198" s="6" t="s">
        <v>47</v>
      </c>
      <c r="AI198" s="3"/>
      <c r="AJ198" s="3"/>
      <c r="AK198" s="3"/>
      <c r="AL198" s="7">
        <f>IF(A198="","",IF(COUNTIF(A198:A$2001,A198)=1,1,0))</f>
        <v>1</v>
      </c>
      <c r="AM198" s="7">
        <f t="shared" ca="1" si="9"/>
        <v>21</v>
      </c>
      <c r="AN198" s="7">
        <f t="shared" si="10"/>
        <v>1</v>
      </c>
      <c r="AO198" s="7">
        <f t="shared" si="11"/>
        <v>1</v>
      </c>
      <c r="AP198" s="15" t="s">
        <v>336</v>
      </c>
    </row>
    <row r="199" spans="1:42" ht="15" customHeight="1">
      <c r="A199" s="3">
        <v>202660001356</v>
      </c>
      <c r="B199" s="3">
        <v>1191086</v>
      </c>
      <c r="C199" s="3" t="s">
        <v>227</v>
      </c>
      <c r="D199" s="3">
        <v>31</v>
      </c>
      <c r="E199" s="3" t="s">
        <v>42</v>
      </c>
      <c r="F199" s="3"/>
      <c r="G199" s="3"/>
      <c r="H199" s="4">
        <v>46276</v>
      </c>
      <c r="I199" s="5">
        <v>46277</v>
      </c>
      <c r="J199" s="4">
        <v>46279</v>
      </c>
      <c r="K199" s="4">
        <v>46283</v>
      </c>
      <c r="L199" s="3"/>
      <c r="M199" s="3"/>
      <c r="N199" s="3"/>
      <c r="O199" s="3" t="s">
        <v>43</v>
      </c>
      <c r="P199" s="3"/>
      <c r="Q199" s="3"/>
      <c r="R199" s="3"/>
      <c r="S199" s="3"/>
      <c r="T199" s="3"/>
      <c r="U199" s="3"/>
      <c r="V199" s="3"/>
      <c r="W199" s="6"/>
      <c r="X199" s="3"/>
      <c r="Y199" s="3"/>
      <c r="Z199" s="3"/>
      <c r="AA199" s="3"/>
      <c r="AB199" s="3">
        <v>23</v>
      </c>
      <c r="AC199" s="3">
        <v>1</v>
      </c>
      <c r="AD199" s="6" t="s">
        <v>47</v>
      </c>
      <c r="AE199" s="3" t="s">
        <v>51</v>
      </c>
      <c r="AF199" s="3"/>
      <c r="AG199" s="6"/>
      <c r="AH199" s="6"/>
      <c r="AI199" s="3"/>
      <c r="AJ199" s="3"/>
      <c r="AK199" s="3"/>
      <c r="AL199" s="7">
        <f>IF(A199="","",IF(COUNTIF(A199:A$2001,A199)=1,1,0))</f>
        <v>0</v>
      </c>
      <c r="AM199" s="7">
        <f t="shared" ca="1" si="9"/>
        <v>20</v>
      </c>
      <c r="AN199" s="7">
        <f t="shared" si="10"/>
        <v>1</v>
      </c>
      <c r="AO199" s="7">
        <f t="shared" si="11"/>
        <v>0</v>
      </c>
      <c r="AP199" s="15"/>
    </row>
    <row r="200" spans="1:42" ht="15" customHeight="1">
      <c r="A200" s="3">
        <v>202660001356</v>
      </c>
      <c r="B200" s="3">
        <v>1191086</v>
      </c>
      <c r="C200" s="3" t="s">
        <v>227</v>
      </c>
      <c r="D200" s="3">
        <v>31</v>
      </c>
      <c r="E200" s="3" t="s">
        <v>42</v>
      </c>
      <c r="F200" s="3"/>
      <c r="G200" s="3"/>
      <c r="H200" s="4">
        <v>46276</v>
      </c>
      <c r="I200" s="5">
        <v>46277</v>
      </c>
      <c r="J200" s="4">
        <v>46279</v>
      </c>
      <c r="K200" s="4">
        <v>46283</v>
      </c>
      <c r="L200" s="3"/>
      <c r="M200" s="3"/>
      <c r="N200" s="3"/>
      <c r="O200" s="3" t="s">
        <v>43</v>
      </c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>
        <v>23</v>
      </c>
      <c r="AC200" s="3">
        <v>1</v>
      </c>
      <c r="AD200" s="6" t="s">
        <v>47</v>
      </c>
      <c r="AE200" s="3" t="s">
        <v>52</v>
      </c>
      <c r="AF200" s="3"/>
      <c r="AG200" s="3"/>
      <c r="AH200" s="3"/>
      <c r="AI200" s="3"/>
      <c r="AJ200" s="3"/>
      <c r="AK200" s="3"/>
      <c r="AL200" s="7">
        <f>IF(A200="","",IF(COUNTIF(A200:A$2001,A200)=1,1,0))</f>
        <v>1</v>
      </c>
      <c r="AM200" s="7">
        <f t="shared" ca="1" si="9"/>
        <v>20</v>
      </c>
      <c r="AN200" s="7">
        <f t="shared" si="10"/>
        <v>1</v>
      </c>
      <c r="AO200" s="7">
        <f t="shared" si="11"/>
        <v>0</v>
      </c>
      <c r="AP200" s="15"/>
    </row>
    <row r="201" spans="1:42" ht="15" customHeight="1">
      <c r="A201" s="3">
        <v>202660001358</v>
      </c>
      <c r="B201" s="3">
        <v>1186113</v>
      </c>
      <c r="C201" s="3" t="s">
        <v>228</v>
      </c>
      <c r="D201" s="3">
        <v>20</v>
      </c>
      <c r="E201" s="3" t="s">
        <v>68</v>
      </c>
      <c r="F201" s="3"/>
      <c r="G201" s="3"/>
      <c r="H201" s="4">
        <v>46260</v>
      </c>
      <c r="I201" s="5">
        <v>46283</v>
      </c>
      <c r="J201" s="4"/>
      <c r="K201" s="4"/>
      <c r="L201" s="3"/>
      <c r="M201" s="3"/>
      <c r="N201" s="3"/>
      <c r="O201" s="3" t="s">
        <v>66</v>
      </c>
      <c r="P201" s="3" t="s">
        <v>59</v>
      </c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>
        <v>24</v>
      </c>
      <c r="AC201" s="3">
        <v>1</v>
      </c>
      <c r="AD201" s="6" t="s">
        <v>47</v>
      </c>
      <c r="AE201" s="3" t="s">
        <v>87</v>
      </c>
      <c r="AF201" s="3" t="s">
        <v>47</v>
      </c>
      <c r="AG201" s="3" t="s">
        <v>47</v>
      </c>
      <c r="AH201" s="3" t="s">
        <v>47</v>
      </c>
      <c r="AI201" s="3"/>
      <c r="AJ201" s="3"/>
      <c r="AK201" s="3"/>
      <c r="AL201" s="7">
        <f>IF(A201="","",IF(COUNTIF(A201:A$2001,A201)=1,1,0))</f>
        <v>1</v>
      </c>
      <c r="AM201" s="7">
        <f t="shared" ca="1" si="9"/>
        <v>14</v>
      </c>
      <c r="AN201" s="7">
        <f t="shared" si="10"/>
        <v>1</v>
      </c>
      <c r="AO201" s="7">
        <f t="shared" si="11"/>
        <v>1</v>
      </c>
      <c r="AP201" s="15" t="s">
        <v>336</v>
      </c>
    </row>
    <row r="202" spans="1:42" ht="15" customHeight="1">
      <c r="A202" s="3"/>
      <c r="B202" s="3"/>
      <c r="C202" s="3"/>
      <c r="D202" s="3"/>
      <c r="E202" s="3"/>
      <c r="F202" s="3"/>
      <c r="G202" s="3"/>
      <c r="H202" s="4"/>
      <c r="I202" s="5"/>
      <c r="J202" s="3"/>
      <c r="K202" s="3"/>
      <c r="L202" s="3"/>
      <c r="M202" s="3"/>
      <c r="N202" s="3"/>
      <c r="O202" s="3"/>
      <c r="P202" s="6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6"/>
      <c r="AE202" s="3"/>
      <c r="AF202" s="6"/>
      <c r="AG202" s="6"/>
      <c r="AH202" s="6"/>
      <c r="AI202" s="3"/>
      <c r="AJ202" s="3"/>
      <c r="AK202" s="3"/>
      <c r="AL202" s="7" t="str">
        <f>IF(A202="","",IF(COUNTIF(A202:A$2001,A202)=1,1,0))</f>
        <v/>
      </c>
      <c r="AM202" s="7" t="str">
        <f t="shared" ca="1" si="9"/>
        <v/>
      </c>
      <c r="AN202" s="7" t="str">
        <f t="shared" si="10"/>
        <v/>
      </c>
      <c r="AO202" s="7" t="str">
        <f t="shared" si="11"/>
        <v/>
      </c>
      <c r="AP202" s="15" t="str">
        <f t="shared" ref="AP194:AP257" si="12">IF(P202&lt;&gt;"","・添待ち","")&amp;IF(Q202&lt;&gt;"","・住民票","")&amp;IF(R202&lt;&gt;"","・発信","")&amp;IF(S202&lt;&gt;"","・確認事項","")&amp;IF(T202&lt;&gt;"","・管","")&amp;IF(U202&lt;&gt;"","・SV","")&amp;IF(V202&lt;&gt;"","・データ送付待ち","")&amp;IF(W202&lt;&gt;"","・削除","")</f>
        <v/>
      </c>
    </row>
    <row r="203" spans="1:42" ht="15" customHeight="1">
      <c r="A203" s="3"/>
      <c r="B203" s="3"/>
      <c r="C203" s="3"/>
      <c r="D203" s="3"/>
      <c r="E203" s="3"/>
      <c r="F203" s="3"/>
      <c r="G203" s="3"/>
      <c r="H203" s="4"/>
      <c r="I203" s="5"/>
      <c r="J203" s="4"/>
      <c r="K203" s="4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6"/>
      <c r="AE203" s="3"/>
      <c r="AF203" s="3"/>
      <c r="AG203" s="3"/>
      <c r="AH203" s="3"/>
      <c r="AI203" s="3"/>
      <c r="AJ203" s="3"/>
      <c r="AK203" s="3"/>
      <c r="AL203" s="7" t="str">
        <f>IF(A203="","",IF(COUNTIF(A203:A$2001,A203)=1,1,0))</f>
        <v/>
      </c>
      <c r="AM203" s="7" t="str">
        <f t="shared" ca="1" si="9"/>
        <v/>
      </c>
      <c r="AN203" s="7" t="str">
        <f t="shared" si="10"/>
        <v/>
      </c>
      <c r="AO203" s="7" t="str">
        <f t="shared" si="11"/>
        <v/>
      </c>
      <c r="AP203" s="15" t="str">
        <f t="shared" si="12"/>
        <v/>
      </c>
    </row>
    <row r="204" spans="1:42" ht="15" customHeight="1">
      <c r="A204" s="3"/>
      <c r="B204" s="3"/>
      <c r="C204" s="3"/>
      <c r="D204" s="3"/>
      <c r="E204" s="3"/>
      <c r="F204" s="3"/>
      <c r="G204" s="3"/>
      <c r="H204" s="4"/>
      <c r="I204" s="5"/>
      <c r="J204" s="4"/>
      <c r="K204" s="4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6"/>
      <c r="AE204" s="3"/>
      <c r="AF204" s="3"/>
      <c r="AG204" s="3"/>
      <c r="AH204" s="3"/>
      <c r="AI204" s="3"/>
      <c r="AJ204" s="3"/>
      <c r="AK204" s="3"/>
      <c r="AL204" s="7" t="str">
        <f>IF(A204="","",IF(COUNTIF(A204:A$2001,A204)=1,1,0))</f>
        <v/>
      </c>
      <c r="AM204" s="7" t="str">
        <f t="shared" ca="1" si="9"/>
        <v/>
      </c>
      <c r="AN204" s="7" t="str">
        <f t="shared" si="10"/>
        <v/>
      </c>
      <c r="AO204" s="7" t="str">
        <f t="shared" si="11"/>
        <v/>
      </c>
      <c r="AP204" s="15" t="str">
        <f t="shared" si="12"/>
        <v/>
      </c>
    </row>
    <row r="205" spans="1:42" ht="15" customHeight="1">
      <c r="A205" s="3"/>
      <c r="B205" s="3"/>
      <c r="C205" s="3"/>
      <c r="D205" s="3"/>
      <c r="E205" s="3"/>
      <c r="F205" s="3"/>
      <c r="G205" s="3"/>
      <c r="H205" s="4"/>
      <c r="I205" s="5"/>
      <c r="J205" s="4"/>
      <c r="K205" s="4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6"/>
      <c r="AE205" s="3"/>
      <c r="AF205" s="3"/>
      <c r="AG205" s="3"/>
      <c r="AH205" s="3"/>
      <c r="AI205" s="3"/>
      <c r="AJ205" s="3"/>
      <c r="AK205" s="3"/>
      <c r="AL205" s="7" t="str">
        <f>IF(A205="","",IF(COUNTIF(A205:A$2001,A205)=1,1,0))</f>
        <v/>
      </c>
      <c r="AM205" s="7" t="str">
        <f t="shared" ca="1" si="9"/>
        <v/>
      </c>
      <c r="AN205" s="7" t="str">
        <f t="shared" si="10"/>
        <v/>
      </c>
      <c r="AO205" s="7" t="str">
        <f t="shared" si="11"/>
        <v/>
      </c>
      <c r="AP205" s="15" t="str">
        <f t="shared" si="12"/>
        <v/>
      </c>
    </row>
    <row r="206" spans="1:42" ht="15" customHeight="1">
      <c r="A206" s="3"/>
      <c r="B206" s="3"/>
      <c r="C206" s="3"/>
      <c r="D206" s="3"/>
      <c r="E206" s="3"/>
      <c r="F206" s="3"/>
      <c r="G206" s="3"/>
      <c r="H206" s="4"/>
      <c r="I206" s="5"/>
      <c r="J206" s="4"/>
      <c r="K206" s="4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6"/>
      <c r="AE206" s="3"/>
      <c r="AF206" s="3"/>
      <c r="AG206" s="3"/>
      <c r="AH206" s="3"/>
      <c r="AI206" s="3"/>
      <c r="AJ206" s="3"/>
      <c r="AK206" s="3"/>
      <c r="AL206" s="7" t="str">
        <f>IF(A206="","",IF(COUNTIF(A206:A$2001,A206)=1,1,0))</f>
        <v/>
      </c>
      <c r="AM206" s="7" t="str">
        <f t="shared" ca="1" si="9"/>
        <v/>
      </c>
      <c r="AN206" s="7" t="str">
        <f t="shared" si="10"/>
        <v/>
      </c>
      <c r="AO206" s="7" t="str">
        <f t="shared" si="11"/>
        <v/>
      </c>
      <c r="AP206" s="15" t="str">
        <f t="shared" si="12"/>
        <v/>
      </c>
    </row>
    <row r="207" spans="1:42" ht="15" customHeight="1">
      <c r="A207" s="3"/>
      <c r="B207" s="3"/>
      <c r="C207" s="3"/>
      <c r="D207" s="3"/>
      <c r="E207" s="3"/>
      <c r="F207" s="3"/>
      <c r="G207" s="3"/>
      <c r="H207" s="4"/>
      <c r="I207" s="5"/>
      <c r="J207" s="3"/>
      <c r="K207" s="3"/>
      <c r="L207" s="3"/>
      <c r="M207" s="3"/>
      <c r="N207" s="3"/>
      <c r="O207" s="3"/>
      <c r="P207" s="6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6"/>
      <c r="AE207" s="3"/>
      <c r="AF207" s="3"/>
      <c r="AG207" s="6"/>
      <c r="AH207" s="3"/>
      <c r="AI207" s="3"/>
      <c r="AJ207" s="3"/>
      <c r="AK207" s="3"/>
      <c r="AL207" s="7" t="str">
        <f>IF(A207="","",IF(COUNTIF(A207:A$2001,A207)=1,1,0))</f>
        <v/>
      </c>
      <c r="AM207" s="7" t="str">
        <f t="shared" ca="1" si="9"/>
        <v/>
      </c>
      <c r="AN207" s="7" t="str">
        <f t="shared" si="10"/>
        <v/>
      </c>
      <c r="AO207" s="7" t="str">
        <f t="shared" si="11"/>
        <v/>
      </c>
      <c r="AP207" s="15" t="str">
        <f t="shared" si="12"/>
        <v/>
      </c>
    </row>
    <row r="208" spans="1:42" ht="15" customHeight="1">
      <c r="A208" s="3"/>
      <c r="B208" s="3"/>
      <c r="C208" s="3"/>
      <c r="D208" s="3"/>
      <c r="E208" s="3"/>
      <c r="F208" s="3"/>
      <c r="G208" s="3"/>
      <c r="H208" s="4"/>
      <c r="I208" s="5"/>
      <c r="J208" s="4"/>
      <c r="K208" s="4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6"/>
      <c r="AE208" s="3"/>
      <c r="AF208" s="6"/>
      <c r="AG208" s="6"/>
      <c r="AH208" s="6"/>
      <c r="AI208" s="3"/>
      <c r="AJ208" s="3"/>
      <c r="AK208" s="3"/>
      <c r="AL208" s="7" t="str">
        <f>IF(A208="","",IF(COUNTIF(A208:A$2001,A208)=1,1,0))</f>
        <v/>
      </c>
      <c r="AM208" s="7" t="str">
        <f t="shared" ca="1" si="9"/>
        <v/>
      </c>
      <c r="AN208" s="7" t="str">
        <f t="shared" si="10"/>
        <v/>
      </c>
      <c r="AO208" s="7" t="str">
        <f t="shared" si="11"/>
        <v/>
      </c>
      <c r="AP208" s="15" t="str">
        <f t="shared" si="12"/>
        <v/>
      </c>
    </row>
    <row r="209" spans="1:42" ht="15" customHeight="1">
      <c r="A209" s="3"/>
      <c r="B209" s="3"/>
      <c r="C209" s="3"/>
      <c r="D209" s="3"/>
      <c r="E209" s="3"/>
      <c r="F209" s="3"/>
      <c r="G209" s="3"/>
      <c r="H209" s="4"/>
      <c r="I209" s="5"/>
      <c r="J209" s="4"/>
      <c r="K209" s="4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6"/>
      <c r="AE209" s="3"/>
      <c r="AF209" s="3"/>
      <c r="AG209" s="6"/>
      <c r="AH209" s="6"/>
      <c r="AI209" s="3"/>
      <c r="AJ209" s="3"/>
      <c r="AK209" s="3"/>
      <c r="AL209" s="7" t="str">
        <f>IF(A209="","",IF(COUNTIF(A209:A$2001,A209)=1,1,0))</f>
        <v/>
      </c>
      <c r="AM209" s="7" t="str">
        <f t="shared" ca="1" si="9"/>
        <v/>
      </c>
      <c r="AN209" s="7" t="str">
        <f t="shared" si="10"/>
        <v/>
      </c>
      <c r="AO209" s="7" t="str">
        <f t="shared" si="11"/>
        <v/>
      </c>
      <c r="AP209" s="15" t="str">
        <f t="shared" si="12"/>
        <v/>
      </c>
    </row>
    <row r="210" spans="1:42" ht="15" customHeight="1">
      <c r="A210" s="3"/>
      <c r="B210" s="3"/>
      <c r="C210" s="3"/>
      <c r="D210" s="3"/>
      <c r="E210" s="3"/>
      <c r="F210" s="3"/>
      <c r="G210" s="3"/>
      <c r="H210" s="4"/>
      <c r="I210" s="5"/>
      <c r="J210" s="4"/>
      <c r="K210" s="4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6"/>
      <c r="AE210" s="3"/>
      <c r="AF210" s="6"/>
      <c r="AG210" s="6"/>
      <c r="AH210" s="6"/>
      <c r="AI210" s="3"/>
      <c r="AJ210" s="3"/>
      <c r="AK210" s="3"/>
      <c r="AL210" s="7" t="str">
        <f>IF(A210="","",IF(COUNTIF(A210:A$2001,A210)=1,1,0))</f>
        <v/>
      </c>
      <c r="AM210" s="7" t="str">
        <f t="shared" ca="1" si="9"/>
        <v/>
      </c>
      <c r="AN210" s="7" t="str">
        <f t="shared" si="10"/>
        <v/>
      </c>
      <c r="AO210" s="7" t="str">
        <f t="shared" si="11"/>
        <v/>
      </c>
      <c r="AP210" s="15" t="str">
        <f t="shared" si="12"/>
        <v/>
      </c>
    </row>
    <row r="211" spans="1:42" ht="15" customHeight="1">
      <c r="A211" s="3"/>
      <c r="B211" s="3"/>
      <c r="C211" s="3"/>
      <c r="D211" s="3"/>
      <c r="E211" s="3"/>
      <c r="F211" s="3"/>
      <c r="G211" s="3"/>
      <c r="H211" s="4"/>
      <c r="I211" s="5"/>
      <c r="J211" s="4"/>
      <c r="K211" s="4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6"/>
      <c r="AE211" s="3"/>
      <c r="AF211" s="3"/>
      <c r="AG211" s="3"/>
      <c r="AH211" s="3"/>
      <c r="AI211" s="3"/>
      <c r="AJ211" s="3"/>
      <c r="AK211" s="3"/>
      <c r="AL211" s="7" t="str">
        <f>IF(A211="","",IF(COUNTIF(A211:A$2001,A211)=1,1,0))</f>
        <v/>
      </c>
      <c r="AM211" s="7" t="str">
        <f t="shared" ca="1" si="9"/>
        <v/>
      </c>
      <c r="AN211" s="7" t="str">
        <f t="shared" si="10"/>
        <v/>
      </c>
      <c r="AO211" s="7" t="str">
        <f t="shared" si="11"/>
        <v/>
      </c>
      <c r="AP211" s="15" t="str">
        <f t="shared" si="12"/>
        <v/>
      </c>
    </row>
    <row r="212" spans="1:42" ht="15" customHeight="1">
      <c r="A212" s="3"/>
      <c r="B212" s="3"/>
      <c r="C212" s="3"/>
      <c r="D212" s="3"/>
      <c r="E212" s="3"/>
      <c r="F212" s="3"/>
      <c r="G212" s="3"/>
      <c r="H212" s="4"/>
      <c r="I212" s="5"/>
      <c r="J212" s="4"/>
      <c r="K212" s="4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6"/>
      <c r="AE212" s="3"/>
      <c r="AF212" s="3"/>
      <c r="AG212" s="3"/>
      <c r="AH212" s="3"/>
      <c r="AI212" s="3"/>
      <c r="AJ212" s="3"/>
      <c r="AK212" s="3"/>
      <c r="AL212" s="7" t="str">
        <f>IF(A212="","",IF(COUNTIF(A212:A$2001,A212)=1,1,0))</f>
        <v/>
      </c>
      <c r="AM212" s="7" t="str">
        <f t="shared" ca="1" si="9"/>
        <v/>
      </c>
      <c r="AN212" s="7" t="str">
        <f t="shared" si="10"/>
        <v/>
      </c>
      <c r="AO212" s="7" t="str">
        <f t="shared" si="11"/>
        <v/>
      </c>
      <c r="AP212" s="15" t="str">
        <f t="shared" si="12"/>
        <v/>
      </c>
    </row>
    <row r="213" spans="1:42" ht="15" customHeight="1">
      <c r="A213" s="3"/>
      <c r="B213" s="3"/>
      <c r="C213" s="3"/>
      <c r="D213" s="3"/>
      <c r="E213" s="3"/>
      <c r="F213" s="3"/>
      <c r="G213" s="3"/>
      <c r="H213" s="4"/>
      <c r="I213" s="5"/>
      <c r="J213" s="4"/>
      <c r="K213" s="4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6"/>
      <c r="AE213" s="3"/>
      <c r="AF213" s="3"/>
      <c r="AG213" s="3"/>
      <c r="AH213" s="3"/>
      <c r="AI213" s="3"/>
      <c r="AJ213" s="3"/>
      <c r="AK213" s="3"/>
      <c r="AL213" s="7" t="str">
        <f>IF(A213="","",IF(COUNTIF(A213:A$2001,A213)=1,1,0))</f>
        <v/>
      </c>
      <c r="AM213" s="7" t="str">
        <f t="shared" ca="1" si="9"/>
        <v/>
      </c>
      <c r="AN213" s="7" t="str">
        <f t="shared" si="10"/>
        <v/>
      </c>
      <c r="AO213" s="7" t="str">
        <f t="shared" si="11"/>
        <v/>
      </c>
      <c r="AP213" s="15" t="str">
        <f t="shared" si="12"/>
        <v/>
      </c>
    </row>
    <row r="214" spans="1:42" ht="15" customHeight="1">
      <c r="A214" s="3"/>
      <c r="B214" s="3"/>
      <c r="C214" s="3"/>
      <c r="D214" s="3"/>
      <c r="E214" s="3"/>
      <c r="F214" s="3"/>
      <c r="G214" s="3"/>
      <c r="H214" s="4"/>
      <c r="I214" s="5"/>
      <c r="J214" s="4"/>
      <c r="K214" s="4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6"/>
      <c r="AE214" s="3"/>
      <c r="AF214" s="3"/>
      <c r="AG214" s="3"/>
      <c r="AH214" s="3"/>
      <c r="AI214" s="3"/>
      <c r="AJ214" s="3"/>
      <c r="AK214" s="3"/>
      <c r="AL214" s="7" t="str">
        <f>IF(A214="","",IF(COUNTIF(A214:A$2001,A214)=1,1,0))</f>
        <v/>
      </c>
      <c r="AM214" s="7" t="str">
        <f t="shared" ca="1" si="9"/>
        <v/>
      </c>
      <c r="AN214" s="7" t="str">
        <f t="shared" si="10"/>
        <v/>
      </c>
      <c r="AO214" s="7" t="str">
        <f t="shared" si="11"/>
        <v/>
      </c>
      <c r="AP214" s="15" t="str">
        <f t="shared" si="12"/>
        <v/>
      </c>
    </row>
    <row r="215" spans="1:42" ht="15" customHeight="1">
      <c r="A215" s="3"/>
      <c r="B215" s="3"/>
      <c r="C215" s="3"/>
      <c r="D215" s="3"/>
      <c r="E215" s="3"/>
      <c r="F215" s="3"/>
      <c r="G215" s="3"/>
      <c r="H215" s="4"/>
      <c r="I215" s="5"/>
      <c r="J215" s="4"/>
      <c r="K215" s="4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6"/>
      <c r="AE215" s="3"/>
      <c r="AF215" s="6"/>
      <c r="AG215" s="6"/>
      <c r="AH215" s="6"/>
      <c r="AI215" s="3"/>
      <c r="AJ215" s="3"/>
      <c r="AK215" s="3"/>
      <c r="AL215" s="7" t="str">
        <f>IF(A215="","",IF(COUNTIF(A215:A$2001,A215)=1,1,0))</f>
        <v/>
      </c>
      <c r="AM215" s="7" t="str">
        <f t="shared" ca="1" si="9"/>
        <v/>
      </c>
      <c r="AN215" s="7" t="str">
        <f t="shared" si="10"/>
        <v/>
      </c>
      <c r="AO215" s="7" t="str">
        <f t="shared" si="11"/>
        <v/>
      </c>
      <c r="AP215" s="15" t="str">
        <f t="shared" si="12"/>
        <v/>
      </c>
    </row>
    <row r="216" spans="1:42" ht="15" customHeight="1">
      <c r="A216" s="3"/>
      <c r="B216" s="3"/>
      <c r="C216" s="3"/>
      <c r="D216" s="3"/>
      <c r="E216" s="3"/>
      <c r="F216" s="3"/>
      <c r="G216" s="3"/>
      <c r="H216" s="4"/>
      <c r="I216" s="5"/>
      <c r="J216" s="3"/>
      <c r="K216" s="3"/>
      <c r="L216" s="3"/>
      <c r="M216" s="3"/>
      <c r="N216" s="3"/>
      <c r="O216" s="3"/>
      <c r="P216" s="6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6"/>
      <c r="AE216" s="3"/>
      <c r="AF216" s="6"/>
      <c r="AG216" s="3"/>
      <c r="AH216" s="6"/>
      <c r="AI216" s="3"/>
      <c r="AJ216" s="3"/>
      <c r="AK216" s="3"/>
      <c r="AL216" s="7" t="str">
        <f>IF(A216="","",IF(COUNTIF(A216:A$2001,A216)=1,1,0))</f>
        <v/>
      </c>
      <c r="AM216" s="7" t="str">
        <f t="shared" ca="1" si="9"/>
        <v/>
      </c>
      <c r="AN216" s="7" t="str">
        <f t="shared" si="10"/>
        <v/>
      </c>
      <c r="AO216" s="7" t="str">
        <f t="shared" si="11"/>
        <v/>
      </c>
      <c r="AP216" s="15" t="str">
        <f t="shared" si="12"/>
        <v/>
      </c>
    </row>
    <row r="217" spans="1:42" ht="15" customHeight="1">
      <c r="A217" s="3"/>
      <c r="B217" s="3"/>
      <c r="C217" s="3"/>
      <c r="D217" s="3"/>
      <c r="E217" s="3"/>
      <c r="F217" s="3"/>
      <c r="G217" s="3"/>
      <c r="H217" s="4"/>
      <c r="I217" s="5"/>
      <c r="J217" s="4"/>
      <c r="K217" s="4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6"/>
      <c r="AE217" s="3"/>
      <c r="AF217" s="3"/>
      <c r="AG217" s="3"/>
      <c r="AH217" s="3"/>
      <c r="AI217" s="3"/>
      <c r="AJ217" s="3"/>
      <c r="AK217" s="3"/>
      <c r="AL217" s="7" t="str">
        <f>IF(A217="","",IF(COUNTIF(A217:A$2001,A217)=1,1,0))</f>
        <v/>
      </c>
      <c r="AM217" s="7" t="str">
        <f t="shared" ca="1" si="9"/>
        <v/>
      </c>
      <c r="AN217" s="7" t="str">
        <f t="shared" si="10"/>
        <v/>
      </c>
      <c r="AO217" s="7" t="str">
        <f t="shared" si="11"/>
        <v/>
      </c>
      <c r="AP217" s="15" t="str">
        <f t="shared" si="12"/>
        <v/>
      </c>
    </row>
    <row r="218" spans="1:42" ht="15" customHeight="1">
      <c r="A218" s="3"/>
      <c r="B218" s="3"/>
      <c r="C218" s="3"/>
      <c r="D218" s="3"/>
      <c r="E218" s="3"/>
      <c r="F218" s="3"/>
      <c r="G218" s="3"/>
      <c r="H218" s="4"/>
      <c r="I218" s="5"/>
      <c r="J218" s="4"/>
      <c r="K218" s="4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6"/>
      <c r="AE218" s="3"/>
      <c r="AF218" s="3"/>
      <c r="AG218" s="3"/>
      <c r="AH218" s="3"/>
      <c r="AI218" s="3"/>
      <c r="AJ218" s="3"/>
      <c r="AK218" s="3"/>
      <c r="AL218" s="7" t="str">
        <f>IF(A218="","",IF(COUNTIF(A218:A$2001,A218)=1,1,0))</f>
        <v/>
      </c>
      <c r="AM218" s="7" t="str">
        <f t="shared" ca="1" si="9"/>
        <v/>
      </c>
      <c r="AN218" s="7" t="str">
        <f t="shared" si="10"/>
        <v/>
      </c>
      <c r="AO218" s="7" t="str">
        <f t="shared" si="11"/>
        <v/>
      </c>
      <c r="AP218" s="15" t="str">
        <f t="shared" si="12"/>
        <v/>
      </c>
    </row>
    <row r="219" spans="1:42" ht="15" customHeight="1">
      <c r="A219" s="3"/>
      <c r="B219" s="3"/>
      <c r="C219" s="3"/>
      <c r="D219" s="3"/>
      <c r="E219" s="3"/>
      <c r="F219" s="3"/>
      <c r="G219" s="3"/>
      <c r="H219" s="4"/>
      <c r="I219" s="5"/>
      <c r="J219" s="4"/>
      <c r="K219" s="4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6"/>
      <c r="AE219" s="3"/>
      <c r="AF219" s="3"/>
      <c r="AG219" s="3"/>
      <c r="AH219" s="3"/>
      <c r="AI219" s="3"/>
      <c r="AJ219" s="3"/>
      <c r="AK219" s="3"/>
      <c r="AL219" s="7" t="str">
        <f>IF(A219="","",IF(COUNTIF(A219:A$2001,A219)=1,1,0))</f>
        <v/>
      </c>
      <c r="AM219" s="7" t="str">
        <f t="shared" ca="1" si="9"/>
        <v/>
      </c>
      <c r="AN219" s="7" t="str">
        <f t="shared" si="10"/>
        <v/>
      </c>
      <c r="AO219" s="7" t="str">
        <f t="shared" si="11"/>
        <v/>
      </c>
      <c r="AP219" s="15" t="str">
        <f t="shared" si="12"/>
        <v/>
      </c>
    </row>
    <row r="220" spans="1:42" ht="15" customHeight="1">
      <c r="A220" s="3"/>
      <c r="B220" s="3"/>
      <c r="C220" s="3"/>
      <c r="D220" s="3"/>
      <c r="E220" s="3"/>
      <c r="F220" s="3"/>
      <c r="G220" s="3"/>
      <c r="H220" s="4"/>
      <c r="I220" s="5"/>
      <c r="J220" s="4"/>
      <c r="K220" s="4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6"/>
      <c r="AE220" s="3"/>
      <c r="AF220" s="3"/>
      <c r="AG220" s="3"/>
      <c r="AH220" s="3"/>
      <c r="AI220" s="3"/>
      <c r="AJ220" s="3"/>
      <c r="AK220" s="3"/>
      <c r="AL220" s="7" t="str">
        <f>IF(A220="","",IF(COUNTIF(A220:A$2001,A220)=1,1,0))</f>
        <v/>
      </c>
      <c r="AM220" s="7" t="str">
        <f t="shared" ca="1" si="9"/>
        <v/>
      </c>
      <c r="AN220" s="7" t="str">
        <f t="shared" si="10"/>
        <v/>
      </c>
      <c r="AO220" s="7" t="str">
        <f t="shared" si="11"/>
        <v/>
      </c>
      <c r="AP220" s="15" t="str">
        <f t="shared" si="12"/>
        <v/>
      </c>
    </row>
    <row r="221" spans="1:42" ht="15" customHeight="1">
      <c r="A221" s="3"/>
      <c r="B221" s="3"/>
      <c r="C221" s="3"/>
      <c r="D221" s="3"/>
      <c r="E221" s="3"/>
      <c r="F221" s="3"/>
      <c r="G221" s="3"/>
      <c r="H221" s="4"/>
      <c r="I221" s="5"/>
      <c r="J221" s="4"/>
      <c r="K221" s="4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6"/>
      <c r="AE221" s="3"/>
      <c r="AF221" s="6"/>
      <c r="AG221" s="6"/>
      <c r="AH221" s="6"/>
      <c r="AI221" s="3"/>
      <c r="AJ221" s="3"/>
      <c r="AK221" s="3"/>
      <c r="AL221" s="7" t="str">
        <f>IF(A221="","",IF(COUNTIF(A221:A$2001,A221)=1,1,0))</f>
        <v/>
      </c>
      <c r="AM221" s="7" t="str">
        <f t="shared" ca="1" si="9"/>
        <v/>
      </c>
      <c r="AN221" s="7" t="str">
        <f t="shared" si="10"/>
        <v/>
      </c>
      <c r="AO221" s="7" t="str">
        <f t="shared" si="11"/>
        <v/>
      </c>
      <c r="AP221" s="15" t="str">
        <f t="shared" si="12"/>
        <v/>
      </c>
    </row>
    <row r="222" spans="1:42" ht="15" customHeight="1">
      <c r="A222" s="3"/>
      <c r="B222" s="3"/>
      <c r="C222" s="3"/>
      <c r="D222" s="3"/>
      <c r="E222" s="3"/>
      <c r="F222" s="3"/>
      <c r="G222" s="3"/>
      <c r="H222" s="4"/>
      <c r="I222" s="5"/>
      <c r="J222" s="4"/>
      <c r="K222" s="4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6"/>
      <c r="AE222" s="3"/>
      <c r="AF222" s="3"/>
      <c r="AG222" s="3"/>
      <c r="AH222" s="3"/>
      <c r="AI222" s="3"/>
      <c r="AJ222" s="3"/>
      <c r="AK222" s="3"/>
      <c r="AL222" s="7" t="str">
        <f>IF(A222="","",IF(COUNTIF(A222:A$2001,A222)=1,1,0))</f>
        <v/>
      </c>
      <c r="AM222" s="7" t="str">
        <f t="shared" ca="1" si="9"/>
        <v/>
      </c>
      <c r="AN222" s="7" t="str">
        <f t="shared" si="10"/>
        <v/>
      </c>
      <c r="AO222" s="7" t="str">
        <f t="shared" si="11"/>
        <v/>
      </c>
      <c r="AP222" s="15" t="str">
        <f t="shared" si="12"/>
        <v/>
      </c>
    </row>
    <row r="223" spans="1:42" ht="15" customHeight="1">
      <c r="A223" s="3"/>
      <c r="B223" s="3"/>
      <c r="C223" s="3"/>
      <c r="D223" s="3"/>
      <c r="E223" s="3"/>
      <c r="F223" s="3"/>
      <c r="G223" s="3"/>
      <c r="H223" s="4"/>
      <c r="I223" s="5"/>
      <c r="J223" s="4"/>
      <c r="K223" s="4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6"/>
      <c r="AE223" s="3"/>
      <c r="AF223" s="3"/>
      <c r="AG223" s="3"/>
      <c r="AH223" s="3"/>
      <c r="AI223" s="3"/>
      <c r="AJ223" s="3"/>
      <c r="AK223" s="3"/>
      <c r="AL223" s="7" t="str">
        <f>IF(A223="","",IF(COUNTIF(A223:A$2001,A223)=1,1,0))</f>
        <v/>
      </c>
      <c r="AM223" s="7" t="str">
        <f t="shared" ca="1" si="9"/>
        <v/>
      </c>
      <c r="AN223" s="7" t="str">
        <f t="shared" si="10"/>
        <v/>
      </c>
      <c r="AO223" s="7" t="str">
        <f t="shared" si="11"/>
        <v/>
      </c>
      <c r="AP223" s="15" t="str">
        <f t="shared" si="12"/>
        <v/>
      </c>
    </row>
    <row r="224" spans="1:42" ht="15" customHeight="1">
      <c r="A224" s="3"/>
      <c r="B224" s="3"/>
      <c r="C224" s="3"/>
      <c r="D224" s="3"/>
      <c r="E224" s="3"/>
      <c r="F224" s="3"/>
      <c r="G224" s="3"/>
      <c r="H224" s="4"/>
      <c r="I224" s="5"/>
      <c r="J224" s="3"/>
      <c r="K224" s="3"/>
      <c r="L224" s="3"/>
      <c r="M224" s="3"/>
      <c r="N224" s="3"/>
      <c r="O224" s="3"/>
      <c r="P224" s="6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6"/>
      <c r="AE224" s="3"/>
      <c r="AF224" s="6"/>
      <c r="AG224" s="6"/>
      <c r="AH224" s="3"/>
      <c r="AI224" s="3"/>
      <c r="AJ224" s="3"/>
      <c r="AK224" s="3"/>
      <c r="AL224" s="7" t="str">
        <f>IF(A224="","",IF(COUNTIF(A224:A$2001,A224)=1,1,0))</f>
        <v/>
      </c>
      <c r="AM224" s="7" t="str">
        <f t="shared" ca="1" si="9"/>
        <v/>
      </c>
      <c r="AN224" s="7" t="str">
        <f t="shared" si="10"/>
        <v/>
      </c>
      <c r="AO224" s="7" t="str">
        <f t="shared" si="11"/>
        <v/>
      </c>
      <c r="AP224" s="15" t="str">
        <f t="shared" si="12"/>
        <v/>
      </c>
    </row>
    <row r="225" spans="1:42" ht="15" customHeight="1">
      <c r="A225" s="3"/>
      <c r="B225" s="3"/>
      <c r="C225" s="3"/>
      <c r="D225" s="3"/>
      <c r="E225" s="3"/>
      <c r="F225" s="3"/>
      <c r="G225" s="3"/>
      <c r="H225" s="4"/>
      <c r="I225" s="5"/>
      <c r="J225" s="4"/>
      <c r="K225" s="4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6"/>
      <c r="X225" s="3"/>
      <c r="Y225" s="3"/>
      <c r="Z225" s="3"/>
      <c r="AA225" s="3"/>
      <c r="AB225" s="3"/>
      <c r="AC225" s="3"/>
      <c r="AD225" s="6"/>
      <c r="AE225" s="3"/>
      <c r="AF225" s="6"/>
      <c r="AG225" s="6"/>
      <c r="AH225" s="6"/>
      <c r="AI225" s="3"/>
      <c r="AJ225" s="3"/>
      <c r="AK225" s="3"/>
      <c r="AL225" s="7" t="str">
        <f>IF(A225="","",IF(COUNTIF(A225:A$2001,A225)=1,1,0))</f>
        <v/>
      </c>
      <c r="AM225" s="7" t="str">
        <f t="shared" ca="1" si="9"/>
        <v/>
      </c>
      <c r="AN225" s="7" t="str">
        <f t="shared" si="10"/>
        <v/>
      </c>
      <c r="AO225" s="7" t="str">
        <f t="shared" si="11"/>
        <v/>
      </c>
      <c r="AP225" s="15" t="str">
        <f t="shared" si="12"/>
        <v/>
      </c>
    </row>
    <row r="226" spans="1:42" ht="15" customHeight="1">
      <c r="A226" s="3"/>
      <c r="B226" s="3"/>
      <c r="C226" s="3"/>
      <c r="D226" s="3"/>
      <c r="E226" s="3"/>
      <c r="F226" s="3"/>
      <c r="G226" s="3"/>
      <c r="H226" s="4"/>
      <c r="I226" s="5"/>
      <c r="J226" s="4"/>
      <c r="K226" s="4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6"/>
      <c r="AE226" s="3"/>
      <c r="AF226" s="3"/>
      <c r="AG226" s="3"/>
      <c r="AH226" s="3"/>
      <c r="AI226" s="3"/>
      <c r="AJ226" s="3"/>
      <c r="AK226" s="3"/>
      <c r="AL226" s="7" t="str">
        <f>IF(A226="","",IF(COUNTIF(A226:A$2001,A226)=1,1,0))</f>
        <v/>
      </c>
      <c r="AM226" s="7" t="str">
        <f t="shared" ca="1" si="9"/>
        <v/>
      </c>
      <c r="AN226" s="7" t="str">
        <f t="shared" si="10"/>
        <v/>
      </c>
      <c r="AO226" s="7" t="str">
        <f t="shared" si="11"/>
        <v/>
      </c>
      <c r="AP226" s="15" t="str">
        <f t="shared" si="12"/>
        <v/>
      </c>
    </row>
    <row r="227" spans="1:42" ht="15" customHeight="1">
      <c r="A227" s="3"/>
      <c r="B227" s="3"/>
      <c r="C227" s="3"/>
      <c r="D227" s="3"/>
      <c r="E227" s="3"/>
      <c r="F227" s="3"/>
      <c r="G227" s="3"/>
      <c r="H227" s="4"/>
      <c r="I227" s="5"/>
      <c r="J227" s="4"/>
      <c r="K227" s="4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6"/>
      <c r="AE227" s="3"/>
      <c r="AF227" s="3"/>
      <c r="AG227" s="3"/>
      <c r="AH227" s="3"/>
      <c r="AI227" s="3"/>
      <c r="AJ227" s="3"/>
      <c r="AK227" s="3"/>
      <c r="AL227" s="7" t="str">
        <f>IF(A227="","",IF(COUNTIF(A227:A$2001,A227)=1,1,0))</f>
        <v/>
      </c>
      <c r="AM227" s="7" t="str">
        <f t="shared" ca="1" si="9"/>
        <v/>
      </c>
      <c r="AN227" s="7" t="str">
        <f t="shared" si="10"/>
        <v/>
      </c>
      <c r="AO227" s="7" t="str">
        <f t="shared" si="11"/>
        <v/>
      </c>
      <c r="AP227" s="15" t="str">
        <f t="shared" si="12"/>
        <v/>
      </c>
    </row>
    <row r="228" spans="1:42" ht="15" customHeight="1">
      <c r="A228" s="3"/>
      <c r="B228" s="3"/>
      <c r="C228" s="3"/>
      <c r="D228" s="3"/>
      <c r="E228" s="3"/>
      <c r="F228" s="3"/>
      <c r="G228" s="3"/>
      <c r="H228" s="4"/>
      <c r="I228" s="5"/>
      <c r="J228" s="4"/>
      <c r="K228" s="4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6"/>
      <c r="AE228" s="3"/>
      <c r="AF228" s="3"/>
      <c r="AG228" s="3"/>
      <c r="AH228" s="3"/>
      <c r="AI228" s="3"/>
      <c r="AJ228" s="3"/>
      <c r="AK228" s="3"/>
      <c r="AL228" s="7" t="str">
        <f>IF(A228="","",IF(COUNTIF(A228:A$2001,A228)=1,1,0))</f>
        <v/>
      </c>
      <c r="AM228" s="7" t="str">
        <f t="shared" ca="1" si="9"/>
        <v/>
      </c>
      <c r="AN228" s="7" t="str">
        <f t="shared" si="10"/>
        <v/>
      </c>
      <c r="AO228" s="7" t="str">
        <f t="shared" si="11"/>
        <v/>
      </c>
      <c r="AP228" s="15" t="str">
        <f t="shared" si="12"/>
        <v/>
      </c>
    </row>
    <row r="229" spans="1:42" ht="15" customHeight="1">
      <c r="A229" s="3"/>
      <c r="B229" s="3"/>
      <c r="C229" s="3"/>
      <c r="D229" s="3"/>
      <c r="E229" s="3"/>
      <c r="F229" s="3"/>
      <c r="G229" s="3"/>
      <c r="H229" s="4"/>
      <c r="I229" s="5"/>
      <c r="J229" s="4"/>
      <c r="K229" s="4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6"/>
      <c r="AE229" s="3"/>
      <c r="AF229" s="3"/>
      <c r="AG229" s="3"/>
      <c r="AH229" s="3"/>
      <c r="AI229" s="3"/>
      <c r="AJ229" s="3"/>
      <c r="AK229" s="3"/>
      <c r="AL229" s="7" t="str">
        <f>IF(A229="","",IF(COUNTIF(A229:A$2001,A229)=1,1,0))</f>
        <v/>
      </c>
      <c r="AM229" s="7" t="str">
        <f t="shared" ca="1" si="9"/>
        <v/>
      </c>
      <c r="AN229" s="7" t="str">
        <f t="shared" si="10"/>
        <v/>
      </c>
      <c r="AO229" s="7" t="str">
        <f t="shared" si="11"/>
        <v/>
      </c>
      <c r="AP229" s="15" t="str">
        <f t="shared" si="12"/>
        <v/>
      </c>
    </row>
    <row r="230" spans="1:42" ht="15" customHeight="1">
      <c r="A230" s="3"/>
      <c r="B230" s="3"/>
      <c r="C230" s="3"/>
      <c r="D230" s="3"/>
      <c r="E230" s="3"/>
      <c r="F230" s="3"/>
      <c r="G230" s="3"/>
      <c r="H230" s="4"/>
      <c r="I230" s="5"/>
      <c r="J230" s="4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6"/>
      <c r="AE230" s="3"/>
      <c r="AF230" s="3"/>
      <c r="AG230" s="3"/>
      <c r="AH230" s="6"/>
      <c r="AI230" s="3"/>
      <c r="AJ230" s="3"/>
      <c r="AK230" s="3"/>
      <c r="AL230" s="7" t="str">
        <f>IF(A230="","",IF(COUNTIF(A230:A$2001,A230)=1,1,0))</f>
        <v/>
      </c>
      <c r="AM230" s="7" t="str">
        <f t="shared" ca="1" si="9"/>
        <v/>
      </c>
      <c r="AN230" s="7" t="str">
        <f t="shared" si="10"/>
        <v/>
      </c>
      <c r="AO230" s="7" t="str">
        <f t="shared" si="11"/>
        <v/>
      </c>
      <c r="AP230" s="15" t="str">
        <f t="shared" si="12"/>
        <v/>
      </c>
    </row>
    <row r="231" spans="1:42" ht="15" customHeight="1">
      <c r="A231" s="3"/>
      <c r="B231" s="3"/>
      <c r="C231" s="3"/>
      <c r="D231" s="3"/>
      <c r="E231" s="3"/>
      <c r="F231" s="3"/>
      <c r="G231" s="3"/>
      <c r="H231" s="4"/>
      <c r="I231" s="5"/>
      <c r="J231" s="4"/>
      <c r="K231" s="4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6"/>
      <c r="AE231" s="3"/>
      <c r="AF231" s="3"/>
      <c r="AG231" s="3"/>
      <c r="AH231" s="3"/>
      <c r="AI231" s="3"/>
      <c r="AJ231" s="3"/>
      <c r="AK231" s="3"/>
      <c r="AL231" s="7" t="str">
        <f>IF(A231="","",IF(COUNTIF(A231:A$2001,A231)=1,1,0))</f>
        <v/>
      </c>
      <c r="AM231" s="7" t="str">
        <f t="shared" ca="1" si="9"/>
        <v/>
      </c>
      <c r="AN231" s="7" t="str">
        <f t="shared" si="10"/>
        <v/>
      </c>
      <c r="AO231" s="7" t="str">
        <f t="shared" si="11"/>
        <v/>
      </c>
      <c r="AP231" s="15" t="str">
        <f t="shared" si="12"/>
        <v/>
      </c>
    </row>
    <row r="232" spans="1:42" ht="15" customHeight="1">
      <c r="A232" s="3"/>
      <c r="B232" s="3"/>
      <c r="C232" s="3"/>
      <c r="D232" s="3"/>
      <c r="E232" s="3"/>
      <c r="F232" s="3"/>
      <c r="G232" s="3"/>
      <c r="H232" s="4"/>
      <c r="I232" s="5"/>
      <c r="J232" s="4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6"/>
      <c r="AE232" s="3"/>
      <c r="AF232" s="3"/>
      <c r="AG232" s="3"/>
      <c r="AH232" s="3"/>
      <c r="AI232" s="3"/>
      <c r="AJ232" s="3"/>
      <c r="AK232" s="3"/>
      <c r="AL232" s="7" t="str">
        <f>IF(A232="","",IF(COUNTIF(A232:A$2001,A232)=1,1,0))</f>
        <v/>
      </c>
      <c r="AM232" s="7" t="str">
        <f t="shared" ca="1" si="9"/>
        <v/>
      </c>
      <c r="AN232" s="7" t="str">
        <f t="shared" si="10"/>
        <v/>
      </c>
      <c r="AO232" s="7" t="str">
        <f t="shared" si="11"/>
        <v/>
      </c>
      <c r="AP232" s="15" t="str">
        <f t="shared" si="12"/>
        <v/>
      </c>
    </row>
    <row r="233" spans="1:42" ht="15" customHeight="1">
      <c r="A233" s="3"/>
      <c r="B233" s="3"/>
      <c r="C233" s="3"/>
      <c r="D233" s="3"/>
      <c r="E233" s="3"/>
      <c r="F233" s="3"/>
      <c r="G233" s="3"/>
      <c r="H233" s="4"/>
      <c r="I233" s="5"/>
      <c r="J233" s="4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6"/>
      <c r="AE233" s="3"/>
      <c r="AF233" s="3"/>
      <c r="AG233" s="3"/>
      <c r="AH233" s="3"/>
      <c r="AI233" s="3"/>
      <c r="AJ233" s="3"/>
      <c r="AK233" s="3"/>
      <c r="AL233" s="7" t="str">
        <f>IF(A233="","",IF(COUNTIF(A233:A$2001,A233)=1,1,0))</f>
        <v/>
      </c>
      <c r="AM233" s="7" t="str">
        <f t="shared" ca="1" si="9"/>
        <v/>
      </c>
      <c r="AN233" s="7" t="str">
        <f t="shared" si="10"/>
        <v/>
      </c>
      <c r="AO233" s="7" t="str">
        <f t="shared" si="11"/>
        <v/>
      </c>
      <c r="AP233" s="15" t="str">
        <f t="shared" si="12"/>
        <v/>
      </c>
    </row>
    <row r="234" spans="1:42" ht="15" customHeight="1">
      <c r="A234" s="3"/>
      <c r="B234" s="3"/>
      <c r="C234" s="3"/>
      <c r="D234" s="3"/>
      <c r="E234" s="3"/>
      <c r="F234" s="3"/>
      <c r="G234" s="3"/>
      <c r="H234" s="4"/>
      <c r="I234" s="5"/>
      <c r="J234" s="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6"/>
      <c r="AE234" s="3"/>
      <c r="AF234" s="6"/>
      <c r="AG234" s="3"/>
      <c r="AH234" s="6"/>
      <c r="AI234" s="3"/>
      <c r="AJ234" s="3"/>
      <c r="AK234" s="3"/>
      <c r="AL234" s="7" t="str">
        <f>IF(A234="","",IF(COUNTIF(A234:A$2001,A234)=1,1,0))</f>
        <v/>
      </c>
      <c r="AM234" s="7" t="str">
        <f t="shared" ca="1" si="9"/>
        <v/>
      </c>
      <c r="AN234" s="7" t="str">
        <f t="shared" si="10"/>
        <v/>
      </c>
      <c r="AO234" s="7" t="str">
        <f t="shared" si="11"/>
        <v/>
      </c>
      <c r="AP234" s="15" t="str">
        <f t="shared" si="12"/>
        <v/>
      </c>
    </row>
    <row r="235" spans="1:42" ht="15" customHeight="1">
      <c r="A235" s="3"/>
      <c r="B235" s="3"/>
      <c r="C235" s="3"/>
      <c r="D235" s="3"/>
      <c r="E235" s="3"/>
      <c r="F235" s="3"/>
      <c r="G235" s="3"/>
      <c r="H235" s="4"/>
      <c r="I235" s="5"/>
      <c r="J235" s="4"/>
      <c r="K235" s="4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6"/>
      <c r="AE235" s="3"/>
      <c r="AF235" s="3"/>
      <c r="AG235" s="3"/>
      <c r="AH235" s="6"/>
      <c r="AI235" s="3"/>
      <c r="AJ235" s="3"/>
      <c r="AK235" s="3"/>
      <c r="AL235" s="7" t="str">
        <f>IF(A235="","",IF(COUNTIF(A235:A$2001,A235)=1,1,0))</f>
        <v/>
      </c>
      <c r="AM235" s="7" t="str">
        <f t="shared" ca="1" si="9"/>
        <v/>
      </c>
      <c r="AN235" s="7" t="str">
        <f t="shared" si="10"/>
        <v/>
      </c>
      <c r="AO235" s="7" t="str">
        <f t="shared" si="11"/>
        <v/>
      </c>
      <c r="AP235" s="15" t="str">
        <f t="shared" si="12"/>
        <v/>
      </c>
    </row>
    <row r="236" spans="1:42" ht="15" customHeight="1">
      <c r="A236" s="3"/>
      <c r="B236" s="3"/>
      <c r="C236" s="3"/>
      <c r="D236" s="3"/>
      <c r="E236" s="3"/>
      <c r="F236" s="3"/>
      <c r="G236" s="3"/>
      <c r="H236" s="4"/>
      <c r="I236" s="5"/>
      <c r="J236" s="4"/>
      <c r="K236" s="4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6"/>
      <c r="AE236" s="3"/>
      <c r="AF236" s="3"/>
      <c r="AG236" s="3"/>
      <c r="AH236" s="3"/>
      <c r="AI236" s="3"/>
      <c r="AJ236" s="3"/>
      <c r="AK236" s="3"/>
      <c r="AL236" s="7" t="str">
        <f>IF(A236="","",IF(COUNTIF(A236:A$2001,A236)=1,1,0))</f>
        <v/>
      </c>
      <c r="AM236" s="7" t="str">
        <f t="shared" ca="1" si="9"/>
        <v/>
      </c>
      <c r="AN236" s="7" t="str">
        <f t="shared" si="10"/>
        <v/>
      </c>
      <c r="AO236" s="7" t="str">
        <f t="shared" si="11"/>
        <v/>
      </c>
      <c r="AP236" s="15" t="str">
        <f t="shared" si="12"/>
        <v/>
      </c>
    </row>
    <row r="237" spans="1:42" ht="15" customHeight="1">
      <c r="A237" s="3"/>
      <c r="B237" s="3"/>
      <c r="C237" s="3"/>
      <c r="D237" s="3"/>
      <c r="E237" s="3"/>
      <c r="F237" s="3"/>
      <c r="G237" s="3"/>
      <c r="H237" s="4"/>
      <c r="I237" s="5"/>
      <c r="J237" s="4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6"/>
      <c r="AE237" s="3"/>
      <c r="AF237" s="3"/>
      <c r="AG237" s="3"/>
      <c r="AH237" s="6"/>
      <c r="AI237" s="3"/>
      <c r="AJ237" s="3"/>
      <c r="AK237" s="3"/>
      <c r="AL237" s="7" t="str">
        <f>IF(A237="","",IF(COUNTIF(A237:A$2001,A237)=1,1,0))</f>
        <v/>
      </c>
      <c r="AM237" s="7" t="str">
        <f t="shared" ca="1" si="9"/>
        <v/>
      </c>
      <c r="AN237" s="7" t="str">
        <f t="shared" si="10"/>
        <v/>
      </c>
      <c r="AO237" s="7" t="str">
        <f t="shared" si="11"/>
        <v/>
      </c>
      <c r="AP237" s="15" t="str">
        <f t="shared" si="12"/>
        <v/>
      </c>
    </row>
    <row r="238" spans="1:42" ht="15" customHeight="1">
      <c r="A238" s="3"/>
      <c r="B238" s="3"/>
      <c r="C238" s="3"/>
      <c r="D238" s="3"/>
      <c r="E238" s="3"/>
      <c r="F238" s="3"/>
      <c r="G238" s="3"/>
      <c r="H238" s="4"/>
      <c r="I238" s="5"/>
      <c r="J238" s="3"/>
      <c r="K238" s="4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6"/>
      <c r="AE238" s="3"/>
      <c r="AF238" s="3"/>
      <c r="AG238" s="3"/>
      <c r="AH238" s="3"/>
      <c r="AI238" s="3"/>
      <c r="AJ238" s="3"/>
      <c r="AK238" s="3"/>
      <c r="AL238" s="7" t="str">
        <f>IF(A238="","",IF(COUNTIF(A238:A$2001,A238)=1,1,0))</f>
        <v/>
      </c>
      <c r="AM238" s="7" t="str">
        <f t="shared" ca="1" si="9"/>
        <v/>
      </c>
      <c r="AN238" s="7" t="str">
        <f t="shared" si="10"/>
        <v/>
      </c>
      <c r="AO238" s="7" t="str">
        <f t="shared" si="11"/>
        <v/>
      </c>
      <c r="AP238" s="15" t="str">
        <f t="shared" si="12"/>
        <v/>
      </c>
    </row>
    <row r="239" spans="1:42" ht="15" customHeight="1">
      <c r="A239" s="3"/>
      <c r="B239" s="3"/>
      <c r="C239" s="3"/>
      <c r="D239" s="3"/>
      <c r="E239" s="3"/>
      <c r="F239" s="3"/>
      <c r="G239" s="3"/>
      <c r="H239" s="4"/>
      <c r="I239" s="5"/>
      <c r="J239" s="4"/>
      <c r="K239" s="4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6"/>
      <c r="AE239" s="3"/>
      <c r="AF239" s="3"/>
      <c r="AG239" s="3"/>
      <c r="AH239" s="3"/>
      <c r="AI239" s="3"/>
      <c r="AJ239" s="3"/>
      <c r="AK239" s="3"/>
      <c r="AL239" s="7" t="str">
        <f>IF(A239="","",IF(COUNTIF(A239:A$2001,A239)=1,1,0))</f>
        <v/>
      </c>
      <c r="AM239" s="7" t="str">
        <f t="shared" ca="1" si="9"/>
        <v/>
      </c>
      <c r="AN239" s="7" t="str">
        <f t="shared" si="10"/>
        <v/>
      </c>
      <c r="AO239" s="7" t="str">
        <f t="shared" si="11"/>
        <v/>
      </c>
      <c r="AP239" s="15" t="str">
        <f t="shared" si="12"/>
        <v/>
      </c>
    </row>
    <row r="240" spans="1:42" ht="15" customHeight="1">
      <c r="A240" s="3"/>
      <c r="B240" s="3"/>
      <c r="C240" s="3"/>
      <c r="D240" s="3"/>
      <c r="E240" s="3"/>
      <c r="F240" s="3"/>
      <c r="G240" s="3"/>
      <c r="H240" s="4"/>
      <c r="I240" s="5"/>
      <c r="J240" s="4"/>
      <c r="K240" s="4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6"/>
      <c r="AE240" s="3"/>
      <c r="AF240" s="3"/>
      <c r="AG240" s="3"/>
      <c r="AH240" s="6"/>
      <c r="AI240" s="3"/>
      <c r="AJ240" s="3"/>
      <c r="AK240" s="3"/>
      <c r="AL240" s="7" t="str">
        <f>IF(A240="","",IF(COUNTIF(A240:A$2001,A240)=1,1,0))</f>
        <v/>
      </c>
      <c r="AM240" s="7" t="str">
        <f t="shared" ca="1" si="9"/>
        <v/>
      </c>
      <c r="AN240" s="7" t="str">
        <f t="shared" si="10"/>
        <v/>
      </c>
      <c r="AO240" s="7" t="str">
        <f t="shared" si="11"/>
        <v/>
      </c>
      <c r="AP240" s="15" t="str">
        <f t="shared" si="12"/>
        <v/>
      </c>
    </row>
    <row r="241" spans="1:42" ht="15" customHeight="1">
      <c r="A241" s="3"/>
      <c r="B241" s="3"/>
      <c r="C241" s="3"/>
      <c r="D241" s="3"/>
      <c r="E241" s="3"/>
      <c r="F241" s="3"/>
      <c r="G241" s="3"/>
      <c r="H241" s="4"/>
      <c r="I241" s="5"/>
      <c r="J241" s="4"/>
      <c r="K241" s="4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6"/>
      <c r="AE241" s="3"/>
      <c r="AF241" s="3"/>
      <c r="AG241" s="3"/>
      <c r="AH241" s="3"/>
      <c r="AI241" s="3"/>
      <c r="AJ241" s="3"/>
      <c r="AK241" s="3"/>
      <c r="AL241" s="7" t="str">
        <f>IF(A241="","",IF(COUNTIF(A241:A$2001,A241)=1,1,0))</f>
        <v/>
      </c>
      <c r="AM241" s="7" t="str">
        <f t="shared" ca="1" si="9"/>
        <v/>
      </c>
      <c r="AN241" s="7" t="str">
        <f t="shared" si="10"/>
        <v/>
      </c>
      <c r="AO241" s="7" t="str">
        <f t="shared" si="11"/>
        <v/>
      </c>
      <c r="AP241" s="15" t="str">
        <f t="shared" si="12"/>
        <v/>
      </c>
    </row>
    <row r="242" spans="1:42" ht="15" customHeight="1">
      <c r="A242" s="3"/>
      <c r="B242" s="3"/>
      <c r="C242" s="3"/>
      <c r="D242" s="3"/>
      <c r="E242" s="3"/>
      <c r="F242" s="3"/>
      <c r="G242" s="3"/>
      <c r="H242" s="4"/>
      <c r="I242" s="5"/>
      <c r="J242" s="4"/>
      <c r="K242" s="4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6"/>
      <c r="AE242" s="3"/>
      <c r="AF242" s="3"/>
      <c r="AG242" s="3"/>
      <c r="AH242" s="3"/>
      <c r="AI242" s="3"/>
      <c r="AJ242" s="3"/>
      <c r="AK242" s="3"/>
      <c r="AL242" s="7" t="str">
        <f>IF(A242="","",IF(COUNTIF(A242:A$2001,A242)=1,1,0))</f>
        <v/>
      </c>
      <c r="AM242" s="7" t="str">
        <f t="shared" ca="1" si="9"/>
        <v/>
      </c>
      <c r="AN242" s="7" t="str">
        <f t="shared" si="10"/>
        <v/>
      </c>
      <c r="AO242" s="7" t="str">
        <f t="shared" si="11"/>
        <v/>
      </c>
      <c r="AP242" s="15" t="str">
        <f t="shared" si="12"/>
        <v/>
      </c>
    </row>
    <row r="243" spans="1:42" ht="15" customHeight="1">
      <c r="A243" s="3"/>
      <c r="B243" s="3"/>
      <c r="C243" s="3"/>
      <c r="D243" s="3"/>
      <c r="E243" s="3"/>
      <c r="F243" s="3"/>
      <c r="G243" s="3"/>
      <c r="H243" s="4"/>
      <c r="I243" s="5"/>
      <c r="J243" s="3"/>
      <c r="K243" s="3"/>
      <c r="L243" s="3"/>
      <c r="M243" s="3"/>
      <c r="N243" s="3"/>
      <c r="O243" s="3"/>
      <c r="P243" s="6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6"/>
      <c r="AE243" s="3"/>
      <c r="AF243" s="6"/>
      <c r="AG243" s="6"/>
      <c r="AH243" s="6"/>
      <c r="AI243" s="3"/>
      <c r="AJ243" s="3"/>
      <c r="AK243" s="3"/>
      <c r="AL243" s="7" t="str">
        <f>IF(A243="","",IF(COUNTIF(A243:A$2001,A243)=1,1,0))</f>
        <v/>
      </c>
      <c r="AM243" s="7" t="str">
        <f t="shared" ca="1" si="9"/>
        <v/>
      </c>
      <c r="AN243" s="7" t="str">
        <f t="shared" si="10"/>
        <v/>
      </c>
      <c r="AO243" s="7" t="str">
        <f t="shared" si="11"/>
        <v/>
      </c>
      <c r="AP243" s="15" t="str">
        <f t="shared" si="12"/>
        <v/>
      </c>
    </row>
    <row r="244" spans="1:42" ht="15" customHeight="1">
      <c r="A244" s="3"/>
      <c r="B244" s="3"/>
      <c r="C244" s="3"/>
      <c r="D244" s="3"/>
      <c r="E244" s="3"/>
      <c r="F244" s="3"/>
      <c r="G244" s="3"/>
      <c r="H244" s="4"/>
      <c r="I244" s="5"/>
      <c r="J244" s="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6"/>
      <c r="AE244" s="3"/>
      <c r="AF244" s="3"/>
      <c r="AG244" s="3"/>
      <c r="AH244" s="3"/>
      <c r="AI244" s="3"/>
      <c r="AJ244" s="3"/>
      <c r="AK244" s="3"/>
      <c r="AL244" s="7" t="str">
        <f>IF(A244="","",IF(COUNTIF(A244:A$2001,A244)=1,1,0))</f>
        <v/>
      </c>
      <c r="AM244" s="7" t="str">
        <f t="shared" ca="1" si="9"/>
        <v/>
      </c>
      <c r="AN244" s="7" t="str">
        <f t="shared" si="10"/>
        <v/>
      </c>
      <c r="AO244" s="7" t="str">
        <f t="shared" si="11"/>
        <v/>
      </c>
      <c r="AP244" s="15" t="str">
        <f t="shared" si="12"/>
        <v/>
      </c>
    </row>
    <row r="245" spans="1:42" ht="15" customHeight="1">
      <c r="A245" s="3"/>
      <c r="B245" s="3"/>
      <c r="C245" s="3"/>
      <c r="D245" s="3"/>
      <c r="E245" s="3"/>
      <c r="F245" s="3"/>
      <c r="G245" s="3"/>
      <c r="H245" s="4"/>
      <c r="I245" s="5"/>
      <c r="J245" s="4"/>
      <c r="K245" s="4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6"/>
      <c r="AE245" s="3"/>
      <c r="AF245" s="3"/>
      <c r="AG245" s="3"/>
      <c r="AH245" s="3"/>
      <c r="AI245" s="3"/>
      <c r="AJ245" s="3"/>
      <c r="AK245" s="3"/>
      <c r="AL245" s="7" t="str">
        <f>IF(A245="","",IF(COUNTIF(A245:A$2001,A245)=1,1,0))</f>
        <v/>
      </c>
      <c r="AM245" s="7" t="str">
        <f t="shared" ca="1" si="9"/>
        <v/>
      </c>
      <c r="AN245" s="7" t="str">
        <f t="shared" si="10"/>
        <v/>
      </c>
      <c r="AO245" s="7" t="str">
        <f t="shared" si="11"/>
        <v/>
      </c>
      <c r="AP245" s="15" t="str">
        <f t="shared" si="12"/>
        <v/>
      </c>
    </row>
    <row r="246" spans="1:42" ht="15" customHeight="1">
      <c r="A246" s="3"/>
      <c r="B246" s="3"/>
      <c r="C246" s="3"/>
      <c r="D246" s="3"/>
      <c r="E246" s="3"/>
      <c r="F246" s="3"/>
      <c r="G246" s="3"/>
      <c r="H246" s="4"/>
      <c r="I246" s="5"/>
      <c r="J246" s="4"/>
      <c r="K246" s="4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6"/>
      <c r="AE246" s="3"/>
      <c r="AF246" s="3"/>
      <c r="AG246" s="3"/>
      <c r="AH246" s="3"/>
      <c r="AI246" s="3"/>
      <c r="AJ246" s="3"/>
      <c r="AK246" s="3"/>
      <c r="AL246" s="7" t="str">
        <f>IF(A246="","",IF(COUNTIF(A246:A$2001,A246)=1,1,0))</f>
        <v/>
      </c>
      <c r="AM246" s="7" t="str">
        <f t="shared" ca="1" si="9"/>
        <v/>
      </c>
      <c r="AN246" s="7" t="str">
        <f t="shared" si="10"/>
        <v/>
      </c>
      <c r="AO246" s="7" t="str">
        <f t="shared" si="11"/>
        <v/>
      </c>
      <c r="AP246" s="15" t="str">
        <f t="shared" si="12"/>
        <v/>
      </c>
    </row>
    <row r="247" spans="1:42" ht="15" customHeight="1">
      <c r="A247" s="3"/>
      <c r="B247" s="3"/>
      <c r="C247" s="3"/>
      <c r="D247" s="3"/>
      <c r="E247" s="3"/>
      <c r="F247" s="3"/>
      <c r="G247" s="3"/>
      <c r="H247" s="4"/>
      <c r="I247" s="5"/>
      <c r="J247" s="3"/>
      <c r="K247" s="3"/>
      <c r="L247" s="3"/>
      <c r="M247" s="3"/>
      <c r="N247" s="3"/>
      <c r="O247" s="3"/>
      <c r="P247" s="6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6"/>
      <c r="AE247" s="3"/>
      <c r="AF247" s="3"/>
      <c r="AG247" s="3"/>
      <c r="AH247" s="6"/>
      <c r="AI247" s="3"/>
      <c r="AJ247" s="3"/>
      <c r="AK247" s="3"/>
      <c r="AL247" s="7" t="str">
        <f>IF(A247="","",IF(COUNTIF(A247:A$2001,A247)=1,1,0))</f>
        <v/>
      </c>
      <c r="AM247" s="7" t="str">
        <f t="shared" ca="1" si="9"/>
        <v/>
      </c>
      <c r="AN247" s="7" t="str">
        <f t="shared" si="10"/>
        <v/>
      </c>
      <c r="AO247" s="7" t="str">
        <f t="shared" si="11"/>
        <v/>
      </c>
      <c r="AP247" s="15" t="str">
        <f t="shared" si="12"/>
        <v/>
      </c>
    </row>
    <row r="248" spans="1:42" ht="15" customHeight="1">
      <c r="A248" s="3"/>
      <c r="B248" s="3"/>
      <c r="C248" s="3"/>
      <c r="D248" s="3"/>
      <c r="E248" s="3"/>
      <c r="F248" s="3"/>
      <c r="G248" s="3"/>
      <c r="H248" s="4"/>
      <c r="I248" s="5"/>
      <c r="J248" s="4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6"/>
      <c r="AE248" s="3"/>
      <c r="AF248" s="3"/>
      <c r="AG248" s="3"/>
      <c r="AH248" s="6"/>
      <c r="AI248" s="3"/>
      <c r="AJ248" s="3"/>
      <c r="AK248" s="3"/>
      <c r="AL248" s="7" t="str">
        <f>IF(A248="","",IF(COUNTIF(A248:A$2001,A248)=1,1,0))</f>
        <v/>
      </c>
      <c r="AM248" s="7" t="str">
        <f t="shared" ca="1" si="9"/>
        <v/>
      </c>
      <c r="AN248" s="7" t="str">
        <f t="shared" si="10"/>
        <v/>
      </c>
      <c r="AO248" s="7" t="str">
        <f t="shared" si="11"/>
        <v/>
      </c>
      <c r="AP248" s="15" t="str">
        <f t="shared" si="12"/>
        <v/>
      </c>
    </row>
    <row r="249" spans="1:42" ht="15" customHeight="1">
      <c r="A249" s="3"/>
      <c r="B249" s="3"/>
      <c r="C249" s="3"/>
      <c r="D249" s="3"/>
      <c r="E249" s="3"/>
      <c r="F249" s="3"/>
      <c r="G249" s="3"/>
      <c r="H249" s="4"/>
      <c r="I249" s="5"/>
      <c r="J249" s="4"/>
      <c r="K249" s="4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6"/>
      <c r="AE249" s="3"/>
      <c r="AF249" s="3"/>
      <c r="AG249" s="3"/>
      <c r="AH249" s="3"/>
      <c r="AI249" s="3"/>
      <c r="AJ249" s="3"/>
      <c r="AK249" s="3"/>
      <c r="AL249" s="7" t="str">
        <f>IF(A249="","",IF(COUNTIF(A249:A$2001,A249)=1,1,0))</f>
        <v/>
      </c>
      <c r="AM249" s="7" t="str">
        <f t="shared" ca="1" si="9"/>
        <v/>
      </c>
      <c r="AN249" s="7" t="str">
        <f t="shared" si="10"/>
        <v/>
      </c>
      <c r="AO249" s="7" t="str">
        <f t="shared" si="11"/>
        <v/>
      </c>
      <c r="AP249" s="15" t="str">
        <f t="shared" si="12"/>
        <v/>
      </c>
    </row>
    <row r="250" spans="1:42" ht="15" customHeight="1">
      <c r="A250" s="3"/>
      <c r="B250" s="3"/>
      <c r="C250" s="3"/>
      <c r="D250" s="3"/>
      <c r="E250" s="3"/>
      <c r="F250" s="3"/>
      <c r="G250" s="3"/>
      <c r="H250" s="4"/>
      <c r="I250" s="5"/>
      <c r="J250" s="4"/>
      <c r="K250" s="4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6"/>
      <c r="AE250" s="3"/>
      <c r="AF250" s="3"/>
      <c r="AG250" s="3"/>
      <c r="AH250" s="3"/>
      <c r="AI250" s="3"/>
      <c r="AJ250" s="3"/>
      <c r="AK250" s="3"/>
      <c r="AL250" s="7" t="str">
        <f>IF(A250="","",IF(COUNTIF(A250:A$2001,A250)=1,1,0))</f>
        <v/>
      </c>
      <c r="AM250" s="7" t="str">
        <f t="shared" ca="1" si="9"/>
        <v/>
      </c>
      <c r="AN250" s="7" t="str">
        <f t="shared" si="10"/>
        <v/>
      </c>
      <c r="AO250" s="7" t="str">
        <f t="shared" si="11"/>
        <v/>
      </c>
      <c r="AP250" s="15" t="str">
        <f t="shared" si="12"/>
        <v/>
      </c>
    </row>
    <row r="251" spans="1:42" ht="15" customHeight="1">
      <c r="A251" s="3"/>
      <c r="B251" s="3"/>
      <c r="C251" s="3"/>
      <c r="D251" s="3"/>
      <c r="E251" s="3"/>
      <c r="F251" s="3"/>
      <c r="G251" s="3"/>
      <c r="H251" s="4"/>
      <c r="I251" s="5"/>
      <c r="J251" s="4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6"/>
      <c r="AE251" s="3"/>
      <c r="AF251" s="3"/>
      <c r="AG251" s="3"/>
      <c r="AH251" s="6"/>
      <c r="AI251" s="3"/>
      <c r="AJ251" s="3"/>
      <c r="AK251" s="3"/>
      <c r="AL251" s="7" t="str">
        <f>IF(A251="","",IF(COUNTIF(A251:A$2001,A251)=1,1,0))</f>
        <v/>
      </c>
      <c r="AM251" s="7" t="str">
        <f t="shared" ca="1" si="9"/>
        <v/>
      </c>
      <c r="AN251" s="7" t="str">
        <f t="shared" si="10"/>
        <v/>
      </c>
      <c r="AO251" s="7" t="str">
        <f t="shared" si="11"/>
        <v/>
      </c>
      <c r="AP251" s="15" t="str">
        <f t="shared" si="12"/>
        <v/>
      </c>
    </row>
    <row r="252" spans="1:42" ht="15" customHeight="1">
      <c r="A252" s="3"/>
      <c r="B252" s="3"/>
      <c r="C252" s="3"/>
      <c r="D252" s="3"/>
      <c r="E252" s="3"/>
      <c r="F252" s="3"/>
      <c r="G252" s="3"/>
      <c r="H252" s="4"/>
      <c r="I252" s="5"/>
      <c r="J252" s="4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6"/>
      <c r="AE252" s="3"/>
      <c r="AF252" s="3"/>
      <c r="AG252" s="3"/>
      <c r="AH252" s="6"/>
      <c r="AI252" s="3"/>
      <c r="AJ252" s="3"/>
      <c r="AK252" s="3"/>
      <c r="AL252" s="7" t="str">
        <f>IF(A252="","",IF(COUNTIF(A252:A$2001,A252)=1,1,0))</f>
        <v/>
      </c>
      <c r="AM252" s="7" t="str">
        <f t="shared" ca="1" si="9"/>
        <v/>
      </c>
      <c r="AN252" s="7" t="str">
        <f t="shared" si="10"/>
        <v/>
      </c>
      <c r="AO252" s="7" t="str">
        <f t="shared" si="11"/>
        <v/>
      </c>
      <c r="AP252" s="15" t="str">
        <f t="shared" si="12"/>
        <v/>
      </c>
    </row>
    <row r="253" spans="1:42" ht="15" customHeight="1">
      <c r="A253" s="3"/>
      <c r="B253" s="3"/>
      <c r="C253" s="3"/>
      <c r="D253" s="3"/>
      <c r="E253" s="3"/>
      <c r="F253" s="3"/>
      <c r="G253" s="3"/>
      <c r="H253" s="4"/>
      <c r="I253" s="5"/>
      <c r="J253" s="4"/>
      <c r="K253" s="4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6"/>
      <c r="AE253" s="3"/>
      <c r="AF253" s="6"/>
      <c r="AG253" s="6"/>
      <c r="AH253" s="6"/>
      <c r="AI253" s="3"/>
      <c r="AJ253" s="3"/>
      <c r="AK253" s="3"/>
      <c r="AL253" s="7" t="str">
        <f>IF(A253="","",IF(COUNTIF(A253:A$2001,A253)=1,1,0))</f>
        <v/>
      </c>
      <c r="AM253" s="7" t="str">
        <f t="shared" ca="1" si="9"/>
        <v/>
      </c>
      <c r="AN253" s="7" t="str">
        <f t="shared" si="10"/>
        <v/>
      </c>
      <c r="AO253" s="7" t="str">
        <f t="shared" si="11"/>
        <v/>
      </c>
      <c r="AP253" s="15" t="str">
        <f t="shared" si="12"/>
        <v/>
      </c>
    </row>
    <row r="254" spans="1:42" ht="15" customHeight="1">
      <c r="A254" s="3"/>
      <c r="B254" s="3"/>
      <c r="C254" s="3"/>
      <c r="D254" s="3"/>
      <c r="E254" s="3"/>
      <c r="F254" s="3"/>
      <c r="G254" s="3"/>
      <c r="H254" s="4"/>
      <c r="I254" s="5"/>
      <c r="J254" s="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6"/>
      <c r="AE254" s="3"/>
      <c r="AF254" s="3"/>
      <c r="AG254" s="3"/>
      <c r="AH254" s="6"/>
      <c r="AI254" s="3"/>
      <c r="AJ254" s="3"/>
      <c r="AK254" s="3"/>
      <c r="AL254" s="7" t="str">
        <f>IF(A254="","",IF(COUNTIF(A254:A$2001,A254)=1,1,0))</f>
        <v/>
      </c>
      <c r="AM254" s="7" t="str">
        <f t="shared" ca="1" si="9"/>
        <v/>
      </c>
      <c r="AN254" s="7" t="str">
        <f t="shared" si="10"/>
        <v/>
      </c>
      <c r="AO254" s="7" t="str">
        <f t="shared" si="11"/>
        <v/>
      </c>
      <c r="AP254" s="15" t="str">
        <f t="shared" si="12"/>
        <v/>
      </c>
    </row>
    <row r="255" spans="1:42" ht="15" customHeight="1">
      <c r="A255" s="3"/>
      <c r="B255" s="3"/>
      <c r="C255" s="3"/>
      <c r="D255" s="3"/>
      <c r="E255" s="3"/>
      <c r="F255" s="3"/>
      <c r="G255" s="3"/>
      <c r="H255" s="4"/>
      <c r="I255" s="5"/>
      <c r="J255" s="3"/>
      <c r="K255" s="3"/>
      <c r="L255" s="3"/>
      <c r="M255" s="3"/>
      <c r="N255" s="3"/>
      <c r="O255" s="3"/>
      <c r="P255" s="6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6"/>
      <c r="AE255" s="3"/>
      <c r="AF255" s="6"/>
      <c r="AG255" s="3"/>
      <c r="AH255" s="6"/>
      <c r="AI255" s="3"/>
      <c r="AJ255" s="3"/>
      <c r="AK255" s="3"/>
      <c r="AL255" s="7" t="str">
        <f>IF(A255="","",IF(COUNTIF(A255:A$2001,A255)=1,1,0))</f>
        <v/>
      </c>
      <c r="AM255" s="7" t="str">
        <f t="shared" ca="1" si="9"/>
        <v/>
      </c>
      <c r="AN255" s="7" t="str">
        <f t="shared" si="10"/>
        <v/>
      </c>
      <c r="AO255" s="7" t="str">
        <f t="shared" si="11"/>
        <v/>
      </c>
      <c r="AP255" s="15" t="str">
        <f t="shared" si="12"/>
        <v/>
      </c>
    </row>
    <row r="256" spans="1:42" ht="15" customHeight="1">
      <c r="A256" s="3"/>
      <c r="B256" s="3"/>
      <c r="C256" s="3"/>
      <c r="D256" s="3"/>
      <c r="E256" s="3"/>
      <c r="F256" s="3"/>
      <c r="G256" s="3"/>
      <c r="H256" s="4"/>
      <c r="I256" s="5"/>
      <c r="J256" s="3"/>
      <c r="K256" s="3"/>
      <c r="L256" s="3"/>
      <c r="M256" s="3"/>
      <c r="N256" s="3"/>
      <c r="O256" s="3"/>
      <c r="P256" s="6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6"/>
      <c r="AE256" s="3"/>
      <c r="AF256" s="3"/>
      <c r="AG256" s="3"/>
      <c r="AH256" s="6"/>
      <c r="AI256" s="3"/>
      <c r="AJ256" s="3"/>
      <c r="AK256" s="3"/>
      <c r="AL256" s="7" t="str">
        <f>IF(A256="","",IF(COUNTIF(A256:A$2001,A256)=1,1,0))</f>
        <v/>
      </c>
      <c r="AM256" s="7" t="str">
        <f t="shared" ca="1" si="9"/>
        <v/>
      </c>
      <c r="AN256" s="7" t="str">
        <f t="shared" si="10"/>
        <v/>
      </c>
      <c r="AO256" s="7" t="str">
        <f t="shared" si="11"/>
        <v/>
      </c>
      <c r="AP256" s="15" t="str">
        <f t="shared" si="12"/>
        <v/>
      </c>
    </row>
    <row r="257" spans="1:42" ht="15" customHeight="1">
      <c r="A257" s="3"/>
      <c r="B257" s="3"/>
      <c r="C257" s="3"/>
      <c r="D257" s="3"/>
      <c r="E257" s="3"/>
      <c r="F257" s="3"/>
      <c r="G257" s="3"/>
      <c r="H257" s="4"/>
      <c r="I257" s="5"/>
      <c r="J257" s="4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6"/>
      <c r="AE257" s="3"/>
      <c r="AF257" s="6"/>
      <c r="AG257" s="6"/>
      <c r="AH257" s="6"/>
      <c r="AI257" s="3"/>
      <c r="AJ257" s="3"/>
      <c r="AK257" s="3"/>
      <c r="AL257" s="7" t="str">
        <f>IF(A257="","",IF(COUNTIF(A257:A$2001,A257)=1,1,0))</f>
        <v/>
      </c>
      <c r="AM257" s="7" t="str">
        <f t="shared" ca="1" si="9"/>
        <v/>
      </c>
      <c r="AN257" s="7" t="str">
        <f t="shared" si="10"/>
        <v/>
      </c>
      <c r="AO257" s="7" t="str">
        <f t="shared" si="11"/>
        <v/>
      </c>
      <c r="AP257" s="15" t="str">
        <f t="shared" si="12"/>
        <v/>
      </c>
    </row>
    <row r="258" spans="1:42" ht="15" customHeight="1">
      <c r="A258" s="3"/>
      <c r="B258" s="3"/>
      <c r="C258" s="3"/>
      <c r="D258" s="3"/>
      <c r="E258" s="3"/>
      <c r="F258" s="3"/>
      <c r="G258" s="3"/>
      <c r="H258" s="4"/>
      <c r="I258" s="5"/>
      <c r="J258" s="4"/>
      <c r="K258" s="4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6"/>
      <c r="AE258" s="3"/>
      <c r="AF258" s="3"/>
      <c r="AG258" s="6"/>
      <c r="AH258" s="6"/>
      <c r="AI258" s="3"/>
      <c r="AJ258" s="3"/>
      <c r="AK258" s="3"/>
      <c r="AL258" s="7" t="str">
        <f>IF(A258="","",IF(COUNTIF(A258:A$2001,A258)=1,1,0))</f>
        <v/>
      </c>
      <c r="AM258" s="7" t="str">
        <f t="shared" ref="AM258:AM321" ca="1" si="13">IF(I258="","",TODAY()-I258)</f>
        <v/>
      </c>
      <c r="AN258" s="7" t="str">
        <f t="shared" ref="AN258:AN321" si="14">IF(A258="","",IF(AND(E258&lt;&gt;"33 確認済",E258&lt;&gt;"36 送付中"),1,0))</f>
        <v/>
      </c>
      <c r="AO258" s="7" t="str">
        <f t="shared" ref="AO258:AO321" si="15">IF(A258="","",IF(AG258&lt;&gt;"",1,0))</f>
        <v/>
      </c>
      <c r="AP258" s="15" t="str">
        <f t="shared" ref="AP258:AP321" si="16">IF(P258&lt;&gt;"","・添待ち","")&amp;IF(Q258&lt;&gt;"","・住民票","")&amp;IF(R258&lt;&gt;"","・発信","")&amp;IF(S258&lt;&gt;"","・確認事項","")&amp;IF(T258&lt;&gt;"","・管","")&amp;IF(U258&lt;&gt;"","・SV","")&amp;IF(V258&lt;&gt;"","・データ送付待ち","")&amp;IF(W258&lt;&gt;"","・削除","")</f>
        <v/>
      </c>
    </row>
    <row r="259" spans="1:42" ht="15" customHeight="1">
      <c r="A259" s="3"/>
      <c r="B259" s="3"/>
      <c r="C259" s="3"/>
      <c r="D259" s="3"/>
      <c r="E259" s="3"/>
      <c r="F259" s="3"/>
      <c r="G259" s="3"/>
      <c r="H259" s="4"/>
      <c r="I259" s="5"/>
      <c r="J259" s="4"/>
      <c r="K259" s="4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6"/>
      <c r="AE259" s="3"/>
      <c r="AF259" s="3"/>
      <c r="AG259" s="3"/>
      <c r="AH259" s="3"/>
      <c r="AI259" s="3"/>
      <c r="AJ259" s="3"/>
      <c r="AK259" s="3"/>
      <c r="AL259" s="7" t="str">
        <f>IF(A259="","",IF(COUNTIF(A259:A$2001,A259)=1,1,0))</f>
        <v/>
      </c>
      <c r="AM259" s="7" t="str">
        <f t="shared" ca="1" si="13"/>
        <v/>
      </c>
      <c r="AN259" s="7" t="str">
        <f t="shared" si="14"/>
        <v/>
      </c>
      <c r="AO259" s="7" t="str">
        <f t="shared" si="15"/>
        <v/>
      </c>
      <c r="AP259" s="15" t="str">
        <f t="shared" si="16"/>
        <v/>
      </c>
    </row>
    <row r="260" spans="1:42" ht="15" customHeight="1">
      <c r="A260" s="3"/>
      <c r="B260" s="3"/>
      <c r="C260" s="3"/>
      <c r="D260" s="3"/>
      <c r="E260" s="3"/>
      <c r="F260" s="3"/>
      <c r="G260" s="3"/>
      <c r="H260" s="4"/>
      <c r="I260" s="5"/>
      <c r="J260" s="3"/>
      <c r="K260" s="3"/>
      <c r="L260" s="3"/>
      <c r="M260" s="3"/>
      <c r="N260" s="3"/>
      <c r="O260" s="3"/>
      <c r="P260" s="3"/>
      <c r="Q260" s="3"/>
      <c r="R260" s="6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6"/>
      <c r="AE260" s="3"/>
      <c r="AF260" s="3"/>
      <c r="AG260" s="3"/>
      <c r="AH260" s="6"/>
      <c r="AI260" s="3"/>
      <c r="AJ260" s="3"/>
      <c r="AK260" s="3"/>
      <c r="AL260" s="7" t="str">
        <f>IF(A260="","",IF(COUNTIF(A260:A$2001,A260)=1,1,0))</f>
        <v/>
      </c>
      <c r="AM260" s="7" t="str">
        <f t="shared" ca="1" si="13"/>
        <v/>
      </c>
      <c r="AN260" s="7" t="str">
        <f t="shared" si="14"/>
        <v/>
      </c>
      <c r="AO260" s="7" t="str">
        <f t="shared" si="15"/>
        <v/>
      </c>
      <c r="AP260" s="15" t="str">
        <f t="shared" si="16"/>
        <v/>
      </c>
    </row>
    <row r="261" spans="1:42" ht="15" customHeight="1">
      <c r="A261" s="3"/>
      <c r="B261" s="3"/>
      <c r="C261" s="3"/>
      <c r="D261" s="3"/>
      <c r="E261" s="3"/>
      <c r="F261" s="3"/>
      <c r="G261" s="3"/>
      <c r="H261" s="4"/>
      <c r="I261" s="5"/>
      <c r="J261" s="4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6"/>
      <c r="AE261" s="3"/>
      <c r="AF261" s="3"/>
      <c r="AG261" s="3"/>
      <c r="AH261" s="6"/>
      <c r="AI261" s="3"/>
      <c r="AJ261" s="3"/>
      <c r="AK261" s="3"/>
      <c r="AL261" s="7" t="str">
        <f>IF(A261="","",IF(COUNTIF(A261:A$2001,A261)=1,1,0))</f>
        <v/>
      </c>
      <c r="AM261" s="7" t="str">
        <f t="shared" ca="1" si="13"/>
        <v/>
      </c>
      <c r="AN261" s="7" t="str">
        <f t="shared" si="14"/>
        <v/>
      </c>
      <c r="AO261" s="7" t="str">
        <f t="shared" si="15"/>
        <v/>
      </c>
      <c r="AP261" s="15" t="str">
        <f t="shared" si="16"/>
        <v/>
      </c>
    </row>
    <row r="262" spans="1:42" ht="15" customHeight="1">
      <c r="A262" s="3"/>
      <c r="B262" s="3"/>
      <c r="C262" s="3"/>
      <c r="D262" s="3"/>
      <c r="E262" s="3"/>
      <c r="F262" s="3"/>
      <c r="G262" s="3"/>
      <c r="H262" s="4"/>
      <c r="I262" s="5"/>
      <c r="J262" s="4"/>
      <c r="K262" s="4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6"/>
      <c r="AE262" s="3"/>
      <c r="AF262" s="6"/>
      <c r="AG262" s="6"/>
      <c r="AH262" s="6"/>
      <c r="AI262" s="3"/>
      <c r="AJ262" s="3"/>
      <c r="AK262" s="3"/>
      <c r="AL262" s="7" t="str">
        <f>IF(A262="","",IF(COUNTIF(A262:A$2001,A262)=1,1,0))</f>
        <v/>
      </c>
      <c r="AM262" s="7" t="str">
        <f t="shared" ca="1" si="13"/>
        <v/>
      </c>
      <c r="AN262" s="7" t="str">
        <f t="shared" si="14"/>
        <v/>
      </c>
      <c r="AO262" s="7" t="str">
        <f t="shared" si="15"/>
        <v/>
      </c>
      <c r="AP262" s="15" t="str">
        <f t="shared" si="16"/>
        <v/>
      </c>
    </row>
    <row r="263" spans="1:42" ht="15" customHeight="1">
      <c r="A263" s="3"/>
      <c r="B263" s="3"/>
      <c r="C263" s="3"/>
      <c r="D263" s="3"/>
      <c r="E263" s="3"/>
      <c r="F263" s="3"/>
      <c r="G263" s="3"/>
      <c r="H263" s="4"/>
      <c r="I263" s="5"/>
      <c r="J263" s="4"/>
      <c r="K263" s="4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6"/>
      <c r="AE263" s="3"/>
      <c r="AF263" s="3"/>
      <c r="AG263" s="3"/>
      <c r="AH263" s="3"/>
      <c r="AI263" s="3"/>
      <c r="AJ263" s="3"/>
      <c r="AK263" s="3"/>
      <c r="AL263" s="7" t="str">
        <f>IF(A263="","",IF(COUNTIF(A263:A$2001,A263)=1,1,0))</f>
        <v/>
      </c>
      <c r="AM263" s="7" t="str">
        <f t="shared" ca="1" si="13"/>
        <v/>
      </c>
      <c r="AN263" s="7" t="str">
        <f t="shared" si="14"/>
        <v/>
      </c>
      <c r="AO263" s="7" t="str">
        <f t="shared" si="15"/>
        <v/>
      </c>
      <c r="AP263" s="15" t="str">
        <f t="shared" si="16"/>
        <v/>
      </c>
    </row>
    <row r="264" spans="1:42" ht="15" customHeight="1">
      <c r="A264" s="3"/>
      <c r="B264" s="3"/>
      <c r="C264" s="3"/>
      <c r="D264" s="3"/>
      <c r="E264" s="3"/>
      <c r="F264" s="3"/>
      <c r="G264" s="3"/>
      <c r="H264" s="4"/>
      <c r="I264" s="5"/>
      <c r="J264" s="4"/>
      <c r="K264" s="4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6"/>
      <c r="AE264" s="3"/>
      <c r="AF264" s="3"/>
      <c r="AG264" s="3"/>
      <c r="AH264" s="3"/>
      <c r="AI264" s="3"/>
      <c r="AJ264" s="3"/>
      <c r="AK264" s="3"/>
      <c r="AL264" s="7" t="str">
        <f>IF(A264="","",IF(COUNTIF(A264:A$2001,A264)=1,1,0))</f>
        <v/>
      </c>
      <c r="AM264" s="7" t="str">
        <f t="shared" ca="1" si="13"/>
        <v/>
      </c>
      <c r="AN264" s="7" t="str">
        <f t="shared" si="14"/>
        <v/>
      </c>
      <c r="AO264" s="7" t="str">
        <f t="shared" si="15"/>
        <v/>
      </c>
      <c r="AP264" s="15" t="str">
        <f t="shared" si="16"/>
        <v/>
      </c>
    </row>
    <row r="265" spans="1:42" ht="15" customHeight="1">
      <c r="A265" s="3"/>
      <c r="B265" s="3"/>
      <c r="C265" s="3"/>
      <c r="D265" s="3"/>
      <c r="E265" s="3"/>
      <c r="F265" s="3"/>
      <c r="G265" s="3"/>
      <c r="H265" s="4"/>
      <c r="I265" s="5"/>
      <c r="J265" s="4"/>
      <c r="K265" s="4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6"/>
      <c r="AE265" s="3"/>
      <c r="AF265" s="3"/>
      <c r="AG265" s="3"/>
      <c r="AH265" s="6"/>
      <c r="AI265" s="3"/>
      <c r="AJ265" s="3"/>
      <c r="AK265" s="3"/>
      <c r="AL265" s="7" t="str">
        <f>IF(A265="","",IF(COUNTIF(A265:A$2001,A265)=1,1,0))</f>
        <v/>
      </c>
      <c r="AM265" s="7" t="str">
        <f t="shared" ca="1" si="13"/>
        <v/>
      </c>
      <c r="AN265" s="7" t="str">
        <f t="shared" si="14"/>
        <v/>
      </c>
      <c r="AO265" s="7" t="str">
        <f t="shared" si="15"/>
        <v/>
      </c>
      <c r="AP265" s="15" t="str">
        <f t="shared" si="16"/>
        <v/>
      </c>
    </row>
    <row r="266" spans="1:42" ht="15" customHeight="1">
      <c r="A266" s="3"/>
      <c r="B266" s="3"/>
      <c r="C266" s="3"/>
      <c r="D266" s="3"/>
      <c r="E266" s="3"/>
      <c r="F266" s="3"/>
      <c r="G266" s="3"/>
      <c r="H266" s="4"/>
      <c r="I266" s="5"/>
      <c r="J266" s="4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6"/>
      <c r="AE266" s="3"/>
      <c r="AF266" s="3"/>
      <c r="AG266" s="3"/>
      <c r="AH266" s="6"/>
      <c r="AI266" s="3"/>
      <c r="AJ266" s="3"/>
      <c r="AK266" s="3"/>
      <c r="AL266" s="7" t="str">
        <f>IF(A266="","",IF(COUNTIF(A266:A$2001,A266)=1,1,0))</f>
        <v/>
      </c>
      <c r="AM266" s="7" t="str">
        <f t="shared" ca="1" si="13"/>
        <v/>
      </c>
      <c r="AN266" s="7" t="str">
        <f t="shared" si="14"/>
        <v/>
      </c>
      <c r="AO266" s="7" t="str">
        <f t="shared" si="15"/>
        <v/>
      </c>
      <c r="AP266" s="15" t="str">
        <f t="shared" si="16"/>
        <v/>
      </c>
    </row>
    <row r="267" spans="1:42" ht="15" customHeight="1">
      <c r="A267" s="3"/>
      <c r="B267" s="3"/>
      <c r="C267" s="3"/>
      <c r="D267" s="3"/>
      <c r="E267" s="3"/>
      <c r="F267" s="3"/>
      <c r="G267" s="3"/>
      <c r="H267" s="4"/>
      <c r="I267" s="5"/>
      <c r="J267" s="4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6"/>
      <c r="AE267" s="3"/>
      <c r="AF267" s="3"/>
      <c r="AG267" s="3"/>
      <c r="AH267" s="3"/>
      <c r="AI267" s="3"/>
      <c r="AJ267" s="3"/>
      <c r="AK267" s="3"/>
      <c r="AL267" s="7" t="str">
        <f>IF(A267="","",IF(COUNTIF(A267:A$2001,A267)=1,1,0))</f>
        <v/>
      </c>
      <c r="AM267" s="7" t="str">
        <f t="shared" ca="1" si="13"/>
        <v/>
      </c>
      <c r="AN267" s="7" t="str">
        <f t="shared" si="14"/>
        <v/>
      </c>
      <c r="AO267" s="7" t="str">
        <f t="shared" si="15"/>
        <v/>
      </c>
      <c r="AP267" s="15" t="str">
        <f t="shared" si="16"/>
        <v/>
      </c>
    </row>
    <row r="268" spans="1:42" ht="15" customHeight="1">
      <c r="A268" s="3"/>
      <c r="B268" s="3"/>
      <c r="C268" s="3"/>
      <c r="D268" s="3"/>
      <c r="E268" s="3"/>
      <c r="F268" s="3"/>
      <c r="G268" s="3"/>
      <c r="H268" s="4"/>
      <c r="I268" s="5"/>
      <c r="J268" s="4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6"/>
      <c r="AE268" s="3"/>
      <c r="AF268" s="3"/>
      <c r="AG268" s="3"/>
      <c r="AH268" s="3"/>
      <c r="AI268" s="3"/>
      <c r="AJ268" s="3"/>
      <c r="AK268" s="3"/>
      <c r="AL268" s="7" t="str">
        <f>IF(A268="","",IF(COUNTIF(A268:A$2001,A268)=1,1,0))</f>
        <v/>
      </c>
      <c r="AM268" s="7" t="str">
        <f t="shared" ca="1" si="13"/>
        <v/>
      </c>
      <c r="AN268" s="7" t="str">
        <f t="shared" si="14"/>
        <v/>
      </c>
      <c r="AO268" s="7" t="str">
        <f t="shared" si="15"/>
        <v/>
      </c>
      <c r="AP268" s="15" t="str">
        <f t="shared" si="16"/>
        <v/>
      </c>
    </row>
    <row r="269" spans="1:42" ht="15" customHeight="1">
      <c r="A269" s="3"/>
      <c r="B269" s="3"/>
      <c r="C269" s="3"/>
      <c r="D269" s="3"/>
      <c r="E269" s="3"/>
      <c r="F269" s="3"/>
      <c r="G269" s="3"/>
      <c r="H269" s="4"/>
      <c r="I269" s="5"/>
      <c r="J269" s="4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6"/>
      <c r="AE269" s="3"/>
      <c r="AF269" s="3"/>
      <c r="AG269" s="3"/>
      <c r="AH269" s="6"/>
      <c r="AI269" s="3"/>
      <c r="AJ269" s="3"/>
      <c r="AK269" s="3"/>
      <c r="AL269" s="7" t="str">
        <f>IF(A269="","",IF(COUNTIF(A269:A$2001,A269)=1,1,0))</f>
        <v/>
      </c>
      <c r="AM269" s="7" t="str">
        <f t="shared" ca="1" si="13"/>
        <v/>
      </c>
      <c r="AN269" s="7" t="str">
        <f t="shared" si="14"/>
        <v/>
      </c>
      <c r="AO269" s="7" t="str">
        <f t="shared" si="15"/>
        <v/>
      </c>
      <c r="AP269" s="15" t="str">
        <f t="shared" si="16"/>
        <v/>
      </c>
    </row>
    <row r="270" spans="1:42" ht="15" customHeight="1">
      <c r="A270" s="3"/>
      <c r="B270" s="3"/>
      <c r="C270" s="3"/>
      <c r="D270" s="3"/>
      <c r="E270" s="3"/>
      <c r="F270" s="3"/>
      <c r="G270" s="3"/>
      <c r="H270" s="4"/>
      <c r="I270" s="5"/>
      <c r="J270" s="4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6"/>
      <c r="AE270" s="3"/>
      <c r="AF270" s="3"/>
      <c r="AG270" s="3"/>
      <c r="AH270" s="6"/>
      <c r="AI270" s="3"/>
      <c r="AJ270" s="3"/>
      <c r="AK270" s="3"/>
      <c r="AL270" s="7" t="str">
        <f>IF(A270="","",IF(COUNTIF(A270:A$2001,A270)=1,1,0))</f>
        <v/>
      </c>
      <c r="AM270" s="7" t="str">
        <f t="shared" ca="1" si="13"/>
        <v/>
      </c>
      <c r="AN270" s="7" t="str">
        <f t="shared" si="14"/>
        <v/>
      </c>
      <c r="AO270" s="7" t="str">
        <f t="shared" si="15"/>
        <v/>
      </c>
      <c r="AP270" s="15" t="str">
        <f t="shared" si="16"/>
        <v/>
      </c>
    </row>
    <row r="271" spans="1:42" ht="15" customHeight="1">
      <c r="A271" s="3"/>
      <c r="B271" s="3"/>
      <c r="C271" s="3"/>
      <c r="D271" s="3"/>
      <c r="E271" s="3"/>
      <c r="F271" s="3"/>
      <c r="G271" s="3"/>
      <c r="H271" s="4"/>
      <c r="I271" s="5"/>
      <c r="J271" s="3"/>
      <c r="K271" s="3"/>
      <c r="L271" s="3"/>
      <c r="M271" s="3"/>
      <c r="N271" s="3"/>
      <c r="O271" s="3"/>
      <c r="P271" s="6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6"/>
      <c r="AE271" s="3"/>
      <c r="AF271" s="3"/>
      <c r="AG271" s="3"/>
      <c r="AH271" s="6"/>
      <c r="AI271" s="3"/>
      <c r="AJ271" s="3"/>
      <c r="AK271" s="3"/>
      <c r="AL271" s="7" t="str">
        <f>IF(A271="","",IF(COUNTIF(A271:A$2001,A271)=1,1,0))</f>
        <v/>
      </c>
      <c r="AM271" s="7" t="str">
        <f t="shared" ca="1" si="13"/>
        <v/>
      </c>
      <c r="AN271" s="7" t="str">
        <f t="shared" si="14"/>
        <v/>
      </c>
      <c r="AO271" s="7" t="str">
        <f t="shared" si="15"/>
        <v/>
      </c>
      <c r="AP271" s="15" t="str">
        <f t="shared" si="16"/>
        <v/>
      </c>
    </row>
    <row r="272" spans="1:42" ht="15" customHeight="1">
      <c r="A272" s="3"/>
      <c r="B272" s="3"/>
      <c r="C272" s="3"/>
      <c r="D272" s="3"/>
      <c r="E272" s="3"/>
      <c r="F272" s="3"/>
      <c r="G272" s="3"/>
      <c r="H272" s="4"/>
      <c r="I272" s="5"/>
      <c r="J272" s="3"/>
      <c r="K272" s="3"/>
      <c r="L272" s="3"/>
      <c r="M272" s="3"/>
      <c r="N272" s="3"/>
      <c r="O272" s="3"/>
      <c r="P272" s="6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6"/>
      <c r="AE272" s="3"/>
      <c r="AF272" s="6"/>
      <c r="AG272" s="6"/>
      <c r="AH272" s="6"/>
      <c r="AI272" s="3"/>
      <c r="AJ272" s="3"/>
      <c r="AK272" s="3"/>
      <c r="AL272" s="7" t="str">
        <f>IF(A272="","",IF(COUNTIF(A272:A$2001,A272)=1,1,0))</f>
        <v/>
      </c>
      <c r="AM272" s="7" t="str">
        <f t="shared" ca="1" si="13"/>
        <v/>
      </c>
      <c r="AN272" s="7" t="str">
        <f t="shared" si="14"/>
        <v/>
      </c>
      <c r="AO272" s="7" t="str">
        <f t="shared" si="15"/>
        <v/>
      </c>
      <c r="AP272" s="15" t="str">
        <f t="shared" si="16"/>
        <v/>
      </c>
    </row>
    <row r="273" spans="1:42" ht="15" customHeight="1">
      <c r="A273" s="3"/>
      <c r="B273" s="3"/>
      <c r="C273" s="3"/>
      <c r="D273" s="3"/>
      <c r="E273" s="3"/>
      <c r="F273" s="3"/>
      <c r="G273" s="3"/>
      <c r="H273" s="4"/>
      <c r="I273" s="5"/>
      <c r="J273" s="4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6"/>
      <c r="AE273" s="3"/>
      <c r="AF273" s="3"/>
      <c r="AG273" s="3"/>
      <c r="AH273" s="6"/>
      <c r="AI273" s="3"/>
      <c r="AJ273" s="3"/>
      <c r="AK273" s="3"/>
      <c r="AL273" s="7" t="str">
        <f>IF(A273="","",IF(COUNTIF(A273:A$2001,A273)=1,1,0))</f>
        <v/>
      </c>
      <c r="AM273" s="7" t="str">
        <f t="shared" ca="1" si="13"/>
        <v/>
      </c>
      <c r="AN273" s="7" t="str">
        <f t="shared" si="14"/>
        <v/>
      </c>
      <c r="AO273" s="7" t="str">
        <f t="shared" si="15"/>
        <v/>
      </c>
      <c r="AP273" s="15" t="str">
        <f t="shared" si="16"/>
        <v/>
      </c>
    </row>
    <row r="274" spans="1:42" ht="15" customHeight="1">
      <c r="A274" s="3"/>
      <c r="B274" s="3"/>
      <c r="C274" s="3"/>
      <c r="D274" s="3"/>
      <c r="E274" s="3"/>
      <c r="F274" s="3"/>
      <c r="G274" s="3"/>
      <c r="H274" s="4"/>
      <c r="I274" s="5"/>
      <c r="J274" s="4"/>
      <c r="K274" s="4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6"/>
      <c r="AE274" s="3"/>
      <c r="AF274" s="6"/>
      <c r="AG274" s="6"/>
      <c r="AH274" s="6"/>
      <c r="AI274" s="3"/>
      <c r="AJ274" s="3"/>
      <c r="AK274" s="3"/>
      <c r="AL274" s="7" t="str">
        <f>IF(A274="","",IF(COUNTIF(A274:A$2001,A274)=1,1,0))</f>
        <v/>
      </c>
      <c r="AM274" s="7" t="str">
        <f t="shared" ca="1" si="13"/>
        <v/>
      </c>
      <c r="AN274" s="7" t="str">
        <f t="shared" si="14"/>
        <v/>
      </c>
      <c r="AO274" s="7" t="str">
        <f t="shared" si="15"/>
        <v/>
      </c>
      <c r="AP274" s="15" t="str">
        <f t="shared" si="16"/>
        <v/>
      </c>
    </row>
    <row r="275" spans="1:42" ht="15" customHeight="1">
      <c r="A275" s="3"/>
      <c r="B275" s="3"/>
      <c r="C275" s="3"/>
      <c r="D275" s="3"/>
      <c r="E275" s="3"/>
      <c r="F275" s="3"/>
      <c r="G275" s="3"/>
      <c r="H275" s="4"/>
      <c r="I275" s="5"/>
      <c r="J275" s="4"/>
      <c r="K275" s="4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6"/>
      <c r="AE275" s="3"/>
      <c r="AF275" s="3"/>
      <c r="AG275" s="3"/>
      <c r="AH275" s="3"/>
      <c r="AI275" s="3"/>
      <c r="AJ275" s="3"/>
      <c r="AK275" s="3"/>
      <c r="AL275" s="7" t="str">
        <f>IF(A275="","",IF(COUNTIF(A275:A$2001,A275)=1,1,0))</f>
        <v/>
      </c>
      <c r="AM275" s="7" t="str">
        <f t="shared" ca="1" si="13"/>
        <v/>
      </c>
      <c r="AN275" s="7" t="str">
        <f t="shared" si="14"/>
        <v/>
      </c>
      <c r="AO275" s="7" t="str">
        <f t="shared" si="15"/>
        <v/>
      </c>
      <c r="AP275" s="15" t="str">
        <f t="shared" si="16"/>
        <v/>
      </c>
    </row>
    <row r="276" spans="1:42" ht="15" customHeight="1">
      <c r="A276" s="3"/>
      <c r="B276" s="3"/>
      <c r="C276" s="3"/>
      <c r="D276" s="3"/>
      <c r="E276" s="3"/>
      <c r="F276" s="3"/>
      <c r="G276" s="3"/>
      <c r="H276" s="4"/>
      <c r="I276" s="5"/>
      <c r="J276" s="4"/>
      <c r="K276" s="4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6"/>
      <c r="AE276" s="3"/>
      <c r="AF276" s="3"/>
      <c r="AG276" s="3"/>
      <c r="AH276" s="6"/>
      <c r="AI276" s="3"/>
      <c r="AJ276" s="3"/>
      <c r="AK276" s="3"/>
      <c r="AL276" s="7" t="str">
        <f>IF(A276="","",IF(COUNTIF(A276:A$2001,A276)=1,1,0))</f>
        <v/>
      </c>
      <c r="AM276" s="7" t="str">
        <f t="shared" ca="1" si="13"/>
        <v/>
      </c>
      <c r="AN276" s="7" t="str">
        <f t="shared" si="14"/>
        <v/>
      </c>
      <c r="AO276" s="7" t="str">
        <f t="shared" si="15"/>
        <v/>
      </c>
      <c r="AP276" s="15" t="str">
        <f t="shared" si="16"/>
        <v/>
      </c>
    </row>
    <row r="277" spans="1:42" ht="15" customHeight="1">
      <c r="A277" s="3"/>
      <c r="B277" s="3"/>
      <c r="C277" s="3"/>
      <c r="D277" s="3"/>
      <c r="E277" s="3"/>
      <c r="F277" s="3"/>
      <c r="G277" s="3"/>
      <c r="H277" s="4"/>
      <c r="I277" s="5"/>
      <c r="J277" s="4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6"/>
      <c r="AE277" s="3"/>
      <c r="AF277" s="3"/>
      <c r="AG277" s="3"/>
      <c r="AH277" s="3"/>
      <c r="AI277" s="3"/>
      <c r="AJ277" s="3"/>
      <c r="AK277" s="3"/>
      <c r="AL277" s="7" t="str">
        <f>IF(A277="","",IF(COUNTIF(A277:A$2001,A277)=1,1,0))</f>
        <v/>
      </c>
      <c r="AM277" s="7" t="str">
        <f t="shared" ca="1" si="13"/>
        <v/>
      </c>
      <c r="AN277" s="7" t="str">
        <f t="shared" si="14"/>
        <v/>
      </c>
      <c r="AO277" s="7" t="str">
        <f t="shared" si="15"/>
        <v/>
      </c>
      <c r="AP277" s="15" t="str">
        <f t="shared" si="16"/>
        <v/>
      </c>
    </row>
    <row r="278" spans="1:42" ht="15" customHeight="1">
      <c r="A278" s="3"/>
      <c r="B278" s="3"/>
      <c r="C278" s="3"/>
      <c r="D278" s="3"/>
      <c r="E278" s="3"/>
      <c r="F278" s="3"/>
      <c r="G278" s="3"/>
      <c r="H278" s="4"/>
      <c r="I278" s="5"/>
      <c r="J278" s="4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6"/>
      <c r="AE278" s="3"/>
      <c r="AF278" s="3"/>
      <c r="AG278" s="3"/>
      <c r="AH278" s="3"/>
      <c r="AI278" s="3"/>
      <c r="AJ278" s="3"/>
      <c r="AK278" s="3"/>
      <c r="AL278" s="7" t="str">
        <f>IF(A278="","",IF(COUNTIF(A278:A$2001,A278)=1,1,0))</f>
        <v/>
      </c>
      <c r="AM278" s="7" t="str">
        <f t="shared" ca="1" si="13"/>
        <v/>
      </c>
      <c r="AN278" s="7" t="str">
        <f t="shared" si="14"/>
        <v/>
      </c>
      <c r="AO278" s="7" t="str">
        <f t="shared" si="15"/>
        <v/>
      </c>
      <c r="AP278" s="15" t="str">
        <f t="shared" si="16"/>
        <v/>
      </c>
    </row>
    <row r="279" spans="1:42" ht="15" customHeight="1">
      <c r="A279" s="3"/>
      <c r="B279" s="3"/>
      <c r="C279" s="3"/>
      <c r="D279" s="3"/>
      <c r="E279" s="3"/>
      <c r="F279" s="3"/>
      <c r="G279" s="3"/>
      <c r="H279" s="4"/>
      <c r="I279" s="5"/>
      <c r="J279" s="4"/>
      <c r="K279" s="4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6"/>
      <c r="AE279" s="3"/>
      <c r="AF279" s="6"/>
      <c r="AG279" s="6"/>
      <c r="AH279" s="6"/>
      <c r="AI279" s="3"/>
      <c r="AJ279" s="3"/>
      <c r="AK279" s="3"/>
      <c r="AL279" s="7" t="str">
        <f>IF(A279="","",IF(COUNTIF(A279:A$2001,A279)=1,1,0))</f>
        <v/>
      </c>
      <c r="AM279" s="7" t="str">
        <f t="shared" ca="1" si="13"/>
        <v/>
      </c>
      <c r="AN279" s="7" t="str">
        <f t="shared" si="14"/>
        <v/>
      </c>
      <c r="AO279" s="7" t="str">
        <f t="shared" si="15"/>
        <v/>
      </c>
      <c r="AP279" s="15" t="str">
        <f t="shared" si="16"/>
        <v/>
      </c>
    </row>
    <row r="280" spans="1:42" ht="15" customHeight="1">
      <c r="A280" s="3"/>
      <c r="B280" s="3"/>
      <c r="C280" s="3"/>
      <c r="D280" s="3"/>
      <c r="E280" s="3"/>
      <c r="F280" s="3"/>
      <c r="G280" s="3"/>
      <c r="H280" s="4"/>
      <c r="I280" s="5"/>
      <c r="J280" s="3"/>
      <c r="K280" s="3"/>
      <c r="L280" s="3"/>
      <c r="M280" s="3"/>
      <c r="N280" s="3"/>
      <c r="O280" s="3"/>
      <c r="P280" s="6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6"/>
      <c r="AE280" s="3"/>
      <c r="AF280" s="3"/>
      <c r="AG280" s="3"/>
      <c r="AH280" s="6"/>
      <c r="AI280" s="3"/>
      <c r="AJ280" s="3"/>
      <c r="AK280" s="3"/>
      <c r="AL280" s="7" t="str">
        <f>IF(A280="","",IF(COUNTIF(A280:A$2001,A280)=1,1,0))</f>
        <v/>
      </c>
      <c r="AM280" s="7" t="str">
        <f t="shared" ca="1" si="13"/>
        <v/>
      </c>
      <c r="AN280" s="7" t="str">
        <f t="shared" si="14"/>
        <v/>
      </c>
      <c r="AO280" s="7" t="str">
        <f t="shared" si="15"/>
        <v/>
      </c>
      <c r="AP280" s="15" t="str">
        <f t="shared" si="16"/>
        <v/>
      </c>
    </row>
    <row r="281" spans="1:42" ht="15" customHeight="1">
      <c r="A281" s="3"/>
      <c r="B281" s="3"/>
      <c r="C281" s="3"/>
      <c r="D281" s="3"/>
      <c r="E281" s="3"/>
      <c r="F281" s="3"/>
      <c r="G281" s="3"/>
      <c r="H281" s="4"/>
      <c r="I281" s="5"/>
      <c r="J281" s="4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6"/>
      <c r="AE281" s="3"/>
      <c r="AF281" s="3"/>
      <c r="AG281" s="3"/>
      <c r="AH281" s="6"/>
      <c r="AI281" s="3"/>
      <c r="AJ281" s="3"/>
      <c r="AK281" s="3"/>
      <c r="AL281" s="7" t="str">
        <f>IF(A281="","",IF(COUNTIF(A281:A$2001,A281)=1,1,0))</f>
        <v/>
      </c>
      <c r="AM281" s="7" t="str">
        <f t="shared" ca="1" si="13"/>
        <v/>
      </c>
      <c r="AN281" s="7" t="str">
        <f t="shared" si="14"/>
        <v/>
      </c>
      <c r="AO281" s="7" t="str">
        <f t="shared" si="15"/>
        <v/>
      </c>
      <c r="AP281" s="15" t="str">
        <f t="shared" si="16"/>
        <v/>
      </c>
    </row>
    <row r="282" spans="1:42" ht="15" customHeight="1">
      <c r="A282" s="3"/>
      <c r="B282" s="3"/>
      <c r="C282" s="3"/>
      <c r="D282" s="3"/>
      <c r="E282" s="3"/>
      <c r="F282" s="3"/>
      <c r="G282" s="3"/>
      <c r="H282" s="4"/>
      <c r="I282" s="5"/>
      <c r="J282" s="3"/>
      <c r="K282" s="3"/>
      <c r="L282" s="3"/>
      <c r="M282" s="3"/>
      <c r="N282" s="3"/>
      <c r="O282" s="3"/>
      <c r="P282" s="6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6"/>
      <c r="AE282" s="3"/>
      <c r="AF282" s="6"/>
      <c r="AG282" s="6"/>
      <c r="AH282" s="6"/>
      <c r="AI282" s="3"/>
      <c r="AJ282" s="3"/>
      <c r="AK282" s="3"/>
      <c r="AL282" s="7" t="str">
        <f>IF(A282="","",IF(COUNTIF(A282:A$2001,A282)=1,1,0))</f>
        <v/>
      </c>
      <c r="AM282" s="7" t="str">
        <f t="shared" ca="1" si="13"/>
        <v/>
      </c>
      <c r="AN282" s="7" t="str">
        <f t="shared" si="14"/>
        <v/>
      </c>
      <c r="AO282" s="7" t="str">
        <f t="shared" si="15"/>
        <v/>
      </c>
      <c r="AP282" s="15" t="str">
        <f t="shared" si="16"/>
        <v/>
      </c>
    </row>
    <row r="283" spans="1:42" ht="15" customHeight="1">
      <c r="A283" s="3"/>
      <c r="B283" s="3"/>
      <c r="C283" s="3"/>
      <c r="D283" s="3"/>
      <c r="E283" s="3"/>
      <c r="F283" s="3"/>
      <c r="G283" s="3"/>
      <c r="H283" s="4"/>
      <c r="I283" s="5"/>
      <c r="J283" s="4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6"/>
      <c r="AE283" s="3"/>
      <c r="AF283" s="3"/>
      <c r="AG283" s="3"/>
      <c r="AH283" s="6"/>
      <c r="AI283" s="3"/>
      <c r="AJ283" s="3"/>
      <c r="AK283" s="3"/>
      <c r="AL283" s="7" t="str">
        <f>IF(A283="","",IF(COUNTIF(A283:A$2001,A283)=1,1,0))</f>
        <v/>
      </c>
      <c r="AM283" s="7" t="str">
        <f t="shared" ca="1" si="13"/>
        <v/>
      </c>
      <c r="AN283" s="7" t="str">
        <f t="shared" si="14"/>
        <v/>
      </c>
      <c r="AO283" s="7" t="str">
        <f t="shared" si="15"/>
        <v/>
      </c>
      <c r="AP283" s="15" t="str">
        <f t="shared" si="16"/>
        <v/>
      </c>
    </row>
    <row r="284" spans="1:42" ht="15" customHeight="1">
      <c r="A284" s="3"/>
      <c r="B284" s="3"/>
      <c r="C284" s="3"/>
      <c r="D284" s="3"/>
      <c r="E284" s="3"/>
      <c r="F284" s="3"/>
      <c r="G284" s="3"/>
      <c r="H284" s="4"/>
      <c r="I284" s="5"/>
      <c r="J284" s="3"/>
      <c r="K284" s="3"/>
      <c r="L284" s="3"/>
      <c r="M284" s="3"/>
      <c r="N284" s="3"/>
      <c r="O284" s="3"/>
      <c r="P284" s="6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6"/>
      <c r="AE284" s="3"/>
      <c r="AF284" s="3"/>
      <c r="AG284" s="3"/>
      <c r="AH284" s="6"/>
      <c r="AI284" s="3"/>
      <c r="AJ284" s="3"/>
      <c r="AK284" s="3"/>
      <c r="AL284" s="7" t="str">
        <f>IF(A284="","",IF(COUNTIF(A284:A$2001,A284)=1,1,0))</f>
        <v/>
      </c>
      <c r="AM284" s="7" t="str">
        <f t="shared" ca="1" si="13"/>
        <v/>
      </c>
      <c r="AN284" s="7" t="str">
        <f t="shared" si="14"/>
        <v/>
      </c>
      <c r="AO284" s="7" t="str">
        <f t="shared" si="15"/>
        <v/>
      </c>
      <c r="AP284" s="15" t="str">
        <f t="shared" si="16"/>
        <v/>
      </c>
    </row>
    <row r="285" spans="1:42" ht="15" customHeight="1">
      <c r="A285" s="3"/>
      <c r="B285" s="3"/>
      <c r="C285" s="3"/>
      <c r="D285" s="3"/>
      <c r="E285" s="3"/>
      <c r="F285" s="3"/>
      <c r="G285" s="3"/>
      <c r="H285" s="4"/>
      <c r="I285" s="5"/>
      <c r="J285" s="4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6"/>
      <c r="AE285" s="3"/>
      <c r="AF285" s="3"/>
      <c r="AG285" s="3"/>
      <c r="AH285" s="6"/>
      <c r="AI285" s="3"/>
      <c r="AJ285" s="3"/>
      <c r="AK285" s="3"/>
      <c r="AL285" s="7" t="str">
        <f>IF(A285="","",IF(COUNTIF(A285:A$2001,A285)=1,1,0))</f>
        <v/>
      </c>
      <c r="AM285" s="7" t="str">
        <f t="shared" ca="1" si="13"/>
        <v/>
      </c>
      <c r="AN285" s="7" t="str">
        <f t="shared" si="14"/>
        <v/>
      </c>
      <c r="AO285" s="7" t="str">
        <f t="shared" si="15"/>
        <v/>
      </c>
      <c r="AP285" s="15" t="str">
        <f t="shared" si="16"/>
        <v/>
      </c>
    </row>
    <row r="286" spans="1:42" ht="15" customHeight="1">
      <c r="A286" s="3"/>
      <c r="B286" s="3"/>
      <c r="C286" s="3"/>
      <c r="D286" s="3"/>
      <c r="E286" s="3"/>
      <c r="F286" s="3"/>
      <c r="G286" s="3"/>
      <c r="H286" s="4"/>
      <c r="I286" s="5"/>
      <c r="J286" s="4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6"/>
      <c r="AE286" s="3"/>
      <c r="AF286" s="3"/>
      <c r="AG286" s="3"/>
      <c r="AH286" s="3"/>
      <c r="AI286" s="3"/>
      <c r="AJ286" s="3"/>
      <c r="AK286" s="3"/>
      <c r="AL286" s="7" t="str">
        <f>IF(A286="","",IF(COUNTIF(A286:A$2001,A286)=1,1,0))</f>
        <v/>
      </c>
      <c r="AM286" s="7" t="str">
        <f t="shared" ca="1" si="13"/>
        <v/>
      </c>
      <c r="AN286" s="7" t="str">
        <f t="shared" si="14"/>
        <v/>
      </c>
      <c r="AO286" s="7" t="str">
        <f t="shared" si="15"/>
        <v/>
      </c>
      <c r="AP286" s="15" t="str">
        <f t="shared" si="16"/>
        <v/>
      </c>
    </row>
    <row r="287" spans="1:42" ht="15" customHeight="1">
      <c r="A287" s="3"/>
      <c r="B287" s="3"/>
      <c r="C287" s="3"/>
      <c r="D287" s="3"/>
      <c r="E287" s="3"/>
      <c r="F287" s="3"/>
      <c r="G287" s="3"/>
      <c r="H287" s="4"/>
      <c r="I287" s="5"/>
      <c r="J287" s="4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6"/>
      <c r="AE287" s="3"/>
      <c r="AF287" s="3"/>
      <c r="AG287" s="3"/>
      <c r="AH287" s="3"/>
      <c r="AI287" s="3"/>
      <c r="AJ287" s="3"/>
      <c r="AK287" s="3"/>
      <c r="AL287" s="7" t="str">
        <f>IF(A287="","",IF(COUNTIF(A287:A$2001,A287)=1,1,0))</f>
        <v/>
      </c>
      <c r="AM287" s="7" t="str">
        <f t="shared" ca="1" si="13"/>
        <v/>
      </c>
      <c r="AN287" s="7" t="str">
        <f t="shared" si="14"/>
        <v/>
      </c>
      <c r="AO287" s="7" t="str">
        <f t="shared" si="15"/>
        <v/>
      </c>
      <c r="AP287" s="15" t="str">
        <f t="shared" si="16"/>
        <v/>
      </c>
    </row>
    <row r="288" spans="1:42" ht="15" customHeight="1">
      <c r="A288" s="3"/>
      <c r="B288" s="3"/>
      <c r="C288" s="3"/>
      <c r="D288" s="3"/>
      <c r="E288" s="3"/>
      <c r="F288" s="3"/>
      <c r="G288" s="3"/>
      <c r="H288" s="4"/>
      <c r="I288" s="5"/>
      <c r="J288" s="4"/>
      <c r="K288" s="4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6"/>
      <c r="AE288" s="3"/>
      <c r="AF288" s="6"/>
      <c r="AG288" s="6"/>
      <c r="AH288" s="6"/>
      <c r="AI288" s="3"/>
      <c r="AJ288" s="3"/>
      <c r="AK288" s="3"/>
      <c r="AL288" s="7" t="str">
        <f>IF(A288="","",IF(COUNTIF(A288:A$2001,A288)=1,1,0))</f>
        <v/>
      </c>
      <c r="AM288" s="7" t="str">
        <f t="shared" ca="1" si="13"/>
        <v/>
      </c>
      <c r="AN288" s="7" t="str">
        <f t="shared" si="14"/>
        <v/>
      </c>
      <c r="AO288" s="7" t="str">
        <f t="shared" si="15"/>
        <v/>
      </c>
      <c r="AP288" s="15" t="str">
        <f t="shared" si="16"/>
        <v/>
      </c>
    </row>
    <row r="289" spans="1:42" ht="15" customHeight="1">
      <c r="A289" s="3"/>
      <c r="B289" s="3"/>
      <c r="C289" s="3"/>
      <c r="D289" s="3"/>
      <c r="E289" s="3"/>
      <c r="F289" s="3"/>
      <c r="G289" s="3"/>
      <c r="H289" s="4"/>
      <c r="I289" s="5"/>
      <c r="J289" s="4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6"/>
      <c r="AE289" s="3"/>
      <c r="AF289" s="3"/>
      <c r="AG289" s="3"/>
      <c r="AH289" s="6"/>
      <c r="AI289" s="3"/>
      <c r="AJ289" s="3"/>
      <c r="AK289" s="3"/>
      <c r="AL289" s="7" t="str">
        <f>IF(A289="","",IF(COUNTIF(A289:A$2001,A289)=1,1,0))</f>
        <v/>
      </c>
      <c r="AM289" s="7" t="str">
        <f t="shared" ca="1" si="13"/>
        <v/>
      </c>
      <c r="AN289" s="7" t="str">
        <f t="shared" si="14"/>
        <v/>
      </c>
      <c r="AO289" s="7" t="str">
        <f t="shared" si="15"/>
        <v/>
      </c>
      <c r="AP289" s="15" t="str">
        <f t="shared" si="16"/>
        <v/>
      </c>
    </row>
    <row r="290" spans="1:42" ht="15" customHeight="1">
      <c r="A290" s="3"/>
      <c r="B290" s="3"/>
      <c r="C290" s="3"/>
      <c r="D290" s="3"/>
      <c r="E290" s="3"/>
      <c r="F290" s="3"/>
      <c r="G290" s="3"/>
      <c r="H290" s="4"/>
      <c r="I290" s="5"/>
      <c r="J290" s="4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6"/>
      <c r="AE290" s="3"/>
      <c r="AF290" s="3"/>
      <c r="AG290" s="3"/>
      <c r="AH290" s="3"/>
      <c r="AI290" s="3"/>
      <c r="AJ290" s="3"/>
      <c r="AK290" s="3"/>
      <c r="AL290" s="7" t="str">
        <f>IF(A290="","",IF(COUNTIF(A290:A$2001,A290)=1,1,0))</f>
        <v/>
      </c>
      <c r="AM290" s="7" t="str">
        <f t="shared" ca="1" si="13"/>
        <v/>
      </c>
      <c r="AN290" s="7" t="str">
        <f t="shared" si="14"/>
        <v/>
      </c>
      <c r="AO290" s="7" t="str">
        <f t="shared" si="15"/>
        <v/>
      </c>
      <c r="AP290" s="15" t="str">
        <f t="shared" si="16"/>
        <v/>
      </c>
    </row>
    <row r="291" spans="1:42" ht="15" customHeight="1">
      <c r="A291" s="3"/>
      <c r="B291" s="3"/>
      <c r="C291" s="3"/>
      <c r="D291" s="3"/>
      <c r="E291" s="3"/>
      <c r="F291" s="3"/>
      <c r="G291" s="3"/>
      <c r="H291" s="4"/>
      <c r="I291" s="5"/>
      <c r="J291" s="4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6"/>
      <c r="AE291" s="3"/>
      <c r="AF291" s="3"/>
      <c r="AG291" s="3"/>
      <c r="AH291" s="3"/>
      <c r="AI291" s="3"/>
      <c r="AJ291" s="3"/>
      <c r="AK291" s="3"/>
      <c r="AL291" s="7" t="str">
        <f>IF(A291="","",IF(COUNTIF(A291:A$2001,A291)=1,1,0))</f>
        <v/>
      </c>
      <c r="AM291" s="7" t="str">
        <f t="shared" ca="1" si="13"/>
        <v/>
      </c>
      <c r="AN291" s="7" t="str">
        <f t="shared" si="14"/>
        <v/>
      </c>
      <c r="AO291" s="7" t="str">
        <f t="shared" si="15"/>
        <v/>
      </c>
      <c r="AP291" s="15" t="str">
        <f t="shared" si="16"/>
        <v/>
      </c>
    </row>
    <row r="292" spans="1:42" ht="15" customHeight="1">
      <c r="A292" s="3"/>
      <c r="B292" s="3"/>
      <c r="C292" s="3"/>
      <c r="D292" s="3"/>
      <c r="E292" s="3"/>
      <c r="F292" s="3"/>
      <c r="G292" s="3"/>
      <c r="H292" s="4"/>
      <c r="I292" s="5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6"/>
      <c r="AE292" s="3"/>
      <c r="AF292" s="3"/>
      <c r="AG292" s="3"/>
      <c r="AH292" s="6"/>
      <c r="AI292" s="3"/>
      <c r="AJ292" s="3"/>
      <c r="AK292" s="3"/>
      <c r="AL292" s="7" t="str">
        <f>IF(A292="","",IF(COUNTIF(A292:A$2001,A292)=1,1,0))</f>
        <v/>
      </c>
      <c r="AM292" s="7" t="str">
        <f t="shared" ca="1" si="13"/>
        <v/>
      </c>
      <c r="AN292" s="7" t="str">
        <f t="shared" si="14"/>
        <v/>
      </c>
      <c r="AO292" s="7" t="str">
        <f t="shared" si="15"/>
        <v/>
      </c>
      <c r="AP292" s="15" t="str">
        <f t="shared" si="16"/>
        <v/>
      </c>
    </row>
    <row r="293" spans="1:42" ht="15" customHeight="1">
      <c r="A293" s="3"/>
      <c r="B293" s="3"/>
      <c r="C293" s="3"/>
      <c r="D293" s="3"/>
      <c r="E293" s="3"/>
      <c r="F293" s="3"/>
      <c r="G293" s="3"/>
      <c r="H293" s="4"/>
      <c r="I293" s="5"/>
      <c r="J293" s="4"/>
      <c r="K293" s="4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6"/>
      <c r="AE293" s="3"/>
      <c r="AF293" s="3"/>
      <c r="AG293" s="3"/>
      <c r="AH293" s="3"/>
      <c r="AI293" s="3"/>
      <c r="AJ293" s="3"/>
      <c r="AK293" s="3"/>
      <c r="AL293" s="7" t="str">
        <f>IF(A293="","",IF(COUNTIF(A293:A$2001,A293)=1,1,0))</f>
        <v/>
      </c>
      <c r="AM293" s="7" t="str">
        <f t="shared" ca="1" si="13"/>
        <v/>
      </c>
      <c r="AN293" s="7" t="str">
        <f t="shared" si="14"/>
        <v/>
      </c>
      <c r="AO293" s="7" t="str">
        <f t="shared" si="15"/>
        <v/>
      </c>
      <c r="AP293" s="15" t="str">
        <f t="shared" si="16"/>
        <v/>
      </c>
    </row>
    <row r="294" spans="1:42" ht="15" customHeight="1">
      <c r="A294" s="3"/>
      <c r="B294" s="3"/>
      <c r="C294" s="3"/>
      <c r="D294" s="3"/>
      <c r="E294" s="3"/>
      <c r="F294" s="3"/>
      <c r="G294" s="3"/>
      <c r="H294" s="4"/>
      <c r="I294" s="5"/>
      <c r="J294" s="4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6"/>
      <c r="AE294" s="3"/>
      <c r="AF294" s="3"/>
      <c r="AG294" s="3"/>
      <c r="AH294" s="3"/>
      <c r="AI294" s="3"/>
      <c r="AJ294" s="3"/>
      <c r="AK294" s="3"/>
      <c r="AL294" s="7" t="str">
        <f>IF(A294="","",IF(COUNTIF(A294:A$2001,A294)=1,1,0))</f>
        <v/>
      </c>
      <c r="AM294" s="7" t="str">
        <f t="shared" ca="1" si="13"/>
        <v/>
      </c>
      <c r="AN294" s="7" t="str">
        <f t="shared" si="14"/>
        <v/>
      </c>
      <c r="AO294" s="7" t="str">
        <f t="shared" si="15"/>
        <v/>
      </c>
      <c r="AP294" s="15" t="str">
        <f t="shared" si="16"/>
        <v/>
      </c>
    </row>
    <row r="295" spans="1:42" ht="15" customHeight="1">
      <c r="A295" s="3"/>
      <c r="B295" s="3"/>
      <c r="C295" s="3"/>
      <c r="D295" s="3"/>
      <c r="E295" s="3"/>
      <c r="F295" s="3"/>
      <c r="G295" s="3"/>
      <c r="H295" s="4"/>
      <c r="I295" s="5"/>
      <c r="J295" s="4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6"/>
      <c r="AE295" s="3"/>
      <c r="AF295" s="3"/>
      <c r="AG295" s="3"/>
      <c r="AH295" s="3"/>
      <c r="AI295" s="3"/>
      <c r="AJ295" s="3"/>
      <c r="AK295" s="3"/>
      <c r="AL295" s="7" t="str">
        <f>IF(A295="","",IF(COUNTIF(A295:A$2001,A295)=1,1,0))</f>
        <v/>
      </c>
      <c r="AM295" s="7" t="str">
        <f t="shared" ca="1" si="13"/>
        <v/>
      </c>
      <c r="AN295" s="7" t="str">
        <f t="shared" si="14"/>
        <v/>
      </c>
      <c r="AO295" s="7" t="str">
        <f t="shared" si="15"/>
        <v/>
      </c>
      <c r="AP295" s="15" t="str">
        <f t="shared" si="16"/>
        <v/>
      </c>
    </row>
    <row r="296" spans="1:42" ht="15" customHeight="1">
      <c r="A296" s="3"/>
      <c r="B296" s="3"/>
      <c r="C296" s="3"/>
      <c r="D296" s="3"/>
      <c r="E296" s="3"/>
      <c r="F296" s="3"/>
      <c r="G296" s="3"/>
      <c r="H296" s="4"/>
      <c r="I296" s="5"/>
      <c r="J296" s="3"/>
      <c r="K296" s="3"/>
      <c r="L296" s="3"/>
      <c r="M296" s="3"/>
      <c r="N296" s="3"/>
      <c r="O296" s="3"/>
      <c r="P296" s="6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6"/>
      <c r="AE296" s="3"/>
      <c r="AF296" s="3"/>
      <c r="AG296" s="6"/>
      <c r="AH296" s="3"/>
      <c r="AI296" s="3"/>
      <c r="AJ296" s="3"/>
      <c r="AK296" s="3"/>
      <c r="AL296" s="7" t="str">
        <f>IF(A296="","",IF(COUNTIF(A296:A$2001,A296)=1,1,0))</f>
        <v/>
      </c>
      <c r="AM296" s="7" t="str">
        <f t="shared" ca="1" si="13"/>
        <v/>
      </c>
      <c r="AN296" s="7" t="str">
        <f t="shared" si="14"/>
        <v/>
      </c>
      <c r="AO296" s="7" t="str">
        <f t="shared" si="15"/>
        <v/>
      </c>
      <c r="AP296" s="15" t="str">
        <f t="shared" si="16"/>
        <v/>
      </c>
    </row>
    <row r="297" spans="1:42" ht="15" customHeight="1">
      <c r="A297" s="3"/>
      <c r="B297" s="3"/>
      <c r="C297" s="3"/>
      <c r="D297" s="3"/>
      <c r="E297" s="3"/>
      <c r="F297" s="3"/>
      <c r="G297" s="3"/>
      <c r="H297" s="4"/>
      <c r="I297" s="5"/>
      <c r="J297" s="3"/>
      <c r="K297" s="3"/>
      <c r="L297" s="3"/>
      <c r="M297" s="3"/>
      <c r="N297" s="3"/>
      <c r="O297" s="3"/>
      <c r="P297" s="6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6"/>
      <c r="AE297" s="3"/>
      <c r="AF297" s="3"/>
      <c r="AG297" s="3"/>
      <c r="AH297" s="6"/>
      <c r="AI297" s="3"/>
      <c r="AJ297" s="3"/>
      <c r="AK297" s="3"/>
      <c r="AL297" s="7" t="str">
        <f>IF(A297="","",IF(COUNTIF(A297:A$2001,A297)=1,1,0))</f>
        <v/>
      </c>
      <c r="AM297" s="7" t="str">
        <f t="shared" ca="1" si="13"/>
        <v/>
      </c>
      <c r="AN297" s="7" t="str">
        <f t="shared" si="14"/>
        <v/>
      </c>
      <c r="AO297" s="7" t="str">
        <f t="shared" si="15"/>
        <v/>
      </c>
      <c r="AP297" s="15" t="str">
        <f t="shared" si="16"/>
        <v/>
      </c>
    </row>
    <row r="298" spans="1:42" ht="15" customHeight="1">
      <c r="A298" s="3"/>
      <c r="B298" s="3"/>
      <c r="C298" s="3"/>
      <c r="D298" s="3"/>
      <c r="E298" s="3"/>
      <c r="F298" s="3"/>
      <c r="G298" s="3"/>
      <c r="H298" s="4"/>
      <c r="I298" s="5"/>
      <c r="J298" s="4"/>
      <c r="K298" s="4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6"/>
      <c r="AE298" s="3"/>
      <c r="AF298" s="6"/>
      <c r="AG298" s="6"/>
      <c r="AH298" s="3"/>
      <c r="AI298" s="3"/>
      <c r="AJ298" s="3"/>
      <c r="AK298" s="3"/>
      <c r="AL298" s="7" t="str">
        <f>IF(A298="","",IF(COUNTIF(A298:A$2001,A298)=1,1,0))</f>
        <v/>
      </c>
      <c r="AM298" s="7" t="str">
        <f t="shared" ca="1" si="13"/>
        <v/>
      </c>
      <c r="AN298" s="7" t="str">
        <f t="shared" si="14"/>
        <v/>
      </c>
      <c r="AO298" s="7" t="str">
        <f t="shared" si="15"/>
        <v/>
      </c>
      <c r="AP298" s="15" t="str">
        <f t="shared" si="16"/>
        <v/>
      </c>
    </row>
    <row r="299" spans="1:42" ht="15" customHeight="1">
      <c r="A299" s="3"/>
      <c r="B299" s="3"/>
      <c r="C299" s="3"/>
      <c r="D299" s="3"/>
      <c r="E299" s="3"/>
      <c r="F299" s="3"/>
      <c r="G299" s="3"/>
      <c r="H299" s="4"/>
      <c r="I299" s="5"/>
      <c r="J299" s="4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6"/>
      <c r="AE299" s="3"/>
      <c r="AF299" s="3"/>
      <c r="AG299" s="3"/>
      <c r="AH299" s="3"/>
      <c r="AI299" s="3"/>
      <c r="AJ299" s="3"/>
      <c r="AK299" s="3"/>
      <c r="AL299" s="7" t="str">
        <f>IF(A299="","",IF(COUNTIF(A299:A$2001,A299)=1,1,0))</f>
        <v/>
      </c>
      <c r="AM299" s="7" t="str">
        <f t="shared" ca="1" si="13"/>
        <v/>
      </c>
      <c r="AN299" s="7" t="str">
        <f t="shared" si="14"/>
        <v/>
      </c>
      <c r="AO299" s="7" t="str">
        <f t="shared" si="15"/>
        <v/>
      </c>
      <c r="AP299" s="15" t="str">
        <f t="shared" si="16"/>
        <v/>
      </c>
    </row>
    <row r="300" spans="1:42" ht="15" customHeight="1">
      <c r="A300" s="3"/>
      <c r="B300" s="3"/>
      <c r="C300" s="3"/>
      <c r="D300" s="3"/>
      <c r="E300" s="3"/>
      <c r="F300" s="3"/>
      <c r="G300" s="3"/>
      <c r="H300" s="4"/>
      <c r="I300" s="5"/>
      <c r="J300" s="4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6"/>
      <c r="AE300" s="3"/>
      <c r="AF300" s="3"/>
      <c r="AG300" s="3"/>
      <c r="AH300" s="3"/>
      <c r="AI300" s="3"/>
      <c r="AJ300" s="3"/>
      <c r="AK300" s="3"/>
      <c r="AL300" s="7" t="str">
        <f>IF(A300="","",IF(COUNTIF(A300:A$2001,A300)=1,1,0))</f>
        <v/>
      </c>
      <c r="AM300" s="7" t="str">
        <f t="shared" ca="1" si="13"/>
        <v/>
      </c>
      <c r="AN300" s="7" t="str">
        <f t="shared" si="14"/>
        <v/>
      </c>
      <c r="AO300" s="7" t="str">
        <f t="shared" si="15"/>
        <v/>
      </c>
      <c r="AP300" s="15" t="str">
        <f t="shared" si="16"/>
        <v/>
      </c>
    </row>
    <row r="301" spans="1:42" ht="15" customHeight="1">
      <c r="A301" s="3"/>
      <c r="B301" s="3"/>
      <c r="C301" s="3"/>
      <c r="D301" s="3"/>
      <c r="E301" s="3"/>
      <c r="F301" s="3"/>
      <c r="G301" s="3"/>
      <c r="H301" s="4"/>
      <c r="I301" s="5"/>
      <c r="J301" s="4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6"/>
      <c r="AE301" s="3"/>
      <c r="AF301" s="3"/>
      <c r="AG301" s="3"/>
      <c r="AH301" s="3"/>
      <c r="AI301" s="3"/>
      <c r="AJ301" s="3"/>
      <c r="AK301" s="3"/>
      <c r="AL301" s="7" t="str">
        <f>IF(A301="","",IF(COUNTIF(A301:A$2001,A301)=1,1,0))</f>
        <v/>
      </c>
      <c r="AM301" s="7" t="str">
        <f t="shared" ca="1" si="13"/>
        <v/>
      </c>
      <c r="AN301" s="7" t="str">
        <f t="shared" si="14"/>
        <v/>
      </c>
      <c r="AO301" s="7" t="str">
        <f t="shared" si="15"/>
        <v/>
      </c>
      <c r="AP301" s="15" t="str">
        <f t="shared" si="16"/>
        <v/>
      </c>
    </row>
    <row r="302" spans="1:42" ht="15" customHeight="1">
      <c r="A302" s="3"/>
      <c r="B302" s="3"/>
      <c r="C302" s="3"/>
      <c r="D302" s="3"/>
      <c r="E302" s="3"/>
      <c r="F302" s="3"/>
      <c r="G302" s="3"/>
      <c r="H302" s="4"/>
      <c r="I302" s="5"/>
      <c r="J302" s="4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6"/>
      <c r="AE302" s="3"/>
      <c r="AF302" s="3"/>
      <c r="AG302" s="3"/>
      <c r="AH302" s="3"/>
      <c r="AI302" s="3"/>
      <c r="AJ302" s="3"/>
      <c r="AK302" s="3"/>
      <c r="AL302" s="7" t="str">
        <f>IF(A302="","",IF(COUNTIF(A302:A$2001,A302)=1,1,0))</f>
        <v/>
      </c>
      <c r="AM302" s="7" t="str">
        <f t="shared" ca="1" si="13"/>
        <v/>
      </c>
      <c r="AN302" s="7" t="str">
        <f t="shared" si="14"/>
        <v/>
      </c>
      <c r="AO302" s="7" t="str">
        <f t="shared" si="15"/>
        <v/>
      </c>
      <c r="AP302" s="15" t="str">
        <f t="shared" si="16"/>
        <v/>
      </c>
    </row>
    <row r="303" spans="1:42" ht="15" customHeight="1">
      <c r="A303" s="3"/>
      <c r="B303" s="3"/>
      <c r="C303" s="3"/>
      <c r="D303" s="3"/>
      <c r="E303" s="3"/>
      <c r="F303" s="3"/>
      <c r="G303" s="3"/>
      <c r="H303" s="4"/>
      <c r="I303" s="5"/>
      <c r="J303" s="4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6"/>
      <c r="AE303" s="3"/>
      <c r="AF303" s="3"/>
      <c r="AG303" s="3"/>
      <c r="AH303" s="6"/>
      <c r="AI303" s="3"/>
      <c r="AJ303" s="3"/>
      <c r="AK303" s="3"/>
      <c r="AL303" s="7" t="str">
        <f>IF(A303="","",IF(COUNTIF(A303:A$2001,A303)=1,1,0))</f>
        <v/>
      </c>
      <c r="AM303" s="7" t="str">
        <f t="shared" ca="1" si="13"/>
        <v/>
      </c>
      <c r="AN303" s="7" t="str">
        <f t="shared" si="14"/>
        <v/>
      </c>
      <c r="AO303" s="7" t="str">
        <f t="shared" si="15"/>
        <v/>
      </c>
      <c r="AP303" s="15" t="str">
        <f t="shared" si="16"/>
        <v/>
      </c>
    </row>
    <row r="304" spans="1:42" ht="15" customHeight="1">
      <c r="A304" s="3"/>
      <c r="B304" s="3"/>
      <c r="C304" s="3"/>
      <c r="D304" s="3"/>
      <c r="E304" s="3"/>
      <c r="F304" s="3"/>
      <c r="G304" s="3"/>
      <c r="H304" s="4"/>
      <c r="I304" s="5"/>
      <c r="J304" s="4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6"/>
      <c r="AE304" s="3"/>
      <c r="AF304" s="3"/>
      <c r="AG304" s="3"/>
      <c r="AH304" s="3"/>
      <c r="AI304" s="3"/>
      <c r="AJ304" s="3"/>
      <c r="AK304" s="3"/>
      <c r="AL304" s="7" t="str">
        <f>IF(A304="","",IF(COUNTIF(A304:A$2001,A304)=1,1,0))</f>
        <v/>
      </c>
      <c r="AM304" s="7" t="str">
        <f t="shared" ca="1" si="13"/>
        <v/>
      </c>
      <c r="AN304" s="7" t="str">
        <f t="shared" si="14"/>
        <v/>
      </c>
      <c r="AO304" s="7" t="str">
        <f t="shared" si="15"/>
        <v/>
      </c>
      <c r="AP304" s="15" t="str">
        <f t="shared" si="16"/>
        <v/>
      </c>
    </row>
    <row r="305" spans="1:42" ht="15" customHeight="1">
      <c r="A305" s="3"/>
      <c r="B305" s="3"/>
      <c r="C305" s="3"/>
      <c r="D305" s="3"/>
      <c r="E305" s="3"/>
      <c r="F305" s="3"/>
      <c r="G305" s="3"/>
      <c r="H305" s="4"/>
      <c r="I305" s="5"/>
      <c r="J305" s="4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6"/>
      <c r="AE305" s="3"/>
      <c r="AF305" s="3"/>
      <c r="AG305" s="3"/>
      <c r="AH305" s="3"/>
      <c r="AI305" s="3"/>
      <c r="AJ305" s="3"/>
      <c r="AK305" s="3"/>
      <c r="AL305" s="7" t="str">
        <f>IF(A305="","",IF(COUNTIF(A305:A$2001,A305)=1,1,0))</f>
        <v/>
      </c>
      <c r="AM305" s="7" t="str">
        <f t="shared" ca="1" si="13"/>
        <v/>
      </c>
      <c r="AN305" s="7" t="str">
        <f t="shared" si="14"/>
        <v/>
      </c>
      <c r="AO305" s="7" t="str">
        <f t="shared" si="15"/>
        <v/>
      </c>
      <c r="AP305" s="15" t="str">
        <f t="shared" si="16"/>
        <v/>
      </c>
    </row>
    <row r="306" spans="1:42" ht="15" customHeight="1">
      <c r="A306" s="3"/>
      <c r="B306" s="3"/>
      <c r="C306" s="3"/>
      <c r="D306" s="3"/>
      <c r="E306" s="3"/>
      <c r="F306" s="3"/>
      <c r="G306" s="3"/>
      <c r="H306" s="4"/>
      <c r="I306" s="5"/>
      <c r="J306" s="4"/>
      <c r="K306" s="4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6"/>
      <c r="AE306" s="3"/>
      <c r="AF306" s="3"/>
      <c r="AG306" s="3"/>
      <c r="AH306" s="6"/>
      <c r="AI306" s="3"/>
      <c r="AJ306" s="3"/>
      <c r="AK306" s="3"/>
      <c r="AL306" s="7" t="str">
        <f>IF(A306="","",IF(COUNTIF(A306:A$2001,A306)=1,1,0))</f>
        <v/>
      </c>
      <c r="AM306" s="7" t="str">
        <f t="shared" ca="1" si="13"/>
        <v/>
      </c>
      <c r="AN306" s="7" t="str">
        <f t="shared" si="14"/>
        <v/>
      </c>
      <c r="AO306" s="7" t="str">
        <f t="shared" si="15"/>
        <v/>
      </c>
      <c r="AP306" s="15" t="str">
        <f t="shared" si="16"/>
        <v/>
      </c>
    </row>
    <row r="307" spans="1:42" ht="15" customHeight="1">
      <c r="A307" s="3"/>
      <c r="B307" s="3"/>
      <c r="C307" s="3"/>
      <c r="D307" s="3"/>
      <c r="E307" s="3"/>
      <c r="F307" s="3"/>
      <c r="G307" s="3"/>
      <c r="H307" s="4"/>
      <c r="I307" s="5"/>
      <c r="J307" s="4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6"/>
      <c r="AE307" s="3"/>
      <c r="AF307" s="3"/>
      <c r="AG307" s="3"/>
      <c r="AH307" s="3"/>
      <c r="AI307" s="3"/>
      <c r="AJ307" s="3"/>
      <c r="AK307" s="3"/>
      <c r="AL307" s="7" t="str">
        <f>IF(A307="","",IF(COUNTIF(A307:A$2001,A307)=1,1,0))</f>
        <v/>
      </c>
      <c r="AM307" s="7" t="str">
        <f t="shared" ca="1" si="13"/>
        <v/>
      </c>
      <c r="AN307" s="7" t="str">
        <f t="shared" si="14"/>
        <v/>
      </c>
      <c r="AO307" s="7" t="str">
        <f t="shared" si="15"/>
        <v/>
      </c>
      <c r="AP307" s="15" t="str">
        <f t="shared" si="16"/>
        <v/>
      </c>
    </row>
    <row r="308" spans="1:42" ht="15" customHeight="1">
      <c r="A308" s="3"/>
      <c r="B308" s="3"/>
      <c r="C308" s="3"/>
      <c r="D308" s="3"/>
      <c r="E308" s="3"/>
      <c r="F308" s="3"/>
      <c r="G308" s="3"/>
      <c r="H308" s="4"/>
      <c r="I308" s="5"/>
      <c r="J308" s="4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6"/>
      <c r="AE308" s="3"/>
      <c r="AF308" s="3"/>
      <c r="AG308" s="3"/>
      <c r="AH308" s="3"/>
      <c r="AI308" s="3"/>
      <c r="AJ308" s="3"/>
      <c r="AK308" s="3"/>
      <c r="AL308" s="7" t="str">
        <f>IF(A308="","",IF(COUNTIF(A308:A$2001,A308)=1,1,0))</f>
        <v/>
      </c>
      <c r="AM308" s="7" t="str">
        <f t="shared" ca="1" si="13"/>
        <v/>
      </c>
      <c r="AN308" s="7" t="str">
        <f t="shared" si="14"/>
        <v/>
      </c>
      <c r="AO308" s="7" t="str">
        <f t="shared" si="15"/>
        <v/>
      </c>
      <c r="AP308" s="15" t="str">
        <f t="shared" si="16"/>
        <v/>
      </c>
    </row>
    <row r="309" spans="1:42" ht="15" customHeight="1">
      <c r="A309" s="3"/>
      <c r="B309" s="3"/>
      <c r="C309" s="3"/>
      <c r="D309" s="3"/>
      <c r="E309" s="3"/>
      <c r="F309" s="3"/>
      <c r="G309" s="3"/>
      <c r="H309" s="4"/>
      <c r="I309" s="5"/>
      <c r="J309" s="3"/>
      <c r="K309" s="3"/>
      <c r="L309" s="3"/>
      <c r="M309" s="3"/>
      <c r="N309" s="3"/>
      <c r="O309" s="3"/>
      <c r="P309" s="6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6"/>
      <c r="AE309" s="3"/>
      <c r="AF309" s="3"/>
      <c r="AG309" s="3"/>
      <c r="AH309" s="6"/>
      <c r="AI309" s="3"/>
      <c r="AJ309" s="3"/>
      <c r="AK309" s="3"/>
      <c r="AL309" s="7" t="str">
        <f>IF(A309="","",IF(COUNTIF(A309:A$2001,A309)=1,1,0))</f>
        <v/>
      </c>
      <c r="AM309" s="7" t="str">
        <f t="shared" ca="1" si="13"/>
        <v/>
      </c>
      <c r="AN309" s="7" t="str">
        <f t="shared" si="14"/>
        <v/>
      </c>
      <c r="AO309" s="7" t="str">
        <f t="shared" si="15"/>
        <v/>
      </c>
      <c r="AP309" s="15" t="str">
        <f t="shared" si="16"/>
        <v/>
      </c>
    </row>
    <row r="310" spans="1:42" ht="15" customHeight="1">
      <c r="A310" s="3"/>
      <c r="B310" s="3"/>
      <c r="C310" s="3"/>
      <c r="D310" s="3"/>
      <c r="E310" s="3"/>
      <c r="F310" s="3"/>
      <c r="G310" s="3"/>
      <c r="H310" s="4"/>
      <c r="I310" s="5"/>
      <c r="J310" s="4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6"/>
      <c r="AE310" s="3"/>
      <c r="AF310" s="6"/>
      <c r="AG310" s="3"/>
      <c r="AH310" s="3"/>
      <c r="AI310" s="3"/>
      <c r="AJ310" s="3"/>
      <c r="AK310" s="3"/>
      <c r="AL310" s="7" t="str">
        <f>IF(A310="","",IF(COUNTIF(A310:A$2001,A310)=1,1,0))</f>
        <v/>
      </c>
      <c r="AM310" s="7" t="str">
        <f t="shared" ca="1" si="13"/>
        <v/>
      </c>
      <c r="AN310" s="7" t="str">
        <f t="shared" si="14"/>
        <v/>
      </c>
      <c r="AO310" s="7" t="str">
        <f t="shared" si="15"/>
        <v/>
      </c>
      <c r="AP310" s="15" t="str">
        <f t="shared" si="16"/>
        <v/>
      </c>
    </row>
    <row r="311" spans="1:42" ht="15" customHeight="1">
      <c r="A311" s="3"/>
      <c r="B311" s="3"/>
      <c r="C311" s="3"/>
      <c r="D311" s="3"/>
      <c r="E311" s="3"/>
      <c r="F311" s="3"/>
      <c r="G311" s="3"/>
      <c r="H311" s="4"/>
      <c r="I311" s="5"/>
      <c r="J311" s="4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6"/>
      <c r="AE311" s="3"/>
      <c r="AF311" s="6"/>
      <c r="AG311" s="6"/>
      <c r="AH311" s="6"/>
      <c r="AI311" s="3"/>
      <c r="AJ311" s="3"/>
      <c r="AK311" s="3"/>
      <c r="AL311" s="7" t="str">
        <f>IF(A311="","",IF(COUNTIF(A311:A$2001,A311)=1,1,0))</f>
        <v/>
      </c>
      <c r="AM311" s="7" t="str">
        <f t="shared" ca="1" si="13"/>
        <v/>
      </c>
      <c r="AN311" s="7" t="str">
        <f t="shared" si="14"/>
        <v/>
      </c>
      <c r="AO311" s="7" t="str">
        <f t="shared" si="15"/>
        <v/>
      </c>
      <c r="AP311" s="15" t="str">
        <f t="shared" si="16"/>
        <v/>
      </c>
    </row>
    <row r="312" spans="1:42" ht="15" customHeight="1">
      <c r="A312" s="3"/>
      <c r="B312" s="3"/>
      <c r="C312" s="3"/>
      <c r="D312" s="3"/>
      <c r="E312" s="3"/>
      <c r="F312" s="3"/>
      <c r="G312" s="3"/>
      <c r="H312" s="4"/>
      <c r="I312" s="5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6"/>
      <c r="AE312" s="3"/>
      <c r="AF312" s="3"/>
      <c r="AG312" s="3"/>
      <c r="AH312" s="3"/>
      <c r="AI312" s="3"/>
      <c r="AJ312" s="3"/>
      <c r="AK312" s="3"/>
      <c r="AL312" s="7" t="str">
        <f>IF(A312="","",IF(COUNTIF(A312:A$2001,A312)=1,1,0))</f>
        <v/>
      </c>
      <c r="AM312" s="7" t="str">
        <f t="shared" ca="1" si="13"/>
        <v/>
      </c>
      <c r="AN312" s="7" t="str">
        <f t="shared" si="14"/>
        <v/>
      </c>
      <c r="AO312" s="7" t="str">
        <f t="shared" si="15"/>
        <v/>
      </c>
      <c r="AP312" s="15" t="str">
        <f t="shared" si="16"/>
        <v/>
      </c>
    </row>
    <row r="313" spans="1:42" ht="15" customHeight="1">
      <c r="A313" s="3"/>
      <c r="B313" s="3"/>
      <c r="C313" s="3"/>
      <c r="D313" s="3"/>
      <c r="E313" s="3"/>
      <c r="F313" s="3"/>
      <c r="G313" s="3"/>
      <c r="H313" s="4"/>
      <c r="I313" s="5"/>
      <c r="J313" s="3"/>
      <c r="K313" s="3"/>
      <c r="L313" s="3"/>
      <c r="M313" s="3"/>
      <c r="N313" s="3"/>
      <c r="O313" s="3"/>
      <c r="P313" s="6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6"/>
      <c r="AE313" s="3"/>
      <c r="AF313" s="3"/>
      <c r="AG313" s="3"/>
      <c r="AH313" s="6"/>
      <c r="AI313" s="3"/>
      <c r="AJ313" s="3"/>
      <c r="AK313" s="3"/>
      <c r="AL313" s="7" t="str">
        <f>IF(A313="","",IF(COUNTIF(A313:A$2001,A313)=1,1,0))</f>
        <v/>
      </c>
      <c r="AM313" s="7" t="str">
        <f t="shared" ca="1" si="13"/>
        <v/>
      </c>
      <c r="AN313" s="7" t="str">
        <f t="shared" si="14"/>
        <v/>
      </c>
      <c r="AO313" s="7" t="str">
        <f t="shared" si="15"/>
        <v/>
      </c>
      <c r="AP313" s="15" t="str">
        <f t="shared" si="16"/>
        <v/>
      </c>
    </row>
    <row r="314" spans="1:42" ht="15" customHeight="1">
      <c r="A314" s="3"/>
      <c r="B314" s="3"/>
      <c r="C314" s="3"/>
      <c r="D314" s="3"/>
      <c r="E314" s="3"/>
      <c r="F314" s="3"/>
      <c r="G314" s="3"/>
      <c r="H314" s="4"/>
      <c r="I314" s="5"/>
      <c r="J314" s="4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6"/>
      <c r="AE314" s="3"/>
      <c r="AF314" s="3"/>
      <c r="AG314" s="3"/>
      <c r="AH314" s="3"/>
      <c r="AI314" s="3"/>
      <c r="AJ314" s="3"/>
      <c r="AK314" s="3"/>
      <c r="AL314" s="7" t="str">
        <f>IF(A314="","",IF(COUNTIF(A314:A$2001,A314)=1,1,0))</f>
        <v/>
      </c>
      <c r="AM314" s="7" t="str">
        <f t="shared" ca="1" si="13"/>
        <v/>
      </c>
      <c r="AN314" s="7" t="str">
        <f t="shared" si="14"/>
        <v/>
      </c>
      <c r="AO314" s="7" t="str">
        <f t="shared" si="15"/>
        <v/>
      </c>
      <c r="AP314" s="15" t="str">
        <f t="shared" si="16"/>
        <v/>
      </c>
    </row>
    <row r="315" spans="1:42" ht="15" customHeight="1">
      <c r="A315" s="3"/>
      <c r="B315" s="3"/>
      <c r="C315" s="3"/>
      <c r="D315" s="3"/>
      <c r="E315" s="3"/>
      <c r="F315" s="3"/>
      <c r="G315" s="3"/>
      <c r="H315" s="4"/>
      <c r="I315" s="5"/>
      <c r="J315" s="4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6"/>
      <c r="AE315" s="3"/>
      <c r="AF315" s="3"/>
      <c r="AG315" s="3"/>
      <c r="AH315" s="3"/>
      <c r="AI315" s="3"/>
      <c r="AJ315" s="3"/>
      <c r="AK315" s="3"/>
      <c r="AL315" s="7" t="str">
        <f>IF(A315="","",IF(COUNTIF(A315:A$2001,A315)=1,1,0))</f>
        <v/>
      </c>
      <c r="AM315" s="7" t="str">
        <f t="shared" ca="1" si="13"/>
        <v/>
      </c>
      <c r="AN315" s="7" t="str">
        <f t="shared" si="14"/>
        <v/>
      </c>
      <c r="AO315" s="7" t="str">
        <f t="shared" si="15"/>
        <v/>
      </c>
      <c r="AP315" s="15" t="str">
        <f t="shared" si="16"/>
        <v/>
      </c>
    </row>
    <row r="316" spans="1:42" ht="15" customHeight="1">
      <c r="A316" s="3"/>
      <c r="B316" s="3"/>
      <c r="C316" s="3"/>
      <c r="D316" s="3"/>
      <c r="E316" s="3"/>
      <c r="F316" s="3"/>
      <c r="G316" s="3"/>
      <c r="H316" s="4"/>
      <c r="I316" s="5"/>
      <c r="J316" s="4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6"/>
      <c r="AE316" s="3"/>
      <c r="AF316" s="6"/>
      <c r="AG316" s="6"/>
      <c r="AH316" s="6"/>
      <c r="AI316" s="3"/>
      <c r="AJ316" s="3"/>
      <c r="AK316" s="3"/>
      <c r="AL316" s="7" t="str">
        <f>IF(A316="","",IF(COUNTIF(A316:A$2001,A316)=1,1,0))</f>
        <v/>
      </c>
      <c r="AM316" s="7" t="str">
        <f t="shared" ca="1" si="13"/>
        <v/>
      </c>
      <c r="AN316" s="7" t="str">
        <f t="shared" si="14"/>
        <v/>
      </c>
      <c r="AO316" s="7" t="str">
        <f t="shared" si="15"/>
        <v/>
      </c>
      <c r="AP316" s="15" t="str">
        <f t="shared" si="16"/>
        <v/>
      </c>
    </row>
    <row r="317" spans="1:42" ht="15" customHeight="1">
      <c r="A317" s="3"/>
      <c r="B317" s="3"/>
      <c r="C317" s="3"/>
      <c r="D317" s="3"/>
      <c r="E317" s="3"/>
      <c r="F317" s="3"/>
      <c r="G317" s="3"/>
      <c r="H317" s="4"/>
      <c r="I317" s="5"/>
      <c r="J317" s="4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6"/>
      <c r="AE317" s="3"/>
      <c r="AF317" s="3"/>
      <c r="AG317" s="3"/>
      <c r="AH317" s="6"/>
      <c r="AI317" s="3"/>
      <c r="AJ317" s="3"/>
      <c r="AK317" s="3"/>
      <c r="AL317" s="7" t="str">
        <f>IF(A317="","",IF(COUNTIF(A317:A$2001,A317)=1,1,0))</f>
        <v/>
      </c>
      <c r="AM317" s="7" t="str">
        <f t="shared" ca="1" si="13"/>
        <v/>
      </c>
      <c r="AN317" s="7" t="str">
        <f t="shared" si="14"/>
        <v/>
      </c>
      <c r="AO317" s="7" t="str">
        <f t="shared" si="15"/>
        <v/>
      </c>
      <c r="AP317" s="15" t="str">
        <f t="shared" si="16"/>
        <v/>
      </c>
    </row>
    <row r="318" spans="1:42" ht="15" customHeight="1">
      <c r="A318" s="3"/>
      <c r="B318" s="3"/>
      <c r="C318" s="3"/>
      <c r="D318" s="3"/>
      <c r="E318" s="3"/>
      <c r="F318" s="3"/>
      <c r="G318" s="3"/>
      <c r="H318" s="4"/>
      <c r="I318" s="5"/>
      <c r="J318" s="4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6"/>
      <c r="AE318" s="3"/>
      <c r="AF318" s="3"/>
      <c r="AG318" s="3"/>
      <c r="AH318" s="3"/>
      <c r="AI318" s="3"/>
      <c r="AJ318" s="3"/>
      <c r="AK318" s="3"/>
      <c r="AL318" s="7" t="str">
        <f>IF(A318="","",IF(COUNTIF(A318:A$2001,A318)=1,1,0))</f>
        <v/>
      </c>
      <c r="AM318" s="7" t="str">
        <f t="shared" ca="1" si="13"/>
        <v/>
      </c>
      <c r="AN318" s="7" t="str">
        <f t="shared" si="14"/>
        <v/>
      </c>
      <c r="AO318" s="7" t="str">
        <f t="shared" si="15"/>
        <v/>
      </c>
      <c r="AP318" s="15" t="str">
        <f t="shared" si="16"/>
        <v/>
      </c>
    </row>
    <row r="319" spans="1:42" ht="15" customHeight="1">
      <c r="A319" s="3"/>
      <c r="B319" s="3"/>
      <c r="C319" s="3"/>
      <c r="D319" s="3"/>
      <c r="E319" s="3"/>
      <c r="F319" s="3"/>
      <c r="G319" s="3"/>
      <c r="H319" s="4"/>
      <c r="I319" s="5"/>
      <c r="J319" s="4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6"/>
      <c r="AE319" s="3"/>
      <c r="AF319" s="3"/>
      <c r="AG319" s="3"/>
      <c r="AH319" s="3"/>
      <c r="AI319" s="3"/>
      <c r="AJ319" s="3"/>
      <c r="AK319" s="3"/>
      <c r="AL319" s="7" t="str">
        <f>IF(A319="","",IF(COUNTIF(A319:A$2001,A319)=1,1,0))</f>
        <v/>
      </c>
      <c r="AM319" s="7" t="str">
        <f t="shared" ca="1" si="13"/>
        <v/>
      </c>
      <c r="AN319" s="7" t="str">
        <f t="shared" si="14"/>
        <v/>
      </c>
      <c r="AO319" s="7" t="str">
        <f t="shared" si="15"/>
        <v/>
      </c>
      <c r="AP319" s="15" t="str">
        <f t="shared" si="16"/>
        <v/>
      </c>
    </row>
    <row r="320" spans="1:42" ht="15" customHeight="1">
      <c r="A320" s="3"/>
      <c r="B320" s="3"/>
      <c r="C320" s="3"/>
      <c r="D320" s="3"/>
      <c r="E320" s="3"/>
      <c r="F320" s="3"/>
      <c r="G320" s="3"/>
      <c r="H320" s="4"/>
      <c r="I320" s="5"/>
      <c r="J320" s="4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6"/>
      <c r="AE320" s="3"/>
      <c r="AF320" s="3"/>
      <c r="AG320" s="3"/>
      <c r="AH320" s="3"/>
      <c r="AI320" s="3"/>
      <c r="AJ320" s="3"/>
      <c r="AK320" s="3"/>
      <c r="AL320" s="7" t="str">
        <f>IF(A320="","",IF(COUNTIF(A320:A$2001,A320)=1,1,0))</f>
        <v/>
      </c>
      <c r="AM320" s="7" t="str">
        <f t="shared" ca="1" si="13"/>
        <v/>
      </c>
      <c r="AN320" s="7" t="str">
        <f t="shared" si="14"/>
        <v/>
      </c>
      <c r="AO320" s="7" t="str">
        <f t="shared" si="15"/>
        <v/>
      </c>
      <c r="AP320" s="15" t="str">
        <f t="shared" si="16"/>
        <v/>
      </c>
    </row>
    <row r="321" spans="1:42" ht="15" customHeight="1">
      <c r="A321" s="3"/>
      <c r="B321" s="3"/>
      <c r="C321" s="3"/>
      <c r="D321" s="3"/>
      <c r="E321" s="3"/>
      <c r="F321" s="3"/>
      <c r="G321" s="3"/>
      <c r="H321" s="4"/>
      <c r="I321" s="5"/>
      <c r="J321" s="4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6"/>
      <c r="AE321" s="3"/>
      <c r="AF321" s="3"/>
      <c r="AG321" s="3"/>
      <c r="AH321" s="6"/>
      <c r="AI321" s="3"/>
      <c r="AJ321" s="3"/>
      <c r="AK321" s="3"/>
      <c r="AL321" s="7" t="str">
        <f>IF(A321="","",IF(COUNTIF(A321:A$2001,A321)=1,1,0))</f>
        <v/>
      </c>
      <c r="AM321" s="7" t="str">
        <f t="shared" ca="1" si="13"/>
        <v/>
      </c>
      <c r="AN321" s="7" t="str">
        <f t="shared" si="14"/>
        <v/>
      </c>
      <c r="AO321" s="7" t="str">
        <f t="shared" si="15"/>
        <v/>
      </c>
      <c r="AP321" s="15" t="str">
        <f t="shared" si="16"/>
        <v/>
      </c>
    </row>
    <row r="322" spans="1:42" ht="15" customHeight="1">
      <c r="A322" s="3"/>
      <c r="B322" s="3"/>
      <c r="C322" s="3"/>
      <c r="D322" s="3"/>
      <c r="E322" s="3"/>
      <c r="F322" s="3"/>
      <c r="G322" s="3"/>
      <c r="H322" s="4"/>
      <c r="I322" s="5"/>
      <c r="J322" s="3"/>
      <c r="K322" s="3"/>
      <c r="L322" s="3"/>
      <c r="M322" s="3"/>
      <c r="N322" s="3"/>
      <c r="O322" s="3"/>
      <c r="P322" s="6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6"/>
      <c r="AE322" s="3"/>
      <c r="AF322" s="3"/>
      <c r="AG322" s="3"/>
      <c r="AH322" s="6"/>
      <c r="AI322" s="3"/>
      <c r="AJ322" s="3"/>
      <c r="AK322" s="3"/>
      <c r="AL322" s="7" t="str">
        <f>IF(A322="","",IF(COUNTIF(A322:A$2001,A322)=1,1,0))</f>
        <v/>
      </c>
      <c r="AM322" s="7" t="str">
        <f t="shared" ref="AM322:AM385" ca="1" si="17">IF(I322="","",TODAY()-I322)</f>
        <v/>
      </c>
      <c r="AN322" s="7" t="str">
        <f t="shared" ref="AN322:AN385" si="18">IF(A322="","",IF(AND(E322&lt;&gt;"33 確認済",E322&lt;&gt;"36 送付中"),1,0))</f>
        <v/>
      </c>
      <c r="AO322" s="7" t="str">
        <f t="shared" ref="AO322:AO385" si="19">IF(A322="","",IF(AG322&lt;&gt;"",1,0))</f>
        <v/>
      </c>
      <c r="AP322" s="15" t="str">
        <f t="shared" ref="AP322:AP385" si="20">IF(P322&lt;&gt;"","・添待ち","")&amp;IF(Q322&lt;&gt;"","・住民票","")&amp;IF(R322&lt;&gt;"","・発信","")&amp;IF(S322&lt;&gt;"","・確認事項","")&amp;IF(T322&lt;&gt;"","・管","")&amp;IF(U322&lt;&gt;"","・SV","")&amp;IF(V322&lt;&gt;"","・データ送付待ち","")&amp;IF(W322&lt;&gt;"","・削除","")</f>
        <v/>
      </c>
    </row>
    <row r="323" spans="1:42" ht="15" customHeight="1">
      <c r="A323" s="3"/>
      <c r="B323" s="3"/>
      <c r="C323" s="3"/>
      <c r="D323" s="3"/>
      <c r="E323" s="3"/>
      <c r="F323" s="3"/>
      <c r="G323" s="3"/>
      <c r="H323" s="4"/>
      <c r="I323" s="5"/>
      <c r="J323" s="3"/>
      <c r="K323" s="3"/>
      <c r="L323" s="3"/>
      <c r="M323" s="3"/>
      <c r="N323" s="3"/>
      <c r="O323" s="3"/>
      <c r="P323" s="6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6"/>
      <c r="AE323" s="3"/>
      <c r="AF323" s="6"/>
      <c r="AG323" s="6"/>
      <c r="AH323" s="6"/>
      <c r="AI323" s="3"/>
      <c r="AJ323" s="3"/>
      <c r="AK323" s="3"/>
      <c r="AL323" s="7" t="str">
        <f>IF(A323="","",IF(COUNTIF(A323:A$2001,A323)=1,1,0))</f>
        <v/>
      </c>
      <c r="AM323" s="7" t="str">
        <f t="shared" ca="1" si="17"/>
        <v/>
      </c>
      <c r="AN323" s="7" t="str">
        <f t="shared" si="18"/>
        <v/>
      </c>
      <c r="AO323" s="7" t="str">
        <f t="shared" si="19"/>
        <v/>
      </c>
      <c r="AP323" s="15" t="str">
        <f t="shared" si="20"/>
        <v/>
      </c>
    </row>
    <row r="324" spans="1:42" ht="15" customHeight="1">
      <c r="A324" s="3"/>
      <c r="B324" s="3"/>
      <c r="C324" s="3"/>
      <c r="D324" s="3"/>
      <c r="E324" s="3"/>
      <c r="F324" s="3"/>
      <c r="G324" s="3"/>
      <c r="H324" s="4"/>
      <c r="I324" s="5"/>
      <c r="J324" s="3"/>
      <c r="K324" s="3"/>
      <c r="L324" s="3"/>
      <c r="M324" s="3"/>
      <c r="N324" s="3"/>
      <c r="O324" s="3"/>
      <c r="P324" s="6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6"/>
      <c r="AE324" s="3"/>
      <c r="AF324" s="6"/>
      <c r="AG324" s="6"/>
      <c r="AH324" s="6"/>
      <c r="AI324" s="3"/>
      <c r="AJ324" s="3"/>
      <c r="AK324" s="3"/>
      <c r="AL324" s="7" t="str">
        <f>IF(A324="","",IF(COUNTIF(A324:A$2001,A324)=1,1,0))</f>
        <v/>
      </c>
      <c r="AM324" s="7" t="str">
        <f t="shared" ca="1" si="17"/>
        <v/>
      </c>
      <c r="AN324" s="7" t="str">
        <f t="shared" si="18"/>
        <v/>
      </c>
      <c r="AO324" s="7" t="str">
        <f t="shared" si="19"/>
        <v/>
      </c>
      <c r="AP324" s="15" t="str">
        <f t="shared" si="20"/>
        <v/>
      </c>
    </row>
    <row r="325" spans="1:42" ht="15" customHeight="1">
      <c r="A325" s="3"/>
      <c r="B325" s="3"/>
      <c r="C325" s="3"/>
      <c r="D325" s="3"/>
      <c r="E325" s="3"/>
      <c r="F325" s="3"/>
      <c r="G325" s="3"/>
      <c r="H325" s="4"/>
      <c r="I325" s="5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6"/>
      <c r="AE325" s="3"/>
      <c r="AF325" s="3"/>
      <c r="AG325" s="3"/>
      <c r="AH325" s="6"/>
      <c r="AI325" s="3"/>
      <c r="AJ325" s="3"/>
      <c r="AK325" s="3"/>
      <c r="AL325" s="7" t="str">
        <f>IF(A325="","",IF(COUNTIF(A325:A$2001,A325)=1,1,0))</f>
        <v/>
      </c>
      <c r="AM325" s="7" t="str">
        <f t="shared" ca="1" si="17"/>
        <v/>
      </c>
      <c r="AN325" s="7" t="str">
        <f t="shared" si="18"/>
        <v/>
      </c>
      <c r="AO325" s="7" t="str">
        <f t="shared" si="19"/>
        <v/>
      </c>
      <c r="AP325" s="15" t="str">
        <f t="shared" si="20"/>
        <v/>
      </c>
    </row>
    <row r="326" spans="1:42" ht="15" customHeight="1">
      <c r="A326" s="3"/>
      <c r="B326" s="3"/>
      <c r="C326" s="3"/>
      <c r="D326" s="3"/>
      <c r="E326" s="3"/>
      <c r="F326" s="3"/>
      <c r="G326" s="3"/>
      <c r="H326" s="4"/>
      <c r="I326" s="5"/>
      <c r="J326" s="4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6"/>
      <c r="AE326" s="3"/>
      <c r="AF326" s="3"/>
      <c r="AG326" s="3"/>
      <c r="AH326" s="3"/>
      <c r="AI326" s="3"/>
      <c r="AJ326" s="3"/>
      <c r="AK326" s="3"/>
      <c r="AL326" s="7" t="str">
        <f>IF(A326="","",IF(COUNTIF(A326:A$2001,A326)=1,1,0))</f>
        <v/>
      </c>
      <c r="AM326" s="7" t="str">
        <f t="shared" ca="1" si="17"/>
        <v/>
      </c>
      <c r="AN326" s="7" t="str">
        <f t="shared" si="18"/>
        <v/>
      </c>
      <c r="AO326" s="7" t="str">
        <f t="shared" si="19"/>
        <v/>
      </c>
      <c r="AP326" s="15" t="str">
        <f t="shared" si="20"/>
        <v/>
      </c>
    </row>
    <row r="327" spans="1:42" ht="15" customHeight="1">
      <c r="A327" s="3"/>
      <c r="B327" s="3"/>
      <c r="C327" s="3"/>
      <c r="D327" s="3"/>
      <c r="E327" s="3"/>
      <c r="F327" s="3"/>
      <c r="G327" s="3"/>
      <c r="H327" s="4"/>
      <c r="I327" s="5"/>
      <c r="J327" s="3"/>
      <c r="K327" s="3"/>
      <c r="L327" s="3"/>
      <c r="M327" s="3"/>
      <c r="N327" s="3"/>
      <c r="O327" s="3"/>
      <c r="P327" s="6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6"/>
      <c r="AE327" s="3"/>
      <c r="AF327" s="6"/>
      <c r="AG327" s="6"/>
      <c r="AH327" s="3"/>
      <c r="AI327" s="3"/>
      <c r="AJ327" s="3"/>
      <c r="AK327" s="3"/>
      <c r="AL327" s="7" t="str">
        <f>IF(A327="","",IF(COUNTIF(A327:A$2001,A327)=1,1,0))</f>
        <v/>
      </c>
      <c r="AM327" s="7" t="str">
        <f t="shared" ca="1" si="17"/>
        <v/>
      </c>
      <c r="AN327" s="7" t="str">
        <f t="shared" si="18"/>
        <v/>
      </c>
      <c r="AO327" s="7" t="str">
        <f t="shared" si="19"/>
        <v/>
      </c>
      <c r="AP327" s="15" t="str">
        <f t="shared" si="20"/>
        <v/>
      </c>
    </row>
    <row r="328" spans="1:42" ht="15" customHeight="1">
      <c r="A328" s="3"/>
      <c r="B328" s="3"/>
      <c r="C328" s="3"/>
      <c r="D328" s="3"/>
      <c r="E328" s="3"/>
      <c r="F328" s="3"/>
      <c r="G328" s="3"/>
      <c r="H328" s="4"/>
      <c r="I328" s="5"/>
      <c r="J328" s="3"/>
      <c r="K328" s="3"/>
      <c r="L328" s="3"/>
      <c r="M328" s="3"/>
      <c r="N328" s="3"/>
      <c r="O328" s="3"/>
      <c r="P328" s="6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6"/>
      <c r="AE328" s="3"/>
      <c r="AF328" s="6"/>
      <c r="AG328" s="6"/>
      <c r="AH328" s="6"/>
      <c r="AI328" s="3"/>
      <c r="AJ328" s="3"/>
      <c r="AK328" s="3"/>
      <c r="AL328" s="7" t="str">
        <f>IF(A328="","",IF(COUNTIF(A328:A$2001,A328)=1,1,0))</f>
        <v/>
      </c>
      <c r="AM328" s="7" t="str">
        <f t="shared" ca="1" si="17"/>
        <v/>
      </c>
      <c r="AN328" s="7" t="str">
        <f t="shared" si="18"/>
        <v/>
      </c>
      <c r="AO328" s="7" t="str">
        <f t="shared" si="19"/>
        <v/>
      </c>
      <c r="AP328" s="15" t="str">
        <f t="shared" si="20"/>
        <v/>
      </c>
    </row>
    <row r="329" spans="1:42" ht="15" customHeight="1">
      <c r="A329" s="3"/>
      <c r="B329" s="3"/>
      <c r="C329" s="3"/>
      <c r="D329" s="3"/>
      <c r="E329" s="3"/>
      <c r="F329" s="3"/>
      <c r="G329" s="3"/>
      <c r="H329" s="4"/>
      <c r="I329" s="5"/>
      <c r="J329" s="3"/>
      <c r="K329" s="3"/>
      <c r="L329" s="3"/>
      <c r="M329" s="3"/>
      <c r="N329" s="3"/>
      <c r="O329" s="3"/>
      <c r="P329" s="6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6"/>
      <c r="AE329" s="3"/>
      <c r="AF329" s="3"/>
      <c r="AG329" s="3"/>
      <c r="AH329" s="6"/>
      <c r="AI329" s="3"/>
      <c r="AJ329" s="3"/>
      <c r="AK329" s="3"/>
      <c r="AL329" s="7" t="str">
        <f>IF(A329="","",IF(COUNTIF(A329:A$2001,A329)=1,1,0))</f>
        <v/>
      </c>
      <c r="AM329" s="7" t="str">
        <f t="shared" ca="1" si="17"/>
        <v/>
      </c>
      <c r="AN329" s="7" t="str">
        <f t="shared" si="18"/>
        <v/>
      </c>
      <c r="AO329" s="7" t="str">
        <f t="shared" si="19"/>
        <v/>
      </c>
      <c r="AP329" s="15" t="str">
        <f t="shared" si="20"/>
        <v/>
      </c>
    </row>
    <row r="330" spans="1:42" ht="15" customHeight="1">
      <c r="A330" s="3"/>
      <c r="B330" s="3"/>
      <c r="C330" s="3"/>
      <c r="D330" s="3"/>
      <c r="E330" s="3"/>
      <c r="F330" s="3"/>
      <c r="G330" s="3"/>
      <c r="H330" s="4"/>
      <c r="I330" s="5"/>
      <c r="J330" s="3"/>
      <c r="K330" s="3"/>
      <c r="L330" s="3"/>
      <c r="M330" s="3"/>
      <c r="N330" s="3"/>
      <c r="O330" s="3"/>
      <c r="P330" s="6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6"/>
      <c r="AE330" s="3"/>
      <c r="AF330" s="6"/>
      <c r="AG330" s="6"/>
      <c r="AH330" s="6"/>
      <c r="AI330" s="3"/>
      <c r="AJ330" s="3"/>
      <c r="AK330" s="3"/>
      <c r="AL330" s="7" t="str">
        <f>IF(A330="","",IF(COUNTIF(A330:A$2001,A330)=1,1,0))</f>
        <v/>
      </c>
      <c r="AM330" s="7" t="str">
        <f t="shared" ca="1" si="17"/>
        <v/>
      </c>
      <c r="AN330" s="7" t="str">
        <f t="shared" si="18"/>
        <v/>
      </c>
      <c r="AO330" s="7" t="str">
        <f t="shared" si="19"/>
        <v/>
      </c>
      <c r="AP330" s="15" t="str">
        <f t="shared" si="20"/>
        <v/>
      </c>
    </row>
    <row r="331" spans="1:42" ht="15" customHeight="1">
      <c r="A331" s="3"/>
      <c r="B331" s="3"/>
      <c r="C331" s="3"/>
      <c r="D331" s="3"/>
      <c r="E331" s="3"/>
      <c r="F331" s="3"/>
      <c r="G331" s="3"/>
      <c r="H331" s="4"/>
      <c r="I331" s="5"/>
      <c r="J331" s="4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6"/>
      <c r="AE331" s="3"/>
      <c r="AF331" s="3"/>
      <c r="AG331" s="3"/>
      <c r="AH331" s="6"/>
      <c r="AI331" s="3"/>
      <c r="AJ331" s="3"/>
      <c r="AK331" s="3"/>
      <c r="AL331" s="7" t="str">
        <f>IF(A331="","",IF(COUNTIF(A331:A$2001,A331)=1,1,0))</f>
        <v/>
      </c>
      <c r="AM331" s="7" t="str">
        <f t="shared" ca="1" si="17"/>
        <v/>
      </c>
      <c r="AN331" s="7" t="str">
        <f t="shared" si="18"/>
        <v/>
      </c>
      <c r="AO331" s="7" t="str">
        <f t="shared" si="19"/>
        <v/>
      </c>
      <c r="AP331" s="15" t="str">
        <f t="shared" si="20"/>
        <v/>
      </c>
    </row>
    <row r="332" spans="1:42" ht="15" customHeight="1">
      <c r="A332" s="3"/>
      <c r="B332" s="3"/>
      <c r="C332" s="3"/>
      <c r="D332" s="3"/>
      <c r="E332" s="3"/>
      <c r="F332" s="3"/>
      <c r="G332" s="3"/>
      <c r="H332" s="4"/>
      <c r="I332" s="5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6"/>
      <c r="AE332" s="3"/>
      <c r="AF332" s="3"/>
      <c r="AG332" s="3"/>
      <c r="AH332" s="6"/>
      <c r="AI332" s="3"/>
      <c r="AJ332" s="3"/>
      <c r="AK332" s="3"/>
      <c r="AL332" s="7" t="str">
        <f>IF(A332="","",IF(COUNTIF(A332:A$2001,A332)=1,1,0))</f>
        <v/>
      </c>
      <c r="AM332" s="7" t="str">
        <f t="shared" ca="1" si="17"/>
        <v/>
      </c>
      <c r="AN332" s="7" t="str">
        <f t="shared" si="18"/>
        <v/>
      </c>
      <c r="AO332" s="7" t="str">
        <f t="shared" si="19"/>
        <v/>
      </c>
      <c r="AP332" s="15" t="str">
        <f t="shared" si="20"/>
        <v/>
      </c>
    </row>
    <row r="333" spans="1:42" ht="15" customHeight="1">
      <c r="A333" s="3"/>
      <c r="B333" s="3"/>
      <c r="C333" s="3"/>
      <c r="D333" s="3"/>
      <c r="E333" s="3"/>
      <c r="F333" s="3"/>
      <c r="G333" s="3"/>
      <c r="H333" s="4"/>
      <c r="I333" s="5"/>
      <c r="J333" s="4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6"/>
      <c r="AE333" s="3"/>
      <c r="AF333" s="3"/>
      <c r="AG333" s="3"/>
      <c r="AH333" s="3"/>
      <c r="AI333" s="3"/>
      <c r="AJ333" s="3"/>
      <c r="AK333" s="3"/>
      <c r="AL333" s="7" t="str">
        <f>IF(A333="","",IF(COUNTIF(A333:A$2001,A333)=1,1,0))</f>
        <v/>
      </c>
      <c r="AM333" s="7" t="str">
        <f t="shared" ca="1" si="17"/>
        <v/>
      </c>
      <c r="AN333" s="7" t="str">
        <f t="shared" si="18"/>
        <v/>
      </c>
      <c r="AO333" s="7" t="str">
        <f t="shared" si="19"/>
        <v/>
      </c>
      <c r="AP333" s="15" t="str">
        <f t="shared" si="20"/>
        <v/>
      </c>
    </row>
    <row r="334" spans="1:42" ht="15" customHeight="1">
      <c r="A334" s="3"/>
      <c r="B334" s="3"/>
      <c r="C334" s="3"/>
      <c r="D334" s="3"/>
      <c r="E334" s="3"/>
      <c r="F334" s="3"/>
      <c r="G334" s="3"/>
      <c r="H334" s="4"/>
      <c r="I334" s="5"/>
      <c r="J334" s="4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6"/>
      <c r="AE334" s="3"/>
      <c r="AF334" s="3"/>
      <c r="AG334" s="3"/>
      <c r="AH334" s="3"/>
      <c r="AI334" s="3"/>
      <c r="AJ334" s="3"/>
      <c r="AK334" s="3"/>
      <c r="AL334" s="7" t="str">
        <f>IF(A334="","",IF(COUNTIF(A334:A$2001,A334)=1,1,0))</f>
        <v/>
      </c>
      <c r="AM334" s="7" t="str">
        <f t="shared" ca="1" si="17"/>
        <v/>
      </c>
      <c r="AN334" s="7" t="str">
        <f t="shared" si="18"/>
        <v/>
      </c>
      <c r="AO334" s="7" t="str">
        <f t="shared" si="19"/>
        <v/>
      </c>
      <c r="AP334" s="15" t="str">
        <f t="shared" si="20"/>
        <v/>
      </c>
    </row>
    <row r="335" spans="1:42" ht="15" customHeight="1">
      <c r="A335" s="3"/>
      <c r="B335" s="3"/>
      <c r="C335" s="3"/>
      <c r="D335" s="3"/>
      <c r="E335" s="3"/>
      <c r="F335" s="3"/>
      <c r="G335" s="3"/>
      <c r="H335" s="3"/>
      <c r="I335" s="5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6"/>
      <c r="AE335" s="3"/>
      <c r="AF335" s="3"/>
      <c r="AG335" s="3"/>
      <c r="AH335" s="3"/>
      <c r="AI335" s="3"/>
      <c r="AJ335" s="6"/>
      <c r="AK335" s="3"/>
      <c r="AL335" s="7" t="str">
        <f>IF(A335="","",IF(COUNTIF(A335:A$2001,A335)=1,1,0))</f>
        <v/>
      </c>
      <c r="AM335" s="7" t="str">
        <f t="shared" ca="1" si="17"/>
        <v/>
      </c>
      <c r="AN335" s="7" t="str">
        <f t="shared" si="18"/>
        <v/>
      </c>
      <c r="AO335" s="7" t="str">
        <f t="shared" si="19"/>
        <v/>
      </c>
      <c r="AP335" s="15" t="str">
        <f t="shared" si="20"/>
        <v/>
      </c>
    </row>
    <row r="336" spans="1:42" ht="15" customHeight="1">
      <c r="A336" s="3"/>
      <c r="B336" s="3"/>
      <c r="C336" s="3"/>
      <c r="D336" s="3"/>
      <c r="E336" s="3"/>
      <c r="F336" s="3"/>
      <c r="G336" s="3"/>
      <c r="H336" s="4"/>
      <c r="I336" s="5"/>
      <c r="J336" s="4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6"/>
      <c r="AE336" s="3"/>
      <c r="AF336" s="3"/>
      <c r="AG336" s="3"/>
      <c r="AH336" s="3"/>
      <c r="AI336" s="3"/>
      <c r="AJ336" s="3"/>
      <c r="AK336" s="3"/>
      <c r="AL336" s="7" t="str">
        <f>IF(A336="","",IF(COUNTIF(A336:A$2001,A336)=1,1,0))</f>
        <v/>
      </c>
      <c r="AM336" s="7" t="str">
        <f t="shared" ca="1" si="17"/>
        <v/>
      </c>
      <c r="AN336" s="7" t="str">
        <f t="shared" si="18"/>
        <v/>
      </c>
      <c r="AO336" s="7" t="str">
        <f t="shared" si="19"/>
        <v/>
      </c>
      <c r="AP336" s="15" t="str">
        <f t="shared" si="20"/>
        <v/>
      </c>
    </row>
    <row r="337" spans="1:42" ht="15" customHeight="1">
      <c r="A337" s="3"/>
      <c r="B337" s="3"/>
      <c r="C337" s="3"/>
      <c r="D337" s="3"/>
      <c r="E337" s="3"/>
      <c r="F337" s="3"/>
      <c r="G337" s="3"/>
      <c r="H337" s="4"/>
      <c r="I337" s="5"/>
      <c r="J337" s="4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6"/>
      <c r="AE337" s="3"/>
      <c r="AF337" s="3"/>
      <c r="AG337" s="3"/>
      <c r="AH337" s="3"/>
      <c r="AI337" s="3"/>
      <c r="AJ337" s="3"/>
      <c r="AK337" s="3"/>
      <c r="AL337" s="7" t="str">
        <f>IF(A337="","",IF(COUNTIF(A337:A$2001,A337)=1,1,0))</f>
        <v/>
      </c>
      <c r="AM337" s="7" t="str">
        <f t="shared" ca="1" si="17"/>
        <v/>
      </c>
      <c r="AN337" s="7" t="str">
        <f t="shared" si="18"/>
        <v/>
      </c>
      <c r="AO337" s="7" t="str">
        <f t="shared" si="19"/>
        <v/>
      </c>
      <c r="AP337" s="15" t="str">
        <f t="shared" si="20"/>
        <v/>
      </c>
    </row>
    <row r="338" spans="1:42" ht="15" customHeight="1">
      <c r="A338" s="3"/>
      <c r="B338" s="3"/>
      <c r="C338" s="3"/>
      <c r="D338" s="3"/>
      <c r="E338" s="3"/>
      <c r="F338" s="3"/>
      <c r="G338" s="3"/>
      <c r="H338" s="4"/>
      <c r="I338" s="5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6"/>
      <c r="AE338" s="3"/>
      <c r="AF338" s="3"/>
      <c r="AG338" s="3"/>
      <c r="AH338" s="3"/>
      <c r="AI338" s="3"/>
      <c r="AJ338" s="3"/>
      <c r="AK338" s="3"/>
      <c r="AL338" s="7" t="str">
        <f>IF(A338="","",IF(COUNTIF(A338:A$2001,A338)=1,1,0))</f>
        <v/>
      </c>
      <c r="AM338" s="7" t="str">
        <f t="shared" ca="1" si="17"/>
        <v/>
      </c>
      <c r="AN338" s="7" t="str">
        <f t="shared" si="18"/>
        <v/>
      </c>
      <c r="AO338" s="7" t="str">
        <f t="shared" si="19"/>
        <v/>
      </c>
      <c r="AP338" s="15" t="str">
        <f t="shared" si="20"/>
        <v/>
      </c>
    </row>
    <row r="339" spans="1:42" ht="15" customHeight="1">
      <c r="A339" s="3"/>
      <c r="B339" s="3"/>
      <c r="C339" s="3"/>
      <c r="D339" s="3"/>
      <c r="E339" s="3"/>
      <c r="F339" s="3"/>
      <c r="G339" s="3"/>
      <c r="H339" s="4"/>
      <c r="I339" s="5"/>
      <c r="J339" s="4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6"/>
      <c r="AE339" s="3"/>
      <c r="AF339" s="3"/>
      <c r="AG339" s="3"/>
      <c r="AH339" s="6"/>
      <c r="AI339" s="3"/>
      <c r="AJ339" s="3"/>
      <c r="AK339" s="3"/>
      <c r="AL339" s="7" t="str">
        <f>IF(A339="","",IF(COUNTIF(A339:A$2001,A339)=1,1,0))</f>
        <v/>
      </c>
      <c r="AM339" s="7" t="str">
        <f t="shared" ca="1" si="17"/>
        <v/>
      </c>
      <c r="AN339" s="7" t="str">
        <f t="shared" si="18"/>
        <v/>
      </c>
      <c r="AO339" s="7" t="str">
        <f t="shared" si="19"/>
        <v/>
      </c>
      <c r="AP339" s="15" t="str">
        <f t="shared" si="20"/>
        <v/>
      </c>
    </row>
    <row r="340" spans="1:42" ht="15" customHeight="1">
      <c r="A340" s="3"/>
      <c r="B340" s="3"/>
      <c r="C340" s="3"/>
      <c r="D340" s="3"/>
      <c r="E340" s="3"/>
      <c r="F340" s="3"/>
      <c r="G340" s="3"/>
      <c r="H340" s="4"/>
      <c r="I340" s="5"/>
      <c r="J340" s="4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6"/>
      <c r="AE340" s="3"/>
      <c r="AF340" s="3"/>
      <c r="AG340" s="3"/>
      <c r="AH340" s="3"/>
      <c r="AI340" s="3"/>
      <c r="AJ340" s="3"/>
      <c r="AK340" s="3"/>
      <c r="AL340" s="7" t="str">
        <f>IF(A340="","",IF(COUNTIF(A340:A$2001,A340)=1,1,0))</f>
        <v/>
      </c>
      <c r="AM340" s="7" t="str">
        <f t="shared" ca="1" si="17"/>
        <v/>
      </c>
      <c r="AN340" s="7" t="str">
        <f t="shared" si="18"/>
        <v/>
      </c>
      <c r="AO340" s="7" t="str">
        <f t="shared" si="19"/>
        <v/>
      </c>
      <c r="AP340" s="15" t="str">
        <f t="shared" si="20"/>
        <v/>
      </c>
    </row>
    <row r="341" spans="1:42" ht="15" customHeight="1">
      <c r="A341" s="3"/>
      <c r="B341" s="3"/>
      <c r="C341" s="3"/>
      <c r="D341" s="3"/>
      <c r="E341" s="3"/>
      <c r="F341" s="3"/>
      <c r="G341" s="3"/>
      <c r="H341" s="4"/>
      <c r="I341" s="5"/>
      <c r="J341" s="4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6"/>
      <c r="AE341" s="3"/>
      <c r="AF341" s="3"/>
      <c r="AG341" s="3"/>
      <c r="AH341" s="3"/>
      <c r="AI341" s="3"/>
      <c r="AJ341" s="3"/>
      <c r="AK341" s="3"/>
      <c r="AL341" s="7" t="str">
        <f>IF(A341="","",IF(COUNTIF(A341:A$2001,A341)=1,1,0))</f>
        <v/>
      </c>
      <c r="AM341" s="7" t="str">
        <f t="shared" ca="1" si="17"/>
        <v/>
      </c>
      <c r="AN341" s="7" t="str">
        <f t="shared" si="18"/>
        <v/>
      </c>
      <c r="AO341" s="7" t="str">
        <f t="shared" si="19"/>
        <v/>
      </c>
      <c r="AP341" s="15" t="str">
        <f t="shared" si="20"/>
        <v/>
      </c>
    </row>
    <row r="342" spans="1:42" ht="15" customHeight="1">
      <c r="A342" s="3"/>
      <c r="B342" s="3"/>
      <c r="C342" s="3"/>
      <c r="D342" s="3"/>
      <c r="E342" s="3"/>
      <c r="F342" s="3"/>
      <c r="G342" s="3"/>
      <c r="H342" s="4"/>
      <c r="I342" s="5"/>
      <c r="J342" s="4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6"/>
      <c r="AE342" s="3"/>
      <c r="AF342" s="3"/>
      <c r="AG342" s="3"/>
      <c r="AH342" s="6"/>
      <c r="AI342" s="3"/>
      <c r="AJ342" s="3"/>
      <c r="AK342" s="3"/>
      <c r="AL342" s="7" t="str">
        <f>IF(A342="","",IF(COUNTIF(A342:A$2001,A342)=1,1,0))</f>
        <v/>
      </c>
      <c r="AM342" s="7" t="str">
        <f t="shared" ca="1" si="17"/>
        <v/>
      </c>
      <c r="AN342" s="7" t="str">
        <f t="shared" si="18"/>
        <v/>
      </c>
      <c r="AO342" s="7" t="str">
        <f t="shared" si="19"/>
        <v/>
      </c>
      <c r="AP342" s="15" t="str">
        <f t="shared" si="20"/>
        <v/>
      </c>
    </row>
    <row r="343" spans="1:42" ht="15" customHeight="1">
      <c r="A343" s="3"/>
      <c r="B343" s="3"/>
      <c r="C343" s="3"/>
      <c r="D343" s="3"/>
      <c r="E343" s="3"/>
      <c r="F343" s="3"/>
      <c r="G343" s="3"/>
      <c r="H343" s="4"/>
      <c r="I343" s="5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6"/>
      <c r="AE343" s="3"/>
      <c r="AF343" s="3"/>
      <c r="AG343" s="3"/>
      <c r="AH343" s="6"/>
      <c r="AI343" s="3"/>
      <c r="AJ343" s="3"/>
      <c r="AK343" s="3"/>
      <c r="AL343" s="7" t="str">
        <f>IF(A343="","",IF(COUNTIF(A343:A$2001,A343)=1,1,0))</f>
        <v/>
      </c>
      <c r="AM343" s="7" t="str">
        <f t="shared" ca="1" si="17"/>
        <v/>
      </c>
      <c r="AN343" s="7" t="str">
        <f t="shared" si="18"/>
        <v/>
      </c>
      <c r="AO343" s="7" t="str">
        <f t="shared" si="19"/>
        <v/>
      </c>
      <c r="AP343" s="15" t="str">
        <f t="shared" si="20"/>
        <v/>
      </c>
    </row>
    <row r="344" spans="1:42" ht="15" customHeight="1">
      <c r="A344" s="3"/>
      <c r="B344" s="3"/>
      <c r="C344" s="3"/>
      <c r="D344" s="3"/>
      <c r="E344" s="3"/>
      <c r="F344" s="3"/>
      <c r="G344" s="3"/>
      <c r="H344" s="4"/>
      <c r="I344" s="5"/>
      <c r="J344" s="4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6"/>
      <c r="AE344" s="3"/>
      <c r="AF344" s="3"/>
      <c r="AG344" s="3"/>
      <c r="AH344" s="6"/>
      <c r="AI344" s="3"/>
      <c r="AJ344" s="3"/>
      <c r="AK344" s="3"/>
      <c r="AL344" s="7" t="str">
        <f>IF(A344="","",IF(COUNTIF(A344:A$2001,A344)=1,1,0))</f>
        <v/>
      </c>
      <c r="AM344" s="7" t="str">
        <f t="shared" ca="1" si="17"/>
        <v/>
      </c>
      <c r="AN344" s="7" t="str">
        <f t="shared" si="18"/>
        <v/>
      </c>
      <c r="AO344" s="7" t="str">
        <f t="shared" si="19"/>
        <v/>
      </c>
      <c r="AP344" s="15" t="str">
        <f t="shared" si="20"/>
        <v/>
      </c>
    </row>
    <row r="345" spans="1:42" ht="15" customHeight="1">
      <c r="A345" s="3"/>
      <c r="B345" s="3"/>
      <c r="C345" s="3"/>
      <c r="D345" s="3"/>
      <c r="E345" s="3"/>
      <c r="F345" s="3"/>
      <c r="G345" s="3"/>
      <c r="H345" s="4"/>
      <c r="I345" s="5"/>
      <c r="J345" s="4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6"/>
      <c r="AE345" s="3"/>
      <c r="AF345" s="3"/>
      <c r="AG345" s="3"/>
      <c r="AH345" s="3"/>
      <c r="AI345" s="3"/>
      <c r="AJ345" s="3"/>
      <c r="AK345" s="3"/>
      <c r="AL345" s="7" t="str">
        <f>IF(A345="","",IF(COUNTIF(A345:A$2001,A345)=1,1,0))</f>
        <v/>
      </c>
      <c r="AM345" s="7" t="str">
        <f t="shared" ca="1" si="17"/>
        <v/>
      </c>
      <c r="AN345" s="7" t="str">
        <f t="shared" si="18"/>
        <v/>
      </c>
      <c r="AO345" s="7" t="str">
        <f t="shared" si="19"/>
        <v/>
      </c>
      <c r="AP345" s="15" t="str">
        <f t="shared" si="20"/>
        <v/>
      </c>
    </row>
    <row r="346" spans="1:42" ht="15" customHeight="1">
      <c r="A346" s="3"/>
      <c r="B346" s="3"/>
      <c r="C346" s="3"/>
      <c r="D346" s="3"/>
      <c r="E346" s="3"/>
      <c r="F346" s="3"/>
      <c r="G346" s="3"/>
      <c r="H346" s="4"/>
      <c r="I346" s="5"/>
      <c r="J346" s="4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6"/>
      <c r="AE346" s="3"/>
      <c r="AF346" s="3"/>
      <c r="AG346" s="3"/>
      <c r="AH346" s="3"/>
      <c r="AI346" s="3"/>
      <c r="AJ346" s="3"/>
      <c r="AK346" s="3"/>
      <c r="AL346" s="7" t="str">
        <f>IF(A346="","",IF(COUNTIF(A346:A$2001,A346)=1,1,0))</f>
        <v/>
      </c>
      <c r="AM346" s="7" t="str">
        <f t="shared" ca="1" si="17"/>
        <v/>
      </c>
      <c r="AN346" s="7" t="str">
        <f t="shared" si="18"/>
        <v/>
      </c>
      <c r="AO346" s="7" t="str">
        <f t="shared" si="19"/>
        <v/>
      </c>
      <c r="AP346" s="15" t="str">
        <f t="shared" si="20"/>
        <v/>
      </c>
    </row>
    <row r="347" spans="1:42" ht="15" customHeight="1">
      <c r="A347" s="3"/>
      <c r="B347" s="3"/>
      <c r="C347" s="3"/>
      <c r="D347" s="3"/>
      <c r="E347" s="3"/>
      <c r="F347" s="3"/>
      <c r="G347" s="3"/>
      <c r="H347" s="4"/>
      <c r="I347" s="5"/>
      <c r="J347" s="4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6"/>
      <c r="AE347" s="3"/>
      <c r="AF347" s="3"/>
      <c r="AG347" s="3"/>
      <c r="AH347" s="6"/>
      <c r="AI347" s="3"/>
      <c r="AJ347" s="3"/>
      <c r="AK347" s="3"/>
      <c r="AL347" s="7" t="str">
        <f>IF(A347="","",IF(COUNTIF(A347:A$2001,A347)=1,1,0))</f>
        <v/>
      </c>
      <c r="AM347" s="7" t="str">
        <f t="shared" ca="1" si="17"/>
        <v/>
      </c>
      <c r="AN347" s="7" t="str">
        <f t="shared" si="18"/>
        <v/>
      </c>
      <c r="AO347" s="7" t="str">
        <f t="shared" si="19"/>
        <v/>
      </c>
      <c r="AP347" s="15" t="str">
        <f t="shared" si="20"/>
        <v/>
      </c>
    </row>
    <row r="348" spans="1:42" ht="15" customHeight="1">
      <c r="A348" s="3"/>
      <c r="B348" s="3"/>
      <c r="C348" s="3"/>
      <c r="D348" s="3"/>
      <c r="E348" s="3"/>
      <c r="F348" s="3"/>
      <c r="G348" s="3"/>
      <c r="H348" s="4"/>
      <c r="I348" s="5"/>
      <c r="J348" s="4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6"/>
      <c r="AE348" s="3"/>
      <c r="AF348" s="3"/>
      <c r="AG348" s="3"/>
      <c r="AH348" s="3"/>
      <c r="AI348" s="3"/>
      <c r="AJ348" s="3"/>
      <c r="AK348" s="3"/>
      <c r="AL348" s="7" t="str">
        <f>IF(A348="","",IF(COUNTIF(A348:A$2001,A348)=1,1,0))</f>
        <v/>
      </c>
      <c r="AM348" s="7" t="str">
        <f t="shared" ca="1" si="17"/>
        <v/>
      </c>
      <c r="AN348" s="7" t="str">
        <f t="shared" si="18"/>
        <v/>
      </c>
      <c r="AO348" s="7" t="str">
        <f t="shared" si="19"/>
        <v/>
      </c>
      <c r="AP348" s="15" t="str">
        <f t="shared" si="20"/>
        <v/>
      </c>
    </row>
    <row r="349" spans="1:42" ht="15" customHeight="1">
      <c r="A349" s="3"/>
      <c r="B349" s="3"/>
      <c r="C349" s="3"/>
      <c r="D349" s="3"/>
      <c r="E349" s="3"/>
      <c r="F349" s="3"/>
      <c r="G349" s="3"/>
      <c r="H349" s="4"/>
      <c r="I349" s="5"/>
      <c r="J349" s="4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6"/>
      <c r="AE349" s="3"/>
      <c r="AF349" s="3"/>
      <c r="AG349" s="3"/>
      <c r="AH349" s="3"/>
      <c r="AI349" s="3"/>
      <c r="AJ349" s="3"/>
      <c r="AK349" s="3"/>
      <c r="AL349" s="7" t="str">
        <f>IF(A349="","",IF(COUNTIF(A349:A$2001,A349)=1,1,0))</f>
        <v/>
      </c>
      <c r="AM349" s="7" t="str">
        <f t="shared" ca="1" si="17"/>
        <v/>
      </c>
      <c r="AN349" s="7" t="str">
        <f t="shared" si="18"/>
        <v/>
      </c>
      <c r="AO349" s="7" t="str">
        <f t="shared" si="19"/>
        <v/>
      </c>
      <c r="AP349" s="15" t="str">
        <f t="shared" si="20"/>
        <v/>
      </c>
    </row>
    <row r="350" spans="1:42" ht="15" customHeight="1">
      <c r="A350" s="3"/>
      <c r="B350" s="3"/>
      <c r="C350" s="3"/>
      <c r="D350" s="3"/>
      <c r="E350" s="3"/>
      <c r="F350" s="3"/>
      <c r="G350" s="3"/>
      <c r="H350" s="4"/>
      <c r="I350" s="5"/>
      <c r="J350" s="4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6"/>
      <c r="AE350" s="3"/>
      <c r="AF350" s="3"/>
      <c r="AG350" s="3"/>
      <c r="AH350" s="6"/>
      <c r="AI350" s="3"/>
      <c r="AJ350" s="3"/>
      <c r="AK350" s="3"/>
      <c r="AL350" s="7" t="str">
        <f>IF(A350="","",IF(COUNTIF(A350:A$2001,A350)=1,1,0))</f>
        <v/>
      </c>
      <c r="AM350" s="7" t="str">
        <f t="shared" ca="1" si="17"/>
        <v/>
      </c>
      <c r="AN350" s="7" t="str">
        <f t="shared" si="18"/>
        <v/>
      </c>
      <c r="AO350" s="7" t="str">
        <f t="shared" si="19"/>
        <v/>
      </c>
      <c r="AP350" s="15" t="str">
        <f t="shared" si="20"/>
        <v/>
      </c>
    </row>
    <row r="351" spans="1:42" ht="15" customHeight="1">
      <c r="A351" s="3"/>
      <c r="B351" s="3"/>
      <c r="C351" s="3"/>
      <c r="D351" s="3"/>
      <c r="E351" s="3"/>
      <c r="F351" s="3"/>
      <c r="G351" s="3"/>
      <c r="H351" s="4"/>
      <c r="I351" s="5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6"/>
      <c r="AE351" s="3"/>
      <c r="AF351" s="3"/>
      <c r="AG351" s="3"/>
      <c r="AH351" s="3"/>
      <c r="AI351" s="3"/>
      <c r="AJ351" s="3"/>
      <c r="AK351" s="3"/>
      <c r="AL351" s="7" t="str">
        <f>IF(A351="","",IF(COUNTIF(A351:A$2001,A351)=1,1,0))</f>
        <v/>
      </c>
      <c r="AM351" s="7" t="str">
        <f t="shared" ca="1" si="17"/>
        <v/>
      </c>
      <c r="AN351" s="7" t="str">
        <f t="shared" si="18"/>
        <v/>
      </c>
      <c r="AO351" s="7" t="str">
        <f t="shared" si="19"/>
        <v/>
      </c>
      <c r="AP351" s="15" t="str">
        <f t="shared" si="20"/>
        <v/>
      </c>
    </row>
    <row r="352" spans="1:42" ht="15" customHeight="1">
      <c r="A352" s="3"/>
      <c r="B352" s="3"/>
      <c r="C352" s="3"/>
      <c r="D352" s="3"/>
      <c r="E352" s="3"/>
      <c r="F352" s="3"/>
      <c r="G352" s="3"/>
      <c r="H352" s="4"/>
      <c r="I352" s="5"/>
      <c r="J352" s="4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6"/>
      <c r="AE352" s="3"/>
      <c r="AF352" s="3"/>
      <c r="AG352" s="3"/>
      <c r="AH352" s="6"/>
      <c r="AI352" s="3"/>
      <c r="AJ352" s="3"/>
      <c r="AK352" s="3"/>
      <c r="AL352" s="7" t="str">
        <f>IF(A352="","",IF(COUNTIF(A352:A$2001,A352)=1,1,0))</f>
        <v/>
      </c>
      <c r="AM352" s="7" t="str">
        <f t="shared" ca="1" si="17"/>
        <v/>
      </c>
      <c r="AN352" s="7" t="str">
        <f t="shared" si="18"/>
        <v/>
      </c>
      <c r="AO352" s="7" t="str">
        <f t="shared" si="19"/>
        <v/>
      </c>
      <c r="AP352" s="15" t="str">
        <f t="shared" si="20"/>
        <v/>
      </c>
    </row>
    <row r="353" spans="1:42" ht="15" customHeight="1">
      <c r="A353" s="3"/>
      <c r="B353" s="3"/>
      <c r="C353" s="3"/>
      <c r="D353" s="3"/>
      <c r="E353" s="3"/>
      <c r="F353" s="3"/>
      <c r="G353" s="3"/>
      <c r="H353" s="4"/>
      <c r="I353" s="5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6"/>
      <c r="AE353" s="3"/>
      <c r="AF353" s="6"/>
      <c r="AG353" s="6"/>
      <c r="AH353" s="6"/>
      <c r="AI353" s="3"/>
      <c r="AJ353" s="3"/>
      <c r="AK353" s="3"/>
      <c r="AL353" s="7" t="str">
        <f>IF(A353="","",IF(COUNTIF(A353:A$2001,A353)=1,1,0))</f>
        <v/>
      </c>
      <c r="AM353" s="7" t="str">
        <f t="shared" ca="1" si="17"/>
        <v/>
      </c>
      <c r="AN353" s="7" t="str">
        <f t="shared" si="18"/>
        <v/>
      </c>
      <c r="AO353" s="7" t="str">
        <f t="shared" si="19"/>
        <v/>
      </c>
      <c r="AP353" s="15" t="str">
        <f t="shared" si="20"/>
        <v/>
      </c>
    </row>
    <row r="354" spans="1:42" ht="15" customHeight="1">
      <c r="A354" s="3"/>
      <c r="B354" s="3"/>
      <c r="C354" s="3"/>
      <c r="D354" s="3"/>
      <c r="E354" s="3"/>
      <c r="F354" s="3"/>
      <c r="G354" s="3"/>
      <c r="H354" s="4"/>
      <c r="I354" s="5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6"/>
      <c r="AE354" s="3"/>
      <c r="AF354" s="3"/>
      <c r="AG354" s="3"/>
      <c r="AH354" s="3"/>
      <c r="AI354" s="3"/>
      <c r="AJ354" s="3"/>
      <c r="AK354" s="3"/>
      <c r="AL354" s="7" t="str">
        <f>IF(A354="","",IF(COUNTIF(A354:A$2001,A354)=1,1,0))</f>
        <v/>
      </c>
      <c r="AM354" s="7" t="str">
        <f t="shared" ca="1" si="17"/>
        <v/>
      </c>
      <c r="AN354" s="7" t="str">
        <f t="shared" si="18"/>
        <v/>
      </c>
      <c r="AO354" s="7" t="str">
        <f t="shared" si="19"/>
        <v/>
      </c>
      <c r="AP354" s="15" t="str">
        <f t="shared" si="20"/>
        <v/>
      </c>
    </row>
    <row r="355" spans="1:42" ht="15" customHeight="1">
      <c r="A355" s="3"/>
      <c r="B355" s="3"/>
      <c r="C355" s="3"/>
      <c r="D355" s="3"/>
      <c r="E355" s="3"/>
      <c r="F355" s="3"/>
      <c r="G355" s="3"/>
      <c r="H355" s="4"/>
      <c r="I355" s="5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6"/>
      <c r="AE355" s="3"/>
      <c r="AF355" s="3"/>
      <c r="AG355" s="3"/>
      <c r="AH355" s="3"/>
      <c r="AI355" s="3"/>
      <c r="AJ355" s="3"/>
      <c r="AK355" s="3"/>
      <c r="AL355" s="7" t="str">
        <f>IF(A355="","",IF(COUNTIF(A355:A$2001,A355)=1,1,0))</f>
        <v/>
      </c>
      <c r="AM355" s="7" t="str">
        <f t="shared" ca="1" si="17"/>
        <v/>
      </c>
      <c r="AN355" s="7" t="str">
        <f t="shared" si="18"/>
        <v/>
      </c>
      <c r="AO355" s="7" t="str">
        <f t="shared" si="19"/>
        <v/>
      </c>
      <c r="AP355" s="15" t="str">
        <f t="shared" si="20"/>
        <v/>
      </c>
    </row>
    <row r="356" spans="1:42" ht="15" customHeight="1">
      <c r="A356" s="3"/>
      <c r="B356" s="3"/>
      <c r="C356" s="3"/>
      <c r="D356" s="3"/>
      <c r="E356" s="3"/>
      <c r="F356" s="3"/>
      <c r="G356" s="3"/>
      <c r="H356" s="4"/>
      <c r="I356" s="5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6"/>
      <c r="AE356" s="3"/>
      <c r="AF356" s="3"/>
      <c r="AG356" s="3"/>
      <c r="AH356" s="3"/>
      <c r="AI356" s="3"/>
      <c r="AJ356" s="3"/>
      <c r="AK356" s="3"/>
      <c r="AL356" s="7" t="str">
        <f>IF(A356="","",IF(COUNTIF(A356:A$2001,A356)=1,1,0))</f>
        <v/>
      </c>
      <c r="AM356" s="7" t="str">
        <f t="shared" ca="1" si="17"/>
        <v/>
      </c>
      <c r="AN356" s="7" t="str">
        <f t="shared" si="18"/>
        <v/>
      </c>
      <c r="AO356" s="7" t="str">
        <f t="shared" si="19"/>
        <v/>
      </c>
      <c r="AP356" s="15" t="str">
        <f t="shared" si="20"/>
        <v/>
      </c>
    </row>
    <row r="357" spans="1:42" ht="15" customHeight="1">
      <c r="A357" s="3"/>
      <c r="B357" s="3"/>
      <c r="C357" s="3"/>
      <c r="D357" s="3"/>
      <c r="E357" s="3"/>
      <c r="F357" s="3"/>
      <c r="G357" s="3"/>
      <c r="H357" s="4"/>
      <c r="I357" s="5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6"/>
      <c r="AE357" s="3"/>
      <c r="AF357" s="3"/>
      <c r="AG357" s="3"/>
      <c r="AH357" s="6"/>
      <c r="AI357" s="3"/>
      <c r="AJ357" s="3"/>
      <c r="AK357" s="3"/>
      <c r="AL357" s="7" t="str">
        <f>IF(A357="","",IF(COUNTIF(A357:A$2001,A357)=1,1,0))</f>
        <v/>
      </c>
      <c r="AM357" s="7" t="str">
        <f t="shared" ca="1" si="17"/>
        <v/>
      </c>
      <c r="AN357" s="7" t="str">
        <f t="shared" si="18"/>
        <v/>
      </c>
      <c r="AO357" s="7" t="str">
        <f t="shared" si="19"/>
        <v/>
      </c>
      <c r="AP357" s="15" t="str">
        <f t="shared" si="20"/>
        <v/>
      </c>
    </row>
    <row r="358" spans="1:42" ht="15" customHeight="1">
      <c r="A358" s="3"/>
      <c r="B358" s="3"/>
      <c r="C358" s="3"/>
      <c r="D358" s="3"/>
      <c r="E358" s="3"/>
      <c r="F358" s="3"/>
      <c r="G358" s="3"/>
      <c r="H358" s="4"/>
      <c r="I358" s="5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6"/>
      <c r="AE358" s="3"/>
      <c r="AF358" s="3"/>
      <c r="AG358" s="3"/>
      <c r="AH358" s="3"/>
      <c r="AI358" s="3"/>
      <c r="AJ358" s="3"/>
      <c r="AK358" s="3"/>
      <c r="AL358" s="7" t="str">
        <f>IF(A358="","",IF(COUNTIF(A358:A$2001,A358)=1,1,0))</f>
        <v/>
      </c>
      <c r="AM358" s="7" t="str">
        <f t="shared" ca="1" si="17"/>
        <v/>
      </c>
      <c r="AN358" s="7" t="str">
        <f t="shared" si="18"/>
        <v/>
      </c>
      <c r="AO358" s="7" t="str">
        <f t="shared" si="19"/>
        <v/>
      </c>
      <c r="AP358" s="15" t="str">
        <f t="shared" si="20"/>
        <v/>
      </c>
    </row>
    <row r="359" spans="1:42" ht="15" customHeight="1">
      <c r="A359" s="3"/>
      <c r="B359" s="3"/>
      <c r="C359" s="3"/>
      <c r="D359" s="3"/>
      <c r="E359" s="3"/>
      <c r="F359" s="3"/>
      <c r="G359" s="3"/>
      <c r="H359" s="4"/>
      <c r="I359" s="5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6"/>
      <c r="AE359" s="3"/>
      <c r="AF359" s="3"/>
      <c r="AG359" s="3"/>
      <c r="AH359" s="3"/>
      <c r="AI359" s="3"/>
      <c r="AJ359" s="3"/>
      <c r="AK359" s="3"/>
      <c r="AL359" s="7" t="str">
        <f>IF(A359="","",IF(COUNTIF(A359:A$2001,A359)=1,1,0))</f>
        <v/>
      </c>
      <c r="AM359" s="7" t="str">
        <f t="shared" ca="1" si="17"/>
        <v/>
      </c>
      <c r="AN359" s="7" t="str">
        <f t="shared" si="18"/>
        <v/>
      </c>
      <c r="AO359" s="7" t="str">
        <f t="shared" si="19"/>
        <v/>
      </c>
      <c r="AP359" s="15" t="str">
        <f t="shared" si="20"/>
        <v/>
      </c>
    </row>
    <row r="360" spans="1:42" ht="15" customHeight="1">
      <c r="A360" s="3"/>
      <c r="B360" s="3"/>
      <c r="C360" s="3"/>
      <c r="D360" s="3"/>
      <c r="E360" s="3"/>
      <c r="F360" s="3"/>
      <c r="G360" s="3"/>
      <c r="H360" s="4"/>
      <c r="I360" s="5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6"/>
      <c r="AE360" s="3"/>
      <c r="AF360" s="6"/>
      <c r="AG360" s="6"/>
      <c r="AH360" s="6"/>
      <c r="AI360" s="3"/>
      <c r="AJ360" s="3"/>
      <c r="AK360" s="3"/>
      <c r="AL360" s="7" t="str">
        <f>IF(A360="","",IF(COUNTIF(A360:A$2001,A360)=1,1,0))</f>
        <v/>
      </c>
      <c r="AM360" s="7" t="str">
        <f t="shared" ca="1" si="17"/>
        <v/>
      </c>
      <c r="AN360" s="7" t="str">
        <f t="shared" si="18"/>
        <v/>
      </c>
      <c r="AO360" s="7" t="str">
        <f t="shared" si="19"/>
        <v/>
      </c>
      <c r="AP360" s="15" t="str">
        <f t="shared" si="20"/>
        <v/>
      </c>
    </row>
    <row r="361" spans="1:42" ht="15" customHeight="1">
      <c r="A361" s="3"/>
      <c r="B361" s="3"/>
      <c r="C361" s="3"/>
      <c r="D361" s="3"/>
      <c r="E361" s="3"/>
      <c r="F361" s="3"/>
      <c r="G361" s="3"/>
      <c r="H361" s="4"/>
      <c r="I361" s="5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6"/>
      <c r="AE361" s="3"/>
      <c r="AF361" s="6"/>
      <c r="AG361" s="6"/>
      <c r="AH361" s="6"/>
      <c r="AI361" s="3"/>
      <c r="AJ361" s="3"/>
      <c r="AK361" s="3"/>
      <c r="AL361" s="7" t="str">
        <f>IF(A361="","",IF(COUNTIF(A361:A$2001,A361)=1,1,0))</f>
        <v/>
      </c>
      <c r="AM361" s="7" t="str">
        <f t="shared" ca="1" si="17"/>
        <v/>
      </c>
      <c r="AN361" s="7" t="str">
        <f t="shared" si="18"/>
        <v/>
      </c>
      <c r="AO361" s="7" t="str">
        <f t="shared" si="19"/>
        <v/>
      </c>
      <c r="AP361" s="15" t="str">
        <f t="shared" si="20"/>
        <v/>
      </c>
    </row>
    <row r="362" spans="1:42" ht="15" customHeight="1">
      <c r="A362" s="3"/>
      <c r="B362" s="3"/>
      <c r="C362" s="3"/>
      <c r="D362" s="3"/>
      <c r="E362" s="3"/>
      <c r="F362" s="3"/>
      <c r="G362" s="3"/>
      <c r="H362" s="4"/>
      <c r="I362" s="5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6"/>
      <c r="AE362" s="3"/>
      <c r="AF362" s="6"/>
      <c r="AG362" s="6"/>
      <c r="AH362" s="6"/>
      <c r="AI362" s="3"/>
      <c r="AJ362" s="3"/>
      <c r="AK362" s="3"/>
      <c r="AL362" s="7" t="str">
        <f>IF(A362="","",IF(COUNTIF(A362:A$2001,A362)=1,1,0))</f>
        <v/>
      </c>
      <c r="AM362" s="7" t="str">
        <f t="shared" ca="1" si="17"/>
        <v/>
      </c>
      <c r="AN362" s="7" t="str">
        <f t="shared" si="18"/>
        <v/>
      </c>
      <c r="AO362" s="7" t="str">
        <f t="shared" si="19"/>
        <v/>
      </c>
      <c r="AP362" s="15" t="str">
        <f t="shared" si="20"/>
        <v/>
      </c>
    </row>
    <row r="363" spans="1:42" ht="15" customHeight="1">
      <c r="A363" s="3"/>
      <c r="B363" s="3"/>
      <c r="C363" s="3"/>
      <c r="D363" s="3"/>
      <c r="E363" s="3"/>
      <c r="F363" s="3"/>
      <c r="G363" s="3"/>
      <c r="H363" s="4"/>
      <c r="I363" s="5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6"/>
      <c r="AE363" s="3"/>
      <c r="AF363" s="3"/>
      <c r="AG363" s="3"/>
      <c r="AH363" s="6"/>
      <c r="AI363" s="3"/>
      <c r="AJ363" s="3"/>
      <c r="AK363" s="3"/>
      <c r="AL363" s="7" t="str">
        <f>IF(A363="","",IF(COUNTIF(A363:A$2001,A363)=1,1,0))</f>
        <v/>
      </c>
      <c r="AM363" s="7" t="str">
        <f t="shared" ca="1" si="17"/>
        <v/>
      </c>
      <c r="AN363" s="7" t="str">
        <f t="shared" si="18"/>
        <v/>
      </c>
      <c r="AO363" s="7" t="str">
        <f t="shared" si="19"/>
        <v/>
      </c>
      <c r="AP363" s="15" t="str">
        <f t="shared" si="20"/>
        <v/>
      </c>
    </row>
    <row r="364" spans="1:42" ht="15" customHeight="1">
      <c r="A364" s="3"/>
      <c r="B364" s="3"/>
      <c r="C364" s="3"/>
      <c r="D364" s="3"/>
      <c r="E364" s="3"/>
      <c r="F364" s="3"/>
      <c r="G364" s="3"/>
      <c r="H364" s="4"/>
      <c r="I364" s="5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6"/>
      <c r="AE364" s="3"/>
      <c r="AF364" s="3"/>
      <c r="AG364" s="3"/>
      <c r="AH364" s="6"/>
      <c r="AI364" s="3"/>
      <c r="AJ364" s="3"/>
      <c r="AK364" s="3"/>
      <c r="AL364" s="7" t="str">
        <f>IF(A364="","",IF(COUNTIF(A364:A$2001,A364)=1,1,0))</f>
        <v/>
      </c>
      <c r="AM364" s="7" t="str">
        <f t="shared" ca="1" si="17"/>
        <v/>
      </c>
      <c r="AN364" s="7" t="str">
        <f t="shared" si="18"/>
        <v/>
      </c>
      <c r="AO364" s="7" t="str">
        <f t="shared" si="19"/>
        <v/>
      </c>
      <c r="AP364" s="15" t="str">
        <f t="shared" si="20"/>
        <v/>
      </c>
    </row>
    <row r="365" spans="1:42" ht="15" customHeight="1">
      <c r="A365" s="3"/>
      <c r="B365" s="3"/>
      <c r="C365" s="3"/>
      <c r="D365" s="3"/>
      <c r="E365" s="3"/>
      <c r="F365" s="3"/>
      <c r="G365" s="3"/>
      <c r="H365" s="4"/>
      <c r="I365" s="5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6"/>
      <c r="AE365" s="3"/>
      <c r="AF365" s="3"/>
      <c r="AG365" s="3"/>
      <c r="AH365" s="6"/>
      <c r="AI365" s="3"/>
      <c r="AJ365" s="3"/>
      <c r="AK365" s="3"/>
      <c r="AL365" s="7" t="str">
        <f>IF(A365="","",IF(COUNTIF(A365:A$2001,A365)=1,1,0))</f>
        <v/>
      </c>
      <c r="AM365" s="7" t="str">
        <f t="shared" ca="1" si="17"/>
        <v/>
      </c>
      <c r="AN365" s="7" t="str">
        <f t="shared" si="18"/>
        <v/>
      </c>
      <c r="AO365" s="7" t="str">
        <f t="shared" si="19"/>
        <v/>
      </c>
      <c r="AP365" s="15" t="str">
        <f t="shared" si="20"/>
        <v/>
      </c>
    </row>
    <row r="366" spans="1:42" ht="15" customHeight="1">
      <c r="A366" s="3"/>
      <c r="B366" s="3"/>
      <c r="C366" s="3"/>
      <c r="D366" s="3"/>
      <c r="E366" s="3"/>
      <c r="F366" s="3"/>
      <c r="G366" s="3"/>
      <c r="H366" s="4"/>
      <c r="I366" s="5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6"/>
      <c r="AE366" s="3"/>
      <c r="AF366" s="3"/>
      <c r="AG366" s="3"/>
      <c r="AH366" s="6"/>
      <c r="AI366" s="3"/>
      <c r="AJ366" s="3"/>
      <c r="AK366" s="3"/>
      <c r="AL366" s="7" t="str">
        <f>IF(A366="","",IF(COUNTIF(A366:A$2001,A366)=1,1,0))</f>
        <v/>
      </c>
      <c r="AM366" s="7" t="str">
        <f t="shared" ca="1" si="17"/>
        <v/>
      </c>
      <c r="AN366" s="7" t="str">
        <f t="shared" si="18"/>
        <v/>
      </c>
      <c r="AO366" s="7" t="str">
        <f t="shared" si="19"/>
        <v/>
      </c>
      <c r="AP366" s="15" t="str">
        <f t="shared" si="20"/>
        <v/>
      </c>
    </row>
    <row r="367" spans="1:42" ht="15" customHeight="1">
      <c r="A367" s="3"/>
      <c r="B367" s="3"/>
      <c r="C367" s="3"/>
      <c r="D367" s="3"/>
      <c r="E367" s="3"/>
      <c r="F367" s="3"/>
      <c r="G367" s="3"/>
      <c r="H367" s="4"/>
      <c r="I367" s="5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6"/>
      <c r="AE367" s="3"/>
      <c r="AF367" s="6"/>
      <c r="AG367" s="3"/>
      <c r="AH367" s="6"/>
      <c r="AI367" s="3"/>
      <c r="AJ367" s="3"/>
      <c r="AK367" s="3"/>
      <c r="AL367" s="7" t="str">
        <f>IF(A367="","",IF(COUNTIF(A367:A$2001,A367)=1,1,0))</f>
        <v/>
      </c>
      <c r="AM367" s="7" t="str">
        <f t="shared" ca="1" si="17"/>
        <v/>
      </c>
      <c r="AN367" s="7" t="str">
        <f t="shared" si="18"/>
        <v/>
      </c>
      <c r="AO367" s="7" t="str">
        <f t="shared" si="19"/>
        <v/>
      </c>
      <c r="AP367" s="15" t="str">
        <f t="shared" si="20"/>
        <v/>
      </c>
    </row>
    <row r="368" spans="1:42" ht="15" customHeight="1">
      <c r="A368" s="3"/>
      <c r="B368" s="3"/>
      <c r="C368" s="3"/>
      <c r="D368" s="3"/>
      <c r="E368" s="3"/>
      <c r="F368" s="3"/>
      <c r="G368" s="3"/>
      <c r="H368" s="4"/>
      <c r="I368" s="5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6"/>
      <c r="AE368" s="3"/>
      <c r="AF368" s="3"/>
      <c r="AG368" s="3"/>
      <c r="AH368" s="3"/>
      <c r="AI368" s="3"/>
      <c r="AJ368" s="3"/>
      <c r="AK368" s="3"/>
      <c r="AL368" s="7" t="str">
        <f>IF(A368="","",IF(COUNTIF(A368:A$2001,A368)=1,1,0))</f>
        <v/>
      </c>
      <c r="AM368" s="7" t="str">
        <f t="shared" ca="1" si="17"/>
        <v/>
      </c>
      <c r="AN368" s="7" t="str">
        <f t="shared" si="18"/>
        <v/>
      </c>
      <c r="AO368" s="7" t="str">
        <f t="shared" si="19"/>
        <v/>
      </c>
      <c r="AP368" s="15" t="str">
        <f t="shared" si="20"/>
        <v/>
      </c>
    </row>
    <row r="369" spans="1:42" ht="15" customHeight="1">
      <c r="A369" s="3"/>
      <c r="B369" s="3"/>
      <c r="C369" s="3"/>
      <c r="D369" s="3"/>
      <c r="E369" s="3"/>
      <c r="F369" s="3"/>
      <c r="G369" s="3"/>
      <c r="H369" s="4"/>
      <c r="I369" s="5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6"/>
      <c r="AE369" s="3"/>
      <c r="AF369" s="3"/>
      <c r="AG369" s="3"/>
      <c r="AH369" s="3"/>
      <c r="AI369" s="3"/>
      <c r="AJ369" s="3"/>
      <c r="AK369" s="3"/>
      <c r="AL369" s="7" t="str">
        <f>IF(A369="","",IF(COUNTIF(A369:A$2001,A369)=1,1,0))</f>
        <v/>
      </c>
      <c r="AM369" s="7" t="str">
        <f t="shared" ca="1" si="17"/>
        <v/>
      </c>
      <c r="AN369" s="7" t="str">
        <f t="shared" si="18"/>
        <v/>
      </c>
      <c r="AO369" s="7" t="str">
        <f t="shared" si="19"/>
        <v/>
      </c>
      <c r="AP369" s="15" t="str">
        <f t="shared" si="20"/>
        <v/>
      </c>
    </row>
    <row r="370" spans="1:42" ht="15" customHeight="1">
      <c r="A370" s="3"/>
      <c r="B370" s="3"/>
      <c r="C370" s="3"/>
      <c r="D370" s="3"/>
      <c r="E370" s="3"/>
      <c r="F370" s="3"/>
      <c r="G370" s="3"/>
      <c r="H370" s="4"/>
      <c r="I370" s="5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6"/>
      <c r="AE370" s="3"/>
      <c r="AF370" s="3"/>
      <c r="AG370" s="3"/>
      <c r="AH370" s="6"/>
      <c r="AI370" s="3"/>
      <c r="AJ370" s="3"/>
      <c r="AK370" s="3"/>
      <c r="AL370" s="7" t="str">
        <f>IF(A370="","",IF(COUNTIF(A370:A$2001,A370)=1,1,0))</f>
        <v/>
      </c>
      <c r="AM370" s="7" t="str">
        <f t="shared" ca="1" si="17"/>
        <v/>
      </c>
      <c r="AN370" s="7" t="str">
        <f t="shared" si="18"/>
        <v/>
      </c>
      <c r="AO370" s="7" t="str">
        <f t="shared" si="19"/>
        <v/>
      </c>
      <c r="AP370" s="15" t="str">
        <f t="shared" si="20"/>
        <v/>
      </c>
    </row>
    <row r="371" spans="1:42" ht="15" customHeight="1">
      <c r="A371" s="3"/>
      <c r="B371" s="3"/>
      <c r="C371" s="3"/>
      <c r="D371" s="3"/>
      <c r="E371" s="3"/>
      <c r="F371" s="3"/>
      <c r="G371" s="3"/>
      <c r="H371" s="4"/>
      <c r="I371" s="5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6"/>
      <c r="AE371" s="3"/>
      <c r="AF371" s="6"/>
      <c r="AG371" s="6"/>
      <c r="AH371" s="6"/>
      <c r="AI371" s="3"/>
      <c r="AJ371" s="3"/>
      <c r="AK371" s="3"/>
      <c r="AL371" s="7" t="str">
        <f>IF(A371="","",IF(COUNTIF(A371:A$2001,A371)=1,1,0))</f>
        <v/>
      </c>
      <c r="AM371" s="7" t="str">
        <f t="shared" ca="1" si="17"/>
        <v/>
      </c>
      <c r="AN371" s="7" t="str">
        <f t="shared" si="18"/>
        <v/>
      </c>
      <c r="AO371" s="7" t="str">
        <f t="shared" si="19"/>
        <v/>
      </c>
      <c r="AP371" s="15" t="str">
        <f t="shared" si="20"/>
        <v/>
      </c>
    </row>
    <row r="372" spans="1:42" ht="15" customHeight="1">
      <c r="A372" s="3"/>
      <c r="B372" s="3"/>
      <c r="C372" s="3"/>
      <c r="D372" s="3"/>
      <c r="E372" s="3"/>
      <c r="F372" s="3"/>
      <c r="G372" s="3"/>
      <c r="H372" s="4"/>
      <c r="I372" s="5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6"/>
      <c r="AE372" s="3"/>
      <c r="AF372" s="3"/>
      <c r="AG372" s="3"/>
      <c r="AH372" s="3"/>
      <c r="AI372" s="3"/>
      <c r="AJ372" s="3"/>
      <c r="AK372" s="3"/>
      <c r="AL372" s="7" t="str">
        <f>IF(A372="","",IF(COUNTIF(A372:A$2001,A372)=1,1,0))</f>
        <v/>
      </c>
      <c r="AM372" s="7" t="str">
        <f t="shared" ca="1" si="17"/>
        <v/>
      </c>
      <c r="AN372" s="7" t="str">
        <f t="shared" si="18"/>
        <v/>
      </c>
      <c r="AO372" s="7" t="str">
        <f t="shared" si="19"/>
        <v/>
      </c>
      <c r="AP372" s="15" t="str">
        <f t="shared" si="20"/>
        <v/>
      </c>
    </row>
    <row r="373" spans="1:42" ht="15" customHeight="1">
      <c r="A373" s="3"/>
      <c r="B373" s="3"/>
      <c r="C373" s="3"/>
      <c r="D373" s="3"/>
      <c r="E373" s="3"/>
      <c r="F373" s="3"/>
      <c r="G373" s="3"/>
      <c r="H373" s="4"/>
      <c r="I373" s="5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6"/>
      <c r="AE373" s="3"/>
      <c r="AF373" s="3"/>
      <c r="AG373" s="3"/>
      <c r="AH373" s="3"/>
      <c r="AI373" s="3"/>
      <c r="AJ373" s="3"/>
      <c r="AK373" s="3"/>
      <c r="AL373" s="7" t="str">
        <f>IF(A373="","",IF(COUNTIF(A373:A$2001,A373)=1,1,0))</f>
        <v/>
      </c>
      <c r="AM373" s="7" t="str">
        <f t="shared" ca="1" si="17"/>
        <v/>
      </c>
      <c r="AN373" s="7" t="str">
        <f t="shared" si="18"/>
        <v/>
      </c>
      <c r="AO373" s="7" t="str">
        <f t="shared" si="19"/>
        <v/>
      </c>
      <c r="AP373" s="15" t="str">
        <f t="shared" si="20"/>
        <v/>
      </c>
    </row>
    <row r="374" spans="1:42" ht="15" customHeight="1">
      <c r="A374" s="3"/>
      <c r="B374" s="3"/>
      <c r="C374" s="3"/>
      <c r="D374" s="3"/>
      <c r="E374" s="3"/>
      <c r="F374" s="3"/>
      <c r="G374" s="3"/>
      <c r="H374" s="4"/>
      <c r="I374" s="5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6"/>
      <c r="AE374" s="3"/>
      <c r="AF374" s="3"/>
      <c r="AG374" s="3"/>
      <c r="AH374" s="3"/>
      <c r="AI374" s="3"/>
      <c r="AJ374" s="3"/>
      <c r="AK374" s="3"/>
      <c r="AL374" s="7" t="str">
        <f>IF(A374="","",IF(COUNTIF(A374:A$2001,A374)=1,1,0))</f>
        <v/>
      </c>
      <c r="AM374" s="7" t="str">
        <f t="shared" ca="1" si="17"/>
        <v/>
      </c>
      <c r="AN374" s="7" t="str">
        <f t="shared" si="18"/>
        <v/>
      </c>
      <c r="AO374" s="7" t="str">
        <f t="shared" si="19"/>
        <v/>
      </c>
      <c r="AP374" s="15" t="str">
        <f t="shared" si="20"/>
        <v/>
      </c>
    </row>
    <row r="375" spans="1:42" ht="15" customHeight="1">
      <c r="A375" s="3"/>
      <c r="B375" s="3"/>
      <c r="C375" s="3"/>
      <c r="D375" s="3"/>
      <c r="E375" s="3"/>
      <c r="F375" s="3"/>
      <c r="G375" s="3"/>
      <c r="H375" s="4"/>
      <c r="I375" s="5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6"/>
      <c r="AE375" s="3"/>
      <c r="AF375" s="3"/>
      <c r="AG375" s="3"/>
      <c r="AH375" s="3"/>
      <c r="AI375" s="3"/>
      <c r="AJ375" s="3"/>
      <c r="AK375" s="3"/>
      <c r="AL375" s="7" t="str">
        <f>IF(A375="","",IF(COUNTIF(A375:A$2001,A375)=1,1,0))</f>
        <v/>
      </c>
      <c r="AM375" s="7" t="str">
        <f t="shared" ca="1" si="17"/>
        <v/>
      </c>
      <c r="AN375" s="7" t="str">
        <f t="shared" si="18"/>
        <v/>
      </c>
      <c r="AO375" s="7" t="str">
        <f t="shared" si="19"/>
        <v/>
      </c>
      <c r="AP375" s="15" t="str">
        <f t="shared" si="20"/>
        <v/>
      </c>
    </row>
    <row r="376" spans="1:42" ht="15" customHeight="1">
      <c r="A376" s="3"/>
      <c r="B376" s="3"/>
      <c r="C376" s="3"/>
      <c r="D376" s="3"/>
      <c r="E376" s="3"/>
      <c r="F376" s="3"/>
      <c r="G376" s="3"/>
      <c r="H376" s="4"/>
      <c r="I376" s="5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6"/>
      <c r="AE376" s="3"/>
      <c r="AF376" s="3"/>
      <c r="AG376" s="3"/>
      <c r="AH376" s="6"/>
      <c r="AI376" s="3"/>
      <c r="AJ376" s="3"/>
      <c r="AK376" s="3"/>
      <c r="AL376" s="7" t="str">
        <f>IF(A376="","",IF(COUNTIF(A376:A$2001,A376)=1,1,0))</f>
        <v/>
      </c>
      <c r="AM376" s="7" t="str">
        <f t="shared" ca="1" si="17"/>
        <v/>
      </c>
      <c r="AN376" s="7" t="str">
        <f t="shared" si="18"/>
        <v/>
      </c>
      <c r="AO376" s="7" t="str">
        <f t="shared" si="19"/>
        <v/>
      </c>
      <c r="AP376" s="15" t="str">
        <f t="shared" si="20"/>
        <v/>
      </c>
    </row>
    <row r="377" spans="1:42" ht="15" customHeight="1">
      <c r="AL377" s="7" t="str">
        <f>IF(A377="","",IF(COUNTIF(A377:A$2001,A377)=1,1,0))</f>
        <v/>
      </c>
      <c r="AM377" s="7" t="str">
        <f t="shared" ca="1" si="17"/>
        <v/>
      </c>
      <c r="AN377" s="7" t="str">
        <f t="shared" si="18"/>
        <v/>
      </c>
      <c r="AO377" s="7" t="str">
        <f t="shared" si="19"/>
        <v/>
      </c>
      <c r="AP377" s="15" t="str">
        <f t="shared" si="20"/>
        <v/>
      </c>
    </row>
    <row r="378" spans="1:42" ht="15" customHeight="1">
      <c r="AL378" s="7" t="str">
        <f>IF(A378="","",IF(COUNTIF(A378:A$2001,A378)=1,1,0))</f>
        <v/>
      </c>
      <c r="AM378" s="7" t="str">
        <f t="shared" ca="1" si="17"/>
        <v/>
      </c>
      <c r="AN378" s="7" t="str">
        <f t="shared" si="18"/>
        <v/>
      </c>
      <c r="AO378" s="7" t="str">
        <f t="shared" si="19"/>
        <v/>
      </c>
      <c r="AP378" s="15" t="str">
        <f t="shared" si="20"/>
        <v/>
      </c>
    </row>
    <row r="379" spans="1:42" ht="15" customHeight="1">
      <c r="AL379" s="7" t="str">
        <f>IF(A379="","",IF(COUNTIF(A379:A$2001,A379)=1,1,0))</f>
        <v/>
      </c>
      <c r="AM379" s="7" t="str">
        <f t="shared" ca="1" si="17"/>
        <v/>
      </c>
      <c r="AN379" s="7" t="str">
        <f t="shared" si="18"/>
        <v/>
      </c>
      <c r="AO379" s="7" t="str">
        <f t="shared" si="19"/>
        <v/>
      </c>
      <c r="AP379" s="15" t="str">
        <f t="shared" si="20"/>
        <v/>
      </c>
    </row>
    <row r="380" spans="1:42" ht="15" customHeight="1">
      <c r="AL380" s="7" t="str">
        <f>IF(A380="","",IF(COUNTIF(A380:A$2001,A380)=1,1,0))</f>
        <v/>
      </c>
      <c r="AM380" s="7" t="str">
        <f t="shared" ca="1" si="17"/>
        <v/>
      </c>
      <c r="AN380" s="7" t="str">
        <f t="shared" si="18"/>
        <v/>
      </c>
      <c r="AO380" s="7" t="str">
        <f t="shared" si="19"/>
        <v/>
      </c>
      <c r="AP380" s="15" t="str">
        <f t="shared" si="20"/>
        <v/>
      </c>
    </row>
    <row r="381" spans="1:42" ht="15" customHeight="1">
      <c r="AL381" s="7" t="str">
        <f>IF(A381="","",IF(COUNTIF(A381:A$2001,A381)=1,1,0))</f>
        <v/>
      </c>
      <c r="AM381" s="7" t="str">
        <f t="shared" ca="1" si="17"/>
        <v/>
      </c>
      <c r="AN381" s="7" t="str">
        <f t="shared" si="18"/>
        <v/>
      </c>
      <c r="AO381" s="7" t="str">
        <f t="shared" si="19"/>
        <v/>
      </c>
      <c r="AP381" s="15" t="str">
        <f t="shared" si="20"/>
        <v/>
      </c>
    </row>
    <row r="382" spans="1:42" ht="15" customHeight="1">
      <c r="AL382" s="7" t="str">
        <f>IF(A382="","",IF(COUNTIF(A382:A$2001,A382)=1,1,0))</f>
        <v/>
      </c>
      <c r="AM382" s="7" t="str">
        <f t="shared" ca="1" si="17"/>
        <v/>
      </c>
      <c r="AN382" s="7" t="str">
        <f t="shared" si="18"/>
        <v/>
      </c>
      <c r="AO382" s="7" t="str">
        <f t="shared" si="19"/>
        <v/>
      </c>
      <c r="AP382" s="15" t="str">
        <f t="shared" si="20"/>
        <v/>
      </c>
    </row>
    <row r="383" spans="1:42" ht="15" customHeight="1">
      <c r="AL383" s="7" t="str">
        <f>IF(A383="","",IF(COUNTIF(A383:A$2001,A383)=1,1,0))</f>
        <v/>
      </c>
      <c r="AM383" s="7" t="str">
        <f t="shared" ca="1" si="17"/>
        <v/>
      </c>
      <c r="AN383" s="7" t="str">
        <f t="shared" si="18"/>
        <v/>
      </c>
      <c r="AO383" s="7" t="str">
        <f t="shared" si="19"/>
        <v/>
      </c>
      <c r="AP383" s="15" t="str">
        <f t="shared" si="20"/>
        <v/>
      </c>
    </row>
    <row r="384" spans="1:42" ht="15" customHeight="1">
      <c r="AL384" s="7" t="str">
        <f>IF(A384="","",IF(COUNTIF(A384:A$2001,A384)=1,1,0))</f>
        <v/>
      </c>
      <c r="AM384" s="7" t="str">
        <f t="shared" ca="1" si="17"/>
        <v/>
      </c>
      <c r="AN384" s="7" t="str">
        <f t="shared" si="18"/>
        <v/>
      </c>
      <c r="AO384" s="7" t="str">
        <f t="shared" si="19"/>
        <v/>
      </c>
      <c r="AP384" s="15" t="str">
        <f t="shared" si="20"/>
        <v/>
      </c>
    </row>
    <row r="385" spans="38:42" ht="15" customHeight="1">
      <c r="AL385" s="7" t="str">
        <f>IF(A385="","",IF(COUNTIF(A385:A$2001,A385)=1,1,0))</f>
        <v/>
      </c>
      <c r="AM385" s="7" t="str">
        <f t="shared" ca="1" si="17"/>
        <v/>
      </c>
      <c r="AN385" s="7" t="str">
        <f t="shared" si="18"/>
        <v/>
      </c>
      <c r="AO385" s="7" t="str">
        <f t="shared" si="19"/>
        <v/>
      </c>
      <c r="AP385" s="15" t="str">
        <f t="shared" si="20"/>
        <v/>
      </c>
    </row>
    <row r="386" spans="38:42" ht="15" customHeight="1">
      <c r="AL386" s="7" t="str">
        <f>IF(A386="","",IF(COUNTIF(A386:A$2001,A386)=1,1,0))</f>
        <v/>
      </c>
      <c r="AM386" s="7" t="str">
        <f t="shared" ref="AM386:AM449" ca="1" si="21">IF(I386="","",TODAY()-I386)</f>
        <v/>
      </c>
      <c r="AN386" s="7" t="str">
        <f t="shared" ref="AN386:AN449" si="22">IF(A386="","",IF(AND(E386&lt;&gt;"33 確認済",E386&lt;&gt;"36 送付中"),1,0))</f>
        <v/>
      </c>
      <c r="AO386" s="7" t="str">
        <f t="shared" ref="AO386:AO449" si="23">IF(A386="","",IF(AG386&lt;&gt;"",1,0))</f>
        <v/>
      </c>
      <c r="AP386" s="15" t="str">
        <f t="shared" ref="AP386:AP449" si="24">IF(P386&lt;&gt;"","・添待ち","")&amp;IF(Q386&lt;&gt;"","・住民票","")&amp;IF(R386&lt;&gt;"","・発信","")&amp;IF(S386&lt;&gt;"","・確認事項","")&amp;IF(T386&lt;&gt;"","・管","")&amp;IF(U386&lt;&gt;"","・SV","")&amp;IF(V386&lt;&gt;"","・データ送付待ち","")&amp;IF(W386&lt;&gt;"","・削除","")</f>
        <v/>
      </c>
    </row>
    <row r="387" spans="38:42" ht="15" customHeight="1">
      <c r="AL387" s="7" t="str">
        <f>IF(A387="","",IF(COUNTIF(A387:A$2001,A387)=1,1,0))</f>
        <v/>
      </c>
      <c r="AM387" s="7" t="str">
        <f t="shared" ca="1" si="21"/>
        <v/>
      </c>
      <c r="AN387" s="7" t="str">
        <f t="shared" si="22"/>
        <v/>
      </c>
      <c r="AO387" s="7" t="str">
        <f t="shared" si="23"/>
        <v/>
      </c>
      <c r="AP387" s="15" t="str">
        <f t="shared" si="24"/>
        <v/>
      </c>
    </row>
    <row r="388" spans="38:42" ht="15" customHeight="1">
      <c r="AL388" s="7" t="str">
        <f>IF(A388="","",IF(COUNTIF(A388:A$2001,A388)=1,1,0))</f>
        <v/>
      </c>
      <c r="AM388" s="7" t="str">
        <f t="shared" ca="1" si="21"/>
        <v/>
      </c>
      <c r="AN388" s="7" t="str">
        <f t="shared" si="22"/>
        <v/>
      </c>
      <c r="AO388" s="7" t="str">
        <f t="shared" si="23"/>
        <v/>
      </c>
      <c r="AP388" s="15" t="str">
        <f t="shared" si="24"/>
        <v/>
      </c>
    </row>
    <row r="389" spans="38:42" ht="15" customHeight="1">
      <c r="AL389" s="7" t="str">
        <f>IF(A389="","",IF(COUNTIF(A389:A$2001,A389)=1,1,0))</f>
        <v/>
      </c>
      <c r="AM389" s="7" t="str">
        <f t="shared" ca="1" si="21"/>
        <v/>
      </c>
      <c r="AN389" s="7" t="str">
        <f t="shared" si="22"/>
        <v/>
      </c>
      <c r="AO389" s="7" t="str">
        <f t="shared" si="23"/>
        <v/>
      </c>
      <c r="AP389" s="15" t="str">
        <f t="shared" si="24"/>
        <v/>
      </c>
    </row>
    <row r="390" spans="38:42" ht="15" customHeight="1">
      <c r="AL390" s="7" t="str">
        <f>IF(A390="","",IF(COUNTIF(A390:A$2001,A390)=1,1,0))</f>
        <v/>
      </c>
      <c r="AM390" s="7" t="str">
        <f t="shared" ca="1" si="21"/>
        <v/>
      </c>
      <c r="AN390" s="7" t="str">
        <f t="shared" si="22"/>
        <v/>
      </c>
      <c r="AO390" s="7" t="str">
        <f t="shared" si="23"/>
        <v/>
      </c>
      <c r="AP390" s="15" t="str">
        <f t="shared" si="24"/>
        <v/>
      </c>
    </row>
    <row r="391" spans="38:42" ht="15" customHeight="1">
      <c r="AL391" s="7" t="str">
        <f>IF(A391="","",IF(COUNTIF(A391:A$2001,A391)=1,1,0))</f>
        <v/>
      </c>
      <c r="AM391" s="7" t="str">
        <f t="shared" ca="1" si="21"/>
        <v/>
      </c>
      <c r="AN391" s="7" t="str">
        <f t="shared" si="22"/>
        <v/>
      </c>
      <c r="AO391" s="7" t="str">
        <f t="shared" si="23"/>
        <v/>
      </c>
      <c r="AP391" s="15" t="str">
        <f t="shared" si="24"/>
        <v/>
      </c>
    </row>
    <row r="392" spans="38:42" ht="15" customHeight="1">
      <c r="AL392" s="7" t="str">
        <f>IF(A392="","",IF(COUNTIF(A392:A$2001,A392)=1,1,0))</f>
        <v/>
      </c>
      <c r="AM392" s="7" t="str">
        <f t="shared" ca="1" si="21"/>
        <v/>
      </c>
      <c r="AN392" s="7" t="str">
        <f t="shared" si="22"/>
        <v/>
      </c>
      <c r="AO392" s="7" t="str">
        <f t="shared" si="23"/>
        <v/>
      </c>
      <c r="AP392" s="15" t="str">
        <f t="shared" si="24"/>
        <v/>
      </c>
    </row>
    <row r="393" spans="38:42" ht="15" customHeight="1">
      <c r="AL393" s="7" t="str">
        <f>IF(A393="","",IF(COUNTIF(A393:A$2001,A393)=1,1,0))</f>
        <v/>
      </c>
      <c r="AM393" s="7" t="str">
        <f t="shared" ca="1" si="21"/>
        <v/>
      </c>
      <c r="AN393" s="7" t="str">
        <f t="shared" si="22"/>
        <v/>
      </c>
      <c r="AO393" s="7" t="str">
        <f t="shared" si="23"/>
        <v/>
      </c>
      <c r="AP393" s="15" t="str">
        <f t="shared" si="24"/>
        <v/>
      </c>
    </row>
    <row r="394" spans="38:42" ht="15" customHeight="1">
      <c r="AL394" s="7" t="str">
        <f>IF(A394="","",IF(COUNTIF(A394:A$2001,A394)=1,1,0))</f>
        <v/>
      </c>
      <c r="AM394" s="7" t="str">
        <f t="shared" ca="1" si="21"/>
        <v/>
      </c>
      <c r="AN394" s="7" t="str">
        <f t="shared" si="22"/>
        <v/>
      </c>
      <c r="AO394" s="7" t="str">
        <f t="shared" si="23"/>
        <v/>
      </c>
      <c r="AP394" s="15" t="str">
        <f t="shared" si="24"/>
        <v/>
      </c>
    </row>
    <row r="395" spans="38:42" ht="15" customHeight="1">
      <c r="AL395" s="7" t="str">
        <f>IF(A395="","",IF(COUNTIF(A395:A$2001,A395)=1,1,0))</f>
        <v/>
      </c>
      <c r="AM395" s="7" t="str">
        <f t="shared" ca="1" si="21"/>
        <v/>
      </c>
      <c r="AN395" s="7" t="str">
        <f t="shared" si="22"/>
        <v/>
      </c>
      <c r="AO395" s="7" t="str">
        <f t="shared" si="23"/>
        <v/>
      </c>
      <c r="AP395" s="15" t="str">
        <f t="shared" si="24"/>
        <v/>
      </c>
    </row>
    <row r="396" spans="38:42" ht="15" customHeight="1">
      <c r="AL396" s="7" t="str">
        <f>IF(A396="","",IF(COUNTIF(A396:A$2001,A396)=1,1,0))</f>
        <v/>
      </c>
      <c r="AM396" s="7" t="str">
        <f t="shared" ca="1" si="21"/>
        <v/>
      </c>
      <c r="AN396" s="7" t="str">
        <f t="shared" si="22"/>
        <v/>
      </c>
      <c r="AO396" s="7" t="str">
        <f t="shared" si="23"/>
        <v/>
      </c>
      <c r="AP396" s="15" t="str">
        <f t="shared" si="24"/>
        <v/>
      </c>
    </row>
    <row r="397" spans="38:42" ht="15" customHeight="1">
      <c r="AL397" s="7" t="str">
        <f>IF(A397="","",IF(COUNTIF(A397:A$2001,A397)=1,1,0))</f>
        <v/>
      </c>
      <c r="AM397" s="7" t="str">
        <f t="shared" ca="1" si="21"/>
        <v/>
      </c>
      <c r="AN397" s="7" t="str">
        <f t="shared" si="22"/>
        <v/>
      </c>
      <c r="AO397" s="7" t="str">
        <f t="shared" si="23"/>
        <v/>
      </c>
      <c r="AP397" s="15" t="str">
        <f t="shared" si="24"/>
        <v/>
      </c>
    </row>
    <row r="398" spans="38:42" ht="15" customHeight="1">
      <c r="AL398" s="7" t="str">
        <f>IF(A398="","",IF(COUNTIF(A398:A$2001,A398)=1,1,0))</f>
        <v/>
      </c>
      <c r="AM398" s="7" t="str">
        <f t="shared" ca="1" si="21"/>
        <v/>
      </c>
      <c r="AN398" s="7" t="str">
        <f t="shared" si="22"/>
        <v/>
      </c>
      <c r="AO398" s="7" t="str">
        <f t="shared" si="23"/>
        <v/>
      </c>
      <c r="AP398" s="15" t="str">
        <f t="shared" si="24"/>
        <v/>
      </c>
    </row>
    <row r="399" spans="38:42" ht="15" customHeight="1">
      <c r="AL399" s="7" t="str">
        <f>IF(A399="","",IF(COUNTIF(A399:A$2001,A399)=1,1,0))</f>
        <v/>
      </c>
      <c r="AM399" s="7" t="str">
        <f t="shared" ca="1" si="21"/>
        <v/>
      </c>
      <c r="AN399" s="7" t="str">
        <f t="shared" si="22"/>
        <v/>
      </c>
      <c r="AO399" s="7" t="str">
        <f t="shared" si="23"/>
        <v/>
      </c>
      <c r="AP399" s="15" t="str">
        <f t="shared" si="24"/>
        <v/>
      </c>
    </row>
    <row r="400" spans="38:42" ht="15" customHeight="1">
      <c r="AL400" s="7" t="str">
        <f>IF(A400="","",IF(COUNTIF(A400:A$2001,A400)=1,1,0))</f>
        <v/>
      </c>
      <c r="AM400" s="7" t="str">
        <f t="shared" ca="1" si="21"/>
        <v/>
      </c>
      <c r="AN400" s="7" t="str">
        <f t="shared" si="22"/>
        <v/>
      </c>
      <c r="AO400" s="7" t="str">
        <f t="shared" si="23"/>
        <v/>
      </c>
      <c r="AP400" s="15" t="str">
        <f t="shared" si="24"/>
        <v/>
      </c>
    </row>
    <row r="401" spans="38:42" ht="15" customHeight="1">
      <c r="AL401" s="7" t="str">
        <f>IF(A401="","",IF(COUNTIF(A401:A$2001,A401)=1,1,0))</f>
        <v/>
      </c>
      <c r="AM401" s="7" t="str">
        <f t="shared" ca="1" si="21"/>
        <v/>
      </c>
      <c r="AN401" s="7" t="str">
        <f t="shared" si="22"/>
        <v/>
      </c>
      <c r="AO401" s="7" t="str">
        <f t="shared" si="23"/>
        <v/>
      </c>
      <c r="AP401" s="15" t="str">
        <f t="shared" si="24"/>
        <v/>
      </c>
    </row>
    <row r="402" spans="38:42" ht="15" customHeight="1">
      <c r="AL402" s="7" t="str">
        <f>IF(A402="","",IF(COUNTIF(A402:A$2001,A402)=1,1,0))</f>
        <v/>
      </c>
      <c r="AM402" s="7" t="str">
        <f t="shared" ca="1" si="21"/>
        <v/>
      </c>
      <c r="AN402" s="7" t="str">
        <f t="shared" si="22"/>
        <v/>
      </c>
      <c r="AO402" s="7" t="str">
        <f t="shared" si="23"/>
        <v/>
      </c>
      <c r="AP402" s="15" t="str">
        <f t="shared" si="24"/>
        <v/>
      </c>
    </row>
    <row r="403" spans="38:42" ht="15" customHeight="1">
      <c r="AL403" s="7" t="str">
        <f>IF(A403="","",IF(COUNTIF(A403:A$2001,A403)=1,1,0))</f>
        <v/>
      </c>
      <c r="AM403" s="7" t="str">
        <f t="shared" ca="1" si="21"/>
        <v/>
      </c>
      <c r="AN403" s="7" t="str">
        <f t="shared" si="22"/>
        <v/>
      </c>
      <c r="AO403" s="7" t="str">
        <f t="shared" si="23"/>
        <v/>
      </c>
      <c r="AP403" s="15" t="str">
        <f t="shared" si="24"/>
        <v/>
      </c>
    </row>
    <row r="404" spans="38:42" ht="15" customHeight="1">
      <c r="AL404" s="7" t="str">
        <f>IF(A404="","",IF(COUNTIF(A404:A$2001,A404)=1,1,0))</f>
        <v/>
      </c>
      <c r="AM404" s="7" t="str">
        <f t="shared" ca="1" si="21"/>
        <v/>
      </c>
      <c r="AN404" s="7" t="str">
        <f t="shared" si="22"/>
        <v/>
      </c>
      <c r="AO404" s="7" t="str">
        <f t="shared" si="23"/>
        <v/>
      </c>
      <c r="AP404" s="15" t="str">
        <f t="shared" si="24"/>
        <v/>
      </c>
    </row>
    <row r="405" spans="38:42" ht="15" customHeight="1">
      <c r="AL405" s="7" t="str">
        <f>IF(A405="","",IF(COUNTIF(A405:A$2001,A405)=1,1,0))</f>
        <v/>
      </c>
      <c r="AM405" s="7" t="str">
        <f t="shared" ca="1" si="21"/>
        <v/>
      </c>
      <c r="AN405" s="7" t="str">
        <f t="shared" si="22"/>
        <v/>
      </c>
      <c r="AO405" s="7" t="str">
        <f t="shared" si="23"/>
        <v/>
      </c>
      <c r="AP405" s="15" t="str">
        <f t="shared" si="24"/>
        <v/>
      </c>
    </row>
    <row r="406" spans="38:42" ht="15" customHeight="1">
      <c r="AL406" s="7" t="str">
        <f>IF(A406="","",IF(COUNTIF(A406:A$2001,A406)=1,1,0))</f>
        <v/>
      </c>
      <c r="AM406" s="7" t="str">
        <f t="shared" ca="1" si="21"/>
        <v/>
      </c>
      <c r="AN406" s="7" t="str">
        <f t="shared" si="22"/>
        <v/>
      </c>
      <c r="AO406" s="7" t="str">
        <f t="shared" si="23"/>
        <v/>
      </c>
      <c r="AP406" s="15" t="str">
        <f t="shared" si="24"/>
        <v/>
      </c>
    </row>
    <row r="407" spans="38:42" ht="15" customHeight="1">
      <c r="AL407" s="7" t="str">
        <f>IF(A407="","",IF(COUNTIF(A407:A$2001,A407)=1,1,0))</f>
        <v/>
      </c>
      <c r="AM407" s="7" t="str">
        <f t="shared" ca="1" si="21"/>
        <v/>
      </c>
      <c r="AN407" s="7" t="str">
        <f t="shared" si="22"/>
        <v/>
      </c>
      <c r="AO407" s="7" t="str">
        <f t="shared" si="23"/>
        <v/>
      </c>
      <c r="AP407" s="15" t="str">
        <f t="shared" si="24"/>
        <v/>
      </c>
    </row>
    <row r="408" spans="38:42" ht="15" customHeight="1">
      <c r="AL408" s="7" t="str">
        <f>IF(A408="","",IF(COUNTIF(A408:A$2001,A408)=1,1,0))</f>
        <v/>
      </c>
      <c r="AM408" s="7" t="str">
        <f t="shared" ca="1" si="21"/>
        <v/>
      </c>
      <c r="AN408" s="7" t="str">
        <f t="shared" si="22"/>
        <v/>
      </c>
      <c r="AO408" s="7" t="str">
        <f t="shared" si="23"/>
        <v/>
      </c>
      <c r="AP408" s="15" t="str">
        <f t="shared" si="24"/>
        <v/>
      </c>
    </row>
    <row r="409" spans="38:42" ht="15" customHeight="1">
      <c r="AL409" s="7" t="str">
        <f>IF(A409="","",IF(COUNTIF(A409:A$2001,A409)=1,1,0))</f>
        <v/>
      </c>
      <c r="AM409" s="7" t="str">
        <f t="shared" ca="1" si="21"/>
        <v/>
      </c>
      <c r="AN409" s="7" t="str">
        <f t="shared" si="22"/>
        <v/>
      </c>
      <c r="AO409" s="7" t="str">
        <f t="shared" si="23"/>
        <v/>
      </c>
      <c r="AP409" s="15" t="str">
        <f t="shared" si="24"/>
        <v/>
      </c>
    </row>
    <row r="410" spans="38:42" ht="15" customHeight="1">
      <c r="AL410" s="7" t="str">
        <f>IF(A410="","",IF(COUNTIF(A410:A$2001,A410)=1,1,0))</f>
        <v/>
      </c>
      <c r="AM410" s="7" t="str">
        <f t="shared" ca="1" si="21"/>
        <v/>
      </c>
      <c r="AN410" s="7" t="str">
        <f t="shared" si="22"/>
        <v/>
      </c>
      <c r="AO410" s="7" t="str">
        <f t="shared" si="23"/>
        <v/>
      </c>
      <c r="AP410" s="15" t="str">
        <f t="shared" si="24"/>
        <v/>
      </c>
    </row>
    <row r="411" spans="38:42" ht="15" customHeight="1">
      <c r="AL411" s="7" t="str">
        <f>IF(A411="","",IF(COUNTIF(A411:A$2001,A411)=1,1,0))</f>
        <v/>
      </c>
      <c r="AM411" s="7" t="str">
        <f t="shared" ca="1" si="21"/>
        <v/>
      </c>
      <c r="AN411" s="7" t="str">
        <f t="shared" si="22"/>
        <v/>
      </c>
      <c r="AO411" s="7" t="str">
        <f t="shared" si="23"/>
        <v/>
      </c>
      <c r="AP411" s="15" t="str">
        <f t="shared" si="24"/>
        <v/>
      </c>
    </row>
    <row r="412" spans="38:42" ht="15" customHeight="1">
      <c r="AL412" s="7" t="str">
        <f>IF(A412="","",IF(COUNTIF(A412:A$2001,A412)=1,1,0))</f>
        <v/>
      </c>
      <c r="AM412" s="7" t="str">
        <f t="shared" ca="1" si="21"/>
        <v/>
      </c>
      <c r="AN412" s="7" t="str">
        <f t="shared" si="22"/>
        <v/>
      </c>
      <c r="AO412" s="7" t="str">
        <f t="shared" si="23"/>
        <v/>
      </c>
      <c r="AP412" s="15" t="str">
        <f t="shared" si="24"/>
        <v/>
      </c>
    </row>
    <row r="413" spans="38:42" ht="15" customHeight="1">
      <c r="AL413" s="7" t="str">
        <f>IF(A413="","",IF(COUNTIF(A413:A$2001,A413)=1,1,0))</f>
        <v/>
      </c>
      <c r="AM413" s="7" t="str">
        <f t="shared" ca="1" si="21"/>
        <v/>
      </c>
      <c r="AN413" s="7" t="str">
        <f t="shared" si="22"/>
        <v/>
      </c>
      <c r="AO413" s="7" t="str">
        <f t="shared" si="23"/>
        <v/>
      </c>
      <c r="AP413" s="15" t="str">
        <f t="shared" si="24"/>
        <v/>
      </c>
    </row>
    <row r="414" spans="38:42" ht="15" customHeight="1">
      <c r="AL414" s="7" t="str">
        <f>IF(A414="","",IF(COUNTIF(A414:A$2001,A414)=1,1,0))</f>
        <v/>
      </c>
      <c r="AM414" s="7" t="str">
        <f t="shared" ca="1" si="21"/>
        <v/>
      </c>
      <c r="AN414" s="7" t="str">
        <f t="shared" si="22"/>
        <v/>
      </c>
      <c r="AO414" s="7" t="str">
        <f t="shared" si="23"/>
        <v/>
      </c>
      <c r="AP414" s="15" t="str">
        <f t="shared" si="24"/>
        <v/>
      </c>
    </row>
    <row r="415" spans="38:42" ht="15" customHeight="1">
      <c r="AL415" s="7" t="str">
        <f>IF(A415="","",IF(COUNTIF(A415:A$2001,A415)=1,1,0))</f>
        <v/>
      </c>
      <c r="AM415" s="7" t="str">
        <f t="shared" ca="1" si="21"/>
        <v/>
      </c>
      <c r="AN415" s="7" t="str">
        <f t="shared" si="22"/>
        <v/>
      </c>
      <c r="AO415" s="7" t="str">
        <f t="shared" si="23"/>
        <v/>
      </c>
      <c r="AP415" s="15" t="str">
        <f t="shared" si="24"/>
        <v/>
      </c>
    </row>
    <row r="416" spans="38:42" ht="15" customHeight="1">
      <c r="AL416" s="7" t="str">
        <f>IF(A416="","",IF(COUNTIF(A416:A$2001,A416)=1,1,0))</f>
        <v/>
      </c>
      <c r="AM416" s="7" t="str">
        <f t="shared" ca="1" si="21"/>
        <v/>
      </c>
      <c r="AN416" s="7" t="str">
        <f t="shared" si="22"/>
        <v/>
      </c>
      <c r="AO416" s="7" t="str">
        <f t="shared" si="23"/>
        <v/>
      </c>
      <c r="AP416" s="15" t="str">
        <f t="shared" si="24"/>
        <v/>
      </c>
    </row>
    <row r="417" spans="38:42" ht="15" customHeight="1">
      <c r="AL417" s="7" t="str">
        <f>IF(A417="","",IF(COUNTIF(A417:A$2001,A417)=1,1,0))</f>
        <v/>
      </c>
      <c r="AM417" s="7" t="str">
        <f t="shared" ca="1" si="21"/>
        <v/>
      </c>
      <c r="AN417" s="7" t="str">
        <f t="shared" si="22"/>
        <v/>
      </c>
      <c r="AO417" s="7" t="str">
        <f t="shared" si="23"/>
        <v/>
      </c>
      <c r="AP417" s="15" t="str">
        <f t="shared" si="24"/>
        <v/>
      </c>
    </row>
    <row r="418" spans="38:42" ht="15" customHeight="1">
      <c r="AL418" s="7" t="str">
        <f>IF(A418="","",IF(COUNTIF(A418:A$2001,A418)=1,1,0))</f>
        <v/>
      </c>
      <c r="AM418" s="7" t="str">
        <f t="shared" ca="1" si="21"/>
        <v/>
      </c>
      <c r="AN418" s="7" t="str">
        <f t="shared" si="22"/>
        <v/>
      </c>
      <c r="AO418" s="7" t="str">
        <f t="shared" si="23"/>
        <v/>
      </c>
      <c r="AP418" s="15" t="str">
        <f t="shared" si="24"/>
        <v/>
      </c>
    </row>
    <row r="419" spans="38:42" ht="15" customHeight="1">
      <c r="AL419" s="7" t="str">
        <f>IF(A419="","",IF(COUNTIF(A419:A$2001,A419)=1,1,0))</f>
        <v/>
      </c>
      <c r="AM419" s="7" t="str">
        <f t="shared" ca="1" si="21"/>
        <v/>
      </c>
      <c r="AN419" s="7" t="str">
        <f t="shared" si="22"/>
        <v/>
      </c>
      <c r="AO419" s="7" t="str">
        <f t="shared" si="23"/>
        <v/>
      </c>
      <c r="AP419" s="15" t="str">
        <f t="shared" si="24"/>
        <v/>
      </c>
    </row>
    <row r="420" spans="38:42" ht="15" customHeight="1">
      <c r="AL420" s="7" t="str">
        <f>IF(A420="","",IF(COUNTIF(A420:A$2001,A420)=1,1,0))</f>
        <v/>
      </c>
      <c r="AM420" s="7" t="str">
        <f t="shared" ca="1" si="21"/>
        <v/>
      </c>
      <c r="AN420" s="7" t="str">
        <f t="shared" si="22"/>
        <v/>
      </c>
      <c r="AO420" s="7" t="str">
        <f t="shared" si="23"/>
        <v/>
      </c>
      <c r="AP420" s="15" t="str">
        <f t="shared" si="24"/>
        <v/>
      </c>
    </row>
    <row r="421" spans="38:42" ht="15" customHeight="1">
      <c r="AL421" s="7" t="str">
        <f>IF(A421="","",IF(COUNTIF(A421:A$2001,A421)=1,1,0))</f>
        <v/>
      </c>
      <c r="AM421" s="7" t="str">
        <f t="shared" ca="1" si="21"/>
        <v/>
      </c>
      <c r="AN421" s="7" t="str">
        <f t="shared" si="22"/>
        <v/>
      </c>
      <c r="AO421" s="7" t="str">
        <f t="shared" si="23"/>
        <v/>
      </c>
      <c r="AP421" s="15" t="str">
        <f t="shared" si="24"/>
        <v/>
      </c>
    </row>
    <row r="422" spans="38:42" ht="15" customHeight="1">
      <c r="AL422" s="7" t="str">
        <f>IF(A422="","",IF(COUNTIF(A422:A$2001,A422)=1,1,0))</f>
        <v/>
      </c>
      <c r="AM422" s="7" t="str">
        <f t="shared" ca="1" si="21"/>
        <v/>
      </c>
      <c r="AN422" s="7" t="str">
        <f t="shared" si="22"/>
        <v/>
      </c>
      <c r="AO422" s="7" t="str">
        <f t="shared" si="23"/>
        <v/>
      </c>
      <c r="AP422" s="15" t="str">
        <f t="shared" si="24"/>
        <v/>
      </c>
    </row>
    <row r="423" spans="38:42" ht="15" customHeight="1">
      <c r="AL423" s="7" t="str">
        <f>IF(A423="","",IF(COUNTIF(A423:A$2001,A423)=1,1,0))</f>
        <v/>
      </c>
      <c r="AM423" s="7" t="str">
        <f t="shared" ca="1" si="21"/>
        <v/>
      </c>
      <c r="AN423" s="7" t="str">
        <f t="shared" si="22"/>
        <v/>
      </c>
      <c r="AO423" s="7" t="str">
        <f t="shared" si="23"/>
        <v/>
      </c>
      <c r="AP423" s="15" t="str">
        <f t="shared" si="24"/>
        <v/>
      </c>
    </row>
    <row r="424" spans="38:42" ht="15" customHeight="1">
      <c r="AL424" s="7" t="str">
        <f>IF(A424="","",IF(COUNTIF(A424:A$2001,A424)=1,1,0))</f>
        <v/>
      </c>
      <c r="AM424" s="7" t="str">
        <f t="shared" ca="1" si="21"/>
        <v/>
      </c>
      <c r="AN424" s="7" t="str">
        <f t="shared" si="22"/>
        <v/>
      </c>
      <c r="AO424" s="7" t="str">
        <f t="shared" si="23"/>
        <v/>
      </c>
      <c r="AP424" s="15" t="str">
        <f t="shared" si="24"/>
        <v/>
      </c>
    </row>
    <row r="425" spans="38:42" ht="15" customHeight="1">
      <c r="AL425" s="7" t="str">
        <f>IF(A425="","",IF(COUNTIF(A425:A$2001,A425)=1,1,0))</f>
        <v/>
      </c>
      <c r="AM425" s="7" t="str">
        <f t="shared" ca="1" si="21"/>
        <v/>
      </c>
      <c r="AN425" s="7" t="str">
        <f t="shared" si="22"/>
        <v/>
      </c>
      <c r="AO425" s="7" t="str">
        <f t="shared" si="23"/>
        <v/>
      </c>
      <c r="AP425" s="15" t="str">
        <f t="shared" si="24"/>
        <v/>
      </c>
    </row>
    <row r="426" spans="38:42" ht="15" customHeight="1">
      <c r="AL426" s="7" t="str">
        <f>IF(A426="","",IF(COUNTIF(A426:A$2001,A426)=1,1,0))</f>
        <v/>
      </c>
      <c r="AM426" s="7" t="str">
        <f t="shared" ca="1" si="21"/>
        <v/>
      </c>
      <c r="AN426" s="7" t="str">
        <f t="shared" si="22"/>
        <v/>
      </c>
      <c r="AO426" s="7" t="str">
        <f t="shared" si="23"/>
        <v/>
      </c>
      <c r="AP426" s="15" t="str">
        <f t="shared" si="24"/>
        <v/>
      </c>
    </row>
    <row r="427" spans="38:42" ht="15" customHeight="1">
      <c r="AL427" s="7" t="str">
        <f>IF(A427="","",IF(COUNTIF(A427:A$2001,A427)=1,1,0))</f>
        <v/>
      </c>
      <c r="AM427" s="7" t="str">
        <f t="shared" ca="1" si="21"/>
        <v/>
      </c>
      <c r="AN427" s="7" t="str">
        <f t="shared" si="22"/>
        <v/>
      </c>
      <c r="AO427" s="7" t="str">
        <f t="shared" si="23"/>
        <v/>
      </c>
      <c r="AP427" s="15" t="str">
        <f t="shared" si="24"/>
        <v/>
      </c>
    </row>
    <row r="428" spans="38:42" ht="15" customHeight="1">
      <c r="AL428" s="7" t="str">
        <f>IF(A428="","",IF(COUNTIF(A428:A$2001,A428)=1,1,0))</f>
        <v/>
      </c>
      <c r="AM428" s="7" t="str">
        <f t="shared" ca="1" si="21"/>
        <v/>
      </c>
      <c r="AN428" s="7" t="str">
        <f t="shared" si="22"/>
        <v/>
      </c>
      <c r="AO428" s="7" t="str">
        <f t="shared" si="23"/>
        <v/>
      </c>
      <c r="AP428" s="15" t="str">
        <f t="shared" si="24"/>
        <v/>
      </c>
    </row>
    <row r="429" spans="38:42" ht="15" customHeight="1">
      <c r="AL429" s="7" t="str">
        <f>IF(A429="","",IF(COUNTIF(A429:A$2001,A429)=1,1,0))</f>
        <v/>
      </c>
      <c r="AM429" s="7" t="str">
        <f t="shared" ca="1" si="21"/>
        <v/>
      </c>
      <c r="AN429" s="7" t="str">
        <f t="shared" si="22"/>
        <v/>
      </c>
      <c r="AO429" s="7" t="str">
        <f t="shared" si="23"/>
        <v/>
      </c>
      <c r="AP429" s="15" t="str">
        <f t="shared" si="24"/>
        <v/>
      </c>
    </row>
    <row r="430" spans="38:42" ht="15" customHeight="1">
      <c r="AL430" s="7" t="str">
        <f>IF(A430="","",IF(COUNTIF(A430:A$2001,A430)=1,1,0))</f>
        <v/>
      </c>
      <c r="AM430" s="7" t="str">
        <f t="shared" ca="1" si="21"/>
        <v/>
      </c>
      <c r="AN430" s="7" t="str">
        <f t="shared" si="22"/>
        <v/>
      </c>
      <c r="AO430" s="7" t="str">
        <f t="shared" si="23"/>
        <v/>
      </c>
      <c r="AP430" s="15" t="str">
        <f t="shared" si="24"/>
        <v/>
      </c>
    </row>
    <row r="431" spans="38:42" ht="15" customHeight="1">
      <c r="AL431" s="7" t="str">
        <f>IF(A431="","",IF(COUNTIF(A431:A$2001,A431)=1,1,0))</f>
        <v/>
      </c>
      <c r="AM431" s="7" t="str">
        <f t="shared" ca="1" si="21"/>
        <v/>
      </c>
      <c r="AN431" s="7" t="str">
        <f t="shared" si="22"/>
        <v/>
      </c>
      <c r="AO431" s="7" t="str">
        <f t="shared" si="23"/>
        <v/>
      </c>
      <c r="AP431" s="15" t="str">
        <f t="shared" si="24"/>
        <v/>
      </c>
    </row>
    <row r="432" spans="38:42" ht="15" customHeight="1">
      <c r="AL432" s="7" t="str">
        <f>IF(A432="","",IF(COUNTIF(A432:A$2001,A432)=1,1,0))</f>
        <v/>
      </c>
      <c r="AM432" s="7" t="str">
        <f t="shared" ca="1" si="21"/>
        <v/>
      </c>
      <c r="AN432" s="7" t="str">
        <f t="shared" si="22"/>
        <v/>
      </c>
      <c r="AO432" s="7" t="str">
        <f t="shared" si="23"/>
        <v/>
      </c>
      <c r="AP432" s="15" t="str">
        <f t="shared" si="24"/>
        <v/>
      </c>
    </row>
    <row r="433" spans="38:42" ht="15" customHeight="1">
      <c r="AL433" s="7" t="str">
        <f>IF(A433="","",IF(COUNTIF(A433:A$2001,A433)=1,1,0))</f>
        <v/>
      </c>
      <c r="AM433" s="7" t="str">
        <f t="shared" ca="1" si="21"/>
        <v/>
      </c>
      <c r="AN433" s="7" t="str">
        <f t="shared" si="22"/>
        <v/>
      </c>
      <c r="AO433" s="7" t="str">
        <f t="shared" si="23"/>
        <v/>
      </c>
      <c r="AP433" s="15" t="str">
        <f t="shared" si="24"/>
        <v/>
      </c>
    </row>
    <row r="434" spans="38:42" ht="15" customHeight="1">
      <c r="AL434" s="7" t="str">
        <f>IF(A434="","",IF(COUNTIF(A434:A$2001,A434)=1,1,0))</f>
        <v/>
      </c>
      <c r="AM434" s="7" t="str">
        <f t="shared" ca="1" si="21"/>
        <v/>
      </c>
      <c r="AN434" s="7" t="str">
        <f t="shared" si="22"/>
        <v/>
      </c>
      <c r="AO434" s="7" t="str">
        <f t="shared" si="23"/>
        <v/>
      </c>
      <c r="AP434" s="15" t="str">
        <f t="shared" si="24"/>
        <v/>
      </c>
    </row>
    <row r="435" spans="38:42" ht="15" customHeight="1">
      <c r="AL435" s="7" t="str">
        <f>IF(A435="","",IF(COUNTIF(A435:A$2001,A435)=1,1,0))</f>
        <v/>
      </c>
      <c r="AM435" s="7" t="str">
        <f t="shared" ca="1" si="21"/>
        <v/>
      </c>
      <c r="AN435" s="7" t="str">
        <f t="shared" si="22"/>
        <v/>
      </c>
      <c r="AO435" s="7" t="str">
        <f t="shared" si="23"/>
        <v/>
      </c>
      <c r="AP435" s="15" t="str">
        <f t="shared" si="24"/>
        <v/>
      </c>
    </row>
    <row r="436" spans="38:42" ht="15" customHeight="1">
      <c r="AL436" s="7" t="str">
        <f>IF(A436="","",IF(COUNTIF(A436:A$2001,A436)=1,1,0))</f>
        <v/>
      </c>
      <c r="AM436" s="7" t="str">
        <f t="shared" ca="1" si="21"/>
        <v/>
      </c>
      <c r="AN436" s="7" t="str">
        <f t="shared" si="22"/>
        <v/>
      </c>
      <c r="AO436" s="7" t="str">
        <f t="shared" si="23"/>
        <v/>
      </c>
      <c r="AP436" s="15" t="str">
        <f t="shared" si="24"/>
        <v/>
      </c>
    </row>
    <row r="437" spans="38:42" ht="15" customHeight="1">
      <c r="AL437" s="7" t="str">
        <f>IF(A437="","",IF(COUNTIF(A437:A$2001,A437)=1,1,0))</f>
        <v/>
      </c>
      <c r="AM437" s="7" t="str">
        <f t="shared" ca="1" si="21"/>
        <v/>
      </c>
      <c r="AN437" s="7" t="str">
        <f t="shared" si="22"/>
        <v/>
      </c>
      <c r="AO437" s="7" t="str">
        <f t="shared" si="23"/>
        <v/>
      </c>
      <c r="AP437" s="15" t="str">
        <f t="shared" si="24"/>
        <v/>
      </c>
    </row>
    <row r="438" spans="38:42" ht="15" customHeight="1">
      <c r="AL438" s="7" t="str">
        <f>IF(A438="","",IF(COUNTIF(A438:A$2001,A438)=1,1,0))</f>
        <v/>
      </c>
      <c r="AM438" s="7" t="str">
        <f t="shared" ca="1" si="21"/>
        <v/>
      </c>
      <c r="AN438" s="7" t="str">
        <f t="shared" si="22"/>
        <v/>
      </c>
      <c r="AO438" s="7" t="str">
        <f t="shared" si="23"/>
        <v/>
      </c>
      <c r="AP438" s="15" t="str">
        <f t="shared" si="24"/>
        <v/>
      </c>
    </row>
    <row r="439" spans="38:42" ht="15" customHeight="1">
      <c r="AL439" s="7" t="str">
        <f>IF(A439="","",IF(COUNTIF(A439:A$2001,A439)=1,1,0))</f>
        <v/>
      </c>
      <c r="AM439" s="7" t="str">
        <f t="shared" ca="1" si="21"/>
        <v/>
      </c>
      <c r="AN439" s="7" t="str">
        <f t="shared" si="22"/>
        <v/>
      </c>
      <c r="AO439" s="7" t="str">
        <f t="shared" si="23"/>
        <v/>
      </c>
      <c r="AP439" s="15" t="str">
        <f t="shared" si="24"/>
        <v/>
      </c>
    </row>
    <row r="440" spans="38:42" ht="15" customHeight="1">
      <c r="AL440" s="7" t="str">
        <f>IF(A440="","",IF(COUNTIF(A440:A$2001,A440)=1,1,0))</f>
        <v/>
      </c>
      <c r="AM440" s="7" t="str">
        <f t="shared" ca="1" si="21"/>
        <v/>
      </c>
      <c r="AN440" s="7" t="str">
        <f t="shared" si="22"/>
        <v/>
      </c>
      <c r="AO440" s="7" t="str">
        <f t="shared" si="23"/>
        <v/>
      </c>
      <c r="AP440" s="15" t="str">
        <f t="shared" si="24"/>
        <v/>
      </c>
    </row>
    <row r="441" spans="38:42" ht="15" customHeight="1">
      <c r="AL441" s="7" t="str">
        <f>IF(A441="","",IF(COUNTIF(A441:A$2001,A441)=1,1,0))</f>
        <v/>
      </c>
      <c r="AM441" s="7" t="str">
        <f t="shared" ca="1" si="21"/>
        <v/>
      </c>
      <c r="AN441" s="7" t="str">
        <f t="shared" si="22"/>
        <v/>
      </c>
      <c r="AO441" s="7" t="str">
        <f t="shared" si="23"/>
        <v/>
      </c>
      <c r="AP441" s="15" t="str">
        <f t="shared" si="24"/>
        <v/>
      </c>
    </row>
    <row r="442" spans="38:42" ht="15" customHeight="1">
      <c r="AL442" s="7" t="str">
        <f>IF(A442="","",IF(COUNTIF(A442:A$2001,A442)=1,1,0))</f>
        <v/>
      </c>
      <c r="AM442" s="7" t="str">
        <f t="shared" ca="1" si="21"/>
        <v/>
      </c>
      <c r="AN442" s="7" t="str">
        <f t="shared" si="22"/>
        <v/>
      </c>
      <c r="AO442" s="7" t="str">
        <f t="shared" si="23"/>
        <v/>
      </c>
      <c r="AP442" s="15" t="str">
        <f t="shared" si="24"/>
        <v/>
      </c>
    </row>
    <row r="443" spans="38:42" ht="15" customHeight="1">
      <c r="AL443" s="7" t="str">
        <f>IF(A443="","",IF(COUNTIF(A443:A$2001,A443)=1,1,0))</f>
        <v/>
      </c>
      <c r="AM443" s="7" t="str">
        <f t="shared" ca="1" si="21"/>
        <v/>
      </c>
      <c r="AN443" s="7" t="str">
        <f t="shared" si="22"/>
        <v/>
      </c>
      <c r="AO443" s="7" t="str">
        <f t="shared" si="23"/>
        <v/>
      </c>
      <c r="AP443" s="15" t="str">
        <f t="shared" si="24"/>
        <v/>
      </c>
    </row>
    <row r="444" spans="38:42" ht="15" customHeight="1">
      <c r="AL444" s="7" t="str">
        <f>IF(A444="","",IF(COUNTIF(A444:A$2001,A444)=1,1,0))</f>
        <v/>
      </c>
      <c r="AM444" s="7" t="str">
        <f t="shared" ca="1" si="21"/>
        <v/>
      </c>
      <c r="AN444" s="7" t="str">
        <f t="shared" si="22"/>
        <v/>
      </c>
      <c r="AO444" s="7" t="str">
        <f t="shared" si="23"/>
        <v/>
      </c>
      <c r="AP444" s="15" t="str">
        <f t="shared" si="24"/>
        <v/>
      </c>
    </row>
    <row r="445" spans="38:42" ht="15" customHeight="1">
      <c r="AL445" s="7" t="str">
        <f>IF(A445="","",IF(COUNTIF(A445:A$2001,A445)=1,1,0))</f>
        <v/>
      </c>
      <c r="AM445" s="7" t="str">
        <f t="shared" ca="1" si="21"/>
        <v/>
      </c>
      <c r="AN445" s="7" t="str">
        <f t="shared" si="22"/>
        <v/>
      </c>
      <c r="AO445" s="7" t="str">
        <f t="shared" si="23"/>
        <v/>
      </c>
      <c r="AP445" s="15" t="str">
        <f t="shared" si="24"/>
        <v/>
      </c>
    </row>
    <row r="446" spans="38:42" ht="15" customHeight="1">
      <c r="AL446" s="7" t="str">
        <f>IF(A446="","",IF(COUNTIF(A446:A$2001,A446)=1,1,0))</f>
        <v/>
      </c>
      <c r="AM446" s="7" t="str">
        <f t="shared" ca="1" si="21"/>
        <v/>
      </c>
      <c r="AN446" s="7" t="str">
        <f t="shared" si="22"/>
        <v/>
      </c>
      <c r="AO446" s="7" t="str">
        <f t="shared" si="23"/>
        <v/>
      </c>
      <c r="AP446" s="15" t="str">
        <f t="shared" si="24"/>
        <v/>
      </c>
    </row>
    <row r="447" spans="38:42" ht="15" customHeight="1">
      <c r="AL447" s="7" t="str">
        <f>IF(A447="","",IF(COUNTIF(A447:A$2001,A447)=1,1,0))</f>
        <v/>
      </c>
      <c r="AM447" s="7" t="str">
        <f t="shared" ca="1" si="21"/>
        <v/>
      </c>
      <c r="AN447" s="7" t="str">
        <f t="shared" si="22"/>
        <v/>
      </c>
      <c r="AO447" s="7" t="str">
        <f t="shared" si="23"/>
        <v/>
      </c>
      <c r="AP447" s="15" t="str">
        <f t="shared" si="24"/>
        <v/>
      </c>
    </row>
    <row r="448" spans="38:42" ht="15" customHeight="1">
      <c r="AL448" s="7" t="str">
        <f>IF(A448="","",IF(COUNTIF(A448:A$2001,A448)=1,1,0))</f>
        <v/>
      </c>
      <c r="AM448" s="7" t="str">
        <f t="shared" ca="1" si="21"/>
        <v/>
      </c>
      <c r="AN448" s="7" t="str">
        <f t="shared" si="22"/>
        <v/>
      </c>
      <c r="AO448" s="7" t="str">
        <f t="shared" si="23"/>
        <v/>
      </c>
      <c r="AP448" s="15" t="str">
        <f t="shared" si="24"/>
        <v/>
      </c>
    </row>
    <row r="449" spans="38:42" ht="15" customHeight="1">
      <c r="AL449" s="7" t="str">
        <f>IF(A449="","",IF(COUNTIF(A449:A$2001,A449)=1,1,0))</f>
        <v/>
      </c>
      <c r="AM449" s="7" t="str">
        <f t="shared" ca="1" si="21"/>
        <v/>
      </c>
      <c r="AN449" s="7" t="str">
        <f t="shared" si="22"/>
        <v/>
      </c>
      <c r="AO449" s="7" t="str">
        <f t="shared" si="23"/>
        <v/>
      </c>
      <c r="AP449" s="15" t="str">
        <f t="shared" si="24"/>
        <v/>
      </c>
    </row>
    <row r="450" spans="38:42" ht="15" customHeight="1">
      <c r="AL450" s="7" t="str">
        <f>IF(A450="","",IF(COUNTIF(A450:A$2001,A450)=1,1,0))</f>
        <v/>
      </c>
      <c r="AM450" s="7" t="str">
        <f t="shared" ref="AM450:AM513" ca="1" si="25">IF(I450="","",TODAY()-I450)</f>
        <v/>
      </c>
      <c r="AN450" s="7" t="str">
        <f t="shared" ref="AN450:AN513" si="26">IF(A450="","",IF(AND(E450&lt;&gt;"33 確認済",E450&lt;&gt;"36 送付中"),1,0))</f>
        <v/>
      </c>
      <c r="AO450" s="7" t="str">
        <f t="shared" ref="AO450:AO513" si="27">IF(A450="","",IF(AG450&lt;&gt;"",1,0))</f>
        <v/>
      </c>
      <c r="AP450" s="15" t="str">
        <f t="shared" ref="AP450:AP513" si="28">IF(P450&lt;&gt;"","・添待ち","")&amp;IF(Q450&lt;&gt;"","・住民票","")&amp;IF(R450&lt;&gt;"","・発信","")&amp;IF(S450&lt;&gt;"","・確認事項","")&amp;IF(T450&lt;&gt;"","・管","")&amp;IF(U450&lt;&gt;"","・SV","")&amp;IF(V450&lt;&gt;"","・データ送付待ち","")&amp;IF(W450&lt;&gt;"","・削除","")</f>
        <v/>
      </c>
    </row>
    <row r="451" spans="38:42" ht="15" customHeight="1">
      <c r="AL451" s="7" t="str">
        <f>IF(A451="","",IF(COUNTIF(A451:A$2001,A451)=1,1,0))</f>
        <v/>
      </c>
      <c r="AM451" s="7" t="str">
        <f t="shared" ca="1" si="25"/>
        <v/>
      </c>
      <c r="AN451" s="7" t="str">
        <f t="shared" si="26"/>
        <v/>
      </c>
      <c r="AO451" s="7" t="str">
        <f t="shared" si="27"/>
        <v/>
      </c>
      <c r="AP451" s="15" t="str">
        <f t="shared" si="28"/>
        <v/>
      </c>
    </row>
    <row r="452" spans="38:42" ht="15" customHeight="1">
      <c r="AL452" s="7" t="str">
        <f>IF(A452="","",IF(COUNTIF(A452:A$2001,A452)=1,1,0))</f>
        <v/>
      </c>
      <c r="AM452" s="7" t="str">
        <f t="shared" ca="1" si="25"/>
        <v/>
      </c>
      <c r="AN452" s="7" t="str">
        <f t="shared" si="26"/>
        <v/>
      </c>
      <c r="AO452" s="7" t="str">
        <f t="shared" si="27"/>
        <v/>
      </c>
      <c r="AP452" s="15" t="str">
        <f t="shared" si="28"/>
        <v/>
      </c>
    </row>
    <row r="453" spans="38:42" ht="15" customHeight="1">
      <c r="AL453" s="7" t="str">
        <f>IF(A453="","",IF(COUNTIF(A453:A$2001,A453)=1,1,0))</f>
        <v/>
      </c>
      <c r="AM453" s="7" t="str">
        <f t="shared" ca="1" si="25"/>
        <v/>
      </c>
      <c r="AN453" s="7" t="str">
        <f t="shared" si="26"/>
        <v/>
      </c>
      <c r="AO453" s="7" t="str">
        <f t="shared" si="27"/>
        <v/>
      </c>
      <c r="AP453" s="15" t="str">
        <f t="shared" si="28"/>
        <v/>
      </c>
    </row>
    <row r="454" spans="38:42" ht="15" customHeight="1">
      <c r="AL454" s="7" t="str">
        <f>IF(A454="","",IF(COUNTIF(A454:A$2001,A454)=1,1,0))</f>
        <v/>
      </c>
      <c r="AM454" s="7" t="str">
        <f t="shared" ca="1" si="25"/>
        <v/>
      </c>
      <c r="AN454" s="7" t="str">
        <f t="shared" si="26"/>
        <v/>
      </c>
      <c r="AO454" s="7" t="str">
        <f t="shared" si="27"/>
        <v/>
      </c>
      <c r="AP454" s="15" t="str">
        <f t="shared" si="28"/>
        <v/>
      </c>
    </row>
    <row r="455" spans="38:42" ht="15" customHeight="1">
      <c r="AL455" s="7" t="str">
        <f>IF(A455="","",IF(COUNTIF(A455:A$2001,A455)=1,1,0))</f>
        <v/>
      </c>
      <c r="AM455" s="7" t="str">
        <f t="shared" ca="1" si="25"/>
        <v/>
      </c>
      <c r="AN455" s="7" t="str">
        <f t="shared" si="26"/>
        <v/>
      </c>
      <c r="AO455" s="7" t="str">
        <f t="shared" si="27"/>
        <v/>
      </c>
      <c r="AP455" s="15" t="str">
        <f t="shared" si="28"/>
        <v/>
      </c>
    </row>
    <row r="456" spans="38:42" ht="15" customHeight="1">
      <c r="AL456" s="7" t="str">
        <f>IF(A456="","",IF(COUNTIF(A456:A$2001,A456)=1,1,0))</f>
        <v/>
      </c>
      <c r="AM456" s="7" t="str">
        <f t="shared" ca="1" si="25"/>
        <v/>
      </c>
      <c r="AN456" s="7" t="str">
        <f t="shared" si="26"/>
        <v/>
      </c>
      <c r="AO456" s="7" t="str">
        <f t="shared" si="27"/>
        <v/>
      </c>
      <c r="AP456" s="15" t="str">
        <f t="shared" si="28"/>
        <v/>
      </c>
    </row>
    <row r="457" spans="38:42" ht="15" customHeight="1">
      <c r="AL457" s="7" t="str">
        <f>IF(A457="","",IF(COUNTIF(A457:A$2001,A457)=1,1,0))</f>
        <v/>
      </c>
      <c r="AM457" s="7" t="str">
        <f t="shared" ca="1" si="25"/>
        <v/>
      </c>
      <c r="AN457" s="7" t="str">
        <f t="shared" si="26"/>
        <v/>
      </c>
      <c r="AO457" s="7" t="str">
        <f t="shared" si="27"/>
        <v/>
      </c>
      <c r="AP457" s="15" t="str">
        <f t="shared" si="28"/>
        <v/>
      </c>
    </row>
    <row r="458" spans="38:42" ht="15" customHeight="1">
      <c r="AL458" s="7" t="str">
        <f>IF(A458="","",IF(COUNTIF(A458:A$2001,A458)=1,1,0))</f>
        <v/>
      </c>
      <c r="AM458" s="7" t="str">
        <f t="shared" ca="1" si="25"/>
        <v/>
      </c>
      <c r="AN458" s="7" t="str">
        <f t="shared" si="26"/>
        <v/>
      </c>
      <c r="AO458" s="7" t="str">
        <f t="shared" si="27"/>
        <v/>
      </c>
      <c r="AP458" s="15" t="str">
        <f t="shared" si="28"/>
        <v/>
      </c>
    </row>
    <row r="459" spans="38:42" ht="15" customHeight="1">
      <c r="AL459" s="7" t="str">
        <f>IF(A459="","",IF(COUNTIF(A459:A$2001,A459)=1,1,0))</f>
        <v/>
      </c>
      <c r="AM459" s="7" t="str">
        <f t="shared" ca="1" si="25"/>
        <v/>
      </c>
      <c r="AN459" s="7" t="str">
        <f t="shared" si="26"/>
        <v/>
      </c>
      <c r="AO459" s="7" t="str">
        <f t="shared" si="27"/>
        <v/>
      </c>
      <c r="AP459" s="15" t="str">
        <f t="shared" si="28"/>
        <v/>
      </c>
    </row>
    <row r="460" spans="38:42" ht="15" customHeight="1">
      <c r="AL460" s="7" t="str">
        <f>IF(A460="","",IF(COUNTIF(A460:A$2001,A460)=1,1,0))</f>
        <v/>
      </c>
      <c r="AM460" s="7" t="str">
        <f t="shared" ca="1" si="25"/>
        <v/>
      </c>
      <c r="AN460" s="7" t="str">
        <f t="shared" si="26"/>
        <v/>
      </c>
      <c r="AO460" s="7" t="str">
        <f t="shared" si="27"/>
        <v/>
      </c>
      <c r="AP460" s="15" t="str">
        <f t="shared" si="28"/>
        <v/>
      </c>
    </row>
    <row r="461" spans="38:42" ht="15" customHeight="1">
      <c r="AL461" s="7" t="str">
        <f>IF(A461="","",IF(COUNTIF(A461:A$2001,A461)=1,1,0))</f>
        <v/>
      </c>
      <c r="AM461" s="7" t="str">
        <f t="shared" ca="1" si="25"/>
        <v/>
      </c>
      <c r="AN461" s="7" t="str">
        <f t="shared" si="26"/>
        <v/>
      </c>
      <c r="AO461" s="7" t="str">
        <f t="shared" si="27"/>
        <v/>
      </c>
      <c r="AP461" s="15" t="str">
        <f t="shared" si="28"/>
        <v/>
      </c>
    </row>
    <row r="462" spans="38:42" ht="15" customHeight="1">
      <c r="AL462" s="7" t="str">
        <f>IF(A462="","",IF(COUNTIF(A462:A$2001,A462)=1,1,0))</f>
        <v/>
      </c>
      <c r="AM462" s="7" t="str">
        <f t="shared" ca="1" si="25"/>
        <v/>
      </c>
      <c r="AN462" s="7" t="str">
        <f t="shared" si="26"/>
        <v/>
      </c>
      <c r="AO462" s="7" t="str">
        <f t="shared" si="27"/>
        <v/>
      </c>
      <c r="AP462" s="15" t="str">
        <f t="shared" si="28"/>
        <v/>
      </c>
    </row>
    <row r="463" spans="38:42" ht="15" customHeight="1">
      <c r="AL463" s="7" t="str">
        <f>IF(A463="","",IF(COUNTIF(A463:A$2001,A463)=1,1,0))</f>
        <v/>
      </c>
      <c r="AM463" s="7" t="str">
        <f t="shared" ca="1" si="25"/>
        <v/>
      </c>
      <c r="AN463" s="7" t="str">
        <f t="shared" si="26"/>
        <v/>
      </c>
      <c r="AO463" s="7" t="str">
        <f t="shared" si="27"/>
        <v/>
      </c>
      <c r="AP463" s="15" t="str">
        <f t="shared" si="28"/>
        <v/>
      </c>
    </row>
    <row r="464" spans="38:42" ht="15" customHeight="1">
      <c r="AL464" s="7" t="str">
        <f>IF(A464="","",IF(COUNTIF(A464:A$2001,A464)=1,1,0))</f>
        <v/>
      </c>
      <c r="AM464" s="7" t="str">
        <f t="shared" ca="1" si="25"/>
        <v/>
      </c>
      <c r="AN464" s="7" t="str">
        <f t="shared" si="26"/>
        <v/>
      </c>
      <c r="AO464" s="7" t="str">
        <f t="shared" si="27"/>
        <v/>
      </c>
      <c r="AP464" s="15" t="str">
        <f t="shared" si="28"/>
        <v/>
      </c>
    </row>
    <row r="465" spans="38:42" ht="15" customHeight="1">
      <c r="AL465" s="7" t="str">
        <f>IF(A465="","",IF(COUNTIF(A465:A$2001,A465)=1,1,0))</f>
        <v/>
      </c>
      <c r="AM465" s="7" t="str">
        <f t="shared" ca="1" si="25"/>
        <v/>
      </c>
      <c r="AN465" s="7" t="str">
        <f t="shared" si="26"/>
        <v/>
      </c>
      <c r="AO465" s="7" t="str">
        <f t="shared" si="27"/>
        <v/>
      </c>
      <c r="AP465" s="15" t="str">
        <f t="shared" si="28"/>
        <v/>
      </c>
    </row>
    <row r="466" spans="38:42" ht="15" customHeight="1">
      <c r="AL466" s="7" t="str">
        <f>IF(A466="","",IF(COUNTIF(A466:A$2001,A466)=1,1,0))</f>
        <v/>
      </c>
      <c r="AM466" s="7" t="str">
        <f t="shared" ca="1" si="25"/>
        <v/>
      </c>
      <c r="AN466" s="7" t="str">
        <f t="shared" si="26"/>
        <v/>
      </c>
      <c r="AO466" s="7" t="str">
        <f t="shared" si="27"/>
        <v/>
      </c>
      <c r="AP466" s="15" t="str">
        <f t="shared" si="28"/>
        <v/>
      </c>
    </row>
    <row r="467" spans="38:42" ht="15" customHeight="1">
      <c r="AL467" s="7" t="str">
        <f>IF(A467="","",IF(COUNTIF(A467:A$2001,A467)=1,1,0))</f>
        <v/>
      </c>
      <c r="AM467" s="7" t="str">
        <f t="shared" ca="1" si="25"/>
        <v/>
      </c>
      <c r="AN467" s="7" t="str">
        <f t="shared" si="26"/>
        <v/>
      </c>
      <c r="AO467" s="7" t="str">
        <f t="shared" si="27"/>
        <v/>
      </c>
      <c r="AP467" s="15" t="str">
        <f t="shared" si="28"/>
        <v/>
      </c>
    </row>
    <row r="468" spans="38:42" ht="15" customHeight="1">
      <c r="AL468" s="7" t="str">
        <f>IF(A468="","",IF(COUNTIF(A468:A$2001,A468)=1,1,0))</f>
        <v/>
      </c>
      <c r="AM468" s="7" t="str">
        <f t="shared" ca="1" si="25"/>
        <v/>
      </c>
      <c r="AN468" s="7" t="str">
        <f t="shared" si="26"/>
        <v/>
      </c>
      <c r="AO468" s="7" t="str">
        <f t="shared" si="27"/>
        <v/>
      </c>
      <c r="AP468" s="15" t="str">
        <f t="shared" si="28"/>
        <v/>
      </c>
    </row>
    <row r="469" spans="38:42" ht="15" customHeight="1">
      <c r="AL469" s="7" t="str">
        <f>IF(A469="","",IF(COUNTIF(A469:A$2001,A469)=1,1,0))</f>
        <v/>
      </c>
      <c r="AM469" s="7" t="str">
        <f t="shared" ca="1" si="25"/>
        <v/>
      </c>
      <c r="AN469" s="7" t="str">
        <f t="shared" si="26"/>
        <v/>
      </c>
      <c r="AO469" s="7" t="str">
        <f t="shared" si="27"/>
        <v/>
      </c>
      <c r="AP469" s="15" t="str">
        <f t="shared" si="28"/>
        <v/>
      </c>
    </row>
    <row r="470" spans="38:42" ht="15" customHeight="1">
      <c r="AL470" s="7" t="str">
        <f>IF(A470="","",IF(COUNTIF(A470:A$2001,A470)=1,1,0))</f>
        <v/>
      </c>
      <c r="AM470" s="7" t="str">
        <f t="shared" ca="1" si="25"/>
        <v/>
      </c>
      <c r="AN470" s="7" t="str">
        <f t="shared" si="26"/>
        <v/>
      </c>
      <c r="AO470" s="7" t="str">
        <f t="shared" si="27"/>
        <v/>
      </c>
      <c r="AP470" s="15" t="str">
        <f t="shared" si="28"/>
        <v/>
      </c>
    </row>
    <row r="471" spans="38:42" ht="15" customHeight="1">
      <c r="AL471" s="7" t="str">
        <f>IF(A471="","",IF(COUNTIF(A471:A$2001,A471)=1,1,0))</f>
        <v/>
      </c>
      <c r="AM471" s="7" t="str">
        <f t="shared" ca="1" si="25"/>
        <v/>
      </c>
      <c r="AN471" s="7" t="str">
        <f t="shared" si="26"/>
        <v/>
      </c>
      <c r="AO471" s="7" t="str">
        <f t="shared" si="27"/>
        <v/>
      </c>
      <c r="AP471" s="15" t="str">
        <f t="shared" si="28"/>
        <v/>
      </c>
    </row>
    <row r="472" spans="38:42" ht="15" customHeight="1">
      <c r="AL472" s="7" t="str">
        <f>IF(A472="","",IF(COUNTIF(A472:A$2001,A472)=1,1,0))</f>
        <v/>
      </c>
      <c r="AM472" s="7" t="str">
        <f t="shared" ca="1" si="25"/>
        <v/>
      </c>
      <c r="AN472" s="7" t="str">
        <f t="shared" si="26"/>
        <v/>
      </c>
      <c r="AO472" s="7" t="str">
        <f t="shared" si="27"/>
        <v/>
      </c>
      <c r="AP472" s="15" t="str">
        <f t="shared" si="28"/>
        <v/>
      </c>
    </row>
    <row r="473" spans="38:42" ht="15" customHeight="1">
      <c r="AL473" s="7" t="str">
        <f>IF(A473="","",IF(COUNTIF(A473:A$2001,A473)=1,1,0))</f>
        <v/>
      </c>
      <c r="AM473" s="7" t="str">
        <f t="shared" ca="1" si="25"/>
        <v/>
      </c>
      <c r="AN473" s="7" t="str">
        <f t="shared" si="26"/>
        <v/>
      </c>
      <c r="AO473" s="7" t="str">
        <f t="shared" si="27"/>
        <v/>
      </c>
      <c r="AP473" s="15" t="str">
        <f t="shared" si="28"/>
        <v/>
      </c>
    </row>
    <row r="474" spans="38:42" ht="15" customHeight="1">
      <c r="AL474" s="7" t="str">
        <f>IF(A474="","",IF(COUNTIF(A474:A$2001,A474)=1,1,0))</f>
        <v/>
      </c>
      <c r="AM474" s="7" t="str">
        <f t="shared" ca="1" si="25"/>
        <v/>
      </c>
      <c r="AN474" s="7" t="str">
        <f t="shared" si="26"/>
        <v/>
      </c>
      <c r="AO474" s="7" t="str">
        <f t="shared" si="27"/>
        <v/>
      </c>
      <c r="AP474" s="15" t="str">
        <f t="shared" si="28"/>
        <v/>
      </c>
    </row>
    <row r="475" spans="38:42" ht="15" customHeight="1">
      <c r="AL475" s="7" t="str">
        <f>IF(A475="","",IF(COUNTIF(A475:A$2001,A475)=1,1,0))</f>
        <v/>
      </c>
      <c r="AM475" s="7" t="str">
        <f t="shared" ca="1" si="25"/>
        <v/>
      </c>
      <c r="AN475" s="7" t="str">
        <f t="shared" si="26"/>
        <v/>
      </c>
      <c r="AO475" s="7" t="str">
        <f t="shared" si="27"/>
        <v/>
      </c>
      <c r="AP475" s="15" t="str">
        <f t="shared" si="28"/>
        <v/>
      </c>
    </row>
    <row r="476" spans="38:42" ht="15" customHeight="1">
      <c r="AL476" s="7" t="str">
        <f>IF(A476="","",IF(COUNTIF(A476:A$2001,A476)=1,1,0))</f>
        <v/>
      </c>
      <c r="AM476" s="7" t="str">
        <f t="shared" ca="1" si="25"/>
        <v/>
      </c>
      <c r="AN476" s="7" t="str">
        <f t="shared" si="26"/>
        <v/>
      </c>
      <c r="AO476" s="7" t="str">
        <f t="shared" si="27"/>
        <v/>
      </c>
      <c r="AP476" s="15" t="str">
        <f t="shared" si="28"/>
        <v/>
      </c>
    </row>
    <row r="477" spans="38:42" ht="15" customHeight="1">
      <c r="AL477" s="7" t="str">
        <f>IF(A477="","",IF(COUNTIF(A477:A$2001,A477)=1,1,0))</f>
        <v/>
      </c>
      <c r="AM477" s="7" t="str">
        <f t="shared" ca="1" si="25"/>
        <v/>
      </c>
      <c r="AN477" s="7" t="str">
        <f t="shared" si="26"/>
        <v/>
      </c>
      <c r="AO477" s="7" t="str">
        <f t="shared" si="27"/>
        <v/>
      </c>
      <c r="AP477" s="15" t="str">
        <f t="shared" si="28"/>
        <v/>
      </c>
    </row>
    <row r="478" spans="38:42" ht="15" customHeight="1">
      <c r="AL478" s="7" t="str">
        <f>IF(A478="","",IF(COUNTIF(A478:A$2001,A478)=1,1,0))</f>
        <v/>
      </c>
      <c r="AM478" s="7" t="str">
        <f t="shared" ca="1" si="25"/>
        <v/>
      </c>
      <c r="AN478" s="7" t="str">
        <f t="shared" si="26"/>
        <v/>
      </c>
      <c r="AO478" s="7" t="str">
        <f t="shared" si="27"/>
        <v/>
      </c>
      <c r="AP478" s="15" t="str">
        <f t="shared" si="28"/>
        <v/>
      </c>
    </row>
    <row r="479" spans="38:42" ht="15" customHeight="1">
      <c r="AL479" s="7" t="str">
        <f>IF(A479="","",IF(COUNTIF(A479:A$2001,A479)=1,1,0))</f>
        <v/>
      </c>
      <c r="AM479" s="7" t="str">
        <f t="shared" ca="1" si="25"/>
        <v/>
      </c>
      <c r="AN479" s="7" t="str">
        <f t="shared" si="26"/>
        <v/>
      </c>
      <c r="AO479" s="7" t="str">
        <f t="shared" si="27"/>
        <v/>
      </c>
      <c r="AP479" s="15" t="str">
        <f t="shared" si="28"/>
        <v/>
      </c>
    </row>
    <row r="480" spans="38:42" ht="15" customHeight="1">
      <c r="AL480" s="7" t="str">
        <f>IF(A480="","",IF(COUNTIF(A480:A$2001,A480)=1,1,0))</f>
        <v/>
      </c>
      <c r="AM480" s="7" t="str">
        <f t="shared" ca="1" si="25"/>
        <v/>
      </c>
      <c r="AN480" s="7" t="str">
        <f t="shared" si="26"/>
        <v/>
      </c>
      <c r="AO480" s="7" t="str">
        <f t="shared" si="27"/>
        <v/>
      </c>
      <c r="AP480" s="15" t="str">
        <f t="shared" si="28"/>
        <v/>
      </c>
    </row>
    <row r="481" spans="38:42" ht="15" customHeight="1">
      <c r="AL481" s="7" t="str">
        <f>IF(A481="","",IF(COUNTIF(A481:A$2001,A481)=1,1,0))</f>
        <v/>
      </c>
      <c r="AM481" s="7" t="str">
        <f t="shared" ca="1" si="25"/>
        <v/>
      </c>
      <c r="AN481" s="7" t="str">
        <f t="shared" si="26"/>
        <v/>
      </c>
      <c r="AO481" s="7" t="str">
        <f t="shared" si="27"/>
        <v/>
      </c>
      <c r="AP481" s="15" t="str">
        <f t="shared" si="28"/>
        <v/>
      </c>
    </row>
    <row r="482" spans="38:42" ht="15" customHeight="1">
      <c r="AL482" s="7" t="str">
        <f>IF(A482="","",IF(COUNTIF(A482:A$2001,A482)=1,1,0))</f>
        <v/>
      </c>
      <c r="AM482" s="7" t="str">
        <f t="shared" ca="1" si="25"/>
        <v/>
      </c>
      <c r="AN482" s="7" t="str">
        <f t="shared" si="26"/>
        <v/>
      </c>
      <c r="AO482" s="7" t="str">
        <f t="shared" si="27"/>
        <v/>
      </c>
      <c r="AP482" s="15" t="str">
        <f t="shared" si="28"/>
        <v/>
      </c>
    </row>
    <row r="483" spans="38:42" ht="15" customHeight="1">
      <c r="AL483" s="7" t="str">
        <f>IF(A483="","",IF(COUNTIF(A483:A$2001,A483)=1,1,0))</f>
        <v/>
      </c>
      <c r="AM483" s="7" t="str">
        <f t="shared" ca="1" si="25"/>
        <v/>
      </c>
      <c r="AN483" s="7" t="str">
        <f t="shared" si="26"/>
        <v/>
      </c>
      <c r="AO483" s="7" t="str">
        <f t="shared" si="27"/>
        <v/>
      </c>
      <c r="AP483" s="15" t="str">
        <f t="shared" si="28"/>
        <v/>
      </c>
    </row>
    <row r="484" spans="38:42" ht="15" customHeight="1">
      <c r="AL484" s="7" t="str">
        <f>IF(A484="","",IF(COUNTIF(A484:A$2001,A484)=1,1,0))</f>
        <v/>
      </c>
      <c r="AM484" s="7" t="str">
        <f t="shared" ca="1" si="25"/>
        <v/>
      </c>
      <c r="AN484" s="7" t="str">
        <f t="shared" si="26"/>
        <v/>
      </c>
      <c r="AO484" s="7" t="str">
        <f t="shared" si="27"/>
        <v/>
      </c>
      <c r="AP484" s="15" t="str">
        <f t="shared" si="28"/>
        <v/>
      </c>
    </row>
    <row r="485" spans="38:42" ht="15" customHeight="1">
      <c r="AL485" s="7" t="str">
        <f>IF(A485="","",IF(COUNTIF(A485:A$2001,A485)=1,1,0))</f>
        <v/>
      </c>
      <c r="AM485" s="7" t="str">
        <f t="shared" ca="1" si="25"/>
        <v/>
      </c>
      <c r="AN485" s="7" t="str">
        <f t="shared" si="26"/>
        <v/>
      </c>
      <c r="AO485" s="7" t="str">
        <f t="shared" si="27"/>
        <v/>
      </c>
      <c r="AP485" s="15" t="str">
        <f t="shared" si="28"/>
        <v/>
      </c>
    </row>
    <row r="486" spans="38:42" ht="15" customHeight="1">
      <c r="AL486" s="7" t="str">
        <f>IF(A486="","",IF(COUNTIF(A486:A$2001,A486)=1,1,0))</f>
        <v/>
      </c>
      <c r="AM486" s="7" t="str">
        <f t="shared" ca="1" si="25"/>
        <v/>
      </c>
      <c r="AN486" s="7" t="str">
        <f t="shared" si="26"/>
        <v/>
      </c>
      <c r="AO486" s="7" t="str">
        <f t="shared" si="27"/>
        <v/>
      </c>
      <c r="AP486" s="15" t="str">
        <f t="shared" si="28"/>
        <v/>
      </c>
    </row>
    <row r="487" spans="38:42" ht="15" customHeight="1">
      <c r="AL487" s="7" t="str">
        <f>IF(A487="","",IF(COUNTIF(A487:A$2001,A487)=1,1,0))</f>
        <v/>
      </c>
      <c r="AM487" s="7" t="str">
        <f t="shared" ca="1" si="25"/>
        <v/>
      </c>
      <c r="AN487" s="7" t="str">
        <f t="shared" si="26"/>
        <v/>
      </c>
      <c r="AO487" s="7" t="str">
        <f t="shared" si="27"/>
        <v/>
      </c>
      <c r="AP487" s="15" t="str">
        <f t="shared" si="28"/>
        <v/>
      </c>
    </row>
    <row r="488" spans="38:42" ht="15" customHeight="1">
      <c r="AL488" s="7" t="str">
        <f>IF(A488="","",IF(COUNTIF(A488:A$2001,A488)=1,1,0))</f>
        <v/>
      </c>
      <c r="AM488" s="7" t="str">
        <f t="shared" ca="1" si="25"/>
        <v/>
      </c>
      <c r="AN488" s="7" t="str">
        <f t="shared" si="26"/>
        <v/>
      </c>
      <c r="AO488" s="7" t="str">
        <f t="shared" si="27"/>
        <v/>
      </c>
      <c r="AP488" s="15" t="str">
        <f t="shared" si="28"/>
        <v/>
      </c>
    </row>
    <row r="489" spans="38:42" ht="15" customHeight="1">
      <c r="AL489" s="7" t="str">
        <f>IF(A489="","",IF(COUNTIF(A489:A$2001,A489)=1,1,0))</f>
        <v/>
      </c>
      <c r="AM489" s="7" t="str">
        <f t="shared" ca="1" si="25"/>
        <v/>
      </c>
      <c r="AN489" s="7" t="str">
        <f t="shared" si="26"/>
        <v/>
      </c>
      <c r="AO489" s="7" t="str">
        <f t="shared" si="27"/>
        <v/>
      </c>
      <c r="AP489" s="15" t="str">
        <f t="shared" si="28"/>
        <v/>
      </c>
    </row>
    <row r="490" spans="38:42" ht="15" customHeight="1">
      <c r="AL490" s="7" t="str">
        <f>IF(A490="","",IF(COUNTIF(A490:A$2001,A490)=1,1,0))</f>
        <v/>
      </c>
      <c r="AM490" s="7" t="str">
        <f t="shared" ca="1" si="25"/>
        <v/>
      </c>
      <c r="AN490" s="7" t="str">
        <f t="shared" si="26"/>
        <v/>
      </c>
      <c r="AO490" s="7" t="str">
        <f t="shared" si="27"/>
        <v/>
      </c>
      <c r="AP490" s="15" t="str">
        <f t="shared" si="28"/>
        <v/>
      </c>
    </row>
    <row r="491" spans="38:42" ht="15" customHeight="1">
      <c r="AL491" s="7" t="str">
        <f>IF(A491="","",IF(COUNTIF(A491:A$2001,A491)=1,1,0))</f>
        <v/>
      </c>
      <c r="AM491" s="7" t="str">
        <f t="shared" ca="1" si="25"/>
        <v/>
      </c>
      <c r="AN491" s="7" t="str">
        <f t="shared" si="26"/>
        <v/>
      </c>
      <c r="AO491" s="7" t="str">
        <f t="shared" si="27"/>
        <v/>
      </c>
      <c r="AP491" s="15" t="str">
        <f t="shared" si="28"/>
        <v/>
      </c>
    </row>
    <row r="492" spans="38:42" ht="15" customHeight="1">
      <c r="AL492" s="7" t="str">
        <f>IF(A492="","",IF(COUNTIF(A492:A$2001,A492)=1,1,0))</f>
        <v/>
      </c>
      <c r="AM492" s="7" t="str">
        <f t="shared" ca="1" si="25"/>
        <v/>
      </c>
      <c r="AN492" s="7" t="str">
        <f t="shared" si="26"/>
        <v/>
      </c>
      <c r="AO492" s="7" t="str">
        <f t="shared" si="27"/>
        <v/>
      </c>
      <c r="AP492" s="15" t="str">
        <f t="shared" si="28"/>
        <v/>
      </c>
    </row>
    <row r="493" spans="38:42" ht="15" customHeight="1">
      <c r="AL493" s="7" t="str">
        <f>IF(A493="","",IF(COUNTIF(A493:A$2001,A493)=1,1,0))</f>
        <v/>
      </c>
      <c r="AM493" s="7" t="str">
        <f t="shared" ca="1" si="25"/>
        <v/>
      </c>
      <c r="AN493" s="7" t="str">
        <f t="shared" si="26"/>
        <v/>
      </c>
      <c r="AO493" s="7" t="str">
        <f t="shared" si="27"/>
        <v/>
      </c>
      <c r="AP493" s="15" t="str">
        <f t="shared" si="28"/>
        <v/>
      </c>
    </row>
    <row r="494" spans="38:42" ht="15" customHeight="1">
      <c r="AL494" s="7" t="str">
        <f>IF(A494="","",IF(COUNTIF(A494:A$2001,A494)=1,1,0))</f>
        <v/>
      </c>
      <c r="AM494" s="7" t="str">
        <f t="shared" ca="1" si="25"/>
        <v/>
      </c>
      <c r="AN494" s="7" t="str">
        <f t="shared" si="26"/>
        <v/>
      </c>
      <c r="AO494" s="7" t="str">
        <f t="shared" si="27"/>
        <v/>
      </c>
      <c r="AP494" s="15" t="str">
        <f t="shared" si="28"/>
        <v/>
      </c>
    </row>
    <row r="495" spans="38:42" ht="15" customHeight="1">
      <c r="AL495" s="7" t="str">
        <f>IF(A495="","",IF(COUNTIF(A495:A$2001,A495)=1,1,0))</f>
        <v/>
      </c>
      <c r="AM495" s="7" t="str">
        <f t="shared" ca="1" si="25"/>
        <v/>
      </c>
      <c r="AN495" s="7" t="str">
        <f t="shared" si="26"/>
        <v/>
      </c>
      <c r="AO495" s="7" t="str">
        <f t="shared" si="27"/>
        <v/>
      </c>
      <c r="AP495" s="15" t="str">
        <f t="shared" si="28"/>
        <v/>
      </c>
    </row>
    <row r="496" spans="38:42" ht="15" customHeight="1">
      <c r="AL496" s="7" t="str">
        <f>IF(A496="","",IF(COUNTIF(A496:A$2001,A496)=1,1,0))</f>
        <v/>
      </c>
      <c r="AM496" s="7" t="str">
        <f t="shared" ca="1" si="25"/>
        <v/>
      </c>
      <c r="AN496" s="7" t="str">
        <f t="shared" si="26"/>
        <v/>
      </c>
      <c r="AO496" s="7" t="str">
        <f t="shared" si="27"/>
        <v/>
      </c>
      <c r="AP496" s="15" t="str">
        <f t="shared" si="28"/>
        <v/>
      </c>
    </row>
    <row r="497" spans="38:42" ht="15" customHeight="1">
      <c r="AL497" s="7" t="str">
        <f>IF(A497="","",IF(COUNTIF(A497:A$2001,A497)=1,1,0))</f>
        <v/>
      </c>
      <c r="AM497" s="7" t="str">
        <f t="shared" ca="1" si="25"/>
        <v/>
      </c>
      <c r="AN497" s="7" t="str">
        <f t="shared" si="26"/>
        <v/>
      </c>
      <c r="AO497" s="7" t="str">
        <f t="shared" si="27"/>
        <v/>
      </c>
      <c r="AP497" s="15" t="str">
        <f t="shared" si="28"/>
        <v/>
      </c>
    </row>
    <row r="498" spans="38:42" ht="15" customHeight="1">
      <c r="AL498" s="7" t="str">
        <f>IF(A498="","",IF(COUNTIF(A498:A$2001,A498)=1,1,0))</f>
        <v/>
      </c>
      <c r="AM498" s="7" t="str">
        <f t="shared" ca="1" si="25"/>
        <v/>
      </c>
      <c r="AN498" s="7" t="str">
        <f t="shared" si="26"/>
        <v/>
      </c>
      <c r="AO498" s="7" t="str">
        <f t="shared" si="27"/>
        <v/>
      </c>
      <c r="AP498" s="15" t="str">
        <f t="shared" si="28"/>
        <v/>
      </c>
    </row>
    <row r="499" spans="38:42" ht="15" customHeight="1">
      <c r="AL499" s="7" t="str">
        <f>IF(A499="","",IF(COUNTIF(A499:A$2001,A499)=1,1,0))</f>
        <v/>
      </c>
      <c r="AM499" s="7" t="str">
        <f t="shared" ca="1" si="25"/>
        <v/>
      </c>
      <c r="AN499" s="7" t="str">
        <f t="shared" si="26"/>
        <v/>
      </c>
      <c r="AO499" s="7" t="str">
        <f t="shared" si="27"/>
        <v/>
      </c>
      <c r="AP499" s="15" t="str">
        <f t="shared" si="28"/>
        <v/>
      </c>
    </row>
    <row r="500" spans="38:42" ht="15" customHeight="1">
      <c r="AL500" s="7" t="str">
        <f>IF(A500="","",IF(COUNTIF(A500:A$2001,A500)=1,1,0))</f>
        <v/>
      </c>
      <c r="AM500" s="7" t="str">
        <f t="shared" ca="1" si="25"/>
        <v/>
      </c>
      <c r="AN500" s="7" t="str">
        <f t="shared" si="26"/>
        <v/>
      </c>
      <c r="AO500" s="7" t="str">
        <f t="shared" si="27"/>
        <v/>
      </c>
      <c r="AP500" s="15" t="str">
        <f t="shared" si="28"/>
        <v/>
      </c>
    </row>
    <row r="501" spans="38:42" ht="15" customHeight="1">
      <c r="AL501" s="7" t="str">
        <f>IF(A501="","",IF(COUNTIF(A501:A$2001,A501)=1,1,0))</f>
        <v/>
      </c>
      <c r="AM501" s="7" t="str">
        <f t="shared" ca="1" si="25"/>
        <v/>
      </c>
      <c r="AN501" s="7" t="str">
        <f t="shared" si="26"/>
        <v/>
      </c>
      <c r="AO501" s="7" t="str">
        <f t="shared" si="27"/>
        <v/>
      </c>
      <c r="AP501" s="15" t="str">
        <f t="shared" si="28"/>
        <v/>
      </c>
    </row>
    <row r="502" spans="38:42" ht="15" customHeight="1">
      <c r="AL502" s="7" t="str">
        <f>IF(A502="","",IF(COUNTIF(A502:A$2001,A502)=1,1,0))</f>
        <v/>
      </c>
      <c r="AM502" s="7" t="str">
        <f t="shared" ca="1" si="25"/>
        <v/>
      </c>
      <c r="AN502" s="7" t="str">
        <f t="shared" si="26"/>
        <v/>
      </c>
      <c r="AO502" s="7" t="str">
        <f t="shared" si="27"/>
        <v/>
      </c>
      <c r="AP502" s="15" t="str">
        <f t="shared" si="28"/>
        <v/>
      </c>
    </row>
    <row r="503" spans="38:42" ht="15" customHeight="1">
      <c r="AL503" s="7" t="str">
        <f>IF(A503="","",IF(COUNTIF(A503:A$2001,A503)=1,1,0))</f>
        <v/>
      </c>
      <c r="AM503" s="7" t="str">
        <f t="shared" ca="1" si="25"/>
        <v/>
      </c>
      <c r="AN503" s="7" t="str">
        <f t="shared" si="26"/>
        <v/>
      </c>
      <c r="AO503" s="7" t="str">
        <f t="shared" si="27"/>
        <v/>
      </c>
      <c r="AP503" s="15" t="str">
        <f t="shared" si="28"/>
        <v/>
      </c>
    </row>
    <row r="504" spans="38:42" ht="15" customHeight="1">
      <c r="AL504" s="7" t="str">
        <f>IF(A504="","",IF(COUNTIF(A504:A$2001,A504)=1,1,0))</f>
        <v/>
      </c>
      <c r="AM504" s="7" t="str">
        <f t="shared" ca="1" si="25"/>
        <v/>
      </c>
      <c r="AN504" s="7" t="str">
        <f t="shared" si="26"/>
        <v/>
      </c>
      <c r="AO504" s="7" t="str">
        <f t="shared" si="27"/>
        <v/>
      </c>
      <c r="AP504" s="15" t="str">
        <f t="shared" si="28"/>
        <v/>
      </c>
    </row>
    <row r="505" spans="38:42" ht="15" customHeight="1">
      <c r="AL505" s="7" t="str">
        <f>IF(A505="","",IF(COUNTIF(A505:A$2001,A505)=1,1,0))</f>
        <v/>
      </c>
      <c r="AM505" s="7" t="str">
        <f t="shared" ca="1" si="25"/>
        <v/>
      </c>
      <c r="AN505" s="7" t="str">
        <f t="shared" si="26"/>
        <v/>
      </c>
      <c r="AO505" s="7" t="str">
        <f t="shared" si="27"/>
        <v/>
      </c>
      <c r="AP505" s="15" t="str">
        <f t="shared" si="28"/>
        <v/>
      </c>
    </row>
    <row r="506" spans="38:42" ht="15" customHeight="1">
      <c r="AL506" s="7" t="str">
        <f>IF(A506="","",IF(COUNTIF(A506:A$2001,A506)=1,1,0))</f>
        <v/>
      </c>
      <c r="AM506" s="7" t="str">
        <f t="shared" ca="1" si="25"/>
        <v/>
      </c>
      <c r="AN506" s="7" t="str">
        <f t="shared" si="26"/>
        <v/>
      </c>
      <c r="AO506" s="7" t="str">
        <f t="shared" si="27"/>
        <v/>
      </c>
      <c r="AP506" s="15" t="str">
        <f t="shared" si="28"/>
        <v/>
      </c>
    </row>
    <row r="507" spans="38:42" ht="15" customHeight="1">
      <c r="AL507" s="7" t="str">
        <f>IF(A507="","",IF(COUNTIF(A507:A$2001,A507)=1,1,0))</f>
        <v/>
      </c>
      <c r="AM507" s="7" t="str">
        <f t="shared" ca="1" si="25"/>
        <v/>
      </c>
      <c r="AN507" s="7" t="str">
        <f t="shared" si="26"/>
        <v/>
      </c>
      <c r="AO507" s="7" t="str">
        <f t="shared" si="27"/>
        <v/>
      </c>
      <c r="AP507" s="15" t="str">
        <f t="shared" si="28"/>
        <v/>
      </c>
    </row>
    <row r="508" spans="38:42" ht="15" customHeight="1">
      <c r="AL508" s="7" t="str">
        <f>IF(A508="","",IF(COUNTIF(A508:A$2001,A508)=1,1,0))</f>
        <v/>
      </c>
      <c r="AM508" s="7" t="str">
        <f t="shared" ca="1" si="25"/>
        <v/>
      </c>
      <c r="AN508" s="7" t="str">
        <f t="shared" si="26"/>
        <v/>
      </c>
      <c r="AO508" s="7" t="str">
        <f t="shared" si="27"/>
        <v/>
      </c>
      <c r="AP508" s="15" t="str">
        <f t="shared" si="28"/>
        <v/>
      </c>
    </row>
    <row r="509" spans="38:42" ht="15" customHeight="1">
      <c r="AL509" s="7" t="str">
        <f>IF(A509="","",IF(COUNTIF(A509:A$2001,A509)=1,1,0))</f>
        <v/>
      </c>
      <c r="AM509" s="7" t="str">
        <f t="shared" ca="1" si="25"/>
        <v/>
      </c>
      <c r="AN509" s="7" t="str">
        <f t="shared" si="26"/>
        <v/>
      </c>
      <c r="AO509" s="7" t="str">
        <f t="shared" si="27"/>
        <v/>
      </c>
      <c r="AP509" s="15" t="str">
        <f t="shared" si="28"/>
        <v/>
      </c>
    </row>
    <row r="510" spans="38:42" ht="15" customHeight="1">
      <c r="AL510" s="7" t="str">
        <f>IF(A510="","",IF(COUNTIF(A510:A$2001,A510)=1,1,0))</f>
        <v/>
      </c>
      <c r="AM510" s="7" t="str">
        <f t="shared" ca="1" si="25"/>
        <v/>
      </c>
      <c r="AN510" s="7" t="str">
        <f t="shared" si="26"/>
        <v/>
      </c>
      <c r="AO510" s="7" t="str">
        <f t="shared" si="27"/>
        <v/>
      </c>
      <c r="AP510" s="15" t="str">
        <f t="shared" si="28"/>
        <v/>
      </c>
    </row>
    <row r="511" spans="38:42" ht="15" customHeight="1">
      <c r="AL511" s="7" t="str">
        <f>IF(A511="","",IF(COUNTIF(A511:A$2001,A511)=1,1,0))</f>
        <v/>
      </c>
      <c r="AM511" s="7" t="str">
        <f t="shared" ca="1" si="25"/>
        <v/>
      </c>
      <c r="AN511" s="7" t="str">
        <f t="shared" si="26"/>
        <v/>
      </c>
      <c r="AO511" s="7" t="str">
        <f t="shared" si="27"/>
        <v/>
      </c>
      <c r="AP511" s="15" t="str">
        <f t="shared" si="28"/>
        <v/>
      </c>
    </row>
    <row r="512" spans="38:42" ht="15" customHeight="1">
      <c r="AL512" s="7" t="str">
        <f>IF(A512="","",IF(COUNTIF(A512:A$2001,A512)=1,1,0))</f>
        <v/>
      </c>
      <c r="AM512" s="7" t="str">
        <f t="shared" ca="1" si="25"/>
        <v/>
      </c>
      <c r="AN512" s="7" t="str">
        <f t="shared" si="26"/>
        <v/>
      </c>
      <c r="AO512" s="7" t="str">
        <f t="shared" si="27"/>
        <v/>
      </c>
      <c r="AP512" s="15" t="str">
        <f t="shared" si="28"/>
        <v/>
      </c>
    </row>
    <row r="513" spans="38:42" ht="15" customHeight="1">
      <c r="AL513" s="7" t="str">
        <f>IF(A513="","",IF(COUNTIF(A513:A$2001,A513)=1,1,0))</f>
        <v/>
      </c>
      <c r="AM513" s="7" t="str">
        <f t="shared" ca="1" si="25"/>
        <v/>
      </c>
      <c r="AN513" s="7" t="str">
        <f t="shared" si="26"/>
        <v/>
      </c>
      <c r="AO513" s="7" t="str">
        <f t="shared" si="27"/>
        <v/>
      </c>
      <c r="AP513" s="15" t="str">
        <f t="shared" si="28"/>
        <v/>
      </c>
    </row>
    <row r="514" spans="38:42" ht="15" customHeight="1">
      <c r="AL514" s="7" t="str">
        <f>IF(A514="","",IF(COUNTIF(A514:A$2001,A514)=1,1,0))</f>
        <v/>
      </c>
      <c r="AM514" s="7" t="str">
        <f t="shared" ref="AM514:AM577" ca="1" si="29">IF(I514="","",TODAY()-I514)</f>
        <v/>
      </c>
      <c r="AN514" s="7" t="str">
        <f t="shared" ref="AN514:AN577" si="30">IF(A514="","",IF(AND(E514&lt;&gt;"33 確認済",E514&lt;&gt;"36 送付中"),1,0))</f>
        <v/>
      </c>
      <c r="AO514" s="7" t="str">
        <f t="shared" ref="AO514:AO577" si="31">IF(A514="","",IF(AG514&lt;&gt;"",1,0))</f>
        <v/>
      </c>
      <c r="AP514" s="15" t="str">
        <f t="shared" ref="AP514:AP577" si="32">IF(P514&lt;&gt;"","・添待ち","")&amp;IF(Q514&lt;&gt;"","・住民票","")&amp;IF(R514&lt;&gt;"","・発信","")&amp;IF(S514&lt;&gt;"","・確認事項","")&amp;IF(T514&lt;&gt;"","・管","")&amp;IF(U514&lt;&gt;"","・SV","")&amp;IF(V514&lt;&gt;"","・データ送付待ち","")&amp;IF(W514&lt;&gt;"","・削除","")</f>
        <v/>
      </c>
    </row>
    <row r="515" spans="38:42" ht="15" customHeight="1">
      <c r="AL515" s="7" t="str">
        <f>IF(A515="","",IF(COUNTIF(A515:A$2001,A515)=1,1,0))</f>
        <v/>
      </c>
      <c r="AM515" s="7" t="str">
        <f t="shared" ca="1" si="29"/>
        <v/>
      </c>
      <c r="AN515" s="7" t="str">
        <f t="shared" si="30"/>
        <v/>
      </c>
      <c r="AO515" s="7" t="str">
        <f t="shared" si="31"/>
        <v/>
      </c>
      <c r="AP515" s="15" t="str">
        <f t="shared" si="32"/>
        <v/>
      </c>
    </row>
    <row r="516" spans="38:42" ht="15" customHeight="1">
      <c r="AL516" s="7" t="str">
        <f>IF(A516="","",IF(COUNTIF(A516:A$2001,A516)=1,1,0))</f>
        <v/>
      </c>
      <c r="AM516" s="7" t="str">
        <f t="shared" ca="1" si="29"/>
        <v/>
      </c>
      <c r="AN516" s="7" t="str">
        <f t="shared" si="30"/>
        <v/>
      </c>
      <c r="AO516" s="7" t="str">
        <f t="shared" si="31"/>
        <v/>
      </c>
      <c r="AP516" s="15" t="str">
        <f t="shared" si="32"/>
        <v/>
      </c>
    </row>
    <row r="517" spans="38:42" ht="15" customHeight="1">
      <c r="AL517" s="7" t="str">
        <f>IF(A517="","",IF(COUNTIF(A517:A$2001,A517)=1,1,0))</f>
        <v/>
      </c>
      <c r="AM517" s="7" t="str">
        <f t="shared" ca="1" si="29"/>
        <v/>
      </c>
      <c r="AN517" s="7" t="str">
        <f t="shared" si="30"/>
        <v/>
      </c>
      <c r="AO517" s="7" t="str">
        <f t="shared" si="31"/>
        <v/>
      </c>
      <c r="AP517" s="15" t="str">
        <f t="shared" si="32"/>
        <v/>
      </c>
    </row>
    <row r="518" spans="38:42" ht="15" customHeight="1">
      <c r="AL518" s="7" t="str">
        <f>IF(A518="","",IF(COUNTIF(A518:A$2001,A518)=1,1,0))</f>
        <v/>
      </c>
      <c r="AM518" s="7" t="str">
        <f t="shared" ca="1" si="29"/>
        <v/>
      </c>
      <c r="AN518" s="7" t="str">
        <f t="shared" si="30"/>
        <v/>
      </c>
      <c r="AO518" s="7" t="str">
        <f t="shared" si="31"/>
        <v/>
      </c>
      <c r="AP518" s="15" t="str">
        <f t="shared" si="32"/>
        <v/>
      </c>
    </row>
    <row r="519" spans="38:42" ht="15" customHeight="1">
      <c r="AL519" s="7" t="str">
        <f>IF(A519="","",IF(COUNTIF(A519:A$2001,A519)=1,1,0))</f>
        <v/>
      </c>
      <c r="AM519" s="7" t="str">
        <f t="shared" ca="1" si="29"/>
        <v/>
      </c>
      <c r="AN519" s="7" t="str">
        <f t="shared" si="30"/>
        <v/>
      </c>
      <c r="AO519" s="7" t="str">
        <f t="shared" si="31"/>
        <v/>
      </c>
      <c r="AP519" s="15" t="str">
        <f t="shared" si="32"/>
        <v/>
      </c>
    </row>
    <row r="520" spans="38:42" ht="15" customHeight="1">
      <c r="AL520" s="7" t="str">
        <f>IF(A520="","",IF(COUNTIF(A520:A$2001,A520)=1,1,0))</f>
        <v/>
      </c>
      <c r="AM520" s="7" t="str">
        <f t="shared" ca="1" si="29"/>
        <v/>
      </c>
      <c r="AN520" s="7" t="str">
        <f t="shared" si="30"/>
        <v/>
      </c>
      <c r="AO520" s="7" t="str">
        <f t="shared" si="31"/>
        <v/>
      </c>
      <c r="AP520" s="15" t="str">
        <f t="shared" si="32"/>
        <v/>
      </c>
    </row>
    <row r="521" spans="38:42" ht="15" customHeight="1">
      <c r="AL521" s="7" t="str">
        <f>IF(A521="","",IF(COUNTIF(A521:A$2001,A521)=1,1,0))</f>
        <v/>
      </c>
      <c r="AM521" s="7" t="str">
        <f t="shared" ca="1" si="29"/>
        <v/>
      </c>
      <c r="AN521" s="7" t="str">
        <f t="shared" si="30"/>
        <v/>
      </c>
      <c r="AO521" s="7" t="str">
        <f t="shared" si="31"/>
        <v/>
      </c>
      <c r="AP521" s="15" t="str">
        <f t="shared" si="32"/>
        <v/>
      </c>
    </row>
    <row r="522" spans="38:42" ht="15" customHeight="1">
      <c r="AL522" s="7" t="str">
        <f>IF(A522="","",IF(COUNTIF(A522:A$2001,A522)=1,1,0))</f>
        <v/>
      </c>
      <c r="AM522" s="7" t="str">
        <f t="shared" ca="1" si="29"/>
        <v/>
      </c>
      <c r="AN522" s="7" t="str">
        <f t="shared" si="30"/>
        <v/>
      </c>
      <c r="AO522" s="7" t="str">
        <f t="shared" si="31"/>
        <v/>
      </c>
      <c r="AP522" s="15" t="str">
        <f t="shared" si="32"/>
        <v/>
      </c>
    </row>
    <row r="523" spans="38:42" ht="15" customHeight="1">
      <c r="AL523" s="7" t="str">
        <f>IF(A523="","",IF(COUNTIF(A523:A$2001,A523)=1,1,0))</f>
        <v/>
      </c>
      <c r="AM523" s="7" t="str">
        <f t="shared" ca="1" si="29"/>
        <v/>
      </c>
      <c r="AN523" s="7" t="str">
        <f t="shared" si="30"/>
        <v/>
      </c>
      <c r="AO523" s="7" t="str">
        <f t="shared" si="31"/>
        <v/>
      </c>
      <c r="AP523" s="15" t="str">
        <f t="shared" si="32"/>
        <v/>
      </c>
    </row>
    <row r="524" spans="38:42" ht="15" customHeight="1">
      <c r="AL524" s="7" t="str">
        <f>IF(A524="","",IF(COUNTIF(A524:A$2001,A524)=1,1,0))</f>
        <v/>
      </c>
      <c r="AM524" s="7" t="str">
        <f t="shared" ca="1" si="29"/>
        <v/>
      </c>
      <c r="AN524" s="7" t="str">
        <f t="shared" si="30"/>
        <v/>
      </c>
      <c r="AO524" s="7" t="str">
        <f t="shared" si="31"/>
        <v/>
      </c>
      <c r="AP524" s="15" t="str">
        <f t="shared" si="32"/>
        <v/>
      </c>
    </row>
    <row r="525" spans="38:42" ht="15" customHeight="1">
      <c r="AL525" s="7" t="str">
        <f>IF(A525="","",IF(COUNTIF(A525:A$2001,A525)=1,1,0))</f>
        <v/>
      </c>
      <c r="AM525" s="7" t="str">
        <f t="shared" ca="1" si="29"/>
        <v/>
      </c>
      <c r="AN525" s="7" t="str">
        <f t="shared" si="30"/>
        <v/>
      </c>
      <c r="AO525" s="7" t="str">
        <f t="shared" si="31"/>
        <v/>
      </c>
      <c r="AP525" s="15" t="str">
        <f t="shared" si="32"/>
        <v/>
      </c>
    </row>
    <row r="526" spans="38:42" ht="15" customHeight="1">
      <c r="AL526" s="7" t="str">
        <f>IF(A526="","",IF(COUNTIF(A526:A$2001,A526)=1,1,0))</f>
        <v/>
      </c>
      <c r="AM526" s="7" t="str">
        <f t="shared" ca="1" si="29"/>
        <v/>
      </c>
      <c r="AN526" s="7" t="str">
        <f t="shared" si="30"/>
        <v/>
      </c>
      <c r="AO526" s="7" t="str">
        <f t="shared" si="31"/>
        <v/>
      </c>
      <c r="AP526" s="15" t="str">
        <f t="shared" si="32"/>
        <v/>
      </c>
    </row>
    <row r="527" spans="38:42" ht="15" customHeight="1">
      <c r="AL527" s="7" t="str">
        <f>IF(A527="","",IF(COUNTIF(A527:A$2001,A527)=1,1,0))</f>
        <v/>
      </c>
      <c r="AM527" s="7" t="str">
        <f t="shared" ca="1" si="29"/>
        <v/>
      </c>
      <c r="AN527" s="7" t="str">
        <f t="shared" si="30"/>
        <v/>
      </c>
      <c r="AO527" s="7" t="str">
        <f t="shared" si="31"/>
        <v/>
      </c>
      <c r="AP527" s="15" t="str">
        <f t="shared" si="32"/>
        <v/>
      </c>
    </row>
    <row r="528" spans="38:42" ht="15" customHeight="1">
      <c r="AL528" s="7" t="str">
        <f>IF(A528="","",IF(COUNTIF(A528:A$2001,A528)=1,1,0))</f>
        <v/>
      </c>
      <c r="AM528" s="7" t="str">
        <f t="shared" ca="1" si="29"/>
        <v/>
      </c>
      <c r="AN528" s="7" t="str">
        <f t="shared" si="30"/>
        <v/>
      </c>
      <c r="AO528" s="7" t="str">
        <f t="shared" si="31"/>
        <v/>
      </c>
      <c r="AP528" s="15" t="str">
        <f t="shared" si="32"/>
        <v/>
      </c>
    </row>
    <row r="529" spans="38:42" ht="15" customHeight="1">
      <c r="AL529" s="7" t="str">
        <f>IF(A529="","",IF(COUNTIF(A529:A$2001,A529)=1,1,0))</f>
        <v/>
      </c>
      <c r="AM529" s="7" t="str">
        <f t="shared" ca="1" si="29"/>
        <v/>
      </c>
      <c r="AN529" s="7" t="str">
        <f t="shared" si="30"/>
        <v/>
      </c>
      <c r="AO529" s="7" t="str">
        <f t="shared" si="31"/>
        <v/>
      </c>
      <c r="AP529" s="15" t="str">
        <f t="shared" si="32"/>
        <v/>
      </c>
    </row>
    <row r="530" spans="38:42" ht="15" customHeight="1">
      <c r="AL530" s="7" t="str">
        <f>IF(A530="","",IF(COUNTIF(A530:A$2001,A530)=1,1,0))</f>
        <v/>
      </c>
      <c r="AM530" s="7" t="str">
        <f t="shared" ca="1" si="29"/>
        <v/>
      </c>
      <c r="AN530" s="7" t="str">
        <f t="shared" si="30"/>
        <v/>
      </c>
      <c r="AO530" s="7" t="str">
        <f t="shared" si="31"/>
        <v/>
      </c>
      <c r="AP530" s="15" t="str">
        <f t="shared" si="32"/>
        <v/>
      </c>
    </row>
    <row r="531" spans="38:42" ht="15" customHeight="1">
      <c r="AL531" s="7" t="str">
        <f>IF(A531="","",IF(COUNTIF(A531:A$2001,A531)=1,1,0))</f>
        <v/>
      </c>
      <c r="AM531" s="7" t="str">
        <f t="shared" ca="1" si="29"/>
        <v/>
      </c>
      <c r="AN531" s="7" t="str">
        <f t="shared" si="30"/>
        <v/>
      </c>
      <c r="AO531" s="7" t="str">
        <f t="shared" si="31"/>
        <v/>
      </c>
      <c r="AP531" s="15" t="str">
        <f t="shared" si="32"/>
        <v/>
      </c>
    </row>
    <row r="532" spans="38:42" ht="15" customHeight="1">
      <c r="AL532" s="7" t="str">
        <f>IF(A532="","",IF(COUNTIF(A532:A$2001,A532)=1,1,0))</f>
        <v/>
      </c>
      <c r="AM532" s="7" t="str">
        <f t="shared" ca="1" si="29"/>
        <v/>
      </c>
      <c r="AN532" s="7" t="str">
        <f t="shared" si="30"/>
        <v/>
      </c>
      <c r="AO532" s="7" t="str">
        <f t="shared" si="31"/>
        <v/>
      </c>
      <c r="AP532" s="15" t="str">
        <f t="shared" si="32"/>
        <v/>
      </c>
    </row>
    <row r="533" spans="38:42" ht="15" customHeight="1">
      <c r="AL533" s="7" t="str">
        <f>IF(A533="","",IF(COUNTIF(A533:A$2001,A533)=1,1,0))</f>
        <v/>
      </c>
      <c r="AM533" s="7" t="str">
        <f t="shared" ca="1" si="29"/>
        <v/>
      </c>
      <c r="AN533" s="7" t="str">
        <f t="shared" si="30"/>
        <v/>
      </c>
      <c r="AO533" s="7" t="str">
        <f t="shared" si="31"/>
        <v/>
      </c>
      <c r="AP533" s="15" t="str">
        <f t="shared" si="32"/>
        <v/>
      </c>
    </row>
    <row r="534" spans="38:42" ht="15" customHeight="1">
      <c r="AL534" s="7" t="str">
        <f>IF(A534="","",IF(COUNTIF(A534:A$2001,A534)=1,1,0))</f>
        <v/>
      </c>
      <c r="AM534" s="7" t="str">
        <f t="shared" ca="1" si="29"/>
        <v/>
      </c>
      <c r="AN534" s="7" t="str">
        <f t="shared" si="30"/>
        <v/>
      </c>
      <c r="AO534" s="7" t="str">
        <f t="shared" si="31"/>
        <v/>
      </c>
      <c r="AP534" s="15" t="str">
        <f t="shared" si="32"/>
        <v/>
      </c>
    </row>
    <row r="535" spans="38:42" ht="15" customHeight="1">
      <c r="AL535" s="7" t="str">
        <f>IF(A535="","",IF(COUNTIF(A535:A$2001,A535)=1,1,0))</f>
        <v/>
      </c>
      <c r="AM535" s="7" t="str">
        <f t="shared" ca="1" si="29"/>
        <v/>
      </c>
      <c r="AN535" s="7" t="str">
        <f t="shared" si="30"/>
        <v/>
      </c>
      <c r="AO535" s="7" t="str">
        <f t="shared" si="31"/>
        <v/>
      </c>
      <c r="AP535" s="15" t="str">
        <f t="shared" si="32"/>
        <v/>
      </c>
    </row>
    <row r="536" spans="38:42" ht="15" customHeight="1">
      <c r="AL536" s="7" t="str">
        <f>IF(A536="","",IF(COUNTIF(A536:A$2001,A536)=1,1,0))</f>
        <v/>
      </c>
      <c r="AM536" s="7" t="str">
        <f t="shared" ca="1" si="29"/>
        <v/>
      </c>
      <c r="AN536" s="7" t="str">
        <f t="shared" si="30"/>
        <v/>
      </c>
      <c r="AO536" s="7" t="str">
        <f t="shared" si="31"/>
        <v/>
      </c>
      <c r="AP536" s="15" t="str">
        <f t="shared" si="32"/>
        <v/>
      </c>
    </row>
    <row r="537" spans="38:42" ht="15" customHeight="1">
      <c r="AL537" s="7" t="str">
        <f>IF(A537="","",IF(COUNTIF(A537:A$2001,A537)=1,1,0))</f>
        <v/>
      </c>
      <c r="AM537" s="7" t="str">
        <f t="shared" ca="1" si="29"/>
        <v/>
      </c>
      <c r="AN537" s="7" t="str">
        <f t="shared" si="30"/>
        <v/>
      </c>
      <c r="AO537" s="7" t="str">
        <f t="shared" si="31"/>
        <v/>
      </c>
      <c r="AP537" s="15" t="str">
        <f t="shared" si="32"/>
        <v/>
      </c>
    </row>
    <row r="538" spans="38:42" ht="15" customHeight="1">
      <c r="AL538" s="7" t="str">
        <f>IF(A538="","",IF(COUNTIF(A538:A$2001,A538)=1,1,0))</f>
        <v/>
      </c>
      <c r="AM538" s="7" t="str">
        <f t="shared" ca="1" si="29"/>
        <v/>
      </c>
      <c r="AN538" s="7" t="str">
        <f t="shared" si="30"/>
        <v/>
      </c>
      <c r="AO538" s="7" t="str">
        <f t="shared" si="31"/>
        <v/>
      </c>
      <c r="AP538" s="15" t="str">
        <f t="shared" si="32"/>
        <v/>
      </c>
    </row>
    <row r="539" spans="38:42" ht="15" customHeight="1">
      <c r="AL539" s="7" t="str">
        <f>IF(A539="","",IF(COUNTIF(A539:A$2001,A539)=1,1,0))</f>
        <v/>
      </c>
      <c r="AM539" s="7" t="str">
        <f t="shared" ca="1" si="29"/>
        <v/>
      </c>
      <c r="AN539" s="7" t="str">
        <f t="shared" si="30"/>
        <v/>
      </c>
      <c r="AO539" s="7" t="str">
        <f t="shared" si="31"/>
        <v/>
      </c>
      <c r="AP539" s="15" t="str">
        <f t="shared" si="32"/>
        <v/>
      </c>
    </row>
    <row r="540" spans="38:42" ht="15" customHeight="1">
      <c r="AL540" s="7" t="str">
        <f>IF(A540="","",IF(COUNTIF(A540:A$2001,A540)=1,1,0))</f>
        <v/>
      </c>
      <c r="AM540" s="7" t="str">
        <f t="shared" ca="1" si="29"/>
        <v/>
      </c>
      <c r="AN540" s="7" t="str">
        <f t="shared" si="30"/>
        <v/>
      </c>
      <c r="AO540" s="7" t="str">
        <f t="shared" si="31"/>
        <v/>
      </c>
      <c r="AP540" s="15" t="str">
        <f t="shared" si="32"/>
        <v/>
      </c>
    </row>
    <row r="541" spans="38:42" ht="15" customHeight="1">
      <c r="AL541" s="7" t="str">
        <f>IF(A541="","",IF(COUNTIF(A541:A$2001,A541)=1,1,0))</f>
        <v/>
      </c>
      <c r="AM541" s="7" t="str">
        <f t="shared" ca="1" si="29"/>
        <v/>
      </c>
      <c r="AN541" s="7" t="str">
        <f t="shared" si="30"/>
        <v/>
      </c>
      <c r="AO541" s="7" t="str">
        <f t="shared" si="31"/>
        <v/>
      </c>
      <c r="AP541" s="15" t="str">
        <f t="shared" si="32"/>
        <v/>
      </c>
    </row>
    <row r="542" spans="38:42" ht="15" customHeight="1">
      <c r="AL542" s="7" t="str">
        <f>IF(A542="","",IF(COUNTIF(A542:A$2001,A542)=1,1,0))</f>
        <v/>
      </c>
      <c r="AM542" s="7" t="str">
        <f t="shared" ca="1" si="29"/>
        <v/>
      </c>
      <c r="AN542" s="7" t="str">
        <f t="shared" si="30"/>
        <v/>
      </c>
      <c r="AO542" s="7" t="str">
        <f t="shared" si="31"/>
        <v/>
      </c>
      <c r="AP542" s="15" t="str">
        <f t="shared" si="32"/>
        <v/>
      </c>
    </row>
    <row r="543" spans="38:42" ht="15" customHeight="1">
      <c r="AL543" s="7" t="str">
        <f>IF(A543="","",IF(COUNTIF(A543:A$2001,A543)=1,1,0))</f>
        <v/>
      </c>
      <c r="AM543" s="7" t="str">
        <f t="shared" ca="1" si="29"/>
        <v/>
      </c>
      <c r="AN543" s="7" t="str">
        <f t="shared" si="30"/>
        <v/>
      </c>
      <c r="AO543" s="7" t="str">
        <f t="shared" si="31"/>
        <v/>
      </c>
      <c r="AP543" s="15" t="str">
        <f t="shared" si="32"/>
        <v/>
      </c>
    </row>
    <row r="544" spans="38:42" ht="15" customHeight="1">
      <c r="AL544" s="7" t="str">
        <f>IF(A544="","",IF(COUNTIF(A544:A$2001,A544)=1,1,0))</f>
        <v/>
      </c>
      <c r="AM544" s="7" t="str">
        <f t="shared" ca="1" si="29"/>
        <v/>
      </c>
      <c r="AN544" s="7" t="str">
        <f t="shared" si="30"/>
        <v/>
      </c>
      <c r="AO544" s="7" t="str">
        <f t="shared" si="31"/>
        <v/>
      </c>
      <c r="AP544" s="15" t="str">
        <f t="shared" si="32"/>
        <v/>
      </c>
    </row>
    <row r="545" spans="38:42" ht="15" customHeight="1">
      <c r="AL545" s="7" t="str">
        <f>IF(A545="","",IF(COUNTIF(A545:A$2001,A545)=1,1,0))</f>
        <v/>
      </c>
      <c r="AM545" s="7" t="str">
        <f t="shared" ca="1" si="29"/>
        <v/>
      </c>
      <c r="AN545" s="7" t="str">
        <f t="shared" si="30"/>
        <v/>
      </c>
      <c r="AO545" s="7" t="str">
        <f t="shared" si="31"/>
        <v/>
      </c>
      <c r="AP545" s="15" t="str">
        <f t="shared" si="32"/>
        <v/>
      </c>
    </row>
    <row r="546" spans="38:42" ht="15" customHeight="1">
      <c r="AL546" s="7" t="str">
        <f>IF(A546="","",IF(COUNTIF(A546:A$2001,A546)=1,1,0))</f>
        <v/>
      </c>
      <c r="AM546" s="7" t="str">
        <f t="shared" ca="1" si="29"/>
        <v/>
      </c>
      <c r="AN546" s="7" t="str">
        <f t="shared" si="30"/>
        <v/>
      </c>
      <c r="AO546" s="7" t="str">
        <f t="shared" si="31"/>
        <v/>
      </c>
      <c r="AP546" s="15" t="str">
        <f t="shared" si="32"/>
        <v/>
      </c>
    </row>
    <row r="547" spans="38:42" ht="15" customHeight="1">
      <c r="AL547" s="7" t="str">
        <f>IF(A547="","",IF(COUNTIF(A547:A$2001,A547)=1,1,0))</f>
        <v/>
      </c>
      <c r="AM547" s="7" t="str">
        <f t="shared" ca="1" si="29"/>
        <v/>
      </c>
      <c r="AN547" s="7" t="str">
        <f t="shared" si="30"/>
        <v/>
      </c>
      <c r="AO547" s="7" t="str">
        <f t="shared" si="31"/>
        <v/>
      </c>
      <c r="AP547" s="15" t="str">
        <f t="shared" si="32"/>
        <v/>
      </c>
    </row>
    <row r="548" spans="38:42" ht="15" customHeight="1">
      <c r="AL548" s="7" t="str">
        <f>IF(A548="","",IF(COUNTIF(A548:A$2001,A548)=1,1,0))</f>
        <v/>
      </c>
      <c r="AM548" s="7" t="str">
        <f t="shared" ca="1" si="29"/>
        <v/>
      </c>
      <c r="AN548" s="7" t="str">
        <f t="shared" si="30"/>
        <v/>
      </c>
      <c r="AO548" s="7" t="str">
        <f t="shared" si="31"/>
        <v/>
      </c>
      <c r="AP548" s="15" t="str">
        <f t="shared" si="32"/>
        <v/>
      </c>
    </row>
    <row r="549" spans="38:42" ht="15" customHeight="1">
      <c r="AL549" s="7" t="str">
        <f>IF(A549="","",IF(COUNTIF(A549:A$2001,A549)=1,1,0))</f>
        <v/>
      </c>
      <c r="AM549" s="7" t="str">
        <f t="shared" ca="1" si="29"/>
        <v/>
      </c>
      <c r="AN549" s="7" t="str">
        <f t="shared" si="30"/>
        <v/>
      </c>
      <c r="AO549" s="7" t="str">
        <f t="shared" si="31"/>
        <v/>
      </c>
      <c r="AP549" s="15" t="str">
        <f t="shared" si="32"/>
        <v/>
      </c>
    </row>
    <row r="550" spans="38:42" ht="15" customHeight="1">
      <c r="AL550" s="7" t="str">
        <f>IF(A550="","",IF(COUNTIF(A550:A$2001,A550)=1,1,0))</f>
        <v/>
      </c>
      <c r="AM550" s="7" t="str">
        <f t="shared" ca="1" si="29"/>
        <v/>
      </c>
      <c r="AN550" s="7" t="str">
        <f t="shared" si="30"/>
        <v/>
      </c>
      <c r="AO550" s="7" t="str">
        <f t="shared" si="31"/>
        <v/>
      </c>
      <c r="AP550" s="15" t="str">
        <f t="shared" si="32"/>
        <v/>
      </c>
    </row>
    <row r="551" spans="38:42" ht="15" customHeight="1">
      <c r="AL551" s="7" t="str">
        <f>IF(A551="","",IF(COUNTIF(A551:A$2001,A551)=1,1,0))</f>
        <v/>
      </c>
      <c r="AM551" s="7" t="str">
        <f t="shared" ca="1" si="29"/>
        <v/>
      </c>
      <c r="AN551" s="7" t="str">
        <f t="shared" si="30"/>
        <v/>
      </c>
      <c r="AO551" s="7" t="str">
        <f t="shared" si="31"/>
        <v/>
      </c>
      <c r="AP551" s="15" t="str">
        <f t="shared" si="32"/>
        <v/>
      </c>
    </row>
    <row r="552" spans="38:42" ht="15" customHeight="1">
      <c r="AL552" s="7" t="str">
        <f>IF(A552="","",IF(COUNTIF(A552:A$2001,A552)=1,1,0))</f>
        <v/>
      </c>
      <c r="AM552" s="7" t="str">
        <f t="shared" ca="1" si="29"/>
        <v/>
      </c>
      <c r="AN552" s="7" t="str">
        <f t="shared" si="30"/>
        <v/>
      </c>
      <c r="AO552" s="7" t="str">
        <f t="shared" si="31"/>
        <v/>
      </c>
      <c r="AP552" s="15" t="str">
        <f t="shared" si="32"/>
        <v/>
      </c>
    </row>
    <row r="553" spans="38:42" ht="15" customHeight="1">
      <c r="AL553" s="7" t="str">
        <f>IF(A553="","",IF(COUNTIF(A553:A$2001,A553)=1,1,0))</f>
        <v/>
      </c>
      <c r="AM553" s="7" t="str">
        <f t="shared" ca="1" si="29"/>
        <v/>
      </c>
      <c r="AN553" s="7" t="str">
        <f t="shared" si="30"/>
        <v/>
      </c>
      <c r="AO553" s="7" t="str">
        <f t="shared" si="31"/>
        <v/>
      </c>
      <c r="AP553" s="15" t="str">
        <f t="shared" si="32"/>
        <v/>
      </c>
    </row>
    <row r="554" spans="38:42" ht="15" customHeight="1">
      <c r="AL554" s="7" t="str">
        <f>IF(A554="","",IF(COUNTIF(A554:A$2001,A554)=1,1,0))</f>
        <v/>
      </c>
      <c r="AM554" s="7" t="str">
        <f t="shared" ca="1" si="29"/>
        <v/>
      </c>
      <c r="AN554" s="7" t="str">
        <f t="shared" si="30"/>
        <v/>
      </c>
      <c r="AO554" s="7" t="str">
        <f t="shared" si="31"/>
        <v/>
      </c>
      <c r="AP554" s="15" t="str">
        <f t="shared" si="32"/>
        <v/>
      </c>
    </row>
    <row r="555" spans="38:42" ht="15" customHeight="1">
      <c r="AL555" s="7" t="str">
        <f>IF(A555="","",IF(COUNTIF(A555:A$2001,A555)=1,1,0))</f>
        <v/>
      </c>
      <c r="AM555" s="7" t="str">
        <f t="shared" ca="1" si="29"/>
        <v/>
      </c>
      <c r="AN555" s="7" t="str">
        <f t="shared" si="30"/>
        <v/>
      </c>
      <c r="AO555" s="7" t="str">
        <f t="shared" si="31"/>
        <v/>
      </c>
      <c r="AP555" s="15" t="str">
        <f t="shared" si="32"/>
        <v/>
      </c>
    </row>
    <row r="556" spans="38:42" ht="15" customHeight="1">
      <c r="AL556" s="7" t="str">
        <f>IF(A556="","",IF(COUNTIF(A556:A$2001,A556)=1,1,0))</f>
        <v/>
      </c>
      <c r="AM556" s="7" t="str">
        <f t="shared" ca="1" si="29"/>
        <v/>
      </c>
      <c r="AN556" s="7" t="str">
        <f t="shared" si="30"/>
        <v/>
      </c>
      <c r="AO556" s="7" t="str">
        <f t="shared" si="31"/>
        <v/>
      </c>
      <c r="AP556" s="15" t="str">
        <f t="shared" si="32"/>
        <v/>
      </c>
    </row>
    <row r="557" spans="38:42" ht="15" customHeight="1">
      <c r="AL557" s="7" t="str">
        <f>IF(A557="","",IF(COUNTIF(A557:A$2001,A557)=1,1,0))</f>
        <v/>
      </c>
      <c r="AM557" s="7" t="str">
        <f t="shared" ca="1" si="29"/>
        <v/>
      </c>
      <c r="AN557" s="7" t="str">
        <f t="shared" si="30"/>
        <v/>
      </c>
      <c r="AO557" s="7" t="str">
        <f t="shared" si="31"/>
        <v/>
      </c>
      <c r="AP557" s="15" t="str">
        <f t="shared" si="32"/>
        <v/>
      </c>
    </row>
    <row r="558" spans="38:42" ht="15" customHeight="1">
      <c r="AL558" s="7" t="str">
        <f>IF(A558="","",IF(COUNTIF(A558:A$2001,A558)=1,1,0))</f>
        <v/>
      </c>
      <c r="AM558" s="7" t="str">
        <f t="shared" ca="1" si="29"/>
        <v/>
      </c>
      <c r="AN558" s="7" t="str">
        <f t="shared" si="30"/>
        <v/>
      </c>
      <c r="AO558" s="7" t="str">
        <f t="shared" si="31"/>
        <v/>
      </c>
      <c r="AP558" s="15" t="str">
        <f t="shared" si="32"/>
        <v/>
      </c>
    </row>
    <row r="559" spans="38:42" ht="15" customHeight="1">
      <c r="AL559" s="7" t="str">
        <f>IF(A559="","",IF(COUNTIF(A559:A$2001,A559)=1,1,0))</f>
        <v/>
      </c>
      <c r="AM559" s="7" t="str">
        <f t="shared" ca="1" si="29"/>
        <v/>
      </c>
      <c r="AN559" s="7" t="str">
        <f t="shared" si="30"/>
        <v/>
      </c>
      <c r="AO559" s="7" t="str">
        <f t="shared" si="31"/>
        <v/>
      </c>
      <c r="AP559" s="15" t="str">
        <f t="shared" si="32"/>
        <v/>
      </c>
    </row>
    <row r="560" spans="38:42" ht="15" customHeight="1">
      <c r="AL560" s="7" t="str">
        <f>IF(A560="","",IF(COUNTIF(A560:A$2001,A560)=1,1,0))</f>
        <v/>
      </c>
      <c r="AM560" s="7" t="str">
        <f t="shared" ca="1" si="29"/>
        <v/>
      </c>
      <c r="AN560" s="7" t="str">
        <f t="shared" si="30"/>
        <v/>
      </c>
      <c r="AO560" s="7" t="str">
        <f t="shared" si="31"/>
        <v/>
      </c>
      <c r="AP560" s="15" t="str">
        <f t="shared" si="32"/>
        <v/>
      </c>
    </row>
    <row r="561" spans="38:42" ht="15" customHeight="1">
      <c r="AL561" s="7" t="str">
        <f>IF(A561="","",IF(COUNTIF(A561:A$2001,A561)=1,1,0))</f>
        <v/>
      </c>
      <c r="AM561" s="7" t="str">
        <f t="shared" ca="1" si="29"/>
        <v/>
      </c>
      <c r="AN561" s="7" t="str">
        <f t="shared" si="30"/>
        <v/>
      </c>
      <c r="AO561" s="7" t="str">
        <f t="shared" si="31"/>
        <v/>
      </c>
      <c r="AP561" s="15" t="str">
        <f t="shared" si="32"/>
        <v/>
      </c>
    </row>
    <row r="562" spans="38:42" ht="15" customHeight="1">
      <c r="AL562" s="7" t="str">
        <f>IF(A562="","",IF(COUNTIF(A562:A$2001,A562)=1,1,0))</f>
        <v/>
      </c>
      <c r="AM562" s="7" t="str">
        <f t="shared" ca="1" si="29"/>
        <v/>
      </c>
      <c r="AN562" s="7" t="str">
        <f t="shared" si="30"/>
        <v/>
      </c>
      <c r="AO562" s="7" t="str">
        <f t="shared" si="31"/>
        <v/>
      </c>
      <c r="AP562" s="15" t="str">
        <f t="shared" si="32"/>
        <v/>
      </c>
    </row>
    <row r="563" spans="38:42" ht="15" customHeight="1">
      <c r="AL563" s="7" t="str">
        <f>IF(A563="","",IF(COUNTIF(A563:A$2001,A563)=1,1,0))</f>
        <v/>
      </c>
      <c r="AM563" s="7" t="str">
        <f t="shared" ca="1" si="29"/>
        <v/>
      </c>
      <c r="AN563" s="7" t="str">
        <f t="shared" si="30"/>
        <v/>
      </c>
      <c r="AO563" s="7" t="str">
        <f t="shared" si="31"/>
        <v/>
      </c>
      <c r="AP563" s="15" t="str">
        <f t="shared" si="32"/>
        <v/>
      </c>
    </row>
    <row r="564" spans="38:42" ht="15" customHeight="1">
      <c r="AL564" s="7" t="str">
        <f>IF(A564="","",IF(COUNTIF(A564:A$2001,A564)=1,1,0))</f>
        <v/>
      </c>
      <c r="AM564" s="7" t="str">
        <f t="shared" ca="1" si="29"/>
        <v/>
      </c>
      <c r="AN564" s="7" t="str">
        <f t="shared" si="30"/>
        <v/>
      </c>
      <c r="AO564" s="7" t="str">
        <f t="shared" si="31"/>
        <v/>
      </c>
      <c r="AP564" s="15" t="str">
        <f t="shared" si="32"/>
        <v/>
      </c>
    </row>
    <row r="565" spans="38:42" ht="15" customHeight="1">
      <c r="AL565" s="7" t="str">
        <f>IF(A565="","",IF(COUNTIF(A565:A$2001,A565)=1,1,0))</f>
        <v/>
      </c>
      <c r="AM565" s="7" t="str">
        <f t="shared" ca="1" si="29"/>
        <v/>
      </c>
      <c r="AN565" s="7" t="str">
        <f t="shared" si="30"/>
        <v/>
      </c>
      <c r="AO565" s="7" t="str">
        <f t="shared" si="31"/>
        <v/>
      </c>
      <c r="AP565" s="15" t="str">
        <f t="shared" si="32"/>
        <v/>
      </c>
    </row>
    <row r="566" spans="38:42" ht="15" customHeight="1">
      <c r="AL566" s="7" t="str">
        <f>IF(A566="","",IF(COUNTIF(A566:A$2001,A566)=1,1,0))</f>
        <v/>
      </c>
      <c r="AM566" s="7" t="str">
        <f t="shared" ca="1" si="29"/>
        <v/>
      </c>
      <c r="AN566" s="7" t="str">
        <f t="shared" si="30"/>
        <v/>
      </c>
      <c r="AO566" s="7" t="str">
        <f t="shared" si="31"/>
        <v/>
      </c>
      <c r="AP566" s="15" t="str">
        <f t="shared" si="32"/>
        <v/>
      </c>
    </row>
    <row r="567" spans="38:42" ht="15" customHeight="1">
      <c r="AL567" s="7" t="str">
        <f>IF(A567="","",IF(COUNTIF(A567:A$2001,A567)=1,1,0))</f>
        <v/>
      </c>
      <c r="AM567" s="7" t="str">
        <f t="shared" ca="1" si="29"/>
        <v/>
      </c>
      <c r="AN567" s="7" t="str">
        <f t="shared" si="30"/>
        <v/>
      </c>
      <c r="AO567" s="7" t="str">
        <f t="shared" si="31"/>
        <v/>
      </c>
      <c r="AP567" s="15" t="str">
        <f t="shared" si="32"/>
        <v/>
      </c>
    </row>
    <row r="568" spans="38:42" ht="15" customHeight="1">
      <c r="AL568" s="7" t="str">
        <f>IF(A568="","",IF(COUNTIF(A568:A$2001,A568)=1,1,0))</f>
        <v/>
      </c>
      <c r="AM568" s="7" t="str">
        <f t="shared" ca="1" si="29"/>
        <v/>
      </c>
      <c r="AN568" s="7" t="str">
        <f t="shared" si="30"/>
        <v/>
      </c>
      <c r="AO568" s="7" t="str">
        <f t="shared" si="31"/>
        <v/>
      </c>
      <c r="AP568" s="15" t="str">
        <f t="shared" si="32"/>
        <v/>
      </c>
    </row>
    <row r="569" spans="38:42" ht="15" customHeight="1">
      <c r="AL569" s="7" t="str">
        <f>IF(A569="","",IF(COUNTIF(A569:A$2001,A569)=1,1,0))</f>
        <v/>
      </c>
      <c r="AM569" s="7" t="str">
        <f t="shared" ca="1" si="29"/>
        <v/>
      </c>
      <c r="AN569" s="7" t="str">
        <f t="shared" si="30"/>
        <v/>
      </c>
      <c r="AO569" s="7" t="str">
        <f t="shared" si="31"/>
        <v/>
      </c>
      <c r="AP569" s="15" t="str">
        <f t="shared" si="32"/>
        <v/>
      </c>
    </row>
    <row r="570" spans="38:42" ht="15" customHeight="1">
      <c r="AL570" s="7" t="str">
        <f>IF(A570="","",IF(COUNTIF(A570:A$2001,A570)=1,1,0))</f>
        <v/>
      </c>
      <c r="AM570" s="7" t="str">
        <f t="shared" ca="1" si="29"/>
        <v/>
      </c>
      <c r="AN570" s="7" t="str">
        <f t="shared" si="30"/>
        <v/>
      </c>
      <c r="AO570" s="7" t="str">
        <f t="shared" si="31"/>
        <v/>
      </c>
      <c r="AP570" s="15" t="str">
        <f t="shared" si="32"/>
        <v/>
      </c>
    </row>
    <row r="571" spans="38:42" ht="15" customHeight="1">
      <c r="AL571" s="7" t="str">
        <f>IF(A571="","",IF(COUNTIF(A571:A$2001,A571)=1,1,0))</f>
        <v/>
      </c>
      <c r="AM571" s="7" t="str">
        <f t="shared" ca="1" si="29"/>
        <v/>
      </c>
      <c r="AN571" s="7" t="str">
        <f t="shared" si="30"/>
        <v/>
      </c>
      <c r="AO571" s="7" t="str">
        <f t="shared" si="31"/>
        <v/>
      </c>
      <c r="AP571" s="15" t="str">
        <f t="shared" si="32"/>
        <v/>
      </c>
    </row>
    <row r="572" spans="38:42" ht="15" customHeight="1">
      <c r="AL572" s="7" t="str">
        <f>IF(A572="","",IF(COUNTIF(A572:A$2001,A572)=1,1,0))</f>
        <v/>
      </c>
      <c r="AM572" s="7" t="str">
        <f t="shared" ca="1" si="29"/>
        <v/>
      </c>
      <c r="AN572" s="7" t="str">
        <f t="shared" si="30"/>
        <v/>
      </c>
      <c r="AO572" s="7" t="str">
        <f t="shared" si="31"/>
        <v/>
      </c>
      <c r="AP572" s="15" t="str">
        <f t="shared" si="32"/>
        <v/>
      </c>
    </row>
    <row r="573" spans="38:42" ht="15" customHeight="1">
      <c r="AL573" s="7" t="str">
        <f>IF(A573="","",IF(COUNTIF(A573:A$2001,A573)=1,1,0))</f>
        <v/>
      </c>
      <c r="AM573" s="7" t="str">
        <f t="shared" ca="1" si="29"/>
        <v/>
      </c>
      <c r="AN573" s="7" t="str">
        <f t="shared" si="30"/>
        <v/>
      </c>
      <c r="AO573" s="7" t="str">
        <f t="shared" si="31"/>
        <v/>
      </c>
      <c r="AP573" s="15" t="str">
        <f t="shared" si="32"/>
        <v/>
      </c>
    </row>
    <row r="574" spans="38:42" ht="15" customHeight="1">
      <c r="AL574" s="7" t="str">
        <f>IF(A574="","",IF(COUNTIF(A574:A$2001,A574)=1,1,0))</f>
        <v/>
      </c>
      <c r="AM574" s="7" t="str">
        <f t="shared" ca="1" si="29"/>
        <v/>
      </c>
      <c r="AN574" s="7" t="str">
        <f t="shared" si="30"/>
        <v/>
      </c>
      <c r="AO574" s="7" t="str">
        <f t="shared" si="31"/>
        <v/>
      </c>
      <c r="AP574" s="15" t="str">
        <f t="shared" si="32"/>
        <v/>
      </c>
    </row>
    <row r="575" spans="38:42" ht="15" customHeight="1">
      <c r="AL575" s="7" t="str">
        <f>IF(A575="","",IF(COUNTIF(A575:A$2001,A575)=1,1,0))</f>
        <v/>
      </c>
      <c r="AM575" s="7" t="str">
        <f t="shared" ca="1" si="29"/>
        <v/>
      </c>
      <c r="AN575" s="7" t="str">
        <f t="shared" si="30"/>
        <v/>
      </c>
      <c r="AO575" s="7" t="str">
        <f t="shared" si="31"/>
        <v/>
      </c>
      <c r="AP575" s="15" t="str">
        <f t="shared" si="32"/>
        <v/>
      </c>
    </row>
    <row r="576" spans="38:42" ht="15" customHeight="1">
      <c r="AL576" s="7" t="str">
        <f>IF(A576="","",IF(COUNTIF(A576:A$2001,A576)=1,1,0))</f>
        <v/>
      </c>
      <c r="AM576" s="7" t="str">
        <f t="shared" ca="1" si="29"/>
        <v/>
      </c>
      <c r="AN576" s="7" t="str">
        <f t="shared" si="30"/>
        <v/>
      </c>
      <c r="AO576" s="7" t="str">
        <f t="shared" si="31"/>
        <v/>
      </c>
      <c r="AP576" s="15" t="str">
        <f t="shared" si="32"/>
        <v/>
      </c>
    </row>
    <row r="577" spans="38:42" ht="15" customHeight="1">
      <c r="AL577" s="7" t="str">
        <f>IF(A577="","",IF(COUNTIF(A577:A$2001,A577)=1,1,0))</f>
        <v/>
      </c>
      <c r="AM577" s="7" t="str">
        <f t="shared" ca="1" si="29"/>
        <v/>
      </c>
      <c r="AN577" s="7" t="str">
        <f t="shared" si="30"/>
        <v/>
      </c>
      <c r="AO577" s="7" t="str">
        <f t="shared" si="31"/>
        <v/>
      </c>
      <c r="AP577" s="15" t="str">
        <f t="shared" si="32"/>
        <v/>
      </c>
    </row>
    <row r="578" spans="38:42" ht="15" customHeight="1">
      <c r="AL578" s="7" t="str">
        <f>IF(A578="","",IF(COUNTIF(A578:A$2001,A578)=1,1,0))</f>
        <v/>
      </c>
      <c r="AM578" s="7" t="str">
        <f t="shared" ref="AM578:AM641" ca="1" si="33">IF(I578="","",TODAY()-I578)</f>
        <v/>
      </c>
      <c r="AN578" s="7" t="str">
        <f t="shared" ref="AN578:AN641" si="34">IF(A578="","",IF(AND(E578&lt;&gt;"33 確認済",E578&lt;&gt;"36 送付中"),1,0))</f>
        <v/>
      </c>
      <c r="AO578" s="7" t="str">
        <f t="shared" ref="AO578:AO641" si="35">IF(A578="","",IF(AG578&lt;&gt;"",1,0))</f>
        <v/>
      </c>
      <c r="AP578" s="15" t="str">
        <f t="shared" ref="AP578:AP641" si="36">IF(P578&lt;&gt;"","・添待ち","")&amp;IF(Q578&lt;&gt;"","・住民票","")&amp;IF(R578&lt;&gt;"","・発信","")&amp;IF(S578&lt;&gt;"","・確認事項","")&amp;IF(T578&lt;&gt;"","・管","")&amp;IF(U578&lt;&gt;"","・SV","")&amp;IF(V578&lt;&gt;"","・データ送付待ち","")&amp;IF(W578&lt;&gt;"","・削除","")</f>
        <v/>
      </c>
    </row>
    <row r="579" spans="38:42" ht="15" customHeight="1">
      <c r="AL579" s="7" t="str">
        <f>IF(A579="","",IF(COUNTIF(A579:A$2001,A579)=1,1,0))</f>
        <v/>
      </c>
      <c r="AM579" s="7" t="str">
        <f t="shared" ca="1" si="33"/>
        <v/>
      </c>
      <c r="AN579" s="7" t="str">
        <f t="shared" si="34"/>
        <v/>
      </c>
      <c r="AO579" s="7" t="str">
        <f t="shared" si="35"/>
        <v/>
      </c>
      <c r="AP579" s="15" t="str">
        <f t="shared" si="36"/>
        <v/>
      </c>
    </row>
    <row r="580" spans="38:42" ht="15" customHeight="1">
      <c r="AL580" s="7" t="str">
        <f>IF(A580="","",IF(COUNTIF(A580:A$2001,A580)=1,1,0))</f>
        <v/>
      </c>
      <c r="AM580" s="7" t="str">
        <f t="shared" ca="1" si="33"/>
        <v/>
      </c>
      <c r="AN580" s="7" t="str">
        <f t="shared" si="34"/>
        <v/>
      </c>
      <c r="AO580" s="7" t="str">
        <f t="shared" si="35"/>
        <v/>
      </c>
      <c r="AP580" s="15" t="str">
        <f t="shared" si="36"/>
        <v/>
      </c>
    </row>
    <row r="581" spans="38:42" ht="15" customHeight="1">
      <c r="AL581" s="7" t="str">
        <f>IF(A581="","",IF(COUNTIF(A581:A$2001,A581)=1,1,0))</f>
        <v/>
      </c>
      <c r="AM581" s="7" t="str">
        <f t="shared" ca="1" si="33"/>
        <v/>
      </c>
      <c r="AN581" s="7" t="str">
        <f t="shared" si="34"/>
        <v/>
      </c>
      <c r="AO581" s="7" t="str">
        <f t="shared" si="35"/>
        <v/>
      </c>
      <c r="AP581" s="15" t="str">
        <f t="shared" si="36"/>
        <v/>
      </c>
    </row>
    <row r="582" spans="38:42" ht="15" customHeight="1">
      <c r="AL582" s="7" t="str">
        <f>IF(A582="","",IF(COUNTIF(A582:A$2001,A582)=1,1,0))</f>
        <v/>
      </c>
      <c r="AM582" s="7" t="str">
        <f t="shared" ca="1" si="33"/>
        <v/>
      </c>
      <c r="AN582" s="7" t="str">
        <f t="shared" si="34"/>
        <v/>
      </c>
      <c r="AO582" s="7" t="str">
        <f t="shared" si="35"/>
        <v/>
      </c>
      <c r="AP582" s="15" t="str">
        <f t="shared" si="36"/>
        <v/>
      </c>
    </row>
    <row r="583" spans="38:42" ht="15" customHeight="1">
      <c r="AL583" s="7" t="str">
        <f>IF(A583="","",IF(COUNTIF(A583:A$2001,A583)=1,1,0))</f>
        <v/>
      </c>
      <c r="AM583" s="7" t="str">
        <f t="shared" ca="1" si="33"/>
        <v/>
      </c>
      <c r="AN583" s="7" t="str">
        <f t="shared" si="34"/>
        <v/>
      </c>
      <c r="AO583" s="7" t="str">
        <f t="shared" si="35"/>
        <v/>
      </c>
      <c r="AP583" s="15" t="str">
        <f t="shared" si="36"/>
        <v/>
      </c>
    </row>
    <row r="584" spans="38:42" ht="15" customHeight="1">
      <c r="AL584" s="7" t="str">
        <f>IF(A584="","",IF(COUNTIF(A584:A$2001,A584)=1,1,0))</f>
        <v/>
      </c>
      <c r="AM584" s="7" t="str">
        <f t="shared" ca="1" si="33"/>
        <v/>
      </c>
      <c r="AN584" s="7" t="str">
        <f t="shared" si="34"/>
        <v/>
      </c>
      <c r="AO584" s="7" t="str">
        <f t="shared" si="35"/>
        <v/>
      </c>
      <c r="AP584" s="15" t="str">
        <f t="shared" si="36"/>
        <v/>
      </c>
    </row>
    <row r="585" spans="38:42" ht="15" customHeight="1">
      <c r="AL585" s="7" t="str">
        <f>IF(A585="","",IF(COUNTIF(A585:A$2001,A585)=1,1,0))</f>
        <v/>
      </c>
      <c r="AM585" s="7" t="str">
        <f t="shared" ca="1" si="33"/>
        <v/>
      </c>
      <c r="AN585" s="7" t="str">
        <f t="shared" si="34"/>
        <v/>
      </c>
      <c r="AO585" s="7" t="str">
        <f t="shared" si="35"/>
        <v/>
      </c>
      <c r="AP585" s="15" t="str">
        <f t="shared" si="36"/>
        <v/>
      </c>
    </row>
    <row r="586" spans="38:42" ht="15" customHeight="1">
      <c r="AL586" s="7" t="str">
        <f>IF(A586="","",IF(COUNTIF(A586:A$2001,A586)=1,1,0))</f>
        <v/>
      </c>
      <c r="AM586" s="7" t="str">
        <f t="shared" ca="1" si="33"/>
        <v/>
      </c>
      <c r="AN586" s="7" t="str">
        <f t="shared" si="34"/>
        <v/>
      </c>
      <c r="AO586" s="7" t="str">
        <f t="shared" si="35"/>
        <v/>
      </c>
      <c r="AP586" s="15" t="str">
        <f t="shared" si="36"/>
        <v/>
      </c>
    </row>
    <row r="587" spans="38:42" ht="15" customHeight="1">
      <c r="AL587" s="7" t="str">
        <f>IF(A587="","",IF(COUNTIF(A587:A$2001,A587)=1,1,0))</f>
        <v/>
      </c>
      <c r="AM587" s="7" t="str">
        <f t="shared" ca="1" si="33"/>
        <v/>
      </c>
      <c r="AN587" s="7" t="str">
        <f t="shared" si="34"/>
        <v/>
      </c>
      <c r="AO587" s="7" t="str">
        <f t="shared" si="35"/>
        <v/>
      </c>
      <c r="AP587" s="15" t="str">
        <f t="shared" si="36"/>
        <v/>
      </c>
    </row>
    <row r="588" spans="38:42" ht="15" customHeight="1">
      <c r="AL588" s="7" t="str">
        <f>IF(A588="","",IF(COUNTIF(A588:A$2001,A588)=1,1,0))</f>
        <v/>
      </c>
      <c r="AM588" s="7" t="str">
        <f t="shared" ca="1" si="33"/>
        <v/>
      </c>
      <c r="AN588" s="7" t="str">
        <f t="shared" si="34"/>
        <v/>
      </c>
      <c r="AO588" s="7" t="str">
        <f t="shared" si="35"/>
        <v/>
      </c>
      <c r="AP588" s="15" t="str">
        <f t="shared" si="36"/>
        <v/>
      </c>
    </row>
    <row r="589" spans="38:42" ht="15" customHeight="1">
      <c r="AL589" s="7" t="str">
        <f>IF(A589="","",IF(COUNTIF(A589:A$2001,A589)=1,1,0))</f>
        <v/>
      </c>
      <c r="AM589" s="7" t="str">
        <f t="shared" ca="1" si="33"/>
        <v/>
      </c>
      <c r="AN589" s="7" t="str">
        <f t="shared" si="34"/>
        <v/>
      </c>
      <c r="AO589" s="7" t="str">
        <f t="shared" si="35"/>
        <v/>
      </c>
      <c r="AP589" s="15" t="str">
        <f t="shared" si="36"/>
        <v/>
      </c>
    </row>
    <row r="590" spans="38:42" ht="15" customHeight="1">
      <c r="AL590" s="7" t="str">
        <f>IF(A590="","",IF(COUNTIF(A590:A$2001,A590)=1,1,0))</f>
        <v/>
      </c>
      <c r="AM590" s="7" t="str">
        <f t="shared" ca="1" si="33"/>
        <v/>
      </c>
      <c r="AN590" s="7" t="str">
        <f t="shared" si="34"/>
        <v/>
      </c>
      <c r="AO590" s="7" t="str">
        <f t="shared" si="35"/>
        <v/>
      </c>
      <c r="AP590" s="15" t="str">
        <f t="shared" si="36"/>
        <v/>
      </c>
    </row>
    <row r="591" spans="38:42" ht="15" customHeight="1">
      <c r="AL591" s="7" t="str">
        <f>IF(A591="","",IF(COUNTIF(A591:A$2001,A591)=1,1,0))</f>
        <v/>
      </c>
      <c r="AM591" s="7" t="str">
        <f t="shared" ca="1" si="33"/>
        <v/>
      </c>
      <c r="AN591" s="7" t="str">
        <f t="shared" si="34"/>
        <v/>
      </c>
      <c r="AO591" s="7" t="str">
        <f t="shared" si="35"/>
        <v/>
      </c>
      <c r="AP591" s="15" t="str">
        <f t="shared" si="36"/>
        <v/>
      </c>
    </row>
    <row r="592" spans="38:42" ht="15" customHeight="1">
      <c r="AL592" s="7" t="str">
        <f>IF(A592="","",IF(COUNTIF(A592:A$2001,A592)=1,1,0))</f>
        <v/>
      </c>
      <c r="AM592" s="7" t="str">
        <f t="shared" ca="1" si="33"/>
        <v/>
      </c>
      <c r="AN592" s="7" t="str">
        <f t="shared" si="34"/>
        <v/>
      </c>
      <c r="AO592" s="7" t="str">
        <f t="shared" si="35"/>
        <v/>
      </c>
      <c r="AP592" s="15" t="str">
        <f t="shared" si="36"/>
        <v/>
      </c>
    </row>
    <row r="593" spans="38:42" ht="15" customHeight="1">
      <c r="AL593" s="7" t="str">
        <f>IF(A593="","",IF(COUNTIF(A593:A$2001,A593)=1,1,0))</f>
        <v/>
      </c>
      <c r="AM593" s="7" t="str">
        <f t="shared" ca="1" si="33"/>
        <v/>
      </c>
      <c r="AN593" s="7" t="str">
        <f t="shared" si="34"/>
        <v/>
      </c>
      <c r="AO593" s="7" t="str">
        <f t="shared" si="35"/>
        <v/>
      </c>
      <c r="AP593" s="15" t="str">
        <f t="shared" si="36"/>
        <v/>
      </c>
    </row>
    <row r="594" spans="38:42" ht="15" customHeight="1">
      <c r="AL594" s="7" t="str">
        <f>IF(A594="","",IF(COUNTIF(A594:A$2001,A594)=1,1,0))</f>
        <v/>
      </c>
      <c r="AM594" s="7" t="str">
        <f t="shared" ca="1" si="33"/>
        <v/>
      </c>
      <c r="AN594" s="7" t="str">
        <f t="shared" si="34"/>
        <v/>
      </c>
      <c r="AO594" s="7" t="str">
        <f t="shared" si="35"/>
        <v/>
      </c>
      <c r="AP594" s="15" t="str">
        <f t="shared" si="36"/>
        <v/>
      </c>
    </row>
    <row r="595" spans="38:42" ht="15" customHeight="1">
      <c r="AL595" s="7" t="str">
        <f>IF(A595="","",IF(COUNTIF(A595:A$2001,A595)=1,1,0))</f>
        <v/>
      </c>
      <c r="AM595" s="7" t="str">
        <f t="shared" ca="1" si="33"/>
        <v/>
      </c>
      <c r="AN595" s="7" t="str">
        <f t="shared" si="34"/>
        <v/>
      </c>
      <c r="AO595" s="7" t="str">
        <f t="shared" si="35"/>
        <v/>
      </c>
      <c r="AP595" s="15" t="str">
        <f t="shared" si="36"/>
        <v/>
      </c>
    </row>
    <row r="596" spans="38:42" ht="15" customHeight="1">
      <c r="AL596" s="7" t="str">
        <f>IF(A596="","",IF(COUNTIF(A596:A$2001,A596)=1,1,0))</f>
        <v/>
      </c>
      <c r="AM596" s="7" t="str">
        <f t="shared" ca="1" si="33"/>
        <v/>
      </c>
      <c r="AN596" s="7" t="str">
        <f t="shared" si="34"/>
        <v/>
      </c>
      <c r="AO596" s="7" t="str">
        <f t="shared" si="35"/>
        <v/>
      </c>
      <c r="AP596" s="15" t="str">
        <f t="shared" si="36"/>
        <v/>
      </c>
    </row>
    <row r="597" spans="38:42" ht="15" customHeight="1">
      <c r="AL597" s="7" t="str">
        <f>IF(A597="","",IF(COUNTIF(A597:A$2001,A597)=1,1,0))</f>
        <v/>
      </c>
      <c r="AM597" s="7" t="str">
        <f t="shared" ca="1" si="33"/>
        <v/>
      </c>
      <c r="AN597" s="7" t="str">
        <f t="shared" si="34"/>
        <v/>
      </c>
      <c r="AO597" s="7" t="str">
        <f t="shared" si="35"/>
        <v/>
      </c>
      <c r="AP597" s="15" t="str">
        <f t="shared" si="36"/>
        <v/>
      </c>
    </row>
    <row r="598" spans="38:42" ht="15" customHeight="1">
      <c r="AL598" s="7" t="str">
        <f>IF(A598="","",IF(COUNTIF(A598:A$2001,A598)=1,1,0))</f>
        <v/>
      </c>
      <c r="AM598" s="7" t="str">
        <f t="shared" ca="1" si="33"/>
        <v/>
      </c>
      <c r="AN598" s="7" t="str">
        <f t="shared" si="34"/>
        <v/>
      </c>
      <c r="AO598" s="7" t="str">
        <f t="shared" si="35"/>
        <v/>
      </c>
      <c r="AP598" s="15" t="str">
        <f t="shared" si="36"/>
        <v/>
      </c>
    </row>
    <row r="599" spans="38:42" ht="15" customHeight="1">
      <c r="AL599" s="7" t="str">
        <f>IF(A599="","",IF(COUNTIF(A599:A$2001,A599)=1,1,0))</f>
        <v/>
      </c>
      <c r="AM599" s="7" t="str">
        <f t="shared" ca="1" si="33"/>
        <v/>
      </c>
      <c r="AN599" s="7" t="str">
        <f t="shared" si="34"/>
        <v/>
      </c>
      <c r="AO599" s="7" t="str">
        <f t="shared" si="35"/>
        <v/>
      </c>
      <c r="AP599" s="15" t="str">
        <f t="shared" si="36"/>
        <v/>
      </c>
    </row>
    <row r="600" spans="38:42" ht="15" customHeight="1">
      <c r="AL600" s="7" t="str">
        <f>IF(A600="","",IF(COUNTIF(A600:A$2001,A600)=1,1,0))</f>
        <v/>
      </c>
      <c r="AM600" s="7" t="str">
        <f t="shared" ca="1" si="33"/>
        <v/>
      </c>
      <c r="AN600" s="7" t="str">
        <f t="shared" si="34"/>
        <v/>
      </c>
      <c r="AO600" s="7" t="str">
        <f t="shared" si="35"/>
        <v/>
      </c>
      <c r="AP600" s="15" t="str">
        <f t="shared" si="36"/>
        <v/>
      </c>
    </row>
    <row r="601" spans="38:42" ht="15" customHeight="1">
      <c r="AL601" s="7" t="str">
        <f>IF(A601="","",IF(COUNTIF(A601:A$2001,A601)=1,1,0))</f>
        <v/>
      </c>
      <c r="AM601" s="7" t="str">
        <f t="shared" ca="1" si="33"/>
        <v/>
      </c>
      <c r="AN601" s="7" t="str">
        <f t="shared" si="34"/>
        <v/>
      </c>
      <c r="AO601" s="7" t="str">
        <f t="shared" si="35"/>
        <v/>
      </c>
      <c r="AP601" s="15" t="str">
        <f t="shared" si="36"/>
        <v/>
      </c>
    </row>
    <row r="602" spans="38:42" ht="15" customHeight="1">
      <c r="AL602" s="7" t="str">
        <f>IF(A602="","",IF(COUNTIF(A602:A$2001,A602)=1,1,0))</f>
        <v/>
      </c>
      <c r="AM602" s="7" t="str">
        <f t="shared" ca="1" si="33"/>
        <v/>
      </c>
      <c r="AN602" s="7" t="str">
        <f t="shared" si="34"/>
        <v/>
      </c>
      <c r="AO602" s="7" t="str">
        <f t="shared" si="35"/>
        <v/>
      </c>
      <c r="AP602" s="15" t="str">
        <f t="shared" si="36"/>
        <v/>
      </c>
    </row>
    <row r="603" spans="38:42" ht="15" customHeight="1">
      <c r="AL603" s="7" t="str">
        <f>IF(A603="","",IF(COUNTIF(A603:A$2001,A603)=1,1,0))</f>
        <v/>
      </c>
      <c r="AM603" s="7" t="str">
        <f t="shared" ca="1" si="33"/>
        <v/>
      </c>
      <c r="AN603" s="7" t="str">
        <f t="shared" si="34"/>
        <v/>
      </c>
      <c r="AO603" s="7" t="str">
        <f t="shared" si="35"/>
        <v/>
      </c>
      <c r="AP603" s="15" t="str">
        <f t="shared" si="36"/>
        <v/>
      </c>
    </row>
    <row r="604" spans="38:42" ht="15" customHeight="1">
      <c r="AL604" s="7" t="str">
        <f>IF(A604="","",IF(COUNTIF(A604:A$2001,A604)=1,1,0))</f>
        <v/>
      </c>
      <c r="AM604" s="7" t="str">
        <f t="shared" ca="1" si="33"/>
        <v/>
      </c>
      <c r="AN604" s="7" t="str">
        <f t="shared" si="34"/>
        <v/>
      </c>
      <c r="AO604" s="7" t="str">
        <f t="shared" si="35"/>
        <v/>
      </c>
      <c r="AP604" s="15" t="str">
        <f t="shared" si="36"/>
        <v/>
      </c>
    </row>
    <row r="605" spans="38:42" ht="15" customHeight="1">
      <c r="AL605" s="7" t="str">
        <f>IF(A605="","",IF(COUNTIF(A605:A$2001,A605)=1,1,0))</f>
        <v/>
      </c>
      <c r="AM605" s="7" t="str">
        <f t="shared" ca="1" si="33"/>
        <v/>
      </c>
      <c r="AN605" s="7" t="str">
        <f t="shared" si="34"/>
        <v/>
      </c>
      <c r="AO605" s="7" t="str">
        <f t="shared" si="35"/>
        <v/>
      </c>
      <c r="AP605" s="15" t="str">
        <f t="shared" si="36"/>
        <v/>
      </c>
    </row>
    <row r="606" spans="38:42" ht="15" customHeight="1">
      <c r="AL606" s="7" t="str">
        <f>IF(A606="","",IF(COUNTIF(A606:A$2001,A606)=1,1,0))</f>
        <v/>
      </c>
      <c r="AM606" s="7" t="str">
        <f t="shared" ca="1" si="33"/>
        <v/>
      </c>
      <c r="AN606" s="7" t="str">
        <f t="shared" si="34"/>
        <v/>
      </c>
      <c r="AO606" s="7" t="str">
        <f t="shared" si="35"/>
        <v/>
      </c>
      <c r="AP606" s="15" t="str">
        <f t="shared" si="36"/>
        <v/>
      </c>
    </row>
    <row r="607" spans="38:42" ht="15" customHeight="1">
      <c r="AL607" s="7" t="str">
        <f>IF(A607="","",IF(COUNTIF(A607:A$2001,A607)=1,1,0))</f>
        <v/>
      </c>
      <c r="AM607" s="7" t="str">
        <f t="shared" ca="1" si="33"/>
        <v/>
      </c>
      <c r="AN607" s="7" t="str">
        <f t="shared" si="34"/>
        <v/>
      </c>
      <c r="AO607" s="7" t="str">
        <f t="shared" si="35"/>
        <v/>
      </c>
      <c r="AP607" s="15" t="str">
        <f t="shared" si="36"/>
        <v/>
      </c>
    </row>
    <row r="608" spans="38:42" ht="15" customHeight="1">
      <c r="AL608" s="7" t="str">
        <f>IF(A608="","",IF(COUNTIF(A608:A$2001,A608)=1,1,0))</f>
        <v/>
      </c>
      <c r="AM608" s="7" t="str">
        <f t="shared" ca="1" si="33"/>
        <v/>
      </c>
      <c r="AN608" s="7" t="str">
        <f t="shared" si="34"/>
        <v/>
      </c>
      <c r="AO608" s="7" t="str">
        <f t="shared" si="35"/>
        <v/>
      </c>
      <c r="AP608" s="15" t="str">
        <f t="shared" si="36"/>
        <v/>
      </c>
    </row>
    <row r="609" spans="38:42" ht="15" customHeight="1">
      <c r="AL609" s="7" t="str">
        <f>IF(A609="","",IF(COUNTIF(A609:A$2001,A609)=1,1,0))</f>
        <v/>
      </c>
      <c r="AM609" s="7" t="str">
        <f t="shared" ca="1" si="33"/>
        <v/>
      </c>
      <c r="AN609" s="7" t="str">
        <f t="shared" si="34"/>
        <v/>
      </c>
      <c r="AO609" s="7" t="str">
        <f t="shared" si="35"/>
        <v/>
      </c>
      <c r="AP609" s="15" t="str">
        <f t="shared" si="36"/>
        <v/>
      </c>
    </row>
    <row r="610" spans="38:42" ht="15" customHeight="1">
      <c r="AL610" s="7" t="str">
        <f>IF(A610="","",IF(COUNTIF(A610:A$2001,A610)=1,1,0))</f>
        <v/>
      </c>
      <c r="AM610" s="7" t="str">
        <f t="shared" ca="1" si="33"/>
        <v/>
      </c>
      <c r="AN610" s="7" t="str">
        <f t="shared" si="34"/>
        <v/>
      </c>
      <c r="AO610" s="7" t="str">
        <f t="shared" si="35"/>
        <v/>
      </c>
      <c r="AP610" s="15" t="str">
        <f t="shared" si="36"/>
        <v/>
      </c>
    </row>
    <row r="611" spans="38:42" ht="15" customHeight="1">
      <c r="AL611" s="7" t="str">
        <f>IF(A611="","",IF(COUNTIF(A611:A$2001,A611)=1,1,0))</f>
        <v/>
      </c>
      <c r="AM611" s="7" t="str">
        <f t="shared" ca="1" si="33"/>
        <v/>
      </c>
      <c r="AN611" s="7" t="str">
        <f t="shared" si="34"/>
        <v/>
      </c>
      <c r="AO611" s="7" t="str">
        <f t="shared" si="35"/>
        <v/>
      </c>
      <c r="AP611" s="15" t="str">
        <f t="shared" si="36"/>
        <v/>
      </c>
    </row>
    <row r="612" spans="38:42" ht="15" customHeight="1">
      <c r="AL612" s="7" t="str">
        <f>IF(A612="","",IF(COUNTIF(A612:A$2001,A612)=1,1,0))</f>
        <v/>
      </c>
      <c r="AM612" s="7" t="str">
        <f t="shared" ca="1" si="33"/>
        <v/>
      </c>
      <c r="AN612" s="7" t="str">
        <f t="shared" si="34"/>
        <v/>
      </c>
      <c r="AO612" s="7" t="str">
        <f t="shared" si="35"/>
        <v/>
      </c>
      <c r="AP612" s="15" t="str">
        <f t="shared" si="36"/>
        <v/>
      </c>
    </row>
    <row r="613" spans="38:42" ht="15" customHeight="1">
      <c r="AL613" s="7" t="str">
        <f>IF(A613="","",IF(COUNTIF(A613:A$2001,A613)=1,1,0))</f>
        <v/>
      </c>
      <c r="AM613" s="7" t="str">
        <f t="shared" ca="1" si="33"/>
        <v/>
      </c>
      <c r="AN613" s="7" t="str">
        <f t="shared" si="34"/>
        <v/>
      </c>
      <c r="AO613" s="7" t="str">
        <f t="shared" si="35"/>
        <v/>
      </c>
      <c r="AP613" s="15" t="str">
        <f t="shared" si="36"/>
        <v/>
      </c>
    </row>
    <row r="614" spans="38:42" ht="15" customHeight="1">
      <c r="AL614" s="7" t="str">
        <f>IF(A614="","",IF(COUNTIF(A614:A$2001,A614)=1,1,0))</f>
        <v/>
      </c>
      <c r="AM614" s="7" t="str">
        <f t="shared" ca="1" si="33"/>
        <v/>
      </c>
      <c r="AN614" s="7" t="str">
        <f t="shared" si="34"/>
        <v/>
      </c>
      <c r="AO614" s="7" t="str">
        <f t="shared" si="35"/>
        <v/>
      </c>
      <c r="AP614" s="15" t="str">
        <f t="shared" si="36"/>
        <v/>
      </c>
    </row>
    <row r="615" spans="38:42" ht="15" customHeight="1">
      <c r="AL615" s="7" t="str">
        <f>IF(A615="","",IF(COUNTIF(A615:A$2001,A615)=1,1,0))</f>
        <v/>
      </c>
      <c r="AM615" s="7" t="str">
        <f t="shared" ca="1" si="33"/>
        <v/>
      </c>
      <c r="AN615" s="7" t="str">
        <f t="shared" si="34"/>
        <v/>
      </c>
      <c r="AO615" s="7" t="str">
        <f t="shared" si="35"/>
        <v/>
      </c>
      <c r="AP615" s="15" t="str">
        <f t="shared" si="36"/>
        <v/>
      </c>
    </row>
    <row r="616" spans="38:42" ht="15" customHeight="1">
      <c r="AL616" s="7" t="str">
        <f>IF(A616="","",IF(COUNTIF(A616:A$2001,A616)=1,1,0))</f>
        <v/>
      </c>
      <c r="AM616" s="7" t="str">
        <f t="shared" ca="1" si="33"/>
        <v/>
      </c>
      <c r="AN616" s="7" t="str">
        <f t="shared" si="34"/>
        <v/>
      </c>
      <c r="AO616" s="7" t="str">
        <f t="shared" si="35"/>
        <v/>
      </c>
      <c r="AP616" s="15" t="str">
        <f t="shared" si="36"/>
        <v/>
      </c>
    </row>
    <row r="617" spans="38:42" ht="15" customHeight="1">
      <c r="AL617" s="7" t="str">
        <f>IF(A617="","",IF(COUNTIF(A617:A$2001,A617)=1,1,0))</f>
        <v/>
      </c>
      <c r="AM617" s="7" t="str">
        <f t="shared" ca="1" si="33"/>
        <v/>
      </c>
      <c r="AN617" s="7" t="str">
        <f t="shared" si="34"/>
        <v/>
      </c>
      <c r="AO617" s="7" t="str">
        <f t="shared" si="35"/>
        <v/>
      </c>
      <c r="AP617" s="15" t="str">
        <f t="shared" si="36"/>
        <v/>
      </c>
    </row>
    <row r="618" spans="38:42" ht="15" customHeight="1">
      <c r="AL618" s="7" t="str">
        <f>IF(A618="","",IF(COUNTIF(A618:A$2001,A618)=1,1,0))</f>
        <v/>
      </c>
      <c r="AM618" s="7" t="str">
        <f t="shared" ca="1" si="33"/>
        <v/>
      </c>
      <c r="AN618" s="7" t="str">
        <f t="shared" si="34"/>
        <v/>
      </c>
      <c r="AO618" s="7" t="str">
        <f t="shared" si="35"/>
        <v/>
      </c>
      <c r="AP618" s="15" t="str">
        <f t="shared" si="36"/>
        <v/>
      </c>
    </row>
    <row r="619" spans="38:42" ht="15" customHeight="1">
      <c r="AL619" s="7" t="str">
        <f>IF(A619="","",IF(COUNTIF(A619:A$2001,A619)=1,1,0))</f>
        <v/>
      </c>
      <c r="AM619" s="7" t="str">
        <f t="shared" ca="1" si="33"/>
        <v/>
      </c>
      <c r="AN619" s="7" t="str">
        <f t="shared" si="34"/>
        <v/>
      </c>
      <c r="AO619" s="7" t="str">
        <f t="shared" si="35"/>
        <v/>
      </c>
      <c r="AP619" s="15" t="str">
        <f t="shared" si="36"/>
        <v/>
      </c>
    </row>
    <row r="620" spans="38:42" ht="15" customHeight="1">
      <c r="AL620" s="7" t="str">
        <f>IF(A620="","",IF(COUNTIF(A620:A$2001,A620)=1,1,0))</f>
        <v/>
      </c>
      <c r="AM620" s="7" t="str">
        <f t="shared" ca="1" si="33"/>
        <v/>
      </c>
      <c r="AN620" s="7" t="str">
        <f t="shared" si="34"/>
        <v/>
      </c>
      <c r="AO620" s="7" t="str">
        <f t="shared" si="35"/>
        <v/>
      </c>
      <c r="AP620" s="15" t="str">
        <f t="shared" si="36"/>
        <v/>
      </c>
    </row>
    <row r="621" spans="38:42" ht="15" customHeight="1">
      <c r="AL621" s="7" t="str">
        <f>IF(A621="","",IF(COUNTIF(A621:A$2001,A621)=1,1,0))</f>
        <v/>
      </c>
      <c r="AM621" s="7" t="str">
        <f t="shared" ca="1" si="33"/>
        <v/>
      </c>
      <c r="AN621" s="7" t="str">
        <f t="shared" si="34"/>
        <v/>
      </c>
      <c r="AO621" s="7" t="str">
        <f t="shared" si="35"/>
        <v/>
      </c>
      <c r="AP621" s="15" t="str">
        <f t="shared" si="36"/>
        <v/>
      </c>
    </row>
    <row r="622" spans="38:42" ht="15" customHeight="1">
      <c r="AL622" s="7" t="str">
        <f>IF(A622="","",IF(COUNTIF(A622:A$2001,A622)=1,1,0))</f>
        <v/>
      </c>
      <c r="AM622" s="7" t="str">
        <f t="shared" ca="1" si="33"/>
        <v/>
      </c>
      <c r="AN622" s="7" t="str">
        <f t="shared" si="34"/>
        <v/>
      </c>
      <c r="AO622" s="7" t="str">
        <f t="shared" si="35"/>
        <v/>
      </c>
      <c r="AP622" s="15" t="str">
        <f t="shared" si="36"/>
        <v/>
      </c>
    </row>
    <row r="623" spans="38:42" ht="15" customHeight="1">
      <c r="AL623" s="7" t="str">
        <f>IF(A623="","",IF(COUNTIF(A623:A$2001,A623)=1,1,0))</f>
        <v/>
      </c>
      <c r="AM623" s="7" t="str">
        <f t="shared" ca="1" si="33"/>
        <v/>
      </c>
      <c r="AN623" s="7" t="str">
        <f t="shared" si="34"/>
        <v/>
      </c>
      <c r="AO623" s="7" t="str">
        <f t="shared" si="35"/>
        <v/>
      </c>
      <c r="AP623" s="15" t="str">
        <f t="shared" si="36"/>
        <v/>
      </c>
    </row>
    <row r="624" spans="38:42" ht="15" customHeight="1">
      <c r="AL624" s="7" t="str">
        <f>IF(A624="","",IF(COUNTIF(A624:A$2001,A624)=1,1,0))</f>
        <v/>
      </c>
      <c r="AM624" s="7" t="str">
        <f t="shared" ca="1" si="33"/>
        <v/>
      </c>
      <c r="AN624" s="7" t="str">
        <f t="shared" si="34"/>
        <v/>
      </c>
      <c r="AO624" s="7" t="str">
        <f t="shared" si="35"/>
        <v/>
      </c>
      <c r="AP624" s="15" t="str">
        <f t="shared" si="36"/>
        <v/>
      </c>
    </row>
    <row r="625" spans="38:42" ht="15" customHeight="1">
      <c r="AL625" s="7" t="str">
        <f>IF(A625="","",IF(COUNTIF(A625:A$2001,A625)=1,1,0))</f>
        <v/>
      </c>
      <c r="AM625" s="7" t="str">
        <f t="shared" ca="1" si="33"/>
        <v/>
      </c>
      <c r="AN625" s="7" t="str">
        <f t="shared" si="34"/>
        <v/>
      </c>
      <c r="AO625" s="7" t="str">
        <f t="shared" si="35"/>
        <v/>
      </c>
      <c r="AP625" s="15" t="str">
        <f t="shared" si="36"/>
        <v/>
      </c>
    </row>
    <row r="626" spans="38:42" ht="15" customHeight="1">
      <c r="AL626" s="7" t="str">
        <f>IF(A626="","",IF(COUNTIF(A626:A$2001,A626)=1,1,0))</f>
        <v/>
      </c>
      <c r="AM626" s="7" t="str">
        <f t="shared" ca="1" si="33"/>
        <v/>
      </c>
      <c r="AN626" s="7" t="str">
        <f t="shared" si="34"/>
        <v/>
      </c>
      <c r="AO626" s="7" t="str">
        <f t="shared" si="35"/>
        <v/>
      </c>
      <c r="AP626" s="15" t="str">
        <f t="shared" si="36"/>
        <v/>
      </c>
    </row>
    <row r="627" spans="38:42" ht="15" customHeight="1">
      <c r="AL627" s="7" t="str">
        <f>IF(A627="","",IF(COUNTIF(A627:A$2001,A627)=1,1,0))</f>
        <v/>
      </c>
      <c r="AM627" s="7" t="str">
        <f t="shared" ca="1" si="33"/>
        <v/>
      </c>
      <c r="AN627" s="7" t="str">
        <f t="shared" si="34"/>
        <v/>
      </c>
      <c r="AO627" s="7" t="str">
        <f t="shared" si="35"/>
        <v/>
      </c>
      <c r="AP627" s="15" t="str">
        <f t="shared" si="36"/>
        <v/>
      </c>
    </row>
    <row r="628" spans="38:42" ht="15" customHeight="1">
      <c r="AL628" s="7" t="str">
        <f>IF(A628="","",IF(COUNTIF(A628:A$2001,A628)=1,1,0))</f>
        <v/>
      </c>
      <c r="AM628" s="7" t="str">
        <f t="shared" ca="1" si="33"/>
        <v/>
      </c>
      <c r="AN628" s="7" t="str">
        <f t="shared" si="34"/>
        <v/>
      </c>
      <c r="AO628" s="7" t="str">
        <f t="shared" si="35"/>
        <v/>
      </c>
      <c r="AP628" s="15" t="str">
        <f t="shared" si="36"/>
        <v/>
      </c>
    </row>
    <row r="629" spans="38:42" ht="15" customHeight="1">
      <c r="AL629" s="7" t="str">
        <f>IF(A629="","",IF(COUNTIF(A629:A$2001,A629)=1,1,0))</f>
        <v/>
      </c>
      <c r="AM629" s="7" t="str">
        <f t="shared" ca="1" si="33"/>
        <v/>
      </c>
      <c r="AN629" s="7" t="str">
        <f t="shared" si="34"/>
        <v/>
      </c>
      <c r="AO629" s="7" t="str">
        <f t="shared" si="35"/>
        <v/>
      </c>
      <c r="AP629" s="15" t="str">
        <f t="shared" si="36"/>
        <v/>
      </c>
    </row>
    <row r="630" spans="38:42" ht="15" customHeight="1">
      <c r="AL630" s="7" t="str">
        <f>IF(A630="","",IF(COUNTIF(A630:A$2001,A630)=1,1,0))</f>
        <v/>
      </c>
      <c r="AM630" s="7" t="str">
        <f t="shared" ca="1" si="33"/>
        <v/>
      </c>
      <c r="AN630" s="7" t="str">
        <f t="shared" si="34"/>
        <v/>
      </c>
      <c r="AO630" s="7" t="str">
        <f t="shared" si="35"/>
        <v/>
      </c>
      <c r="AP630" s="15" t="str">
        <f t="shared" si="36"/>
        <v/>
      </c>
    </row>
    <row r="631" spans="38:42" ht="15" customHeight="1">
      <c r="AL631" s="7" t="str">
        <f>IF(A631="","",IF(COUNTIF(A631:A$2001,A631)=1,1,0))</f>
        <v/>
      </c>
      <c r="AM631" s="7" t="str">
        <f t="shared" ca="1" si="33"/>
        <v/>
      </c>
      <c r="AN631" s="7" t="str">
        <f t="shared" si="34"/>
        <v/>
      </c>
      <c r="AO631" s="7" t="str">
        <f t="shared" si="35"/>
        <v/>
      </c>
      <c r="AP631" s="15" t="str">
        <f t="shared" si="36"/>
        <v/>
      </c>
    </row>
    <row r="632" spans="38:42" ht="15" customHeight="1">
      <c r="AL632" s="7" t="str">
        <f>IF(A632="","",IF(COUNTIF(A632:A$2001,A632)=1,1,0))</f>
        <v/>
      </c>
      <c r="AM632" s="7" t="str">
        <f t="shared" ca="1" si="33"/>
        <v/>
      </c>
      <c r="AN632" s="7" t="str">
        <f t="shared" si="34"/>
        <v/>
      </c>
      <c r="AO632" s="7" t="str">
        <f t="shared" si="35"/>
        <v/>
      </c>
      <c r="AP632" s="15" t="str">
        <f t="shared" si="36"/>
        <v/>
      </c>
    </row>
    <row r="633" spans="38:42" ht="15" customHeight="1">
      <c r="AL633" s="7" t="str">
        <f>IF(A633="","",IF(COUNTIF(A633:A$2001,A633)=1,1,0))</f>
        <v/>
      </c>
      <c r="AM633" s="7" t="str">
        <f t="shared" ca="1" si="33"/>
        <v/>
      </c>
      <c r="AN633" s="7" t="str">
        <f t="shared" si="34"/>
        <v/>
      </c>
      <c r="AO633" s="7" t="str">
        <f t="shared" si="35"/>
        <v/>
      </c>
      <c r="AP633" s="15" t="str">
        <f t="shared" si="36"/>
        <v/>
      </c>
    </row>
    <row r="634" spans="38:42" ht="15" customHeight="1">
      <c r="AL634" s="7" t="str">
        <f>IF(A634="","",IF(COUNTIF(A634:A$2001,A634)=1,1,0))</f>
        <v/>
      </c>
      <c r="AM634" s="7" t="str">
        <f t="shared" ca="1" si="33"/>
        <v/>
      </c>
      <c r="AN634" s="7" t="str">
        <f t="shared" si="34"/>
        <v/>
      </c>
      <c r="AO634" s="7" t="str">
        <f t="shared" si="35"/>
        <v/>
      </c>
      <c r="AP634" s="15" t="str">
        <f t="shared" si="36"/>
        <v/>
      </c>
    </row>
    <row r="635" spans="38:42" ht="15" customHeight="1">
      <c r="AL635" s="7" t="str">
        <f>IF(A635="","",IF(COUNTIF(A635:A$2001,A635)=1,1,0))</f>
        <v/>
      </c>
      <c r="AM635" s="7" t="str">
        <f t="shared" ca="1" si="33"/>
        <v/>
      </c>
      <c r="AN635" s="7" t="str">
        <f t="shared" si="34"/>
        <v/>
      </c>
      <c r="AO635" s="7" t="str">
        <f t="shared" si="35"/>
        <v/>
      </c>
      <c r="AP635" s="15" t="str">
        <f t="shared" si="36"/>
        <v/>
      </c>
    </row>
    <row r="636" spans="38:42" ht="15" customHeight="1">
      <c r="AL636" s="7" t="str">
        <f>IF(A636="","",IF(COUNTIF(A636:A$2001,A636)=1,1,0))</f>
        <v/>
      </c>
      <c r="AM636" s="7" t="str">
        <f t="shared" ca="1" si="33"/>
        <v/>
      </c>
      <c r="AN636" s="7" t="str">
        <f t="shared" si="34"/>
        <v/>
      </c>
      <c r="AO636" s="7" t="str">
        <f t="shared" si="35"/>
        <v/>
      </c>
      <c r="AP636" s="15" t="str">
        <f t="shared" si="36"/>
        <v/>
      </c>
    </row>
    <row r="637" spans="38:42" ht="15" customHeight="1">
      <c r="AL637" s="7" t="str">
        <f>IF(A637="","",IF(COUNTIF(A637:A$2001,A637)=1,1,0))</f>
        <v/>
      </c>
      <c r="AM637" s="7" t="str">
        <f t="shared" ca="1" si="33"/>
        <v/>
      </c>
      <c r="AN637" s="7" t="str">
        <f t="shared" si="34"/>
        <v/>
      </c>
      <c r="AO637" s="7" t="str">
        <f t="shared" si="35"/>
        <v/>
      </c>
      <c r="AP637" s="15" t="str">
        <f t="shared" si="36"/>
        <v/>
      </c>
    </row>
    <row r="638" spans="38:42" ht="15" customHeight="1">
      <c r="AL638" s="7" t="str">
        <f>IF(A638="","",IF(COUNTIF(A638:A$2001,A638)=1,1,0))</f>
        <v/>
      </c>
      <c r="AM638" s="7" t="str">
        <f t="shared" ca="1" si="33"/>
        <v/>
      </c>
      <c r="AN638" s="7" t="str">
        <f t="shared" si="34"/>
        <v/>
      </c>
      <c r="AO638" s="7" t="str">
        <f t="shared" si="35"/>
        <v/>
      </c>
      <c r="AP638" s="15" t="str">
        <f t="shared" si="36"/>
        <v/>
      </c>
    </row>
    <row r="639" spans="38:42" ht="15" customHeight="1">
      <c r="AL639" s="7" t="str">
        <f>IF(A639="","",IF(COUNTIF(A639:A$2001,A639)=1,1,0))</f>
        <v/>
      </c>
      <c r="AM639" s="7" t="str">
        <f t="shared" ca="1" si="33"/>
        <v/>
      </c>
      <c r="AN639" s="7" t="str">
        <f t="shared" si="34"/>
        <v/>
      </c>
      <c r="AO639" s="7" t="str">
        <f t="shared" si="35"/>
        <v/>
      </c>
      <c r="AP639" s="15" t="str">
        <f t="shared" si="36"/>
        <v/>
      </c>
    </row>
    <row r="640" spans="38:42" ht="15" customHeight="1">
      <c r="AL640" s="7" t="str">
        <f>IF(A640="","",IF(COUNTIF(A640:A$2001,A640)=1,1,0))</f>
        <v/>
      </c>
      <c r="AM640" s="7" t="str">
        <f t="shared" ca="1" si="33"/>
        <v/>
      </c>
      <c r="AN640" s="7" t="str">
        <f t="shared" si="34"/>
        <v/>
      </c>
      <c r="AO640" s="7" t="str">
        <f t="shared" si="35"/>
        <v/>
      </c>
      <c r="AP640" s="15" t="str">
        <f t="shared" si="36"/>
        <v/>
      </c>
    </row>
    <row r="641" spans="38:42" ht="15" customHeight="1">
      <c r="AL641" s="7" t="str">
        <f>IF(A641="","",IF(COUNTIF(A641:A$2001,A641)=1,1,0))</f>
        <v/>
      </c>
      <c r="AM641" s="7" t="str">
        <f t="shared" ca="1" si="33"/>
        <v/>
      </c>
      <c r="AN641" s="7" t="str">
        <f t="shared" si="34"/>
        <v/>
      </c>
      <c r="AO641" s="7" t="str">
        <f t="shared" si="35"/>
        <v/>
      </c>
      <c r="AP641" s="15" t="str">
        <f t="shared" si="36"/>
        <v/>
      </c>
    </row>
    <row r="642" spans="38:42" ht="15" customHeight="1">
      <c r="AL642" s="7" t="str">
        <f>IF(A642="","",IF(COUNTIF(A642:A$2001,A642)=1,1,0))</f>
        <v/>
      </c>
      <c r="AM642" s="7" t="str">
        <f t="shared" ref="AM642:AM705" ca="1" si="37">IF(I642="","",TODAY()-I642)</f>
        <v/>
      </c>
      <c r="AN642" s="7" t="str">
        <f t="shared" ref="AN642:AN705" si="38">IF(A642="","",IF(AND(E642&lt;&gt;"33 確認済",E642&lt;&gt;"36 送付中"),1,0))</f>
        <v/>
      </c>
      <c r="AO642" s="7" t="str">
        <f t="shared" ref="AO642:AO705" si="39">IF(A642="","",IF(AG642&lt;&gt;"",1,0))</f>
        <v/>
      </c>
      <c r="AP642" s="15" t="str">
        <f t="shared" ref="AP642:AP705" si="40">IF(P642&lt;&gt;"","・添待ち","")&amp;IF(Q642&lt;&gt;"","・住民票","")&amp;IF(R642&lt;&gt;"","・発信","")&amp;IF(S642&lt;&gt;"","・確認事項","")&amp;IF(T642&lt;&gt;"","・管","")&amp;IF(U642&lt;&gt;"","・SV","")&amp;IF(V642&lt;&gt;"","・データ送付待ち","")&amp;IF(W642&lt;&gt;"","・削除","")</f>
        <v/>
      </c>
    </row>
    <row r="643" spans="38:42" ht="15" customHeight="1">
      <c r="AL643" s="7" t="str">
        <f>IF(A643="","",IF(COUNTIF(A643:A$2001,A643)=1,1,0))</f>
        <v/>
      </c>
      <c r="AM643" s="7" t="str">
        <f t="shared" ca="1" si="37"/>
        <v/>
      </c>
      <c r="AN643" s="7" t="str">
        <f t="shared" si="38"/>
        <v/>
      </c>
      <c r="AO643" s="7" t="str">
        <f t="shared" si="39"/>
        <v/>
      </c>
      <c r="AP643" s="15" t="str">
        <f t="shared" si="40"/>
        <v/>
      </c>
    </row>
    <row r="644" spans="38:42" ht="15" customHeight="1">
      <c r="AL644" s="7" t="str">
        <f>IF(A644="","",IF(COUNTIF(A644:A$2001,A644)=1,1,0))</f>
        <v/>
      </c>
      <c r="AM644" s="7" t="str">
        <f t="shared" ca="1" si="37"/>
        <v/>
      </c>
      <c r="AN644" s="7" t="str">
        <f t="shared" si="38"/>
        <v/>
      </c>
      <c r="AO644" s="7" t="str">
        <f t="shared" si="39"/>
        <v/>
      </c>
      <c r="AP644" s="15" t="str">
        <f t="shared" si="40"/>
        <v/>
      </c>
    </row>
    <row r="645" spans="38:42" ht="15" customHeight="1">
      <c r="AL645" s="7" t="str">
        <f>IF(A645="","",IF(COUNTIF(A645:A$2001,A645)=1,1,0))</f>
        <v/>
      </c>
      <c r="AM645" s="7" t="str">
        <f t="shared" ca="1" si="37"/>
        <v/>
      </c>
      <c r="AN645" s="7" t="str">
        <f t="shared" si="38"/>
        <v/>
      </c>
      <c r="AO645" s="7" t="str">
        <f t="shared" si="39"/>
        <v/>
      </c>
      <c r="AP645" s="15" t="str">
        <f t="shared" si="40"/>
        <v/>
      </c>
    </row>
    <row r="646" spans="38:42" ht="15" customHeight="1">
      <c r="AL646" s="7" t="str">
        <f>IF(A646="","",IF(COUNTIF(A646:A$2001,A646)=1,1,0))</f>
        <v/>
      </c>
      <c r="AM646" s="7" t="str">
        <f t="shared" ca="1" si="37"/>
        <v/>
      </c>
      <c r="AN646" s="7" t="str">
        <f t="shared" si="38"/>
        <v/>
      </c>
      <c r="AO646" s="7" t="str">
        <f t="shared" si="39"/>
        <v/>
      </c>
      <c r="AP646" s="15" t="str">
        <f t="shared" si="40"/>
        <v/>
      </c>
    </row>
    <row r="647" spans="38:42" ht="15" customHeight="1">
      <c r="AL647" s="7" t="str">
        <f>IF(A647="","",IF(COUNTIF(A647:A$2001,A647)=1,1,0))</f>
        <v/>
      </c>
      <c r="AM647" s="7" t="str">
        <f t="shared" ca="1" si="37"/>
        <v/>
      </c>
      <c r="AN647" s="7" t="str">
        <f t="shared" si="38"/>
        <v/>
      </c>
      <c r="AO647" s="7" t="str">
        <f t="shared" si="39"/>
        <v/>
      </c>
      <c r="AP647" s="15" t="str">
        <f t="shared" si="40"/>
        <v/>
      </c>
    </row>
    <row r="648" spans="38:42" ht="15" customHeight="1">
      <c r="AL648" s="7" t="str">
        <f>IF(A648="","",IF(COUNTIF(A648:A$2001,A648)=1,1,0))</f>
        <v/>
      </c>
      <c r="AM648" s="7" t="str">
        <f t="shared" ca="1" si="37"/>
        <v/>
      </c>
      <c r="AN648" s="7" t="str">
        <f t="shared" si="38"/>
        <v/>
      </c>
      <c r="AO648" s="7" t="str">
        <f t="shared" si="39"/>
        <v/>
      </c>
      <c r="AP648" s="15" t="str">
        <f t="shared" si="40"/>
        <v/>
      </c>
    </row>
    <row r="649" spans="38:42" ht="15" customHeight="1">
      <c r="AL649" s="7" t="str">
        <f>IF(A649="","",IF(COUNTIF(A649:A$2001,A649)=1,1,0))</f>
        <v/>
      </c>
      <c r="AM649" s="7" t="str">
        <f t="shared" ca="1" si="37"/>
        <v/>
      </c>
      <c r="AN649" s="7" t="str">
        <f t="shared" si="38"/>
        <v/>
      </c>
      <c r="AO649" s="7" t="str">
        <f t="shared" si="39"/>
        <v/>
      </c>
      <c r="AP649" s="15" t="str">
        <f t="shared" si="40"/>
        <v/>
      </c>
    </row>
    <row r="650" spans="38:42" ht="15" customHeight="1">
      <c r="AL650" s="7" t="str">
        <f>IF(A650="","",IF(COUNTIF(A650:A$2001,A650)=1,1,0))</f>
        <v/>
      </c>
      <c r="AM650" s="7" t="str">
        <f t="shared" ca="1" si="37"/>
        <v/>
      </c>
      <c r="AN650" s="7" t="str">
        <f t="shared" si="38"/>
        <v/>
      </c>
      <c r="AO650" s="7" t="str">
        <f t="shared" si="39"/>
        <v/>
      </c>
      <c r="AP650" s="15" t="str">
        <f t="shared" si="40"/>
        <v/>
      </c>
    </row>
    <row r="651" spans="38:42" ht="15" customHeight="1">
      <c r="AL651" s="7" t="str">
        <f>IF(A651="","",IF(COUNTIF(A651:A$2001,A651)=1,1,0))</f>
        <v/>
      </c>
      <c r="AM651" s="7" t="str">
        <f t="shared" ca="1" si="37"/>
        <v/>
      </c>
      <c r="AN651" s="7" t="str">
        <f t="shared" si="38"/>
        <v/>
      </c>
      <c r="AO651" s="7" t="str">
        <f t="shared" si="39"/>
        <v/>
      </c>
      <c r="AP651" s="15" t="str">
        <f t="shared" si="40"/>
        <v/>
      </c>
    </row>
    <row r="652" spans="38:42" ht="15" customHeight="1">
      <c r="AL652" s="7" t="str">
        <f>IF(A652="","",IF(COUNTIF(A652:A$2001,A652)=1,1,0))</f>
        <v/>
      </c>
      <c r="AM652" s="7" t="str">
        <f t="shared" ca="1" si="37"/>
        <v/>
      </c>
      <c r="AN652" s="7" t="str">
        <f t="shared" si="38"/>
        <v/>
      </c>
      <c r="AO652" s="7" t="str">
        <f t="shared" si="39"/>
        <v/>
      </c>
      <c r="AP652" s="15" t="str">
        <f t="shared" si="40"/>
        <v/>
      </c>
    </row>
    <row r="653" spans="38:42" ht="15" customHeight="1">
      <c r="AL653" s="7" t="str">
        <f>IF(A653="","",IF(COUNTIF(A653:A$2001,A653)=1,1,0))</f>
        <v/>
      </c>
      <c r="AM653" s="7" t="str">
        <f t="shared" ca="1" si="37"/>
        <v/>
      </c>
      <c r="AN653" s="7" t="str">
        <f t="shared" si="38"/>
        <v/>
      </c>
      <c r="AO653" s="7" t="str">
        <f t="shared" si="39"/>
        <v/>
      </c>
      <c r="AP653" s="15" t="str">
        <f t="shared" si="40"/>
        <v/>
      </c>
    </row>
    <row r="654" spans="38:42" ht="15" customHeight="1">
      <c r="AL654" s="7" t="str">
        <f>IF(A654="","",IF(COUNTIF(A654:A$2001,A654)=1,1,0))</f>
        <v/>
      </c>
      <c r="AM654" s="7" t="str">
        <f t="shared" ca="1" si="37"/>
        <v/>
      </c>
      <c r="AN654" s="7" t="str">
        <f t="shared" si="38"/>
        <v/>
      </c>
      <c r="AO654" s="7" t="str">
        <f t="shared" si="39"/>
        <v/>
      </c>
      <c r="AP654" s="15" t="str">
        <f t="shared" si="40"/>
        <v/>
      </c>
    </row>
    <row r="655" spans="38:42" ht="15" customHeight="1">
      <c r="AL655" s="7" t="str">
        <f>IF(A655="","",IF(COUNTIF(A655:A$2001,A655)=1,1,0))</f>
        <v/>
      </c>
      <c r="AM655" s="7" t="str">
        <f t="shared" ca="1" si="37"/>
        <v/>
      </c>
      <c r="AN655" s="7" t="str">
        <f t="shared" si="38"/>
        <v/>
      </c>
      <c r="AO655" s="7" t="str">
        <f t="shared" si="39"/>
        <v/>
      </c>
      <c r="AP655" s="15" t="str">
        <f t="shared" si="40"/>
        <v/>
      </c>
    </row>
    <row r="656" spans="38:42" ht="15" customHeight="1">
      <c r="AL656" s="7" t="str">
        <f>IF(A656="","",IF(COUNTIF(A656:A$2001,A656)=1,1,0))</f>
        <v/>
      </c>
      <c r="AM656" s="7" t="str">
        <f t="shared" ca="1" si="37"/>
        <v/>
      </c>
      <c r="AN656" s="7" t="str">
        <f t="shared" si="38"/>
        <v/>
      </c>
      <c r="AO656" s="7" t="str">
        <f t="shared" si="39"/>
        <v/>
      </c>
      <c r="AP656" s="15" t="str">
        <f t="shared" si="40"/>
        <v/>
      </c>
    </row>
    <row r="657" spans="38:42" ht="15" customHeight="1">
      <c r="AL657" s="7" t="str">
        <f>IF(A657="","",IF(COUNTIF(A657:A$2001,A657)=1,1,0))</f>
        <v/>
      </c>
      <c r="AM657" s="7" t="str">
        <f t="shared" ca="1" si="37"/>
        <v/>
      </c>
      <c r="AN657" s="7" t="str">
        <f t="shared" si="38"/>
        <v/>
      </c>
      <c r="AO657" s="7" t="str">
        <f t="shared" si="39"/>
        <v/>
      </c>
      <c r="AP657" s="15" t="str">
        <f t="shared" si="40"/>
        <v/>
      </c>
    </row>
    <row r="658" spans="38:42" ht="15" customHeight="1">
      <c r="AL658" s="7" t="str">
        <f>IF(A658="","",IF(COUNTIF(A658:A$2001,A658)=1,1,0))</f>
        <v/>
      </c>
      <c r="AM658" s="7" t="str">
        <f t="shared" ca="1" si="37"/>
        <v/>
      </c>
      <c r="AN658" s="7" t="str">
        <f t="shared" si="38"/>
        <v/>
      </c>
      <c r="AO658" s="7" t="str">
        <f t="shared" si="39"/>
        <v/>
      </c>
      <c r="AP658" s="15" t="str">
        <f t="shared" si="40"/>
        <v/>
      </c>
    </row>
    <row r="659" spans="38:42" ht="15" customHeight="1">
      <c r="AL659" s="7" t="str">
        <f>IF(A659="","",IF(COUNTIF(A659:A$2001,A659)=1,1,0))</f>
        <v/>
      </c>
      <c r="AM659" s="7" t="str">
        <f t="shared" ca="1" si="37"/>
        <v/>
      </c>
      <c r="AN659" s="7" t="str">
        <f t="shared" si="38"/>
        <v/>
      </c>
      <c r="AO659" s="7" t="str">
        <f t="shared" si="39"/>
        <v/>
      </c>
      <c r="AP659" s="15" t="str">
        <f t="shared" si="40"/>
        <v/>
      </c>
    </row>
    <row r="660" spans="38:42" ht="15" customHeight="1">
      <c r="AL660" s="7" t="str">
        <f>IF(A660="","",IF(COUNTIF(A660:A$2001,A660)=1,1,0))</f>
        <v/>
      </c>
      <c r="AM660" s="7" t="str">
        <f t="shared" ca="1" si="37"/>
        <v/>
      </c>
      <c r="AN660" s="7" t="str">
        <f t="shared" si="38"/>
        <v/>
      </c>
      <c r="AO660" s="7" t="str">
        <f t="shared" si="39"/>
        <v/>
      </c>
      <c r="AP660" s="15" t="str">
        <f t="shared" si="40"/>
        <v/>
      </c>
    </row>
    <row r="661" spans="38:42" ht="15" customHeight="1">
      <c r="AL661" s="7" t="str">
        <f>IF(A661="","",IF(COUNTIF(A661:A$2001,A661)=1,1,0))</f>
        <v/>
      </c>
      <c r="AM661" s="7" t="str">
        <f t="shared" ca="1" si="37"/>
        <v/>
      </c>
      <c r="AN661" s="7" t="str">
        <f t="shared" si="38"/>
        <v/>
      </c>
      <c r="AO661" s="7" t="str">
        <f t="shared" si="39"/>
        <v/>
      </c>
      <c r="AP661" s="15" t="str">
        <f t="shared" si="40"/>
        <v/>
      </c>
    </row>
    <row r="662" spans="38:42" ht="15" customHeight="1">
      <c r="AL662" s="7" t="str">
        <f>IF(A662="","",IF(COUNTIF(A662:A$2001,A662)=1,1,0))</f>
        <v/>
      </c>
      <c r="AM662" s="7" t="str">
        <f t="shared" ca="1" si="37"/>
        <v/>
      </c>
      <c r="AN662" s="7" t="str">
        <f t="shared" si="38"/>
        <v/>
      </c>
      <c r="AO662" s="7" t="str">
        <f t="shared" si="39"/>
        <v/>
      </c>
      <c r="AP662" s="15" t="str">
        <f t="shared" si="40"/>
        <v/>
      </c>
    </row>
    <row r="663" spans="38:42" ht="15" customHeight="1">
      <c r="AL663" s="7" t="str">
        <f>IF(A663="","",IF(COUNTIF(A663:A$2001,A663)=1,1,0))</f>
        <v/>
      </c>
      <c r="AM663" s="7" t="str">
        <f t="shared" ca="1" si="37"/>
        <v/>
      </c>
      <c r="AN663" s="7" t="str">
        <f t="shared" si="38"/>
        <v/>
      </c>
      <c r="AO663" s="7" t="str">
        <f t="shared" si="39"/>
        <v/>
      </c>
      <c r="AP663" s="15" t="str">
        <f t="shared" si="40"/>
        <v/>
      </c>
    </row>
    <row r="664" spans="38:42" ht="15" customHeight="1">
      <c r="AL664" s="7" t="str">
        <f>IF(A664="","",IF(COUNTIF(A664:A$2001,A664)=1,1,0))</f>
        <v/>
      </c>
      <c r="AM664" s="7" t="str">
        <f t="shared" ca="1" si="37"/>
        <v/>
      </c>
      <c r="AN664" s="7" t="str">
        <f t="shared" si="38"/>
        <v/>
      </c>
      <c r="AO664" s="7" t="str">
        <f t="shared" si="39"/>
        <v/>
      </c>
      <c r="AP664" s="15" t="str">
        <f t="shared" si="40"/>
        <v/>
      </c>
    </row>
    <row r="665" spans="38:42" ht="15" customHeight="1">
      <c r="AL665" s="7" t="str">
        <f>IF(A665="","",IF(COUNTIF(A665:A$2001,A665)=1,1,0))</f>
        <v/>
      </c>
      <c r="AM665" s="7" t="str">
        <f t="shared" ca="1" si="37"/>
        <v/>
      </c>
      <c r="AN665" s="7" t="str">
        <f t="shared" si="38"/>
        <v/>
      </c>
      <c r="AO665" s="7" t="str">
        <f t="shared" si="39"/>
        <v/>
      </c>
      <c r="AP665" s="15" t="str">
        <f t="shared" si="40"/>
        <v/>
      </c>
    </row>
    <row r="666" spans="38:42" ht="15" customHeight="1">
      <c r="AL666" s="7" t="str">
        <f>IF(A666="","",IF(COUNTIF(A666:A$2001,A666)=1,1,0))</f>
        <v/>
      </c>
      <c r="AM666" s="7" t="str">
        <f t="shared" ca="1" si="37"/>
        <v/>
      </c>
      <c r="AN666" s="7" t="str">
        <f t="shared" si="38"/>
        <v/>
      </c>
      <c r="AO666" s="7" t="str">
        <f t="shared" si="39"/>
        <v/>
      </c>
      <c r="AP666" s="15" t="str">
        <f t="shared" si="40"/>
        <v/>
      </c>
    </row>
    <row r="667" spans="38:42" ht="15" customHeight="1">
      <c r="AL667" s="7" t="str">
        <f>IF(A667="","",IF(COUNTIF(A667:A$2001,A667)=1,1,0))</f>
        <v/>
      </c>
      <c r="AM667" s="7" t="str">
        <f t="shared" ca="1" si="37"/>
        <v/>
      </c>
      <c r="AN667" s="7" t="str">
        <f t="shared" si="38"/>
        <v/>
      </c>
      <c r="AO667" s="7" t="str">
        <f t="shared" si="39"/>
        <v/>
      </c>
      <c r="AP667" s="15" t="str">
        <f t="shared" si="40"/>
        <v/>
      </c>
    </row>
    <row r="668" spans="38:42" ht="15" customHeight="1">
      <c r="AL668" s="7" t="str">
        <f>IF(A668="","",IF(COUNTIF(A668:A$2001,A668)=1,1,0))</f>
        <v/>
      </c>
      <c r="AM668" s="7" t="str">
        <f t="shared" ca="1" si="37"/>
        <v/>
      </c>
      <c r="AN668" s="7" t="str">
        <f t="shared" si="38"/>
        <v/>
      </c>
      <c r="AO668" s="7" t="str">
        <f t="shared" si="39"/>
        <v/>
      </c>
      <c r="AP668" s="15" t="str">
        <f t="shared" si="40"/>
        <v/>
      </c>
    </row>
    <row r="669" spans="38:42" ht="15" customHeight="1">
      <c r="AL669" s="7" t="str">
        <f>IF(A669="","",IF(COUNTIF(A669:A$2001,A669)=1,1,0))</f>
        <v/>
      </c>
      <c r="AM669" s="7" t="str">
        <f t="shared" ca="1" si="37"/>
        <v/>
      </c>
      <c r="AN669" s="7" t="str">
        <f t="shared" si="38"/>
        <v/>
      </c>
      <c r="AO669" s="7" t="str">
        <f t="shared" si="39"/>
        <v/>
      </c>
      <c r="AP669" s="15" t="str">
        <f t="shared" si="40"/>
        <v/>
      </c>
    </row>
    <row r="670" spans="38:42" ht="15" customHeight="1">
      <c r="AL670" s="7" t="str">
        <f>IF(A670="","",IF(COUNTIF(A670:A$2001,A670)=1,1,0))</f>
        <v/>
      </c>
      <c r="AM670" s="7" t="str">
        <f t="shared" ca="1" si="37"/>
        <v/>
      </c>
      <c r="AN670" s="7" t="str">
        <f t="shared" si="38"/>
        <v/>
      </c>
      <c r="AO670" s="7" t="str">
        <f t="shared" si="39"/>
        <v/>
      </c>
      <c r="AP670" s="15" t="str">
        <f t="shared" si="40"/>
        <v/>
      </c>
    </row>
    <row r="671" spans="38:42" ht="15" customHeight="1">
      <c r="AL671" s="7" t="str">
        <f>IF(A671="","",IF(COUNTIF(A671:A$2001,A671)=1,1,0))</f>
        <v/>
      </c>
      <c r="AM671" s="7" t="str">
        <f t="shared" ca="1" si="37"/>
        <v/>
      </c>
      <c r="AN671" s="7" t="str">
        <f t="shared" si="38"/>
        <v/>
      </c>
      <c r="AO671" s="7" t="str">
        <f t="shared" si="39"/>
        <v/>
      </c>
      <c r="AP671" s="15" t="str">
        <f t="shared" si="40"/>
        <v/>
      </c>
    </row>
    <row r="672" spans="38:42" ht="15" customHeight="1">
      <c r="AL672" s="7" t="str">
        <f>IF(A672="","",IF(COUNTIF(A672:A$2001,A672)=1,1,0))</f>
        <v/>
      </c>
      <c r="AM672" s="7" t="str">
        <f t="shared" ca="1" si="37"/>
        <v/>
      </c>
      <c r="AN672" s="7" t="str">
        <f t="shared" si="38"/>
        <v/>
      </c>
      <c r="AO672" s="7" t="str">
        <f t="shared" si="39"/>
        <v/>
      </c>
      <c r="AP672" s="15" t="str">
        <f t="shared" si="40"/>
        <v/>
      </c>
    </row>
    <row r="673" spans="38:42" ht="15" customHeight="1">
      <c r="AL673" s="7" t="str">
        <f>IF(A673="","",IF(COUNTIF(A673:A$2001,A673)=1,1,0))</f>
        <v/>
      </c>
      <c r="AM673" s="7" t="str">
        <f t="shared" ca="1" si="37"/>
        <v/>
      </c>
      <c r="AN673" s="7" t="str">
        <f t="shared" si="38"/>
        <v/>
      </c>
      <c r="AO673" s="7" t="str">
        <f t="shared" si="39"/>
        <v/>
      </c>
      <c r="AP673" s="15" t="str">
        <f t="shared" si="40"/>
        <v/>
      </c>
    </row>
    <row r="674" spans="38:42" ht="15" customHeight="1">
      <c r="AL674" s="7" t="str">
        <f>IF(A674="","",IF(COUNTIF(A674:A$2001,A674)=1,1,0))</f>
        <v/>
      </c>
      <c r="AM674" s="7" t="str">
        <f t="shared" ca="1" si="37"/>
        <v/>
      </c>
      <c r="AN674" s="7" t="str">
        <f t="shared" si="38"/>
        <v/>
      </c>
      <c r="AO674" s="7" t="str">
        <f t="shared" si="39"/>
        <v/>
      </c>
      <c r="AP674" s="15" t="str">
        <f t="shared" si="40"/>
        <v/>
      </c>
    </row>
    <row r="675" spans="38:42" ht="15" customHeight="1">
      <c r="AL675" s="7" t="str">
        <f>IF(A675="","",IF(COUNTIF(A675:A$2001,A675)=1,1,0))</f>
        <v/>
      </c>
      <c r="AM675" s="7" t="str">
        <f t="shared" ca="1" si="37"/>
        <v/>
      </c>
      <c r="AN675" s="7" t="str">
        <f t="shared" si="38"/>
        <v/>
      </c>
      <c r="AO675" s="7" t="str">
        <f t="shared" si="39"/>
        <v/>
      </c>
      <c r="AP675" s="15" t="str">
        <f t="shared" si="40"/>
        <v/>
      </c>
    </row>
    <row r="676" spans="38:42" ht="15" customHeight="1">
      <c r="AL676" s="7" t="str">
        <f>IF(A676="","",IF(COUNTIF(A676:A$2001,A676)=1,1,0))</f>
        <v/>
      </c>
      <c r="AM676" s="7" t="str">
        <f t="shared" ca="1" si="37"/>
        <v/>
      </c>
      <c r="AN676" s="7" t="str">
        <f t="shared" si="38"/>
        <v/>
      </c>
      <c r="AO676" s="7" t="str">
        <f t="shared" si="39"/>
        <v/>
      </c>
      <c r="AP676" s="15" t="str">
        <f t="shared" si="40"/>
        <v/>
      </c>
    </row>
    <row r="677" spans="38:42" ht="15" customHeight="1">
      <c r="AL677" s="7" t="str">
        <f>IF(A677="","",IF(COUNTIF(A677:A$2001,A677)=1,1,0))</f>
        <v/>
      </c>
      <c r="AM677" s="7" t="str">
        <f t="shared" ca="1" si="37"/>
        <v/>
      </c>
      <c r="AN677" s="7" t="str">
        <f t="shared" si="38"/>
        <v/>
      </c>
      <c r="AO677" s="7" t="str">
        <f t="shared" si="39"/>
        <v/>
      </c>
      <c r="AP677" s="15" t="str">
        <f t="shared" si="40"/>
        <v/>
      </c>
    </row>
    <row r="678" spans="38:42" ht="15" customHeight="1">
      <c r="AL678" s="7" t="str">
        <f>IF(A678="","",IF(COUNTIF(A678:A$2001,A678)=1,1,0))</f>
        <v/>
      </c>
      <c r="AM678" s="7" t="str">
        <f t="shared" ca="1" si="37"/>
        <v/>
      </c>
      <c r="AN678" s="7" t="str">
        <f t="shared" si="38"/>
        <v/>
      </c>
      <c r="AO678" s="7" t="str">
        <f t="shared" si="39"/>
        <v/>
      </c>
      <c r="AP678" s="15" t="str">
        <f t="shared" si="40"/>
        <v/>
      </c>
    </row>
    <row r="679" spans="38:42" ht="15" customHeight="1">
      <c r="AL679" s="7" t="str">
        <f>IF(A679="","",IF(COUNTIF(A679:A$2001,A679)=1,1,0))</f>
        <v/>
      </c>
      <c r="AM679" s="7" t="str">
        <f t="shared" ca="1" si="37"/>
        <v/>
      </c>
      <c r="AN679" s="7" t="str">
        <f t="shared" si="38"/>
        <v/>
      </c>
      <c r="AO679" s="7" t="str">
        <f t="shared" si="39"/>
        <v/>
      </c>
      <c r="AP679" s="15" t="str">
        <f t="shared" si="40"/>
        <v/>
      </c>
    </row>
    <row r="680" spans="38:42" ht="15" customHeight="1">
      <c r="AL680" s="7" t="str">
        <f>IF(A680="","",IF(COUNTIF(A680:A$2001,A680)=1,1,0))</f>
        <v/>
      </c>
      <c r="AM680" s="7" t="str">
        <f t="shared" ca="1" si="37"/>
        <v/>
      </c>
      <c r="AN680" s="7" t="str">
        <f t="shared" si="38"/>
        <v/>
      </c>
      <c r="AO680" s="7" t="str">
        <f t="shared" si="39"/>
        <v/>
      </c>
      <c r="AP680" s="15" t="str">
        <f t="shared" si="40"/>
        <v/>
      </c>
    </row>
    <row r="681" spans="38:42" ht="15" customHeight="1">
      <c r="AL681" s="7" t="str">
        <f>IF(A681="","",IF(COUNTIF(A681:A$2001,A681)=1,1,0))</f>
        <v/>
      </c>
      <c r="AM681" s="7" t="str">
        <f t="shared" ca="1" si="37"/>
        <v/>
      </c>
      <c r="AN681" s="7" t="str">
        <f t="shared" si="38"/>
        <v/>
      </c>
      <c r="AO681" s="7" t="str">
        <f t="shared" si="39"/>
        <v/>
      </c>
      <c r="AP681" s="15" t="str">
        <f t="shared" si="40"/>
        <v/>
      </c>
    </row>
    <row r="682" spans="38:42" ht="15" customHeight="1">
      <c r="AL682" s="7" t="str">
        <f>IF(A682="","",IF(COUNTIF(A682:A$2001,A682)=1,1,0))</f>
        <v/>
      </c>
      <c r="AM682" s="7" t="str">
        <f t="shared" ca="1" si="37"/>
        <v/>
      </c>
      <c r="AN682" s="7" t="str">
        <f t="shared" si="38"/>
        <v/>
      </c>
      <c r="AO682" s="7" t="str">
        <f t="shared" si="39"/>
        <v/>
      </c>
      <c r="AP682" s="15" t="str">
        <f t="shared" si="40"/>
        <v/>
      </c>
    </row>
    <row r="683" spans="38:42" ht="15" customHeight="1">
      <c r="AL683" s="7" t="str">
        <f>IF(A683="","",IF(COUNTIF(A683:A$2001,A683)=1,1,0))</f>
        <v/>
      </c>
      <c r="AM683" s="7" t="str">
        <f t="shared" ca="1" si="37"/>
        <v/>
      </c>
      <c r="AN683" s="7" t="str">
        <f t="shared" si="38"/>
        <v/>
      </c>
      <c r="AO683" s="7" t="str">
        <f t="shared" si="39"/>
        <v/>
      </c>
      <c r="AP683" s="15" t="str">
        <f t="shared" si="40"/>
        <v/>
      </c>
    </row>
    <row r="684" spans="38:42" ht="15" customHeight="1">
      <c r="AL684" s="7" t="str">
        <f>IF(A684="","",IF(COUNTIF(A684:A$2001,A684)=1,1,0))</f>
        <v/>
      </c>
      <c r="AM684" s="7" t="str">
        <f t="shared" ca="1" si="37"/>
        <v/>
      </c>
      <c r="AN684" s="7" t="str">
        <f t="shared" si="38"/>
        <v/>
      </c>
      <c r="AO684" s="7" t="str">
        <f t="shared" si="39"/>
        <v/>
      </c>
      <c r="AP684" s="15" t="str">
        <f t="shared" si="40"/>
        <v/>
      </c>
    </row>
    <row r="685" spans="38:42" ht="15" customHeight="1">
      <c r="AL685" s="7" t="str">
        <f>IF(A685="","",IF(COUNTIF(A685:A$2001,A685)=1,1,0))</f>
        <v/>
      </c>
      <c r="AM685" s="7" t="str">
        <f t="shared" ca="1" si="37"/>
        <v/>
      </c>
      <c r="AN685" s="7" t="str">
        <f t="shared" si="38"/>
        <v/>
      </c>
      <c r="AO685" s="7" t="str">
        <f t="shared" si="39"/>
        <v/>
      </c>
      <c r="AP685" s="15" t="str">
        <f t="shared" si="40"/>
        <v/>
      </c>
    </row>
    <row r="686" spans="38:42" ht="15" customHeight="1">
      <c r="AL686" s="7" t="str">
        <f>IF(A686="","",IF(COUNTIF(A686:A$2001,A686)=1,1,0))</f>
        <v/>
      </c>
      <c r="AM686" s="7" t="str">
        <f t="shared" ca="1" si="37"/>
        <v/>
      </c>
      <c r="AN686" s="7" t="str">
        <f t="shared" si="38"/>
        <v/>
      </c>
      <c r="AO686" s="7" t="str">
        <f t="shared" si="39"/>
        <v/>
      </c>
      <c r="AP686" s="15" t="str">
        <f t="shared" si="40"/>
        <v/>
      </c>
    </row>
    <row r="687" spans="38:42" ht="15" customHeight="1">
      <c r="AL687" s="7" t="str">
        <f>IF(A687="","",IF(COUNTIF(A687:A$2001,A687)=1,1,0))</f>
        <v/>
      </c>
      <c r="AM687" s="7" t="str">
        <f t="shared" ca="1" si="37"/>
        <v/>
      </c>
      <c r="AN687" s="7" t="str">
        <f t="shared" si="38"/>
        <v/>
      </c>
      <c r="AO687" s="7" t="str">
        <f t="shared" si="39"/>
        <v/>
      </c>
      <c r="AP687" s="15" t="str">
        <f t="shared" si="40"/>
        <v/>
      </c>
    </row>
    <row r="688" spans="38:42" ht="15" customHeight="1">
      <c r="AL688" s="7" t="str">
        <f>IF(A688="","",IF(COUNTIF(A688:A$2001,A688)=1,1,0))</f>
        <v/>
      </c>
      <c r="AM688" s="7" t="str">
        <f t="shared" ca="1" si="37"/>
        <v/>
      </c>
      <c r="AN688" s="7" t="str">
        <f t="shared" si="38"/>
        <v/>
      </c>
      <c r="AO688" s="7" t="str">
        <f t="shared" si="39"/>
        <v/>
      </c>
      <c r="AP688" s="15" t="str">
        <f t="shared" si="40"/>
        <v/>
      </c>
    </row>
    <row r="689" spans="38:42" ht="15" customHeight="1">
      <c r="AL689" s="7" t="str">
        <f>IF(A689="","",IF(COUNTIF(A689:A$2001,A689)=1,1,0))</f>
        <v/>
      </c>
      <c r="AM689" s="7" t="str">
        <f t="shared" ca="1" si="37"/>
        <v/>
      </c>
      <c r="AN689" s="7" t="str">
        <f t="shared" si="38"/>
        <v/>
      </c>
      <c r="AO689" s="7" t="str">
        <f t="shared" si="39"/>
        <v/>
      </c>
      <c r="AP689" s="15" t="str">
        <f t="shared" si="40"/>
        <v/>
      </c>
    </row>
    <row r="690" spans="38:42" ht="15" customHeight="1">
      <c r="AL690" s="7" t="str">
        <f>IF(A690="","",IF(COUNTIF(A690:A$2001,A690)=1,1,0))</f>
        <v/>
      </c>
      <c r="AM690" s="7" t="str">
        <f t="shared" ca="1" si="37"/>
        <v/>
      </c>
      <c r="AN690" s="7" t="str">
        <f t="shared" si="38"/>
        <v/>
      </c>
      <c r="AO690" s="7" t="str">
        <f t="shared" si="39"/>
        <v/>
      </c>
      <c r="AP690" s="15" t="str">
        <f t="shared" si="40"/>
        <v/>
      </c>
    </row>
    <row r="691" spans="38:42" ht="15" customHeight="1">
      <c r="AL691" s="7" t="str">
        <f>IF(A691="","",IF(COUNTIF(A691:A$2001,A691)=1,1,0))</f>
        <v/>
      </c>
      <c r="AM691" s="7" t="str">
        <f t="shared" ca="1" si="37"/>
        <v/>
      </c>
      <c r="AN691" s="7" t="str">
        <f t="shared" si="38"/>
        <v/>
      </c>
      <c r="AO691" s="7" t="str">
        <f t="shared" si="39"/>
        <v/>
      </c>
      <c r="AP691" s="15" t="str">
        <f t="shared" si="40"/>
        <v/>
      </c>
    </row>
    <row r="692" spans="38:42" ht="15" customHeight="1">
      <c r="AL692" s="7" t="str">
        <f>IF(A692="","",IF(COUNTIF(A692:A$2001,A692)=1,1,0))</f>
        <v/>
      </c>
      <c r="AM692" s="7" t="str">
        <f t="shared" ca="1" si="37"/>
        <v/>
      </c>
      <c r="AN692" s="7" t="str">
        <f t="shared" si="38"/>
        <v/>
      </c>
      <c r="AO692" s="7" t="str">
        <f t="shared" si="39"/>
        <v/>
      </c>
      <c r="AP692" s="15" t="str">
        <f t="shared" si="40"/>
        <v/>
      </c>
    </row>
    <row r="693" spans="38:42" ht="15" customHeight="1">
      <c r="AL693" s="7" t="str">
        <f>IF(A693="","",IF(COUNTIF(A693:A$2001,A693)=1,1,0))</f>
        <v/>
      </c>
      <c r="AM693" s="7" t="str">
        <f t="shared" ca="1" si="37"/>
        <v/>
      </c>
      <c r="AN693" s="7" t="str">
        <f t="shared" si="38"/>
        <v/>
      </c>
      <c r="AO693" s="7" t="str">
        <f t="shared" si="39"/>
        <v/>
      </c>
      <c r="AP693" s="15" t="str">
        <f t="shared" si="40"/>
        <v/>
      </c>
    </row>
    <row r="694" spans="38:42" ht="15" customHeight="1">
      <c r="AL694" s="7" t="str">
        <f>IF(A694="","",IF(COUNTIF(A694:A$2001,A694)=1,1,0))</f>
        <v/>
      </c>
      <c r="AM694" s="7" t="str">
        <f t="shared" ca="1" si="37"/>
        <v/>
      </c>
      <c r="AN694" s="7" t="str">
        <f t="shared" si="38"/>
        <v/>
      </c>
      <c r="AO694" s="7" t="str">
        <f t="shared" si="39"/>
        <v/>
      </c>
      <c r="AP694" s="15" t="str">
        <f t="shared" si="40"/>
        <v/>
      </c>
    </row>
    <row r="695" spans="38:42" ht="15" customHeight="1">
      <c r="AL695" s="7" t="str">
        <f>IF(A695="","",IF(COUNTIF(A695:A$2001,A695)=1,1,0))</f>
        <v/>
      </c>
      <c r="AM695" s="7" t="str">
        <f t="shared" ca="1" si="37"/>
        <v/>
      </c>
      <c r="AN695" s="7" t="str">
        <f t="shared" si="38"/>
        <v/>
      </c>
      <c r="AO695" s="7" t="str">
        <f t="shared" si="39"/>
        <v/>
      </c>
      <c r="AP695" s="15" t="str">
        <f t="shared" si="40"/>
        <v/>
      </c>
    </row>
    <row r="696" spans="38:42" ht="15" customHeight="1">
      <c r="AL696" s="7" t="str">
        <f>IF(A696="","",IF(COUNTIF(A696:A$2001,A696)=1,1,0))</f>
        <v/>
      </c>
      <c r="AM696" s="7" t="str">
        <f t="shared" ca="1" si="37"/>
        <v/>
      </c>
      <c r="AN696" s="7" t="str">
        <f t="shared" si="38"/>
        <v/>
      </c>
      <c r="AO696" s="7" t="str">
        <f t="shared" si="39"/>
        <v/>
      </c>
      <c r="AP696" s="15" t="str">
        <f t="shared" si="40"/>
        <v/>
      </c>
    </row>
    <row r="697" spans="38:42" ht="15" customHeight="1">
      <c r="AL697" s="7" t="str">
        <f>IF(A697="","",IF(COUNTIF(A697:A$2001,A697)=1,1,0))</f>
        <v/>
      </c>
      <c r="AM697" s="7" t="str">
        <f t="shared" ca="1" si="37"/>
        <v/>
      </c>
      <c r="AN697" s="7" t="str">
        <f t="shared" si="38"/>
        <v/>
      </c>
      <c r="AO697" s="7" t="str">
        <f t="shared" si="39"/>
        <v/>
      </c>
      <c r="AP697" s="15" t="str">
        <f t="shared" si="40"/>
        <v/>
      </c>
    </row>
    <row r="698" spans="38:42" ht="15" customHeight="1">
      <c r="AL698" s="7" t="str">
        <f>IF(A698="","",IF(COUNTIF(A698:A$2001,A698)=1,1,0))</f>
        <v/>
      </c>
      <c r="AM698" s="7" t="str">
        <f t="shared" ca="1" si="37"/>
        <v/>
      </c>
      <c r="AN698" s="7" t="str">
        <f t="shared" si="38"/>
        <v/>
      </c>
      <c r="AO698" s="7" t="str">
        <f t="shared" si="39"/>
        <v/>
      </c>
      <c r="AP698" s="15" t="str">
        <f t="shared" si="40"/>
        <v/>
      </c>
    </row>
    <row r="699" spans="38:42" ht="15" customHeight="1">
      <c r="AL699" s="7" t="str">
        <f>IF(A699="","",IF(COUNTIF(A699:A$2001,A699)=1,1,0))</f>
        <v/>
      </c>
      <c r="AM699" s="7" t="str">
        <f t="shared" ca="1" si="37"/>
        <v/>
      </c>
      <c r="AN699" s="7" t="str">
        <f t="shared" si="38"/>
        <v/>
      </c>
      <c r="AO699" s="7" t="str">
        <f t="shared" si="39"/>
        <v/>
      </c>
      <c r="AP699" s="15" t="str">
        <f t="shared" si="40"/>
        <v/>
      </c>
    </row>
    <row r="700" spans="38:42" ht="15" customHeight="1">
      <c r="AL700" s="7" t="str">
        <f>IF(A700="","",IF(COUNTIF(A700:A$2001,A700)=1,1,0))</f>
        <v/>
      </c>
      <c r="AM700" s="7" t="str">
        <f t="shared" ca="1" si="37"/>
        <v/>
      </c>
      <c r="AN700" s="7" t="str">
        <f t="shared" si="38"/>
        <v/>
      </c>
      <c r="AO700" s="7" t="str">
        <f t="shared" si="39"/>
        <v/>
      </c>
      <c r="AP700" s="15" t="str">
        <f t="shared" si="40"/>
        <v/>
      </c>
    </row>
    <row r="701" spans="38:42" ht="15" customHeight="1">
      <c r="AL701" s="7" t="str">
        <f>IF(A701="","",IF(COUNTIF(A701:A$2001,A701)=1,1,0))</f>
        <v/>
      </c>
      <c r="AM701" s="7" t="str">
        <f t="shared" ca="1" si="37"/>
        <v/>
      </c>
      <c r="AN701" s="7" t="str">
        <f t="shared" si="38"/>
        <v/>
      </c>
      <c r="AO701" s="7" t="str">
        <f t="shared" si="39"/>
        <v/>
      </c>
      <c r="AP701" s="15" t="str">
        <f t="shared" si="40"/>
        <v/>
      </c>
    </row>
    <row r="702" spans="38:42" ht="15" customHeight="1">
      <c r="AL702" s="7" t="str">
        <f>IF(A702="","",IF(COUNTIF(A702:A$2001,A702)=1,1,0))</f>
        <v/>
      </c>
      <c r="AM702" s="7" t="str">
        <f t="shared" ca="1" si="37"/>
        <v/>
      </c>
      <c r="AN702" s="7" t="str">
        <f t="shared" si="38"/>
        <v/>
      </c>
      <c r="AO702" s="7" t="str">
        <f t="shared" si="39"/>
        <v/>
      </c>
      <c r="AP702" s="15" t="str">
        <f t="shared" si="40"/>
        <v/>
      </c>
    </row>
    <row r="703" spans="38:42" ht="15" customHeight="1">
      <c r="AL703" s="7" t="str">
        <f>IF(A703="","",IF(COUNTIF(A703:A$2001,A703)=1,1,0))</f>
        <v/>
      </c>
      <c r="AM703" s="7" t="str">
        <f t="shared" ca="1" si="37"/>
        <v/>
      </c>
      <c r="AN703" s="7" t="str">
        <f t="shared" si="38"/>
        <v/>
      </c>
      <c r="AO703" s="7" t="str">
        <f t="shared" si="39"/>
        <v/>
      </c>
      <c r="AP703" s="15" t="str">
        <f t="shared" si="40"/>
        <v/>
      </c>
    </row>
    <row r="704" spans="38:42" ht="15" customHeight="1">
      <c r="AL704" s="7" t="str">
        <f>IF(A704="","",IF(COUNTIF(A704:A$2001,A704)=1,1,0))</f>
        <v/>
      </c>
      <c r="AM704" s="7" t="str">
        <f t="shared" ca="1" si="37"/>
        <v/>
      </c>
      <c r="AN704" s="7" t="str">
        <f t="shared" si="38"/>
        <v/>
      </c>
      <c r="AO704" s="7" t="str">
        <f t="shared" si="39"/>
        <v/>
      </c>
      <c r="AP704" s="15" t="str">
        <f t="shared" si="40"/>
        <v/>
      </c>
    </row>
    <row r="705" spans="38:42" ht="15" customHeight="1">
      <c r="AL705" s="7" t="str">
        <f>IF(A705="","",IF(COUNTIF(A705:A$2001,A705)=1,1,0))</f>
        <v/>
      </c>
      <c r="AM705" s="7" t="str">
        <f t="shared" ca="1" si="37"/>
        <v/>
      </c>
      <c r="AN705" s="7" t="str">
        <f t="shared" si="38"/>
        <v/>
      </c>
      <c r="AO705" s="7" t="str">
        <f t="shared" si="39"/>
        <v/>
      </c>
      <c r="AP705" s="15" t="str">
        <f t="shared" si="40"/>
        <v/>
      </c>
    </row>
    <row r="706" spans="38:42" ht="15" customHeight="1">
      <c r="AL706" s="7" t="str">
        <f>IF(A706="","",IF(COUNTIF(A706:A$2001,A706)=1,1,0))</f>
        <v/>
      </c>
      <c r="AM706" s="7" t="str">
        <f t="shared" ref="AM706:AM769" ca="1" si="41">IF(I706="","",TODAY()-I706)</f>
        <v/>
      </c>
      <c r="AN706" s="7" t="str">
        <f t="shared" ref="AN706:AN769" si="42">IF(A706="","",IF(AND(E706&lt;&gt;"33 確認済",E706&lt;&gt;"36 送付中"),1,0))</f>
        <v/>
      </c>
      <c r="AO706" s="7" t="str">
        <f t="shared" ref="AO706:AO769" si="43">IF(A706="","",IF(AG706&lt;&gt;"",1,0))</f>
        <v/>
      </c>
      <c r="AP706" s="15" t="str">
        <f t="shared" ref="AP706:AP769" si="44">IF(P706&lt;&gt;"","・添待ち","")&amp;IF(Q706&lt;&gt;"","・住民票","")&amp;IF(R706&lt;&gt;"","・発信","")&amp;IF(S706&lt;&gt;"","・確認事項","")&amp;IF(T706&lt;&gt;"","・管","")&amp;IF(U706&lt;&gt;"","・SV","")&amp;IF(V706&lt;&gt;"","・データ送付待ち","")&amp;IF(W706&lt;&gt;"","・削除","")</f>
        <v/>
      </c>
    </row>
    <row r="707" spans="38:42" ht="15" customHeight="1">
      <c r="AL707" s="7" t="str">
        <f>IF(A707="","",IF(COUNTIF(A707:A$2001,A707)=1,1,0))</f>
        <v/>
      </c>
      <c r="AM707" s="7" t="str">
        <f t="shared" ca="1" si="41"/>
        <v/>
      </c>
      <c r="AN707" s="7" t="str">
        <f t="shared" si="42"/>
        <v/>
      </c>
      <c r="AO707" s="7" t="str">
        <f t="shared" si="43"/>
        <v/>
      </c>
      <c r="AP707" s="15" t="str">
        <f t="shared" si="44"/>
        <v/>
      </c>
    </row>
    <row r="708" spans="38:42" ht="15" customHeight="1">
      <c r="AL708" s="7" t="str">
        <f>IF(A708="","",IF(COUNTIF(A708:A$2001,A708)=1,1,0))</f>
        <v/>
      </c>
      <c r="AM708" s="7" t="str">
        <f t="shared" ca="1" si="41"/>
        <v/>
      </c>
      <c r="AN708" s="7" t="str">
        <f t="shared" si="42"/>
        <v/>
      </c>
      <c r="AO708" s="7" t="str">
        <f t="shared" si="43"/>
        <v/>
      </c>
      <c r="AP708" s="15" t="str">
        <f t="shared" si="44"/>
        <v/>
      </c>
    </row>
    <row r="709" spans="38:42" ht="15" customHeight="1">
      <c r="AL709" s="7" t="str">
        <f>IF(A709="","",IF(COUNTIF(A709:A$2001,A709)=1,1,0))</f>
        <v/>
      </c>
      <c r="AM709" s="7" t="str">
        <f t="shared" ca="1" si="41"/>
        <v/>
      </c>
      <c r="AN709" s="7" t="str">
        <f t="shared" si="42"/>
        <v/>
      </c>
      <c r="AO709" s="7" t="str">
        <f t="shared" si="43"/>
        <v/>
      </c>
      <c r="AP709" s="15" t="str">
        <f t="shared" si="44"/>
        <v/>
      </c>
    </row>
    <row r="710" spans="38:42" ht="15" customHeight="1">
      <c r="AL710" s="7" t="str">
        <f>IF(A710="","",IF(COUNTIF(A710:A$2001,A710)=1,1,0))</f>
        <v/>
      </c>
      <c r="AM710" s="7" t="str">
        <f t="shared" ca="1" si="41"/>
        <v/>
      </c>
      <c r="AN710" s="7" t="str">
        <f t="shared" si="42"/>
        <v/>
      </c>
      <c r="AO710" s="7" t="str">
        <f t="shared" si="43"/>
        <v/>
      </c>
      <c r="AP710" s="15" t="str">
        <f t="shared" si="44"/>
        <v/>
      </c>
    </row>
    <row r="711" spans="38:42" ht="15" customHeight="1">
      <c r="AL711" s="7" t="str">
        <f>IF(A711="","",IF(COUNTIF(A711:A$2001,A711)=1,1,0))</f>
        <v/>
      </c>
      <c r="AM711" s="7" t="str">
        <f t="shared" ca="1" si="41"/>
        <v/>
      </c>
      <c r="AN711" s="7" t="str">
        <f t="shared" si="42"/>
        <v/>
      </c>
      <c r="AO711" s="7" t="str">
        <f t="shared" si="43"/>
        <v/>
      </c>
      <c r="AP711" s="15" t="str">
        <f t="shared" si="44"/>
        <v/>
      </c>
    </row>
    <row r="712" spans="38:42" ht="15" customHeight="1">
      <c r="AL712" s="7" t="str">
        <f>IF(A712="","",IF(COUNTIF(A712:A$2001,A712)=1,1,0))</f>
        <v/>
      </c>
      <c r="AM712" s="7" t="str">
        <f t="shared" ca="1" si="41"/>
        <v/>
      </c>
      <c r="AN712" s="7" t="str">
        <f t="shared" si="42"/>
        <v/>
      </c>
      <c r="AO712" s="7" t="str">
        <f t="shared" si="43"/>
        <v/>
      </c>
      <c r="AP712" s="15" t="str">
        <f t="shared" si="44"/>
        <v/>
      </c>
    </row>
    <row r="713" spans="38:42" ht="15" customHeight="1">
      <c r="AL713" s="7" t="str">
        <f>IF(A713="","",IF(COUNTIF(A713:A$2001,A713)=1,1,0))</f>
        <v/>
      </c>
      <c r="AM713" s="7" t="str">
        <f t="shared" ca="1" si="41"/>
        <v/>
      </c>
      <c r="AN713" s="7" t="str">
        <f t="shared" si="42"/>
        <v/>
      </c>
      <c r="AO713" s="7" t="str">
        <f t="shared" si="43"/>
        <v/>
      </c>
      <c r="AP713" s="15" t="str">
        <f t="shared" si="44"/>
        <v/>
      </c>
    </row>
    <row r="714" spans="38:42" ht="15" customHeight="1">
      <c r="AL714" s="7" t="str">
        <f>IF(A714="","",IF(COUNTIF(A714:A$2001,A714)=1,1,0))</f>
        <v/>
      </c>
      <c r="AM714" s="7" t="str">
        <f t="shared" ca="1" si="41"/>
        <v/>
      </c>
      <c r="AN714" s="7" t="str">
        <f t="shared" si="42"/>
        <v/>
      </c>
      <c r="AO714" s="7" t="str">
        <f t="shared" si="43"/>
        <v/>
      </c>
      <c r="AP714" s="15" t="str">
        <f t="shared" si="44"/>
        <v/>
      </c>
    </row>
    <row r="715" spans="38:42" ht="15" customHeight="1">
      <c r="AL715" s="7" t="str">
        <f>IF(A715="","",IF(COUNTIF(A715:A$2001,A715)=1,1,0))</f>
        <v/>
      </c>
      <c r="AM715" s="7" t="str">
        <f t="shared" ca="1" si="41"/>
        <v/>
      </c>
      <c r="AN715" s="7" t="str">
        <f t="shared" si="42"/>
        <v/>
      </c>
      <c r="AO715" s="7" t="str">
        <f t="shared" si="43"/>
        <v/>
      </c>
      <c r="AP715" s="15" t="str">
        <f t="shared" si="44"/>
        <v/>
      </c>
    </row>
    <row r="716" spans="38:42" ht="15" customHeight="1">
      <c r="AL716" s="7" t="str">
        <f>IF(A716="","",IF(COUNTIF(A716:A$2001,A716)=1,1,0))</f>
        <v/>
      </c>
      <c r="AM716" s="7" t="str">
        <f t="shared" ca="1" si="41"/>
        <v/>
      </c>
      <c r="AN716" s="7" t="str">
        <f t="shared" si="42"/>
        <v/>
      </c>
      <c r="AO716" s="7" t="str">
        <f t="shared" si="43"/>
        <v/>
      </c>
      <c r="AP716" s="15" t="str">
        <f t="shared" si="44"/>
        <v/>
      </c>
    </row>
    <row r="717" spans="38:42" ht="15" customHeight="1">
      <c r="AL717" s="7" t="str">
        <f>IF(A717="","",IF(COUNTIF(A717:A$2001,A717)=1,1,0))</f>
        <v/>
      </c>
      <c r="AM717" s="7" t="str">
        <f t="shared" ca="1" si="41"/>
        <v/>
      </c>
      <c r="AN717" s="7" t="str">
        <f t="shared" si="42"/>
        <v/>
      </c>
      <c r="AO717" s="7" t="str">
        <f t="shared" si="43"/>
        <v/>
      </c>
      <c r="AP717" s="15" t="str">
        <f t="shared" si="44"/>
        <v/>
      </c>
    </row>
    <row r="718" spans="38:42" ht="15" customHeight="1">
      <c r="AL718" s="7" t="str">
        <f>IF(A718="","",IF(COUNTIF(A718:A$2001,A718)=1,1,0))</f>
        <v/>
      </c>
      <c r="AM718" s="7" t="str">
        <f t="shared" ca="1" si="41"/>
        <v/>
      </c>
      <c r="AN718" s="7" t="str">
        <f t="shared" si="42"/>
        <v/>
      </c>
      <c r="AO718" s="7" t="str">
        <f t="shared" si="43"/>
        <v/>
      </c>
      <c r="AP718" s="15" t="str">
        <f t="shared" si="44"/>
        <v/>
      </c>
    </row>
    <row r="719" spans="38:42" ht="15" customHeight="1">
      <c r="AL719" s="7" t="str">
        <f>IF(A719="","",IF(COUNTIF(A719:A$2001,A719)=1,1,0))</f>
        <v/>
      </c>
      <c r="AM719" s="7" t="str">
        <f t="shared" ca="1" si="41"/>
        <v/>
      </c>
      <c r="AN719" s="7" t="str">
        <f t="shared" si="42"/>
        <v/>
      </c>
      <c r="AO719" s="7" t="str">
        <f t="shared" si="43"/>
        <v/>
      </c>
      <c r="AP719" s="15" t="str">
        <f t="shared" si="44"/>
        <v/>
      </c>
    </row>
    <row r="720" spans="38:42" ht="15" customHeight="1">
      <c r="AL720" s="7" t="str">
        <f>IF(A720="","",IF(COUNTIF(A720:A$2001,A720)=1,1,0))</f>
        <v/>
      </c>
      <c r="AM720" s="7" t="str">
        <f t="shared" ca="1" si="41"/>
        <v/>
      </c>
      <c r="AN720" s="7" t="str">
        <f t="shared" si="42"/>
        <v/>
      </c>
      <c r="AO720" s="7" t="str">
        <f t="shared" si="43"/>
        <v/>
      </c>
      <c r="AP720" s="15" t="str">
        <f t="shared" si="44"/>
        <v/>
      </c>
    </row>
    <row r="721" spans="38:42" ht="15" customHeight="1">
      <c r="AL721" s="7" t="str">
        <f>IF(A721="","",IF(COUNTIF(A721:A$2001,A721)=1,1,0))</f>
        <v/>
      </c>
      <c r="AM721" s="7" t="str">
        <f t="shared" ca="1" si="41"/>
        <v/>
      </c>
      <c r="AN721" s="7" t="str">
        <f t="shared" si="42"/>
        <v/>
      </c>
      <c r="AO721" s="7" t="str">
        <f t="shared" si="43"/>
        <v/>
      </c>
      <c r="AP721" s="15" t="str">
        <f t="shared" si="44"/>
        <v/>
      </c>
    </row>
    <row r="722" spans="38:42" ht="15" customHeight="1">
      <c r="AL722" s="7" t="str">
        <f>IF(A722="","",IF(COUNTIF(A722:A$2001,A722)=1,1,0))</f>
        <v/>
      </c>
      <c r="AM722" s="7" t="str">
        <f t="shared" ca="1" si="41"/>
        <v/>
      </c>
      <c r="AN722" s="7" t="str">
        <f t="shared" si="42"/>
        <v/>
      </c>
      <c r="AO722" s="7" t="str">
        <f t="shared" si="43"/>
        <v/>
      </c>
      <c r="AP722" s="15" t="str">
        <f t="shared" si="44"/>
        <v/>
      </c>
    </row>
    <row r="723" spans="38:42" ht="15" customHeight="1">
      <c r="AL723" s="7" t="str">
        <f>IF(A723="","",IF(COUNTIF(A723:A$2001,A723)=1,1,0))</f>
        <v/>
      </c>
      <c r="AM723" s="7" t="str">
        <f t="shared" ca="1" si="41"/>
        <v/>
      </c>
      <c r="AN723" s="7" t="str">
        <f t="shared" si="42"/>
        <v/>
      </c>
      <c r="AO723" s="7" t="str">
        <f t="shared" si="43"/>
        <v/>
      </c>
      <c r="AP723" s="15" t="str">
        <f t="shared" si="44"/>
        <v/>
      </c>
    </row>
    <row r="724" spans="38:42" ht="15" customHeight="1">
      <c r="AL724" s="7" t="str">
        <f>IF(A724="","",IF(COUNTIF(A724:A$2001,A724)=1,1,0))</f>
        <v/>
      </c>
      <c r="AM724" s="7" t="str">
        <f t="shared" ca="1" si="41"/>
        <v/>
      </c>
      <c r="AN724" s="7" t="str">
        <f t="shared" si="42"/>
        <v/>
      </c>
      <c r="AO724" s="7" t="str">
        <f t="shared" si="43"/>
        <v/>
      </c>
      <c r="AP724" s="15" t="str">
        <f t="shared" si="44"/>
        <v/>
      </c>
    </row>
    <row r="725" spans="38:42" ht="15" customHeight="1">
      <c r="AL725" s="7" t="str">
        <f>IF(A725="","",IF(COUNTIF(A725:A$2001,A725)=1,1,0))</f>
        <v/>
      </c>
      <c r="AM725" s="7" t="str">
        <f t="shared" ca="1" si="41"/>
        <v/>
      </c>
      <c r="AN725" s="7" t="str">
        <f t="shared" si="42"/>
        <v/>
      </c>
      <c r="AO725" s="7" t="str">
        <f t="shared" si="43"/>
        <v/>
      </c>
      <c r="AP725" s="15" t="str">
        <f t="shared" si="44"/>
        <v/>
      </c>
    </row>
    <row r="726" spans="38:42" ht="15" customHeight="1">
      <c r="AL726" s="7" t="str">
        <f>IF(A726="","",IF(COUNTIF(A726:A$2001,A726)=1,1,0))</f>
        <v/>
      </c>
      <c r="AM726" s="7" t="str">
        <f t="shared" ca="1" si="41"/>
        <v/>
      </c>
      <c r="AN726" s="7" t="str">
        <f t="shared" si="42"/>
        <v/>
      </c>
      <c r="AO726" s="7" t="str">
        <f t="shared" si="43"/>
        <v/>
      </c>
      <c r="AP726" s="15" t="str">
        <f t="shared" si="44"/>
        <v/>
      </c>
    </row>
    <row r="727" spans="38:42" ht="15" customHeight="1">
      <c r="AL727" s="7" t="str">
        <f>IF(A727="","",IF(COUNTIF(A727:A$2001,A727)=1,1,0))</f>
        <v/>
      </c>
      <c r="AM727" s="7" t="str">
        <f t="shared" ca="1" si="41"/>
        <v/>
      </c>
      <c r="AN727" s="7" t="str">
        <f t="shared" si="42"/>
        <v/>
      </c>
      <c r="AO727" s="7" t="str">
        <f t="shared" si="43"/>
        <v/>
      </c>
      <c r="AP727" s="15" t="str">
        <f t="shared" si="44"/>
        <v/>
      </c>
    </row>
    <row r="728" spans="38:42" ht="15" customHeight="1">
      <c r="AL728" s="7" t="str">
        <f>IF(A728="","",IF(COUNTIF(A728:A$2001,A728)=1,1,0))</f>
        <v/>
      </c>
      <c r="AM728" s="7" t="str">
        <f t="shared" ca="1" si="41"/>
        <v/>
      </c>
      <c r="AN728" s="7" t="str">
        <f t="shared" si="42"/>
        <v/>
      </c>
      <c r="AO728" s="7" t="str">
        <f t="shared" si="43"/>
        <v/>
      </c>
      <c r="AP728" s="15" t="str">
        <f t="shared" si="44"/>
        <v/>
      </c>
    </row>
    <row r="729" spans="38:42" ht="15" customHeight="1">
      <c r="AL729" s="7" t="str">
        <f>IF(A729="","",IF(COUNTIF(A729:A$2001,A729)=1,1,0))</f>
        <v/>
      </c>
      <c r="AM729" s="7" t="str">
        <f t="shared" ca="1" si="41"/>
        <v/>
      </c>
      <c r="AN729" s="7" t="str">
        <f t="shared" si="42"/>
        <v/>
      </c>
      <c r="AO729" s="7" t="str">
        <f t="shared" si="43"/>
        <v/>
      </c>
      <c r="AP729" s="15" t="str">
        <f t="shared" si="44"/>
        <v/>
      </c>
    </row>
    <row r="730" spans="38:42" ht="15" customHeight="1">
      <c r="AL730" s="7" t="str">
        <f>IF(A730="","",IF(COUNTIF(A730:A$2001,A730)=1,1,0))</f>
        <v/>
      </c>
      <c r="AM730" s="7" t="str">
        <f t="shared" ca="1" si="41"/>
        <v/>
      </c>
      <c r="AN730" s="7" t="str">
        <f t="shared" si="42"/>
        <v/>
      </c>
      <c r="AO730" s="7" t="str">
        <f t="shared" si="43"/>
        <v/>
      </c>
      <c r="AP730" s="15" t="str">
        <f t="shared" si="44"/>
        <v/>
      </c>
    </row>
    <row r="731" spans="38:42" ht="15" customHeight="1">
      <c r="AL731" s="7" t="str">
        <f>IF(A731="","",IF(COUNTIF(A731:A$2001,A731)=1,1,0))</f>
        <v/>
      </c>
      <c r="AM731" s="7" t="str">
        <f t="shared" ca="1" si="41"/>
        <v/>
      </c>
      <c r="AN731" s="7" t="str">
        <f t="shared" si="42"/>
        <v/>
      </c>
      <c r="AO731" s="7" t="str">
        <f t="shared" si="43"/>
        <v/>
      </c>
      <c r="AP731" s="15" t="str">
        <f t="shared" si="44"/>
        <v/>
      </c>
    </row>
    <row r="732" spans="38:42" ht="15" customHeight="1">
      <c r="AL732" s="7" t="str">
        <f>IF(A732="","",IF(COUNTIF(A732:A$2001,A732)=1,1,0))</f>
        <v/>
      </c>
      <c r="AM732" s="7" t="str">
        <f t="shared" ca="1" si="41"/>
        <v/>
      </c>
      <c r="AN732" s="7" t="str">
        <f t="shared" si="42"/>
        <v/>
      </c>
      <c r="AO732" s="7" t="str">
        <f t="shared" si="43"/>
        <v/>
      </c>
      <c r="AP732" s="15" t="str">
        <f t="shared" si="44"/>
        <v/>
      </c>
    </row>
    <row r="733" spans="38:42" ht="15" customHeight="1">
      <c r="AL733" s="7" t="str">
        <f>IF(A733="","",IF(COUNTIF(A733:A$2001,A733)=1,1,0))</f>
        <v/>
      </c>
      <c r="AM733" s="7" t="str">
        <f t="shared" ca="1" si="41"/>
        <v/>
      </c>
      <c r="AN733" s="7" t="str">
        <f t="shared" si="42"/>
        <v/>
      </c>
      <c r="AO733" s="7" t="str">
        <f t="shared" si="43"/>
        <v/>
      </c>
      <c r="AP733" s="15" t="str">
        <f t="shared" si="44"/>
        <v/>
      </c>
    </row>
    <row r="734" spans="38:42" ht="15" customHeight="1">
      <c r="AL734" s="7" t="str">
        <f>IF(A734="","",IF(COUNTIF(A734:A$2001,A734)=1,1,0))</f>
        <v/>
      </c>
      <c r="AM734" s="7" t="str">
        <f t="shared" ca="1" si="41"/>
        <v/>
      </c>
      <c r="AN734" s="7" t="str">
        <f t="shared" si="42"/>
        <v/>
      </c>
      <c r="AO734" s="7" t="str">
        <f t="shared" si="43"/>
        <v/>
      </c>
      <c r="AP734" s="15" t="str">
        <f t="shared" si="44"/>
        <v/>
      </c>
    </row>
    <row r="735" spans="38:42" ht="15" customHeight="1">
      <c r="AL735" s="7" t="str">
        <f>IF(A735="","",IF(COUNTIF(A735:A$2001,A735)=1,1,0))</f>
        <v/>
      </c>
      <c r="AM735" s="7" t="str">
        <f t="shared" ca="1" si="41"/>
        <v/>
      </c>
      <c r="AN735" s="7" t="str">
        <f t="shared" si="42"/>
        <v/>
      </c>
      <c r="AO735" s="7" t="str">
        <f t="shared" si="43"/>
        <v/>
      </c>
      <c r="AP735" s="15" t="str">
        <f t="shared" si="44"/>
        <v/>
      </c>
    </row>
    <row r="736" spans="38:42" ht="15" customHeight="1">
      <c r="AL736" s="7" t="str">
        <f>IF(A736="","",IF(COUNTIF(A736:A$2001,A736)=1,1,0))</f>
        <v/>
      </c>
      <c r="AM736" s="7" t="str">
        <f t="shared" ca="1" si="41"/>
        <v/>
      </c>
      <c r="AN736" s="7" t="str">
        <f t="shared" si="42"/>
        <v/>
      </c>
      <c r="AO736" s="7" t="str">
        <f t="shared" si="43"/>
        <v/>
      </c>
      <c r="AP736" s="15" t="str">
        <f t="shared" si="44"/>
        <v/>
      </c>
    </row>
    <row r="737" spans="38:42" ht="15" customHeight="1">
      <c r="AL737" s="7" t="str">
        <f>IF(A737="","",IF(COUNTIF(A737:A$2001,A737)=1,1,0))</f>
        <v/>
      </c>
      <c r="AM737" s="7" t="str">
        <f t="shared" ca="1" si="41"/>
        <v/>
      </c>
      <c r="AN737" s="7" t="str">
        <f t="shared" si="42"/>
        <v/>
      </c>
      <c r="AO737" s="7" t="str">
        <f t="shared" si="43"/>
        <v/>
      </c>
      <c r="AP737" s="15" t="str">
        <f t="shared" si="44"/>
        <v/>
      </c>
    </row>
    <row r="738" spans="38:42" ht="15" customHeight="1">
      <c r="AL738" s="7" t="str">
        <f>IF(A738="","",IF(COUNTIF(A738:A$2001,A738)=1,1,0))</f>
        <v/>
      </c>
      <c r="AM738" s="7" t="str">
        <f t="shared" ca="1" si="41"/>
        <v/>
      </c>
      <c r="AN738" s="7" t="str">
        <f t="shared" si="42"/>
        <v/>
      </c>
      <c r="AO738" s="7" t="str">
        <f t="shared" si="43"/>
        <v/>
      </c>
      <c r="AP738" s="15" t="str">
        <f t="shared" si="44"/>
        <v/>
      </c>
    </row>
    <row r="739" spans="38:42" ht="15" customHeight="1">
      <c r="AL739" s="7" t="str">
        <f>IF(A739="","",IF(COUNTIF(A739:A$2001,A739)=1,1,0))</f>
        <v/>
      </c>
      <c r="AM739" s="7" t="str">
        <f t="shared" ca="1" si="41"/>
        <v/>
      </c>
      <c r="AN739" s="7" t="str">
        <f t="shared" si="42"/>
        <v/>
      </c>
      <c r="AO739" s="7" t="str">
        <f t="shared" si="43"/>
        <v/>
      </c>
      <c r="AP739" s="15" t="str">
        <f t="shared" si="44"/>
        <v/>
      </c>
    </row>
    <row r="740" spans="38:42" ht="15" customHeight="1">
      <c r="AL740" s="7" t="str">
        <f>IF(A740="","",IF(COUNTIF(A740:A$2001,A740)=1,1,0))</f>
        <v/>
      </c>
      <c r="AM740" s="7" t="str">
        <f t="shared" ca="1" si="41"/>
        <v/>
      </c>
      <c r="AN740" s="7" t="str">
        <f t="shared" si="42"/>
        <v/>
      </c>
      <c r="AO740" s="7" t="str">
        <f t="shared" si="43"/>
        <v/>
      </c>
      <c r="AP740" s="15" t="str">
        <f t="shared" si="44"/>
        <v/>
      </c>
    </row>
    <row r="741" spans="38:42" ht="15" customHeight="1">
      <c r="AL741" s="7" t="str">
        <f>IF(A741="","",IF(COUNTIF(A741:A$2001,A741)=1,1,0))</f>
        <v/>
      </c>
      <c r="AM741" s="7" t="str">
        <f t="shared" ca="1" si="41"/>
        <v/>
      </c>
      <c r="AN741" s="7" t="str">
        <f t="shared" si="42"/>
        <v/>
      </c>
      <c r="AO741" s="7" t="str">
        <f t="shared" si="43"/>
        <v/>
      </c>
      <c r="AP741" s="15" t="str">
        <f t="shared" si="44"/>
        <v/>
      </c>
    </row>
    <row r="742" spans="38:42" ht="15" customHeight="1">
      <c r="AL742" s="7" t="str">
        <f>IF(A742="","",IF(COUNTIF(A742:A$2001,A742)=1,1,0))</f>
        <v/>
      </c>
      <c r="AM742" s="7" t="str">
        <f t="shared" ca="1" si="41"/>
        <v/>
      </c>
      <c r="AN742" s="7" t="str">
        <f t="shared" si="42"/>
        <v/>
      </c>
      <c r="AO742" s="7" t="str">
        <f t="shared" si="43"/>
        <v/>
      </c>
      <c r="AP742" s="15" t="str">
        <f t="shared" si="44"/>
        <v/>
      </c>
    </row>
    <row r="743" spans="38:42" ht="15" customHeight="1">
      <c r="AL743" s="7" t="str">
        <f>IF(A743="","",IF(COUNTIF(A743:A$2001,A743)=1,1,0))</f>
        <v/>
      </c>
      <c r="AM743" s="7" t="str">
        <f t="shared" ca="1" si="41"/>
        <v/>
      </c>
      <c r="AN743" s="7" t="str">
        <f t="shared" si="42"/>
        <v/>
      </c>
      <c r="AO743" s="7" t="str">
        <f t="shared" si="43"/>
        <v/>
      </c>
      <c r="AP743" s="15" t="str">
        <f t="shared" si="44"/>
        <v/>
      </c>
    </row>
    <row r="744" spans="38:42" ht="15" customHeight="1">
      <c r="AL744" s="7" t="str">
        <f>IF(A744="","",IF(COUNTIF(A744:A$2001,A744)=1,1,0))</f>
        <v/>
      </c>
      <c r="AM744" s="7" t="str">
        <f t="shared" ca="1" si="41"/>
        <v/>
      </c>
      <c r="AN744" s="7" t="str">
        <f t="shared" si="42"/>
        <v/>
      </c>
      <c r="AO744" s="7" t="str">
        <f t="shared" si="43"/>
        <v/>
      </c>
      <c r="AP744" s="15" t="str">
        <f t="shared" si="44"/>
        <v/>
      </c>
    </row>
    <row r="745" spans="38:42" ht="15" customHeight="1">
      <c r="AL745" s="7" t="str">
        <f>IF(A745="","",IF(COUNTIF(A745:A$2001,A745)=1,1,0))</f>
        <v/>
      </c>
      <c r="AM745" s="7" t="str">
        <f t="shared" ca="1" si="41"/>
        <v/>
      </c>
      <c r="AN745" s="7" t="str">
        <f t="shared" si="42"/>
        <v/>
      </c>
      <c r="AO745" s="7" t="str">
        <f t="shared" si="43"/>
        <v/>
      </c>
      <c r="AP745" s="15" t="str">
        <f t="shared" si="44"/>
        <v/>
      </c>
    </row>
    <row r="746" spans="38:42" ht="15" customHeight="1">
      <c r="AL746" s="7" t="str">
        <f>IF(A746="","",IF(COUNTIF(A746:A$2001,A746)=1,1,0))</f>
        <v/>
      </c>
      <c r="AM746" s="7" t="str">
        <f t="shared" ca="1" si="41"/>
        <v/>
      </c>
      <c r="AN746" s="7" t="str">
        <f t="shared" si="42"/>
        <v/>
      </c>
      <c r="AO746" s="7" t="str">
        <f t="shared" si="43"/>
        <v/>
      </c>
      <c r="AP746" s="15" t="str">
        <f t="shared" si="44"/>
        <v/>
      </c>
    </row>
    <row r="747" spans="38:42" ht="15" customHeight="1">
      <c r="AL747" s="7" t="str">
        <f>IF(A747="","",IF(COUNTIF(A747:A$2001,A747)=1,1,0))</f>
        <v/>
      </c>
      <c r="AM747" s="7" t="str">
        <f t="shared" ca="1" si="41"/>
        <v/>
      </c>
      <c r="AN747" s="7" t="str">
        <f t="shared" si="42"/>
        <v/>
      </c>
      <c r="AO747" s="7" t="str">
        <f t="shared" si="43"/>
        <v/>
      </c>
      <c r="AP747" s="15" t="str">
        <f t="shared" si="44"/>
        <v/>
      </c>
    </row>
    <row r="748" spans="38:42" ht="15" customHeight="1">
      <c r="AL748" s="7" t="str">
        <f>IF(A748="","",IF(COUNTIF(A748:A$2001,A748)=1,1,0))</f>
        <v/>
      </c>
      <c r="AM748" s="7" t="str">
        <f t="shared" ca="1" si="41"/>
        <v/>
      </c>
      <c r="AN748" s="7" t="str">
        <f t="shared" si="42"/>
        <v/>
      </c>
      <c r="AO748" s="7" t="str">
        <f t="shared" si="43"/>
        <v/>
      </c>
      <c r="AP748" s="15" t="str">
        <f t="shared" si="44"/>
        <v/>
      </c>
    </row>
    <row r="749" spans="38:42" ht="15" customHeight="1">
      <c r="AL749" s="7" t="str">
        <f>IF(A749="","",IF(COUNTIF(A749:A$2001,A749)=1,1,0))</f>
        <v/>
      </c>
      <c r="AM749" s="7" t="str">
        <f t="shared" ca="1" si="41"/>
        <v/>
      </c>
      <c r="AN749" s="7" t="str">
        <f t="shared" si="42"/>
        <v/>
      </c>
      <c r="AO749" s="7" t="str">
        <f t="shared" si="43"/>
        <v/>
      </c>
      <c r="AP749" s="15" t="str">
        <f t="shared" si="44"/>
        <v/>
      </c>
    </row>
    <row r="750" spans="38:42" ht="15" customHeight="1">
      <c r="AL750" s="7" t="str">
        <f>IF(A750="","",IF(COUNTIF(A750:A$2001,A750)=1,1,0))</f>
        <v/>
      </c>
      <c r="AM750" s="7" t="str">
        <f t="shared" ca="1" si="41"/>
        <v/>
      </c>
      <c r="AN750" s="7" t="str">
        <f t="shared" si="42"/>
        <v/>
      </c>
      <c r="AO750" s="7" t="str">
        <f t="shared" si="43"/>
        <v/>
      </c>
      <c r="AP750" s="15" t="str">
        <f t="shared" si="44"/>
        <v/>
      </c>
    </row>
    <row r="751" spans="38:42" ht="15" customHeight="1">
      <c r="AL751" s="7" t="str">
        <f>IF(A751="","",IF(COUNTIF(A751:A$2001,A751)=1,1,0))</f>
        <v/>
      </c>
      <c r="AM751" s="7" t="str">
        <f t="shared" ca="1" si="41"/>
        <v/>
      </c>
      <c r="AN751" s="7" t="str">
        <f t="shared" si="42"/>
        <v/>
      </c>
      <c r="AO751" s="7" t="str">
        <f t="shared" si="43"/>
        <v/>
      </c>
      <c r="AP751" s="15" t="str">
        <f t="shared" si="44"/>
        <v/>
      </c>
    </row>
    <row r="752" spans="38:42" ht="15" customHeight="1">
      <c r="AL752" s="7" t="str">
        <f>IF(A752="","",IF(COUNTIF(A752:A$2001,A752)=1,1,0))</f>
        <v/>
      </c>
      <c r="AM752" s="7" t="str">
        <f t="shared" ca="1" si="41"/>
        <v/>
      </c>
      <c r="AN752" s="7" t="str">
        <f t="shared" si="42"/>
        <v/>
      </c>
      <c r="AO752" s="7" t="str">
        <f t="shared" si="43"/>
        <v/>
      </c>
      <c r="AP752" s="15" t="str">
        <f t="shared" si="44"/>
        <v/>
      </c>
    </row>
    <row r="753" spans="38:42" ht="15" customHeight="1">
      <c r="AL753" s="7" t="str">
        <f>IF(A753="","",IF(COUNTIF(A753:A$2001,A753)=1,1,0))</f>
        <v/>
      </c>
      <c r="AM753" s="7" t="str">
        <f t="shared" ca="1" si="41"/>
        <v/>
      </c>
      <c r="AN753" s="7" t="str">
        <f t="shared" si="42"/>
        <v/>
      </c>
      <c r="AO753" s="7" t="str">
        <f t="shared" si="43"/>
        <v/>
      </c>
      <c r="AP753" s="15" t="str">
        <f t="shared" si="44"/>
        <v/>
      </c>
    </row>
    <row r="754" spans="38:42" ht="15" customHeight="1">
      <c r="AL754" s="7" t="str">
        <f>IF(A754="","",IF(COUNTIF(A754:A$2001,A754)=1,1,0))</f>
        <v/>
      </c>
      <c r="AM754" s="7" t="str">
        <f t="shared" ca="1" si="41"/>
        <v/>
      </c>
      <c r="AN754" s="7" t="str">
        <f t="shared" si="42"/>
        <v/>
      </c>
      <c r="AO754" s="7" t="str">
        <f t="shared" si="43"/>
        <v/>
      </c>
      <c r="AP754" s="15" t="str">
        <f t="shared" si="44"/>
        <v/>
      </c>
    </row>
    <row r="755" spans="38:42" ht="15" customHeight="1">
      <c r="AL755" s="7" t="str">
        <f>IF(A755="","",IF(COUNTIF(A755:A$2001,A755)=1,1,0))</f>
        <v/>
      </c>
      <c r="AM755" s="7" t="str">
        <f t="shared" ca="1" si="41"/>
        <v/>
      </c>
      <c r="AN755" s="7" t="str">
        <f t="shared" si="42"/>
        <v/>
      </c>
      <c r="AO755" s="7" t="str">
        <f t="shared" si="43"/>
        <v/>
      </c>
      <c r="AP755" s="15" t="str">
        <f t="shared" si="44"/>
        <v/>
      </c>
    </row>
    <row r="756" spans="38:42" ht="15" customHeight="1">
      <c r="AL756" s="7" t="str">
        <f>IF(A756="","",IF(COUNTIF(A756:A$2001,A756)=1,1,0))</f>
        <v/>
      </c>
      <c r="AM756" s="7" t="str">
        <f t="shared" ca="1" si="41"/>
        <v/>
      </c>
      <c r="AN756" s="7" t="str">
        <f t="shared" si="42"/>
        <v/>
      </c>
      <c r="AO756" s="7" t="str">
        <f t="shared" si="43"/>
        <v/>
      </c>
      <c r="AP756" s="15" t="str">
        <f t="shared" si="44"/>
        <v/>
      </c>
    </row>
    <row r="757" spans="38:42" ht="15" customHeight="1">
      <c r="AL757" s="7" t="str">
        <f>IF(A757="","",IF(COUNTIF(A757:A$2001,A757)=1,1,0))</f>
        <v/>
      </c>
      <c r="AM757" s="7" t="str">
        <f t="shared" ca="1" si="41"/>
        <v/>
      </c>
      <c r="AN757" s="7" t="str">
        <f t="shared" si="42"/>
        <v/>
      </c>
      <c r="AO757" s="7" t="str">
        <f t="shared" si="43"/>
        <v/>
      </c>
      <c r="AP757" s="15" t="str">
        <f t="shared" si="44"/>
        <v/>
      </c>
    </row>
    <row r="758" spans="38:42" ht="15" customHeight="1">
      <c r="AL758" s="7" t="str">
        <f>IF(A758="","",IF(COUNTIF(A758:A$2001,A758)=1,1,0))</f>
        <v/>
      </c>
      <c r="AM758" s="7" t="str">
        <f t="shared" ca="1" si="41"/>
        <v/>
      </c>
      <c r="AN758" s="7" t="str">
        <f t="shared" si="42"/>
        <v/>
      </c>
      <c r="AO758" s="7" t="str">
        <f t="shared" si="43"/>
        <v/>
      </c>
      <c r="AP758" s="15" t="str">
        <f t="shared" si="44"/>
        <v/>
      </c>
    </row>
    <row r="759" spans="38:42" ht="15" customHeight="1">
      <c r="AL759" s="7" t="str">
        <f>IF(A759="","",IF(COUNTIF(A759:A$2001,A759)=1,1,0))</f>
        <v/>
      </c>
      <c r="AM759" s="7" t="str">
        <f t="shared" ca="1" si="41"/>
        <v/>
      </c>
      <c r="AN759" s="7" t="str">
        <f t="shared" si="42"/>
        <v/>
      </c>
      <c r="AO759" s="7" t="str">
        <f t="shared" si="43"/>
        <v/>
      </c>
      <c r="AP759" s="15" t="str">
        <f t="shared" si="44"/>
        <v/>
      </c>
    </row>
    <row r="760" spans="38:42" ht="15" customHeight="1">
      <c r="AL760" s="7" t="str">
        <f>IF(A760="","",IF(COUNTIF(A760:A$2001,A760)=1,1,0))</f>
        <v/>
      </c>
      <c r="AM760" s="7" t="str">
        <f t="shared" ca="1" si="41"/>
        <v/>
      </c>
      <c r="AN760" s="7" t="str">
        <f t="shared" si="42"/>
        <v/>
      </c>
      <c r="AO760" s="7" t="str">
        <f t="shared" si="43"/>
        <v/>
      </c>
      <c r="AP760" s="15" t="str">
        <f t="shared" si="44"/>
        <v/>
      </c>
    </row>
    <row r="761" spans="38:42" ht="15" customHeight="1">
      <c r="AL761" s="7" t="str">
        <f>IF(A761="","",IF(COUNTIF(A761:A$2001,A761)=1,1,0))</f>
        <v/>
      </c>
      <c r="AM761" s="7" t="str">
        <f t="shared" ca="1" si="41"/>
        <v/>
      </c>
      <c r="AN761" s="7" t="str">
        <f t="shared" si="42"/>
        <v/>
      </c>
      <c r="AO761" s="7" t="str">
        <f t="shared" si="43"/>
        <v/>
      </c>
      <c r="AP761" s="15" t="str">
        <f t="shared" si="44"/>
        <v/>
      </c>
    </row>
    <row r="762" spans="38:42" ht="15" customHeight="1">
      <c r="AL762" s="7" t="str">
        <f>IF(A762="","",IF(COUNTIF(A762:A$2001,A762)=1,1,0))</f>
        <v/>
      </c>
      <c r="AM762" s="7" t="str">
        <f t="shared" ca="1" si="41"/>
        <v/>
      </c>
      <c r="AN762" s="7" t="str">
        <f t="shared" si="42"/>
        <v/>
      </c>
      <c r="AO762" s="7" t="str">
        <f t="shared" si="43"/>
        <v/>
      </c>
      <c r="AP762" s="15" t="str">
        <f t="shared" si="44"/>
        <v/>
      </c>
    </row>
    <row r="763" spans="38:42" ht="15" customHeight="1">
      <c r="AL763" s="7" t="str">
        <f>IF(A763="","",IF(COUNTIF(A763:A$2001,A763)=1,1,0))</f>
        <v/>
      </c>
      <c r="AM763" s="7" t="str">
        <f t="shared" ca="1" si="41"/>
        <v/>
      </c>
      <c r="AN763" s="7" t="str">
        <f t="shared" si="42"/>
        <v/>
      </c>
      <c r="AO763" s="7" t="str">
        <f t="shared" si="43"/>
        <v/>
      </c>
      <c r="AP763" s="15" t="str">
        <f t="shared" si="44"/>
        <v/>
      </c>
    </row>
    <row r="764" spans="38:42" ht="15" customHeight="1">
      <c r="AL764" s="7" t="str">
        <f>IF(A764="","",IF(COUNTIF(A764:A$2001,A764)=1,1,0))</f>
        <v/>
      </c>
      <c r="AM764" s="7" t="str">
        <f t="shared" ca="1" si="41"/>
        <v/>
      </c>
      <c r="AN764" s="7" t="str">
        <f t="shared" si="42"/>
        <v/>
      </c>
      <c r="AO764" s="7" t="str">
        <f t="shared" si="43"/>
        <v/>
      </c>
      <c r="AP764" s="15" t="str">
        <f t="shared" si="44"/>
        <v/>
      </c>
    </row>
    <row r="765" spans="38:42" ht="15" customHeight="1">
      <c r="AL765" s="7" t="str">
        <f>IF(A765="","",IF(COUNTIF(A765:A$2001,A765)=1,1,0))</f>
        <v/>
      </c>
      <c r="AM765" s="7" t="str">
        <f t="shared" ca="1" si="41"/>
        <v/>
      </c>
      <c r="AN765" s="7" t="str">
        <f t="shared" si="42"/>
        <v/>
      </c>
      <c r="AO765" s="7" t="str">
        <f t="shared" si="43"/>
        <v/>
      </c>
      <c r="AP765" s="15" t="str">
        <f t="shared" si="44"/>
        <v/>
      </c>
    </row>
    <row r="766" spans="38:42" ht="15" customHeight="1">
      <c r="AL766" s="7" t="str">
        <f>IF(A766="","",IF(COUNTIF(A766:A$2001,A766)=1,1,0))</f>
        <v/>
      </c>
      <c r="AM766" s="7" t="str">
        <f t="shared" ca="1" si="41"/>
        <v/>
      </c>
      <c r="AN766" s="7" t="str">
        <f t="shared" si="42"/>
        <v/>
      </c>
      <c r="AO766" s="7" t="str">
        <f t="shared" si="43"/>
        <v/>
      </c>
      <c r="AP766" s="15" t="str">
        <f t="shared" si="44"/>
        <v/>
      </c>
    </row>
    <row r="767" spans="38:42" ht="15" customHeight="1">
      <c r="AL767" s="7" t="str">
        <f>IF(A767="","",IF(COUNTIF(A767:A$2001,A767)=1,1,0))</f>
        <v/>
      </c>
      <c r="AM767" s="7" t="str">
        <f t="shared" ca="1" si="41"/>
        <v/>
      </c>
      <c r="AN767" s="7" t="str">
        <f t="shared" si="42"/>
        <v/>
      </c>
      <c r="AO767" s="7" t="str">
        <f t="shared" si="43"/>
        <v/>
      </c>
      <c r="AP767" s="15" t="str">
        <f t="shared" si="44"/>
        <v/>
      </c>
    </row>
    <row r="768" spans="38:42" ht="15" customHeight="1">
      <c r="AL768" s="7" t="str">
        <f>IF(A768="","",IF(COUNTIF(A768:A$2001,A768)=1,1,0))</f>
        <v/>
      </c>
      <c r="AM768" s="7" t="str">
        <f t="shared" ca="1" si="41"/>
        <v/>
      </c>
      <c r="AN768" s="7" t="str">
        <f t="shared" si="42"/>
        <v/>
      </c>
      <c r="AO768" s="7" t="str">
        <f t="shared" si="43"/>
        <v/>
      </c>
      <c r="AP768" s="15" t="str">
        <f t="shared" si="44"/>
        <v/>
      </c>
    </row>
    <row r="769" spans="38:42" ht="15" customHeight="1">
      <c r="AL769" s="7" t="str">
        <f>IF(A769="","",IF(COUNTIF(A769:A$2001,A769)=1,1,0))</f>
        <v/>
      </c>
      <c r="AM769" s="7" t="str">
        <f t="shared" ca="1" si="41"/>
        <v/>
      </c>
      <c r="AN769" s="7" t="str">
        <f t="shared" si="42"/>
        <v/>
      </c>
      <c r="AO769" s="7" t="str">
        <f t="shared" si="43"/>
        <v/>
      </c>
      <c r="AP769" s="15" t="str">
        <f t="shared" si="44"/>
        <v/>
      </c>
    </row>
    <row r="770" spans="38:42" ht="15" customHeight="1">
      <c r="AL770" s="7" t="str">
        <f>IF(A770="","",IF(COUNTIF(A770:A$2001,A770)=1,1,0))</f>
        <v/>
      </c>
      <c r="AM770" s="7" t="str">
        <f t="shared" ref="AM770:AM833" ca="1" si="45">IF(I770="","",TODAY()-I770)</f>
        <v/>
      </c>
      <c r="AN770" s="7" t="str">
        <f t="shared" ref="AN770:AN833" si="46">IF(A770="","",IF(AND(E770&lt;&gt;"33 確認済",E770&lt;&gt;"36 送付中"),1,0))</f>
        <v/>
      </c>
      <c r="AO770" s="7" t="str">
        <f t="shared" ref="AO770:AO833" si="47">IF(A770="","",IF(AG770&lt;&gt;"",1,0))</f>
        <v/>
      </c>
      <c r="AP770" s="15" t="str">
        <f t="shared" ref="AP770:AP833" si="48">IF(P770&lt;&gt;"","・添待ち","")&amp;IF(Q770&lt;&gt;"","・住民票","")&amp;IF(R770&lt;&gt;"","・発信","")&amp;IF(S770&lt;&gt;"","・確認事項","")&amp;IF(T770&lt;&gt;"","・管","")&amp;IF(U770&lt;&gt;"","・SV","")&amp;IF(V770&lt;&gt;"","・データ送付待ち","")&amp;IF(W770&lt;&gt;"","・削除","")</f>
        <v/>
      </c>
    </row>
    <row r="771" spans="38:42" ht="15" customHeight="1">
      <c r="AL771" s="7" t="str">
        <f>IF(A771="","",IF(COUNTIF(A771:A$2001,A771)=1,1,0))</f>
        <v/>
      </c>
      <c r="AM771" s="7" t="str">
        <f t="shared" ca="1" si="45"/>
        <v/>
      </c>
      <c r="AN771" s="7" t="str">
        <f t="shared" si="46"/>
        <v/>
      </c>
      <c r="AO771" s="7" t="str">
        <f t="shared" si="47"/>
        <v/>
      </c>
      <c r="AP771" s="15" t="str">
        <f t="shared" si="48"/>
        <v/>
      </c>
    </row>
    <row r="772" spans="38:42" ht="15" customHeight="1">
      <c r="AL772" s="7" t="str">
        <f>IF(A772="","",IF(COUNTIF(A772:A$2001,A772)=1,1,0))</f>
        <v/>
      </c>
      <c r="AM772" s="7" t="str">
        <f t="shared" ca="1" si="45"/>
        <v/>
      </c>
      <c r="AN772" s="7" t="str">
        <f t="shared" si="46"/>
        <v/>
      </c>
      <c r="AO772" s="7" t="str">
        <f t="shared" si="47"/>
        <v/>
      </c>
      <c r="AP772" s="15" t="str">
        <f t="shared" si="48"/>
        <v/>
      </c>
    </row>
    <row r="773" spans="38:42" ht="15" customHeight="1">
      <c r="AL773" s="7" t="str">
        <f>IF(A773="","",IF(COUNTIF(A773:A$2001,A773)=1,1,0))</f>
        <v/>
      </c>
      <c r="AM773" s="7" t="str">
        <f t="shared" ca="1" si="45"/>
        <v/>
      </c>
      <c r="AN773" s="7" t="str">
        <f t="shared" si="46"/>
        <v/>
      </c>
      <c r="AO773" s="7" t="str">
        <f t="shared" si="47"/>
        <v/>
      </c>
      <c r="AP773" s="15" t="str">
        <f t="shared" si="48"/>
        <v/>
      </c>
    </row>
    <row r="774" spans="38:42" ht="15" customHeight="1">
      <c r="AL774" s="7" t="str">
        <f>IF(A774="","",IF(COUNTIF(A774:A$2001,A774)=1,1,0))</f>
        <v/>
      </c>
      <c r="AM774" s="7" t="str">
        <f t="shared" ca="1" si="45"/>
        <v/>
      </c>
      <c r="AN774" s="7" t="str">
        <f t="shared" si="46"/>
        <v/>
      </c>
      <c r="AO774" s="7" t="str">
        <f t="shared" si="47"/>
        <v/>
      </c>
      <c r="AP774" s="15" t="str">
        <f t="shared" si="48"/>
        <v/>
      </c>
    </row>
    <row r="775" spans="38:42" ht="15" customHeight="1">
      <c r="AL775" s="7" t="str">
        <f>IF(A775="","",IF(COUNTIF(A775:A$2001,A775)=1,1,0))</f>
        <v/>
      </c>
      <c r="AM775" s="7" t="str">
        <f t="shared" ca="1" si="45"/>
        <v/>
      </c>
      <c r="AN775" s="7" t="str">
        <f t="shared" si="46"/>
        <v/>
      </c>
      <c r="AO775" s="7" t="str">
        <f t="shared" si="47"/>
        <v/>
      </c>
      <c r="AP775" s="15" t="str">
        <f t="shared" si="48"/>
        <v/>
      </c>
    </row>
    <row r="776" spans="38:42" ht="15" customHeight="1">
      <c r="AL776" s="7" t="str">
        <f>IF(A776="","",IF(COUNTIF(A776:A$2001,A776)=1,1,0))</f>
        <v/>
      </c>
      <c r="AM776" s="7" t="str">
        <f t="shared" ca="1" si="45"/>
        <v/>
      </c>
      <c r="AN776" s="7" t="str">
        <f t="shared" si="46"/>
        <v/>
      </c>
      <c r="AO776" s="7" t="str">
        <f t="shared" si="47"/>
        <v/>
      </c>
      <c r="AP776" s="15" t="str">
        <f t="shared" si="48"/>
        <v/>
      </c>
    </row>
    <row r="777" spans="38:42" ht="15" customHeight="1">
      <c r="AL777" s="7" t="str">
        <f>IF(A777="","",IF(COUNTIF(A777:A$2001,A777)=1,1,0))</f>
        <v/>
      </c>
      <c r="AM777" s="7" t="str">
        <f t="shared" ca="1" si="45"/>
        <v/>
      </c>
      <c r="AN777" s="7" t="str">
        <f t="shared" si="46"/>
        <v/>
      </c>
      <c r="AO777" s="7" t="str">
        <f t="shared" si="47"/>
        <v/>
      </c>
      <c r="AP777" s="15" t="str">
        <f t="shared" si="48"/>
        <v/>
      </c>
    </row>
    <row r="778" spans="38:42" ht="15" customHeight="1">
      <c r="AL778" s="7" t="str">
        <f>IF(A778="","",IF(COUNTIF(A778:A$2001,A778)=1,1,0))</f>
        <v/>
      </c>
      <c r="AM778" s="7" t="str">
        <f t="shared" ca="1" si="45"/>
        <v/>
      </c>
      <c r="AN778" s="7" t="str">
        <f t="shared" si="46"/>
        <v/>
      </c>
      <c r="AO778" s="7" t="str">
        <f t="shared" si="47"/>
        <v/>
      </c>
      <c r="AP778" s="15" t="str">
        <f t="shared" si="48"/>
        <v/>
      </c>
    </row>
    <row r="779" spans="38:42" ht="15" customHeight="1">
      <c r="AL779" s="7" t="str">
        <f>IF(A779="","",IF(COUNTIF(A779:A$2001,A779)=1,1,0))</f>
        <v/>
      </c>
      <c r="AM779" s="7" t="str">
        <f t="shared" ca="1" si="45"/>
        <v/>
      </c>
      <c r="AN779" s="7" t="str">
        <f t="shared" si="46"/>
        <v/>
      </c>
      <c r="AO779" s="7" t="str">
        <f t="shared" si="47"/>
        <v/>
      </c>
      <c r="AP779" s="15" t="str">
        <f t="shared" si="48"/>
        <v/>
      </c>
    </row>
    <row r="780" spans="38:42" ht="15" customHeight="1">
      <c r="AL780" s="7" t="str">
        <f>IF(A780="","",IF(COUNTIF(A780:A$2001,A780)=1,1,0))</f>
        <v/>
      </c>
      <c r="AM780" s="7" t="str">
        <f t="shared" ca="1" si="45"/>
        <v/>
      </c>
      <c r="AN780" s="7" t="str">
        <f t="shared" si="46"/>
        <v/>
      </c>
      <c r="AO780" s="7" t="str">
        <f t="shared" si="47"/>
        <v/>
      </c>
      <c r="AP780" s="15" t="str">
        <f t="shared" si="48"/>
        <v/>
      </c>
    </row>
    <row r="781" spans="38:42" ht="15" customHeight="1">
      <c r="AL781" s="7" t="str">
        <f>IF(A781="","",IF(COUNTIF(A781:A$2001,A781)=1,1,0))</f>
        <v/>
      </c>
      <c r="AM781" s="7" t="str">
        <f t="shared" ca="1" si="45"/>
        <v/>
      </c>
      <c r="AN781" s="7" t="str">
        <f t="shared" si="46"/>
        <v/>
      </c>
      <c r="AO781" s="7" t="str">
        <f t="shared" si="47"/>
        <v/>
      </c>
      <c r="AP781" s="15" t="str">
        <f t="shared" si="48"/>
        <v/>
      </c>
    </row>
    <row r="782" spans="38:42" ht="15" customHeight="1">
      <c r="AL782" s="7" t="str">
        <f>IF(A782="","",IF(COUNTIF(A782:A$2001,A782)=1,1,0))</f>
        <v/>
      </c>
      <c r="AM782" s="7" t="str">
        <f t="shared" ca="1" si="45"/>
        <v/>
      </c>
      <c r="AN782" s="7" t="str">
        <f t="shared" si="46"/>
        <v/>
      </c>
      <c r="AO782" s="7" t="str">
        <f t="shared" si="47"/>
        <v/>
      </c>
      <c r="AP782" s="15" t="str">
        <f t="shared" si="48"/>
        <v/>
      </c>
    </row>
    <row r="783" spans="38:42" ht="15" customHeight="1">
      <c r="AL783" s="7" t="str">
        <f>IF(A783="","",IF(COUNTIF(A783:A$2001,A783)=1,1,0))</f>
        <v/>
      </c>
      <c r="AM783" s="7" t="str">
        <f t="shared" ca="1" si="45"/>
        <v/>
      </c>
      <c r="AN783" s="7" t="str">
        <f t="shared" si="46"/>
        <v/>
      </c>
      <c r="AO783" s="7" t="str">
        <f t="shared" si="47"/>
        <v/>
      </c>
      <c r="AP783" s="15" t="str">
        <f t="shared" si="48"/>
        <v/>
      </c>
    </row>
    <row r="784" spans="38:42" ht="15" customHeight="1">
      <c r="AL784" s="7" t="str">
        <f>IF(A784="","",IF(COUNTIF(A784:A$2001,A784)=1,1,0))</f>
        <v/>
      </c>
      <c r="AM784" s="7" t="str">
        <f t="shared" ca="1" si="45"/>
        <v/>
      </c>
      <c r="AN784" s="7" t="str">
        <f t="shared" si="46"/>
        <v/>
      </c>
      <c r="AO784" s="7" t="str">
        <f t="shared" si="47"/>
        <v/>
      </c>
      <c r="AP784" s="15" t="str">
        <f t="shared" si="48"/>
        <v/>
      </c>
    </row>
    <row r="785" spans="38:42" ht="15" customHeight="1">
      <c r="AL785" s="7" t="str">
        <f>IF(A785="","",IF(COUNTIF(A785:A$2001,A785)=1,1,0))</f>
        <v/>
      </c>
      <c r="AM785" s="7" t="str">
        <f t="shared" ca="1" si="45"/>
        <v/>
      </c>
      <c r="AN785" s="7" t="str">
        <f t="shared" si="46"/>
        <v/>
      </c>
      <c r="AO785" s="7" t="str">
        <f t="shared" si="47"/>
        <v/>
      </c>
      <c r="AP785" s="15" t="str">
        <f t="shared" si="48"/>
        <v/>
      </c>
    </row>
    <row r="786" spans="38:42" ht="15" customHeight="1">
      <c r="AL786" s="7" t="str">
        <f>IF(A786="","",IF(COUNTIF(A786:A$2001,A786)=1,1,0))</f>
        <v/>
      </c>
      <c r="AM786" s="7" t="str">
        <f t="shared" ca="1" si="45"/>
        <v/>
      </c>
      <c r="AN786" s="7" t="str">
        <f t="shared" si="46"/>
        <v/>
      </c>
      <c r="AO786" s="7" t="str">
        <f t="shared" si="47"/>
        <v/>
      </c>
      <c r="AP786" s="15" t="str">
        <f t="shared" si="48"/>
        <v/>
      </c>
    </row>
    <row r="787" spans="38:42" ht="15" customHeight="1">
      <c r="AL787" s="7" t="str">
        <f>IF(A787="","",IF(COUNTIF(A787:A$2001,A787)=1,1,0))</f>
        <v/>
      </c>
      <c r="AM787" s="7" t="str">
        <f t="shared" ca="1" si="45"/>
        <v/>
      </c>
      <c r="AN787" s="7" t="str">
        <f t="shared" si="46"/>
        <v/>
      </c>
      <c r="AO787" s="7" t="str">
        <f t="shared" si="47"/>
        <v/>
      </c>
      <c r="AP787" s="15" t="str">
        <f t="shared" si="48"/>
        <v/>
      </c>
    </row>
    <row r="788" spans="38:42" ht="15" customHeight="1">
      <c r="AL788" s="7" t="str">
        <f>IF(A788="","",IF(COUNTIF(A788:A$2001,A788)=1,1,0))</f>
        <v/>
      </c>
      <c r="AM788" s="7" t="str">
        <f t="shared" ca="1" si="45"/>
        <v/>
      </c>
      <c r="AN788" s="7" t="str">
        <f t="shared" si="46"/>
        <v/>
      </c>
      <c r="AO788" s="7" t="str">
        <f t="shared" si="47"/>
        <v/>
      </c>
      <c r="AP788" s="15" t="str">
        <f t="shared" si="48"/>
        <v/>
      </c>
    </row>
    <row r="789" spans="38:42" ht="15" customHeight="1">
      <c r="AL789" s="7" t="str">
        <f>IF(A789="","",IF(COUNTIF(A789:A$2001,A789)=1,1,0))</f>
        <v/>
      </c>
      <c r="AM789" s="7" t="str">
        <f t="shared" ca="1" si="45"/>
        <v/>
      </c>
      <c r="AN789" s="7" t="str">
        <f t="shared" si="46"/>
        <v/>
      </c>
      <c r="AO789" s="7" t="str">
        <f t="shared" si="47"/>
        <v/>
      </c>
      <c r="AP789" s="15" t="str">
        <f t="shared" si="48"/>
        <v/>
      </c>
    </row>
    <row r="790" spans="38:42" ht="15" customHeight="1">
      <c r="AL790" s="7" t="str">
        <f>IF(A790="","",IF(COUNTIF(A790:A$2001,A790)=1,1,0))</f>
        <v/>
      </c>
      <c r="AM790" s="7" t="str">
        <f t="shared" ca="1" si="45"/>
        <v/>
      </c>
      <c r="AN790" s="7" t="str">
        <f t="shared" si="46"/>
        <v/>
      </c>
      <c r="AO790" s="7" t="str">
        <f t="shared" si="47"/>
        <v/>
      </c>
      <c r="AP790" s="15" t="str">
        <f t="shared" si="48"/>
        <v/>
      </c>
    </row>
    <row r="791" spans="38:42" ht="15" customHeight="1">
      <c r="AL791" s="7" t="str">
        <f>IF(A791="","",IF(COUNTIF(A791:A$2001,A791)=1,1,0))</f>
        <v/>
      </c>
      <c r="AM791" s="7" t="str">
        <f t="shared" ca="1" si="45"/>
        <v/>
      </c>
      <c r="AN791" s="7" t="str">
        <f t="shared" si="46"/>
        <v/>
      </c>
      <c r="AO791" s="7" t="str">
        <f t="shared" si="47"/>
        <v/>
      </c>
      <c r="AP791" s="15" t="str">
        <f t="shared" si="48"/>
        <v/>
      </c>
    </row>
    <row r="792" spans="38:42" ht="15" customHeight="1">
      <c r="AL792" s="7" t="str">
        <f>IF(A792="","",IF(COUNTIF(A792:A$2001,A792)=1,1,0))</f>
        <v/>
      </c>
      <c r="AM792" s="7" t="str">
        <f t="shared" ca="1" si="45"/>
        <v/>
      </c>
      <c r="AN792" s="7" t="str">
        <f t="shared" si="46"/>
        <v/>
      </c>
      <c r="AO792" s="7" t="str">
        <f t="shared" si="47"/>
        <v/>
      </c>
      <c r="AP792" s="15" t="str">
        <f t="shared" si="48"/>
        <v/>
      </c>
    </row>
    <row r="793" spans="38:42" ht="15" customHeight="1">
      <c r="AL793" s="7" t="str">
        <f>IF(A793="","",IF(COUNTIF(A793:A$2001,A793)=1,1,0))</f>
        <v/>
      </c>
      <c r="AM793" s="7" t="str">
        <f t="shared" ca="1" si="45"/>
        <v/>
      </c>
      <c r="AN793" s="7" t="str">
        <f t="shared" si="46"/>
        <v/>
      </c>
      <c r="AO793" s="7" t="str">
        <f t="shared" si="47"/>
        <v/>
      </c>
      <c r="AP793" s="15" t="str">
        <f t="shared" si="48"/>
        <v/>
      </c>
    </row>
    <row r="794" spans="38:42" ht="15" customHeight="1">
      <c r="AL794" s="7" t="str">
        <f>IF(A794="","",IF(COUNTIF(A794:A$2001,A794)=1,1,0))</f>
        <v/>
      </c>
      <c r="AM794" s="7" t="str">
        <f t="shared" ca="1" si="45"/>
        <v/>
      </c>
      <c r="AN794" s="7" t="str">
        <f t="shared" si="46"/>
        <v/>
      </c>
      <c r="AO794" s="7" t="str">
        <f t="shared" si="47"/>
        <v/>
      </c>
      <c r="AP794" s="15" t="str">
        <f t="shared" si="48"/>
        <v/>
      </c>
    </row>
    <row r="795" spans="38:42" ht="15" customHeight="1">
      <c r="AL795" s="7" t="str">
        <f>IF(A795="","",IF(COUNTIF(A795:A$2001,A795)=1,1,0))</f>
        <v/>
      </c>
      <c r="AM795" s="7" t="str">
        <f t="shared" ca="1" si="45"/>
        <v/>
      </c>
      <c r="AN795" s="7" t="str">
        <f t="shared" si="46"/>
        <v/>
      </c>
      <c r="AO795" s="7" t="str">
        <f t="shared" si="47"/>
        <v/>
      </c>
      <c r="AP795" s="15" t="str">
        <f t="shared" si="48"/>
        <v/>
      </c>
    </row>
    <row r="796" spans="38:42" ht="15" customHeight="1">
      <c r="AL796" s="7" t="str">
        <f>IF(A796="","",IF(COUNTIF(A796:A$2001,A796)=1,1,0))</f>
        <v/>
      </c>
      <c r="AM796" s="7" t="str">
        <f t="shared" ca="1" si="45"/>
        <v/>
      </c>
      <c r="AN796" s="7" t="str">
        <f t="shared" si="46"/>
        <v/>
      </c>
      <c r="AO796" s="7" t="str">
        <f t="shared" si="47"/>
        <v/>
      </c>
      <c r="AP796" s="15" t="str">
        <f t="shared" si="48"/>
        <v/>
      </c>
    </row>
    <row r="797" spans="38:42" ht="15" customHeight="1">
      <c r="AL797" s="7" t="str">
        <f>IF(A797="","",IF(COUNTIF(A797:A$2001,A797)=1,1,0))</f>
        <v/>
      </c>
      <c r="AM797" s="7" t="str">
        <f t="shared" ca="1" si="45"/>
        <v/>
      </c>
      <c r="AN797" s="7" t="str">
        <f t="shared" si="46"/>
        <v/>
      </c>
      <c r="AO797" s="7" t="str">
        <f t="shared" si="47"/>
        <v/>
      </c>
      <c r="AP797" s="15" t="str">
        <f t="shared" si="48"/>
        <v/>
      </c>
    </row>
    <row r="798" spans="38:42" ht="15" customHeight="1">
      <c r="AL798" s="7" t="str">
        <f>IF(A798="","",IF(COUNTIF(A798:A$2001,A798)=1,1,0))</f>
        <v/>
      </c>
      <c r="AM798" s="7" t="str">
        <f t="shared" ca="1" si="45"/>
        <v/>
      </c>
      <c r="AN798" s="7" t="str">
        <f t="shared" si="46"/>
        <v/>
      </c>
      <c r="AO798" s="7" t="str">
        <f t="shared" si="47"/>
        <v/>
      </c>
      <c r="AP798" s="15" t="str">
        <f t="shared" si="48"/>
        <v/>
      </c>
    </row>
    <row r="799" spans="38:42" ht="15" customHeight="1">
      <c r="AL799" s="7" t="str">
        <f>IF(A799="","",IF(COUNTIF(A799:A$2001,A799)=1,1,0))</f>
        <v/>
      </c>
      <c r="AM799" s="7" t="str">
        <f t="shared" ca="1" si="45"/>
        <v/>
      </c>
      <c r="AN799" s="7" t="str">
        <f t="shared" si="46"/>
        <v/>
      </c>
      <c r="AO799" s="7" t="str">
        <f t="shared" si="47"/>
        <v/>
      </c>
      <c r="AP799" s="15" t="str">
        <f t="shared" si="48"/>
        <v/>
      </c>
    </row>
    <row r="800" spans="38:42" ht="15" customHeight="1">
      <c r="AL800" s="7" t="str">
        <f>IF(A800="","",IF(COUNTIF(A800:A$2001,A800)=1,1,0))</f>
        <v/>
      </c>
      <c r="AM800" s="7" t="str">
        <f t="shared" ca="1" si="45"/>
        <v/>
      </c>
      <c r="AN800" s="7" t="str">
        <f t="shared" si="46"/>
        <v/>
      </c>
      <c r="AO800" s="7" t="str">
        <f t="shared" si="47"/>
        <v/>
      </c>
      <c r="AP800" s="15" t="str">
        <f t="shared" si="48"/>
        <v/>
      </c>
    </row>
    <row r="801" spans="38:42" ht="15" customHeight="1">
      <c r="AL801" s="7" t="str">
        <f>IF(A801="","",IF(COUNTIF(A801:A$2001,A801)=1,1,0))</f>
        <v/>
      </c>
      <c r="AM801" s="7" t="str">
        <f t="shared" ca="1" si="45"/>
        <v/>
      </c>
      <c r="AN801" s="7" t="str">
        <f t="shared" si="46"/>
        <v/>
      </c>
      <c r="AO801" s="7" t="str">
        <f t="shared" si="47"/>
        <v/>
      </c>
      <c r="AP801" s="15" t="str">
        <f t="shared" si="48"/>
        <v/>
      </c>
    </row>
    <row r="802" spans="38:42" ht="15" customHeight="1">
      <c r="AL802" s="7" t="str">
        <f>IF(A802="","",IF(COUNTIF(A802:A$2001,A802)=1,1,0))</f>
        <v/>
      </c>
      <c r="AM802" s="7" t="str">
        <f t="shared" ca="1" si="45"/>
        <v/>
      </c>
      <c r="AN802" s="7" t="str">
        <f t="shared" si="46"/>
        <v/>
      </c>
      <c r="AO802" s="7" t="str">
        <f t="shared" si="47"/>
        <v/>
      </c>
      <c r="AP802" s="15" t="str">
        <f t="shared" si="48"/>
        <v/>
      </c>
    </row>
    <row r="803" spans="38:42" ht="15" customHeight="1">
      <c r="AL803" s="7" t="str">
        <f>IF(A803="","",IF(COUNTIF(A803:A$2001,A803)=1,1,0))</f>
        <v/>
      </c>
      <c r="AM803" s="7" t="str">
        <f t="shared" ca="1" si="45"/>
        <v/>
      </c>
      <c r="AN803" s="7" t="str">
        <f t="shared" si="46"/>
        <v/>
      </c>
      <c r="AO803" s="7" t="str">
        <f t="shared" si="47"/>
        <v/>
      </c>
      <c r="AP803" s="15" t="str">
        <f t="shared" si="48"/>
        <v/>
      </c>
    </row>
    <row r="804" spans="38:42" ht="15" customHeight="1">
      <c r="AL804" s="7" t="str">
        <f>IF(A804="","",IF(COUNTIF(A804:A$2001,A804)=1,1,0))</f>
        <v/>
      </c>
      <c r="AM804" s="7" t="str">
        <f t="shared" ca="1" si="45"/>
        <v/>
      </c>
      <c r="AN804" s="7" t="str">
        <f t="shared" si="46"/>
        <v/>
      </c>
      <c r="AO804" s="7" t="str">
        <f t="shared" si="47"/>
        <v/>
      </c>
      <c r="AP804" s="15" t="str">
        <f t="shared" si="48"/>
        <v/>
      </c>
    </row>
    <row r="805" spans="38:42" ht="15" customHeight="1">
      <c r="AL805" s="7" t="str">
        <f>IF(A805="","",IF(COUNTIF(A805:A$2001,A805)=1,1,0))</f>
        <v/>
      </c>
      <c r="AM805" s="7" t="str">
        <f t="shared" ca="1" si="45"/>
        <v/>
      </c>
      <c r="AN805" s="7" t="str">
        <f t="shared" si="46"/>
        <v/>
      </c>
      <c r="AO805" s="7" t="str">
        <f t="shared" si="47"/>
        <v/>
      </c>
      <c r="AP805" s="15" t="str">
        <f t="shared" si="48"/>
        <v/>
      </c>
    </row>
    <row r="806" spans="38:42" ht="15" customHeight="1">
      <c r="AL806" s="7" t="str">
        <f>IF(A806="","",IF(COUNTIF(A806:A$2001,A806)=1,1,0))</f>
        <v/>
      </c>
      <c r="AM806" s="7" t="str">
        <f t="shared" ca="1" si="45"/>
        <v/>
      </c>
      <c r="AN806" s="7" t="str">
        <f t="shared" si="46"/>
        <v/>
      </c>
      <c r="AO806" s="7" t="str">
        <f t="shared" si="47"/>
        <v/>
      </c>
      <c r="AP806" s="15" t="str">
        <f t="shared" si="48"/>
        <v/>
      </c>
    </row>
    <row r="807" spans="38:42" ht="15" customHeight="1">
      <c r="AL807" s="7" t="str">
        <f>IF(A807="","",IF(COUNTIF(A807:A$2001,A807)=1,1,0))</f>
        <v/>
      </c>
      <c r="AM807" s="7" t="str">
        <f t="shared" ca="1" si="45"/>
        <v/>
      </c>
      <c r="AN807" s="7" t="str">
        <f t="shared" si="46"/>
        <v/>
      </c>
      <c r="AO807" s="7" t="str">
        <f t="shared" si="47"/>
        <v/>
      </c>
      <c r="AP807" s="15" t="str">
        <f t="shared" si="48"/>
        <v/>
      </c>
    </row>
    <row r="808" spans="38:42" ht="15" customHeight="1">
      <c r="AL808" s="7" t="str">
        <f>IF(A808="","",IF(COUNTIF(A808:A$2001,A808)=1,1,0))</f>
        <v/>
      </c>
      <c r="AM808" s="7" t="str">
        <f t="shared" ca="1" si="45"/>
        <v/>
      </c>
      <c r="AN808" s="7" t="str">
        <f t="shared" si="46"/>
        <v/>
      </c>
      <c r="AO808" s="7" t="str">
        <f t="shared" si="47"/>
        <v/>
      </c>
      <c r="AP808" s="15" t="str">
        <f t="shared" si="48"/>
        <v/>
      </c>
    </row>
    <row r="809" spans="38:42" ht="15" customHeight="1">
      <c r="AL809" s="7" t="str">
        <f>IF(A809="","",IF(COUNTIF(A809:A$2001,A809)=1,1,0))</f>
        <v/>
      </c>
      <c r="AM809" s="7" t="str">
        <f t="shared" ca="1" si="45"/>
        <v/>
      </c>
      <c r="AN809" s="7" t="str">
        <f t="shared" si="46"/>
        <v/>
      </c>
      <c r="AO809" s="7" t="str">
        <f t="shared" si="47"/>
        <v/>
      </c>
      <c r="AP809" s="15" t="str">
        <f t="shared" si="48"/>
        <v/>
      </c>
    </row>
    <row r="810" spans="38:42" ht="15" customHeight="1">
      <c r="AL810" s="7" t="str">
        <f>IF(A810="","",IF(COUNTIF(A810:A$2001,A810)=1,1,0))</f>
        <v/>
      </c>
      <c r="AM810" s="7" t="str">
        <f t="shared" ca="1" si="45"/>
        <v/>
      </c>
      <c r="AN810" s="7" t="str">
        <f t="shared" si="46"/>
        <v/>
      </c>
      <c r="AO810" s="7" t="str">
        <f t="shared" si="47"/>
        <v/>
      </c>
      <c r="AP810" s="15" t="str">
        <f t="shared" si="48"/>
        <v/>
      </c>
    </row>
    <row r="811" spans="38:42" ht="15" customHeight="1">
      <c r="AL811" s="7" t="str">
        <f>IF(A811="","",IF(COUNTIF(A811:A$2001,A811)=1,1,0))</f>
        <v/>
      </c>
      <c r="AM811" s="7" t="str">
        <f t="shared" ca="1" si="45"/>
        <v/>
      </c>
      <c r="AN811" s="7" t="str">
        <f t="shared" si="46"/>
        <v/>
      </c>
      <c r="AO811" s="7" t="str">
        <f t="shared" si="47"/>
        <v/>
      </c>
      <c r="AP811" s="15" t="str">
        <f t="shared" si="48"/>
        <v/>
      </c>
    </row>
    <row r="812" spans="38:42" ht="15" customHeight="1">
      <c r="AL812" s="7" t="str">
        <f>IF(A812="","",IF(COUNTIF(A812:A$2001,A812)=1,1,0))</f>
        <v/>
      </c>
      <c r="AM812" s="7" t="str">
        <f t="shared" ca="1" si="45"/>
        <v/>
      </c>
      <c r="AN812" s="7" t="str">
        <f t="shared" si="46"/>
        <v/>
      </c>
      <c r="AO812" s="7" t="str">
        <f t="shared" si="47"/>
        <v/>
      </c>
      <c r="AP812" s="15" t="str">
        <f t="shared" si="48"/>
        <v/>
      </c>
    </row>
    <row r="813" spans="38:42" ht="15" customHeight="1">
      <c r="AL813" s="7" t="str">
        <f>IF(A813="","",IF(COUNTIF(A813:A$2001,A813)=1,1,0))</f>
        <v/>
      </c>
      <c r="AM813" s="7" t="str">
        <f t="shared" ca="1" si="45"/>
        <v/>
      </c>
      <c r="AN813" s="7" t="str">
        <f t="shared" si="46"/>
        <v/>
      </c>
      <c r="AO813" s="7" t="str">
        <f t="shared" si="47"/>
        <v/>
      </c>
      <c r="AP813" s="15" t="str">
        <f t="shared" si="48"/>
        <v/>
      </c>
    </row>
    <row r="814" spans="38:42" ht="15" customHeight="1">
      <c r="AL814" s="7" t="str">
        <f>IF(A814="","",IF(COUNTIF(A814:A$2001,A814)=1,1,0))</f>
        <v/>
      </c>
      <c r="AM814" s="7" t="str">
        <f t="shared" ca="1" si="45"/>
        <v/>
      </c>
      <c r="AN814" s="7" t="str">
        <f t="shared" si="46"/>
        <v/>
      </c>
      <c r="AO814" s="7" t="str">
        <f t="shared" si="47"/>
        <v/>
      </c>
      <c r="AP814" s="15" t="str">
        <f t="shared" si="48"/>
        <v/>
      </c>
    </row>
    <row r="815" spans="38:42" ht="15" customHeight="1">
      <c r="AL815" s="7" t="str">
        <f>IF(A815="","",IF(COUNTIF(A815:A$2001,A815)=1,1,0))</f>
        <v/>
      </c>
      <c r="AM815" s="7" t="str">
        <f t="shared" ca="1" si="45"/>
        <v/>
      </c>
      <c r="AN815" s="7" t="str">
        <f t="shared" si="46"/>
        <v/>
      </c>
      <c r="AO815" s="7" t="str">
        <f t="shared" si="47"/>
        <v/>
      </c>
      <c r="AP815" s="15" t="str">
        <f t="shared" si="48"/>
        <v/>
      </c>
    </row>
    <row r="816" spans="38:42" ht="15" customHeight="1">
      <c r="AL816" s="7" t="str">
        <f>IF(A816="","",IF(COUNTIF(A816:A$2001,A816)=1,1,0))</f>
        <v/>
      </c>
      <c r="AM816" s="7" t="str">
        <f t="shared" ca="1" si="45"/>
        <v/>
      </c>
      <c r="AN816" s="7" t="str">
        <f t="shared" si="46"/>
        <v/>
      </c>
      <c r="AO816" s="7" t="str">
        <f t="shared" si="47"/>
        <v/>
      </c>
      <c r="AP816" s="15" t="str">
        <f t="shared" si="48"/>
        <v/>
      </c>
    </row>
    <row r="817" spans="38:42" ht="15" customHeight="1">
      <c r="AL817" s="7" t="str">
        <f>IF(A817="","",IF(COUNTIF(A817:A$2001,A817)=1,1,0))</f>
        <v/>
      </c>
      <c r="AM817" s="7" t="str">
        <f t="shared" ca="1" si="45"/>
        <v/>
      </c>
      <c r="AN817" s="7" t="str">
        <f t="shared" si="46"/>
        <v/>
      </c>
      <c r="AO817" s="7" t="str">
        <f t="shared" si="47"/>
        <v/>
      </c>
      <c r="AP817" s="15" t="str">
        <f t="shared" si="48"/>
        <v/>
      </c>
    </row>
    <row r="818" spans="38:42" ht="15" customHeight="1">
      <c r="AL818" s="7" t="str">
        <f>IF(A818="","",IF(COUNTIF(A818:A$2001,A818)=1,1,0))</f>
        <v/>
      </c>
      <c r="AM818" s="7" t="str">
        <f t="shared" ca="1" si="45"/>
        <v/>
      </c>
      <c r="AN818" s="7" t="str">
        <f t="shared" si="46"/>
        <v/>
      </c>
      <c r="AO818" s="7" t="str">
        <f t="shared" si="47"/>
        <v/>
      </c>
      <c r="AP818" s="15" t="str">
        <f t="shared" si="48"/>
        <v/>
      </c>
    </row>
    <row r="819" spans="38:42" ht="15" customHeight="1">
      <c r="AL819" s="7" t="str">
        <f>IF(A819="","",IF(COUNTIF(A819:A$2001,A819)=1,1,0))</f>
        <v/>
      </c>
      <c r="AM819" s="7" t="str">
        <f t="shared" ca="1" si="45"/>
        <v/>
      </c>
      <c r="AN819" s="7" t="str">
        <f t="shared" si="46"/>
        <v/>
      </c>
      <c r="AO819" s="7" t="str">
        <f t="shared" si="47"/>
        <v/>
      </c>
      <c r="AP819" s="15" t="str">
        <f t="shared" si="48"/>
        <v/>
      </c>
    </row>
    <row r="820" spans="38:42" ht="15" customHeight="1">
      <c r="AL820" s="7" t="str">
        <f>IF(A820="","",IF(COUNTIF(A820:A$2001,A820)=1,1,0))</f>
        <v/>
      </c>
      <c r="AM820" s="7" t="str">
        <f t="shared" ca="1" si="45"/>
        <v/>
      </c>
      <c r="AN820" s="7" t="str">
        <f t="shared" si="46"/>
        <v/>
      </c>
      <c r="AO820" s="7" t="str">
        <f t="shared" si="47"/>
        <v/>
      </c>
      <c r="AP820" s="15" t="str">
        <f t="shared" si="48"/>
        <v/>
      </c>
    </row>
    <row r="821" spans="38:42" ht="15" customHeight="1">
      <c r="AL821" s="7" t="str">
        <f>IF(A821="","",IF(COUNTIF(A821:A$2001,A821)=1,1,0))</f>
        <v/>
      </c>
      <c r="AM821" s="7" t="str">
        <f t="shared" ca="1" si="45"/>
        <v/>
      </c>
      <c r="AN821" s="7" t="str">
        <f t="shared" si="46"/>
        <v/>
      </c>
      <c r="AO821" s="7" t="str">
        <f t="shared" si="47"/>
        <v/>
      </c>
      <c r="AP821" s="15" t="str">
        <f t="shared" si="48"/>
        <v/>
      </c>
    </row>
    <row r="822" spans="38:42" ht="15" customHeight="1">
      <c r="AL822" s="7" t="str">
        <f>IF(A822="","",IF(COUNTIF(A822:A$2001,A822)=1,1,0))</f>
        <v/>
      </c>
      <c r="AM822" s="7" t="str">
        <f t="shared" ca="1" si="45"/>
        <v/>
      </c>
      <c r="AN822" s="7" t="str">
        <f t="shared" si="46"/>
        <v/>
      </c>
      <c r="AO822" s="7" t="str">
        <f t="shared" si="47"/>
        <v/>
      </c>
      <c r="AP822" s="15" t="str">
        <f t="shared" si="48"/>
        <v/>
      </c>
    </row>
    <row r="823" spans="38:42" ht="15" customHeight="1">
      <c r="AL823" s="7" t="str">
        <f>IF(A823="","",IF(COUNTIF(A823:A$2001,A823)=1,1,0))</f>
        <v/>
      </c>
      <c r="AM823" s="7" t="str">
        <f t="shared" ca="1" si="45"/>
        <v/>
      </c>
      <c r="AN823" s="7" t="str">
        <f t="shared" si="46"/>
        <v/>
      </c>
      <c r="AO823" s="7" t="str">
        <f t="shared" si="47"/>
        <v/>
      </c>
      <c r="AP823" s="15" t="str">
        <f t="shared" si="48"/>
        <v/>
      </c>
    </row>
    <row r="824" spans="38:42" ht="15" customHeight="1">
      <c r="AL824" s="7" t="str">
        <f>IF(A824="","",IF(COUNTIF(A824:A$2001,A824)=1,1,0))</f>
        <v/>
      </c>
      <c r="AM824" s="7" t="str">
        <f t="shared" ca="1" si="45"/>
        <v/>
      </c>
      <c r="AN824" s="7" t="str">
        <f t="shared" si="46"/>
        <v/>
      </c>
      <c r="AO824" s="7" t="str">
        <f t="shared" si="47"/>
        <v/>
      </c>
      <c r="AP824" s="15" t="str">
        <f t="shared" si="48"/>
        <v/>
      </c>
    </row>
    <row r="825" spans="38:42" ht="15" customHeight="1">
      <c r="AL825" s="7" t="str">
        <f>IF(A825="","",IF(COUNTIF(A825:A$2001,A825)=1,1,0))</f>
        <v/>
      </c>
      <c r="AM825" s="7" t="str">
        <f t="shared" ca="1" si="45"/>
        <v/>
      </c>
      <c r="AN825" s="7" t="str">
        <f t="shared" si="46"/>
        <v/>
      </c>
      <c r="AO825" s="7" t="str">
        <f t="shared" si="47"/>
        <v/>
      </c>
      <c r="AP825" s="15" t="str">
        <f t="shared" si="48"/>
        <v/>
      </c>
    </row>
    <row r="826" spans="38:42" ht="15" customHeight="1">
      <c r="AL826" s="7" t="str">
        <f>IF(A826="","",IF(COUNTIF(A826:A$2001,A826)=1,1,0))</f>
        <v/>
      </c>
      <c r="AM826" s="7" t="str">
        <f t="shared" ca="1" si="45"/>
        <v/>
      </c>
      <c r="AN826" s="7" t="str">
        <f t="shared" si="46"/>
        <v/>
      </c>
      <c r="AO826" s="7" t="str">
        <f t="shared" si="47"/>
        <v/>
      </c>
      <c r="AP826" s="15" t="str">
        <f t="shared" si="48"/>
        <v/>
      </c>
    </row>
    <row r="827" spans="38:42" ht="15" customHeight="1">
      <c r="AL827" s="7" t="str">
        <f>IF(A827="","",IF(COUNTIF(A827:A$2001,A827)=1,1,0))</f>
        <v/>
      </c>
      <c r="AM827" s="7" t="str">
        <f t="shared" ca="1" si="45"/>
        <v/>
      </c>
      <c r="AN827" s="7" t="str">
        <f t="shared" si="46"/>
        <v/>
      </c>
      <c r="AO827" s="7" t="str">
        <f t="shared" si="47"/>
        <v/>
      </c>
      <c r="AP827" s="15" t="str">
        <f t="shared" si="48"/>
        <v/>
      </c>
    </row>
    <row r="828" spans="38:42" ht="15" customHeight="1">
      <c r="AL828" s="7" t="str">
        <f>IF(A828="","",IF(COUNTIF(A828:A$2001,A828)=1,1,0))</f>
        <v/>
      </c>
      <c r="AM828" s="7" t="str">
        <f t="shared" ca="1" si="45"/>
        <v/>
      </c>
      <c r="AN828" s="7" t="str">
        <f t="shared" si="46"/>
        <v/>
      </c>
      <c r="AO828" s="7" t="str">
        <f t="shared" si="47"/>
        <v/>
      </c>
      <c r="AP828" s="15" t="str">
        <f t="shared" si="48"/>
        <v/>
      </c>
    </row>
    <row r="829" spans="38:42" ht="15" customHeight="1">
      <c r="AL829" s="7" t="str">
        <f>IF(A829="","",IF(COUNTIF(A829:A$2001,A829)=1,1,0))</f>
        <v/>
      </c>
      <c r="AM829" s="7" t="str">
        <f t="shared" ca="1" si="45"/>
        <v/>
      </c>
      <c r="AN829" s="7" t="str">
        <f t="shared" si="46"/>
        <v/>
      </c>
      <c r="AO829" s="7" t="str">
        <f t="shared" si="47"/>
        <v/>
      </c>
      <c r="AP829" s="15" t="str">
        <f t="shared" si="48"/>
        <v/>
      </c>
    </row>
    <row r="830" spans="38:42" ht="15" customHeight="1">
      <c r="AL830" s="7" t="str">
        <f>IF(A830="","",IF(COUNTIF(A830:A$2001,A830)=1,1,0))</f>
        <v/>
      </c>
      <c r="AM830" s="7" t="str">
        <f t="shared" ca="1" si="45"/>
        <v/>
      </c>
      <c r="AN830" s="7" t="str">
        <f t="shared" si="46"/>
        <v/>
      </c>
      <c r="AO830" s="7" t="str">
        <f t="shared" si="47"/>
        <v/>
      </c>
      <c r="AP830" s="15" t="str">
        <f t="shared" si="48"/>
        <v/>
      </c>
    </row>
    <row r="831" spans="38:42" ht="15" customHeight="1">
      <c r="AL831" s="7" t="str">
        <f>IF(A831="","",IF(COUNTIF(A831:A$2001,A831)=1,1,0))</f>
        <v/>
      </c>
      <c r="AM831" s="7" t="str">
        <f t="shared" ca="1" si="45"/>
        <v/>
      </c>
      <c r="AN831" s="7" t="str">
        <f t="shared" si="46"/>
        <v/>
      </c>
      <c r="AO831" s="7" t="str">
        <f t="shared" si="47"/>
        <v/>
      </c>
      <c r="AP831" s="15" t="str">
        <f t="shared" si="48"/>
        <v/>
      </c>
    </row>
    <row r="832" spans="38:42" ht="15" customHeight="1">
      <c r="AL832" s="7" t="str">
        <f>IF(A832="","",IF(COUNTIF(A832:A$2001,A832)=1,1,0))</f>
        <v/>
      </c>
      <c r="AM832" s="7" t="str">
        <f t="shared" ca="1" si="45"/>
        <v/>
      </c>
      <c r="AN832" s="7" t="str">
        <f t="shared" si="46"/>
        <v/>
      </c>
      <c r="AO832" s="7" t="str">
        <f t="shared" si="47"/>
        <v/>
      </c>
      <c r="AP832" s="15" t="str">
        <f t="shared" si="48"/>
        <v/>
      </c>
    </row>
    <row r="833" spans="38:42" ht="15" customHeight="1">
      <c r="AL833" s="7" t="str">
        <f>IF(A833="","",IF(COUNTIF(A833:A$2001,A833)=1,1,0))</f>
        <v/>
      </c>
      <c r="AM833" s="7" t="str">
        <f t="shared" ca="1" si="45"/>
        <v/>
      </c>
      <c r="AN833" s="7" t="str">
        <f t="shared" si="46"/>
        <v/>
      </c>
      <c r="AO833" s="7" t="str">
        <f t="shared" si="47"/>
        <v/>
      </c>
      <c r="AP833" s="15" t="str">
        <f t="shared" si="48"/>
        <v/>
      </c>
    </row>
    <row r="834" spans="38:42" ht="15" customHeight="1">
      <c r="AL834" s="7" t="str">
        <f>IF(A834="","",IF(COUNTIF(A834:A$2001,A834)=1,1,0))</f>
        <v/>
      </c>
      <c r="AM834" s="7" t="str">
        <f t="shared" ref="AM834:AM897" ca="1" si="49">IF(I834="","",TODAY()-I834)</f>
        <v/>
      </c>
      <c r="AN834" s="7" t="str">
        <f t="shared" ref="AN834:AN897" si="50">IF(A834="","",IF(AND(E834&lt;&gt;"33 確認済",E834&lt;&gt;"36 送付中"),1,0))</f>
        <v/>
      </c>
      <c r="AO834" s="7" t="str">
        <f t="shared" ref="AO834:AO897" si="51">IF(A834="","",IF(AG834&lt;&gt;"",1,0))</f>
        <v/>
      </c>
      <c r="AP834" s="15" t="str">
        <f t="shared" ref="AP834:AP897" si="52">IF(P834&lt;&gt;"","・添待ち","")&amp;IF(Q834&lt;&gt;"","・住民票","")&amp;IF(R834&lt;&gt;"","・発信","")&amp;IF(S834&lt;&gt;"","・確認事項","")&amp;IF(T834&lt;&gt;"","・管","")&amp;IF(U834&lt;&gt;"","・SV","")&amp;IF(V834&lt;&gt;"","・データ送付待ち","")&amp;IF(W834&lt;&gt;"","・削除","")</f>
        <v/>
      </c>
    </row>
    <row r="835" spans="38:42" ht="15" customHeight="1">
      <c r="AL835" s="7" t="str">
        <f>IF(A835="","",IF(COUNTIF(A835:A$2001,A835)=1,1,0))</f>
        <v/>
      </c>
      <c r="AM835" s="7" t="str">
        <f t="shared" ca="1" si="49"/>
        <v/>
      </c>
      <c r="AN835" s="7" t="str">
        <f t="shared" si="50"/>
        <v/>
      </c>
      <c r="AO835" s="7" t="str">
        <f t="shared" si="51"/>
        <v/>
      </c>
      <c r="AP835" s="15" t="str">
        <f t="shared" si="52"/>
        <v/>
      </c>
    </row>
    <row r="836" spans="38:42" ht="15" customHeight="1">
      <c r="AL836" s="7" t="str">
        <f>IF(A836="","",IF(COUNTIF(A836:A$2001,A836)=1,1,0))</f>
        <v/>
      </c>
      <c r="AM836" s="7" t="str">
        <f t="shared" ca="1" si="49"/>
        <v/>
      </c>
      <c r="AN836" s="7" t="str">
        <f t="shared" si="50"/>
        <v/>
      </c>
      <c r="AO836" s="7" t="str">
        <f t="shared" si="51"/>
        <v/>
      </c>
      <c r="AP836" s="15" t="str">
        <f t="shared" si="52"/>
        <v/>
      </c>
    </row>
    <row r="837" spans="38:42" ht="15" customHeight="1">
      <c r="AL837" s="7" t="str">
        <f>IF(A837="","",IF(COUNTIF(A837:A$2001,A837)=1,1,0))</f>
        <v/>
      </c>
      <c r="AM837" s="7" t="str">
        <f t="shared" ca="1" si="49"/>
        <v/>
      </c>
      <c r="AN837" s="7" t="str">
        <f t="shared" si="50"/>
        <v/>
      </c>
      <c r="AO837" s="7" t="str">
        <f t="shared" si="51"/>
        <v/>
      </c>
      <c r="AP837" s="15" t="str">
        <f t="shared" si="52"/>
        <v/>
      </c>
    </row>
    <row r="838" spans="38:42" ht="15" customHeight="1">
      <c r="AL838" s="7" t="str">
        <f>IF(A838="","",IF(COUNTIF(A838:A$2001,A838)=1,1,0))</f>
        <v/>
      </c>
      <c r="AM838" s="7" t="str">
        <f t="shared" ca="1" si="49"/>
        <v/>
      </c>
      <c r="AN838" s="7" t="str">
        <f t="shared" si="50"/>
        <v/>
      </c>
      <c r="AO838" s="7" t="str">
        <f t="shared" si="51"/>
        <v/>
      </c>
      <c r="AP838" s="15" t="str">
        <f t="shared" si="52"/>
        <v/>
      </c>
    </row>
    <row r="839" spans="38:42" ht="15" customHeight="1">
      <c r="AL839" s="7" t="str">
        <f>IF(A839="","",IF(COUNTIF(A839:A$2001,A839)=1,1,0))</f>
        <v/>
      </c>
      <c r="AM839" s="7" t="str">
        <f t="shared" ca="1" si="49"/>
        <v/>
      </c>
      <c r="AN839" s="7" t="str">
        <f t="shared" si="50"/>
        <v/>
      </c>
      <c r="AO839" s="7" t="str">
        <f t="shared" si="51"/>
        <v/>
      </c>
      <c r="AP839" s="15" t="str">
        <f t="shared" si="52"/>
        <v/>
      </c>
    </row>
    <row r="840" spans="38:42" ht="15" customHeight="1">
      <c r="AL840" s="7" t="str">
        <f>IF(A840="","",IF(COUNTIF(A840:A$2001,A840)=1,1,0))</f>
        <v/>
      </c>
      <c r="AM840" s="7" t="str">
        <f t="shared" ca="1" si="49"/>
        <v/>
      </c>
      <c r="AN840" s="7" t="str">
        <f t="shared" si="50"/>
        <v/>
      </c>
      <c r="AO840" s="7" t="str">
        <f t="shared" si="51"/>
        <v/>
      </c>
      <c r="AP840" s="15" t="str">
        <f t="shared" si="52"/>
        <v/>
      </c>
    </row>
    <row r="841" spans="38:42" ht="15" customHeight="1">
      <c r="AL841" s="7" t="str">
        <f>IF(A841="","",IF(COUNTIF(A841:A$2001,A841)=1,1,0))</f>
        <v/>
      </c>
      <c r="AM841" s="7" t="str">
        <f t="shared" ca="1" si="49"/>
        <v/>
      </c>
      <c r="AN841" s="7" t="str">
        <f t="shared" si="50"/>
        <v/>
      </c>
      <c r="AO841" s="7" t="str">
        <f t="shared" si="51"/>
        <v/>
      </c>
      <c r="AP841" s="15" t="str">
        <f t="shared" si="52"/>
        <v/>
      </c>
    </row>
    <row r="842" spans="38:42" ht="15" customHeight="1">
      <c r="AL842" s="7" t="str">
        <f>IF(A842="","",IF(COUNTIF(A842:A$2001,A842)=1,1,0))</f>
        <v/>
      </c>
      <c r="AM842" s="7" t="str">
        <f t="shared" ca="1" si="49"/>
        <v/>
      </c>
      <c r="AN842" s="7" t="str">
        <f t="shared" si="50"/>
        <v/>
      </c>
      <c r="AO842" s="7" t="str">
        <f t="shared" si="51"/>
        <v/>
      </c>
      <c r="AP842" s="15" t="str">
        <f t="shared" si="52"/>
        <v/>
      </c>
    </row>
    <row r="843" spans="38:42" ht="15" customHeight="1">
      <c r="AL843" s="7" t="str">
        <f>IF(A843="","",IF(COUNTIF(A843:A$2001,A843)=1,1,0))</f>
        <v/>
      </c>
      <c r="AM843" s="7" t="str">
        <f t="shared" ca="1" si="49"/>
        <v/>
      </c>
      <c r="AN843" s="7" t="str">
        <f t="shared" si="50"/>
        <v/>
      </c>
      <c r="AO843" s="7" t="str">
        <f t="shared" si="51"/>
        <v/>
      </c>
      <c r="AP843" s="15" t="str">
        <f t="shared" si="52"/>
        <v/>
      </c>
    </row>
    <row r="844" spans="38:42" ht="15" customHeight="1">
      <c r="AL844" s="7" t="str">
        <f>IF(A844="","",IF(COUNTIF(A844:A$2001,A844)=1,1,0))</f>
        <v/>
      </c>
      <c r="AM844" s="7" t="str">
        <f t="shared" ca="1" si="49"/>
        <v/>
      </c>
      <c r="AN844" s="7" t="str">
        <f t="shared" si="50"/>
        <v/>
      </c>
      <c r="AO844" s="7" t="str">
        <f t="shared" si="51"/>
        <v/>
      </c>
      <c r="AP844" s="15" t="str">
        <f t="shared" si="52"/>
        <v/>
      </c>
    </row>
    <row r="845" spans="38:42" ht="15" customHeight="1">
      <c r="AL845" s="7" t="str">
        <f>IF(A845="","",IF(COUNTIF(A845:A$2001,A845)=1,1,0))</f>
        <v/>
      </c>
      <c r="AM845" s="7" t="str">
        <f t="shared" ca="1" si="49"/>
        <v/>
      </c>
      <c r="AN845" s="7" t="str">
        <f t="shared" si="50"/>
        <v/>
      </c>
      <c r="AO845" s="7" t="str">
        <f t="shared" si="51"/>
        <v/>
      </c>
      <c r="AP845" s="15" t="str">
        <f t="shared" si="52"/>
        <v/>
      </c>
    </row>
    <row r="846" spans="38:42" ht="15" customHeight="1">
      <c r="AL846" s="7" t="str">
        <f>IF(A846="","",IF(COUNTIF(A846:A$2001,A846)=1,1,0))</f>
        <v/>
      </c>
      <c r="AM846" s="7" t="str">
        <f t="shared" ca="1" si="49"/>
        <v/>
      </c>
      <c r="AN846" s="7" t="str">
        <f t="shared" si="50"/>
        <v/>
      </c>
      <c r="AO846" s="7" t="str">
        <f t="shared" si="51"/>
        <v/>
      </c>
      <c r="AP846" s="15" t="str">
        <f t="shared" si="52"/>
        <v/>
      </c>
    </row>
    <row r="847" spans="38:42" ht="15" customHeight="1">
      <c r="AL847" s="7" t="str">
        <f>IF(A847="","",IF(COUNTIF(A847:A$2001,A847)=1,1,0))</f>
        <v/>
      </c>
      <c r="AM847" s="7" t="str">
        <f t="shared" ca="1" si="49"/>
        <v/>
      </c>
      <c r="AN847" s="7" t="str">
        <f t="shared" si="50"/>
        <v/>
      </c>
      <c r="AO847" s="7" t="str">
        <f t="shared" si="51"/>
        <v/>
      </c>
      <c r="AP847" s="15" t="str">
        <f t="shared" si="52"/>
        <v/>
      </c>
    </row>
    <row r="848" spans="38:42" ht="15" customHeight="1">
      <c r="AL848" s="7" t="str">
        <f>IF(A848="","",IF(COUNTIF(A848:A$2001,A848)=1,1,0))</f>
        <v/>
      </c>
      <c r="AM848" s="7" t="str">
        <f t="shared" ca="1" si="49"/>
        <v/>
      </c>
      <c r="AN848" s="7" t="str">
        <f t="shared" si="50"/>
        <v/>
      </c>
      <c r="AO848" s="7" t="str">
        <f t="shared" si="51"/>
        <v/>
      </c>
      <c r="AP848" s="15" t="str">
        <f t="shared" si="52"/>
        <v/>
      </c>
    </row>
    <row r="849" spans="38:42" ht="15" customHeight="1">
      <c r="AL849" s="7" t="str">
        <f>IF(A849="","",IF(COUNTIF(A849:A$2001,A849)=1,1,0))</f>
        <v/>
      </c>
      <c r="AM849" s="7" t="str">
        <f t="shared" ca="1" si="49"/>
        <v/>
      </c>
      <c r="AN849" s="7" t="str">
        <f t="shared" si="50"/>
        <v/>
      </c>
      <c r="AO849" s="7" t="str">
        <f t="shared" si="51"/>
        <v/>
      </c>
      <c r="AP849" s="15" t="str">
        <f t="shared" si="52"/>
        <v/>
      </c>
    </row>
    <row r="850" spans="38:42" ht="15" customHeight="1">
      <c r="AL850" s="7" t="str">
        <f>IF(A850="","",IF(COUNTIF(A850:A$2001,A850)=1,1,0))</f>
        <v/>
      </c>
      <c r="AM850" s="7" t="str">
        <f t="shared" ca="1" si="49"/>
        <v/>
      </c>
      <c r="AN850" s="7" t="str">
        <f t="shared" si="50"/>
        <v/>
      </c>
      <c r="AO850" s="7" t="str">
        <f t="shared" si="51"/>
        <v/>
      </c>
      <c r="AP850" s="15" t="str">
        <f t="shared" si="52"/>
        <v/>
      </c>
    </row>
    <row r="851" spans="38:42" ht="15" customHeight="1">
      <c r="AL851" s="7" t="str">
        <f>IF(A851="","",IF(COUNTIF(A851:A$2001,A851)=1,1,0))</f>
        <v/>
      </c>
      <c r="AM851" s="7" t="str">
        <f t="shared" ca="1" si="49"/>
        <v/>
      </c>
      <c r="AN851" s="7" t="str">
        <f t="shared" si="50"/>
        <v/>
      </c>
      <c r="AO851" s="7" t="str">
        <f t="shared" si="51"/>
        <v/>
      </c>
      <c r="AP851" s="15" t="str">
        <f t="shared" si="52"/>
        <v/>
      </c>
    </row>
    <row r="852" spans="38:42" ht="15" customHeight="1">
      <c r="AL852" s="7" t="str">
        <f>IF(A852="","",IF(COUNTIF(A852:A$2001,A852)=1,1,0))</f>
        <v/>
      </c>
      <c r="AM852" s="7" t="str">
        <f t="shared" ca="1" si="49"/>
        <v/>
      </c>
      <c r="AN852" s="7" t="str">
        <f t="shared" si="50"/>
        <v/>
      </c>
      <c r="AO852" s="7" t="str">
        <f t="shared" si="51"/>
        <v/>
      </c>
      <c r="AP852" s="15" t="str">
        <f t="shared" si="52"/>
        <v/>
      </c>
    </row>
    <row r="853" spans="38:42" ht="15" customHeight="1">
      <c r="AL853" s="7" t="str">
        <f>IF(A853="","",IF(COUNTIF(A853:A$2001,A853)=1,1,0))</f>
        <v/>
      </c>
      <c r="AM853" s="7" t="str">
        <f t="shared" ca="1" si="49"/>
        <v/>
      </c>
      <c r="AN853" s="7" t="str">
        <f t="shared" si="50"/>
        <v/>
      </c>
      <c r="AO853" s="7" t="str">
        <f t="shared" si="51"/>
        <v/>
      </c>
      <c r="AP853" s="15" t="str">
        <f t="shared" si="52"/>
        <v/>
      </c>
    </row>
    <row r="854" spans="38:42" ht="15" customHeight="1">
      <c r="AL854" s="7" t="str">
        <f>IF(A854="","",IF(COUNTIF(A854:A$2001,A854)=1,1,0))</f>
        <v/>
      </c>
      <c r="AM854" s="7" t="str">
        <f t="shared" ca="1" si="49"/>
        <v/>
      </c>
      <c r="AN854" s="7" t="str">
        <f t="shared" si="50"/>
        <v/>
      </c>
      <c r="AO854" s="7" t="str">
        <f t="shared" si="51"/>
        <v/>
      </c>
      <c r="AP854" s="15" t="str">
        <f t="shared" si="52"/>
        <v/>
      </c>
    </row>
    <row r="855" spans="38:42" ht="15" customHeight="1">
      <c r="AL855" s="7" t="str">
        <f>IF(A855="","",IF(COUNTIF(A855:A$2001,A855)=1,1,0))</f>
        <v/>
      </c>
      <c r="AM855" s="7" t="str">
        <f t="shared" ca="1" si="49"/>
        <v/>
      </c>
      <c r="AN855" s="7" t="str">
        <f t="shared" si="50"/>
        <v/>
      </c>
      <c r="AO855" s="7" t="str">
        <f t="shared" si="51"/>
        <v/>
      </c>
      <c r="AP855" s="15" t="str">
        <f t="shared" si="52"/>
        <v/>
      </c>
    </row>
    <row r="856" spans="38:42" ht="15" customHeight="1">
      <c r="AL856" s="7" t="str">
        <f>IF(A856="","",IF(COUNTIF(A856:A$2001,A856)=1,1,0))</f>
        <v/>
      </c>
      <c r="AM856" s="7" t="str">
        <f t="shared" ca="1" si="49"/>
        <v/>
      </c>
      <c r="AN856" s="7" t="str">
        <f t="shared" si="50"/>
        <v/>
      </c>
      <c r="AO856" s="7" t="str">
        <f t="shared" si="51"/>
        <v/>
      </c>
      <c r="AP856" s="15" t="str">
        <f t="shared" si="52"/>
        <v/>
      </c>
    </row>
    <row r="857" spans="38:42" ht="15" customHeight="1">
      <c r="AL857" s="7" t="str">
        <f>IF(A857="","",IF(COUNTIF(A857:A$2001,A857)=1,1,0))</f>
        <v/>
      </c>
      <c r="AM857" s="7" t="str">
        <f t="shared" ca="1" si="49"/>
        <v/>
      </c>
      <c r="AN857" s="7" t="str">
        <f t="shared" si="50"/>
        <v/>
      </c>
      <c r="AO857" s="7" t="str">
        <f t="shared" si="51"/>
        <v/>
      </c>
      <c r="AP857" s="15" t="str">
        <f t="shared" si="52"/>
        <v/>
      </c>
    </row>
    <row r="858" spans="38:42" ht="15" customHeight="1">
      <c r="AL858" s="7" t="str">
        <f>IF(A858="","",IF(COUNTIF(A858:A$2001,A858)=1,1,0))</f>
        <v/>
      </c>
      <c r="AM858" s="7" t="str">
        <f t="shared" ca="1" si="49"/>
        <v/>
      </c>
      <c r="AN858" s="7" t="str">
        <f t="shared" si="50"/>
        <v/>
      </c>
      <c r="AO858" s="7" t="str">
        <f t="shared" si="51"/>
        <v/>
      </c>
      <c r="AP858" s="15" t="str">
        <f t="shared" si="52"/>
        <v/>
      </c>
    </row>
    <row r="859" spans="38:42" ht="15" customHeight="1">
      <c r="AL859" s="7" t="str">
        <f>IF(A859="","",IF(COUNTIF(A859:A$2001,A859)=1,1,0))</f>
        <v/>
      </c>
      <c r="AM859" s="7" t="str">
        <f t="shared" ca="1" si="49"/>
        <v/>
      </c>
      <c r="AN859" s="7" t="str">
        <f t="shared" si="50"/>
        <v/>
      </c>
      <c r="AO859" s="7" t="str">
        <f t="shared" si="51"/>
        <v/>
      </c>
      <c r="AP859" s="15" t="str">
        <f t="shared" si="52"/>
        <v/>
      </c>
    </row>
    <row r="860" spans="38:42" ht="15" customHeight="1">
      <c r="AL860" s="7" t="str">
        <f>IF(A860="","",IF(COUNTIF(A860:A$2001,A860)=1,1,0))</f>
        <v/>
      </c>
      <c r="AM860" s="7" t="str">
        <f t="shared" ca="1" si="49"/>
        <v/>
      </c>
      <c r="AN860" s="7" t="str">
        <f t="shared" si="50"/>
        <v/>
      </c>
      <c r="AO860" s="7" t="str">
        <f t="shared" si="51"/>
        <v/>
      </c>
      <c r="AP860" s="15" t="str">
        <f t="shared" si="52"/>
        <v/>
      </c>
    </row>
    <row r="861" spans="38:42" ht="15" customHeight="1">
      <c r="AL861" s="7" t="str">
        <f>IF(A861="","",IF(COUNTIF(A861:A$2001,A861)=1,1,0))</f>
        <v/>
      </c>
      <c r="AM861" s="7" t="str">
        <f t="shared" ca="1" si="49"/>
        <v/>
      </c>
      <c r="AN861" s="7" t="str">
        <f t="shared" si="50"/>
        <v/>
      </c>
      <c r="AO861" s="7" t="str">
        <f t="shared" si="51"/>
        <v/>
      </c>
      <c r="AP861" s="15" t="str">
        <f t="shared" si="52"/>
        <v/>
      </c>
    </row>
    <row r="862" spans="38:42" ht="15" customHeight="1">
      <c r="AL862" s="7" t="str">
        <f>IF(A862="","",IF(COUNTIF(A862:A$2001,A862)=1,1,0))</f>
        <v/>
      </c>
      <c r="AM862" s="7" t="str">
        <f t="shared" ca="1" si="49"/>
        <v/>
      </c>
      <c r="AN862" s="7" t="str">
        <f t="shared" si="50"/>
        <v/>
      </c>
      <c r="AO862" s="7" t="str">
        <f t="shared" si="51"/>
        <v/>
      </c>
      <c r="AP862" s="15" t="str">
        <f t="shared" si="52"/>
        <v/>
      </c>
    </row>
    <row r="863" spans="38:42" ht="15" customHeight="1">
      <c r="AL863" s="7" t="str">
        <f>IF(A863="","",IF(COUNTIF(A863:A$2001,A863)=1,1,0))</f>
        <v/>
      </c>
      <c r="AM863" s="7" t="str">
        <f t="shared" ca="1" si="49"/>
        <v/>
      </c>
      <c r="AN863" s="7" t="str">
        <f t="shared" si="50"/>
        <v/>
      </c>
      <c r="AO863" s="7" t="str">
        <f t="shared" si="51"/>
        <v/>
      </c>
      <c r="AP863" s="15" t="str">
        <f t="shared" si="52"/>
        <v/>
      </c>
    </row>
    <row r="864" spans="38:42" ht="15" customHeight="1">
      <c r="AL864" s="7" t="str">
        <f>IF(A864="","",IF(COUNTIF(A864:A$2001,A864)=1,1,0))</f>
        <v/>
      </c>
      <c r="AM864" s="7" t="str">
        <f t="shared" ca="1" si="49"/>
        <v/>
      </c>
      <c r="AN864" s="7" t="str">
        <f t="shared" si="50"/>
        <v/>
      </c>
      <c r="AO864" s="7" t="str">
        <f t="shared" si="51"/>
        <v/>
      </c>
      <c r="AP864" s="15" t="str">
        <f t="shared" si="52"/>
        <v/>
      </c>
    </row>
    <row r="865" spans="38:42" ht="15" customHeight="1">
      <c r="AL865" s="7" t="str">
        <f>IF(A865="","",IF(COUNTIF(A865:A$2001,A865)=1,1,0))</f>
        <v/>
      </c>
      <c r="AM865" s="7" t="str">
        <f t="shared" ca="1" si="49"/>
        <v/>
      </c>
      <c r="AN865" s="7" t="str">
        <f t="shared" si="50"/>
        <v/>
      </c>
      <c r="AO865" s="7" t="str">
        <f t="shared" si="51"/>
        <v/>
      </c>
      <c r="AP865" s="15" t="str">
        <f t="shared" si="52"/>
        <v/>
      </c>
    </row>
    <row r="866" spans="38:42" ht="15" customHeight="1">
      <c r="AL866" s="7" t="str">
        <f>IF(A866="","",IF(COUNTIF(A866:A$2001,A866)=1,1,0))</f>
        <v/>
      </c>
      <c r="AM866" s="7" t="str">
        <f t="shared" ca="1" si="49"/>
        <v/>
      </c>
      <c r="AN866" s="7" t="str">
        <f t="shared" si="50"/>
        <v/>
      </c>
      <c r="AO866" s="7" t="str">
        <f t="shared" si="51"/>
        <v/>
      </c>
      <c r="AP866" s="15" t="str">
        <f t="shared" si="52"/>
        <v/>
      </c>
    </row>
    <row r="867" spans="38:42" ht="15" customHeight="1">
      <c r="AL867" s="7" t="str">
        <f>IF(A867="","",IF(COUNTIF(A867:A$2001,A867)=1,1,0))</f>
        <v/>
      </c>
      <c r="AM867" s="7" t="str">
        <f t="shared" ca="1" si="49"/>
        <v/>
      </c>
      <c r="AN867" s="7" t="str">
        <f t="shared" si="50"/>
        <v/>
      </c>
      <c r="AO867" s="7" t="str">
        <f t="shared" si="51"/>
        <v/>
      </c>
      <c r="AP867" s="15" t="str">
        <f t="shared" si="52"/>
        <v/>
      </c>
    </row>
    <row r="868" spans="38:42" ht="15" customHeight="1">
      <c r="AL868" s="7" t="str">
        <f>IF(A868="","",IF(COUNTIF(A868:A$2001,A868)=1,1,0))</f>
        <v/>
      </c>
      <c r="AM868" s="7" t="str">
        <f t="shared" ca="1" si="49"/>
        <v/>
      </c>
      <c r="AN868" s="7" t="str">
        <f t="shared" si="50"/>
        <v/>
      </c>
      <c r="AO868" s="7" t="str">
        <f t="shared" si="51"/>
        <v/>
      </c>
      <c r="AP868" s="15" t="str">
        <f t="shared" si="52"/>
        <v/>
      </c>
    </row>
    <row r="869" spans="38:42" ht="15" customHeight="1">
      <c r="AL869" s="7" t="str">
        <f>IF(A869="","",IF(COUNTIF(A869:A$2001,A869)=1,1,0))</f>
        <v/>
      </c>
      <c r="AM869" s="7" t="str">
        <f t="shared" ca="1" si="49"/>
        <v/>
      </c>
      <c r="AN869" s="7" t="str">
        <f t="shared" si="50"/>
        <v/>
      </c>
      <c r="AO869" s="7" t="str">
        <f t="shared" si="51"/>
        <v/>
      </c>
      <c r="AP869" s="15" t="str">
        <f t="shared" si="52"/>
        <v/>
      </c>
    </row>
    <row r="870" spans="38:42" ht="15" customHeight="1">
      <c r="AL870" s="7" t="str">
        <f>IF(A870="","",IF(COUNTIF(A870:A$2001,A870)=1,1,0))</f>
        <v/>
      </c>
      <c r="AM870" s="7" t="str">
        <f t="shared" ca="1" si="49"/>
        <v/>
      </c>
      <c r="AN870" s="7" t="str">
        <f t="shared" si="50"/>
        <v/>
      </c>
      <c r="AO870" s="7" t="str">
        <f t="shared" si="51"/>
        <v/>
      </c>
      <c r="AP870" s="15" t="str">
        <f t="shared" si="52"/>
        <v/>
      </c>
    </row>
    <row r="871" spans="38:42" ht="15" customHeight="1">
      <c r="AL871" s="7" t="str">
        <f>IF(A871="","",IF(COUNTIF(A871:A$2001,A871)=1,1,0))</f>
        <v/>
      </c>
      <c r="AM871" s="7" t="str">
        <f t="shared" ca="1" si="49"/>
        <v/>
      </c>
      <c r="AN871" s="7" t="str">
        <f t="shared" si="50"/>
        <v/>
      </c>
      <c r="AO871" s="7" t="str">
        <f t="shared" si="51"/>
        <v/>
      </c>
      <c r="AP871" s="15" t="str">
        <f t="shared" si="52"/>
        <v/>
      </c>
    </row>
    <row r="872" spans="38:42" ht="15" customHeight="1">
      <c r="AL872" s="7" t="str">
        <f>IF(A872="","",IF(COUNTIF(A872:A$2001,A872)=1,1,0))</f>
        <v/>
      </c>
      <c r="AM872" s="7" t="str">
        <f t="shared" ca="1" si="49"/>
        <v/>
      </c>
      <c r="AN872" s="7" t="str">
        <f t="shared" si="50"/>
        <v/>
      </c>
      <c r="AO872" s="7" t="str">
        <f t="shared" si="51"/>
        <v/>
      </c>
      <c r="AP872" s="15" t="str">
        <f t="shared" si="52"/>
        <v/>
      </c>
    </row>
    <row r="873" spans="38:42" ht="15" customHeight="1">
      <c r="AL873" s="7" t="str">
        <f>IF(A873="","",IF(COUNTIF(A873:A$2001,A873)=1,1,0))</f>
        <v/>
      </c>
      <c r="AM873" s="7" t="str">
        <f t="shared" ca="1" si="49"/>
        <v/>
      </c>
      <c r="AN873" s="7" t="str">
        <f t="shared" si="50"/>
        <v/>
      </c>
      <c r="AO873" s="7" t="str">
        <f t="shared" si="51"/>
        <v/>
      </c>
      <c r="AP873" s="15" t="str">
        <f t="shared" si="52"/>
        <v/>
      </c>
    </row>
    <row r="874" spans="38:42" ht="15" customHeight="1">
      <c r="AL874" s="7" t="str">
        <f>IF(A874="","",IF(COUNTIF(A874:A$2001,A874)=1,1,0))</f>
        <v/>
      </c>
      <c r="AM874" s="7" t="str">
        <f t="shared" ca="1" si="49"/>
        <v/>
      </c>
      <c r="AN874" s="7" t="str">
        <f t="shared" si="50"/>
        <v/>
      </c>
      <c r="AO874" s="7" t="str">
        <f t="shared" si="51"/>
        <v/>
      </c>
      <c r="AP874" s="15" t="str">
        <f t="shared" si="52"/>
        <v/>
      </c>
    </row>
    <row r="875" spans="38:42" ht="15" customHeight="1">
      <c r="AL875" s="7" t="str">
        <f>IF(A875="","",IF(COUNTIF(A875:A$2001,A875)=1,1,0))</f>
        <v/>
      </c>
      <c r="AM875" s="7" t="str">
        <f t="shared" ca="1" si="49"/>
        <v/>
      </c>
      <c r="AN875" s="7" t="str">
        <f t="shared" si="50"/>
        <v/>
      </c>
      <c r="AO875" s="7" t="str">
        <f t="shared" si="51"/>
        <v/>
      </c>
      <c r="AP875" s="15" t="str">
        <f t="shared" si="52"/>
        <v/>
      </c>
    </row>
    <row r="876" spans="38:42" ht="15" customHeight="1">
      <c r="AL876" s="7" t="str">
        <f>IF(A876="","",IF(COUNTIF(A876:A$2001,A876)=1,1,0))</f>
        <v/>
      </c>
      <c r="AM876" s="7" t="str">
        <f t="shared" ca="1" si="49"/>
        <v/>
      </c>
      <c r="AN876" s="7" t="str">
        <f t="shared" si="50"/>
        <v/>
      </c>
      <c r="AO876" s="7" t="str">
        <f t="shared" si="51"/>
        <v/>
      </c>
      <c r="AP876" s="15" t="str">
        <f t="shared" si="52"/>
        <v/>
      </c>
    </row>
    <row r="877" spans="38:42" ht="15" customHeight="1">
      <c r="AL877" s="7" t="str">
        <f>IF(A877="","",IF(COUNTIF(A877:A$2001,A877)=1,1,0))</f>
        <v/>
      </c>
      <c r="AM877" s="7" t="str">
        <f t="shared" ca="1" si="49"/>
        <v/>
      </c>
      <c r="AN877" s="7" t="str">
        <f t="shared" si="50"/>
        <v/>
      </c>
      <c r="AO877" s="7" t="str">
        <f t="shared" si="51"/>
        <v/>
      </c>
      <c r="AP877" s="15" t="str">
        <f t="shared" si="52"/>
        <v/>
      </c>
    </row>
    <row r="878" spans="38:42" ht="15" customHeight="1">
      <c r="AL878" s="7" t="str">
        <f>IF(A878="","",IF(COUNTIF(A878:A$2001,A878)=1,1,0))</f>
        <v/>
      </c>
      <c r="AM878" s="7" t="str">
        <f t="shared" ca="1" si="49"/>
        <v/>
      </c>
      <c r="AN878" s="7" t="str">
        <f t="shared" si="50"/>
        <v/>
      </c>
      <c r="AO878" s="7" t="str">
        <f t="shared" si="51"/>
        <v/>
      </c>
      <c r="AP878" s="15" t="str">
        <f t="shared" si="52"/>
        <v/>
      </c>
    </row>
    <row r="879" spans="38:42" ht="15" customHeight="1">
      <c r="AL879" s="7" t="str">
        <f>IF(A879="","",IF(COUNTIF(A879:A$2001,A879)=1,1,0))</f>
        <v/>
      </c>
      <c r="AM879" s="7" t="str">
        <f t="shared" ca="1" si="49"/>
        <v/>
      </c>
      <c r="AN879" s="7" t="str">
        <f t="shared" si="50"/>
        <v/>
      </c>
      <c r="AO879" s="7" t="str">
        <f t="shared" si="51"/>
        <v/>
      </c>
      <c r="AP879" s="15" t="str">
        <f t="shared" si="52"/>
        <v/>
      </c>
    </row>
    <row r="880" spans="38:42" ht="15" customHeight="1">
      <c r="AL880" s="7" t="str">
        <f>IF(A880="","",IF(COUNTIF(A880:A$2001,A880)=1,1,0))</f>
        <v/>
      </c>
      <c r="AM880" s="7" t="str">
        <f t="shared" ca="1" si="49"/>
        <v/>
      </c>
      <c r="AN880" s="7" t="str">
        <f t="shared" si="50"/>
        <v/>
      </c>
      <c r="AO880" s="7" t="str">
        <f t="shared" si="51"/>
        <v/>
      </c>
      <c r="AP880" s="15" t="str">
        <f t="shared" si="52"/>
        <v/>
      </c>
    </row>
    <row r="881" spans="38:42" ht="15" customHeight="1">
      <c r="AL881" s="7" t="str">
        <f>IF(A881="","",IF(COUNTIF(A881:A$2001,A881)=1,1,0))</f>
        <v/>
      </c>
      <c r="AM881" s="7" t="str">
        <f t="shared" ca="1" si="49"/>
        <v/>
      </c>
      <c r="AN881" s="7" t="str">
        <f t="shared" si="50"/>
        <v/>
      </c>
      <c r="AO881" s="7" t="str">
        <f t="shared" si="51"/>
        <v/>
      </c>
      <c r="AP881" s="15" t="str">
        <f t="shared" si="52"/>
        <v/>
      </c>
    </row>
    <row r="882" spans="38:42" ht="15" customHeight="1">
      <c r="AL882" s="7" t="str">
        <f>IF(A882="","",IF(COUNTIF(A882:A$2001,A882)=1,1,0))</f>
        <v/>
      </c>
      <c r="AM882" s="7" t="str">
        <f t="shared" ca="1" si="49"/>
        <v/>
      </c>
      <c r="AN882" s="7" t="str">
        <f t="shared" si="50"/>
        <v/>
      </c>
      <c r="AO882" s="7" t="str">
        <f t="shared" si="51"/>
        <v/>
      </c>
      <c r="AP882" s="15" t="str">
        <f t="shared" si="52"/>
        <v/>
      </c>
    </row>
    <row r="883" spans="38:42" ht="15" customHeight="1">
      <c r="AL883" s="7" t="str">
        <f>IF(A883="","",IF(COUNTIF(A883:A$2001,A883)=1,1,0))</f>
        <v/>
      </c>
      <c r="AM883" s="7" t="str">
        <f t="shared" ca="1" si="49"/>
        <v/>
      </c>
      <c r="AN883" s="7" t="str">
        <f t="shared" si="50"/>
        <v/>
      </c>
      <c r="AO883" s="7" t="str">
        <f t="shared" si="51"/>
        <v/>
      </c>
      <c r="AP883" s="15" t="str">
        <f t="shared" si="52"/>
        <v/>
      </c>
    </row>
    <row r="884" spans="38:42" ht="15" customHeight="1">
      <c r="AL884" s="7" t="str">
        <f>IF(A884="","",IF(COUNTIF(A884:A$2001,A884)=1,1,0))</f>
        <v/>
      </c>
      <c r="AM884" s="7" t="str">
        <f t="shared" ca="1" si="49"/>
        <v/>
      </c>
      <c r="AN884" s="7" t="str">
        <f t="shared" si="50"/>
        <v/>
      </c>
      <c r="AO884" s="7" t="str">
        <f t="shared" si="51"/>
        <v/>
      </c>
      <c r="AP884" s="15" t="str">
        <f t="shared" si="52"/>
        <v/>
      </c>
    </row>
    <row r="885" spans="38:42" ht="15" customHeight="1">
      <c r="AL885" s="7" t="str">
        <f>IF(A885="","",IF(COUNTIF(A885:A$2001,A885)=1,1,0))</f>
        <v/>
      </c>
      <c r="AM885" s="7" t="str">
        <f t="shared" ca="1" si="49"/>
        <v/>
      </c>
      <c r="AN885" s="7" t="str">
        <f t="shared" si="50"/>
        <v/>
      </c>
      <c r="AO885" s="7" t="str">
        <f t="shared" si="51"/>
        <v/>
      </c>
      <c r="AP885" s="15" t="str">
        <f t="shared" si="52"/>
        <v/>
      </c>
    </row>
    <row r="886" spans="38:42" ht="15" customHeight="1">
      <c r="AL886" s="7" t="str">
        <f>IF(A886="","",IF(COUNTIF(A886:A$2001,A886)=1,1,0))</f>
        <v/>
      </c>
      <c r="AM886" s="7" t="str">
        <f t="shared" ca="1" si="49"/>
        <v/>
      </c>
      <c r="AN886" s="7" t="str">
        <f t="shared" si="50"/>
        <v/>
      </c>
      <c r="AO886" s="7" t="str">
        <f t="shared" si="51"/>
        <v/>
      </c>
      <c r="AP886" s="15" t="str">
        <f t="shared" si="52"/>
        <v/>
      </c>
    </row>
    <row r="887" spans="38:42" ht="15" customHeight="1">
      <c r="AL887" s="7" t="str">
        <f>IF(A887="","",IF(COUNTIF(A887:A$2001,A887)=1,1,0))</f>
        <v/>
      </c>
      <c r="AM887" s="7" t="str">
        <f t="shared" ca="1" si="49"/>
        <v/>
      </c>
      <c r="AN887" s="7" t="str">
        <f t="shared" si="50"/>
        <v/>
      </c>
      <c r="AO887" s="7" t="str">
        <f t="shared" si="51"/>
        <v/>
      </c>
      <c r="AP887" s="15" t="str">
        <f t="shared" si="52"/>
        <v/>
      </c>
    </row>
    <row r="888" spans="38:42" ht="15" customHeight="1">
      <c r="AL888" s="7" t="str">
        <f>IF(A888="","",IF(COUNTIF(A888:A$2001,A888)=1,1,0))</f>
        <v/>
      </c>
      <c r="AM888" s="7" t="str">
        <f t="shared" ca="1" si="49"/>
        <v/>
      </c>
      <c r="AN888" s="7" t="str">
        <f t="shared" si="50"/>
        <v/>
      </c>
      <c r="AO888" s="7" t="str">
        <f t="shared" si="51"/>
        <v/>
      </c>
      <c r="AP888" s="15" t="str">
        <f t="shared" si="52"/>
        <v/>
      </c>
    </row>
    <row r="889" spans="38:42" ht="15" customHeight="1">
      <c r="AL889" s="7" t="str">
        <f>IF(A889="","",IF(COUNTIF(A889:A$2001,A889)=1,1,0))</f>
        <v/>
      </c>
      <c r="AM889" s="7" t="str">
        <f t="shared" ca="1" si="49"/>
        <v/>
      </c>
      <c r="AN889" s="7" t="str">
        <f t="shared" si="50"/>
        <v/>
      </c>
      <c r="AO889" s="7" t="str">
        <f t="shared" si="51"/>
        <v/>
      </c>
      <c r="AP889" s="15" t="str">
        <f t="shared" si="52"/>
        <v/>
      </c>
    </row>
    <row r="890" spans="38:42" ht="15" customHeight="1">
      <c r="AL890" s="7" t="str">
        <f>IF(A890="","",IF(COUNTIF(A890:A$2001,A890)=1,1,0))</f>
        <v/>
      </c>
      <c r="AM890" s="7" t="str">
        <f t="shared" ca="1" si="49"/>
        <v/>
      </c>
      <c r="AN890" s="7" t="str">
        <f t="shared" si="50"/>
        <v/>
      </c>
      <c r="AO890" s="7" t="str">
        <f t="shared" si="51"/>
        <v/>
      </c>
      <c r="AP890" s="15" t="str">
        <f t="shared" si="52"/>
        <v/>
      </c>
    </row>
    <row r="891" spans="38:42" ht="15" customHeight="1">
      <c r="AL891" s="7" t="str">
        <f>IF(A891="","",IF(COUNTIF(A891:A$2001,A891)=1,1,0))</f>
        <v/>
      </c>
      <c r="AM891" s="7" t="str">
        <f t="shared" ca="1" si="49"/>
        <v/>
      </c>
      <c r="AN891" s="7" t="str">
        <f t="shared" si="50"/>
        <v/>
      </c>
      <c r="AO891" s="7" t="str">
        <f t="shared" si="51"/>
        <v/>
      </c>
      <c r="AP891" s="15" t="str">
        <f t="shared" si="52"/>
        <v/>
      </c>
    </row>
    <row r="892" spans="38:42" ht="15" customHeight="1">
      <c r="AL892" s="7" t="str">
        <f>IF(A892="","",IF(COUNTIF(A892:A$2001,A892)=1,1,0))</f>
        <v/>
      </c>
      <c r="AM892" s="7" t="str">
        <f t="shared" ca="1" si="49"/>
        <v/>
      </c>
      <c r="AN892" s="7" t="str">
        <f t="shared" si="50"/>
        <v/>
      </c>
      <c r="AO892" s="7" t="str">
        <f t="shared" si="51"/>
        <v/>
      </c>
      <c r="AP892" s="15" t="str">
        <f t="shared" si="52"/>
        <v/>
      </c>
    </row>
    <row r="893" spans="38:42" ht="15" customHeight="1">
      <c r="AL893" s="7" t="str">
        <f>IF(A893="","",IF(COUNTIF(A893:A$2001,A893)=1,1,0))</f>
        <v/>
      </c>
      <c r="AM893" s="7" t="str">
        <f t="shared" ca="1" si="49"/>
        <v/>
      </c>
      <c r="AN893" s="7" t="str">
        <f t="shared" si="50"/>
        <v/>
      </c>
      <c r="AO893" s="7" t="str">
        <f t="shared" si="51"/>
        <v/>
      </c>
      <c r="AP893" s="15" t="str">
        <f t="shared" si="52"/>
        <v/>
      </c>
    </row>
    <row r="894" spans="38:42" ht="15" customHeight="1">
      <c r="AL894" s="7" t="str">
        <f>IF(A894="","",IF(COUNTIF(A894:A$2001,A894)=1,1,0))</f>
        <v/>
      </c>
      <c r="AM894" s="7" t="str">
        <f t="shared" ca="1" si="49"/>
        <v/>
      </c>
      <c r="AN894" s="7" t="str">
        <f t="shared" si="50"/>
        <v/>
      </c>
      <c r="AO894" s="7" t="str">
        <f t="shared" si="51"/>
        <v/>
      </c>
      <c r="AP894" s="15" t="str">
        <f t="shared" si="52"/>
        <v/>
      </c>
    </row>
    <row r="895" spans="38:42" ht="15" customHeight="1">
      <c r="AL895" s="7" t="str">
        <f>IF(A895="","",IF(COUNTIF(A895:A$2001,A895)=1,1,0))</f>
        <v/>
      </c>
      <c r="AM895" s="7" t="str">
        <f t="shared" ca="1" si="49"/>
        <v/>
      </c>
      <c r="AN895" s="7" t="str">
        <f t="shared" si="50"/>
        <v/>
      </c>
      <c r="AO895" s="7" t="str">
        <f t="shared" si="51"/>
        <v/>
      </c>
      <c r="AP895" s="15" t="str">
        <f t="shared" si="52"/>
        <v/>
      </c>
    </row>
    <row r="896" spans="38:42" ht="15" customHeight="1">
      <c r="AL896" s="7" t="str">
        <f>IF(A896="","",IF(COUNTIF(A896:A$2001,A896)=1,1,0))</f>
        <v/>
      </c>
      <c r="AM896" s="7" t="str">
        <f t="shared" ca="1" si="49"/>
        <v/>
      </c>
      <c r="AN896" s="7" t="str">
        <f t="shared" si="50"/>
        <v/>
      </c>
      <c r="AO896" s="7" t="str">
        <f t="shared" si="51"/>
        <v/>
      </c>
      <c r="AP896" s="15" t="str">
        <f t="shared" si="52"/>
        <v/>
      </c>
    </row>
    <row r="897" spans="38:42" ht="15" customHeight="1">
      <c r="AL897" s="7" t="str">
        <f>IF(A897="","",IF(COUNTIF(A897:A$2001,A897)=1,1,0))</f>
        <v/>
      </c>
      <c r="AM897" s="7" t="str">
        <f t="shared" ca="1" si="49"/>
        <v/>
      </c>
      <c r="AN897" s="7" t="str">
        <f t="shared" si="50"/>
        <v/>
      </c>
      <c r="AO897" s="7" t="str">
        <f t="shared" si="51"/>
        <v/>
      </c>
      <c r="AP897" s="15" t="str">
        <f t="shared" si="52"/>
        <v/>
      </c>
    </row>
    <row r="898" spans="38:42" ht="15" customHeight="1">
      <c r="AL898" s="7" t="str">
        <f>IF(A898="","",IF(COUNTIF(A898:A$2001,A898)=1,1,0))</f>
        <v/>
      </c>
      <c r="AM898" s="7" t="str">
        <f t="shared" ref="AM898:AM961" ca="1" si="53">IF(I898="","",TODAY()-I898)</f>
        <v/>
      </c>
      <c r="AN898" s="7" t="str">
        <f t="shared" ref="AN898:AN961" si="54">IF(A898="","",IF(AND(E898&lt;&gt;"33 確認済",E898&lt;&gt;"36 送付中"),1,0))</f>
        <v/>
      </c>
      <c r="AO898" s="7" t="str">
        <f t="shared" ref="AO898:AO961" si="55">IF(A898="","",IF(AG898&lt;&gt;"",1,0))</f>
        <v/>
      </c>
      <c r="AP898" s="15" t="str">
        <f t="shared" ref="AP898:AP961" si="56">IF(P898&lt;&gt;"","・添待ち","")&amp;IF(Q898&lt;&gt;"","・住民票","")&amp;IF(R898&lt;&gt;"","・発信","")&amp;IF(S898&lt;&gt;"","・確認事項","")&amp;IF(T898&lt;&gt;"","・管","")&amp;IF(U898&lt;&gt;"","・SV","")&amp;IF(V898&lt;&gt;"","・データ送付待ち","")&amp;IF(W898&lt;&gt;"","・削除","")</f>
        <v/>
      </c>
    </row>
    <row r="899" spans="38:42" ht="15" customHeight="1">
      <c r="AL899" s="7" t="str">
        <f>IF(A899="","",IF(COUNTIF(A899:A$2001,A899)=1,1,0))</f>
        <v/>
      </c>
      <c r="AM899" s="7" t="str">
        <f t="shared" ca="1" si="53"/>
        <v/>
      </c>
      <c r="AN899" s="7" t="str">
        <f t="shared" si="54"/>
        <v/>
      </c>
      <c r="AO899" s="7" t="str">
        <f t="shared" si="55"/>
        <v/>
      </c>
      <c r="AP899" s="15" t="str">
        <f t="shared" si="56"/>
        <v/>
      </c>
    </row>
    <row r="900" spans="38:42" ht="15" customHeight="1">
      <c r="AL900" s="7" t="str">
        <f>IF(A900="","",IF(COUNTIF(A900:A$2001,A900)=1,1,0))</f>
        <v/>
      </c>
      <c r="AM900" s="7" t="str">
        <f t="shared" ca="1" si="53"/>
        <v/>
      </c>
      <c r="AN900" s="7" t="str">
        <f t="shared" si="54"/>
        <v/>
      </c>
      <c r="AO900" s="7" t="str">
        <f t="shared" si="55"/>
        <v/>
      </c>
      <c r="AP900" s="15" t="str">
        <f t="shared" si="56"/>
        <v/>
      </c>
    </row>
    <row r="901" spans="38:42" ht="15" customHeight="1">
      <c r="AL901" s="7" t="str">
        <f>IF(A901="","",IF(COUNTIF(A901:A$2001,A901)=1,1,0))</f>
        <v/>
      </c>
      <c r="AM901" s="7" t="str">
        <f t="shared" ca="1" si="53"/>
        <v/>
      </c>
      <c r="AN901" s="7" t="str">
        <f t="shared" si="54"/>
        <v/>
      </c>
      <c r="AO901" s="7" t="str">
        <f t="shared" si="55"/>
        <v/>
      </c>
      <c r="AP901" s="15" t="str">
        <f t="shared" si="56"/>
        <v/>
      </c>
    </row>
    <row r="902" spans="38:42" ht="15" customHeight="1">
      <c r="AL902" s="7" t="str">
        <f>IF(A902="","",IF(COUNTIF(A902:A$2001,A902)=1,1,0))</f>
        <v/>
      </c>
      <c r="AM902" s="7" t="str">
        <f t="shared" ca="1" si="53"/>
        <v/>
      </c>
      <c r="AN902" s="7" t="str">
        <f t="shared" si="54"/>
        <v/>
      </c>
      <c r="AO902" s="7" t="str">
        <f t="shared" si="55"/>
        <v/>
      </c>
      <c r="AP902" s="15" t="str">
        <f t="shared" si="56"/>
        <v/>
      </c>
    </row>
    <row r="903" spans="38:42" ht="15" customHeight="1">
      <c r="AL903" s="7" t="str">
        <f>IF(A903="","",IF(COUNTIF(A903:A$2001,A903)=1,1,0))</f>
        <v/>
      </c>
      <c r="AM903" s="7" t="str">
        <f t="shared" ca="1" si="53"/>
        <v/>
      </c>
      <c r="AN903" s="7" t="str">
        <f t="shared" si="54"/>
        <v/>
      </c>
      <c r="AO903" s="7" t="str">
        <f t="shared" si="55"/>
        <v/>
      </c>
      <c r="AP903" s="15" t="str">
        <f t="shared" si="56"/>
        <v/>
      </c>
    </row>
    <row r="904" spans="38:42" ht="15" customHeight="1">
      <c r="AL904" s="7" t="str">
        <f>IF(A904="","",IF(COUNTIF(A904:A$2001,A904)=1,1,0))</f>
        <v/>
      </c>
      <c r="AM904" s="7" t="str">
        <f t="shared" ca="1" si="53"/>
        <v/>
      </c>
      <c r="AN904" s="7" t="str">
        <f t="shared" si="54"/>
        <v/>
      </c>
      <c r="AO904" s="7" t="str">
        <f t="shared" si="55"/>
        <v/>
      </c>
      <c r="AP904" s="15" t="str">
        <f t="shared" si="56"/>
        <v/>
      </c>
    </row>
    <row r="905" spans="38:42" ht="15" customHeight="1">
      <c r="AL905" s="7" t="str">
        <f>IF(A905="","",IF(COUNTIF(A905:A$2001,A905)=1,1,0))</f>
        <v/>
      </c>
      <c r="AM905" s="7" t="str">
        <f t="shared" ca="1" si="53"/>
        <v/>
      </c>
      <c r="AN905" s="7" t="str">
        <f t="shared" si="54"/>
        <v/>
      </c>
      <c r="AO905" s="7" t="str">
        <f t="shared" si="55"/>
        <v/>
      </c>
      <c r="AP905" s="15" t="str">
        <f t="shared" si="56"/>
        <v/>
      </c>
    </row>
    <row r="906" spans="38:42" ht="15" customHeight="1">
      <c r="AL906" s="7" t="str">
        <f>IF(A906="","",IF(COUNTIF(A906:A$2001,A906)=1,1,0))</f>
        <v/>
      </c>
      <c r="AM906" s="7" t="str">
        <f t="shared" ca="1" si="53"/>
        <v/>
      </c>
      <c r="AN906" s="7" t="str">
        <f t="shared" si="54"/>
        <v/>
      </c>
      <c r="AO906" s="7" t="str">
        <f t="shared" si="55"/>
        <v/>
      </c>
      <c r="AP906" s="15" t="str">
        <f t="shared" si="56"/>
        <v/>
      </c>
    </row>
    <row r="907" spans="38:42" ht="15" customHeight="1">
      <c r="AL907" s="7" t="str">
        <f>IF(A907="","",IF(COUNTIF(A907:A$2001,A907)=1,1,0))</f>
        <v/>
      </c>
      <c r="AM907" s="7" t="str">
        <f t="shared" ca="1" si="53"/>
        <v/>
      </c>
      <c r="AN907" s="7" t="str">
        <f t="shared" si="54"/>
        <v/>
      </c>
      <c r="AO907" s="7" t="str">
        <f t="shared" si="55"/>
        <v/>
      </c>
      <c r="AP907" s="15" t="str">
        <f t="shared" si="56"/>
        <v/>
      </c>
    </row>
    <row r="908" spans="38:42" ht="15" customHeight="1">
      <c r="AL908" s="7" t="str">
        <f>IF(A908="","",IF(COUNTIF(A908:A$2001,A908)=1,1,0))</f>
        <v/>
      </c>
      <c r="AM908" s="7" t="str">
        <f t="shared" ca="1" si="53"/>
        <v/>
      </c>
      <c r="AN908" s="7" t="str">
        <f t="shared" si="54"/>
        <v/>
      </c>
      <c r="AO908" s="7" t="str">
        <f t="shared" si="55"/>
        <v/>
      </c>
      <c r="AP908" s="15" t="str">
        <f t="shared" si="56"/>
        <v/>
      </c>
    </row>
    <row r="909" spans="38:42" ht="15" customHeight="1">
      <c r="AL909" s="7" t="str">
        <f>IF(A909="","",IF(COUNTIF(A909:A$2001,A909)=1,1,0))</f>
        <v/>
      </c>
      <c r="AM909" s="7" t="str">
        <f t="shared" ca="1" si="53"/>
        <v/>
      </c>
      <c r="AN909" s="7" t="str">
        <f t="shared" si="54"/>
        <v/>
      </c>
      <c r="AO909" s="7" t="str">
        <f t="shared" si="55"/>
        <v/>
      </c>
      <c r="AP909" s="15" t="str">
        <f t="shared" si="56"/>
        <v/>
      </c>
    </row>
    <row r="910" spans="38:42" ht="15" customHeight="1">
      <c r="AL910" s="7" t="str">
        <f>IF(A910="","",IF(COUNTIF(A910:A$2001,A910)=1,1,0))</f>
        <v/>
      </c>
      <c r="AM910" s="7" t="str">
        <f t="shared" ca="1" si="53"/>
        <v/>
      </c>
      <c r="AN910" s="7" t="str">
        <f t="shared" si="54"/>
        <v/>
      </c>
      <c r="AO910" s="7" t="str">
        <f t="shared" si="55"/>
        <v/>
      </c>
      <c r="AP910" s="15" t="str">
        <f t="shared" si="56"/>
        <v/>
      </c>
    </row>
    <row r="911" spans="38:42" ht="15" customHeight="1">
      <c r="AL911" s="7" t="str">
        <f>IF(A911="","",IF(COUNTIF(A911:A$2001,A911)=1,1,0))</f>
        <v/>
      </c>
      <c r="AM911" s="7" t="str">
        <f t="shared" ca="1" si="53"/>
        <v/>
      </c>
      <c r="AN911" s="7" t="str">
        <f t="shared" si="54"/>
        <v/>
      </c>
      <c r="AO911" s="7" t="str">
        <f t="shared" si="55"/>
        <v/>
      </c>
      <c r="AP911" s="15" t="str">
        <f t="shared" si="56"/>
        <v/>
      </c>
    </row>
    <row r="912" spans="38:42" ht="15" customHeight="1">
      <c r="AL912" s="7" t="str">
        <f>IF(A912="","",IF(COUNTIF(A912:A$2001,A912)=1,1,0))</f>
        <v/>
      </c>
      <c r="AM912" s="7" t="str">
        <f t="shared" ca="1" si="53"/>
        <v/>
      </c>
      <c r="AN912" s="7" t="str">
        <f t="shared" si="54"/>
        <v/>
      </c>
      <c r="AO912" s="7" t="str">
        <f t="shared" si="55"/>
        <v/>
      </c>
      <c r="AP912" s="15" t="str">
        <f t="shared" si="56"/>
        <v/>
      </c>
    </row>
    <row r="913" spans="38:42" ht="15" customHeight="1">
      <c r="AL913" s="7" t="str">
        <f>IF(A913="","",IF(COUNTIF(A913:A$2001,A913)=1,1,0))</f>
        <v/>
      </c>
      <c r="AM913" s="7" t="str">
        <f t="shared" ca="1" si="53"/>
        <v/>
      </c>
      <c r="AN913" s="7" t="str">
        <f t="shared" si="54"/>
        <v/>
      </c>
      <c r="AO913" s="7" t="str">
        <f t="shared" si="55"/>
        <v/>
      </c>
      <c r="AP913" s="15" t="str">
        <f t="shared" si="56"/>
        <v/>
      </c>
    </row>
    <row r="914" spans="38:42" ht="15" customHeight="1">
      <c r="AL914" s="7" t="str">
        <f>IF(A914="","",IF(COUNTIF(A914:A$2001,A914)=1,1,0))</f>
        <v/>
      </c>
      <c r="AM914" s="7" t="str">
        <f t="shared" ca="1" si="53"/>
        <v/>
      </c>
      <c r="AN914" s="7" t="str">
        <f t="shared" si="54"/>
        <v/>
      </c>
      <c r="AO914" s="7" t="str">
        <f t="shared" si="55"/>
        <v/>
      </c>
      <c r="AP914" s="15" t="str">
        <f t="shared" si="56"/>
        <v/>
      </c>
    </row>
    <row r="915" spans="38:42" ht="15" customHeight="1">
      <c r="AL915" s="7" t="str">
        <f>IF(A915="","",IF(COUNTIF(A915:A$2001,A915)=1,1,0))</f>
        <v/>
      </c>
      <c r="AM915" s="7" t="str">
        <f t="shared" ca="1" si="53"/>
        <v/>
      </c>
      <c r="AN915" s="7" t="str">
        <f t="shared" si="54"/>
        <v/>
      </c>
      <c r="AO915" s="7" t="str">
        <f t="shared" si="55"/>
        <v/>
      </c>
      <c r="AP915" s="15" t="str">
        <f t="shared" si="56"/>
        <v/>
      </c>
    </row>
    <row r="916" spans="38:42" ht="15" customHeight="1">
      <c r="AL916" s="7" t="str">
        <f>IF(A916="","",IF(COUNTIF(A916:A$2001,A916)=1,1,0))</f>
        <v/>
      </c>
      <c r="AM916" s="7" t="str">
        <f t="shared" ca="1" si="53"/>
        <v/>
      </c>
      <c r="AN916" s="7" t="str">
        <f t="shared" si="54"/>
        <v/>
      </c>
      <c r="AO916" s="7" t="str">
        <f t="shared" si="55"/>
        <v/>
      </c>
      <c r="AP916" s="15" t="str">
        <f t="shared" si="56"/>
        <v/>
      </c>
    </row>
    <row r="917" spans="38:42" ht="15" customHeight="1">
      <c r="AL917" s="7" t="str">
        <f>IF(A917="","",IF(COUNTIF(A917:A$2001,A917)=1,1,0))</f>
        <v/>
      </c>
      <c r="AM917" s="7" t="str">
        <f t="shared" ca="1" si="53"/>
        <v/>
      </c>
      <c r="AN917" s="7" t="str">
        <f t="shared" si="54"/>
        <v/>
      </c>
      <c r="AO917" s="7" t="str">
        <f t="shared" si="55"/>
        <v/>
      </c>
      <c r="AP917" s="15" t="str">
        <f t="shared" si="56"/>
        <v/>
      </c>
    </row>
    <row r="918" spans="38:42" ht="15" customHeight="1">
      <c r="AL918" s="7" t="str">
        <f>IF(A918="","",IF(COUNTIF(A918:A$2001,A918)=1,1,0))</f>
        <v/>
      </c>
      <c r="AM918" s="7" t="str">
        <f t="shared" ca="1" si="53"/>
        <v/>
      </c>
      <c r="AN918" s="7" t="str">
        <f t="shared" si="54"/>
        <v/>
      </c>
      <c r="AO918" s="7" t="str">
        <f t="shared" si="55"/>
        <v/>
      </c>
      <c r="AP918" s="15" t="str">
        <f t="shared" si="56"/>
        <v/>
      </c>
    </row>
    <row r="919" spans="38:42" ht="15" customHeight="1">
      <c r="AL919" s="7" t="str">
        <f>IF(A919="","",IF(COUNTIF(A919:A$2001,A919)=1,1,0))</f>
        <v/>
      </c>
      <c r="AM919" s="7" t="str">
        <f t="shared" ca="1" si="53"/>
        <v/>
      </c>
      <c r="AN919" s="7" t="str">
        <f t="shared" si="54"/>
        <v/>
      </c>
      <c r="AO919" s="7" t="str">
        <f t="shared" si="55"/>
        <v/>
      </c>
      <c r="AP919" s="15" t="str">
        <f t="shared" si="56"/>
        <v/>
      </c>
    </row>
    <row r="920" spans="38:42" ht="15" customHeight="1">
      <c r="AL920" s="7" t="str">
        <f>IF(A920="","",IF(COUNTIF(A920:A$2001,A920)=1,1,0))</f>
        <v/>
      </c>
      <c r="AM920" s="7" t="str">
        <f t="shared" ca="1" si="53"/>
        <v/>
      </c>
      <c r="AN920" s="7" t="str">
        <f t="shared" si="54"/>
        <v/>
      </c>
      <c r="AO920" s="7" t="str">
        <f t="shared" si="55"/>
        <v/>
      </c>
      <c r="AP920" s="15" t="str">
        <f t="shared" si="56"/>
        <v/>
      </c>
    </row>
    <row r="921" spans="38:42" ht="15" customHeight="1">
      <c r="AL921" s="7" t="str">
        <f>IF(A921="","",IF(COUNTIF(A921:A$2001,A921)=1,1,0))</f>
        <v/>
      </c>
      <c r="AM921" s="7" t="str">
        <f t="shared" ca="1" si="53"/>
        <v/>
      </c>
      <c r="AN921" s="7" t="str">
        <f t="shared" si="54"/>
        <v/>
      </c>
      <c r="AO921" s="7" t="str">
        <f t="shared" si="55"/>
        <v/>
      </c>
      <c r="AP921" s="15" t="str">
        <f t="shared" si="56"/>
        <v/>
      </c>
    </row>
    <row r="922" spans="38:42" ht="15" customHeight="1">
      <c r="AL922" s="7" t="str">
        <f>IF(A922="","",IF(COUNTIF(A922:A$2001,A922)=1,1,0))</f>
        <v/>
      </c>
      <c r="AM922" s="7" t="str">
        <f t="shared" ca="1" si="53"/>
        <v/>
      </c>
      <c r="AN922" s="7" t="str">
        <f t="shared" si="54"/>
        <v/>
      </c>
      <c r="AO922" s="7" t="str">
        <f t="shared" si="55"/>
        <v/>
      </c>
      <c r="AP922" s="15" t="str">
        <f t="shared" si="56"/>
        <v/>
      </c>
    </row>
    <row r="923" spans="38:42" ht="15" customHeight="1">
      <c r="AL923" s="7" t="str">
        <f>IF(A923="","",IF(COUNTIF(A923:A$2001,A923)=1,1,0))</f>
        <v/>
      </c>
      <c r="AM923" s="7" t="str">
        <f t="shared" ca="1" si="53"/>
        <v/>
      </c>
      <c r="AN923" s="7" t="str">
        <f t="shared" si="54"/>
        <v/>
      </c>
      <c r="AO923" s="7" t="str">
        <f t="shared" si="55"/>
        <v/>
      </c>
      <c r="AP923" s="15" t="str">
        <f t="shared" si="56"/>
        <v/>
      </c>
    </row>
    <row r="924" spans="38:42" ht="15" customHeight="1">
      <c r="AL924" s="7" t="str">
        <f>IF(A924="","",IF(COUNTIF(A924:A$2001,A924)=1,1,0))</f>
        <v/>
      </c>
      <c r="AM924" s="7" t="str">
        <f t="shared" ca="1" si="53"/>
        <v/>
      </c>
      <c r="AN924" s="7" t="str">
        <f t="shared" si="54"/>
        <v/>
      </c>
      <c r="AO924" s="7" t="str">
        <f t="shared" si="55"/>
        <v/>
      </c>
      <c r="AP924" s="15" t="str">
        <f t="shared" si="56"/>
        <v/>
      </c>
    </row>
    <row r="925" spans="38:42" ht="15" customHeight="1">
      <c r="AL925" s="7" t="str">
        <f>IF(A925="","",IF(COUNTIF(A925:A$2001,A925)=1,1,0))</f>
        <v/>
      </c>
      <c r="AM925" s="7" t="str">
        <f t="shared" ca="1" si="53"/>
        <v/>
      </c>
      <c r="AN925" s="7" t="str">
        <f t="shared" si="54"/>
        <v/>
      </c>
      <c r="AO925" s="7" t="str">
        <f t="shared" si="55"/>
        <v/>
      </c>
      <c r="AP925" s="15" t="str">
        <f t="shared" si="56"/>
        <v/>
      </c>
    </row>
    <row r="926" spans="38:42" ht="15" customHeight="1">
      <c r="AL926" s="7" t="str">
        <f>IF(A926="","",IF(COUNTIF(A926:A$2001,A926)=1,1,0))</f>
        <v/>
      </c>
      <c r="AM926" s="7" t="str">
        <f t="shared" ca="1" si="53"/>
        <v/>
      </c>
      <c r="AN926" s="7" t="str">
        <f t="shared" si="54"/>
        <v/>
      </c>
      <c r="AO926" s="7" t="str">
        <f t="shared" si="55"/>
        <v/>
      </c>
      <c r="AP926" s="15" t="str">
        <f t="shared" si="56"/>
        <v/>
      </c>
    </row>
    <row r="927" spans="38:42" ht="15" customHeight="1">
      <c r="AL927" s="7" t="str">
        <f>IF(A927="","",IF(COUNTIF(A927:A$2001,A927)=1,1,0))</f>
        <v/>
      </c>
      <c r="AM927" s="7" t="str">
        <f t="shared" ca="1" si="53"/>
        <v/>
      </c>
      <c r="AN927" s="7" t="str">
        <f t="shared" si="54"/>
        <v/>
      </c>
      <c r="AO927" s="7" t="str">
        <f t="shared" si="55"/>
        <v/>
      </c>
      <c r="AP927" s="15" t="str">
        <f t="shared" si="56"/>
        <v/>
      </c>
    </row>
    <row r="928" spans="38:42" ht="15" customHeight="1">
      <c r="AL928" s="7" t="str">
        <f>IF(A928="","",IF(COUNTIF(A928:A$2001,A928)=1,1,0))</f>
        <v/>
      </c>
      <c r="AM928" s="7" t="str">
        <f t="shared" ca="1" si="53"/>
        <v/>
      </c>
      <c r="AN928" s="7" t="str">
        <f t="shared" si="54"/>
        <v/>
      </c>
      <c r="AO928" s="7" t="str">
        <f t="shared" si="55"/>
        <v/>
      </c>
      <c r="AP928" s="15" t="str">
        <f t="shared" si="56"/>
        <v/>
      </c>
    </row>
    <row r="929" spans="38:42" ht="15" customHeight="1">
      <c r="AL929" s="7" t="str">
        <f>IF(A929="","",IF(COUNTIF(A929:A$2001,A929)=1,1,0))</f>
        <v/>
      </c>
      <c r="AM929" s="7" t="str">
        <f t="shared" ca="1" si="53"/>
        <v/>
      </c>
      <c r="AN929" s="7" t="str">
        <f t="shared" si="54"/>
        <v/>
      </c>
      <c r="AO929" s="7" t="str">
        <f t="shared" si="55"/>
        <v/>
      </c>
      <c r="AP929" s="15" t="str">
        <f t="shared" si="56"/>
        <v/>
      </c>
    </row>
    <row r="930" spans="38:42" ht="15" customHeight="1">
      <c r="AL930" s="7" t="str">
        <f>IF(A930="","",IF(COUNTIF(A930:A$2001,A930)=1,1,0))</f>
        <v/>
      </c>
      <c r="AM930" s="7" t="str">
        <f t="shared" ca="1" si="53"/>
        <v/>
      </c>
      <c r="AN930" s="7" t="str">
        <f t="shared" si="54"/>
        <v/>
      </c>
      <c r="AO930" s="7" t="str">
        <f t="shared" si="55"/>
        <v/>
      </c>
      <c r="AP930" s="15" t="str">
        <f t="shared" si="56"/>
        <v/>
      </c>
    </row>
    <row r="931" spans="38:42" ht="15" customHeight="1">
      <c r="AL931" s="7" t="str">
        <f>IF(A931="","",IF(COUNTIF(A931:A$2001,A931)=1,1,0))</f>
        <v/>
      </c>
      <c r="AM931" s="7" t="str">
        <f t="shared" ca="1" si="53"/>
        <v/>
      </c>
      <c r="AN931" s="7" t="str">
        <f t="shared" si="54"/>
        <v/>
      </c>
      <c r="AO931" s="7" t="str">
        <f t="shared" si="55"/>
        <v/>
      </c>
      <c r="AP931" s="15" t="str">
        <f t="shared" si="56"/>
        <v/>
      </c>
    </row>
    <row r="932" spans="38:42" ht="15" customHeight="1">
      <c r="AL932" s="7" t="str">
        <f>IF(A932="","",IF(COUNTIF(A932:A$2001,A932)=1,1,0))</f>
        <v/>
      </c>
      <c r="AM932" s="7" t="str">
        <f t="shared" ca="1" si="53"/>
        <v/>
      </c>
      <c r="AN932" s="7" t="str">
        <f t="shared" si="54"/>
        <v/>
      </c>
      <c r="AO932" s="7" t="str">
        <f t="shared" si="55"/>
        <v/>
      </c>
      <c r="AP932" s="15" t="str">
        <f t="shared" si="56"/>
        <v/>
      </c>
    </row>
    <row r="933" spans="38:42" ht="15" customHeight="1">
      <c r="AL933" s="7" t="str">
        <f>IF(A933="","",IF(COUNTIF(A933:A$2001,A933)=1,1,0))</f>
        <v/>
      </c>
      <c r="AM933" s="7" t="str">
        <f t="shared" ca="1" si="53"/>
        <v/>
      </c>
      <c r="AN933" s="7" t="str">
        <f t="shared" si="54"/>
        <v/>
      </c>
      <c r="AO933" s="7" t="str">
        <f t="shared" si="55"/>
        <v/>
      </c>
      <c r="AP933" s="15" t="str">
        <f t="shared" si="56"/>
        <v/>
      </c>
    </row>
    <row r="934" spans="38:42" ht="15" customHeight="1">
      <c r="AL934" s="7" t="str">
        <f>IF(A934="","",IF(COUNTIF(A934:A$2001,A934)=1,1,0))</f>
        <v/>
      </c>
      <c r="AM934" s="7" t="str">
        <f t="shared" ca="1" si="53"/>
        <v/>
      </c>
      <c r="AN934" s="7" t="str">
        <f t="shared" si="54"/>
        <v/>
      </c>
      <c r="AO934" s="7" t="str">
        <f t="shared" si="55"/>
        <v/>
      </c>
      <c r="AP934" s="15" t="str">
        <f t="shared" si="56"/>
        <v/>
      </c>
    </row>
    <row r="935" spans="38:42" ht="15" customHeight="1">
      <c r="AL935" s="7" t="str">
        <f>IF(A935="","",IF(COUNTIF(A935:A$2001,A935)=1,1,0))</f>
        <v/>
      </c>
      <c r="AM935" s="7" t="str">
        <f t="shared" ca="1" si="53"/>
        <v/>
      </c>
      <c r="AN935" s="7" t="str">
        <f t="shared" si="54"/>
        <v/>
      </c>
      <c r="AO935" s="7" t="str">
        <f t="shared" si="55"/>
        <v/>
      </c>
      <c r="AP935" s="15" t="str">
        <f t="shared" si="56"/>
        <v/>
      </c>
    </row>
    <row r="936" spans="38:42" ht="15" customHeight="1">
      <c r="AL936" s="7" t="str">
        <f>IF(A936="","",IF(COUNTIF(A936:A$2001,A936)=1,1,0))</f>
        <v/>
      </c>
      <c r="AM936" s="7" t="str">
        <f t="shared" ca="1" si="53"/>
        <v/>
      </c>
      <c r="AN936" s="7" t="str">
        <f t="shared" si="54"/>
        <v/>
      </c>
      <c r="AO936" s="7" t="str">
        <f t="shared" si="55"/>
        <v/>
      </c>
      <c r="AP936" s="15" t="str">
        <f t="shared" si="56"/>
        <v/>
      </c>
    </row>
    <row r="937" spans="38:42" ht="15" customHeight="1">
      <c r="AL937" s="7" t="str">
        <f>IF(A937="","",IF(COUNTIF(A937:A$2001,A937)=1,1,0))</f>
        <v/>
      </c>
      <c r="AM937" s="7" t="str">
        <f t="shared" ca="1" si="53"/>
        <v/>
      </c>
      <c r="AN937" s="7" t="str">
        <f t="shared" si="54"/>
        <v/>
      </c>
      <c r="AO937" s="7" t="str">
        <f t="shared" si="55"/>
        <v/>
      </c>
      <c r="AP937" s="15" t="str">
        <f t="shared" si="56"/>
        <v/>
      </c>
    </row>
    <row r="938" spans="38:42" ht="15" customHeight="1">
      <c r="AL938" s="7" t="str">
        <f>IF(A938="","",IF(COUNTIF(A938:A$2001,A938)=1,1,0))</f>
        <v/>
      </c>
      <c r="AM938" s="7" t="str">
        <f t="shared" ca="1" si="53"/>
        <v/>
      </c>
      <c r="AN938" s="7" t="str">
        <f t="shared" si="54"/>
        <v/>
      </c>
      <c r="AO938" s="7" t="str">
        <f t="shared" si="55"/>
        <v/>
      </c>
      <c r="AP938" s="15" t="str">
        <f t="shared" si="56"/>
        <v/>
      </c>
    </row>
    <row r="939" spans="38:42" ht="15" customHeight="1">
      <c r="AL939" s="7" t="str">
        <f>IF(A939="","",IF(COUNTIF(A939:A$2001,A939)=1,1,0))</f>
        <v/>
      </c>
      <c r="AM939" s="7" t="str">
        <f t="shared" ca="1" si="53"/>
        <v/>
      </c>
      <c r="AN939" s="7" t="str">
        <f t="shared" si="54"/>
        <v/>
      </c>
      <c r="AO939" s="7" t="str">
        <f t="shared" si="55"/>
        <v/>
      </c>
      <c r="AP939" s="15" t="str">
        <f t="shared" si="56"/>
        <v/>
      </c>
    </row>
    <row r="940" spans="38:42" ht="15" customHeight="1">
      <c r="AL940" s="7" t="str">
        <f>IF(A940="","",IF(COUNTIF(A940:A$2001,A940)=1,1,0))</f>
        <v/>
      </c>
      <c r="AM940" s="7" t="str">
        <f t="shared" ca="1" si="53"/>
        <v/>
      </c>
      <c r="AN940" s="7" t="str">
        <f t="shared" si="54"/>
        <v/>
      </c>
      <c r="AO940" s="7" t="str">
        <f t="shared" si="55"/>
        <v/>
      </c>
      <c r="AP940" s="15" t="str">
        <f t="shared" si="56"/>
        <v/>
      </c>
    </row>
    <row r="941" spans="38:42" ht="15" customHeight="1">
      <c r="AL941" s="7" t="str">
        <f>IF(A941="","",IF(COUNTIF(A941:A$2001,A941)=1,1,0))</f>
        <v/>
      </c>
      <c r="AM941" s="7" t="str">
        <f t="shared" ca="1" si="53"/>
        <v/>
      </c>
      <c r="AN941" s="7" t="str">
        <f t="shared" si="54"/>
        <v/>
      </c>
      <c r="AO941" s="7" t="str">
        <f t="shared" si="55"/>
        <v/>
      </c>
      <c r="AP941" s="15" t="str">
        <f t="shared" si="56"/>
        <v/>
      </c>
    </row>
    <row r="942" spans="38:42" ht="15" customHeight="1">
      <c r="AL942" s="7" t="str">
        <f>IF(A942="","",IF(COUNTIF(A942:A$2001,A942)=1,1,0))</f>
        <v/>
      </c>
      <c r="AM942" s="7" t="str">
        <f t="shared" ca="1" si="53"/>
        <v/>
      </c>
      <c r="AN942" s="7" t="str">
        <f t="shared" si="54"/>
        <v/>
      </c>
      <c r="AO942" s="7" t="str">
        <f t="shared" si="55"/>
        <v/>
      </c>
      <c r="AP942" s="15" t="str">
        <f t="shared" si="56"/>
        <v/>
      </c>
    </row>
    <row r="943" spans="38:42" ht="15" customHeight="1">
      <c r="AL943" s="7" t="str">
        <f>IF(A943="","",IF(COUNTIF(A943:A$2001,A943)=1,1,0))</f>
        <v/>
      </c>
      <c r="AM943" s="7" t="str">
        <f t="shared" ca="1" si="53"/>
        <v/>
      </c>
      <c r="AN943" s="7" t="str">
        <f t="shared" si="54"/>
        <v/>
      </c>
      <c r="AO943" s="7" t="str">
        <f t="shared" si="55"/>
        <v/>
      </c>
      <c r="AP943" s="15" t="str">
        <f t="shared" si="56"/>
        <v/>
      </c>
    </row>
    <row r="944" spans="38:42" ht="15" customHeight="1">
      <c r="AL944" s="7" t="str">
        <f>IF(A944="","",IF(COUNTIF(A944:A$2001,A944)=1,1,0))</f>
        <v/>
      </c>
      <c r="AM944" s="7" t="str">
        <f t="shared" ca="1" si="53"/>
        <v/>
      </c>
      <c r="AN944" s="7" t="str">
        <f t="shared" si="54"/>
        <v/>
      </c>
      <c r="AO944" s="7" t="str">
        <f t="shared" si="55"/>
        <v/>
      </c>
      <c r="AP944" s="15" t="str">
        <f t="shared" si="56"/>
        <v/>
      </c>
    </row>
    <row r="945" spans="38:42" ht="15" customHeight="1">
      <c r="AL945" s="7" t="str">
        <f>IF(A945="","",IF(COUNTIF(A945:A$2001,A945)=1,1,0))</f>
        <v/>
      </c>
      <c r="AM945" s="7" t="str">
        <f t="shared" ca="1" si="53"/>
        <v/>
      </c>
      <c r="AN945" s="7" t="str">
        <f t="shared" si="54"/>
        <v/>
      </c>
      <c r="AO945" s="7" t="str">
        <f t="shared" si="55"/>
        <v/>
      </c>
      <c r="AP945" s="15" t="str">
        <f t="shared" si="56"/>
        <v/>
      </c>
    </row>
    <row r="946" spans="38:42" ht="15" customHeight="1">
      <c r="AL946" s="7" t="str">
        <f>IF(A946="","",IF(COUNTIF(A946:A$2001,A946)=1,1,0))</f>
        <v/>
      </c>
      <c r="AM946" s="7" t="str">
        <f t="shared" ca="1" si="53"/>
        <v/>
      </c>
      <c r="AN946" s="7" t="str">
        <f t="shared" si="54"/>
        <v/>
      </c>
      <c r="AO946" s="7" t="str">
        <f t="shared" si="55"/>
        <v/>
      </c>
      <c r="AP946" s="15" t="str">
        <f t="shared" si="56"/>
        <v/>
      </c>
    </row>
    <row r="947" spans="38:42" ht="15" customHeight="1">
      <c r="AL947" s="7" t="str">
        <f>IF(A947="","",IF(COUNTIF(A947:A$2001,A947)=1,1,0))</f>
        <v/>
      </c>
      <c r="AM947" s="7" t="str">
        <f t="shared" ca="1" si="53"/>
        <v/>
      </c>
      <c r="AN947" s="7" t="str">
        <f t="shared" si="54"/>
        <v/>
      </c>
      <c r="AO947" s="7" t="str">
        <f t="shared" si="55"/>
        <v/>
      </c>
      <c r="AP947" s="15" t="str">
        <f t="shared" si="56"/>
        <v/>
      </c>
    </row>
    <row r="948" spans="38:42" ht="15" customHeight="1">
      <c r="AL948" s="7" t="str">
        <f>IF(A948="","",IF(COUNTIF(A948:A$2001,A948)=1,1,0))</f>
        <v/>
      </c>
      <c r="AM948" s="7" t="str">
        <f t="shared" ca="1" si="53"/>
        <v/>
      </c>
      <c r="AN948" s="7" t="str">
        <f t="shared" si="54"/>
        <v/>
      </c>
      <c r="AO948" s="7" t="str">
        <f t="shared" si="55"/>
        <v/>
      </c>
      <c r="AP948" s="15" t="str">
        <f t="shared" si="56"/>
        <v/>
      </c>
    </row>
    <row r="949" spans="38:42" ht="15" customHeight="1">
      <c r="AL949" s="7" t="str">
        <f>IF(A949="","",IF(COUNTIF(A949:A$2001,A949)=1,1,0))</f>
        <v/>
      </c>
      <c r="AM949" s="7" t="str">
        <f t="shared" ca="1" si="53"/>
        <v/>
      </c>
      <c r="AN949" s="7" t="str">
        <f t="shared" si="54"/>
        <v/>
      </c>
      <c r="AO949" s="7" t="str">
        <f t="shared" si="55"/>
        <v/>
      </c>
      <c r="AP949" s="15" t="str">
        <f t="shared" si="56"/>
        <v/>
      </c>
    </row>
    <row r="950" spans="38:42" ht="15" customHeight="1">
      <c r="AL950" s="7" t="str">
        <f>IF(A950="","",IF(COUNTIF(A950:A$2001,A950)=1,1,0))</f>
        <v/>
      </c>
      <c r="AM950" s="7" t="str">
        <f t="shared" ca="1" si="53"/>
        <v/>
      </c>
      <c r="AN950" s="7" t="str">
        <f t="shared" si="54"/>
        <v/>
      </c>
      <c r="AO950" s="7" t="str">
        <f t="shared" si="55"/>
        <v/>
      </c>
      <c r="AP950" s="15" t="str">
        <f t="shared" si="56"/>
        <v/>
      </c>
    </row>
    <row r="951" spans="38:42" ht="15" customHeight="1">
      <c r="AL951" s="7" t="str">
        <f>IF(A951="","",IF(COUNTIF(A951:A$2001,A951)=1,1,0))</f>
        <v/>
      </c>
      <c r="AM951" s="7" t="str">
        <f t="shared" ca="1" si="53"/>
        <v/>
      </c>
      <c r="AN951" s="7" t="str">
        <f t="shared" si="54"/>
        <v/>
      </c>
      <c r="AO951" s="7" t="str">
        <f t="shared" si="55"/>
        <v/>
      </c>
      <c r="AP951" s="15" t="str">
        <f t="shared" si="56"/>
        <v/>
      </c>
    </row>
    <row r="952" spans="38:42" ht="15" customHeight="1">
      <c r="AL952" s="7" t="str">
        <f>IF(A952="","",IF(COUNTIF(A952:A$2001,A952)=1,1,0))</f>
        <v/>
      </c>
      <c r="AM952" s="7" t="str">
        <f t="shared" ca="1" si="53"/>
        <v/>
      </c>
      <c r="AN952" s="7" t="str">
        <f t="shared" si="54"/>
        <v/>
      </c>
      <c r="AO952" s="7" t="str">
        <f t="shared" si="55"/>
        <v/>
      </c>
      <c r="AP952" s="15" t="str">
        <f t="shared" si="56"/>
        <v/>
      </c>
    </row>
    <row r="953" spans="38:42" ht="15" customHeight="1">
      <c r="AL953" s="7" t="str">
        <f>IF(A953="","",IF(COUNTIF(A953:A$2001,A953)=1,1,0))</f>
        <v/>
      </c>
      <c r="AM953" s="7" t="str">
        <f t="shared" ca="1" si="53"/>
        <v/>
      </c>
      <c r="AN953" s="7" t="str">
        <f t="shared" si="54"/>
        <v/>
      </c>
      <c r="AO953" s="7" t="str">
        <f t="shared" si="55"/>
        <v/>
      </c>
      <c r="AP953" s="15" t="str">
        <f t="shared" si="56"/>
        <v/>
      </c>
    </row>
    <row r="954" spans="38:42" ht="15" customHeight="1">
      <c r="AL954" s="7" t="str">
        <f>IF(A954="","",IF(COUNTIF(A954:A$2001,A954)=1,1,0))</f>
        <v/>
      </c>
      <c r="AM954" s="7" t="str">
        <f t="shared" ca="1" si="53"/>
        <v/>
      </c>
      <c r="AN954" s="7" t="str">
        <f t="shared" si="54"/>
        <v/>
      </c>
      <c r="AO954" s="7" t="str">
        <f t="shared" si="55"/>
        <v/>
      </c>
      <c r="AP954" s="15" t="str">
        <f t="shared" si="56"/>
        <v/>
      </c>
    </row>
    <row r="955" spans="38:42" ht="15" customHeight="1">
      <c r="AL955" s="7" t="str">
        <f>IF(A955="","",IF(COUNTIF(A955:A$2001,A955)=1,1,0))</f>
        <v/>
      </c>
      <c r="AM955" s="7" t="str">
        <f t="shared" ca="1" si="53"/>
        <v/>
      </c>
      <c r="AN955" s="7" t="str">
        <f t="shared" si="54"/>
        <v/>
      </c>
      <c r="AO955" s="7" t="str">
        <f t="shared" si="55"/>
        <v/>
      </c>
      <c r="AP955" s="15" t="str">
        <f t="shared" si="56"/>
        <v/>
      </c>
    </row>
    <row r="956" spans="38:42" ht="15" customHeight="1">
      <c r="AL956" s="7" t="str">
        <f>IF(A956="","",IF(COUNTIF(A956:A$2001,A956)=1,1,0))</f>
        <v/>
      </c>
      <c r="AM956" s="7" t="str">
        <f t="shared" ca="1" si="53"/>
        <v/>
      </c>
      <c r="AN956" s="7" t="str">
        <f t="shared" si="54"/>
        <v/>
      </c>
      <c r="AO956" s="7" t="str">
        <f t="shared" si="55"/>
        <v/>
      </c>
      <c r="AP956" s="15" t="str">
        <f t="shared" si="56"/>
        <v/>
      </c>
    </row>
    <row r="957" spans="38:42" ht="15" customHeight="1">
      <c r="AL957" s="7" t="str">
        <f>IF(A957="","",IF(COUNTIF(A957:A$2001,A957)=1,1,0))</f>
        <v/>
      </c>
      <c r="AM957" s="7" t="str">
        <f t="shared" ca="1" si="53"/>
        <v/>
      </c>
      <c r="AN957" s="7" t="str">
        <f t="shared" si="54"/>
        <v/>
      </c>
      <c r="AO957" s="7" t="str">
        <f t="shared" si="55"/>
        <v/>
      </c>
      <c r="AP957" s="15" t="str">
        <f t="shared" si="56"/>
        <v/>
      </c>
    </row>
    <row r="958" spans="38:42" ht="15" customHeight="1">
      <c r="AL958" s="7" t="str">
        <f>IF(A958="","",IF(COUNTIF(A958:A$2001,A958)=1,1,0))</f>
        <v/>
      </c>
      <c r="AM958" s="7" t="str">
        <f t="shared" ca="1" si="53"/>
        <v/>
      </c>
      <c r="AN958" s="7" t="str">
        <f t="shared" si="54"/>
        <v/>
      </c>
      <c r="AO958" s="7" t="str">
        <f t="shared" si="55"/>
        <v/>
      </c>
      <c r="AP958" s="15" t="str">
        <f t="shared" si="56"/>
        <v/>
      </c>
    </row>
    <row r="959" spans="38:42" ht="15" customHeight="1">
      <c r="AL959" s="7" t="str">
        <f>IF(A959="","",IF(COUNTIF(A959:A$2001,A959)=1,1,0))</f>
        <v/>
      </c>
      <c r="AM959" s="7" t="str">
        <f t="shared" ca="1" si="53"/>
        <v/>
      </c>
      <c r="AN959" s="7" t="str">
        <f t="shared" si="54"/>
        <v/>
      </c>
      <c r="AO959" s="7" t="str">
        <f t="shared" si="55"/>
        <v/>
      </c>
      <c r="AP959" s="15" t="str">
        <f t="shared" si="56"/>
        <v/>
      </c>
    </row>
    <row r="960" spans="38:42" ht="15" customHeight="1">
      <c r="AL960" s="7" t="str">
        <f>IF(A960="","",IF(COUNTIF(A960:A$2001,A960)=1,1,0))</f>
        <v/>
      </c>
      <c r="AM960" s="7" t="str">
        <f t="shared" ca="1" si="53"/>
        <v/>
      </c>
      <c r="AN960" s="7" t="str">
        <f t="shared" si="54"/>
        <v/>
      </c>
      <c r="AO960" s="7" t="str">
        <f t="shared" si="55"/>
        <v/>
      </c>
      <c r="AP960" s="15" t="str">
        <f t="shared" si="56"/>
        <v/>
      </c>
    </row>
    <row r="961" spans="38:42" ht="15" customHeight="1">
      <c r="AL961" s="7" t="str">
        <f>IF(A961="","",IF(COUNTIF(A961:A$2001,A961)=1,1,0))</f>
        <v/>
      </c>
      <c r="AM961" s="7" t="str">
        <f t="shared" ca="1" si="53"/>
        <v/>
      </c>
      <c r="AN961" s="7" t="str">
        <f t="shared" si="54"/>
        <v/>
      </c>
      <c r="AO961" s="7" t="str">
        <f t="shared" si="55"/>
        <v/>
      </c>
      <c r="AP961" s="15" t="str">
        <f t="shared" si="56"/>
        <v/>
      </c>
    </row>
    <row r="962" spans="38:42" ht="15" customHeight="1">
      <c r="AL962" s="7" t="str">
        <f>IF(A962="","",IF(COUNTIF(A962:A$2001,A962)=1,1,0))</f>
        <v/>
      </c>
      <c r="AM962" s="7" t="str">
        <f t="shared" ref="AM962:AM1025" ca="1" si="57">IF(I962="","",TODAY()-I962)</f>
        <v/>
      </c>
      <c r="AN962" s="7" t="str">
        <f t="shared" ref="AN962:AN1025" si="58">IF(A962="","",IF(AND(E962&lt;&gt;"33 確認済",E962&lt;&gt;"36 送付中"),1,0))</f>
        <v/>
      </c>
      <c r="AO962" s="7" t="str">
        <f t="shared" ref="AO962:AO1025" si="59">IF(A962="","",IF(AG962&lt;&gt;"",1,0))</f>
        <v/>
      </c>
      <c r="AP962" s="15" t="str">
        <f t="shared" ref="AP962:AP1025" si="60">IF(P962&lt;&gt;"","・添待ち","")&amp;IF(Q962&lt;&gt;"","・住民票","")&amp;IF(R962&lt;&gt;"","・発信","")&amp;IF(S962&lt;&gt;"","・確認事項","")&amp;IF(T962&lt;&gt;"","・管","")&amp;IF(U962&lt;&gt;"","・SV","")&amp;IF(V962&lt;&gt;"","・データ送付待ち","")&amp;IF(W962&lt;&gt;"","・削除","")</f>
        <v/>
      </c>
    </row>
    <row r="963" spans="38:42" ht="15" customHeight="1">
      <c r="AL963" s="7" t="str">
        <f>IF(A963="","",IF(COUNTIF(A963:A$2001,A963)=1,1,0))</f>
        <v/>
      </c>
      <c r="AM963" s="7" t="str">
        <f t="shared" ca="1" si="57"/>
        <v/>
      </c>
      <c r="AN963" s="7" t="str">
        <f t="shared" si="58"/>
        <v/>
      </c>
      <c r="AO963" s="7" t="str">
        <f t="shared" si="59"/>
        <v/>
      </c>
      <c r="AP963" s="15" t="str">
        <f t="shared" si="60"/>
        <v/>
      </c>
    </row>
    <row r="964" spans="38:42" ht="15" customHeight="1">
      <c r="AL964" s="7" t="str">
        <f>IF(A964="","",IF(COUNTIF(A964:A$2001,A964)=1,1,0))</f>
        <v/>
      </c>
      <c r="AM964" s="7" t="str">
        <f t="shared" ca="1" si="57"/>
        <v/>
      </c>
      <c r="AN964" s="7" t="str">
        <f t="shared" si="58"/>
        <v/>
      </c>
      <c r="AO964" s="7" t="str">
        <f t="shared" si="59"/>
        <v/>
      </c>
      <c r="AP964" s="15" t="str">
        <f t="shared" si="60"/>
        <v/>
      </c>
    </row>
    <row r="965" spans="38:42" ht="15" customHeight="1">
      <c r="AL965" s="7" t="str">
        <f>IF(A965="","",IF(COUNTIF(A965:A$2001,A965)=1,1,0))</f>
        <v/>
      </c>
      <c r="AM965" s="7" t="str">
        <f t="shared" ca="1" si="57"/>
        <v/>
      </c>
      <c r="AN965" s="7" t="str">
        <f t="shared" si="58"/>
        <v/>
      </c>
      <c r="AO965" s="7" t="str">
        <f t="shared" si="59"/>
        <v/>
      </c>
      <c r="AP965" s="15" t="str">
        <f t="shared" si="60"/>
        <v/>
      </c>
    </row>
    <row r="966" spans="38:42" ht="15" customHeight="1">
      <c r="AL966" s="7" t="str">
        <f>IF(A966="","",IF(COUNTIF(A966:A$2001,A966)=1,1,0))</f>
        <v/>
      </c>
      <c r="AM966" s="7" t="str">
        <f t="shared" ca="1" si="57"/>
        <v/>
      </c>
      <c r="AN966" s="7" t="str">
        <f t="shared" si="58"/>
        <v/>
      </c>
      <c r="AO966" s="7" t="str">
        <f t="shared" si="59"/>
        <v/>
      </c>
      <c r="AP966" s="15" t="str">
        <f t="shared" si="60"/>
        <v/>
      </c>
    </row>
    <row r="967" spans="38:42" ht="15" customHeight="1">
      <c r="AL967" s="7" t="str">
        <f>IF(A967="","",IF(COUNTIF(A967:A$2001,A967)=1,1,0))</f>
        <v/>
      </c>
      <c r="AM967" s="7" t="str">
        <f t="shared" ca="1" si="57"/>
        <v/>
      </c>
      <c r="AN967" s="7" t="str">
        <f t="shared" si="58"/>
        <v/>
      </c>
      <c r="AO967" s="7" t="str">
        <f t="shared" si="59"/>
        <v/>
      </c>
      <c r="AP967" s="15" t="str">
        <f t="shared" si="60"/>
        <v/>
      </c>
    </row>
    <row r="968" spans="38:42" ht="15" customHeight="1">
      <c r="AL968" s="7" t="str">
        <f>IF(A968="","",IF(COUNTIF(A968:A$2001,A968)=1,1,0))</f>
        <v/>
      </c>
      <c r="AM968" s="7" t="str">
        <f t="shared" ca="1" si="57"/>
        <v/>
      </c>
      <c r="AN968" s="7" t="str">
        <f t="shared" si="58"/>
        <v/>
      </c>
      <c r="AO968" s="7" t="str">
        <f t="shared" si="59"/>
        <v/>
      </c>
      <c r="AP968" s="15" t="str">
        <f t="shared" si="60"/>
        <v/>
      </c>
    </row>
    <row r="969" spans="38:42" ht="15" customHeight="1">
      <c r="AL969" s="7" t="str">
        <f>IF(A969="","",IF(COUNTIF(A969:A$2001,A969)=1,1,0))</f>
        <v/>
      </c>
      <c r="AM969" s="7" t="str">
        <f t="shared" ca="1" si="57"/>
        <v/>
      </c>
      <c r="AN969" s="7" t="str">
        <f t="shared" si="58"/>
        <v/>
      </c>
      <c r="AO969" s="7" t="str">
        <f t="shared" si="59"/>
        <v/>
      </c>
      <c r="AP969" s="15" t="str">
        <f t="shared" si="60"/>
        <v/>
      </c>
    </row>
    <row r="970" spans="38:42" ht="15" customHeight="1">
      <c r="AL970" s="7" t="str">
        <f>IF(A970="","",IF(COUNTIF(A970:A$2001,A970)=1,1,0))</f>
        <v/>
      </c>
      <c r="AM970" s="7" t="str">
        <f t="shared" ca="1" si="57"/>
        <v/>
      </c>
      <c r="AN970" s="7" t="str">
        <f t="shared" si="58"/>
        <v/>
      </c>
      <c r="AO970" s="7" t="str">
        <f t="shared" si="59"/>
        <v/>
      </c>
      <c r="AP970" s="15" t="str">
        <f t="shared" si="60"/>
        <v/>
      </c>
    </row>
    <row r="971" spans="38:42" ht="15" customHeight="1">
      <c r="AL971" s="7" t="str">
        <f>IF(A971="","",IF(COUNTIF(A971:A$2001,A971)=1,1,0))</f>
        <v/>
      </c>
      <c r="AM971" s="7" t="str">
        <f t="shared" ca="1" si="57"/>
        <v/>
      </c>
      <c r="AN971" s="7" t="str">
        <f t="shared" si="58"/>
        <v/>
      </c>
      <c r="AO971" s="7" t="str">
        <f t="shared" si="59"/>
        <v/>
      </c>
      <c r="AP971" s="15" t="str">
        <f t="shared" si="60"/>
        <v/>
      </c>
    </row>
    <row r="972" spans="38:42" ht="15" customHeight="1">
      <c r="AL972" s="7" t="str">
        <f>IF(A972="","",IF(COUNTIF(A972:A$2001,A972)=1,1,0))</f>
        <v/>
      </c>
      <c r="AM972" s="7" t="str">
        <f t="shared" ca="1" si="57"/>
        <v/>
      </c>
      <c r="AN972" s="7" t="str">
        <f t="shared" si="58"/>
        <v/>
      </c>
      <c r="AO972" s="7" t="str">
        <f t="shared" si="59"/>
        <v/>
      </c>
      <c r="AP972" s="15" t="str">
        <f t="shared" si="60"/>
        <v/>
      </c>
    </row>
    <row r="973" spans="38:42" ht="15" customHeight="1">
      <c r="AL973" s="7" t="str">
        <f>IF(A973="","",IF(COUNTIF(A973:A$2001,A973)=1,1,0))</f>
        <v/>
      </c>
      <c r="AM973" s="7" t="str">
        <f t="shared" ca="1" si="57"/>
        <v/>
      </c>
      <c r="AN973" s="7" t="str">
        <f t="shared" si="58"/>
        <v/>
      </c>
      <c r="AO973" s="7" t="str">
        <f t="shared" si="59"/>
        <v/>
      </c>
      <c r="AP973" s="15" t="str">
        <f t="shared" si="60"/>
        <v/>
      </c>
    </row>
    <row r="974" spans="38:42" ht="15" customHeight="1">
      <c r="AL974" s="7" t="str">
        <f>IF(A974="","",IF(COUNTIF(A974:A$2001,A974)=1,1,0))</f>
        <v/>
      </c>
      <c r="AM974" s="7" t="str">
        <f t="shared" ca="1" si="57"/>
        <v/>
      </c>
      <c r="AN974" s="7" t="str">
        <f t="shared" si="58"/>
        <v/>
      </c>
      <c r="AO974" s="7" t="str">
        <f t="shared" si="59"/>
        <v/>
      </c>
      <c r="AP974" s="15" t="str">
        <f t="shared" si="60"/>
        <v/>
      </c>
    </row>
    <row r="975" spans="38:42" ht="15" customHeight="1">
      <c r="AL975" s="7" t="str">
        <f>IF(A975="","",IF(COUNTIF(A975:A$2001,A975)=1,1,0))</f>
        <v/>
      </c>
      <c r="AM975" s="7" t="str">
        <f t="shared" ca="1" si="57"/>
        <v/>
      </c>
      <c r="AN975" s="7" t="str">
        <f t="shared" si="58"/>
        <v/>
      </c>
      <c r="AO975" s="7" t="str">
        <f t="shared" si="59"/>
        <v/>
      </c>
      <c r="AP975" s="15" t="str">
        <f t="shared" si="60"/>
        <v/>
      </c>
    </row>
    <row r="976" spans="38:42" ht="15" customHeight="1">
      <c r="AL976" s="7" t="str">
        <f>IF(A976="","",IF(COUNTIF(A976:A$2001,A976)=1,1,0))</f>
        <v/>
      </c>
      <c r="AM976" s="7" t="str">
        <f t="shared" ca="1" si="57"/>
        <v/>
      </c>
      <c r="AN976" s="7" t="str">
        <f t="shared" si="58"/>
        <v/>
      </c>
      <c r="AO976" s="7" t="str">
        <f t="shared" si="59"/>
        <v/>
      </c>
      <c r="AP976" s="15" t="str">
        <f t="shared" si="60"/>
        <v/>
      </c>
    </row>
    <row r="977" spans="38:42" ht="15" customHeight="1">
      <c r="AL977" s="7" t="str">
        <f>IF(A977="","",IF(COUNTIF(A977:A$2001,A977)=1,1,0))</f>
        <v/>
      </c>
      <c r="AM977" s="7" t="str">
        <f t="shared" ca="1" si="57"/>
        <v/>
      </c>
      <c r="AN977" s="7" t="str">
        <f t="shared" si="58"/>
        <v/>
      </c>
      <c r="AO977" s="7" t="str">
        <f t="shared" si="59"/>
        <v/>
      </c>
      <c r="AP977" s="15" t="str">
        <f t="shared" si="60"/>
        <v/>
      </c>
    </row>
    <row r="978" spans="38:42" ht="15" customHeight="1">
      <c r="AL978" s="7" t="str">
        <f>IF(A978="","",IF(COUNTIF(A978:A$2001,A978)=1,1,0))</f>
        <v/>
      </c>
      <c r="AM978" s="7" t="str">
        <f t="shared" ca="1" si="57"/>
        <v/>
      </c>
      <c r="AN978" s="7" t="str">
        <f t="shared" si="58"/>
        <v/>
      </c>
      <c r="AO978" s="7" t="str">
        <f t="shared" si="59"/>
        <v/>
      </c>
      <c r="AP978" s="15" t="str">
        <f t="shared" si="60"/>
        <v/>
      </c>
    </row>
    <row r="979" spans="38:42" ht="15" customHeight="1">
      <c r="AL979" s="7" t="str">
        <f>IF(A979="","",IF(COUNTIF(A979:A$2001,A979)=1,1,0))</f>
        <v/>
      </c>
      <c r="AM979" s="7" t="str">
        <f t="shared" ca="1" si="57"/>
        <v/>
      </c>
      <c r="AN979" s="7" t="str">
        <f t="shared" si="58"/>
        <v/>
      </c>
      <c r="AO979" s="7" t="str">
        <f t="shared" si="59"/>
        <v/>
      </c>
      <c r="AP979" s="15" t="str">
        <f t="shared" si="60"/>
        <v/>
      </c>
    </row>
    <row r="980" spans="38:42" ht="15" customHeight="1">
      <c r="AL980" s="7" t="str">
        <f>IF(A980="","",IF(COUNTIF(A980:A$2001,A980)=1,1,0))</f>
        <v/>
      </c>
      <c r="AM980" s="7" t="str">
        <f t="shared" ca="1" si="57"/>
        <v/>
      </c>
      <c r="AN980" s="7" t="str">
        <f t="shared" si="58"/>
        <v/>
      </c>
      <c r="AO980" s="7" t="str">
        <f t="shared" si="59"/>
        <v/>
      </c>
      <c r="AP980" s="15" t="str">
        <f t="shared" si="60"/>
        <v/>
      </c>
    </row>
    <row r="981" spans="38:42" ht="15" customHeight="1">
      <c r="AL981" s="7" t="str">
        <f>IF(A981="","",IF(COUNTIF(A981:A$2001,A981)=1,1,0))</f>
        <v/>
      </c>
      <c r="AM981" s="7" t="str">
        <f t="shared" ca="1" si="57"/>
        <v/>
      </c>
      <c r="AN981" s="7" t="str">
        <f t="shared" si="58"/>
        <v/>
      </c>
      <c r="AO981" s="7" t="str">
        <f t="shared" si="59"/>
        <v/>
      </c>
      <c r="AP981" s="15" t="str">
        <f t="shared" si="60"/>
        <v/>
      </c>
    </row>
    <row r="982" spans="38:42" ht="15" customHeight="1">
      <c r="AL982" s="7" t="str">
        <f>IF(A982="","",IF(COUNTIF(A982:A$2001,A982)=1,1,0))</f>
        <v/>
      </c>
      <c r="AM982" s="7" t="str">
        <f t="shared" ca="1" si="57"/>
        <v/>
      </c>
      <c r="AN982" s="7" t="str">
        <f t="shared" si="58"/>
        <v/>
      </c>
      <c r="AO982" s="7" t="str">
        <f t="shared" si="59"/>
        <v/>
      </c>
      <c r="AP982" s="15" t="str">
        <f t="shared" si="60"/>
        <v/>
      </c>
    </row>
    <row r="983" spans="38:42" ht="15" customHeight="1">
      <c r="AL983" s="7" t="str">
        <f>IF(A983="","",IF(COUNTIF(A983:A$2001,A983)=1,1,0))</f>
        <v/>
      </c>
      <c r="AM983" s="7" t="str">
        <f t="shared" ca="1" si="57"/>
        <v/>
      </c>
      <c r="AN983" s="7" t="str">
        <f t="shared" si="58"/>
        <v/>
      </c>
      <c r="AO983" s="7" t="str">
        <f t="shared" si="59"/>
        <v/>
      </c>
      <c r="AP983" s="15" t="str">
        <f t="shared" si="60"/>
        <v/>
      </c>
    </row>
    <row r="984" spans="38:42" ht="15" customHeight="1">
      <c r="AL984" s="7" t="str">
        <f>IF(A984="","",IF(COUNTIF(A984:A$2001,A984)=1,1,0))</f>
        <v/>
      </c>
      <c r="AM984" s="7" t="str">
        <f t="shared" ca="1" si="57"/>
        <v/>
      </c>
      <c r="AN984" s="7" t="str">
        <f t="shared" si="58"/>
        <v/>
      </c>
      <c r="AO984" s="7" t="str">
        <f t="shared" si="59"/>
        <v/>
      </c>
      <c r="AP984" s="15" t="str">
        <f t="shared" si="60"/>
        <v/>
      </c>
    </row>
    <row r="985" spans="38:42" ht="15" customHeight="1">
      <c r="AL985" s="7" t="str">
        <f>IF(A985="","",IF(COUNTIF(A985:A$2001,A985)=1,1,0))</f>
        <v/>
      </c>
      <c r="AM985" s="7" t="str">
        <f t="shared" ca="1" si="57"/>
        <v/>
      </c>
      <c r="AN985" s="7" t="str">
        <f t="shared" si="58"/>
        <v/>
      </c>
      <c r="AO985" s="7" t="str">
        <f t="shared" si="59"/>
        <v/>
      </c>
      <c r="AP985" s="15" t="str">
        <f t="shared" si="60"/>
        <v/>
      </c>
    </row>
    <row r="986" spans="38:42" ht="15" customHeight="1">
      <c r="AL986" s="7" t="str">
        <f>IF(A986="","",IF(COUNTIF(A986:A$2001,A986)=1,1,0))</f>
        <v/>
      </c>
      <c r="AM986" s="7" t="str">
        <f t="shared" ca="1" si="57"/>
        <v/>
      </c>
      <c r="AN986" s="7" t="str">
        <f t="shared" si="58"/>
        <v/>
      </c>
      <c r="AO986" s="7" t="str">
        <f t="shared" si="59"/>
        <v/>
      </c>
      <c r="AP986" s="15" t="str">
        <f t="shared" si="60"/>
        <v/>
      </c>
    </row>
    <row r="987" spans="38:42" ht="15" customHeight="1">
      <c r="AL987" s="7" t="str">
        <f>IF(A987="","",IF(COUNTIF(A987:A$2001,A987)=1,1,0))</f>
        <v/>
      </c>
      <c r="AM987" s="7" t="str">
        <f t="shared" ca="1" si="57"/>
        <v/>
      </c>
      <c r="AN987" s="7" t="str">
        <f t="shared" si="58"/>
        <v/>
      </c>
      <c r="AO987" s="7" t="str">
        <f t="shared" si="59"/>
        <v/>
      </c>
      <c r="AP987" s="15" t="str">
        <f t="shared" si="60"/>
        <v/>
      </c>
    </row>
    <row r="988" spans="38:42" ht="15" customHeight="1">
      <c r="AL988" s="7" t="str">
        <f>IF(A988="","",IF(COUNTIF(A988:A$2001,A988)=1,1,0))</f>
        <v/>
      </c>
      <c r="AM988" s="7" t="str">
        <f t="shared" ca="1" si="57"/>
        <v/>
      </c>
      <c r="AN988" s="7" t="str">
        <f t="shared" si="58"/>
        <v/>
      </c>
      <c r="AO988" s="7" t="str">
        <f t="shared" si="59"/>
        <v/>
      </c>
      <c r="AP988" s="15" t="str">
        <f t="shared" si="60"/>
        <v/>
      </c>
    </row>
    <row r="989" spans="38:42" ht="15" customHeight="1">
      <c r="AL989" s="7" t="str">
        <f>IF(A989="","",IF(COUNTIF(A989:A$2001,A989)=1,1,0))</f>
        <v/>
      </c>
      <c r="AM989" s="7" t="str">
        <f t="shared" ca="1" si="57"/>
        <v/>
      </c>
      <c r="AN989" s="7" t="str">
        <f t="shared" si="58"/>
        <v/>
      </c>
      <c r="AO989" s="7" t="str">
        <f t="shared" si="59"/>
        <v/>
      </c>
      <c r="AP989" s="15" t="str">
        <f t="shared" si="60"/>
        <v/>
      </c>
    </row>
    <row r="990" spans="38:42" ht="15" customHeight="1">
      <c r="AL990" s="7" t="str">
        <f>IF(A990="","",IF(COUNTIF(A990:A$2001,A990)=1,1,0))</f>
        <v/>
      </c>
      <c r="AM990" s="7" t="str">
        <f t="shared" ca="1" si="57"/>
        <v/>
      </c>
      <c r="AN990" s="7" t="str">
        <f t="shared" si="58"/>
        <v/>
      </c>
      <c r="AO990" s="7" t="str">
        <f t="shared" si="59"/>
        <v/>
      </c>
      <c r="AP990" s="15" t="str">
        <f t="shared" si="60"/>
        <v/>
      </c>
    </row>
    <row r="991" spans="38:42" ht="15" customHeight="1">
      <c r="AL991" s="7" t="str">
        <f>IF(A991="","",IF(COUNTIF(A991:A$2001,A991)=1,1,0))</f>
        <v/>
      </c>
      <c r="AM991" s="7" t="str">
        <f t="shared" ca="1" si="57"/>
        <v/>
      </c>
      <c r="AN991" s="7" t="str">
        <f t="shared" si="58"/>
        <v/>
      </c>
      <c r="AO991" s="7" t="str">
        <f t="shared" si="59"/>
        <v/>
      </c>
      <c r="AP991" s="15" t="str">
        <f t="shared" si="60"/>
        <v/>
      </c>
    </row>
    <row r="992" spans="38:42" ht="15" customHeight="1">
      <c r="AL992" s="7" t="str">
        <f>IF(A992="","",IF(COUNTIF(A992:A$2001,A992)=1,1,0))</f>
        <v/>
      </c>
      <c r="AM992" s="7" t="str">
        <f t="shared" ca="1" si="57"/>
        <v/>
      </c>
      <c r="AN992" s="7" t="str">
        <f t="shared" si="58"/>
        <v/>
      </c>
      <c r="AO992" s="7" t="str">
        <f t="shared" si="59"/>
        <v/>
      </c>
      <c r="AP992" s="15" t="str">
        <f t="shared" si="60"/>
        <v/>
      </c>
    </row>
    <row r="993" spans="38:42" ht="15" customHeight="1">
      <c r="AL993" s="7" t="str">
        <f>IF(A993="","",IF(COUNTIF(A993:A$2001,A993)=1,1,0))</f>
        <v/>
      </c>
      <c r="AM993" s="7" t="str">
        <f t="shared" ca="1" si="57"/>
        <v/>
      </c>
      <c r="AN993" s="7" t="str">
        <f t="shared" si="58"/>
        <v/>
      </c>
      <c r="AO993" s="7" t="str">
        <f t="shared" si="59"/>
        <v/>
      </c>
      <c r="AP993" s="15" t="str">
        <f t="shared" si="60"/>
        <v/>
      </c>
    </row>
    <row r="994" spans="38:42" ht="15" customHeight="1">
      <c r="AL994" s="7" t="str">
        <f>IF(A994="","",IF(COUNTIF(A994:A$2001,A994)=1,1,0))</f>
        <v/>
      </c>
      <c r="AM994" s="7" t="str">
        <f t="shared" ca="1" si="57"/>
        <v/>
      </c>
      <c r="AN994" s="7" t="str">
        <f t="shared" si="58"/>
        <v/>
      </c>
      <c r="AO994" s="7" t="str">
        <f t="shared" si="59"/>
        <v/>
      </c>
      <c r="AP994" s="15" t="str">
        <f t="shared" si="60"/>
        <v/>
      </c>
    </row>
    <row r="995" spans="38:42" ht="15" customHeight="1">
      <c r="AL995" s="7" t="str">
        <f>IF(A995="","",IF(COUNTIF(A995:A$2001,A995)=1,1,0))</f>
        <v/>
      </c>
      <c r="AM995" s="7" t="str">
        <f t="shared" ca="1" si="57"/>
        <v/>
      </c>
      <c r="AN995" s="7" t="str">
        <f t="shared" si="58"/>
        <v/>
      </c>
      <c r="AO995" s="7" t="str">
        <f t="shared" si="59"/>
        <v/>
      </c>
      <c r="AP995" s="15" t="str">
        <f t="shared" si="60"/>
        <v/>
      </c>
    </row>
    <row r="996" spans="38:42" ht="15" customHeight="1">
      <c r="AL996" s="7" t="str">
        <f>IF(A996="","",IF(COUNTIF(A996:A$2001,A996)=1,1,0))</f>
        <v/>
      </c>
      <c r="AM996" s="7" t="str">
        <f t="shared" ca="1" si="57"/>
        <v/>
      </c>
      <c r="AN996" s="7" t="str">
        <f t="shared" si="58"/>
        <v/>
      </c>
      <c r="AO996" s="7" t="str">
        <f t="shared" si="59"/>
        <v/>
      </c>
      <c r="AP996" s="15" t="str">
        <f t="shared" si="60"/>
        <v/>
      </c>
    </row>
    <row r="997" spans="38:42" ht="15" customHeight="1">
      <c r="AL997" s="7" t="str">
        <f>IF(A997="","",IF(COUNTIF(A997:A$2001,A997)=1,1,0))</f>
        <v/>
      </c>
      <c r="AM997" s="7" t="str">
        <f t="shared" ca="1" si="57"/>
        <v/>
      </c>
      <c r="AN997" s="7" t="str">
        <f t="shared" si="58"/>
        <v/>
      </c>
      <c r="AO997" s="7" t="str">
        <f t="shared" si="59"/>
        <v/>
      </c>
      <c r="AP997" s="15" t="str">
        <f t="shared" si="60"/>
        <v/>
      </c>
    </row>
    <row r="998" spans="38:42" ht="15" customHeight="1">
      <c r="AL998" s="7" t="str">
        <f>IF(A998="","",IF(COUNTIF(A998:A$2001,A998)=1,1,0))</f>
        <v/>
      </c>
      <c r="AM998" s="7" t="str">
        <f t="shared" ca="1" si="57"/>
        <v/>
      </c>
      <c r="AN998" s="7" t="str">
        <f t="shared" si="58"/>
        <v/>
      </c>
      <c r="AO998" s="7" t="str">
        <f t="shared" si="59"/>
        <v/>
      </c>
      <c r="AP998" s="15" t="str">
        <f t="shared" si="60"/>
        <v/>
      </c>
    </row>
    <row r="999" spans="38:42" ht="15" customHeight="1">
      <c r="AL999" s="7" t="str">
        <f>IF(A999="","",IF(COUNTIF(A999:A$2001,A999)=1,1,0))</f>
        <v/>
      </c>
      <c r="AM999" s="7" t="str">
        <f t="shared" ca="1" si="57"/>
        <v/>
      </c>
      <c r="AN999" s="7" t="str">
        <f t="shared" si="58"/>
        <v/>
      </c>
      <c r="AO999" s="7" t="str">
        <f t="shared" si="59"/>
        <v/>
      </c>
      <c r="AP999" s="15" t="str">
        <f t="shared" si="60"/>
        <v/>
      </c>
    </row>
    <row r="1000" spans="38:42" ht="15" customHeight="1">
      <c r="AL1000" s="7" t="str">
        <f>IF(A1000="","",IF(COUNTIF(A1000:A$2001,A1000)=1,1,0))</f>
        <v/>
      </c>
      <c r="AM1000" s="7" t="str">
        <f t="shared" ca="1" si="57"/>
        <v/>
      </c>
      <c r="AN1000" s="7" t="str">
        <f t="shared" si="58"/>
        <v/>
      </c>
      <c r="AO1000" s="7" t="str">
        <f t="shared" si="59"/>
        <v/>
      </c>
      <c r="AP1000" s="15" t="str">
        <f t="shared" si="60"/>
        <v/>
      </c>
    </row>
    <row r="1001" spans="38:42" ht="15" customHeight="1">
      <c r="AL1001" s="7" t="str">
        <f>IF(A1001="","",IF(COUNTIF(A1001:A$2001,A1001)=1,1,0))</f>
        <v/>
      </c>
      <c r="AM1001" s="7" t="str">
        <f t="shared" ca="1" si="57"/>
        <v/>
      </c>
      <c r="AN1001" s="7" t="str">
        <f t="shared" si="58"/>
        <v/>
      </c>
      <c r="AO1001" s="7" t="str">
        <f t="shared" si="59"/>
        <v/>
      </c>
      <c r="AP1001" s="15" t="str">
        <f t="shared" si="60"/>
        <v/>
      </c>
    </row>
    <row r="1002" spans="38:42" ht="15" customHeight="1">
      <c r="AL1002" s="7" t="str">
        <f>IF(A1002="","",IF(COUNTIF(A1002:A$2001,A1002)=1,1,0))</f>
        <v/>
      </c>
      <c r="AM1002" s="7" t="str">
        <f t="shared" ca="1" si="57"/>
        <v/>
      </c>
      <c r="AN1002" s="7" t="str">
        <f t="shared" si="58"/>
        <v/>
      </c>
      <c r="AO1002" s="7" t="str">
        <f t="shared" si="59"/>
        <v/>
      </c>
      <c r="AP1002" s="15" t="str">
        <f t="shared" si="60"/>
        <v/>
      </c>
    </row>
    <row r="1003" spans="38:42" ht="15" customHeight="1">
      <c r="AL1003" s="7" t="str">
        <f>IF(A1003="","",IF(COUNTIF(A1003:A$2001,A1003)=1,1,0))</f>
        <v/>
      </c>
      <c r="AM1003" s="7" t="str">
        <f t="shared" ca="1" si="57"/>
        <v/>
      </c>
      <c r="AN1003" s="7" t="str">
        <f t="shared" si="58"/>
        <v/>
      </c>
      <c r="AO1003" s="7" t="str">
        <f t="shared" si="59"/>
        <v/>
      </c>
      <c r="AP1003" s="15" t="str">
        <f t="shared" si="60"/>
        <v/>
      </c>
    </row>
    <row r="1004" spans="38:42" ht="15" customHeight="1">
      <c r="AL1004" s="7" t="str">
        <f>IF(A1004="","",IF(COUNTIF(A1004:A$2001,A1004)=1,1,0))</f>
        <v/>
      </c>
      <c r="AM1004" s="7" t="str">
        <f t="shared" ca="1" si="57"/>
        <v/>
      </c>
      <c r="AN1004" s="7" t="str">
        <f t="shared" si="58"/>
        <v/>
      </c>
      <c r="AO1004" s="7" t="str">
        <f t="shared" si="59"/>
        <v/>
      </c>
      <c r="AP1004" s="15" t="str">
        <f t="shared" si="60"/>
        <v/>
      </c>
    </row>
    <row r="1005" spans="38:42" ht="15" customHeight="1">
      <c r="AL1005" s="7" t="str">
        <f>IF(A1005="","",IF(COUNTIF(A1005:A$2001,A1005)=1,1,0))</f>
        <v/>
      </c>
      <c r="AM1005" s="7" t="str">
        <f t="shared" ca="1" si="57"/>
        <v/>
      </c>
      <c r="AN1005" s="7" t="str">
        <f t="shared" si="58"/>
        <v/>
      </c>
      <c r="AO1005" s="7" t="str">
        <f t="shared" si="59"/>
        <v/>
      </c>
      <c r="AP1005" s="15" t="str">
        <f t="shared" si="60"/>
        <v/>
      </c>
    </row>
    <row r="1006" spans="38:42" ht="15" customHeight="1">
      <c r="AL1006" s="7" t="str">
        <f>IF(A1006="","",IF(COUNTIF(A1006:A$2001,A1006)=1,1,0))</f>
        <v/>
      </c>
      <c r="AM1006" s="7" t="str">
        <f t="shared" ca="1" si="57"/>
        <v/>
      </c>
      <c r="AN1006" s="7" t="str">
        <f t="shared" si="58"/>
        <v/>
      </c>
      <c r="AO1006" s="7" t="str">
        <f t="shared" si="59"/>
        <v/>
      </c>
      <c r="AP1006" s="15" t="str">
        <f t="shared" si="60"/>
        <v/>
      </c>
    </row>
    <row r="1007" spans="38:42" ht="15" customHeight="1">
      <c r="AL1007" s="7" t="str">
        <f>IF(A1007="","",IF(COUNTIF(A1007:A$2001,A1007)=1,1,0))</f>
        <v/>
      </c>
      <c r="AM1007" s="7" t="str">
        <f t="shared" ca="1" si="57"/>
        <v/>
      </c>
      <c r="AN1007" s="7" t="str">
        <f t="shared" si="58"/>
        <v/>
      </c>
      <c r="AO1007" s="7" t="str">
        <f t="shared" si="59"/>
        <v/>
      </c>
      <c r="AP1007" s="15" t="str">
        <f t="shared" si="60"/>
        <v/>
      </c>
    </row>
    <row r="1008" spans="38:42" ht="15" customHeight="1">
      <c r="AL1008" s="7" t="str">
        <f>IF(A1008="","",IF(COUNTIF(A1008:A$2001,A1008)=1,1,0))</f>
        <v/>
      </c>
      <c r="AM1008" s="7" t="str">
        <f t="shared" ca="1" si="57"/>
        <v/>
      </c>
      <c r="AN1008" s="7" t="str">
        <f t="shared" si="58"/>
        <v/>
      </c>
      <c r="AO1008" s="7" t="str">
        <f t="shared" si="59"/>
        <v/>
      </c>
      <c r="AP1008" s="15" t="str">
        <f t="shared" si="60"/>
        <v/>
      </c>
    </row>
    <row r="1009" spans="38:42" ht="15" customHeight="1">
      <c r="AL1009" s="7" t="str">
        <f>IF(A1009="","",IF(COUNTIF(A1009:A$2001,A1009)=1,1,0))</f>
        <v/>
      </c>
      <c r="AM1009" s="7" t="str">
        <f t="shared" ca="1" si="57"/>
        <v/>
      </c>
      <c r="AN1009" s="7" t="str">
        <f t="shared" si="58"/>
        <v/>
      </c>
      <c r="AO1009" s="7" t="str">
        <f t="shared" si="59"/>
        <v/>
      </c>
      <c r="AP1009" s="15" t="str">
        <f t="shared" si="60"/>
        <v/>
      </c>
    </row>
    <row r="1010" spans="38:42" ht="15" customHeight="1">
      <c r="AL1010" s="7" t="str">
        <f>IF(A1010="","",IF(COUNTIF(A1010:A$2001,A1010)=1,1,0))</f>
        <v/>
      </c>
      <c r="AM1010" s="7" t="str">
        <f t="shared" ca="1" si="57"/>
        <v/>
      </c>
      <c r="AN1010" s="7" t="str">
        <f t="shared" si="58"/>
        <v/>
      </c>
      <c r="AO1010" s="7" t="str">
        <f t="shared" si="59"/>
        <v/>
      </c>
      <c r="AP1010" s="15" t="str">
        <f t="shared" si="60"/>
        <v/>
      </c>
    </row>
    <row r="1011" spans="38:42" ht="15" customHeight="1">
      <c r="AL1011" s="7" t="str">
        <f>IF(A1011="","",IF(COUNTIF(A1011:A$2001,A1011)=1,1,0))</f>
        <v/>
      </c>
      <c r="AM1011" s="7" t="str">
        <f t="shared" ca="1" si="57"/>
        <v/>
      </c>
      <c r="AN1011" s="7" t="str">
        <f t="shared" si="58"/>
        <v/>
      </c>
      <c r="AO1011" s="7" t="str">
        <f t="shared" si="59"/>
        <v/>
      </c>
      <c r="AP1011" s="15" t="str">
        <f t="shared" si="60"/>
        <v/>
      </c>
    </row>
    <row r="1012" spans="38:42" ht="15" customHeight="1">
      <c r="AL1012" s="7" t="str">
        <f>IF(A1012="","",IF(COUNTIF(A1012:A$2001,A1012)=1,1,0))</f>
        <v/>
      </c>
      <c r="AM1012" s="7" t="str">
        <f t="shared" ca="1" si="57"/>
        <v/>
      </c>
      <c r="AN1012" s="7" t="str">
        <f t="shared" si="58"/>
        <v/>
      </c>
      <c r="AO1012" s="7" t="str">
        <f t="shared" si="59"/>
        <v/>
      </c>
      <c r="AP1012" s="15" t="str">
        <f t="shared" si="60"/>
        <v/>
      </c>
    </row>
    <row r="1013" spans="38:42" ht="15" customHeight="1">
      <c r="AL1013" s="7" t="str">
        <f>IF(A1013="","",IF(COUNTIF(A1013:A$2001,A1013)=1,1,0))</f>
        <v/>
      </c>
      <c r="AM1013" s="7" t="str">
        <f t="shared" ca="1" si="57"/>
        <v/>
      </c>
      <c r="AN1013" s="7" t="str">
        <f t="shared" si="58"/>
        <v/>
      </c>
      <c r="AO1013" s="7" t="str">
        <f t="shared" si="59"/>
        <v/>
      </c>
      <c r="AP1013" s="15" t="str">
        <f t="shared" si="60"/>
        <v/>
      </c>
    </row>
    <row r="1014" spans="38:42" ht="15" customHeight="1">
      <c r="AL1014" s="7" t="str">
        <f>IF(A1014="","",IF(COUNTIF(A1014:A$2001,A1014)=1,1,0))</f>
        <v/>
      </c>
      <c r="AM1014" s="7" t="str">
        <f t="shared" ca="1" si="57"/>
        <v/>
      </c>
      <c r="AN1014" s="7" t="str">
        <f t="shared" si="58"/>
        <v/>
      </c>
      <c r="AO1014" s="7" t="str">
        <f t="shared" si="59"/>
        <v/>
      </c>
      <c r="AP1014" s="15" t="str">
        <f t="shared" si="60"/>
        <v/>
      </c>
    </row>
    <row r="1015" spans="38:42" ht="15" customHeight="1">
      <c r="AL1015" s="7" t="str">
        <f>IF(A1015="","",IF(COUNTIF(A1015:A$2001,A1015)=1,1,0))</f>
        <v/>
      </c>
      <c r="AM1015" s="7" t="str">
        <f t="shared" ca="1" si="57"/>
        <v/>
      </c>
      <c r="AN1015" s="7" t="str">
        <f t="shared" si="58"/>
        <v/>
      </c>
      <c r="AO1015" s="7" t="str">
        <f t="shared" si="59"/>
        <v/>
      </c>
      <c r="AP1015" s="15" t="str">
        <f t="shared" si="60"/>
        <v/>
      </c>
    </row>
    <row r="1016" spans="38:42" ht="15" customHeight="1">
      <c r="AL1016" s="7" t="str">
        <f>IF(A1016="","",IF(COUNTIF(A1016:A$2001,A1016)=1,1,0))</f>
        <v/>
      </c>
      <c r="AM1016" s="7" t="str">
        <f t="shared" ca="1" si="57"/>
        <v/>
      </c>
      <c r="AN1016" s="7" t="str">
        <f t="shared" si="58"/>
        <v/>
      </c>
      <c r="AO1016" s="7" t="str">
        <f t="shared" si="59"/>
        <v/>
      </c>
      <c r="AP1016" s="15" t="str">
        <f t="shared" si="60"/>
        <v/>
      </c>
    </row>
    <row r="1017" spans="38:42" ht="15" customHeight="1">
      <c r="AL1017" s="7" t="str">
        <f>IF(A1017="","",IF(COUNTIF(A1017:A$2001,A1017)=1,1,0))</f>
        <v/>
      </c>
      <c r="AM1017" s="7" t="str">
        <f t="shared" ca="1" si="57"/>
        <v/>
      </c>
      <c r="AN1017" s="7" t="str">
        <f t="shared" si="58"/>
        <v/>
      </c>
      <c r="AO1017" s="7" t="str">
        <f t="shared" si="59"/>
        <v/>
      </c>
      <c r="AP1017" s="15" t="str">
        <f t="shared" si="60"/>
        <v/>
      </c>
    </row>
    <row r="1018" spans="38:42" ht="15" customHeight="1">
      <c r="AL1018" s="7" t="str">
        <f>IF(A1018="","",IF(COUNTIF(A1018:A$2001,A1018)=1,1,0))</f>
        <v/>
      </c>
      <c r="AM1018" s="7" t="str">
        <f t="shared" ca="1" si="57"/>
        <v/>
      </c>
      <c r="AN1018" s="7" t="str">
        <f t="shared" si="58"/>
        <v/>
      </c>
      <c r="AO1018" s="7" t="str">
        <f t="shared" si="59"/>
        <v/>
      </c>
      <c r="AP1018" s="15" t="str">
        <f t="shared" si="60"/>
        <v/>
      </c>
    </row>
    <row r="1019" spans="38:42" ht="15" customHeight="1">
      <c r="AL1019" s="7" t="str">
        <f>IF(A1019="","",IF(COUNTIF(A1019:A$2001,A1019)=1,1,0))</f>
        <v/>
      </c>
      <c r="AM1019" s="7" t="str">
        <f t="shared" ca="1" si="57"/>
        <v/>
      </c>
      <c r="AN1019" s="7" t="str">
        <f t="shared" si="58"/>
        <v/>
      </c>
      <c r="AO1019" s="7" t="str">
        <f t="shared" si="59"/>
        <v/>
      </c>
      <c r="AP1019" s="15" t="str">
        <f t="shared" si="60"/>
        <v/>
      </c>
    </row>
    <row r="1020" spans="38:42" ht="15" customHeight="1">
      <c r="AL1020" s="7" t="str">
        <f>IF(A1020="","",IF(COUNTIF(A1020:A$2001,A1020)=1,1,0))</f>
        <v/>
      </c>
      <c r="AM1020" s="7" t="str">
        <f t="shared" ca="1" si="57"/>
        <v/>
      </c>
      <c r="AN1020" s="7" t="str">
        <f t="shared" si="58"/>
        <v/>
      </c>
      <c r="AO1020" s="7" t="str">
        <f t="shared" si="59"/>
        <v/>
      </c>
      <c r="AP1020" s="15" t="str">
        <f t="shared" si="60"/>
        <v/>
      </c>
    </row>
    <row r="1021" spans="38:42" ht="15" customHeight="1">
      <c r="AL1021" s="7" t="str">
        <f>IF(A1021="","",IF(COUNTIF(A1021:A$2001,A1021)=1,1,0))</f>
        <v/>
      </c>
      <c r="AM1021" s="7" t="str">
        <f t="shared" ca="1" si="57"/>
        <v/>
      </c>
      <c r="AN1021" s="7" t="str">
        <f t="shared" si="58"/>
        <v/>
      </c>
      <c r="AO1021" s="7" t="str">
        <f t="shared" si="59"/>
        <v/>
      </c>
      <c r="AP1021" s="15" t="str">
        <f t="shared" si="60"/>
        <v/>
      </c>
    </row>
    <row r="1022" spans="38:42" ht="15" customHeight="1">
      <c r="AL1022" s="7" t="str">
        <f>IF(A1022="","",IF(COUNTIF(A1022:A$2001,A1022)=1,1,0))</f>
        <v/>
      </c>
      <c r="AM1022" s="7" t="str">
        <f t="shared" ca="1" si="57"/>
        <v/>
      </c>
      <c r="AN1022" s="7" t="str">
        <f t="shared" si="58"/>
        <v/>
      </c>
      <c r="AO1022" s="7" t="str">
        <f t="shared" si="59"/>
        <v/>
      </c>
      <c r="AP1022" s="15" t="str">
        <f t="shared" si="60"/>
        <v/>
      </c>
    </row>
    <row r="1023" spans="38:42" ht="15" customHeight="1">
      <c r="AL1023" s="7" t="str">
        <f>IF(A1023="","",IF(COUNTIF(A1023:A$2001,A1023)=1,1,0))</f>
        <v/>
      </c>
      <c r="AM1023" s="7" t="str">
        <f t="shared" ca="1" si="57"/>
        <v/>
      </c>
      <c r="AN1023" s="7" t="str">
        <f t="shared" si="58"/>
        <v/>
      </c>
      <c r="AO1023" s="7" t="str">
        <f t="shared" si="59"/>
        <v/>
      </c>
      <c r="AP1023" s="15" t="str">
        <f t="shared" si="60"/>
        <v/>
      </c>
    </row>
    <row r="1024" spans="38:42" ht="15" customHeight="1">
      <c r="AL1024" s="7" t="str">
        <f>IF(A1024="","",IF(COUNTIF(A1024:A$2001,A1024)=1,1,0))</f>
        <v/>
      </c>
      <c r="AM1024" s="7" t="str">
        <f t="shared" ca="1" si="57"/>
        <v/>
      </c>
      <c r="AN1024" s="7" t="str">
        <f t="shared" si="58"/>
        <v/>
      </c>
      <c r="AO1024" s="7" t="str">
        <f t="shared" si="59"/>
        <v/>
      </c>
      <c r="AP1024" s="15" t="str">
        <f t="shared" si="60"/>
        <v/>
      </c>
    </row>
    <row r="1025" spans="38:42" ht="15" customHeight="1">
      <c r="AL1025" s="7" t="str">
        <f>IF(A1025="","",IF(COUNTIF(A1025:A$2001,A1025)=1,1,0))</f>
        <v/>
      </c>
      <c r="AM1025" s="7" t="str">
        <f t="shared" ca="1" si="57"/>
        <v/>
      </c>
      <c r="AN1025" s="7" t="str">
        <f t="shared" si="58"/>
        <v/>
      </c>
      <c r="AO1025" s="7" t="str">
        <f t="shared" si="59"/>
        <v/>
      </c>
      <c r="AP1025" s="15" t="str">
        <f t="shared" si="60"/>
        <v/>
      </c>
    </row>
    <row r="1026" spans="38:42" ht="15" customHeight="1">
      <c r="AL1026" s="7" t="str">
        <f>IF(A1026="","",IF(COUNTIF(A1026:A$2001,A1026)=1,1,0))</f>
        <v/>
      </c>
      <c r="AM1026" s="7" t="str">
        <f t="shared" ref="AM1026:AM1089" ca="1" si="61">IF(I1026="","",TODAY()-I1026)</f>
        <v/>
      </c>
      <c r="AN1026" s="7" t="str">
        <f t="shared" ref="AN1026:AN1089" si="62">IF(A1026="","",IF(AND(E1026&lt;&gt;"33 確認済",E1026&lt;&gt;"36 送付中"),1,0))</f>
        <v/>
      </c>
      <c r="AO1026" s="7" t="str">
        <f t="shared" ref="AO1026:AO1089" si="63">IF(A1026="","",IF(AG1026&lt;&gt;"",1,0))</f>
        <v/>
      </c>
      <c r="AP1026" s="15" t="str">
        <f t="shared" ref="AP1026:AP1089" si="64">IF(P1026&lt;&gt;"","・添待ち","")&amp;IF(Q1026&lt;&gt;"","・住民票","")&amp;IF(R1026&lt;&gt;"","・発信","")&amp;IF(S1026&lt;&gt;"","・確認事項","")&amp;IF(T1026&lt;&gt;"","・管","")&amp;IF(U1026&lt;&gt;"","・SV","")&amp;IF(V1026&lt;&gt;"","・データ送付待ち","")&amp;IF(W1026&lt;&gt;"","・削除","")</f>
        <v/>
      </c>
    </row>
    <row r="1027" spans="38:42" ht="15" customHeight="1">
      <c r="AL1027" s="7" t="str">
        <f>IF(A1027="","",IF(COUNTIF(A1027:A$2001,A1027)=1,1,0))</f>
        <v/>
      </c>
      <c r="AM1027" s="7" t="str">
        <f t="shared" ca="1" si="61"/>
        <v/>
      </c>
      <c r="AN1027" s="7" t="str">
        <f t="shared" si="62"/>
        <v/>
      </c>
      <c r="AO1027" s="7" t="str">
        <f t="shared" si="63"/>
        <v/>
      </c>
      <c r="AP1027" s="15" t="str">
        <f t="shared" si="64"/>
        <v/>
      </c>
    </row>
    <row r="1028" spans="38:42" ht="15" customHeight="1">
      <c r="AL1028" s="7" t="str">
        <f>IF(A1028="","",IF(COUNTIF(A1028:A$2001,A1028)=1,1,0))</f>
        <v/>
      </c>
      <c r="AM1028" s="7" t="str">
        <f t="shared" ca="1" si="61"/>
        <v/>
      </c>
      <c r="AN1028" s="7" t="str">
        <f t="shared" si="62"/>
        <v/>
      </c>
      <c r="AO1028" s="7" t="str">
        <f t="shared" si="63"/>
        <v/>
      </c>
      <c r="AP1028" s="15" t="str">
        <f t="shared" si="64"/>
        <v/>
      </c>
    </row>
    <row r="1029" spans="38:42" ht="15" customHeight="1">
      <c r="AL1029" s="7" t="str">
        <f>IF(A1029="","",IF(COUNTIF(A1029:A$2001,A1029)=1,1,0))</f>
        <v/>
      </c>
      <c r="AM1029" s="7" t="str">
        <f t="shared" ca="1" si="61"/>
        <v/>
      </c>
      <c r="AN1029" s="7" t="str">
        <f t="shared" si="62"/>
        <v/>
      </c>
      <c r="AO1029" s="7" t="str">
        <f t="shared" si="63"/>
        <v/>
      </c>
      <c r="AP1029" s="15" t="str">
        <f t="shared" si="64"/>
        <v/>
      </c>
    </row>
    <row r="1030" spans="38:42" ht="15" customHeight="1">
      <c r="AL1030" s="7" t="str">
        <f>IF(A1030="","",IF(COUNTIF(A1030:A$2001,A1030)=1,1,0))</f>
        <v/>
      </c>
      <c r="AM1030" s="7" t="str">
        <f t="shared" ca="1" si="61"/>
        <v/>
      </c>
      <c r="AN1030" s="7" t="str">
        <f t="shared" si="62"/>
        <v/>
      </c>
      <c r="AO1030" s="7" t="str">
        <f t="shared" si="63"/>
        <v/>
      </c>
      <c r="AP1030" s="15" t="str">
        <f t="shared" si="64"/>
        <v/>
      </c>
    </row>
    <row r="1031" spans="38:42" ht="15" customHeight="1">
      <c r="AL1031" s="7" t="str">
        <f>IF(A1031="","",IF(COUNTIF(A1031:A$2001,A1031)=1,1,0))</f>
        <v/>
      </c>
      <c r="AM1031" s="7" t="str">
        <f t="shared" ca="1" si="61"/>
        <v/>
      </c>
      <c r="AN1031" s="7" t="str">
        <f t="shared" si="62"/>
        <v/>
      </c>
      <c r="AO1031" s="7" t="str">
        <f t="shared" si="63"/>
        <v/>
      </c>
      <c r="AP1031" s="15" t="str">
        <f t="shared" si="64"/>
        <v/>
      </c>
    </row>
    <row r="1032" spans="38:42" ht="15" customHeight="1">
      <c r="AL1032" s="7" t="str">
        <f>IF(A1032="","",IF(COUNTIF(A1032:A$2001,A1032)=1,1,0))</f>
        <v/>
      </c>
      <c r="AM1032" s="7" t="str">
        <f t="shared" ca="1" si="61"/>
        <v/>
      </c>
      <c r="AN1032" s="7" t="str">
        <f t="shared" si="62"/>
        <v/>
      </c>
      <c r="AO1032" s="7" t="str">
        <f t="shared" si="63"/>
        <v/>
      </c>
      <c r="AP1032" s="15" t="str">
        <f t="shared" si="64"/>
        <v/>
      </c>
    </row>
    <row r="1033" spans="38:42" ht="15" customHeight="1">
      <c r="AL1033" s="7" t="str">
        <f>IF(A1033="","",IF(COUNTIF(A1033:A$2001,A1033)=1,1,0))</f>
        <v/>
      </c>
      <c r="AM1033" s="7" t="str">
        <f t="shared" ca="1" si="61"/>
        <v/>
      </c>
      <c r="AN1033" s="7" t="str">
        <f t="shared" si="62"/>
        <v/>
      </c>
      <c r="AO1033" s="7" t="str">
        <f t="shared" si="63"/>
        <v/>
      </c>
      <c r="AP1033" s="15" t="str">
        <f t="shared" si="64"/>
        <v/>
      </c>
    </row>
    <row r="1034" spans="38:42" ht="15" customHeight="1">
      <c r="AL1034" s="7" t="str">
        <f>IF(A1034="","",IF(COUNTIF(A1034:A$2001,A1034)=1,1,0))</f>
        <v/>
      </c>
      <c r="AM1034" s="7" t="str">
        <f t="shared" ca="1" si="61"/>
        <v/>
      </c>
      <c r="AN1034" s="7" t="str">
        <f t="shared" si="62"/>
        <v/>
      </c>
      <c r="AO1034" s="7" t="str">
        <f t="shared" si="63"/>
        <v/>
      </c>
      <c r="AP1034" s="15" t="str">
        <f t="shared" si="64"/>
        <v/>
      </c>
    </row>
    <row r="1035" spans="38:42" ht="15" customHeight="1">
      <c r="AL1035" s="7" t="str">
        <f>IF(A1035="","",IF(COUNTIF(A1035:A$2001,A1035)=1,1,0))</f>
        <v/>
      </c>
      <c r="AM1035" s="7" t="str">
        <f t="shared" ca="1" si="61"/>
        <v/>
      </c>
      <c r="AN1035" s="7" t="str">
        <f t="shared" si="62"/>
        <v/>
      </c>
      <c r="AO1035" s="7" t="str">
        <f t="shared" si="63"/>
        <v/>
      </c>
      <c r="AP1035" s="15" t="str">
        <f t="shared" si="64"/>
        <v/>
      </c>
    </row>
    <row r="1036" spans="38:42" ht="15" customHeight="1">
      <c r="AL1036" s="7" t="str">
        <f>IF(A1036="","",IF(COUNTIF(A1036:A$2001,A1036)=1,1,0))</f>
        <v/>
      </c>
      <c r="AM1036" s="7" t="str">
        <f t="shared" ca="1" si="61"/>
        <v/>
      </c>
      <c r="AN1036" s="7" t="str">
        <f t="shared" si="62"/>
        <v/>
      </c>
      <c r="AO1036" s="7" t="str">
        <f t="shared" si="63"/>
        <v/>
      </c>
      <c r="AP1036" s="15" t="str">
        <f t="shared" si="64"/>
        <v/>
      </c>
    </row>
    <row r="1037" spans="38:42" ht="15" customHeight="1">
      <c r="AL1037" s="7" t="str">
        <f>IF(A1037="","",IF(COUNTIF(A1037:A$2001,A1037)=1,1,0))</f>
        <v/>
      </c>
      <c r="AM1037" s="7" t="str">
        <f t="shared" ca="1" si="61"/>
        <v/>
      </c>
      <c r="AN1037" s="7" t="str">
        <f t="shared" si="62"/>
        <v/>
      </c>
      <c r="AO1037" s="7" t="str">
        <f t="shared" si="63"/>
        <v/>
      </c>
      <c r="AP1037" s="15" t="str">
        <f t="shared" si="64"/>
        <v/>
      </c>
    </row>
    <row r="1038" spans="38:42" ht="15" customHeight="1">
      <c r="AL1038" s="7" t="str">
        <f>IF(A1038="","",IF(COUNTIF(A1038:A$2001,A1038)=1,1,0))</f>
        <v/>
      </c>
      <c r="AM1038" s="7" t="str">
        <f t="shared" ca="1" si="61"/>
        <v/>
      </c>
      <c r="AN1038" s="7" t="str">
        <f t="shared" si="62"/>
        <v/>
      </c>
      <c r="AO1038" s="7" t="str">
        <f t="shared" si="63"/>
        <v/>
      </c>
      <c r="AP1038" s="15" t="str">
        <f t="shared" si="64"/>
        <v/>
      </c>
    </row>
    <row r="1039" spans="38:42" ht="15" customHeight="1">
      <c r="AL1039" s="7" t="str">
        <f>IF(A1039="","",IF(COUNTIF(A1039:A$2001,A1039)=1,1,0))</f>
        <v/>
      </c>
      <c r="AM1039" s="7" t="str">
        <f t="shared" ca="1" si="61"/>
        <v/>
      </c>
      <c r="AN1039" s="7" t="str">
        <f t="shared" si="62"/>
        <v/>
      </c>
      <c r="AO1039" s="7" t="str">
        <f t="shared" si="63"/>
        <v/>
      </c>
      <c r="AP1039" s="15" t="str">
        <f t="shared" si="64"/>
        <v/>
      </c>
    </row>
    <row r="1040" spans="38:42" ht="15" customHeight="1">
      <c r="AL1040" s="7" t="str">
        <f>IF(A1040="","",IF(COUNTIF(A1040:A$2001,A1040)=1,1,0))</f>
        <v/>
      </c>
      <c r="AM1040" s="7" t="str">
        <f t="shared" ca="1" si="61"/>
        <v/>
      </c>
      <c r="AN1040" s="7" t="str">
        <f t="shared" si="62"/>
        <v/>
      </c>
      <c r="AO1040" s="7" t="str">
        <f t="shared" si="63"/>
        <v/>
      </c>
      <c r="AP1040" s="15" t="str">
        <f t="shared" si="64"/>
        <v/>
      </c>
    </row>
    <row r="1041" spans="38:42" ht="15" customHeight="1">
      <c r="AL1041" s="7" t="str">
        <f>IF(A1041="","",IF(COUNTIF(A1041:A$2001,A1041)=1,1,0))</f>
        <v/>
      </c>
      <c r="AM1041" s="7" t="str">
        <f t="shared" ca="1" si="61"/>
        <v/>
      </c>
      <c r="AN1041" s="7" t="str">
        <f t="shared" si="62"/>
        <v/>
      </c>
      <c r="AO1041" s="7" t="str">
        <f t="shared" si="63"/>
        <v/>
      </c>
      <c r="AP1041" s="15" t="str">
        <f t="shared" si="64"/>
        <v/>
      </c>
    </row>
    <row r="1042" spans="38:42" ht="15" customHeight="1">
      <c r="AL1042" s="7" t="str">
        <f>IF(A1042="","",IF(COUNTIF(A1042:A$2001,A1042)=1,1,0))</f>
        <v/>
      </c>
      <c r="AM1042" s="7" t="str">
        <f t="shared" ca="1" si="61"/>
        <v/>
      </c>
      <c r="AN1042" s="7" t="str">
        <f t="shared" si="62"/>
        <v/>
      </c>
      <c r="AO1042" s="7" t="str">
        <f t="shared" si="63"/>
        <v/>
      </c>
      <c r="AP1042" s="15" t="str">
        <f t="shared" si="64"/>
        <v/>
      </c>
    </row>
    <row r="1043" spans="38:42" ht="15" customHeight="1">
      <c r="AL1043" s="7" t="str">
        <f>IF(A1043="","",IF(COUNTIF(A1043:A$2001,A1043)=1,1,0))</f>
        <v/>
      </c>
      <c r="AM1043" s="7" t="str">
        <f t="shared" ca="1" si="61"/>
        <v/>
      </c>
      <c r="AN1043" s="7" t="str">
        <f t="shared" si="62"/>
        <v/>
      </c>
      <c r="AO1043" s="7" t="str">
        <f t="shared" si="63"/>
        <v/>
      </c>
      <c r="AP1043" s="15" t="str">
        <f t="shared" si="64"/>
        <v/>
      </c>
    </row>
    <row r="1044" spans="38:42" ht="15" customHeight="1">
      <c r="AL1044" s="7" t="str">
        <f>IF(A1044="","",IF(COUNTIF(A1044:A$2001,A1044)=1,1,0))</f>
        <v/>
      </c>
      <c r="AM1044" s="7" t="str">
        <f t="shared" ca="1" si="61"/>
        <v/>
      </c>
      <c r="AN1044" s="7" t="str">
        <f t="shared" si="62"/>
        <v/>
      </c>
      <c r="AO1044" s="7" t="str">
        <f t="shared" si="63"/>
        <v/>
      </c>
      <c r="AP1044" s="15" t="str">
        <f t="shared" si="64"/>
        <v/>
      </c>
    </row>
    <row r="1045" spans="38:42" ht="15" customHeight="1">
      <c r="AL1045" s="7" t="str">
        <f>IF(A1045="","",IF(COUNTIF(A1045:A$2001,A1045)=1,1,0))</f>
        <v/>
      </c>
      <c r="AM1045" s="7" t="str">
        <f t="shared" ca="1" si="61"/>
        <v/>
      </c>
      <c r="AN1045" s="7" t="str">
        <f t="shared" si="62"/>
        <v/>
      </c>
      <c r="AO1045" s="7" t="str">
        <f t="shared" si="63"/>
        <v/>
      </c>
      <c r="AP1045" s="15" t="str">
        <f t="shared" si="64"/>
        <v/>
      </c>
    </row>
    <row r="1046" spans="38:42" ht="15" customHeight="1">
      <c r="AL1046" s="7" t="str">
        <f>IF(A1046="","",IF(COUNTIF(A1046:A$2001,A1046)=1,1,0))</f>
        <v/>
      </c>
      <c r="AM1046" s="7" t="str">
        <f t="shared" ca="1" si="61"/>
        <v/>
      </c>
      <c r="AN1046" s="7" t="str">
        <f t="shared" si="62"/>
        <v/>
      </c>
      <c r="AO1046" s="7" t="str">
        <f t="shared" si="63"/>
        <v/>
      </c>
      <c r="AP1046" s="15" t="str">
        <f t="shared" si="64"/>
        <v/>
      </c>
    </row>
    <row r="1047" spans="38:42" ht="15" customHeight="1">
      <c r="AL1047" s="7" t="str">
        <f>IF(A1047="","",IF(COUNTIF(A1047:A$2001,A1047)=1,1,0))</f>
        <v/>
      </c>
      <c r="AM1047" s="7" t="str">
        <f t="shared" ca="1" si="61"/>
        <v/>
      </c>
      <c r="AN1047" s="7" t="str">
        <f t="shared" si="62"/>
        <v/>
      </c>
      <c r="AO1047" s="7" t="str">
        <f t="shared" si="63"/>
        <v/>
      </c>
      <c r="AP1047" s="15" t="str">
        <f t="shared" si="64"/>
        <v/>
      </c>
    </row>
    <row r="1048" spans="38:42" ht="15" customHeight="1">
      <c r="AL1048" s="7" t="str">
        <f>IF(A1048="","",IF(COUNTIF(A1048:A$2001,A1048)=1,1,0))</f>
        <v/>
      </c>
      <c r="AM1048" s="7" t="str">
        <f t="shared" ca="1" si="61"/>
        <v/>
      </c>
      <c r="AN1048" s="7" t="str">
        <f t="shared" si="62"/>
        <v/>
      </c>
      <c r="AO1048" s="7" t="str">
        <f t="shared" si="63"/>
        <v/>
      </c>
      <c r="AP1048" s="15" t="str">
        <f t="shared" si="64"/>
        <v/>
      </c>
    </row>
    <row r="1049" spans="38:42" ht="15" customHeight="1">
      <c r="AL1049" s="7" t="str">
        <f>IF(A1049="","",IF(COUNTIF(A1049:A$2001,A1049)=1,1,0))</f>
        <v/>
      </c>
      <c r="AM1049" s="7" t="str">
        <f t="shared" ca="1" si="61"/>
        <v/>
      </c>
      <c r="AN1049" s="7" t="str">
        <f t="shared" si="62"/>
        <v/>
      </c>
      <c r="AO1049" s="7" t="str">
        <f t="shared" si="63"/>
        <v/>
      </c>
      <c r="AP1049" s="15" t="str">
        <f t="shared" si="64"/>
        <v/>
      </c>
    </row>
    <row r="1050" spans="38:42" ht="15" customHeight="1">
      <c r="AL1050" s="7" t="str">
        <f>IF(A1050="","",IF(COUNTIF(A1050:A$2001,A1050)=1,1,0))</f>
        <v/>
      </c>
      <c r="AM1050" s="7" t="str">
        <f t="shared" ca="1" si="61"/>
        <v/>
      </c>
      <c r="AN1050" s="7" t="str">
        <f t="shared" si="62"/>
        <v/>
      </c>
      <c r="AO1050" s="7" t="str">
        <f t="shared" si="63"/>
        <v/>
      </c>
      <c r="AP1050" s="15" t="str">
        <f t="shared" si="64"/>
        <v/>
      </c>
    </row>
    <row r="1051" spans="38:42" ht="15" customHeight="1">
      <c r="AL1051" s="7" t="str">
        <f>IF(A1051="","",IF(COUNTIF(A1051:A$2001,A1051)=1,1,0))</f>
        <v/>
      </c>
      <c r="AM1051" s="7" t="str">
        <f t="shared" ca="1" si="61"/>
        <v/>
      </c>
      <c r="AN1051" s="7" t="str">
        <f t="shared" si="62"/>
        <v/>
      </c>
      <c r="AO1051" s="7" t="str">
        <f t="shared" si="63"/>
        <v/>
      </c>
      <c r="AP1051" s="15" t="str">
        <f t="shared" si="64"/>
        <v/>
      </c>
    </row>
    <row r="1052" spans="38:42" ht="15" customHeight="1">
      <c r="AL1052" s="7" t="str">
        <f>IF(A1052="","",IF(COUNTIF(A1052:A$2001,A1052)=1,1,0))</f>
        <v/>
      </c>
      <c r="AM1052" s="7" t="str">
        <f t="shared" ca="1" si="61"/>
        <v/>
      </c>
      <c r="AN1052" s="7" t="str">
        <f t="shared" si="62"/>
        <v/>
      </c>
      <c r="AO1052" s="7" t="str">
        <f t="shared" si="63"/>
        <v/>
      </c>
      <c r="AP1052" s="15" t="str">
        <f t="shared" si="64"/>
        <v/>
      </c>
    </row>
    <row r="1053" spans="38:42" ht="15" customHeight="1">
      <c r="AL1053" s="7" t="str">
        <f>IF(A1053="","",IF(COUNTIF(A1053:A$2001,A1053)=1,1,0))</f>
        <v/>
      </c>
      <c r="AM1053" s="7" t="str">
        <f t="shared" ca="1" si="61"/>
        <v/>
      </c>
      <c r="AN1053" s="7" t="str">
        <f t="shared" si="62"/>
        <v/>
      </c>
      <c r="AO1053" s="7" t="str">
        <f t="shared" si="63"/>
        <v/>
      </c>
      <c r="AP1053" s="15" t="str">
        <f t="shared" si="64"/>
        <v/>
      </c>
    </row>
    <row r="1054" spans="38:42" ht="15" customHeight="1">
      <c r="AL1054" s="7" t="str">
        <f>IF(A1054="","",IF(COUNTIF(A1054:A$2001,A1054)=1,1,0))</f>
        <v/>
      </c>
      <c r="AM1054" s="7" t="str">
        <f t="shared" ca="1" si="61"/>
        <v/>
      </c>
      <c r="AN1054" s="7" t="str">
        <f t="shared" si="62"/>
        <v/>
      </c>
      <c r="AO1054" s="7" t="str">
        <f t="shared" si="63"/>
        <v/>
      </c>
      <c r="AP1054" s="15" t="str">
        <f t="shared" si="64"/>
        <v/>
      </c>
    </row>
    <row r="1055" spans="38:42" ht="15" customHeight="1">
      <c r="AL1055" s="7" t="str">
        <f>IF(A1055="","",IF(COUNTIF(A1055:A$2001,A1055)=1,1,0))</f>
        <v/>
      </c>
      <c r="AM1055" s="7" t="str">
        <f t="shared" ca="1" si="61"/>
        <v/>
      </c>
      <c r="AN1055" s="7" t="str">
        <f t="shared" si="62"/>
        <v/>
      </c>
      <c r="AO1055" s="7" t="str">
        <f t="shared" si="63"/>
        <v/>
      </c>
      <c r="AP1055" s="15" t="str">
        <f t="shared" si="64"/>
        <v/>
      </c>
    </row>
    <row r="1056" spans="38:42" ht="15" customHeight="1">
      <c r="AL1056" s="7" t="str">
        <f>IF(A1056="","",IF(COUNTIF(A1056:A$2001,A1056)=1,1,0))</f>
        <v/>
      </c>
      <c r="AM1056" s="7" t="str">
        <f t="shared" ca="1" si="61"/>
        <v/>
      </c>
      <c r="AN1056" s="7" t="str">
        <f t="shared" si="62"/>
        <v/>
      </c>
      <c r="AO1056" s="7" t="str">
        <f t="shared" si="63"/>
        <v/>
      </c>
      <c r="AP1056" s="15" t="str">
        <f t="shared" si="64"/>
        <v/>
      </c>
    </row>
    <row r="1057" spans="38:42" ht="15" customHeight="1">
      <c r="AL1057" s="7" t="str">
        <f>IF(A1057="","",IF(COUNTIF(A1057:A$2001,A1057)=1,1,0))</f>
        <v/>
      </c>
      <c r="AM1057" s="7" t="str">
        <f t="shared" ca="1" si="61"/>
        <v/>
      </c>
      <c r="AN1057" s="7" t="str">
        <f t="shared" si="62"/>
        <v/>
      </c>
      <c r="AO1057" s="7" t="str">
        <f t="shared" si="63"/>
        <v/>
      </c>
      <c r="AP1057" s="15" t="str">
        <f t="shared" si="64"/>
        <v/>
      </c>
    </row>
    <row r="1058" spans="38:42" ht="15" customHeight="1">
      <c r="AL1058" s="7" t="str">
        <f>IF(A1058="","",IF(COUNTIF(A1058:A$2001,A1058)=1,1,0))</f>
        <v/>
      </c>
      <c r="AM1058" s="7" t="str">
        <f t="shared" ca="1" si="61"/>
        <v/>
      </c>
      <c r="AN1058" s="7" t="str">
        <f t="shared" si="62"/>
        <v/>
      </c>
      <c r="AO1058" s="7" t="str">
        <f t="shared" si="63"/>
        <v/>
      </c>
      <c r="AP1058" s="15" t="str">
        <f t="shared" si="64"/>
        <v/>
      </c>
    </row>
    <row r="1059" spans="38:42" ht="15" customHeight="1">
      <c r="AL1059" s="7" t="str">
        <f>IF(A1059="","",IF(COUNTIF(A1059:A$2001,A1059)=1,1,0))</f>
        <v/>
      </c>
      <c r="AM1059" s="7" t="str">
        <f t="shared" ca="1" si="61"/>
        <v/>
      </c>
      <c r="AN1059" s="7" t="str">
        <f t="shared" si="62"/>
        <v/>
      </c>
      <c r="AO1059" s="7" t="str">
        <f t="shared" si="63"/>
        <v/>
      </c>
      <c r="AP1059" s="15" t="str">
        <f t="shared" si="64"/>
        <v/>
      </c>
    </row>
    <row r="1060" spans="38:42" ht="15" customHeight="1">
      <c r="AL1060" s="7" t="str">
        <f>IF(A1060="","",IF(COUNTIF(A1060:A$2001,A1060)=1,1,0))</f>
        <v/>
      </c>
      <c r="AM1060" s="7" t="str">
        <f t="shared" ca="1" si="61"/>
        <v/>
      </c>
      <c r="AN1060" s="7" t="str">
        <f t="shared" si="62"/>
        <v/>
      </c>
      <c r="AO1060" s="7" t="str">
        <f t="shared" si="63"/>
        <v/>
      </c>
      <c r="AP1060" s="15" t="str">
        <f t="shared" si="64"/>
        <v/>
      </c>
    </row>
    <row r="1061" spans="38:42" ht="15" customHeight="1">
      <c r="AL1061" s="7" t="str">
        <f>IF(A1061="","",IF(COUNTIF(A1061:A$2001,A1061)=1,1,0))</f>
        <v/>
      </c>
      <c r="AM1061" s="7" t="str">
        <f t="shared" ca="1" si="61"/>
        <v/>
      </c>
      <c r="AN1061" s="7" t="str">
        <f t="shared" si="62"/>
        <v/>
      </c>
      <c r="AO1061" s="7" t="str">
        <f t="shared" si="63"/>
        <v/>
      </c>
      <c r="AP1061" s="15" t="str">
        <f t="shared" si="64"/>
        <v/>
      </c>
    </row>
    <row r="1062" spans="38:42" ht="15" customHeight="1">
      <c r="AL1062" s="7" t="str">
        <f>IF(A1062="","",IF(COUNTIF(A1062:A$2001,A1062)=1,1,0))</f>
        <v/>
      </c>
      <c r="AM1062" s="7" t="str">
        <f t="shared" ca="1" si="61"/>
        <v/>
      </c>
      <c r="AN1062" s="7" t="str">
        <f t="shared" si="62"/>
        <v/>
      </c>
      <c r="AO1062" s="7" t="str">
        <f t="shared" si="63"/>
        <v/>
      </c>
      <c r="AP1062" s="15" t="str">
        <f t="shared" si="64"/>
        <v/>
      </c>
    </row>
    <row r="1063" spans="38:42" ht="15" customHeight="1">
      <c r="AL1063" s="7" t="str">
        <f>IF(A1063="","",IF(COUNTIF(A1063:A$2001,A1063)=1,1,0))</f>
        <v/>
      </c>
      <c r="AM1063" s="7" t="str">
        <f t="shared" ca="1" si="61"/>
        <v/>
      </c>
      <c r="AN1063" s="7" t="str">
        <f t="shared" si="62"/>
        <v/>
      </c>
      <c r="AO1063" s="7" t="str">
        <f t="shared" si="63"/>
        <v/>
      </c>
      <c r="AP1063" s="15" t="str">
        <f t="shared" si="64"/>
        <v/>
      </c>
    </row>
    <row r="1064" spans="38:42" ht="15" customHeight="1">
      <c r="AL1064" s="7" t="str">
        <f>IF(A1064="","",IF(COUNTIF(A1064:A$2001,A1064)=1,1,0))</f>
        <v/>
      </c>
      <c r="AM1064" s="7" t="str">
        <f t="shared" ca="1" si="61"/>
        <v/>
      </c>
      <c r="AN1064" s="7" t="str">
        <f t="shared" si="62"/>
        <v/>
      </c>
      <c r="AO1064" s="7" t="str">
        <f t="shared" si="63"/>
        <v/>
      </c>
      <c r="AP1064" s="15" t="str">
        <f t="shared" si="64"/>
        <v/>
      </c>
    </row>
    <row r="1065" spans="38:42" ht="15" customHeight="1">
      <c r="AL1065" s="7" t="str">
        <f>IF(A1065="","",IF(COUNTIF(A1065:A$2001,A1065)=1,1,0))</f>
        <v/>
      </c>
      <c r="AM1065" s="7" t="str">
        <f t="shared" ca="1" si="61"/>
        <v/>
      </c>
      <c r="AN1065" s="7" t="str">
        <f t="shared" si="62"/>
        <v/>
      </c>
      <c r="AO1065" s="7" t="str">
        <f t="shared" si="63"/>
        <v/>
      </c>
      <c r="AP1065" s="15" t="str">
        <f t="shared" si="64"/>
        <v/>
      </c>
    </row>
    <row r="1066" spans="38:42" ht="15" customHeight="1">
      <c r="AL1066" s="7" t="str">
        <f>IF(A1066="","",IF(COUNTIF(A1066:A$2001,A1066)=1,1,0))</f>
        <v/>
      </c>
      <c r="AM1066" s="7" t="str">
        <f t="shared" ca="1" si="61"/>
        <v/>
      </c>
      <c r="AN1066" s="7" t="str">
        <f t="shared" si="62"/>
        <v/>
      </c>
      <c r="AO1066" s="7" t="str">
        <f t="shared" si="63"/>
        <v/>
      </c>
      <c r="AP1066" s="15" t="str">
        <f t="shared" si="64"/>
        <v/>
      </c>
    </row>
    <row r="1067" spans="38:42" ht="15" customHeight="1">
      <c r="AL1067" s="7" t="str">
        <f>IF(A1067="","",IF(COUNTIF(A1067:A$2001,A1067)=1,1,0))</f>
        <v/>
      </c>
      <c r="AM1067" s="7" t="str">
        <f t="shared" ca="1" si="61"/>
        <v/>
      </c>
      <c r="AN1067" s="7" t="str">
        <f t="shared" si="62"/>
        <v/>
      </c>
      <c r="AO1067" s="7" t="str">
        <f t="shared" si="63"/>
        <v/>
      </c>
      <c r="AP1067" s="15" t="str">
        <f t="shared" si="64"/>
        <v/>
      </c>
    </row>
    <row r="1068" spans="38:42" ht="15" customHeight="1">
      <c r="AL1068" s="7" t="str">
        <f>IF(A1068="","",IF(COUNTIF(A1068:A$2001,A1068)=1,1,0))</f>
        <v/>
      </c>
      <c r="AM1068" s="7" t="str">
        <f t="shared" ca="1" si="61"/>
        <v/>
      </c>
      <c r="AN1068" s="7" t="str">
        <f t="shared" si="62"/>
        <v/>
      </c>
      <c r="AO1068" s="7" t="str">
        <f t="shared" si="63"/>
        <v/>
      </c>
      <c r="AP1068" s="15" t="str">
        <f t="shared" si="64"/>
        <v/>
      </c>
    </row>
    <row r="1069" spans="38:42" ht="15" customHeight="1">
      <c r="AL1069" s="7" t="str">
        <f>IF(A1069="","",IF(COUNTIF(A1069:A$2001,A1069)=1,1,0))</f>
        <v/>
      </c>
      <c r="AM1069" s="7" t="str">
        <f t="shared" ca="1" si="61"/>
        <v/>
      </c>
      <c r="AN1069" s="7" t="str">
        <f t="shared" si="62"/>
        <v/>
      </c>
      <c r="AO1069" s="7" t="str">
        <f t="shared" si="63"/>
        <v/>
      </c>
      <c r="AP1069" s="15" t="str">
        <f t="shared" si="64"/>
        <v/>
      </c>
    </row>
    <row r="1070" spans="38:42" ht="15" customHeight="1">
      <c r="AL1070" s="7" t="str">
        <f>IF(A1070="","",IF(COUNTIF(A1070:A$2001,A1070)=1,1,0))</f>
        <v/>
      </c>
      <c r="AM1070" s="7" t="str">
        <f t="shared" ca="1" si="61"/>
        <v/>
      </c>
      <c r="AN1070" s="7" t="str">
        <f t="shared" si="62"/>
        <v/>
      </c>
      <c r="AO1070" s="7" t="str">
        <f t="shared" si="63"/>
        <v/>
      </c>
      <c r="AP1070" s="15" t="str">
        <f t="shared" si="64"/>
        <v/>
      </c>
    </row>
    <row r="1071" spans="38:42" ht="15" customHeight="1">
      <c r="AL1071" s="7" t="str">
        <f>IF(A1071="","",IF(COUNTIF(A1071:A$2001,A1071)=1,1,0))</f>
        <v/>
      </c>
      <c r="AM1071" s="7" t="str">
        <f t="shared" ca="1" si="61"/>
        <v/>
      </c>
      <c r="AN1071" s="7" t="str">
        <f t="shared" si="62"/>
        <v/>
      </c>
      <c r="AO1071" s="7" t="str">
        <f t="shared" si="63"/>
        <v/>
      </c>
      <c r="AP1071" s="15" t="str">
        <f t="shared" si="64"/>
        <v/>
      </c>
    </row>
    <row r="1072" spans="38:42" ht="15" customHeight="1">
      <c r="AL1072" s="7" t="str">
        <f>IF(A1072="","",IF(COUNTIF(A1072:A$2001,A1072)=1,1,0))</f>
        <v/>
      </c>
      <c r="AM1072" s="7" t="str">
        <f t="shared" ca="1" si="61"/>
        <v/>
      </c>
      <c r="AN1072" s="7" t="str">
        <f t="shared" si="62"/>
        <v/>
      </c>
      <c r="AO1072" s="7" t="str">
        <f t="shared" si="63"/>
        <v/>
      </c>
      <c r="AP1072" s="15" t="str">
        <f t="shared" si="64"/>
        <v/>
      </c>
    </row>
    <row r="1073" spans="38:42" ht="15" customHeight="1">
      <c r="AL1073" s="7" t="str">
        <f>IF(A1073="","",IF(COUNTIF(A1073:A$2001,A1073)=1,1,0))</f>
        <v/>
      </c>
      <c r="AM1073" s="7" t="str">
        <f t="shared" ca="1" si="61"/>
        <v/>
      </c>
      <c r="AN1073" s="7" t="str">
        <f t="shared" si="62"/>
        <v/>
      </c>
      <c r="AO1073" s="7" t="str">
        <f t="shared" si="63"/>
        <v/>
      </c>
      <c r="AP1073" s="15" t="str">
        <f t="shared" si="64"/>
        <v/>
      </c>
    </row>
    <row r="1074" spans="38:42" ht="15" customHeight="1">
      <c r="AL1074" s="7" t="str">
        <f>IF(A1074="","",IF(COUNTIF(A1074:A$2001,A1074)=1,1,0))</f>
        <v/>
      </c>
      <c r="AM1074" s="7" t="str">
        <f t="shared" ca="1" si="61"/>
        <v/>
      </c>
      <c r="AN1074" s="7" t="str">
        <f t="shared" si="62"/>
        <v/>
      </c>
      <c r="AO1074" s="7" t="str">
        <f t="shared" si="63"/>
        <v/>
      </c>
      <c r="AP1074" s="15" t="str">
        <f t="shared" si="64"/>
        <v/>
      </c>
    </row>
    <row r="1075" spans="38:42" ht="15" customHeight="1">
      <c r="AL1075" s="7" t="str">
        <f>IF(A1075="","",IF(COUNTIF(A1075:A$2001,A1075)=1,1,0))</f>
        <v/>
      </c>
      <c r="AM1075" s="7" t="str">
        <f t="shared" ca="1" si="61"/>
        <v/>
      </c>
      <c r="AN1075" s="7" t="str">
        <f t="shared" si="62"/>
        <v/>
      </c>
      <c r="AO1075" s="7" t="str">
        <f t="shared" si="63"/>
        <v/>
      </c>
      <c r="AP1075" s="15" t="str">
        <f t="shared" si="64"/>
        <v/>
      </c>
    </row>
    <row r="1076" spans="38:42" ht="15" customHeight="1">
      <c r="AL1076" s="7" t="str">
        <f>IF(A1076="","",IF(COUNTIF(A1076:A$2001,A1076)=1,1,0))</f>
        <v/>
      </c>
      <c r="AM1076" s="7" t="str">
        <f t="shared" ca="1" si="61"/>
        <v/>
      </c>
      <c r="AN1076" s="7" t="str">
        <f t="shared" si="62"/>
        <v/>
      </c>
      <c r="AO1076" s="7" t="str">
        <f t="shared" si="63"/>
        <v/>
      </c>
      <c r="AP1076" s="15" t="str">
        <f t="shared" si="64"/>
        <v/>
      </c>
    </row>
    <row r="1077" spans="38:42" ht="15" customHeight="1">
      <c r="AL1077" s="7" t="str">
        <f>IF(A1077="","",IF(COUNTIF(A1077:A$2001,A1077)=1,1,0))</f>
        <v/>
      </c>
      <c r="AM1077" s="7" t="str">
        <f t="shared" ca="1" si="61"/>
        <v/>
      </c>
      <c r="AN1077" s="7" t="str">
        <f t="shared" si="62"/>
        <v/>
      </c>
      <c r="AO1077" s="7" t="str">
        <f t="shared" si="63"/>
        <v/>
      </c>
      <c r="AP1077" s="15" t="str">
        <f t="shared" si="64"/>
        <v/>
      </c>
    </row>
    <row r="1078" spans="38:42" ht="15" customHeight="1">
      <c r="AL1078" s="7" t="str">
        <f>IF(A1078="","",IF(COUNTIF(A1078:A$2001,A1078)=1,1,0))</f>
        <v/>
      </c>
      <c r="AM1078" s="7" t="str">
        <f t="shared" ca="1" si="61"/>
        <v/>
      </c>
      <c r="AN1078" s="7" t="str">
        <f t="shared" si="62"/>
        <v/>
      </c>
      <c r="AO1078" s="7" t="str">
        <f t="shared" si="63"/>
        <v/>
      </c>
      <c r="AP1078" s="15" t="str">
        <f t="shared" si="64"/>
        <v/>
      </c>
    </row>
    <row r="1079" spans="38:42" ht="15" customHeight="1">
      <c r="AL1079" s="7" t="str">
        <f>IF(A1079="","",IF(COUNTIF(A1079:A$2001,A1079)=1,1,0))</f>
        <v/>
      </c>
      <c r="AM1079" s="7" t="str">
        <f t="shared" ca="1" si="61"/>
        <v/>
      </c>
      <c r="AN1079" s="7" t="str">
        <f t="shared" si="62"/>
        <v/>
      </c>
      <c r="AO1079" s="7" t="str">
        <f t="shared" si="63"/>
        <v/>
      </c>
      <c r="AP1079" s="15" t="str">
        <f t="shared" si="64"/>
        <v/>
      </c>
    </row>
    <row r="1080" spans="38:42" ht="15" customHeight="1">
      <c r="AL1080" s="7" t="str">
        <f>IF(A1080="","",IF(COUNTIF(A1080:A$2001,A1080)=1,1,0))</f>
        <v/>
      </c>
      <c r="AM1080" s="7" t="str">
        <f t="shared" ca="1" si="61"/>
        <v/>
      </c>
      <c r="AN1080" s="7" t="str">
        <f t="shared" si="62"/>
        <v/>
      </c>
      <c r="AO1080" s="7" t="str">
        <f t="shared" si="63"/>
        <v/>
      </c>
      <c r="AP1080" s="15" t="str">
        <f t="shared" si="64"/>
        <v/>
      </c>
    </row>
    <row r="1081" spans="38:42" ht="15" customHeight="1">
      <c r="AL1081" s="7" t="str">
        <f>IF(A1081="","",IF(COUNTIF(A1081:A$2001,A1081)=1,1,0))</f>
        <v/>
      </c>
      <c r="AM1081" s="7" t="str">
        <f t="shared" ca="1" si="61"/>
        <v/>
      </c>
      <c r="AN1081" s="7" t="str">
        <f t="shared" si="62"/>
        <v/>
      </c>
      <c r="AO1081" s="7" t="str">
        <f t="shared" si="63"/>
        <v/>
      </c>
      <c r="AP1081" s="15" t="str">
        <f t="shared" si="64"/>
        <v/>
      </c>
    </row>
    <row r="1082" spans="38:42" ht="15" customHeight="1">
      <c r="AL1082" s="7" t="str">
        <f>IF(A1082="","",IF(COUNTIF(A1082:A$2001,A1082)=1,1,0))</f>
        <v/>
      </c>
      <c r="AM1082" s="7" t="str">
        <f t="shared" ca="1" si="61"/>
        <v/>
      </c>
      <c r="AN1082" s="7" t="str">
        <f t="shared" si="62"/>
        <v/>
      </c>
      <c r="AO1082" s="7" t="str">
        <f t="shared" si="63"/>
        <v/>
      </c>
      <c r="AP1082" s="15" t="str">
        <f t="shared" si="64"/>
        <v/>
      </c>
    </row>
    <row r="1083" spans="38:42" ht="15" customHeight="1">
      <c r="AL1083" s="7" t="str">
        <f>IF(A1083="","",IF(COUNTIF(A1083:A$2001,A1083)=1,1,0))</f>
        <v/>
      </c>
      <c r="AM1083" s="7" t="str">
        <f t="shared" ca="1" si="61"/>
        <v/>
      </c>
      <c r="AN1083" s="7" t="str">
        <f t="shared" si="62"/>
        <v/>
      </c>
      <c r="AO1083" s="7" t="str">
        <f t="shared" si="63"/>
        <v/>
      </c>
      <c r="AP1083" s="15" t="str">
        <f t="shared" si="64"/>
        <v/>
      </c>
    </row>
    <row r="1084" spans="38:42" ht="15" customHeight="1">
      <c r="AL1084" s="7" t="str">
        <f>IF(A1084="","",IF(COUNTIF(A1084:A$2001,A1084)=1,1,0))</f>
        <v/>
      </c>
      <c r="AM1084" s="7" t="str">
        <f t="shared" ca="1" si="61"/>
        <v/>
      </c>
      <c r="AN1084" s="7" t="str">
        <f t="shared" si="62"/>
        <v/>
      </c>
      <c r="AO1084" s="7" t="str">
        <f t="shared" si="63"/>
        <v/>
      </c>
      <c r="AP1084" s="15" t="str">
        <f t="shared" si="64"/>
        <v/>
      </c>
    </row>
    <row r="1085" spans="38:42" ht="15" customHeight="1">
      <c r="AL1085" s="7" t="str">
        <f>IF(A1085="","",IF(COUNTIF(A1085:A$2001,A1085)=1,1,0))</f>
        <v/>
      </c>
      <c r="AM1085" s="7" t="str">
        <f t="shared" ca="1" si="61"/>
        <v/>
      </c>
      <c r="AN1085" s="7" t="str">
        <f t="shared" si="62"/>
        <v/>
      </c>
      <c r="AO1085" s="7" t="str">
        <f t="shared" si="63"/>
        <v/>
      </c>
      <c r="AP1085" s="15" t="str">
        <f t="shared" si="64"/>
        <v/>
      </c>
    </row>
    <row r="1086" spans="38:42" ht="15" customHeight="1">
      <c r="AL1086" s="7" t="str">
        <f>IF(A1086="","",IF(COUNTIF(A1086:A$2001,A1086)=1,1,0))</f>
        <v/>
      </c>
      <c r="AM1086" s="7" t="str">
        <f t="shared" ca="1" si="61"/>
        <v/>
      </c>
      <c r="AN1086" s="7" t="str">
        <f t="shared" si="62"/>
        <v/>
      </c>
      <c r="AO1086" s="7" t="str">
        <f t="shared" si="63"/>
        <v/>
      </c>
      <c r="AP1086" s="15" t="str">
        <f t="shared" si="64"/>
        <v/>
      </c>
    </row>
    <row r="1087" spans="38:42" ht="15" customHeight="1">
      <c r="AL1087" s="7" t="str">
        <f>IF(A1087="","",IF(COUNTIF(A1087:A$2001,A1087)=1,1,0))</f>
        <v/>
      </c>
      <c r="AM1087" s="7" t="str">
        <f t="shared" ca="1" si="61"/>
        <v/>
      </c>
      <c r="AN1087" s="7" t="str">
        <f t="shared" si="62"/>
        <v/>
      </c>
      <c r="AO1087" s="7" t="str">
        <f t="shared" si="63"/>
        <v/>
      </c>
      <c r="AP1087" s="15" t="str">
        <f t="shared" si="64"/>
        <v/>
      </c>
    </row>
    <row r="1088" spans="38:42" ht="15" customHeight="1">
      <c r="AL1088" s="7" t="str">
        <f>IF(A1088="","",IF(COUNTIF(A1088:A$2001,A1088)=1,1,0))</f>
        <v/>
      </c>
      <c r="AM1088" s="7" t="str">
        <f t="shared" ca="1" si="61"/>
        <v/>
      </c>
      <c r="AN1088" s="7" t="str">
        <f t="shared" si="62"/>
        <v/>
      </c>
      <c r="AO1088" s="7" t="str">
        <f t="shared" si="63"/>
        <v/>
      </c>
      <c r="AP1088" s="15" t="str">
        <f t="shared" si="64"/>
        <v/>
      </c>
    </row>
    <row r="1089" spans="38:42" ht="15" customHeight="1">
      <c r="AL1089" s="7" t="str">
        <f>IF(A1089="","",IF(COUNTIF(A1089:A$2001,A1089)=1,1,0))</f>
        <v/>
      </c>
      <c r="AM1089" s="7" t="str">
        <f t="shared" ca="1" si="61"/>
        <v/>
      </c>
      <c r="AN1089" s="7" t="str">
        <f t="shared" si="62"/>
        <v/>
      </c>
      <c r="AO1089" s="7" t="str">
        <f t="shared" si="63"/>
        <v/>
      </c>
      <c r="AP1089" s="15" t="str">
        <f t="shared" si="64"/>
        <v/>
      </c>
    </row>
    <row r="1090" spans="38:42" ht="15" customHeight="1">
      <c r="AL1090" s="7" t="str">
        <f>IF(A1090="","",IF(COUNTIF(A1090:A$2001,A1090)=1,1,0))</f>
        <v/>
      </c>
      <c r="AM1090" s="7" t="str">
        <f t="shared" ref="AM1090:AM1153" ca="1" si="65">IF(I1090="","",TODAY()-I1090)</f>
        <v/>
      </c>
      <c r="AN1090" s="7" t="str">
        <f t="shared" ref="AN1090:AN1153" si="66">IF(A1090="","",IF(AND(E1090&lt;&gt;"33 確認済",E1090&lt;&gt;"36 送付中"),1,0))</f>
        <v/>
      </c>
      <c r="AO1090" s="7" t="str">
        <f t="shared" ref="AO1090:AO1153" si="67">IF(A1090="","",IF(AG1090&lt;&gt;"",1,0))</f>
        <v/>
      </c>
      <c r="AP1090" s="15" t="str">
        <f t="shared" ref="AP1090:AP1153" si="68">IF(P1090&lt;&gt;"","・添待ち","")&amp;IF(Q1090&lt;&gt;"","・住民票","")&amp;IF(R1090&lt;&gt;"","・発信","")&amp;IF(S1090&lt;&gt;"","・確認事項","")&amp;IF(T1090&lt;&gt;"","・管","")&amp;IF(U1090&lt;&gt;"","・SV","")&amp;IF(V1090&lt;&gt;"","・データ送付待ち","")&amp;IF(W1090&lt;&gt;"","・削除","")</f>
        <v/>
      </c>
    </row>
    <row r="1091" spans="38:42" ht="15" customHeight="1">
      <c r="AL1091" s="7" t="str">
        <f>IF(A1091="","",IF(COUNTIF(A1091:A$2001,A1091)=1,1,0))</f>
        <v/>
      </c>
      <c r="AM1091" s="7" t="str">
        <f t="shared" ca="1" si="65"/>
        <v/>
      </c>
      <c r="AN1091" s="7" t="str">
        <f t="shared" si="66"/>
        <v/>
      </c>
      <c r="AO1091" s="7" t="str">
        <f t="shared" si="67"/>
        <v/>
      </c>
      <c r="AP1091" s="15" t="str">
        <f t="shared" si="68"/>
        <v/>
      </c>
    </row>
    <row r="1092" spans="38:42" ht="15" customHeight="1">
      <c r="AL1092" s="7" t="str">
        <f>IF(A1092="","",IF(COUNTIF(A1092:A$2001,A1092)=1,1,0))</f>
        <v/>
      </c>
      <c r="AM1092" s="7" t="str">
        <f t="shared" ca="1" si="65"/>
        <v/>
      </c>
      <c r="AN1092" s="7" t="str">
        <f t="shared" si="66"/>
        <v/>
      </c>
      <c r="AO1092" s="7" t="str">
        <f t="shared" si="67"/>
        <v/>
      </c>
      <c r="AP1092" s="15" t="str">
        <f t="shared" si="68"/>
        <v/>
      </c>
    </row>
    <row r="1093" spans="38:42" ht="15" customHeight="1">
      <c r="AL1093" s="7" t="str">
        <f>IF(A1093="","",IF(COUNTIF(A1093:A$2001,A1093)=1,1,0))</f>
        <v/>
      </c>
      <c r="AM1093" s="7" t="str">
        <f t="shared" ca="1" si="65"/>
        <v/>
      </c>
      <c r="AN1093" s="7" t="str">
        <f t="shared" si="66"/>
        <v/>
      </c>
      <c r="AO1093" s="7" t="str">
        <f t="shared" si="67"/>
        <v/>
      </c>
      <c r="AP1093" s="15" t="str">
        <f t="shared" si="68"/>
        <v/>
      </c>
    </row>
    <row r="1094" spans="38:42" ht="15" customHeight="1">
      <c r="AL1094" s="7" t="str">
        <f>IF(A1094="","",IF(COUNTIF(A1094:A$2001,A1094)=1,1,0))</f>
        <v/>
      </c>
      <c r="AM1094" s="7" t="str">
        <f t="shared" ca="1" si="65"/>
        <v/>
      </c>
      <c r="AN1094" s="7" t="str">
        <f t="shared" si="66"/>
        <v/>
      </c>
      <c r="AO1094" s="7" t="str">
        <f t="shared" si="67"/>
        <v/>
      </c>
      <c r="AP1094" s="15" t="str">
        <f t="shared" si="68"/>
        <v/>
      </c>
    </row>
    <row r="1095" spans="38:42" ht="15" customHeight="1">
      <c r="AL1095" s="7" t="str">
        <f>IF(A1095="","",IF(COUNTIF(A1095:A$2001,A1095)=1,1,0))</f>
        <v/>
      </c>
      <c r="AM1095" s="7" t="str">
        <f t="shared" ca="1" si="65"/>
        <v/>
      </c>
      <c r="AN1095" s="7" t="str">
        <f t="shared" si="66"/>
        <v/>
      </c>
      <c r="AO1095" s="7" t="str">
        <f t="shared" si="67"/>
        <v/>
      </c>
      <c r="AP1095" s="15" t="str">
        <f t="shared" si="68"/>
        <v/>
      </c>
    </row>
    <row r="1096" spans="38:42" ht="15" customHeight="1">
      <c r="AL1096" s="7" t="str">
        <f>IF(A1096="","",IF(COUNTIF(A1096:A$2001,A1096)=1,1,0))</f>
        <v/>
      </c>
      <c r="AM1096" s="7" t="str">
        <f t="shared" ca="1" si="65"/>
        <v/>
      </c>
      <c r="AN1096" s="7" t="str">
        <f t="shared" si="66"/>
        <v/>
      </c>
      <c r="AO1096" s="7" t="str">
        <f t="shared" si="67"/>
        <v/>
      </c>
      <c r="AP1096" s="15" t="str">
        <f t="shared" si="68"/>
        <v/>
      </c>
    </row>
    <row r="1097" spans="38:42" ht="15" customHeight="1">
      <c r="AL1097" s="7" t="str">
        <f>IF(A1097="","",IF(COUNTIF(A1097:A$2001,A1097)=1,1,0))</f>
        <v/>
      </c>
      <c r="AM1097" s="7" t="str">
        <f t="shared" ca="1" si="65"/>
        <v/>
      </c>
      <c r="AN1097" s="7" t="str">
        <f t="shared" si="66"/>
        <v/>
      </c>
      <c r="AO1097" s="7" t="str">
        <f t="shared" si="67"/>
        <v/>
      </c>
      <c r="AP1097" s="15" t="str">
        <f t="shared" si="68"/>
        <v/>
      </c>
    </row>
    <row r="1098" spans="38:42" ht="15" customHeight="1">
      <c r="AL1098" s="7" t="str">
        <f>IF(A1098="","",IF(COUNTIF(A1098:A$2001,A1098)=1,1,0))</f>
        <v/>
      </c>
      <c r="AM1098" s="7" t="str">
        <f t="shared" ca="1" si="65"/>
        <v/>
      </c>
      <c r="AN1098" s="7" t="str">
        <f t="shared" si="66"/>
        <v/>
      </c>
      <c r="AO1098" s="7" t="str">
        <f t="shared" si="67"/>
        <v/>
      </c>
      <c r="AP1098" s="15" t="str">
        <f t="shared" si="68"/>
        <v/>
      </c>
    </row>
    <row r="1099" spans="38:42" ht="15" customHeight="1">
      <c r="AL1099" s="7" t="str">
        <f>IF(A1099="","",IF(COUNTIF(A1099:A$2001,A1099)=1,1,0))</f>
        <v/>
      </c>
      <c r="AM1099" s="7" t="str">
        <f t="shared" ca="1" si="65"/>
        <v/>
      </c>
      <c r="AN1099" s="7" t="str">
        <f t="shared" si="66"/>
        <v/>
      </c>
      <c r="AO1099" s="7" t="str">
        <f t="shared" si="67"/>
        <v/>
      </c>
      <c r="AP1099" s="15" t="str">
        <f t="shared" si="68"/>
        <v/>
      </c>
    </row>
    <row r="1100" spans="38:42" ht="15" customHeight="1">
      <c r="AL1100" s="7" t="str">
        <f>IF(A1100="","",IF(COUNTIF(A1100:A$2001,A1100)=1,1,0))</f>
        <v/>
      </c>
      <c r="AM1100" s="7" t="str">
        <f t="shared" ca="1" si="65"/>
        <v/>
      </c>
      <c r="AN1100" s="7" t="str">
        <f t="shared" si="66"/>
        <v/>
      </c>
      <c r="AO1100" s="7" t="str">
        <f t="shared" si="67"/>
        <v/>
      </c>
      <c r="AP1100" s="15" t="str">
        <f t="shared" si="68"/>
        <v/>
      </c>
    </row>
    <row r="1101" spans="38:42" ht="15" customHeight="1">
      <c r="AL1101" s="7" t="str">
        <f>IF(A1101="","",IF(COUNTIF(A1101:A$2001,A1101)=1,1,0))</f>
        <v/>
      </c>
      <c r="AM1101" s="7" t="str">
        <f t="shared" ca="1" si="65"/>
        <v/>
      </c>
      <c r="AN1101" s="7" t="str">
        <f t="shared" si="66"/>
        <v/>
      </c>
      <c r="AO1101" s="7" t="str">
        <f t="shared" si="67"/>
        <v/>
      </c>
      <c r="AP1101" s="15" t="str">
        <f t="shared" si="68"/>
        <v/>
      </c>
    </row>
    <row r="1102" spans="38:42" ht="15" customHeight="1">
      <c r="AL1102" s="7" t="str">
        <f>IF(A1102="","",IF(COUNTIF(A1102:A$2001,A1102)=1,1,0))</f>
        <v/>
      </c>
      <c r="AM1102" s="7" t="str">
        <f t="shared" ca="1" si="65"/>
        <v/>
      </c>
      <c r="AN1102" s="7" t="str">
        <f t="shared" si="66"/>
        <v/>
      </c>
      <c r="AO1102" s="7" t="str">
        <f t="shared" si="67"/>
        <v/>
      </c>
      <c r="AP1102" s="15" t="str">
        <f t="shared" si="68"/>
        <v/>
      </c>
    </row>
    <row r="1103" spans="38:42" ht="15" customHeight="1">
      <c r="AL1103" s="7" t="str">
        <f>IF(A1103="","",IF(COUNTIF(A1103:A$2001,A1103)=1,1,0))</f>
        <v/>
      </c>
      <c r="AM1103" s="7" t="str">
        <f t="shared" ca="1" si="65"/>
        <v/>
      </c>
      <c r="AN1103" s="7" t="str">
        <f t="shared" si="66"/>
        <v/>
      </c>
      <c r="AO1103" s="7" t="str">
        <f t="shared" si="67"/>
        <v/>
      </c>
      <c r="AP1103" s="15" t="str">
        <f t="shared" si="68"/>
        <v/>
      </c>
    </row>
    <row r="1104" spans="38:42" ht="15" customHeight="1">
      <c r="AL1104" s="7" t="str">
        <f>IF(A1104="","",IF(COUNTIF(A1104:A$2001,A1104)=1,1,0))</f>
        <v/>
      </c>
      <c r="AM1104" s="7" t="str">
        <f t="shared" ca="1" si="65"/>
        <v/>
      </c>
      <c r="AN1104" s="7" t="str">
        <f t="shared" si="66"/>
        <v/>
      </c>
      <c r="AO1104" s="7" t="str">
        <f t="shared" si="67"/>
        <v/>
      </c>
      <c r="AP1104" s="15" t="str">
        <f t="shared" si="68"/>
        <v/>
      </c>
    </row>
    <row r="1105" spans="38:42" ht="15" customHeight="1">
      <c r="AL1105" s="7" t="str">
        <f>IF(A1105="","",IF(COUNTIF(A1105:A$2001,A1105)=1,1,0))</f>
        <v/>
      </c>
      <c r="AM1105" s="7" t="str">
        <f t="shared" ca="1" si="65"/>
        <v/>
      </c>
      <c r="AN1105" s="7" t="str">
        <f t="shared" si="66"/>
        <v/>
      </c>
      <c r="AO1105" s="7" t="str">
        <f t="shared" si="67"/>
        <v/>
      </c>
      <c r="AP1105" s="15" t="str">
        <f t="shared" si="68"/>
        <v/>
      </c>
    </row>
    <row r="1106" spans="38:42" ht="15" customHeight="1">
      <c r="AL1106" s="7" t="str">
        <f>IF(A1106="","",IF(COUNTIF(A1106:A$2001,A1106)=1,1,0))</f>
        <v/>
      </c>
      <c r="AM1106" s="7" t="str">
        <f t="shared" ca="1" si="65"/>
        <v/>
      </c>
      <c r="AN1106" s="7" t="str">
        <f t="shared" si="66"/>
        <v/>
      </c>
      <c r="AO1106" s="7" t="str">
        <f t="shared" si="67"/>
        <v/>
      </c>
      <c r="AP1106" s="15" t="str">
        <f t="shared" si="68"/>
        <v/>
      </c>
    </row>
    <row r="1107" spans="38:42" ht="15" customHeight="1">
      <c r="AL1107" s="7" t="str">
        <f>IF(A1107="","",IF(COUNTIF(A1107:A$2001,A1107)=1,1,0))</f>
        <v/>
      </c>
      <c r="AM1107" s="7" t="str">
        <f t="shared" ca="1" si="65"/>
        <v/>
      </c>
      <c r="AN1107" s="7" t="str">
        <f t="shared" si="66"/>
        <v/>
      </c>
      <c r="AO1107" s="7" t="str">
        <f t="shared" si="67"/>
        <v/>
      </c>
      <c r="AP1107" s="15" t="str">
        <f t="shared" si="68"/>
        <v/>
      </c>
    </row>
    <row r="1108" spans="38:42" ht="15" customHeight="1">
      <c r="AL1108" s="7" t="str">
        <f>IF(A1108="","",IF(COUNTIF(A1108:A$2001,A1108)=1,1,0))</f>
        <v/>
      </c>
      <c r="AM1108" s="7" t="str">
        <f t="shared" ca="1" si="65"/>
        <v/>
      </c>
      <c r="AN1108" s="7" t="str">
        <f t="shared" si="66"/>
        <v/>
      </c>
      <c r="AO1108" s="7" t="str">
        <f t="shared" si="67"/>
        <v/>
      </c>
      <c r="AP1108" s="15" t="str">
        <f t="shared" si="68"/>
        <v/>
      </c>
    </row>
    <row r="1109" spans="38:42" ht="15" customHeight="1">
      <c r="AL1109" s="7" t="str">
        <f>IF(A1109="","",IF(COUNTIF(A1109:A$2001,A1109)=1,1,0))</f>
        <v/>
      </c>
      <c r="AM1109" s="7" t="str">
        <f t="shared" ca="1" si="65"/>
        <v/>
      </c>
      <c r="AN1109" s="7" t="str">
        <f t="shared" si="66"/>
        <v/>
      </c>
      <c r="AO1109" s="7" t="str">
        <f t="shared" si="67"/>
        <v/>
      </c>
      <c r="AP1109" s="15" t="str">
        <f t="shared" si="68"/>
        <v/>
      </c>
    </row>
    <row r="1110" spans="38:42" ht="15" customHeight="1">
      <c r="AL1110" s="7" t="str">
        <f>IF(A1110="","",IF(COUNTIF(A1110:A$2001,A1110)=1,1,0))</f>
        <v/>
      </c>
      <c r="AM1110" s="7" t="str">
        <f t="shared" ca="1" si="65"/>
        <v/>
      </c>
      <c r="AN1110" s="7" t="str">
        <f t="shared" si="66"/>
        <v/>
      </c>
      <c r="AO1110" s="7" t="str">
        <f t="shared" si="67"/>
        <v/>
      </c>
      <c r="AP1110" s="15" t="str">
        <f t="shared" si="68"/>
        <v/>
      </c>
    </row>
    <row r="1111" spans="38:42" ht="15" customHeight="1">
      <c r="AL1111" s="7" t="str">
        <f>IF(A1111="","",IF(COUNTIF(A1111:A$2001,A1111)=1,1,0))</f>
        <v/>
      </c>
      <c r="AM1111" s="7" t="str">
        <f t="shared" ca="1" si="65"/>
        <v/>
      </c>
      <c r="AN1111" s="7" t="str">
        <f t="shared" si="66"/>
        <v/>
      </c>
      <c r="AO1111" s="7" t="str">
        <f t="shared" si="67"/>
        <v/>
      </c>
      <c r="AP1111" s="15" t="str">
        <f t="shared" si="68"/>
        <v/>
      </c>
    </row>
    <row r="1112" spans="38:42" ht="15" customHeight="1">
      <c r="AL1112" s="7" t="str">
        <f>IF(A1112="","",IF(COUNTIF(A1112:A$2001,A1112)=1,1,0))</f>
        <v/>
      </c>
      <c r="AM1112" s="7" t="str">
        <f t="shared" ca="1" si="65"/>
        <v/>
      </c>
      <c r="AN1112" s="7" t="str">
        <f t="shared" si="66"/>
        <v/>
      </c>
      <c r="AO1112" s="7" t="str">
        <f t="shared" si="67"/>
        <v/>
      </c>
      <c r="AP1112" s="15" t="str">
        <f t="shared" si="68"/>
        <v/>
      </c>
    </row>
    <row r="1113" spans="38:42" ht="15" customHeight="1">
      <c r="AL1113" s="7" t="str">
        <f>IF(A1113="","",IF(COUNTIF(A1113:A$2001,A1113)=1,1,0))</f>
        <v/>
      </c>
      <c r="AM1113" s="7" t="str">
        <f t="shared" ca="1" si="65"/>
        <v/>
      </c>
      <c r="AN1113" s="7" t="str">
        <f t="shared" si="66"/>
        <v/>
      </c>
      <c r="AO1113" s="7" t="str">
        <f t="shared" si="67"/>
        <v/>
      </c>
      <c r="AP1113" s="15" t="str">
        <f t="shared" si="68"/>
        <v/>
      </c>
    </row>
    <row r="1114" spans="38:42" ht="15" customHeight="1">
      <c r="AL1114" s="7" t="str">
        <f>IF(A1114="","",IF(COUNTIF(A1114:A$2001,A1114)=1,1,0))</f>
        <v/>
      </c>
      <c r="AM1114" s="7" t="str">
        <f t="shared" ca="1" si="65"/>
        <v/>
      </c>
      <c r="AN1114" s="7" t="str">
        <f t="shared" si="66"/>
        <v/>
      </c>
      <c r="AO1114" s="7" t="str">
        <f t="shared" si="67"/>
        <v/>
      </c>
      <c r="AP1114" s="15" t="str">
        <f t="shared" si="68"/>
        <v/>
      </c>
    </row>
    <row r="1115" spans="38:42" ht="15" customHeight="1">
      <c r="AL1115" s="7" t="str">
        <f>IF(A1115="","",IF(COUNTIF(A1115:A$2001,A1115)=1,1,0))</f>
        <v/>
      </c>
      <c r="AM1115" s="7" t="str">
        <f t="shared" ca="1" si="65"/>
        <v/>
      </c>
      <c r="AN1115" s="7" t="str">
        <f t="shared" si="66"/>
        <v/>
      </c>
      <c r="AO1115" s="7" t="str">
        <f t="shared" si="67"/>
        <v/>
      </c>
      <c r="AP1115" s="15" t="str">
        <f t="shared" si="68"/>
        <v/>
      </c>
    </row>
    <row r="1116" spans="38:42" ht="15" customHeight="1">
      <c r="AL1116" s="7" t="str">
        <f>IF(A1116="","",IF(COUNTIF(A1116:A$2001,A1116)=1,1,0))</f>
        <v/>
      </c>
      <c r="AM1116" s="7" t="str">
        <f t="shared" ca="1" si="65"/>
        <v/>
      </c>
      <c r="AN1116" s="7" t="str">
        <f t="shared" si="66"/>
        <v/>
      </c>
      <c r="AO1116" s="7" t="str">
        <f t="shared" si="67"/>
        <v/>
      </c>
      <c r="AP1116" s="15" t="str">
        <f t="shared" si="68"/>
        <v/>
      </c>
    </row>
    <row r="1117" spans="38:42" ht="15" customHeight="1">
      <c r="AL1117" s="7" t="str">
        <f>IF(A1117="","",IF(COUNTIF(A1117:A$2001,A1117)=1,1,0))</f>
        <v/>
      </c>
      <c r="AM1117" s="7" t="str">
        <f t="shared" ca="1" si="65"/>
        <v/>
      </c>
      <c r="AN1117" s="7" t="str">
        <f t="shared" si="66"/>
        <v/>
      </c>
      <c r="AO1117" s="7" t="str">
        <f t="shared" si="67"/>
        <v/>
      </c>
      <c r="AP1117" s="15" t="str">
        <f t="shared" si="68"/>
        <v/>
      </c>
    </row>
    <row r="1118" spans="38:42" ht="15" customHeight="1">
      <c r="AL1118" s="7" t="str">
        <f>IF(A1118="","",IF(COUNTIF(A1118:A$2001,A1118)=1,1,0))</f>
        <v/>
      </c>
      <c r="AM1118" s="7" t="str">
        <f t="shared" ca="1" si="65"/>
        <v/>
      </c>
      <c r="AN1118" s="7" t="str">
        <f t="shared" si="66"/>
        <v/>
      </c>
      <c r="AO1118" s="7" t="str">
        <f t="shared" si="67"/>
        <v/>
      </c>
      <c r="AP1118" s="15" t="str">
        <f t="shared" si="68"/>
        <v/>
      </c>
    </row>
    <row r="1119" spans="38:42" ht="15" customHeight="1">
      <c r="AL1119" s="7" t="str">
        <f>IF(A1119="","",IF(COUNTIF(A1119:A$2001,A1119)=1,1,0))</f>
        <v/>
      </c>
      <c r="AM1119" s="7" t="str">
        <f t="shared" ca="1" si="65"/>
        <v/>
      </c>
      <c r="AN1119" s="7" t="str">
        <f t="shared" si="66"/>
        <v/>
      </c>
      <c r="AO1119" s="7" t="str">
        <f t="shared" si="67"/>
        <v/>
      </c>
      <c r="AP1119" s="15" t="str">
        <f t="shared" si="68"/>
        <v/>
      </c>
    </row>
    <row r="1120" spans="38:42" ht="15" customHeight="1">
      <c r="AL1120" s="7" t="str">
        <f>IF(A1120="","",IF(COUNTIF(A1120:A$2001,A1120)=1,1,0))</f>
        <v/>
      </c>
      <c r="AM1120" s="7" t="str">
        <f t="shared" ca="1" si="65"/>
        <v/>
      </c>
      <c r="AN1120" s="7" t="str">
        <f t="shared" si="66"/>
        <v/>
      </c>
      <c r="AO1120" s="7" t="str">
        <f t="shared" si="67"/>
        <v/>
      </c>
      <c r="AP1120" s="15" t="str">
        <f t="shared" si="68"/>
        <v/>
      </c>
    </row>
    <row r="1121" spans="38:42" ht="15" customHeight="1">
      <c r="AL1121" s="7" t="str">
        <f>IF(A1121="","",IF(COUNTIF(A1121:A$2001,A1121)=1,1,0))</f>
        <v/>
      </c>
      <c r="AM1121" s="7" t="str">
        <f t="shared" ca="1" si="65"/>
        <v/>
      </c>
      <c r="AN1121" s="7" t="str">
        <f t="shared" si="66"/>
        <v/>
      </c>
      <c r="AO1121" s="7" t="str">
        <f t="shared" si="67"/>
        <v/>
      </c>
      <c r="AP1121" s="15" t="str">
        <f t="shared" si="68"/>
        <v/>
      </c>
    </row>
    <row r="1122" spans="38:42" ht="15" customHeight="1">
      <c r="AL1122" s="7" t="str">
        <f>IF(A1122="","",IF(COUNTIF(A1122:A$2001,A1122)=1,1,0))</f>
        <v/>
      </c>
      <c r="AM1122" s="7" t="str">
        <f t="shared" ca="1" si="65"/>
        <v/>
      </c>
      <c r="AN1122" s="7" t="str">
        <f t="shared" si="66"/>
        <v/>
      </c>
      <c r="AO1122" s="7" t="str">
        <f t="shared" si="67"/>
        <v/>
      </c>
      <c r="AP1122" s="15" t="str">
        <f t="shared" si="68"/>
        <v/>
      </c>
    </row>
    <row r="1123" spans="38:42" ht="15" customHeight="1">
      <c r="AL1123" s="7" t="str">
        <f>IF(A1123="","",IF(COUNTIF(A1123:A$2001,A1123)=1,1,0))</f>
        <v/>
      </c>
      <c r="AM1123" s="7" t="str">
        <f t="shared" ca="1" si="65"/>
        <v/>
      </c>
      <c r="AN1123" s="7" t="str">
        <f t="shared" si="66"/>
        <v/>
      </c>
      <c r="AO1123" s="7" t="str">
        <f t="shared" si="67"/>
        <v/>
      </c>
      <c r="AP1123" s="15" t="str">
        <f t="shared" si="68"/>
        <v/>
      </c>
    </row>
    <row r="1124" spans="38:42" ht="15" customHeight="1">
      <c r="AL1124" s="7" t="str">
        <f>IF(A1124="","",IF(COUNTIF(A1124:A$2001,A1124)=1,1,0))</f>
        <v/>
      </c>
      <c r="AM1124" s="7" t="str">
        <f t="shared" ca="1" si="65"/>
        <v/>
      </c>
      <c r="AN1124" s="7" t="str">
        <f t="shared" si="66"/>
        <v/>
      </c>
      <c r="AO1124" s="7" t="str">
        <f t="shared" si="67"/>
        <v/>
      </c>
      <c r="AP1124" s="15" t="str">
        <f t="shared" si="68"/>
        <v/>
      </c>
    </row>
    <row r="1125" spans="38:42" ht="15" customHeight="1">
      <c r="AL1125" s="7" t="str">
        <f>IF(A1125="","",IF(COUNTIF(A1125:A$2001,A1125)=1,1,0))</f>
        <v/>
      </c>
      <c r="AM1125" s="7" t="str">
        <f t="shared" ca="1" si="65"/>
        <v/>
      </c>
      <c r="AN1125" s="7" t="str">
        <f t="shared" si="66"/>
        <v/>
      </c>
      <c r="AO1125" s="7" t="str">
        <f t="shared" si="67"/>
        <v/>
      </c>
      <c r="AP1125" s="15" t="str">
        <f t="shared" si="68"/>
        <v/>
      </c>
    </row>
    <row r="1126" spans="38:42" ht="15" customHeight="1">
      <c r="AL1126" s="7" t="str">
        <f>IF(A1126="","",IF(COUNTIF(A1126:A$2001,A1126)=1,1,0))</f>
        <v/>
      </c>
      <c r="AM1126" s="7" t="str">
        <f t="shared" ca="1" si="65"/>
        <v/>
      </c>
      <c r="AN1126" s="7" t="str">
        <f t="shared" si="66"/>
        <v/>
      </c>
      <c r="AO1126" s="7" t="str">
        <f t="shared" si="67"/>
        <v/>
      </c>
      <c r="AP1126" s="15" t="str">
        <f t="shared" si="68"/>
        <v/>
      </c>
    </row>
    <row r="1127" spans="38:42" ht="15" customHeight="1">
      <c r="AL1127" s="7" t="str">
        <f>IF(A1127="","",IF(COUNTIF(A1127:A$2001,A1127)=1,1,0))</f>
        <v/>
      </c>
      <c r="AM1127" s="7" t="str">
        <f t="shared" ca="1" si="65"/>
        <v/>
      </c>
      <c r="AN1127" s="7" t="str">
        <f t="shared" si="66"/>
        <v/>
      </c>
      <c r="AO1127" s="7" t="str">
        <f t="shared" si="67"/>
        <v/>
      </c>
      <c r="AP1127" s="15" t="str">
        <f t="shared" si="68"/>
        <v/>
      </c>
    </row>
    <row r="1128" spans="38:42" ht="15" customHeight="1">
      <c r="AL1128" s="7" t="str">
        <f>IF(A1128="","",IF(COUNTIF(A1128:A$2001,A1128)=1,1,0))</f>
        <v/>
      </c>
      <c r="AM1128" s="7" t="str">
        <f t="shared" ca="1" si="65"/>
        <v/>
      </c>
      <c r="AN1128" s="7" t="str">
        <f t="shared" si="66"/>
        <v/>
      </c>
      <c r="AO1128" s="7" t="str">
        <f t="shared" si="67"/>
        <v/>
      </c>
      <c r="AP1128" s="15" t="str">
        <f t="shared" si="68"/>
        <v/>
      </c>
    </row>
    <row r="1129" spans="38:42" ht="15" customHeight="1">
      <c r="AL1129" s="7" t="str">
        <f>IF(A1129="","",IF(COUNTIF(A1129:A$2001,A1129)=1,1,0))</f>
        <v/>
      </c>
      <c r="AM1129" s="7" t="str">
        <f t="shared" ca="1" si="65"/>
        <v/>
      </c>
      <c r="AN1129" s="7" t="str">
        <f t="shared" si="66"/>
        <v/>
      </c>
      <c r="AO1129" s="7" t="str">
        <f t="shared" si="67"/>
        <v/>
      </c>
      <c r="AP1129" s="15" t="str">
        <f t="shared" si="68"/>
        <v/>
      </c>
    </row>
    <row r="1130" spans="38:42" ht="15" customHeight="1">
      <c r="AL1130" s="7" t="str">
        <f>IF(A1130="","",IF(COUNTIF(A1130:A$2001,A1130)=1,1,0))</f>
        <v/>
      </c>
      <c r="AM1130" s="7" t="str">
        <f t="shared" ca="1" si="65"/>
        <v/>
      </c>
      <c r="AN1130" s="7" t="str">
        <f t="shared" si="66"/>
        <v/>
      </c>
      <c r="AO1130" s="7" t="str">
        <f t="shared" si="67"/>
        <v/>
      </c>
      <c r="AP1130" s="15" t="str">
        <f t="shared" si="68"/>
        <v/>
      </c>
    </row>
    <row r="1131" spans="38:42" ht="15" customHeight="1">
      <c r="AL1131" s="7" t="str">
        <f>IF(A1131="","",IF(COUNTIF(A1131:A$2001,A1131)=1,1,0))</f>
        <v/>
      </c>
      <c r="AM1131" s="7" t="str">
        <f t="shared" ca="1" si="65"/>
        <v/>
      </c>
      <c r="AN1131" s="7" t="str">
        <f t="shared" si="66"/>
        <v/>
      </c>
      <c r="AO1131" s="7" t="str">
        <f t="shared" si="67"/>
        <v/>
      </c>
      <c r="AP1131" s="15" t="str">
        <f t="shared" si="68"/>
        <v/>
      </c>
    </row>
    <row r="1132" spans="38:42" ht="15" customHeight="1">
      <c r="AL1132" s="7" t="str">
        <f>IF(A1132="","",IF(COUNTIF(A1132:A$2001,A1132)=1,1,0))</f>
        <v/>
      </c>
      <c r="AM1132" s="7" t="str">
        <f t="shared" ca="1" si="65"/>
        <v/>
      </c>
      <c r="AN1132" s="7" t="str">
        <f t="shared" si="66"/>
        <v/>
      </c>
      <c r="AO1132" s="7" t="str">
        <f t="shared" si="67"/>
        <v/>
      </c>
      <c r="AP1132" s="15" t="str">
        <f t="shared" si="68"/>
        <v/>
      </c>
    </row>
    <row r="1133" spans="38:42" ht="15" customHeight="1">
      <c r="AL1133" s="7" t="str">
        <f>IF(A1133="","",IF(COUNTIF(A1133:A$2001,A1133)=1,1,0))</f>
        <v/>
      </c>
      <c r="AM1133" s="7" t="str">
        <f t="shared" ca="1" si="65"/>
        <v/>
      </c>
      <c r="AN1133" s="7" t="str">
        <f t="shared" si="66"/>
        <v/>
      </c>
      <c r="AO1133" s="7" t="str">
        <f t="shared" si="67"/>
        <v/>
      </c>
      <c r="AP1133" s="15" t="str">
        <f t="shared" si="68"/>
        <v/>
      </c>
    </row>
    <row r="1134" spans="38:42" ht="15" customHeight="1">
      <c r="AL1134" s="7" t="str">
        <f>IF(A1134="","",IF(COUNTIF(A1134:A$2001,A1134)=1,1,0))</f>
        <v/>
      </c>
      <c r="AM1134" s="7" t="str">
        <f t="shared" ca="1" si="65"/>
        <v/>
      </c>
      <c r="AN1134" s="7" t="str">
        <f t="shared" si="66"/>
        <v/>
      </c>
      <c r="AO1134" s="7" t="str">
        <f t="shared" si="67"/>
        <v/>
      </c>
      <c r="AP1134" s="15" t="str">
        <f t="shared" si="68"/>
        <v/>
      </c>
    </row>
    <row r="1135" spans="38:42" ht="15" customHeight="1">
      <c r="AL1135" s="7" t="str">
        <f>IF(A1135="","",IF(COUNTIF(A1135:A$2001,A1135)=1,1,0))</f>
        <v/>
      </c>
      <c r="AM1135" s="7" t="str">
        <f t="shared" ca="1" si="65"/>
        <v/>
      </c>
      <c r="AN1135" s="7" t="str">
        <f t="shared" si="66"/>
        <v/>
      </c>
      <c r="AO1135" s="7" t="str">
        <f t="shared" si="67"/>
        <v/>
      </c>
      <c r="AP1135" s="15" t="str">
        <f t="shared" si="68"/>
        <v/>
      </c>
    </row>
    <row r="1136" spans="38:42" ht="15" customHeight="1">
      <c r="AL1136" s="7" t="str">
        <f>IF(A1136="","",IF(COUNTIF(A1136:A$2001,A1136)=1,1,0))</f>
        <v/>
      </c>
      <c r="AM1136" s="7" t="str">
        <f t="shared" ca="1" si="65"/>
        <v/>
      </c>
      <c r="AN1136" s="7" t="str">
        <f t="shared" si="66"/>
        <v/>
      </c>
      <c r="AO1136" s="7" t="str">
        <f t="shared" si="67"/>
        <v/>
      </c>
      <c r="AP1136" s="15" t="str">
        <f t="shared" si="68"/>
        <v/>
      </c>
    </row>
    <row r="1137" spans="38:42" ht="15" customHeight="1">
      <c r="AL1137" s="7" t="str">
        <f>IF(A1137="","",IF(COUNTIF(A1137:A$2001,A1137)=1,1,0))</f>
        <v/>
      </c>
      <c r="AM1137" s="7" t="str">
        <f t="shared" ca="1" si="65"/>
        <v/>
      </c>
      <c r="AN1137" s="7" t="str">
        <f t="shared" si="66"/>
        <v/>
      </c>
      <c r="AO1137" s="7" t="str">
        <f t="shared" si="67"/>
        <v/>
      </c>
      <c r="AP1137" s="15" t="str">
        <f t="shared" si="68"/>
        <v/>
      </c>
    </row>
    <row r="1138" spans="38:42" ht="15" customHeight="1">
      <c r="AL1138" s="7" t="str">
        <f>IF(A1138="","",IF(COUNTIF(A1138:A$2001,A1138)=1,1,0))</f>
        <v/>
      </c>
      <c r="AM1138" s="7" t="str">
        <f t="shared" ca="1" si="65"/>
        <v/>
      </c>
      <c r="AN1138" s="7" t="str">
        <f t="shared" si="66"/>
        <v/>
      </c>
      <c r="AO1138" s="7" t="str">
        <f t="shared" si="67"/>
        <v/>
      </c>
      <c r="AP1138" s="15" t="str">
        <f t="shared" si="68"/>
        <v/>
      </c>
    </row>
    <row r="1139" spans="38:42" ht="15" customHeight="1">
      <c r="AL1139" s="7" t="str">
        <f>IF(A1139="","",IF(COUNTIF(A1139:A$2001,A1139)=1,1,0))</f>
        <v/>
      </c>
      <c r="AM1139" s="7" t="str">
        <f t="shared" ca="1" si="65"/>
        <v/>
      </c>
      <c r="AN1139" s="7" t="str">
        <f t="shared" si="66"/>
        <v/>
      </c>
      <c r="AO1139" s="7" t="str">
        <f t="shared" si="67"/>
        <v/>
      </c>
      <c r="AP1139" s="15" t="str">
        <f t="shared" si="68"/>
        <v/>
      </c>
    </row>
    <row r="1140" spans="38:42" ht="15" customHeight="1">
      <c r="AL1140" s="7" t="str">
        <f>IF(A1140="","",IF(COUNTIF(A1140:A$2001,A1140)=1,1,0))</f>
        <v/>
      </c>
      <c r="AM1140" s="7" t="str">
        <f t="shared" ca="1" si="65"/>
        <v/>
      </c>
      <c r="AN1140" s="7" t="str">
        <f t="shared" si="66"/>
        <v/>
      </c>
      <c r="AO1140" s="7" t="str">
        <f t="shared" si="67"/>
        <v/>
      </c>
      <c r="AP1140" s="15" t="str">
        <f t="shared" si="68"/>
        <v/>
      </c>
    </row>
    <row r="1141" spans="38:42" ht="15" customHeight="1">
      <c r="AL1141" s="7" t="str">
        <f>IF(A1141="","",IF(COUNTIF(A1141:A$2001,A1141)=1,1,0))</f>
        <v/>
      </c>
      <c r="AM1141" s="7" t="str">
        <f t="shared" ca="1" si="65"/>
        <v/>
      </c>
      <c r="AN1141" s="7" t="str">
        <f t="shared" si="66"/>
        <v/>
      </c>
      <c r="AO1141" s="7" t="str">
        <f t="shared" si="67"/>
        <v/>
      </c>
      <c r="AP1141" s="15" t="str">
        <f t="shared" si="68"/>
        <v/>
      </c>
    </row>
    <row r="1142" spans="38:42" ht="15" customHeight="1">
      <c r="AL1142" s="7" t="str">
        <f>IF(A1142="","",IF(COUNTIF(A1142:A$2001,A1142)=1,1,0))</f>
        <v/>
      </c>
      <c r="AM1142" s="7" t="str">
        <f t="shared" ca="1" si="65"/>
        <v/>
      </c>
      <c r="AN1142" s="7" t="str">
        <f t="shared" si="66"/>
        <v/>
      </c>
      <c r="AO1142" s="7" t="str">
        <f t="shared" si="67"/>
        <v/>
      </c>
      <c r="AP1142" s="15" t="str">
        <f t="shared" si="68"/>
        <v/>
      </c>
    </row>
    <row r="1143" spans="38:42" ht="15" customHeight="1">
      <c r="AL1143" s="7" t="str">
        <f>IF(A1143="","",IF(COUNTIF(A1143:A$2001,A1143)=1,1,0))</f>
        <v/>
      </c>
      <c r="AM1143" s="7" t="str">
        <f t="shared" ca="1" si="65"/>
        <v/>
      </c>
      <c r="AN1143" s="7" t="str">
        <f t="shared" si="66"/>
        <v/>
      </c>
      <c r="AO1143" s="7" t="str">
        <f t="shared" si="67"/>
        <v/>
      </c>
      <c r="AP1143" s="15" t="str">
        <f t="shared" si="68"/>
        <v/>
      </c>
    </row>
    <row r="1144" spans="38:42" ht="15" customHeight="1">
      <c r="AL1144" s="7" t="str">
        <f>IF(A1144="","",IF(COUNTIF(A1144:A$2001,A1144)=1,1,0))</f>
        <v/>
      </c>
      <c r="AM1144" s="7" t="str">
        <f t="shared" ca="1" si="65"/>
        <v/>
      </c>
      <c r="AN1144" s="7" t="str">
        <f t="shared" si="66"/>
        <v/>
      </c>
      <c r="AO1144" s="7" t="str">
        <f t="shared" si="67"/>
        <v/>
      </c>
      <c r="AP1144" s="15" t="str">
        <f t="shared" si="68"/>
        <v/>
      </c>
    </row>
    <row r="1145" spans="38:42" ht="15" customHeight="1">
      <c r="AL1145" s="7" t="str">
        <f>IF(A1145="","",IF(COUNTIF(A1145:A$2001,A1145)=1,1,0))</f>
        <v/>
      </c>
      <c r="AM1145" s="7" t="str">
        <f t="shared" ca="1" si="65"/>
        <v/>
      </c>
      <c r="AN1145" s="7" t="str">
        <f t="shared" si="66"/>
        <v/>
      </c>
      <c r="AO1145" s="7" t="str">
        <f t="shared" si="67"/>
        <v/>
      </c>
      <c r="AP1145" s="15" t="str">
        <f t="shared" si="68"/>
        <v/>
      </c>
    </row>
    <row r="1146" spans="38:42" ht="15" customHeight="1">
      <c r="AL1146" s="7" t="str">
        <f>IF(A1146="","",IF(COUNTIF(A1146:A$2001,A1146)=1,1,0))</f>
        <v/>
      </c>
      <c r="AM1146" s="7" t="str">
        <f t="shared" ca="1" si="65"/>
        <v/>
      </c>
      <c r="AN1146" s="7" t="str">
        <f t="shared" si="66"/>
        <v/>
      </c>
      <c r="AO1146" s="7" t="str">
        <f t="shared" si="67"/>
        <v/>
      </c>
      <c r="AP1146" s="15" t="str">
        <f t="shared" si="68"/>
        <v/>
      </c>
    </row>
    <row r="1147" spans="38:42" ht="15" customHeight="1">
      <c r="AL1147" s="7" t="str">
        <f>IF(A1147="","",IF(COUNTIF(A1147:A$2001,A1147)=1,1,0))</f>
        <v/>
      </c>
      <c r="AM1147" s="7" t="str">
        <f t="shared" ca="1" si="65"/>
        <v/>
      </c>
      <c r="AN1147" s="7" t="str">
        <f t="shared" si="66"/>
        <v/>
      </c>
      <c r="AO1147" s="7" t="str">
        <f t="shared" si="67"/>
        <v/>
      </c>
      <c r="AP1147" s="15" t="str">
        <f t="shared" si="68"/>
        <v/>
      </c>
    </row>
    <row r="1148" spans="38:42" ht="15" customHeight="1">
      <c r="AL1148" s="7" t="str">
        <f>IF(A1148="","",IF(COUNTIF(A1148:A$2001,A1148)=1,1,0))</f>
        <v/>
      </c>
      <c r="AM1148" s="7" t="str">
        <f t="shared" ca="1" si="65"/>
        <v/>
      </c>
      <c r="AN1148" s="7" t="str">
        <f t="shared" si="66"/>
        <v/>
      </c>
      <c r="AO1148" s="7" t="str">
        <f t="shared" si="67"/>
        <v/>
      </c>
      <c r="AP1148" s="15" t="str">
        <f t="shared" si="68"/>
        <v/>
      </c>
    </row>
    <row r="1149" spans="38:42" ht="15" customHeight="1">
      <c r="AL1149" s="7" t="str">
        <f>IF(A1149="","",IF(COUNTIF(A1149:A$2001,A1149)=1,1,0))</f>
        <v/>
      </c>
      <c r="AM1149" s="7" t="str">
        <f t="shared" ca="1" si="65"/>
        <v/>
      </c>
      <c r="AN1149" s="7" t="str">
        <f t="shared" si="66"/>
        <v/>
      </c>
      <c r="AO1149" s="7" t="str">
        <f t="shared" si="67"/>
        <v/>
      </c>
      <c r="AP1149" s="15" t="str">
        <f t="shared" si="68"/>
        <v/>
      </c>
    </row>
    <row r="1150" spans="38:42" ht="15" customHeight="1">
      <c r="AL1150" s="7" t="str">
        <f>IF(A1150="","",IF(COUNTIF(A1150:A$2001,A1150)=1,1,0))</f>
        <v/>
      </c>
      <c r="AM1150" s="7" t="str">
        <f t="shared" ca="1" si="65"/>
        <v/>
      </c>
      <c r="AN1150" s="7" t="str">
        <f t="shared" si="66"/>
        <v/>
      </c>
      <c r="AO1150" s="7" t="str">
        <f t="shared" si="67"/>
        <v/>
      </c>
      <c r="AP1150" s="15" t="str">
        <f t="shared" si="68"/>
        <v/>
      </c>
    </row>
    <row r="1151" spans="38:42" ht="15" customHeight="1">
      <c r="AL1151" s="7" t="str">
        <f>IF(A1151="","",IF(COUNTIF(A1151:A$2001,A1151)=1,1,0))</f>
        <v/>
      </c>
      <c r="AM1151" s="7" t="str">
        <f t="shared" ca="1" si="65"/>
        <v/>
      </c>
      <c r="AN1151" s="7" t="str">
        <f t="shared" si="66"/>
        <v/>
      </c>
      <c r="AO1151" s="7" t="str">
        <f t="shared" si="67"/>
        <v/>
      </c>
      <c r="AP1151" s="15" t="str">
        <f t="shared" si="68"/>
        <v/>
      </c>
    </row>
    <row r="1152" spans="38:42" ht="15" customHeight="1">
      <c r="AL1152" s="7" t="str">
        <f>IF(A1152="","",IF(COUNTIF(A1152:A$2001,A1152)=1,1,0))</f>
        <v/>
      </c>
      <c r="AM1152" s="7" t="str">
        <f t="shared" ca="1" si="65"/>
        <v/>
      </c>
      <c r="AN1152" s="7" t="str">
        <f t="shared" si="66"/>
        <v/>
      </c>
      <c r="AO1152" s="7" t="str">
        <f t="shared" si="67"/>
        <v/>
      </c>
      <c r="AP1152" s="15" t="str">
        <f t="shared" si="68"/>
        <v/>
      </c>
    </row>
    <row r="1153" spans="38:42" ht="15" customHeight="1">
      <c r="AL1153" s="7" t="str">
        <f>IF(A1153="","",IF(COUNTIF(A1153:A$2001,A1153)=1,1,0))</f>
        <v/>
      </c>
      <c r="AM1153" s="7" t="str">
        <f t="shared" ca="1" si="65"/>
        <v/>
      </c>
      <c r="AN1153" s="7" t="str">
        <f t="shared" si="66"/>
        <v/>
      </c>
      <c r="AO1153" s="7" t="str">
        <f t="shared" si="67"/>
        <v/>
      </c>
      <c r="AP1153" s="15" t="str">
        <f t="shared" si="68"/>
        <v/>
      </c>
    </row>
    <row r="1154" spans="38:42" ht="15" customHeight="1">
      <c r="AL1154" s="7" t="str">
        <f>IF(A1154="","",IF(COUNTIF(A1154:A$2001,A1154)=1,1,0))</f>
        <v/>
      </c>
      <c r="AM1154" s="7" t="str">
        <f t="shared" ref="AM1154:AM1217" ca="1" si="69">IF(I1154="","",TODAY()-I1154)</f>
        <v/>
      </c>
      <c r="AN1154" s="7" t="str">
        <f t="shared" ref="AN1154:AN1217" si="70">IF(A1154="","",IF(AND(E1154&lt;&gt;"33 確認済",E1154&lt;&gt;"36 送付中"),1,0))</f>
        <v/>
      </c>
      <c r="AO1154" s="7" t="str">
        <f t="shared" ref="AO1154:AO1217" si="71">IF(A1154="","",IF(AG1154&lt;&gt;"",1,0))</f>
        <v/>
      </c>
      <c r="AP1154" s="15" t="str">
        <f t="shared" ref="AP1154:AP1217" si="72">IF(P1154&lt;&gt;"","・添待ち","")&amp;IF(Q1154&lt;&gt;"","・住民票","")&amp;IF(R1154&lt;&gt;"","・発信","")&amp;IF(S1154&lt;&gt;"","・確認事項","")&amp;IF(T1154&lt;&gt;"","・管","")&amp;IF(U1154&lt;&gt;"","・SV","")&amp;IF(V1154&lt;&gt;"","・データ送付待ち","")&amp;IF(W1154&lt;&gt;"","・削除","")</f>
        <v/>
      </c>
    </row>
    <row r="1155" spans="38:42" ht="15" customHeight="1">
      <c r="AL1155" s="7" t="str">
        <f>IF(A1155="","",IF(COUNTIF(A1155:A$2001,A1155)=1,1,0))</f>
        <v/>
      </c>
      <c r="AM1155" s="7" t="str">
        <f t="shared" ca="1" si="69"/>
        <v/>
      </c>
      <c r="AN1155" s="7" t="str">
        <f t="shared" si="70"/>
        <v/>
      </c>
      <c r="AO1155" s="7" t="str">
        <f t="shared" si="71"/>
        <v/>
      </c>
      <c r="AP1155" s="15" t="str">
        <f t="shared" si="72"/>
        <v/>
      </c>
    </row>
    <row r="1156" spans="38:42" ht="15" customHeight="1">
      <c r="AL1156" s="7" t="str">
        <f>IF(A1156="","",IF(COUNTIF(A1156:A$2001,A1156)=1,1,0))</f>
        <v/>
      </c>
      <c r="AM1156" s="7" t="str">
        <f t="shared" ca="1" si="69"/>
        <v/>
      </c>
      <c r="AN1156" s="7" t="str">
        <f t="shared" si="70"/>
        <v/>
      </c>
      <c r="AO1156" s="7" t="str">
        <f t="shared" si="71"/>
        <v/>
      </c>
      <c r="AP1156" s="15" t="str">
        <f t="shared" si="72"/>
        <v/>
      </c>
    </row>
    <row r="1157" spans="38:42" ht="15" customHeight="1">
      <c r="AL1157" s="7" t="str">
        <f>IF(A1157="","",IF(COUNTIF(A1157:A$2001,A1157)=1,1,0))</f>
        <v/>
      </c>
      <c r="AM1157" s="7" t="str">
        <f t="shared" ca="1" si="69"/>
        <v/>
      </c>
      <c r="AN1157" s="7" t="str">
        <f t="shared" si="70"/>
        <v/>
      </c>
      <c r="AO1157" s="7" t="str">
        <f t="shared" si="71"/>
        <v/>
      </c>
      <c r="AP1157" s="15" t="str">
        <f t="shared" si="72"/>
        <v/>
      </c>
    </row>
    <row r="1158" spans="38:42" ht="15" customHeight="1">
      <c r="AL1158" s="7" t="str">
        <f>IF(A1158="","",IF(COUNTIF(A1158:A$2001,A1158)=1,1,0))</f>
        <v/>
      </c>
      <c r="AM1158" s="7" t="str">
        <f t="shared" ca="1" si="69"/>
        <v/>
      </c>
      <c r="AN1158" s="7" t="str">
        <f t="shared" si="70"/>
        <v/>
      </c>
      <c r="AO1158" s="7" t="str">
        <f t="shared" si="71"/>
        <v/>
      </c>
      <c r="AP1158" s="15" t="str">
        <f t="shared" si="72"/>
        <v/>
      </c>
    </row>
    <row r="1159" spans="38:42" ht="15" customHeight="1">
      <c r="AL1159" s="7" t="str">
        <f>IF(A1159="","",IF(COUNTIF(A1159:A$2001,A1159)=1,1,0))</f>
        <v/>
      </c>
      <c r="AM1159" s="7" t="str">
        <f t="shared" ca="1" si="69"/>
        <v/>
      </c>
      <c r="AN1159" s="7" t="str">
        <f t="shared" si="70"/>
        <v/>
      </c>
      <c r="AO1159" s="7" t="str">
        <f t="shared" si="71"/>
        <v/>
      </c>
      <c r="AP1159" s="15" t="str">
        <f t="shared" si="72"/>
        <v/>
      </c>
    </row>
    <row r="1160" spans="38:42" ht="15" customHeight="1">
      <c r="AL1160" s="7" t="str">
        <f>IF(A1160="","",IF(COUNTIF(A1160:A$2001,A1160)=1,1,0))</f>
        <v/>
      </c>
      <c r="AM1160" s="7" t="str">
        <f t="shared" ca="1" si="69"/>
        <v/>
      </c>
      <c r="AN1160" s="7" t="str">
        <f t="shared" si="70"/>
        <v/>
      </c>
      <c r="AO1160" s="7" t="str">
        <f t="shared" si="71"/>
        <v/>
      </c>
      <c r="AP1160" s="15" t="str">
        <f t="shared" si="72"/>
        <v/>
      </c>
    </row>
    <row r="1161" spans="38:42" ht="15" customHeight="1">
      <c r="AL1161" s="7" t="str">
        <f>IF(A1161="","",IF(COUNTIF(A1161:A$2001,A1161)=1,1,0))</f>
        <v/>
      </c>
      <c r="AM1161" s="7" t="str">
        <f t="shared" ca="1" si="69"/>
        <v/>
      </c>
      <c r="AN1161" s="7" t="str">
        <f t="shared" si="70"/>
        <v/>
      </c>
      <c r="AO1161" s="7" t="str">
        <f t="shared" si="71"/>
        <v/>
      </c>
      <c r="AP1161" s="15" t="str">
        <f t="shared" si="72"/>
        <v/>
      </c>
    </row>
    <row r="1162" spans="38:42" ht="15" customHeight="1">
      <c r="AL1162" s="7" t="str">
        <f>IF(A1162="","",IF(COUNTIF(A1162:A$2001,A1162)=1,1,0))</f>
        <v/>
      </c>
      <c r="AM1162" s="7" t="str">
        <f t="shared" ca="1" si="69"/>
        <v/>
      </c>
      <c r="AN1162" s="7" t="str">
        <f t="shared" si="70"/>
        <v/>
      </c>
      <c r="AO1162" s="7" t="str">
        <f t="shared" si="71"/>
        <v/>
      </c>
      <c r="AP1162" s="15" t="str">
        <f t="shared" si="72"/>
        <v/>
      </c>
    </row>
    <row r="1163" spans="38:42" ht="15" customHeight="1">
      <c r="AL1163" s="7" t="str">
        <f>IF(A1163="","",IF(COUNTIF(A1163:A$2001,A1163)=1,1,0))</f>
        <v/>
      </c>
      <c r="AM1163" s="7" t="str">
        <f t="shared" ca="1" si="69"/>
        <v/>
      </c>
      <c r="AN1163" s="7" t="str">
        <f t="shared" si="70"/>
        <v/>
      </c>
      <c r="AO1163" s="7" t="str">
        <f t="shared" si="71"/>
        <v/>
      </c>
      <c r="AP1163" s="15" t="str">
        <f t="shared" si="72"/>
        <v/>
      </c>
    </row>
    <row r="1164" spans="38:42" ht="15" customHeight="1">
      <c r="AL1164" s="7" t="str">
        <f>IF(A1164="","",IF(COUNTIF(A1164:A$2001,A1164)=1,1,0))</f>
        <v/>
      </c>
      <c r="AM1164" s="7" t="str">
        <f t="shared" ca="1" si="69"/>
        <v/>
      </c>
      <c r="AN1164" s="7" t="str">
        <f t="shared" si="70"/>
        <v/>
      </c>
      <c r="AO1164" s="7" t="str">
        <f t="shared" si="71"/>
        <v/>
      </c>
      <c r="AP1164" s="15" t="str">
        <f t="shared" si="72"/>
        <v/>
      </c>
    </row>
    <row r="1165" spans="38:42" ht="15" customHeight="1">
      <c r="AL1165" s="7" t="str">
        <f>IF(A1165="","",IF(COUNTIF(A1165:A$2001,A1165)=1,1,0))</f>
        <v/>
      </c>
      <c r="AM1165" s="7" t="str">
        <f t="shared" ca="1" si="69"/>
        <v/>
      </c>
      <c r="AN1165" s="7" t="str">
        <f t="shared" si="70"/>
        <v/>
      </c>
      <c r="AO1165" s="7" t="str">
        <f t="shared" si="71"/>
        <v/>
      </c>
      <c r="AP1165" s="15" t="str">
        <f t="shared" si="72"/>
        <v/>
      </c>
    </row>
    <row r="1166" spans="38:42" ht="15" customHeight="1">
      <c r="AL1166" s="7" t="str">
        <f>IF(A1166="","",IF(COUNTIF(A1166:A$2001,A1166)=1,1,0))</f>
        <v/>
      </c>
      <c r="AM1166" s="7" t="str">
        <f t="shared" ca="1" si="69"/>
        <v/>
      </c>
      <c r="AN1166" s="7" t="str">
        <f t="shared" si="70"/>
        <v/>
      </c>
      <c r="AO1166" s="7" t="str">
        <f t="shared" si="71"/>
        <v/>
      </c>
      <c r="AP1166" s="15" t="str">
        <f t="shared" si="72"/>
        <v/>
      </c>
    </row>
    <row r="1167" spans="38:42" ht="15" customHeight="1">
      <c r="AL1167" s="7" t="str">
        <f>IF(A1167="","",IF(COUNTIF(A1167:A$2001,A1167)=1,1,0))</f>
        <v/>
      </c>
      <c r="AM1167" s="7" t="str">
        <f t="shared" ca="1" si="69"/>
        <v/>
      </c>
      <c r="AN1167" s="7" t="str">
        <f t="shared" si="70"/>
        <v/>
      </c>
      <c r="AO1167" s="7" t="str">
        <f t="shared" si="71"/>
        <v/>
      </c>
      <c r="AP1167" s="15" t="str">
        <f t="shared" si="72"/>
        <v/>
      </c>
    </row>
    <row r="1168" spans="38:42" ht="15" customHeight="1">
      <c r="AL1168" s="7" t="str">
        <f>IF(A1168="","",IF(COUNTIF(A1168:A$2001,A1168)=1,1,0))</f>
        <v/>
      </c>
      <c r="AM1168" s="7" t="str">
        <f t="shared" ca="1" si="69"/>
        <v/>
      </c>
      <c r="AN1168" s="7" t="str">
        <f t="shared" si="70"/>
        <v/>
      </c>
      <c r="AO1168" s="7" t="str">
        <f t="shared" si="71"/>
        <v/>
      </c>
      <c r="AP1168" s="15" t="str">
        <f t="shared" si="72"/>
        <v/>
      </c>
    </row>
    <row r="1169" spans="38:42" ht="15" customHeight="1">
      <c r="AL1169" s="7" t="str">
        <f>IF(A1169="","",IF(COUNTIF(A1169:A$2001,A1169)=1,1,0))</f>
        <v/>
      </c>
      <c r="AM1169" s="7" t="str">
        <f t="shared" ca="1" si="69"/>
        <v/>
      </c>
      <c r="AN1169" s="7" t="str">
        <f t="shared" si="70"/>
        <v/>
      </c>
      <c r="AO1169" s="7" t="str">
        <f t="shared" si="71"/>
        <v/>
      </c>
      <c r="AP1169" s="15" t="str">
        <f t="shared" si="72"/>
        <v/>
      </c>
    </row>
    <row r="1170" spans="38:42" ht="15" customHeight="1">
      <c r="AL1170" s="7" t="str">
        <f>IF(A1170="","",IF(COUNTIF(A1170:A$2001,A1170)=1,1,0))</f>
        <v/>
      </c>
      <c r="AM1170" s="7" t="str">
        <f t="shared" ca="1" si="69"/>
        <v/>
      </c>
      <c r="AN1170" s="7" t="str">
        <f t="shared" si="70"/>
        <v/>
      </c>
      <c r="AO1170" s="7" t="str">
        <f t="shared" si="71"/>
        <v/>
      </c>
      <c r="AP1170" s="15" t="str">
        <f t="shared" si="72"/>
        <v/>
      </c>
    </row>
    <row r="1171" spans="38:42" ht="15" customHeight="1">
      <c r="AL1171" s="7" t="str">
        <f>IF(A1171="","",IF(COUNTIF(A1171:A$2001,A1171)=1,1,0))</f>
        <v/>
      </c>
      <c r="AM1171" s="7" t="str">
        <f t="shared" ca="1" si="69"/>
        <v/>
      </c>
      <c r="AN1171" s="7" t="str">
        <f t="shared" si="70"/>
        <v/>
      </c>
      <c r="AO1171" s="7" t="str">
        <f t="shared" si="71"/>
        <v/>
      </c>
      <c r="AP1171" s="15" t="str">
        <f t="shared" si="72"/>
        <v/>
      </c>
    </row>
    <row r="1172" spans="38:42" ht="15" customHeight="1">
      <c r="AL1172" s="7" t="str">
        <f>IF(A1172="","",IF(COUNTIF(A1172:A$2001,A1172)=1,1,0))</f>
        <v/>
      </c>
      <c r="AM1172" s="7" t="str">
        <f t="shared" ca="1" si="69"/>
        <v/>
      </c>
      <c r="AN1172" s="7" t="str">
        <f t="shared" si="70"/>
        <v/>
      </c>
      <c r="AO1172" s="7" t="str">
        <f t="shared" si="71"/>
        <v/>
      </c>
      <c r="AP1172" s="15" t="str">
        <f t="shared" si="72"/>
        <v/>
      </c>
    </row>
    <row r="1173" spans="38:42" ht="15" customHeight="1">
      <c r="AL1173" s="7" t="str">
        <f>IF(A1173="","",IF(COUNTIF(A1173:A$2001,A1173)=1,1,0))</f>
        <v/>
      </c>
      <c r="AM1173" s="7" t="str">
        <f t="shared" ca="1" si="69"/>
        <v/>
      </c>
      <c r="AN1173" s="7" t="str">
        <f t="shared" si="70"/>
        <v/>
      </c>
      <c r="AO1173" s="7" t="str">
        <f t="shared" si="71"/>
        <v/>
      </c>
      <c r="AP1173" s="15" t="str">
        <f t="shared" si="72"/>
        <v/>
      </c>
    </row>
    <row r="1174" spans="38:42" ht="15" customHeight="1">
      <c r="AL1174" s="7" t="str">
        <f>IF(A1174="","",IF(COUNTIF(A1174:A$2001,A1174)=1,1,0))</f>
        <v/>
      </c>
      <c r="AM1174" s="7" t="str">
        <f t="shared" ca="1" si="69"/>
        <v/>
      </c>
      <c r="AN1174" s="7" t="str">
        <f t="shared" si="70"/>
        <v/>
      </c>
      <c r="AO1174" s="7" t="str">
        <f t="shared" si="71"/>
        <v/>
      </c>
      <c r="AP1174" s="15" t="str">
        <f t="shared" si="72"/>
        <v/>
      </c>
    </row>
    <row r="1175" spans="38:42" ht="15" customHeight="1">
      <c r="AL1175" s="7" t="str">
        <f>IF(A1175="","",IF(COUNTIF(A1175:A$2001,A1175)=1,1,0))</f>
        <v/>
      </c>
      <c r="AM1175" s="7" t="str">
        <f t="shared" ca="1" si="69"/>
        <v/>
      </c>
      <c r="AN1175" s="7" t="str">
        <f t="shared" si="70"/>
        <v/>
      </c>
      <c r="AO1175" s="7" t="str">
        <f t="shared" si="71"/>
        <v/>
      </c>
      <c r="AP1175" s="15" t="str">
        <f t="shared" si="72"/>
        <v/>
      </c>
    </row>
    <row r="1176" spans="38:42" ht="15" customHeight="1">
      <c r="AL1176" s="7" t="str">
        <f>IF(A1176="","",IF(COUNTIF(A1176:A$2001,A1176)=1,1,0))</f>
        <v/>
      </c>
      <c r="AM1176" s="7" t="str">
        <f t="shared" ca="1" si="69"/>
        <v/>
      </c>
      <c r="AN1176" s="7" t="str">
        <f t="shared" si="70"/>
        <v/>
      </c>
      <c r="AO1176" s="7" t="str">
        <f t="shared" si="71"/>
        <v/>
      </c>
      <c r="AP1176" s="15" t="str">
        <f t="shared" si="72"/>
        <v/>
      </c>
    </row>
    <row r="1177" spans="38:42" ht="15" customHeight="1">
      <c r="AL1177" s="7" t="str">
        <f>IF(A1177="","",IF(COUNTIF(A1177:A$2001,A1177)=1,1,0))</f>
        <v/>
      </c>
      <c r="AM1177" s="7" t="str">
        <f t="shared" ca="1" si="69"/>
        <v/>
      </c>
      <c r="AN1177" s="7" t="str">
        <f t="shared" si="70"/>
        <v/>
      </c>
      <c r="AO1177" s="7" t="str">
        <f t="shared" si="71"/>
        <v/>
      </c>
      <c r="AP1177" s="15" t="str">
        <f t="shared" si="72"/>
        <v/>
      </c>
    </row>
    <row r="1178" spans="38:42" ht="15" customHeight="1">
      <c r="AL1178" s="7" t="str">
        <f>IF(A1178="","",IF(COUNTIF(A1178:A$2001,A1178)=1,1,0))</f>
        <v/>
      </c>
      <c r="AM1178" s="7" t="str">
        <f t="shared" ca="1" si="69"/>
        <v/>
      </c>
      <c r="AN1178" s="7" t="str">
        <f t="shared" si="70"/>
        <v/>
      </c>
      <c r="AO1178" s="7" t="str">
        <f t="shared" si="71"/>
        <v/>
      </c>
      <c r="AP1178" s="15" t="str">
        <f t="shared" si="72"/>
        <v/>
      </c>
    </row>
    <row r="1179" spans="38:42" ht="15" customHeight="1">
      <c r="AL1179" s="7" t="str">
        <f>IF(A1179="","",IF(COUNTIF(A1179:A$2001,A1179)=1,1,0))</f>
        <v/>
      </c>
      <c r="AM1179" s="7" t="str">
        <f t="shared" ca="1" si="69"/>
        <v/>
      </c>
      <c r="AN1179" s="7" t="str">
        <f t="shared" si="70"/>
        <v/>
      </c>
      <c r="AO1179" s="7" t="str">
        <f t="shared" si="71"/>
        <v/>
      </c>
      <c r="AP1179" s="15" t="str">
        <f t="shared" si="72"/>
        <v/>
      </c>
    </row>
    <row r="1180" spans="38:42" ht="15" customHeight="1">
      <c r="AL1180" s="7" t="str">
        <f>IF(A1180="","",IF(COUNTIF(A1180:A$2001,A1180)=1,1,0))</f>
        <v/>
      </c>
      <c r="AM1180" s="7" t="str">
        <f t="shared" ca="1" si="69"/>
        <v/>
      </c>
      <c r="AN1180" s="7" t="str">
        <f t="shared" si="70"/>
        <v/>
      </c>
      <c r="AO1180" s="7" t="str">
        <f t="shared" si="71"/>
        <v/>
      </c>
      <c r="AP1180" s="15" t="str">
        <f t="shared" si="72"/>
        <v/>
      </c>
    </row>
    <row r="1181" spans="38:42" ht="15" customHeight="1">
      <c r="AL1181" s="7" t="str">
        <f>IF(A1181="","",IF(COUNTIF(A1181:A$2001,A1181)=1,1,0))</f>
        <v/>
      </c>
      <c r="AM1181" s="7" t="str">
        <f t="shared" ca="1" si="69"/>
        <v/>
      </c>
      <c r="AN1181" s="7" t="str">
        <f t="shared" si="70"/>
        <v/>
      </c>
      <c r="AO1181" s="7" t="str">
        <f t="shared" si="71"/>
        <v/>
      </c>
      <c r="AP1181" s="15" t="str">
        <f t="shared" si="72"/>
        <v/>
      </c>
    </row>
    <row r="1182" spans="38:42" ht="15" customHeight="1">
      <c r="AL1182" s="7" t="str">
        <f>IF(A1182="","",IF(COUNTIF(A1182:A$2001,A1182)=1,1,0))</f>
        <v/>
      </c>
      <c r="AM1182" s="7" t="str">
        <f t="shared" ca="1" si="69"/>
        <v/>
      </c>
      <c r="AN1182" s="7" t="str">
        <f t="shared" si="70"/>
        <v/>
      </c>
      <c r="AO1182" s="7" t="str">
        <f t="shared" si="71"/>
        <v/>
      </c>
      <c r="AP1182" s="15" t="str">
        <f t="shared" si="72"/>
        <v/>
      </c>
    </row>
    <row r="1183" spans="38:42" ht="15" customHeight="1">
      <c r="AL1183" s="7" t="str">
        <f>IF(A1183="","",IF(COUNTIF(A1183:A$2001,A1183)=1,1,0))</f>
        <v/>
      </c>
      <c r="AM1183" s="7" t="str">
        <f t="shared" ca="1" si="69"/>
        <v/>
      </c>
      <c r="AN1183" s="7" t="str">
        <f t="shared" si="70"/>
        <v/>
      </c>
      <c r="AO1183" s="7" t="str">
        <f t="shared" si="71"/>
        <v/>
      </c>
      <c r="AP1183" s="15" t="str">
        <f t="shared" si="72"/>
        <v/>
      </c>
    </row>
    <row r="1184" spans="38:42" ht="15" customHeight="1">
      <c r="AL1184" s="7" t="str">
        <f>IF(A1184="","",IF(COUNTIF(A1184:A$2001,A1184)=1,1,0))</f>
        <v/>
      </c>
      <c r="AM1184" s="7" t="str">
        <f t="shared" ca="1" si="69"/>
        <v/>
      </c>
      <c r="AN1184" s="7" t="str">
        <f t="shared" si="70"/>
        <v/>
      </c>
      <c r="AO1184" s="7" t="str">
        <f t="shared" si="71"/>
        <v/>
      </c>
      <c r="AP1184" s="15" t="str">
        <f t="shared" si="72"/>
        <v/>
      </c>
    </row>
    <row r="1185" spans="38:42" ht="15" customHeight="1">
      <c r="AL1185" s="7" t="str">
        <f>IF(A1185="","",IF(COUNTIF(A1185:A$2001,A1185)=1,1,0))</f>
        <v/>
      </c>
      <c r="AM1185" s="7" t="str">
        <f t="shared" ca="1" si="69"/>
        <v/>
      </c>
      <c r="AN1185" s="7" t="str">
        <f t="shared" si="70"/>
        <v/>
      </c>
      <c r="AO1185" s="7" t="str">
        <f t="shared" si="71"/>
        <v/>
      </c>
      <c r="AP1185" s="15" t="str">
        <f t="shared" si="72"/>
        <v/>
      </c>
    </row>
    <row r="1186" spans="38:42" ht="15" customHeight="1">
      <c r="AL1186" s="7" t="str">
        <f>IF(A1186="","",IF(COUNTIF(A1186:A$2001,A1186)=1,1,0))</f>
        <v/>
      </c>
      <c r="AM1186" s="7" t="str">
        <f t="shared" ca="1" si="69"/>
        <v/>
      </c>
      <c r="AN1186" s="7" t="str">
        <f t="shared" si="70"/>
        <v/>
      </c>
      <c r="AO1186" s="7" t="str">
        <f t="shared" si="71"/>
        <v/>
      </c>
      <c r="AP1186" s="15" t="str">
        <f t="shared" si="72"/>
        <v/>
      </c>
    </row>
    <row r="1187" spans="38:42" ht="15" customHeight="1">
      <c r="AL1187" s="7" t="str">
        <f>IF(A1187="","",IF(COUNTIF(A1187:A$2001,A1187)=1,1,0))</f>
        <v/>
      </c>
      <c r="AM1187" s="7" t="str">
        <f t="shared" ca="1" si="69"/>
        <v/>
      </c>
      <c r="AN1187" s="7" t="str">
        <f t="shared" si="70"/>
        <v/>
      </c>
      <c r="AO1187" s="7" t="str">
        <f t="shared" si="71"/>
        <v/>
      </c>
      <c r="AP1187" s="15" t="str">
        <f t="shared" si="72"/>
        <v/>
      </c>
    </row>
    <row r="1188" spans="38:42" ht="15" customHeight="1">
      <c r="AL1188" s="7" t="str">
        <f>IF(A1188="","",IF(COUNTIF(A1188:A$2001,A1188)=1,1,0))</f>
        <v/>
      </c>
      <c r="AM1188" s="7" t="str">
        <f t="shared" ca="1" si="69"/>
        <v/>
      </c>
      <c r="AN1188" s="7" t="str">
        <f t="shared" si="70"/>
        <v/>
      </c>
      <c r="AO1188" s="7" t="str">
        <f t="shared" si="71"/>
        <v/>
      </c>
      <c r="AP1188" s="15" t="str">
        <f t="shared" si="72"/>
        <v/>
      </c>
    </row>
    <row r="1189" spans="38:42" ht="15" customHeight="1">
      <c r="AL1189" s="7" t="str">
        <f>IF(A1189="","",IF(COUNTIF(A1189:A$2001,A1189)=1,1,0))</f>
        <v/>
      </c>
      <c r="AM1189" s="7" t="str">
        <f t="shared" ca="1" si="69"/>
        <v/>
      </c>
      <c r="AN1189" s="7" t="str">
        <f t="shared" si="70"/>
        <v/>
      </c>
      <c r="AO1189" s="7" t="str">
        <f t="shared" si="71"/>
        <v/>
      </c>
      <c r="AP1189" s="15" t="str">
        <f t="shared" si="72"/>
        <v/>
      </c>
    </row>
    <row r="1190" spans="38:42" ht="15" customHeight="1">
      <c r="AL1190" s="7" t="str">
        <f>IF(A1190="","",IF(COUNTIF(A1190:A$2001,A1190)=1,1,0))</f>
        <v/>
      </c>
      <c r="AM1190" s="7" t="str">
        <f t="shared" ca="1" si="69"/>
        <v/>
      </c>
      <c r="AN1190" s="7" t="str">
        <f t="shared" si="70"/>
        <v/>
      </c>
      <c r="AO1190" s="7" t="str">
        <f t="shared" si="71"/>
        <v/>
      </c>
      <c r="AP1190" s="15" t="str">
        <f t="shared" si="72"/>
        <v/>
      </c>
    </row>
    <row r="1191" spans="38:42" ht="15" customHeight="1">
      <c r="AL1191" s="7" t="str">
        <f>IF(A1191="","",IF(COUNTIF(A1191:A$2001,A1191)=1,1,0))</f>
        <v/>
      </c>
      <c r="AM1191" s="7" t="str">
        <f t="shared" ca="1" si="69"/>
        <v/>
      </c>
      <c r="AN1191" s="7" t="str">
        <f t="shared" si="70"/>
        <v/>
      </c>
      <c r="AO1191" s="7" t="str">
        <f t="shared" si="71"/>
        <v/>
      </c>
      <c r="AP1191" s="15" t="str">
        <f t="shared" si="72"/>
        <v/>
      </c>
    </row>
    <row r="1192" spans="38:42" ht="15" customHeight="1">
      <c r="AL1192" s="7" t="str">
        <f>IF(A1192="","",IF(COUNTIF(A1192:A$2001,A1192)=1,1,0))</f>
        <v/>
      </c>
      <c r="AM1192" s="7" t="str">
        <f t="shared" ca="1" si="69"/>
        <v/>
      </c>
      <c r="AN1192" s="7" t="str">
        <f t="shared" si="70"/>
        <v/>
      </c>
      <c r="AO1192" s="7" t="str">
        <f t="shared" si="71"/>
        <v/>
      </c>
      <c r="AP1192" s="15" t="str">
        <f t="shared" si="72"/>
        <v/>
      </c>
    </row>
    <row r="1193" spans="38:42" ht="15" customHeight="1">
      <c r="AL1193" s="7" t="str">
        <f>IF(A1193="","",IF(COUNTIF(A1193:A$2001,A1193)=1,1,0))</f>
        <v/>
      </c>
      <c r="AM1193" s="7" t="str">
        <f t="shared" ca="1" si="69"/>
        <v/>
      </c>
      <c r="AN1193" s="7" t="str">
        <f t="shared" si="70"/>
        <v/>
      </c>
      <c r="AO1193" s="7" t="str">
        <f t="shared" si="71"/>
        <v/>
      </c>
      <c r="AP1193" s="15" t="str">
        <f t="shared" si="72"/>
        <v/>
      </c>
    </row>
    <row r="1194" spans="38:42" ht="15" customHeight="1">
      <c r="AL1194" s="7" t="str">
        <f>IF(A1194="","",IF(COUNTIF(A1194:A$2001,A1194)=1,1,0))</f>
        <v/>
      </c>
      <c r="AM1194" s="7" t="str">
        <f t="shared" ca="1" si="69"/>
        <v/>
      </c>
      <c r="AN1194" s="7" t="str">
        <f t="shared" si="70"/>
        <v/>
      </c>
      <c r="AO1194" s="7" t="str">
        <f t="shared" si="71"/>
        <v/>
      </c>
      <c r="AP1194" s="15" t="str">
        <f t="shared" si="72"/>
        <v/>
      </c>
    </row>
    <row r="1195" spans="38:42" ht="15" customHeight="1">
      <c r="AL1195" s="7" t="str">
        <f>IF(A1195="","",IF(COUNTIF(A1195:A$2001,A1195)=1,1,0))</f>
        <v/>
      </c>
      <c r="AM1195" s="7" t="str">
        <f t="shared" ca="1" si="69"/>
        <v/>
      </c>
      <c r="AN1195" s="7" t="str">
        <f t="shared" si="70"/>
        <v/>
      </c>
      <c r="AO1195" s="7" t="str">
        <f t="shared" si="71"/>
        <v/>
      </c>
      <c r="AP1195" s="15" t="str">
        <f t="shared" si="72"/>
        <v/>
      </c>
    </row>
    <row r="1196" spans="38:42" ht="15" customHeight="1">
      <c r="AL1196" s="7" t="str">
        <f>IF(A1196="","",IF(COUNTIF(A1196:A$2001,A1196)=1,1,0))</f>
        <v/>
      </c>
      <c r="AM1196" s="7" t="str">
        <f t="shared" ca="1" si="69"/>
        <v/>
      </c>
      <c r="AN1196" s="7" t="str">
        <f t="shared" si="70"/>
        <v/>
      </c>
      <c r="AO1196" s="7" t="str">
        <f t="shared" si="71"/>
        <v/>
      </c>
      <c r="AP1196" s="15" t="str">
        <f t="shared" si="72"/>
        <v/>
      </c>
    </row>
    <row r="1197" spans="38:42" ht="15" customHeight="1">
      <c r="AL1197" s="7" t="str">
        <f>IF(A1197="","",IF(COUNTIF(A1197:A$2001,A1197)=1,1,0))</f>
        <v/>
      </c>
      <c r="AM1197" s="7" t="str">
        <f t="shared" ca="1" si="69"/>
        <v/>
      </c>
      <c r="AN1197" s="7" t="str">
        <f t="shared" si="70"/>
        <v/>
      </c>
      <c r="AO1197" s="7" t="str">
        <f t="shared" si="71"/>
        <v/>
      </c>
      <c r="AP1197" s="15" t="str">
        <f t="shared" si="72"/>
        <v/>
      </c>
    </row>
    <row r="1198" spans="38:42" ht="15" customHeight="1">
      <c r="AL1198" s="7" t="str">
        <f>IF(A1198="","",IF(COUNTIF(A1198:A$2001,A1198)=1,1,0))</f>
        <v/>
      </c>
      <c r="AM1198" s="7" t="str">
        <f t="shared" ca="1" si="69"/>
        <v/>
      </c>
      <c r="AN1198" s="7" t="str">
        <f t="shared" si="70"/>
        <v/>
      </c>
      <c r="AO1198" s="7" t="str">
        <f t="shared" si="71"/>
        <v/>
      </c>
      <c r="AP1198" s="15" t="str">
        <f t="shared" si="72"/>
        <v/>
      </c>
    </row>
    <row r="1199" spans="38:42" ht="15" customHeight="1">
      <c r="AL1199" s="7" t="str">
        <f>IF(A1199="","",IF(COUNTIF(A1199:A$2001,A1199)=1,1,0))</f>
        <v/>
      </c>
      <c r="AM1199" s="7" t="str">
        <f t="shared" ca="1" si="69"/>
        <v/>
      </c>
      <c r="AN1199" s="7" t="str">
        <f t="shared" si="70"/>
        <v/>
      </c>
      <c r="AO1199" s="7" t="str">
        <f t="shared" si="71"/>
        <v/>
      </c>
      <c r="AP1199" s="15" t="str">
        <f t="shared" si="72"/>
        <v/>
      </c>
    </row>
    <row r="1200" spans="38:42" ht="15" customHeight="1">
      <c r="AL1200" s="7" t="str">
        <f>IF(A1200="","",IF(COUNTIF(A1200:A$2001,A1200)=1,1,0))</f>
        <v/>
      </c>
      <c r="AM1200" s="7" t="str">
        <f t="shared" ca="1" si="69"/>
        <v/>
      </c>
      <c r="AN1200" s="7" t="str">
        <f t="shared" si="70"/>
        <v/>
      </c>
      <c r="AO1200" s="7" t="str">
        <f t="shared" si="71"/>
        <v/>
      </c>
      <c r="AP1200" s="15" t="str">
        <f t="shared" si="72"/>
        <v/>
      </c>
    </row>
    <row r="1201" spans="38:42" ht="15" customHeight="1">
      <c r="AL1201" s="7" t="str">
        <f>IF(A1201="","",IF(COUNTIF(A1201:A$2001,A1201)=1,1,0))</f>
        <v/>
      </c>
      <c r="AM1201" s="7" t="str">
        <f t="shared" ca="1" si="69"/>
        <v/>
      </c>
      <c r="AN1201" s="7" t="str">
        <f t="shared" si="70"/>
        <v/>
      </c>
      <c r="AO1201" s="7" t="str">
        <f t="shared" si="71"/>
        <v/>
      </c>
      <c r="AP1201" s="15" t="str">
        <f t="shared" si="72"/>
        <v/>
      </c>
    </row>
    <row r="1202" spans="38:42" ht="15" customHeight="1">
      <c r="AL1202" s="7" t="str">
        <f>IF(A1202="","",IF(COUNTIF(A1202:A$2001,A1202)=1,1,0))</f>
        <v/>
      </c>
      <c r="AM1202" s="7" t="str">
        <f t="shared" ca="1" si="69"/>
        <v/>
      </c>
      <c r="AN1202" s="7" t="str">
        <f t="shared" si="70"/>
        <v/>
      </c>
      <c r="AO1202" s="7" t="str">
        <f t="shared" si="71"/>
        <v/>
      </c>
      <c r="AP1202" s="15" t="str">
        <f t="shared" si="72"/>
        <v/>
      </c>
    </row>
    <row r="1203" spans="38:42" ht="15" customHeight="1">
      <c r="AL1203" s="7" t="str">
        <f>IF(A1203="","",IF(COUNTIF(A1203:A$2001,A1203)=1,1,0))</f>
        <v/>
      </c>
      <c r="AM1203" s="7" t="str">
        <f t="shared" ca="1" si="69"/>
        <v/>
      </c>
      <c r="AN1203" s="7" t="str">
        <f t="shared" si="70"/>
        <v/>
      </c>
      <c r="AO1203" s="7" t="str">
        <f t="shared" si="71"/>
        <v/>
      </c>
      <c r="AP1203" s="15" t="str">
        <f t="shared" si="72"/>
        <v/>
      </c>
    </row>
    <row r="1204" spans="38:42" ht="15" customHeight="1">
      <c r="AL1204" s="7" t="str">
        <f>IF(A1204="","",IF(COUNTIF(A1204:A$2001,A1204)=1,1,0))</f>
        <v/>
      </c>
      <c r="AM1204" s="7" t="str">
        <f t="shared" ca="1" si="69"/>
        <v/>
      </c>
      <c r="AN1204" s="7" t="str">
        <f t="shared" si="70"/>
        <v/>
      </c>
      <c r="AO1204" s="7" t="str">
        <f t="shared" si="71"/>
        <v/>
      </c>
      <c r="AP1204" s="15" t="str">
        <f t="shared" si="72"/>
        <v/>
      </c>
    </row>
    <row r="1205" spans="38:42" ht="15" customHeight="1">
      <c r="AL1205" s="7" t="str">
        <f>IF(A1205="","",IF(COUNTIF(A1205:A$2001,A1205)=1,1,0))</f>
        <v/>
      </c>
      <c r="AM1205" s="7" t="str">
        <f t="shared" ca="1" si="69"/>
        <v/>
      </c>
      <c r="AN1205" s="7" t="str">
        <f t="shared" si="70"/>
        <v/>
      </c>
      <c r="AO1205" s="7" t="str">
        <f t="shared" si="71"/>
        <v/>
      </c>
      <c r="AP1205" s="15" t="str">
        <f t="shared" si="72"/>
        <v/>
      </c>
    </row>
    <row r="1206" spans="38:42" ht="15" customHeight="1">
      <c r="AL1206" s="7" t="str">
        <f>IF(A1206="","",IF(COUNTIF(A1206:A$2001,A1206)=1,1,0))</f>
        <v/>
      </c>
      <c r="AM1206" s="7" t="str">
        <f t="shared" ca="1" si="69"/>
        <v/>
      </c>
      <c r="AN1206" s="7" t="str">
        <f t="shared" si="70"/>
        <v/>
      </c>
      <c r="AO1206" s="7" t="str">
        <f t="shared" si="71"/>
        <v/>
      </c>
      <c r="AP1206" s="15" t="str">
        <f t="shared" si="72"/>
        <v/>
      </c>
    </row>
    <row r="1207" spans="38:42" ht="15" customHeight="1">
      <c r="AL1207" s="7" t="str">
        <f>IF(A1207="","",IF(COUNTIF(A1207:A$2001,A1207)=1,1,0))</f>
        <v/>
      </c>
      <c r="AM1207" s="7" t="str">
        <f t="shared" ca="1" si="69"/>
        <v/>
      </c>
      <c r="AN1207" s="7" t="str">
        <f t="shared" si="70"/>
        <v/>
      </c>
      <c r="AO1207" s="7" t="str">
        <f t="shared" si="71"/>
        <v/>
      </c>
      <c r="AP1207" s="15" t="str">
        <f t="shared" si="72"/>
        <v/>
      </c>
    </row>
    <row r="1208" spans="38:42" ht="15" customHeight="1">
      <c r="AL1208" s="7" t="str">
        <f>IF(A1208="","",IF(COUNTIF(A1208:A$2001,A1208)=1,1,0))</f>
        <v/>
      </c>
      <c r="AM1208" s="7" t="str">
        <f t="shared" ca="1" si="69"/>
        <v/>
      </c>
      <c r="AN1208" s="7" t="str">
        <f t="shared" si="70"/>
        <v/>
      </c>
      <c r="AO1208" s="7" t="str">
        <f t="shared" si="71"/>
        <v/>
      </c>
      <c r="AP1208" s="15" t="str">
        <f t="shared" si="72"/>
        <v/>
      </c>
    </row>
    <row r="1209" spans="38:42" ht="15" customHeight="1">
      <c r="AL1209" s="7" t="str">
        <f>IF(A1209="","",IF(COUNTIF(A1209:A$2001,A1209)=1,1,0))</f>
        <v/>
      </c>
      <c r="AM1209" s="7" t="str">
        <f t="shared" ca="1" si="69"/>
        <v/>
      </c>
      <c r="AN1209" s="7" t="str">
        <f t="shared" si="70"/>
        <v/>
      </c>
      <c r="AO1209" s="7" t="str">
        <f t="shared" si="71"/>
        <v/>
      </c>
      <c r="AP1209" s="15" t="str">
        <f t="shared" si="72"/>
        <v/>
      </c>
    </row>
    <row r="1210" spans="38:42" ht="15" customHeight="1">
      <c r="AL1210" s="7" t="str">
        <f>IF(A1210="","",IF(COUNTIF(A1210:A$2001,A1210)=1,1,0))</f>
        <v/>
      </c>
      <c r="AM1210" s="7" t="str">
        <f t="shared" ca="1" si="69"/>
        <v/>
      </c>
      <c r="AN1210" s="7" t="str">
        <f t="shared" si="70"/>
        <v/>
      </c>
      <c r="AO1210" s="7" t="str">
        <f t="shared" si="71"/>
        <v/>
      </c>
      <c r="AP1210" s="15" t="str">
        <f t="shared" si="72"/>
        <v/>
      </c>
    </row>
    <row r="1211" spans="38:42" ht="15" customHeight="1">
      <c r="AL1211" s="7" t="str">
        <f>IF(A1211="","",IF(COUNTIF(A1211:A$2001,A1211)=1,1,0))</f>
        <v/>
      </c>
      <c r="AM1211" s="7" t="str">
        <f t="shared" ca="1" si="69"/>
        <v/>
      </c>
      <c r="AN1211" s="7" t="str">
        <f t="shared" si="70"/>
        <v/>
      </c>
      <c r="AO1211" s="7" t="str">
        <f t="shared" si="71"/>
        <v/>
      </c>
      <c r="AP1211" s="15" t="str">
        <f t="shared" si="72"/>
        <v/>
      </c>
    </row>
    <row r="1212" spans="38:42" ht="15" customHeight="1">
      <c r="AL1212" s="7" t="str">
        <f>IF(A1212="","",IF(COUNTIF(A1212:A$2001,A1212)=1,1,0))</f>
        <v/>
      </c>
      <c r="AM1212" s="7" t="str">
        <f t="shared" ca="1" si="69"/>
        <v/>
      </c>
      <c r="AN1212" s="7" t="str">
        <f t="shared" si="70"/>
        <v/>
      </c>
      <c r="AO1212" s="7" t="str">
        <f t="shared" si="71"/>
        <v/>
      </c>
      <c r="AP1212" s="15" t="str">
        <f t="shared" si="72"/>
        <v/>
      </c>
    </row>
    <row r="1213" spans="38:42" ht="15" customHeight="1">
      <c r="AL1213" s="7" t="str">
        <f>IF(A1213="","",IF(COUNTIF(A1213:A$2001,A1213)=1,1,0))</f>
        <v/>
      </c>
      <c r="AM1213" s="7" t="str">
        <f t="shared" ca="1" si="69"/>
        <v/>
      </c>
      <c r="AN1213" s="7" t="str">
        <f t="shared" si="70"/>
        <v/>
      </c>
      <c r="AO1213" s="7" t="str">
        <f t="shared" si="71"/>
        <v/>
      </c>
      <c r="AP1213" s="15" t="str">
        <f t="shared" si="72"/>
        <v/>
      </c>
    </row>
    <row r="1214" spans="38:42" ht="15" customHeight="1">
      <c r="AL1214" s="7" t="str">
        <f>IF(A1214="","",IF(COUNTIF(A1214:A$2001,A1214)=1,1,0))</f>
        <v/>
      </c>
      <c r="AM1214" s="7" t="str">
        <f t="shared" ca="1" si="69"/>
        <v/>
      </c>
      <c r="AN1214" s="7" t="str">
        <f t="shared" si="70"/>
        <v/>
      </c>
      <c r="AO1214" s="7" t="str">
        <f t="shared" si="71"/>
        <v/>
      </c>
      <c r="AP1214" s="15" t="str">
        <f t="shared" si="72"/>
        <v/>
      </c>
    </row>
    <row r="1215" spans="38:42" ht="15" customHeight="1">
      <c r="AL1215" s="7" t="str">
        <f>IF(A1215="","",IF(COUNTIF(A1215:A$2001,A1215)=1,1,0))</f>
        <v/>
      </c>
      <c r="AM1215" s="7" t="str">
        <f t="shared" ca="1" si="69"/>
        <v/>
      </c>
      <c r="AN1215" s="7" t="str">
        <f t="shared" si="70"/>
        <v/>
      </c>
      <c r="AO1215" s="7" t="str">
        <f t="shared" si="71"/>
        <v/>
      </c>
      <c r="AP1215" s="15" t="str">
        <f t="shared" si="72"/>
        <v/>
      </c>
    </row>
    <row r="1216" spans="38:42" ht="15" customHeight="1">
      <c r="AL1216" s="7" t="str">
        <f>IF(A1216="","",IF(COUNTIF(A1216:A$2001,A1216)=1,1,0))</f>
        <v/>
      </c>
      <c r="AM1216" s="7" t="str">
        <f t="shared" ca="1" si="69"/>
        <v/>
      </c>
      <c r="AN1216" s="7" t="str">
        <f t="shared" si="70"/>
        <v/>
      </c>
      <c r="AO1216" s="7" t="str">
        <f t="shared" si="71"/>
        <v/>
      </c>
      <c r="AP1216" s="15" t="str">
        <f t="shared" si="72"/>
        <v/>
      </c>
    </row>
    <row r="1217" spans="38:42" ht="15" customHeight="1">
      <c r="AL1217" s="7" t="str">
        <f>IF(A1217="","",IF(COUNTIF(A1217:A$2001,A1217)=1,1,0))</f>
        <v/>
      </c>
      <c r="AM1217" s="7" t="str">
        <f t="shared" ca="1" si="69"/>
        <v/>
      </c>
      <c r="AN1217" s="7" t="str">
        <f t="shared" si="70"/>
        <v/>
      </c>
      <c r="AO1217" s="7" t="str">
        <f t="shared" si="71"/>
        <v/>
      </c>
      <c r="AP1217" s="15" t="str">
        <f t="shared" si="72"/>
        <v/>
      </c>
    </row>
    <row r="1218" spans="38:42" ht="15" customHeight="1">
      <c r="AL1218" s="7" t="str">
        <f>IF(A1218="","",IF(COUNTIF(A1218:A$2001,A1218)=1,1,0))</f>
        <v/>
      </c>
      <c r="AM1218" s="7" t="str">
        <f t="shared" ref="AM1218:AM1281" ca="1" si="73">IF(I1218="","",TODAY()-I1218)</f>
        <v/>
      </c>
      <c r="AN1218" s="7" t="str">
        <f t="shared" ref="AN1218:AN1281" si="74">IF(A1218="","",IF(AND(E1218&lt;&gt;"33 確認済",E1218&lt;&gt;"36 送付中"),1,0))</f>
        <v/>
      </c>
      <c r="AO1218" s="7" t="str">
        <f t="shared" ref="AO1218:AO1281" si="75">IF(A1218="","",IF(AG1218&lt;&gt;"",1,0))</f>
        <v/>
      </c>
      <c r="AP1218" s="15" t="str">
        <f t="shared" ref="AP1218:AP1281" si="76">IF(P1218&lt;&gt;"","・添待ち","")&amp;IF(Q1218&lt;&gt;"","・住民票","")&amp;IF(R1218&lt;&gt;"","・発信","")&amp;IF(S1218&lt;&gt;"","・確認事項","")&amp;IF(T1218&lt;&gt;"","・管","")&amp;IF(U1218&lt;&gt;"","・SV","")&amp;IF(V1218&lt;&gt;"","・データ送付待ち","")&amp;IF(W1218&lt;&gt;"","・削除","")</f>
        <v/>
      </c>
    </row>
    <row r="1219" spans="38:42" ht="15" customHeight="1">
      <c r="AL1219" s="7" t="str">
        <f>IF(A1219="","",IF(COUNTIF(A1219:A$2001,A1219)=1,1,0))</f>
        <v/>
      </c>
      <c r="AM1219" s="7" t="str">
        <f t="shared" ca="1" si="73"/>
        <v/>
      </c>
      <c r="AN1219" s="7" t="str">
        <f t="shared" si="74"/>
        <v/>
      </c>
      <c r="AO1219" s="7" t="str">
        <f t="shared" si="75"/>
        <v/>
      </c>
      <c r="AP1219" s="15" t="str">
        <f t="shared" si="76"/>
        <v/>
      </c>
    </row>
    <row r="1220" spans="38:42" ht="15" customHeight="1">
      <c r="AL1220" s="7" t="str">
        <f>IF(A1220="","",IF(COUNTIF(A1220:A$2001,A1220)=1,1,0))</f>
        <v/>
      </c>
      <c r="AM1220" s="7" t="str">
        <f t="shared" ca="1" si="73"/>
        <v/>
      </c>
      <c r="AN1220" s="7" t="str">
        <f t="shared" si="74"/>
        <v/>
      </c>
      <c r="AO1220" s="7" t="str">
        <f t="shared" si="75"/>
        <v/>
      </c>
      <c r="AP1220" s="15" t="str">
        <f t="shared" si="76"/>
        <v/>
      </c>
    </row>
    <row r="1221" spans="38:42" ht="15" customHeight="1">
      <c r="AL1221" s="7" t="str">
        <f>IF(A1221="","",IF(COUNTIF(A1221:A$2001,A1221)=1,1,0))</f>
        <v/>
      </c>
      <c r="AM1221" s="7" t="str">
        <f t="shared" ca="1" si="73"/>
        <v/>
      </c>
      <c r="AN1221" s="7" t="str">
        <f t="shared" si="74"/>
        <v/>
      </c>
      <c r="AO1221" s="7" t="str">
        <f t="shared" si="75"/>
        <v/>
      </c>
      <c r="AP1221" s="15" t="str">
        <f t="shared" si="76"/>
        <v/>
      </c>
    </row>
    <row r="1222" spans="38:42" ht="15" customHeight="1">
      <c r="AL1222" s="7" t="str">
        <f>IF(A1222="","",IF(COUNTIF(A1222:A$2001,A1222)=1,1,0))</f>
        <v/>
      </c>
      <c r="AM1222" s="7" t="str">
        <f t="shared" ca="1" si="73"/>
        <v/>
      </c>
      <c r="AN1222" s="7" t="str">
        <f t="shared" si="74"/>
        <v/>
      </c>
      <c r="AO1222" s="7" t="str">
        <f t="shared" si="75"/>
        <v/>
      </c>
      <c r="AP1222" s="15" t="str">
        <f t="shared" si="76"/>
        <v/>
      </c>
    </row>
    <row r="1223" spans="38:42" ht="15" customHeight="1">
      <c r="AL1223" s="7" t="str">
        <f>IF(A1223="","",IF(COUNTIF(A1223:A$2001,A1223)=1,1,0))</f>
        <v/>
      </c>
      <c r="AM1223" s="7" t="str">
        <f t="shared" ca="1" si="73"/>
        <v/>
      </c>
      <c r="AN1223" s="7" t="str">
        <f t="shared" si="74"/>
        <v/>
      </c>
      <c r="AO1223" s="7" t="str">
        <f t="shared" si="75"/>
        <v/>
      </c>
      <c r="AP1223" s="15" t="str">
        <f t="shared" si="76"/>
        <v/>
      </c>
    </row>
    <row r="1224" spans="38:42" ht="15" customHeight="1">
      <c r="AL1224" s="7" t="str">
        <f>IF(A1224="","",IF(COUNTIF(A1224:A$2001,A1224)=1,1,0))</f>
        <v/>
      </c>
      <c r="AM1224" s="7" t="str">
        <f t="shared" ca="1" si="73"/>
        <v/>
      </c>
      <c r="AN1224" s="7" t="str">
        <f t="shared" si="74"/>
        <v/>
      </c>
      <c r="AO1224" s="7" t="str">
        <f t="shared" si="75"/>
        <v/>
      </c>
      <c r="AP1224" s="15" t="str">
        <f t="shared" si="76"/>
        <v/>
      </c>
    </row>
    <row r="1225" spans="38:42" ht="15" customHeight="1">
      <c r="AL1225" s="7" t="str">
        <f>IF(A1225="","",IF(COUNTIF(A1225:A$2001,A1225)=1,1,0))</f>
        <v/>
      </c>
      <c r="AM1225" s="7" t="str">
        <f t="shared" ca="1" si="73"/>
        <v/>
      </c>
      <c r="AN1225" s="7" t="str">
        <f t="shared" si="74"/>
        <v/>
      </c>
      <c r="AO1225" s="7" t="str">
        <f t="shared" si="75"/>
        <v/>
      </c>
      <c r="AP1225" s="15" t="str">
        <f t="shared" si="76"/>
        <v/>
      </c>
    </row>
    <row r="1226" spans="38:42" ht="15" customHeight="1">
      <c r="AL1226" s="7" t="str">
        <f>IF(A1226="","",IF(COUNTIF(A1226:A$2001,A1226)=1,1,0))</f>
        <v/>
      </c>
      <c r="AM1226" s="7" t="str">
        <f t="shared" ca="1" si="73"/>
        <v/>
      </c>
      <c r="AN1226" s="7" t="str">
        <f t="shared" si="74"/>
        <v/>
      </c>
      <c r="AO1226" s="7" t="str">
        <f t="shared" si="75"/>
        <v/>
      </c>
      <c r="AP1226" s="15" t="str">
        <f t="shared" si="76"/>
        <v/>
      </c>
    </row>
    <row r="1227" spans="38:42" ht="15" customHeight="1">
      <c r="AL1227" s="7" t="str">
        <f>IF(A1227="","",IF(COUNTIF(A1227:A$2001,A1227)=1,1,0))</f>
        <v/>
      </c>
      <c r="AM1227" s="7" t="str">
        <f t="shared" ca="1" si="73"/>
        <v/>
      </c>
      <c r="AN1227" s="7" t="str">
        <f t="shared" si="74"/>
        <v/>
      </c>
      <c r="AO1227" s="7" t="str">
        <f t="shared" si="75"/>
        <v/>
      </c>
      <c r="AP1227" s="15" t="str">
        <f t="shared" si="76"/>
        <v/>
      </c>
    </row>
    <row r="1228" spans="38:42" ht="15" customHeight="1">
      <c r="AL1228" s="7" t="str">
        <f>IF(A1228="","",IF(COUNTIF(A1228:A$2001,A1228)=1,1,0))</f>
        <v/>
      </c>
      <c r="AM1228" s="7" t="str">
        <f t="shared" ca="1" si="73"/>
        <v/>
      </c>
      <c r="AN1228" s="7" t="str">
        <f t="shared" si="74"/>
        <v/>
      </c>
      <c r="AO1228" s="7" t="str">
        <f t="shared" si="75"/>
        <v/>
      </c>
      <c r="AP1228" s="15" t="str">
        <f t="shared" si="76"/>
        <v/>
      </c>
    </row>
    <row r="1229" spans="38:42" ht="15" customHeight="1">
      <c r="AL1229" s="7" t="str">
        <f>IF(A1229="","",IF(COUNTIF(A1229:A$2001,A1229)=1,1,0))</f>
        <v/>
      </c>
      <c r="AM1229" s="7" t="str">
        <f t="shared" ca="1" si="73"/>
        <v/>
      </c>
      <c r="AN1229" s="7" t="str">
        <f t="shared" si="74"/>
        <v/>
      </c>
      <c r="AO1229" s="7" t="str">
        <f t="shared" si="75"/>
        <v/>
      </c>
      <c r="AP1229" s="15" t="str">
        <f t="shared" si="76"/>
        <v/>
      </c>
    </row>
    <row r="1230" spans="38:42" ht="15" customHeight="1">
      <c r="AL1230" s="7" t="str">
        <f>IF(A1230="","",IF(COUNTIF(A1230:A$2001,A1230)=1,1,0))</f>
        <v/>
      </c>
      <c r="AM1230" s="7" t="str">
        <f t="shared" ca="1" si="73"/>
        <v/>
      </c>
      <c r="AN1230" s="7" t="str">
        <f t="shared" si="74"/>
        <v/>
      </c>
      <c r="AO1230" s="7" t="str">
        <f t="shared" si="75"/>
        <v/>
      </c>
      <c r="AP1230" s="15" t="str">
        <f t="shared" si="76"/>
        <v/>
      </c>
    </row>
    <row r="1231" spans="38:42" ht="15" customHeight="1">
      <c r="AL1231" s="7" t="str">
        <f>IF(A1231="","",IF(COUNTIF(A1231:A$2001,A1231)=1,1,0))</f>
        <v/>
      </c>
      <c r="AM1231" s="7" t="str">
        <f t="shared" ca="1" si="73"/>
        <v/>
      </c>
      <c r="AN1231" s="7" t="str">
        <f t="shared" si="74"/>
        <v/>
      </c>
      <c r="AO1231" s="7" t="str">
        <f t="shared" si="75"/>
        <v/>
      </c>
      <c r="AP1231" s="15" t="str">
        <f t="shared" si="76"/>
        <v/>
      </c>
    </row>
    <row r="1232" spans="38:42" ht="15" customHeight="1">
      <c r="AL1232" s="7" t="str">
        <f>IF(A1232="","",IF(COUNTIF(A1232:A$2001,A1232)=1,1,0))</f>
        <v/>
      </c>
      <c r="AM1232" s="7" t="str">
        <f t="shared" ca="1" si="73"/>
        <v/>
      </c>
      <c r="AN1232" s="7" t="str">
        <f t="shared" si="74"/>
        <v/>
      </c>
      <c r="AO1232" s="7" t="str">
        <f t="shared" si="75"/>
        <v/>
      </c>
      <c r="AP1232" s="15" t="str">
        <f t="shared" si="76"/>
        <v/>
      </c>
    </row>
    <row r="1233" spans="38:42" ht="15" customHeight="1">
      <c r="AL1233" s="7" t="str">
        <f>IF(A1233="","",IF(COUNTIF(A1233:A$2001,A1233)=1,1,0))</f>
        <v/>
      </c>
      <c r="AM1233" s="7" t="str">
        <f t="shared" ca="1" si="73"/>
        <v/>
      </c>
      <c r="AN1233" s="7" t="str">
        <f t="shared" si="74"/>
        <v/>
      </c>
      <c r="AO1233" s="7" t="str">
        <f t="shared" si="75"/>
        <v/>
      </c>
      <c r="AP1233" s="15" t="str">
        <f t="shared" si="76"/>
        <v/>
      </c>
    </row>
    <row r="1234" spans="38:42" ht="15" customHeight="1">
      <c r="AL1234" s="7" t="str">
        <f>IF(A1234="","",IF(COUNTIF(A1234:A$2001,A1234)=1,1,0))</f>
        <v/>
      </c>
      <c r="AM1234" s="7" t="str">
        <f t="shared" ca="1" si="73"/>
        <v/>
      </c>
      <c r="AN1234" s="7" t="str">
        <f t="shared" si="74"/>
        <v/>
      </c>
      <c r="AO1234" s="7" t="str">
        <f t="shared" si="75"/>
        <v/>
      </c>
      <c r="AP1234" s="15" t="str">
        <f t="shared" si="76"/>
        <v/>
      </c>
    </row>
    <row r="1235" spans="38:42" ht="15" customHeight="1">
      <c r="AL1235" s="7" t="str">
        <f>IF(A1235="","",IF(COUNTIF(A1235:A$2001,A1235)=1,1,0))</f>
        <v/>
      </c>
      <c r="AM1235" s="7" t="str">
        <f t="shared" ca="1" si="73"/>
        <v/>
      </c>
      <c r="AN1235" s="7" t="str">
        <f t="shared" si="74"/>
        <v/>
      </c>
      <c r="AO1235" s="7" t="str">
        <f t="shared" si="75"/>
        <v/>
      </c>
      <c r="AP1235" s="15" t="str">
        <f t="shared" si="76"/>
        <v/>
      </c>
    </row>
    <row r="1236" spans="38:42" ht="15" customHeight="1">
      <c r="AL1236" s="7" t="str">
        <f>IF(A1236="","",IF(COUNTIF(A1236:A$2001,A1236)=1,1,0))</f>
        <v/>
      </c>
      <c r="AM1236" s="7" t="str">
        <f t="shared" ca="1" si="73"/>
        <v/>
      </c>
      <c r="AN1236" s="7" t="str">
        <f t="shared" si="74"/>
        <v/>
      </c>
      <c r="AO1236" s="7" t="str">
        <f t="shared" si="75"/>
        <v/>
      </c>
      <c r="AP1236" s="15" t="str">
        <f t="shared" si="76"/>
        <v/>
      </c>
    </row>
    <row r="1237" spans="38:42" ht="15" customHeight="1">
      <c r="AL1237" s="7" t="str">
        <f>IF(A1237="","",IF(COUNTIF(A1237:A$2001,A1237)=1,1,0))</f>
        <v/>
      </c>
      <c r="AM1237" s="7" t="str">
        <f t="shared" ca="1" si="73"/>
        <v/>
      </c>
      <c r="AN1237" s="7" t="str">
        <f t="shared" si="74"/>
        <v/>
      </c>
      <c r="AO1237" s="7" t="str">
        <f t="shared" si="75"/>
        <v/>
      </c>
      <c r="AP1237" s="15" t="str">
        <f t="shared" si="76"/>
        <v/>
      </c>
    </row>
    <row r="1238" spans="38:42" ht="15" customHeight="1">
      <c r="AL1238" s="7" t="str">
        <f>IF(A1238="","",IF(COUNTIF(A1238:A$2001,A1238)=1,1,0))</f>
        <v/>
      </c>
      <c r="AM1238" s="7" t="str">
        <f t="shared" ca="1" si="73"/>
        <v/>
      </c>
      <c r="AN1238" s="7" t="str">
        <f t="shared" si="74"/>
        <v/>
      </c>
      <c r="AO1238" s="7" t="str">
        <f t="shared" si="75"/>
        <v/>
      </c>
      <c r="AP1238" s="15" t="str">
        <f t="shared" si="76"/>
        <v/>
      </c>
    </row>
    <row r="1239" spans="38:42" ht="15" customHeight="1">
      <c r="AL1239" s="7" t="str">
        <f>IF(A1239="","",IF(COUNTIF(A1239:A$2001,A1239)=1,1,0))</f>
        <v/>
      </c>
      <c r="AM1239" s="7" t="str">
        <f t="shared" ca="1" si="73"/>
        <v/>
      </c>
      <c r="AN1239" s="7" t="str">
        <f t="shared" si="74"/>
        <v/>
      </c>
      <c r="AO1239" s="7" t="str">
        <f t="shared" si="75"/>
        <v/>
      </c>
      <c r="AP1239" s="15" t="str">
        <f t="shared" si="76"/>
        <v/>
      </c>
    </row>
    <row r="1240" spans="38:42" ht="15" customHeight="1">
      <c r="AL1240" s="7" t="str">
        <f>IF(A1240="","",IF(COUNTIF(A1240:A$2001,A1240)=1,1,0))</f>
        <v/>
      </c>
      <c r="AM1240" s="7" t="str">
        <f t="shared" ca="1" si="73"/>
        <v/>
      </c>
      <c r="AN1240" s="7" t="str">
        <f t="shared" si="74"/>
        <v/>
      </c>
      <c r="AO1240" s="7" t="str">
        <f t="shared" si="75"/>
        <v/>
      </c>
      <c r="AP1240" s="15" t="str">
        <f t="shared" si="76"/>
        <v/>
      </c>
    </row>
    <row r="1241" spans="38:42" ht="15" customHeight="1">
      <c r="AL1241" s="7" t="str">
        <f>IF(A1241="","",IF(COUNTIF(A1241:A$2001,A1241)=1,1,0))</f>
        <v/>
      </c>
      <c r="AM1241" s="7" t="str">
        <f t="shared" ca="1" si="73"/>
        <v/>
      </c>
      <c r="AN1241" s="7" t="str">
        <f t="shared" si="74"/>
        <v/>
      </c>
      <c r="AO1241" s="7" t="str">
        <f t="shared" si="75"/>
        <v/>
      </c>
      <c r="AP1241" s="15" t="str">
        <f t="shared" si="76"/>
        <v/>
      </c>
    </row>
    <row r="1242" spans="38:42" ht="15" customHeight="1">
      <c r="AL1242" s="7" t="str">
        <f>IF(A1242="","",IF(COUNTIF(A1242:A$2001,A1242)=1,1,0))</f>
        <v/>
      </c>
      <c r="AM1242" s="7" t="str">
        <f t="shared" ca="1" si="73"/>
        <v/>
      </c>
      <c r="AN1242" s="7" t="str">
        <f t="shared" si="74"/>
        <v/>
      </c>
      <c r="AO1242" s="7" t="str">
        <f t="shared" si="75"/>
        <v/>
      </c>
      <c r="AP1242" s="15" t="str">
        <f t="shared" si="76"/>
        <v/>
      </c>
    </row>
    <row r="1243" spans="38:42" ht="15" customHeight="1">
      <c r="AL1243" s="7" t="str">
        <f>IF(A1243="","",IF(COUNTIF(A1243:A$2001,A1243)=1,1,0))</f>
        <v/>
      </c>
      <c r="AM1243" s="7" t="str">
        <f t="shared" ca="1" si="73"/>
        <v/>
      </c>
      <c r="AN1243" s="7" t="str">
        <f t="shared" si="74"/>
        <v/>
      </c>
      <c r="AO1243" s="7" t="str">
        <f t="shared" si="75"/>
        <v/>
      </c>
      <c r="AP1243" s="15" t="str">
        <f t="shared" si="76"/>
        <v/>
      </c>
    </row>
    <row r="1244" spans="38:42" ht="15" customHeight="1">
      <c r="AL1244" s="7" t="str">
        <f>IF(A1244="","",IF(COUNTIF(A1244:A$2001,A1244)=1,1,0))</f>
        <v/>
      </c>
      <c r="AM1244" s="7" t="str">
        <f t="shared" ca="1" si="73"/>
        <v/>
      </c>
      <c r="AN1244" s="7" t="str">
        <f t="shared" si="74"/>
        <v/>
      </c>
      <c r="AO1244" s="7" t="str">
        <f t="shared" si="75"/>
        <v/>
      </c>
      <c r="AP1244" s="15" t="str">
        <f t="shared" si="76"/>
        <v/>
      </c>
    </row>
    <row r="1245" spans="38:42" ht="15" customHeight="1">
      <c r="AL1245" s="7" t="str">
        <f>IF(A1245="","",IF(COUNTIF(A1245:A$2001,A1245)=1,1,0))</f>
        <v/>
      </c>
      <c r="AM1245" s="7" t="str">
        <f t="shared" ca="1" si="73"/>
        <v/>
      </c>
      <c r="AN1245" s="7" t="str">
        <f t="shared" si="74"/>
        <v/>
      </c>
      <c r="AO1245" s="7" t="str">
        <f t="shared" si="75"/>
        <v/>
      </c>
      <c r="AP1245" s="15" t="str">
        <f t="shared" si="76"/>
        <v/>
      </c>
    </row>
    <row r="1246" spans="38:42" ht="15" customHeight="1">
      <c r="AL1246" s="7" t="str">
        <f>IF(A1246="","",IF(COUNTIF(A1246:A$2001,A1246)=1,1,0))</f>
        <v/>
      </c>
      <c r="AM1246" s="7" t="str">
        <f t="shared" ca="1" si="73"/>
        <v/>
      </c>
      <c r="AN1246" s="7" t="str">
        <f t="shared" si="74"/>
        <v/>
      </c>
      <c r="AO1246" s="7" t="str">
        <f t="shared" si="75"/>
        <v/>
      </c>
      <c r="AP1246" s="15" t="str">
        <f t="shared" si="76"/>
        <v/>
      </c>
    </row>
    <row r="1247" spans="38:42" ht="15" customHeight="1">
      <c r="AL1247" s="7" t="str">
        <f>IF(A1247="","",IF(COUNTIF(A1247:A$2001,A1247)=1,1,0))</f>
        <v/>
      </c>
      <c r="AM1247" s="7" t="str">
        <f t="shared" ca="1" si="73"/>
        <v/>
      </c>
      <c r="AN1247" s="7" t="str">
        <f t="shared" si="74"/>
        <v/>
      </c>
      <c r="AO1247" s="7" t="str">
        <f t="shared" si="75"/>
        <v/>
      </c>
      <c r="AP1247" s="15" t="str">
        <f t="shared" si="76"/>
        <v/>
      </c>
    </row>
    <row r="1248" spans="38:42" ht="15" customHeight="1">
      <c r="AL1248" s="7" t="str">
        <f>IF(A1248="","",IF(COUNTIF(A1248:A$2001,A1248)=1,1,0))</f>
        <v/>
      </c>
      <c r="AM1248" s="7" t="str">
        <f t="shared" ca="1" si="73"/>
        <v/>
      </c>
      <c r="AN1248" s="7" t="str">
        <f t="shared" si="74"/>
        <v/>
      </c>
      <c r="AO1248" s="7" t="str">
        <f t="shared" si="75"/>
        <v/>
      </c>
      <c r="AP1248" s="15" t="str">
        <f t="shared" si="76"/>
        <v/>
      </c>
    </row>
    <row r="1249" spans="38:42" ht="15" customHeight="1">
      <c r="AL1249" s="7" t="str">
        <f>IF(A1249="","",IF(COUNTIF(A1249:A$2001,A1249)=1,1,0))</f>
        <v/>
      </c>
      <c r="AM1249" s="7" t="str">
        <f t="shared" ca="1" si="73"/>
        <v/>
      </c>
      <c r="AN1249" s="7" t="str">
        <f t="shared" si="74"/>
        <v/>
      </c>
      <c r="AO1249" s="7" t="str">
        <f t="shared" si="75"/>
        <v/>
      </c>
      <c r="AP1249" s="15" t="str">
        <f t="shared" si="76"/>
        <v/>
      </c>
    </row>
    <row r="1250" spans="38:42" ht="15" customHeight="1">
      <c r="AL1250" s="7" t="str">
        <f>IF(A1250="","",IF(COUNTIF(A1250:A$2001,A1250)=1,1,0))</f>
        <v/>
      </c>
      <c r="AM1250" s="7" t="str">
        <f t="shared" ca="1" si="73"/>
        <v/>
      </c>
      <c r="AN1250" s="7" t="str">
        <f t="shared" si="74"/>
        <v/>
      </c>
      <c r="AO1250" s="7" t="str">
        <f t="shared" si="75"/>
        <v/>
      </c>
      <c r="AP1250" s="15" t="str">
        <f t="shared" si="76"/>
        <v/>
      </c>
    </row>
    <row r="1251" spans="38:42" ht="15" customHeight="1">
      <c r="AL1251" s="7" t="str">
        <f>IF(A1251="","",IF(COUNTIF(A1251:A$2001,A1251)=1,1,0))</f>
        <v/>
      </c>
      <c r="AM1251" s="7" t="str">
        <f t="shared" ca="1" si="73"/>
        <v/>
      </c>
      <c r="AN1251" s="7" t="str">
        <f t="shared" si="74"/>
        <v/>
      </c>
      <c r="AO1251" s="7" t="str">
        <f t="shared" si="75"/>
        <v/>
      </c>
      <c r="AP1251" s="15" t="str">
        <f t="shared" si="76"/>
        <v/>
      </c>
    </row>
    <row r="1252" spans="38:42" ht="15" customHeight="1">
      <c r="AL1252" s="7" t="str">
        <f>IF(A1252="","",IF(COUNTIF(A1252:A$2001,A1252)=1,1,0))</f>
        <v/>
      </c>
      <c r="AM1252" s="7" t="str">
        <f t="shared" ca="1" si="73"/>
        <v/>
      </c>
      <c r="AN1252" s="7" t="str">
        <f t="shared" si="74"/>
        <v/>
      </c>
      <c r="AO1252" s="7" t="str">
        <f t="shared" si="75"/>
        <v/>
      </c>
      <c r="AP1252" s="15" t="str">
        <f t="shared" si="76"/>
        <v/>
      </c>
    </row>
    <row r="1253" spans="38:42" ht="15" customHeight="1">
      <c r="AL1253" s="7" t="str">
        <f>IF(A1253="","",IF(COUNTIF(A1253:A$2001,A1253)=1,1,0))</f>
        <v/>
      </c>
      <c r="AM1253" s="7" t="str">
        <f t="shared" ca="1" si="73"/>
        <v/>
      </c>
      <c r="AN1253" s="7" t="str">
        <f t="shared" si="74"/>
        <v/>
      </c>
      <c r="AO1253" s="7" t="str">
        <f t="shared" si="75"/>
        <v/>
      </c>
      <c r="AP1253" s="15" t="str">
        <f t="shared" si="76"/>
        <v/>
      </c>
    </row>
    <row r="1254" spans="38:42" ht="15" customHeight="1">
      <c r="AL1254" s="7" t="str">
        <f>IF(A1254="","",IF(COUNTIF(A1254:A$2001,A1254)=1,1,0))</f>
        <v/>
      </c>
      <c r="AM1254" s="7" t="str">
        <f t="shared" ca="1" si="73"/>
        <v/>
      </c>
      <c r="AN1254" s="7" t="str">
        <f t="shared" si="74"/>
        <v/>
      </c>
      <c r="AO1254" s="7" t="str">
        <f t="shared" si="75"/>
        <v/>
      </c>
      <c r="AP1254" s="15" t="str">
        <f t="shared" si="76"/>
        <v/>
      </c>
    </row>
    <row r="1255" spans="38:42" ht="15" customHeight="1">
      <c r="AL1255" s="7" t="str">
        <f>IF(A1255="","",IF(COUNTIF(A1255:A$2001,A1255)=1,1,0))</f>
        <v/>
      </c>
      <c r="AM1255" s="7" t="str">
        <f t="shared" ca="1" si="73"/>
        <v/>
      </c>
      <c r="AN1255" s="7" t="str">
        <f t="shared" si="74"/>
        <v/>
      </c>
      <c r="AO1255" s="7" t="str">
        <f t="shared" si="75"/>
        <v/>
      </c>
      <c r="AP1255" s="15" t="str">
        <f t="shared" si="76"/>
        <v/>
      </c>
    </row>
    <row r="1256" spans="38:42" ht="15" customHeight="1">
      <c r="AL1256" s="7" t="str">
        <f>IF(A1256="","",IF(COUNTIF(A1256:A$2001,A1256)=1,1,0))</f>
        <v/>
      </c>
      <c r="AM1256" s="7" t="str">
        <f t="shared" ca="1" si="73"/>
        <v/>
      </c>
      <c r="AN1256" s="7" t="str">
        <f t="shared" si="74"/>
        <v/>
      </c>
      <c r="AO1256" s="7" t="str">
        <f t="shared" si="75"/>
        <v/>
      </c>
      <c r="AP1256" s="15" t="str">
        <f t="shared" si="76"/>
        <v/>
      </c>
    </row>
    <row r="1257" spans="38:42" ht="15" customHeight="1">
      <c r="AL1257" s="7" t="str">
        <f>IF(A1257="","",IF(COUNTIF(A1257:A$2001,A1257)=1,1,0))</f>
        <v/>
      </c>
      <c r="AM1257" s="7" t="str">
        <f t="shared" ca="1" si="73"/>
        <v/>
      </c>
      <c r="AN1257" s="7" t="str">
        <f t="shared" si="74"/>
        <v/>
      </c>
      <c r="AO1257" s="7" t="str">
        <f t="shared" si="75"/>
        <v/>
      </c>
      <c r="AP1257" s="15" t="str">
        <f t="shared" si="76"/>
        <v/>
      </c>
    </row>
    <row r="1258" spans="38:42" ht="15" customHeight="1">
      <c r="AL1258" s="7" t="str">
        <f>IF(A1258="","",IF(COUNTIF(A1258:A$2001,A1258)=1,1,0))</f>
        <v/>
      </c>
      <c r="AM1258" s="7" t="str">
        <f t="shared" ca="1" si="73"/>
        <v/>
      </c>
      <c r="AN1258" s="7" t="str">
        <f t="shared" si="74"/>
        <v/>
      </c>
      <c r="AO1258" s="7" t="str">
        <f t="shared" si="75"/>
        <v/>
      </c>
      <c r="AP1258" s="15" t="str">
        <f t="shared" si="76"/>
        <v/>
      </c>
    </row>
    <row r="1259" spans="38:42" ht="15" customHeight="1">
      <c r="AL1259" s="7" t="str">
        <f>IF(A1259="","",IF(COUNTIF(A1259:A$2001,A1259)=1,1,0))</f>
        <v/>
      </c>
      <c r="AM1259" s="7" t="str">
        <f t="shared" ca="1" si="73"/>
        <v/>
      </c>
      <c r="AN1259" s="7" t="str">
        <f t="shared" si="74"/>
        <v/>
      </c>
      <c r="AO1259" s="7" t="str">
        <f t="shared" si="75"/>
        <v/>
      </c>
      <c r="AP1259" s="15" t="str">
        <f t="shared" si="76"/>
        <v/>
      </c>
    </row>
    <row r="1260" spans="38:42" ht="15" customHeight="1">
      <c r="AL1260" s="7" t="str">
        <f>IF(A1260="","",IF(COUNTIF(A1260:A$2001,A1260)=1,1,0))</f>
        <v/>
      </c>
      <c r="AM1260" s="7" t="str">
        <f t="shared" ca="1" si="73"/>
        <v/>
      </c>
      <c r="AN1260" s="7" t="str">
        <f t="shared" si="74"/>
        <v/>
      </c>
      <c r="AO1260" s="7" t="str">
        <f t="shared" si="75"/>
        <v/>
      </c>
      <c r="AP1260" s="15" t="str">
        <f t="shared" si="76"/>
        <v/>
      </c>
    </row>
    <row r="1261" spans="38:42" ht="15" customHeight="1">
      <c r="AL1261" s="7" t="str">
        <f>IF(A1261="","",IF(COUNTIF(A1261:A$2001,A1261)=1,1,0))</f>
        <v/>
      </c>
      <c r="AM1261" s="7" t="str">
        <f t="shared" ca="1" si="73"/>
        <v/>
      </c>
      <c r="AN1261" s="7" t="str">
        <f t="shared" si="74"/>
        <v/>
      </c>
      <c r="AO1261" s="7" t="str">
        <f t="shared" si="75"/>
        <v/>
      </c>
      <c r="AP1261" s="15" t="str">
        <f t="shared" si="76"/>
        <v/>
      </c>
    </row>
    <row r="1262" spans="38:42" ht="15" customHeight="1">
      <c r="AL1262" s="7" t="str">
        <f>IF(A1262="","",IF(COUNTIF(A1262:A$2001,A1262)=1,1,0))</f>
        <v/>
      </c>
      <c r="AM1262" s="7" t="str">
        <f t="shared" ca="1" si="73"/>
        <v/>
      </c>
      <c r="AN1262" s="7" t="str">
        <f t="shared" si="74"/>
        <v/>
      </c>
      <c r="AO1262" s="7" t="str">
        <f t="shared" si="75"/>
        <v/>
      </c>
      <c r="AP1262" s="15" t="str">
        <f t="shared" si="76"/>
        <v/>
      </c>
    </row>
    <row r="1263" spans="38:42" ht="15" customHeight="1">
      <c r="AL1263" s="7" t="str">
        <f>IF(A1263="","",IF(COUNTIF(A1263:A$2001,A1263)=1,1,0))</f>
        <v/>
      </c>
      <c r="AM1263" s="7" t="str">
        <f t="shared" ca="1" si="73"/>
        <v/>
      </c>
      <c r="AN1263" s="7" t="str">
        <f t="shared" si="74"/>
        <v/>
      </c>
      <c r="AO1263" s="7" t="str">
        <f t="shared" si="75"/>
        <v/>
      </c>
      <c r="AP1263" s="15" t="str">
        <f t="shared" si="76"/>
        <v/>
      </c>
    </row>
    <row r="1264" spans="38:42" ht="15" customHeight="1">
      <c r="AL1264" s="7" t="str">
        <f>IF(A1264="","",IF(COUNTIF(A1264:A$2001,A1264)=1,1,0))</f>
        <v/>
      </c>
      <c r="AM1264" s="7" t="str">
        <f t="shared" ca="1" si="73"/>
        <v/>
      </c>
      <c r="AN1264" s="7" t="str">
        <f t="shared" si="74"/>
        <v/>
      </c>
      <c r="AO1264" s="7" t="str">
        <f t="shared" si="75"/>
        <v/>
      </c>
      <c r="AP1264" s="15" t="str">
        <f t="shared" si="76"/>
        <v/>
      </c>
    </row>
    <row r="1265" spans="38:42" ht="15" customHeight="1">
      <c r="AL1265" s="7" t="str">
        <f>IF(A1265="","",IF(COUNTIF(A1265:A$2001,A1265)=1,1,0))</f>
        <v/>
      </c>
      <c r="AM1265" s="7" t="str">
        <f t="shared" ca="1" si="73"/>
        <v/>
      </c>
      <c r="AN1265" s="7" t="str">
        <f t="shared" si="74"/>
        <v/>
      </c>
      <c r="AO1265" s="7" t="str">
        <f t="shared" si="75"/>
        <v/>
      </c>
      <c r="AP1265" s="15" t="str">
        <f t="shared" si="76"/>
        <v/>
      </c>
    </row>
    <row r="1266" spans="38:42" ht="15" customHeight="1">
      <c r="AL1266" s="7" t="str">
        <f>IF(A1266="","",IF(COUNTIF(A1266:A$2001,A1266)=1,1,0))</f>
        <v/>
      </c>
      <c r="AM1266" s="7" t="str">
        <f t="shared" ca="1" si="73"/>
        <v/>
      </c>
      <c r="AN1266" s="7" t="str">
        <f t="shared" si="74"/>
        <v/>
      </c>
      <c r="AO1266" s="7" t="str">
        <f t="shared" si="75"/>
        <v/>
      </c>
      <c r="AP1266" s="15" t="str">
        <f t="shared" si="76"/>
        <v/>
      </c>
    </row>
    <row r="1267" spans="38:42" ht="15" customHeight="1">
      <c r="AL1267" s="7" t="str">
        <f>IF(A1267="","",IF(COUNTIF(A1267:A$2001,A1267)=1,1,0))</f>
        <v/>
      </c>
      <c r="AM1267" s="7" t="str">
        <f t="shared" ca="1" si="73"/>
        <v/>
      </c>
      <c r="AN1267" s="7" t="str">
        <f t="shared" si="74"/>
        <v/>
      </c>
      <c r="AO1267" s="7" t="str">
        <f t="shared" si="75"/>
        <v/>
      </c>
      <c r="AP1267" s="15" t="str">
        <f t="shared" si="76"/>
        <v/>
      </c>
    </row>
    <row r="1268" spans="38:42" ht="15" customHeight="1">
      <c r="AL1268" s="7" t="str">
        <f>IF(A1268="","",IF(COUNTIF(A1268:A$2001,A1268)=1,1,0))</f>
        <v/>
      </c>
      <c r="AM1268" s="7" t="str">
        <f t="shared" ca="1" si="73"/>
        <v/>
      </c>
      <c r="AN1268" s="7" t="str">
        <f t="shared" si="74"/>
        <v/>
      </c>
      <c r="AO1268" s="7" t="str">
        <f t="shared" si="75"/>
        <v/>
      </c>
      <c r="AP1268" s="15" t="str">
        <f t="shared" si="76"/>
        <v/>
      </c>
    </row>
    <row r="1269" spans="38:42" ht="15" customHeight="1">
      <c r="AL1269" s="7" t="str">
        <f>IF(A1269="","",IF(COUNTIF(A1269:A$2001,A1269)=1,1,0))</f>
        <v/>
      </c>
      <c r="AM1269" s="7" t="str">
        <f t="shared" ca="1" si="73"/>
        <v/>
      </c>
      <c r="AN1269" s="7" t="str">
        <f t="shared" si="74"/>
        <v/>
      </c>
      <c r="AO1269" s="7" t="str">
        <f t="shared" si="75"/>
        <v/>
      </c>
      <c r="AP1269" s="15" t="str">
        <f t="shared" si="76"/>
        <v/>
      </c>
    </row>
    <row r="1270" spans="38:42" ht="15" customHeight="1">
      <c r="AL1270" s="7" t="str">
        <f>IF(A1270="","",IF(COUNTIF(A1270:A$2001,A1270)=1,1,0))</f>
        <v/>
      </c>
      <c r="AM1270" s="7" t="str">
        <f t="shared" ca="1" si="73"/>
        <v/>
      </c>
      <c r="AN1270" s="7" t="str">
        <f t="shared" si="74"/>
        <v/>
      </c>
      <c r="AO1270" s="7" t="str">
        <f t="shared" si="75"/>
        <v/>
      </c>
      <c r="AP1270" s="15" t="str">
        <f t="shared" si="76"/>
        <v/>
      </c>
    </row>
    <row r="1271" spans="38:42" ht="15" customHeight="1">
      <c r="AL1271" s="7" t="str">
        <f>IF(A1271="","",IF(COUNTIF(A1271:A$2001,A1271)=1,1,0))</f>
        <v/>
      </c>
      <c r="AM1271" s="7" t="str">
        <f t="shared" ca="1" si="73"/>
        <v/>
      </c>
      <c r="AN1271" s="7" t="str">
        <f t="shared" si="74"/>
        <v/>
      </c>
      <c r="AO1271" s="7" t="str">
        <f t="shared" si="75"/>
        <v/>
      </c>
      <c r="AP1271" s="15" t="str">
        <f t="shared" si="76"/>
        <v/>
      </c>
    </row>
    <row r="1272" spans="38:42" ht="15" customHeight="1">
      <c r="AL1272" s="7" t="str">
        <f>IF(A1272="","",IF(COUNTIF(A1272:A$2001,A1272)=1,1,0))</f>
        <v/>
      </c>
      <c r="AM1272" s="7" t="str">
        <f t="shared" ca="1" si="73"/>
        <v/>
      </c>
      <c r="AN1272" s="7" t="str">
        <f t="shared" si="74"/>
        <v/>
      </c>
      <c r="AO1272" s="7" t="str">
        <f t="shared" si="75"/>
        <v/>
      </c>
      <c r="AP1272" s="15" t="str">
        <f t="shared" si="76"/>
        <v/>
      </c>
    </row>
    <row r="1273" spans="38:42" ht="15" customHeight="1">
      <c r="AL1273" s="7" t="str">
        <f>IF(A1273="","",IF(COUNTIF(A1273:A$2001,A1273)=1,1,0))</f>
        <v/>
      </c>
      <c r="AM1273" s="7" t="str">
        <f t="shared" ca="1" si="73"/>
        <v/>
      </c>
      <c r="AN1273" s="7" t="str">
        <f t="shared" si="74"/>
        <v/>
      </c>
      <c r="AO1273" s="7" t="str">
        <f t="shared" si="75"/>
        <v/>
      </c>
      <c r="AP1273" s="15" t="str">
        <f t="shared" si="76"/>
        <v/>
      </c>
    </row>
    <row r="1274" spans="38:42" ht="15" customHeight="1">
      <c r="AL1274" s="7" t="str">
        <f>IF(A1274="","",IF(COUNTIF(A1274:A$2001,A1274)=1,1,0))</f>
        <v/>
      </c>
      <c r="AM1274" s="7" t="str">
        <f t="shared" ca="1" si="73"/>
        <v/>
      </c>
      <c r="AN1274" s="7" t="str">
        <f t="shared" si="74"/>
        <v/>
      </c>
      <c r="AO1274" s="7" t="str">
        <f t="shared" si="75"/>
        <v/>
      </c>
      <c r="AP1274" s="15" t="str">
        <f t="shared" si="76"/>
        <v/>
      </c>
    </row>
    <row r="1275" spans="38:42" ht="15" customHeight="1">
      <c r="AL1275" s="7" t="str">
        <f>IF(A1275="","",IF(COUNTIF(A1275:A$2001,A1275)=1,1,0))</f>
        <v/>
      </c>
      <c r="AM1275" s="7" t="str">
        <f t="shared" ca="1" si="73"/>
        <v/>
      </c>
      <c r="AN1275" s="7" t="str">
        <f t="shared" si="74"/>
        <v/>
      </c>
      <c r="AO1275" s="7" t="str">
        <f t="shared" si="75"/>
        <v/>
      </c>
      <c r="AP1275" s="15" t="str">
        <f t="shared" si="76"/>
        <v/>
      </c>
    </row>
    <row r="1276" spans="38:42" ht="15" customHeight="1">
      <c r="AL1276" s="7" t="str">
        <f>IF(A1276="","",IF(COUNTIF(A1276:A$2001,A1276)=1,1,0))</f>
        <v/>
      </c>
      <c r="AM1276" s="7" t="str">
        <f t="shared" ca="1" si="73"/>
        <v/>
      </c>
      <c r="AN1276" s="7" t="str">
        <f t="shared" si="74"/>
        <v/>
      </c>
      <c r="AO1276" s="7" t="str">
        <f t="shared" si="75"/>
        <v/>
      </c>
      <c r="AP1276" s="15" t="str">
        <f t="shared" si="76"/>
        <v/>
      </c>
    </row>
    <row r="1277" spans="38:42" ht="15" customHeight="1">
      <c r="AL1277" s="7" t="str">
        <f>IF(A1277="","",IF(COUNTIF(A1277:A$2001,A1277)=1,1,0))</f>
        <v/>
      </c>
      <c r="AM1277" s="7" t="str">
        <f t="shared" ca="1" si="73"/>
        <v/>
      </c>
      <c r="AN1277" s="7" t="str">
        <f t="shared" si="74"/>
        <v/>
      </c>
      <c r="AO1277" s="7" t="str">
        <f t="shared" si="75"/>
        <v/>
      </c>
      <c r="AP1277" s="15" t="str">
        <f t="shared" si="76"/>
        <v/>
      </c>
    </row>
    <row r="1278" spans="38:42" ht="15" customHeight="1">
      <c r="AL1278" s="7" t="str">
        <f>IF(A1278="","",IF(COUNTIF(A1278:A$2001,A1278)=1,1,0))</f>
        <v/>
      </c>
      <c r="AM1278" s="7" t="str">
        <f t="shared" ca="1" si="73"/>
        <v/>
      </c>
      <c r="AN1278" s="7" t="str">
        <f t="shared" si="74"/>
        <v/>
      </c>
      <c r="AO1278" s="7" t="str">
        <f t="shared" si="75"/>
        <v/>
      </c>
      <c r="AP1278" s="15" t="str">
        <f t="shared" si="76"/>
        <v/>
      </c>
    </row>
    <row r="1279" spans="38:42" ht="15" customHeight="1">
      <c r="AL1279" s="7" t="str">
        <f>IF(A1279="","",IF(COUNTIF(A1279:A$2001,A1279)=1,1,0))</f>
        <v/>
      </c>
      <c r="AM1279" s="7" t="str">
        <f t="shared" ca="1" si="73"/>
        <v/>
      </c>
      <c r="AN1279" s="7" t="str">
        <f t="shared" si="74"/>
        <v/>
      </c>
      <c r="AO1279" s="7" t="str">
        <f t="shared" si="75"/>
        <v/>
      </c>
      <c r="AP1279" s="15" t="str">
        <f t="shared" si="76"/>
        <v/>
      </c>
    </row>
    <row r="1280" spans="38:42" ht="15" customHeight="1">
      <c r="AL1280" s="7" t="str">
        <f>IF(A1280="","",IF(COUNTIF(A1280:A$2001,A1280)=1,1,0))</f>
        <v/>
      </c>
      <c r="AM1280" s="7" t="str">
        <f t="shared" ca="1" si="73"/>
        <v/>
      </c>
      <c r="AN1280" s="7" t="str">
        <f t="shared" si="74"/>
        <v/>
      </c>
      <c r="AO1280" s="7" t="str">
        <f t="shared" si="75"/>
        <v/>
      </c>
      <c r="AP1280" s="15" t="str">
        <f t="shared" si="76"/>
        <v/>
      </c>
    </row>
    <row r="1281" spans="38:42" ht="15" customHeight="1">
      <c r="AL1281" s="7" t="str">
        <f>IF(A1281="","",IF(COUNTIF(A1281:A$2001,A1281)=1,1,0))</f>
        <v/>
      </c>
      <c r="AM1281" s="7" t="str">
        <f t="shared" ca="1" si="73"/>
        <v/>
      </c>
      <c r="AN1281" s="7" t="str">
        <f t="shared" si="74"/>
        <v/>
      </c>
      <c r="AO1281" s="7" t="str">
        <f t="shared" si="75"/>
        <v/>
      </c>
      <c r="AP1281" s="15" t="str">
        <f t="shared" si="76"/>
        <v/>
      </c>
    </row>
    <row r="1282" spans="38:42" ht="15" customHeight="1">
      <c r="AL1282" s="7" t="str">
        <f>IF(A1282="","",IF(COUNTIF(A1282:A$2001,A1282)=1,1,0))</f>
        <v/>
      </c>
      <c r="AM1282" s="7" t="str">
        <f t="shared" ref="AM1282:AM1345" ca="1" si="77">IF(I1282="","",TODAY()-I1282)</f>
        <v/>
      </c>
      <c r="AN1282" s="7" t="str">
        <f t="shared" ref="AN1282:AN1345" si="78">IF(A1282="","",IF(AND(E1282&lt;&gt;"33 確認済",E1282&lt;&gt;"36 送付中"),1,0))</f>
        <v/>
      </c>
      <c r="AO1282" s="7" t="str">
        <f t="shared" ref="AO1282:AO1345" si="79">IF(A1282="","",IF(AG1282&lt;&gt;"",1,0))</f>
        <v/>
      </c>
      <c r="AP1282" s="15" t="str">
        <f t="shared" ref="AP1282:AP1345" si="80">IF(P1282&lt;&gt;"","・添待ち","")&amp;IF(Q1282&lt;&gt;"","・住民票","")&amp;IF(R1282&lt;&gt;"","・発信","")&amp;IF(S1282&lt;&gt;"","・確認事項","")&amp;IF(T1282&lt;&gt;"","・管","")&amp;IF(U1282&lt;&gt;"","・SV","")&amp;IF(V1282&lt;&gt;"","・データ送付待ち","")&amp;IF(W1282&lt;&gt;"","・削除","")</f>
        <v/>
      </c>
    </row>
    <row r="1283" spans="38:42" ht="15" customHeight="1">
      <c r="AL1283" s="7" t="str">
        <f>IF(A1283="","",IF(COUNTIF(A1283:A$2001,A1283)=1,1,0))</f>
        <v/>
      </c>
      <c r="AM1283" s="7" t="str">
        <f t="shared" ca="1" si="77"/>
        <v/>
      </c>
      <c r="AN1283" s="7" t="str">
        <f t="shared" si="78"/>
        <v/>
      </c>
      <c r="AO1283" s="7" t="str">
        <f t="shared" si="79"/>
        <v/>
      </c>
      <c r="AP1283" s="15" t="str">
        <f t="shared" si="80"/>
        <v/>
      </c>
    </row>
    <row r="1284" spans="38:42" ht="15" customHeight="1">
      <c r="AL1284" s="7" t="str">
        <f>IF(A1284="","",IF(COUNTIF(A1284:A$2001,A1284)=1,1,0))</f>
        <v/>
      </c>
      <c r="AM1284" s="7" t="str">
        <f t="shared" ca="1" si="77"/>
        <v/>
      </c>
      <c r="AN1284" s="7" t="str">
        <f t="shared" si="78"/>
        <v/>
      </c>
      <c r="AO1284" s="7" t="str">
        <f t="shared" si="79"/>
        <v/>
      </c>
      <c r="AP1284" s="15" t="str">
        <f t="shared" si="80"/>
        <v/>
      </c>
    </row>
    <row r="1285" spans="38:42" ht="15" customHeight="1">
      <c r="AL1285" s="7" t="str">
        <f>IF(A1285="","",IF(COUNTIF(A1285:A$2001,A1285)=1,1,0))</f>
        <v/>
      </c>
      <c r="AM1285" s="7" t="str">
        <f t="shared" ca="1" si="77"/>
        <v/>
      </c>
      <c r="AN1285" s="7" t="str">
        <f t="shared" si="78"/>
        <v/>
      </c>
      <c r="AO1285" s="7" t="str">
        <f t="shared" si="79"/>
        <v/>
      </c>
      <c r="AP1285" s="15" t="str">
        <f t="shared" si="80"/>
        <v/>
      </c>
    </row>
    <row r="1286" spans="38:42" ht="15" customHeight="1">
      <c r="AL1286" s="7" t="str">
        <f>IF(A1286="","",IF(COUNTIF(A1286:A$2001,A1286)=1,1,0))</f>
        <v/>
      </c>
      <c r="AM1286" s="7" t="str">
        <f t="shared" ca="1" si="77"/>
        <v/>
      </c>
      <c r="AN1286" s="7" t="str">
        <f t="shared" si="78"/>
        <v/>
      </c>
      <c r="AO1286" s="7" t="str">
        <f t="shared" si="79"/>
        <v/>
      </c>
      <c r="AP1286" s="15" t="str">
        <f t="shared" si="80"/>
        <v/>
      </c>
    </row>
    <row r="1287" spans="38:42" ht="15" customHeight="1">
      <c r="AL1287" s="7" t="str">
        <f>IF(A1287="","",IF(COUNTIF(A1287:A$2001,A1287)=1,1,0))</f>
        <v/>
      </c>
      <c r="AM1287" s="7" t="str">
        <f t="shared" ca="1" si="77"/>
        <v/>
      </c>
      <c r="AN1287" s="7" t="str">
        <f t="shared" si="78"/>
        <v/>
      </c>
      <c r="AO1287" s="7" t="str">
        <f t="shared" si="79"/>
        <v/>
      </c>
      <c r="AP1287" s="15" t="str">
        <f t="shared" si="80"/>
        <v/>
      </c>
    </row>
    <row r="1288" spans="38:42" ht="15" customHeight="1">
      <c r="AL1288" s="7" t="str">
        <f>IF(A1288="","",IF(COUNTIF(A1288:A$2001,A1288)=1,1,0))</f>
        <v/>
      </c>
      <c r="AM1288" s="7" t="str">
        <f t="shared" ca="1" si="77"/>
        <v/>
      </c>
      <c r="AN1288" s="7" t="str">
        <f t="shared" si="78"/>
        <v/>
      </c>
      <c r="AO1288" s="7" t="str">
        <f t="shared" si="79"/>
        <v/>
      </c>
      <c r="AP1288" s="15" t="str">
        <f t="shared" si="80"/>
        <v/>
      </c>
    </row>
    <row r="1289" spans="38:42" ht="15" customHeight="1">
      <c r="AL1289" s="7" t="str">
        <f>IF(A1289="","",IF(COUNTIF(A1289:A$2001,A1289)=1,1,0))</f>
        <v/>
      </c>
      <c r="AM1289" s="7" t="str">
        <f t="shared" ca="1" si="77"/>
        <v/>
      </c>
      <c r="AN1289" s="7" t="str">
        <f t="shared" si="78"/>
        <v/>
      </c>
      <c r="AO1289" s="7" t="str">
        <f t="shared" si="79"/>
        <v/>
      </c>
      <c r="AP1289" s="15" t="str">
        <f t="shared" si="80"/>
        <v/>
      </c>
    </row>
    <row r="1290" spans="38:42" ht="15" customHeight="1">
      <c r="AL1290" s="7" t="str">
        <f>IF(A1290="","",IF(COUNTIF(A1290:A$2001,A1290)=1,1,0))</f>
        <v/>
      </c>
      <c r="AM1290" s="7" t="str">
        <f t="shared" ca="1" si="77"/>
        <v/>
      </c>
      <c r="AN1290" s="7" t="str">
        <f t="shared" si="78"/>
        <v/>
      </c>
      <c r="AO1290" s="7" t="str">
        <f t="shared" si="79"/>
        <v/>
      </c>
      <c r="AP1290" s="15" t="str">
        <f t="shared" si="80"/>
        <v/>
      </c>
    </row>
    <row r="1291" spans="38:42" ht="15" customHeight="1">
      <c r="AL1291" s="7" t="str">
        <f>IF(A1291="","",IF(COUNTIF(A1291:A$2001,A1291)=1,1,0))</f>
        <v/>
      </c>
      <c r="AM1291" s="7" t="str">
        <f t="shared" ca="1" si="77"/>
        <v/>
      </c>
      <c r="AN1291" s="7" t="str">
        <f t="shared" si="78"/>
        <v/>
      </c>
      <c r="AO1291" s="7" t="str">
        <f t="shared" si="79"/>
        <v/>
      </c>
      <c r="AP1291" s="15" t="str">
        <f t="shared" si="80"/>
        <v/>
      </c>
    </row>
    <row r="1292" spans="38:42" ht="15" customHeight="1">
      <c r="AL1292" s="7" t="str">
        <f>IF(A1292="","",IF(COUNTIF(A1292:A$2001,A1292)=1,1,0))</f>
        <v/>
      </c>
      <c r="AM1292" s="7" t="str">
        <f t="shared" ca="1" si="77"/>
        <v/>
      </c>
      <c r="AN1292" s="7" t="str">
        <f t="shared" si="78"/>
        <v/>
      </c>
      <c r="AO1292" s="7" t="str">
        <f t="shared" si="79"/>
        <v/>
      </c>
      <c r="AP1292" s="15" t="str">
        <f t="shared" si="80"/>
        <v/>
      </c>
    </row>
    <row r="1293" spans="38:42" ht="15" customHeight="1">
      <c r="AL1293" s="7" t="str">
        <f>IF(A1293="","",IF(COUNTIF(A1293:A$2001,A1293)=1,1,0))</f>
        <v/>
      </c>
      <c r="AM1293" s="7" t="str">
        <f t="shared" ca="1" si="77"/>
        <v/>
      </c>
      <c r="AN1293" s="7" t="str">
        <f t="shared" si="78"/>
        <v/>
      </c>
      <c r="AO1293" s="7" t="str">
        <f t="shared" si="79"/>
        <v/>
      </c>
      <c r="AP1293" s="15" t="str">
        <f t="shared" si="80"/>
        <v/>
      </c>
    </row>
    <row r="1294" spans="38:42" ht="15" customHeight="1">
      <c r="AL1294" s="7" t="str">
        <f>IF(A1294="","",IF(COUNTIF(A1294:A$2001,A1294)=1,1,0))</f>
        <v/>
      </c>
      <c r="AM1294" s="7" t="str">
        <f t="shared" ca="1" si="77"/>
        <v/>
      </c>
      <c r="AN1294" s="7" t="str">
        <f t="shared" si="78"/>
        <v/>
      </c>
      <c r="AO1294" s="7" t="str">
        <f t="shared" si="79"/>
        <v/>
      </c>
      <c r="AP1294" s="15" t="str">
        <f t="shared" si="80"/>
        <v/>
      </c>
    </row>
    <row r="1295" spans="38:42" ht="15" customHeight="1">
      <c r="AL1295" s="7" t="str">
        <f>IF(A1295="","",IF(COUNTIF(A1295:A$2001,A1295)=1,1,0))</f>
        <v/>
      </c>
      <c r="AM1295" s="7" t="str">
        <f t="shared" ca="1" si="77"/>
        <v/>
      </c>
      <c r="AN1295" s="7" t="str">
        <f t="shared" si="78"/>
        <v/>
      </c>
      <c r="AO1295" s="7" t="str">
        <f t="shared" si="79"/>
        <v/>
      </c>
      <c r="AP1295" s="15" t="str">
        <f t="shared" si="80"/>
        <v/>
      </c>
    </row>
    <row r="1296" spans="38:42" ht="15" customHeight="1">
      <c r="AL1296" s="7" t="str">
        <f>IF(A1296="","",IF(COUNTIF(A1296:A$2001,A1296)=1,1,0))</f>
        <v/>
      </c>
      <c r="AM1296" s="7" t="str">
        <f t="shared" ca="1" si="77"/>
        <v/>
      </c>
      <c r="AN1296" s="7" t="str">
        <f t="shared" si="78"/>
        <v/>
      </c>
      <c r="AO1296" s="7" t="str">
        <f t="shared" si="79"/>
        <v/>
      </c>
      <c r="AP1296" s="15" t="str">
        <f t="shared" si="80"/>
        <v/>
      </c>
    </row>
    <row r="1297" spans="38:42" ht="15" customHeight="1">
      <c r="AL1297" s="7" t="str">
        <f>IF(A1297="","",IF(COUNTIF(A1297:A$2001,A1297)=1,1,0))</f>
        <v/>
      </c>
      <c r="AM1297" s="7" t="str">
        <f t="shared" ca="1" si="77"/>
        <v/>
      </c>
      <c r="AN1297" s="7" t="str">
        <f t="shared" si="78"/>
        <v/>
      </c>
      <c r="AO1297" s="7" t="str">
        <f t="shared" si="79"/>
        <v/>
      </c>
      <c r="AP1297" s="15" t="str">
        <f t="shared" si="80"/>
        <v/>
      </c>
    </row>
    <row r="1298" spans="38:42" ht="15" customHeight="1">
      <c r="AL1298" s="7" t="str">
        <f>IF(A1298="","",IF(COUNTIF(A1298:A$2001,A1298)=1,1,0))</f>
        <v/>
      </c>
      <c r="AM1298" s="7" t="str">
        <f t="shared" ca="1" si="77"/>
        <v/>
      </c>
      <c r="AN1298" s="7" t="str">
        <f t="shared" si="78"/>
        <v/>
      </c>
      <c r="AO1298" s="7" t="str">
        <f t="shared" si="79"/>
        <v/>
      </c>
      <c r="AP1298" s="15" t="str">
        <f t="shared" si="80"/>
        <v/>
      </c>
    </row>
    <row r="1299" spans="38:42" ht="15" customHeight="1">
      <c r="AL1299" s="7" t="str">
        <f>IF(A1299="","",IF(COUNTIF(A1299:A$2001,A1299)=1,1,0))</f>
        <v/>
      </c>
      <c r="AM1299" s="7" t="str">
        <f t="shared" ca="1" si="77"/>
        <v/>
      </c>
      <c r="AN1299" s="7" t="str">
        <f t="shared" si="78"/>
        <v/>
      </c>
      <c r="AO1299" s="7" t="str">
        <f t="shared" si="79"/>
        <v/>
      </c>
      <c r="AP1299" s="15" t="str">
        <f t="shared" si="80"/>
        <v/>
      </c>
    </row>
    <row r="1300" spans="38:42" ht="15" customHeight="1">
      <c r="AL1300" s="7" t="str">
        <f>IF(A1300="","",IF(COUNTIF(A1300:A$2001,A1300)=1,1,0))</f>
        <v/>
      </c>
      <c r="AM1300" s="7" t="str">
        <f t="shared" ca="1" si="77"/>
        <v/>
      </c>
      <c r="AN1300" s="7" t="str">
        <f t="shared" si="78"/>
        <v/>
      </c>
      <c r="AO1300" s="7" t="str">
        <f t="shared" si="79"/>
        <v/>
      </c>
      <c r="AP1300" s="15" t="str">
        <f t="shared" si="80"/>
        <v/>
      </c>
    </row>
    <row r="1301" spans="38:42" ht="15" customHeight="1">
      <c r="AL1301" s="7" t="str">
        <f>IF(A1301="","",IF(COUNTIF(A1301:A$2001,A1301)=1,1,0))</f>
        <v/>
      </c>
      <c r="AM1301" s="7" t="str">
        <f t="shared" ca="1" si="77"/>
        <v/>
      </c>
      <c r="AN1301" s="7" t="str">
        <f t="shared" si="78"/>
        <v/>
      </c>
      <c r="AO1301" s="7" t="str">
        <f t="shared" si="79"/>
        <v/>
      </c>
      <c r="AP1301" s="15" t="str">
        <f t="shared" si="80"/>
        <v/>
      </c>
    </row>
    <row r="1302" spans="38:42" ht="15" customHeight="1">
      <c r="AL1302" s="7" t="str">
        <f>IF(A1302="","",IF(COUNTIF(A1302:A$2001,A1302)=1,1,0))</f>
        <v/>
      </c>
      <c r="AM1302" s="7" t="str">
        <f t="shared" ca="1" si="77"/>
        <v/>
      </c>
      <c r="AN1302" s="7" t="str">
        <f t="shared" si="78"/>
        <v/>
      </c>
      <c r="AO1302" s="7" t="str">
        <f t="shared" si="79"/>
        <v/>
      </c>
      <c r="AP1302" s="15" t="str">
        <f t="shared" si="80"/>
        <v/>
      </c>
    </row>
    <row r="1303" spans="38:42" ht="15" customHeight="1">
      <c r="AL1303" s="7" t="str">
        <f>IF(A1303="","",IF(COUNTIF(A1303:A$2001,A1303)=1,1,0))</f>
        <v/>
      </c>
      <c r="AM1303" s="7" t="str">
        <f t="shared" ca="1" si="77"/>
        <v/>
      </c>
      <c r="AN1303" s="7" t="str">
        <f t="shared" si="78"/>
        <v/>
      </c>
      <c r="AO1303" s="7" t="str">
        <f t="shared" si="79"/>
        <v/>
      </c>
      <c r="AP1303" s="15" t="str">
        <f t="shared" si="80"/>
        <v/>
      </c>
    </row>
    <row r="1304" spans="38:42" ht="15" customHeight="1">
      <c r="AL1304" s="7" t="str">
        <f>IF(A1304="","",IF(COUNTIF(A1304:A$2001,A1304)=1,1,0))</f>
        <v/>
      </c>
      <c r="AM1304" s="7" t="str">
        <f t="shared" ca="1" si="77"/>
        <v/>
      </c>
      <c r="AN1304" s="7" t="str">
        <f t="shared" si="78"/>
        <v/>
      </c>
      <c r="AO1304" s="7" t="str">
        <f t="shared" si="79"/>
        <v/>
      </c>
      <c r="AP1304" s="15" t="str">
        <f t="shared" si="80"/>
        <v/>
      </c>
    </row>
    <row r="1305" spans="38:42" ht="15" customHeight="1">
      <c r="AL1305" s="7" t="str">
        <f>IF(A1305="","",IF(COUNTIF(A1305:A$2001,A1305)=1,1,0))</f>
        <v/>
      </c>
      <c r="AM1305" s="7" t="str">
        <f t="shared" ca="1" si="77"/>
        <v/>
      </c>
      <c r="AN1305" s="7" t="str">
        <f t="shared" si="78"/>
        <v/>
      </c>
      <c r="AO1305" s="7" t="str">
        <f t="shared" si="79"/>
        <v/>
      </c>
      <c r="AP1305" s="15" t="str">
        <f t="shared" si="80"/>
        <v/>
      </c>
    </row>
    <row r="1306" spans="38:42" ht="15" customHeight="1">
      <c r="AL1306" s="7" t="str">
        <f>IF(A1306="","",IF(COUNTIF(A1306:A$2001,A1306)=1,1,0))</f>
        <v/>
      </c>
      <c r="AM1306" s="7" t="str">
        <f t="shared" ca="1" si="77"/>
        <v/>
      </c>
      <c r="AN1306" s="7" t="str">
        <f t="shared" si="78"/>
        <v/>
      </c>
      <c r="AO1306" s="7" t="str">
        <f t="shared" si="79"/>
        <v/>
      </c>
      <c r="AP1306" s="15" t="str">
        <f t="shared" si="80"/>
        <v/>
      </c>
    </row>
    <row r="1307" spans="38:42" ht="15" customHeight="1">
      <c r="AL1307" s="7" t="str">
        <f>IF(A1307="","",IF(COUNTIF(A1307:A$2001,A1307)=1,1,0))</f>
        <v/>
      </c>
      <c r="AM1307" s="7" t="str">
        <f t="shared" ca="1" si="77"/>
        <v/>
      </c>
      <c r="AN1307" s="7" t="str">
        <f t="shared" si="78"/>
        <v/>
      </c>
      <c r="AO1307" s="7" t="str">
        <f t="shared" si="79"/>
        <v/>
      </c>
      <c r="AP1307" s="15" t="str">
        <f t="shared" si="80"/>
        <v/>
      </c>
    </row>
    <row r="1308" spans="38:42" ht="15" customHeight="1">
      <c r="AL1308" s="7" t="str">
        <f>IF(A1308="","",IF(COUNTIF(A1308:A$2001,A1308)=1,1,0))</f>
        <v/>
      </c>
      <c r="AM1308" s="7" t="str">
        <f t="shared" ca="1" si="77"/>
        <v/>
      </c>
      <c r="AN1308" s="7" t="str">
        <f t="shared" si="78"/>
        <v/>
      </c>
      <c r="AO1308" s="7" t="str">
        <f t="shared" si="79"/>
        <v/>
      </c>
      <c r="AP1308" s="15" t="str">
        <f t="shared" si="80"/>
        <v/>
      </c>
    </row>
    <row r="1309" spans="38:42" ht="15" customHeight="1">
      <c r="AL1309" s="7" t="str">
        <f>IF(A1309="","",IF(COUNTIF(A1309:A$2001,A1309)=1,1,0))</f>
        <v/>
      </c>
      <c r="AM1309" s="7" t="str">
        <f t="shared" ca="1" si="77"/>
        <v/>
      </c>
      <c r="AN1309" s="7" t="str">
        <f t="shared" si="78"/>
        <v/>
      </c>
      <c r="AO1309" s="7" t="str">
        <f t="shared" si="79"/>
        <v/>
      </c>
      <c r="AP1309" s="15" t="str">
        <f t="shared" si="80"/>
        <v/>
      </c>
    </row>
    <row r="1310" spans="38:42" ht="15" customHeight="1">
      <c r="AL1310" s="7" t="str">
        <f>IF(A1310="","",IF(COUNTIF(A1310:A$2001,A1310)=1,1,0))</f>
        <v/>
      </c>
      <c r="AM1310" s="7" t="str">
        <f t="shared" ca="1" si="77"/>
        <v/>
      </c>
      <c r="AN1310" s="7" t="str">
        <f t="shared" si="78"/>
        <v/>
      </c>
      <c r="AO1310" s="7" t="str">
        <f t="shared" si="79"/>
        <v/>
      </c>
      <c r="AP1310" s="15" t="str">
        <f t="shared" si="80"/>
        <v/>
      </c>
    </row>
    <row r="1311" spans="38:42" ht="15" customHeight="1">
      <c r="AL1311" s="7" t="str">
        <f>IF(A1311="","",IF(COUNTIF(A1311:A$2001,A1311)=1,1,0))</f>
        <v/>
      </c>
      <c r="AM1311" s="7" t="str">
        <f t="shared" ca="1" si="77"/>
        <v/>
      </c>
      <c r="AN1311" s="7" t="str">
        <f t="shared" si="78"/>
        <v/>
      </c>
      <c r="AO1311" s="7" t="str">
        <f t="shared" si="79"/>
        <v/>
      </c>
      <c r="AP1311" s="15" t="str">
        <f t="shared" si="80"/>
        <v/>
      </c>
    </row>
    <row r="1312" spans="38:42" ht="15" customHeight="1">
      <c r="AL1312" s="7" t="str">
        <f>IF(A1312="","",IF(COUNTIF(A1312:A$2001,A1312)=1,1,0))</f>
        <v/>
      </c>
      <c r="AM1312" s="7" t="str">
        <f t="shared" ca="1" si="77"/>
        <v/>
      </c>
      <c r="AN1312" s="7" t="str">
        <f t="shared" si="78"/>
        <v/>
      </c>
      <c r="AO1312" s="7" t="str">
        <f t="shared" si="79"/>
        <v/>
      </c>
      <c r="AP1312" s="15" t="str">
        <f t="shared" si="80"/>
        <v/>
      </c>
    </row>
    <row r="1313" spans="38:42" ht="15" customHeight="1">
      <c r="AL1313" s="7" t="str">
        <f>IF(A1313="","",IF(COUNTIF(A1313:A$2001,A1313)=1,1,0))</f>
        <v/>
      </c>
      <c r="AM1313" s="7" t="str">
        <f t="shared" ca="1" si="77"/>
        <v/>
      </c>
      <c r="AN1313" s="7" t="str">
        <f t="shared" si="78"/>
        <v/>
      </c>
      <c r="AO1313" s="7" t="str">
        <f t="shared" si="79"/>
        <v/>
      </c>
      <c r="AP1313" s="15" t="str">
        <f t="shared" si="80"/>
        <v/>
      </c>
    </row>
    <row r="1314" spans="38:42" ht="15" customHeight="1">
      <c r="AL1314" s="7" t="str">
        <f>IF(A1314="","",IF(COUNTIF(A1314:A$2001,A1314)=1,1,0))</f>
        <v/>
      </c>
      <c r="AM1314" s="7" t="str">
        <f t="shared" ca="1" si="77"/>
        <v/>
      </c>
      <c r="AN1314" s="7" t="str">
        <f t="shared" si="78"/>
        <v/>
      </c>
      <c r="AO1314" s="7" t="str">
        <f t="shared" si="79"/>
        <v/>
      </c>
      <c r="AP1314" s="15" t="str">
        <f t="shared" si="80"/>
        <v/>
      </c>
    </row>
    <row r="1315" spans="38:42" ht="15" customHeight="1">
      <c r="AL1315" s="7" t="str">
        <f>IF(A1315="","",IF(COUNTIF(A1315:A$2001,A1315)=1,1,0))</f>
        <v/>
      </c>
      <c r="AM1315" s="7" t="str">
        <f t="shared" ca="1" si="77"/>
        <v/>
      </c>
      <c r="AN1315" s="7" t="str">
        <f t="shared" si="78"/>
        <v/>
      </c>
      <c r="AO1315" s="7" t="str">
        <f t="shared" si="79"/>
        <v/>
      </c>
      <c r="AP1315" s="15" t="str">
        <f t="shared" si="80"/>
        <v/>
      </c>
    </row>
    <row r="1316" spans="38:42" ht="15" customHeight="1">
      <c r="AL1316" s="7" t="str">
        <f>IF(A1316="","",IF(COUNTIF(A1316:A$2001,A1316)=1,1,0))</f>
        <v/>
      </c>
      <c r="AM1316" s="7" t="str">
        <f t="shared" ca="1" si="77"/>
        <v/>
      </c>
      <c r="AN1316" s="7" t="str">
        <f t="shared" si="78"/>
        <v/>
      </c>
      <c r="AO1316" s="7" t="str">
        <f t="shared" si="79"/>
        <v/>
      </c>
      <c r="AP1316" s="15" t="str">
        <f t="shared" si="80"/>
        <v/>
      </c>
    </row>
    <row r="1317" spans="38:42" ht="15" customHeight="1">
      <c r="AL1317" s="7" t="str">
        <f>IF(A1317="","",IF(COUNTIF(A1317:A$2001,A1317)=1,1,0))</f>
        <v/>
      </c>
      <c r="AM1317" s="7" t="str">
        <f t="shared" ca="1" si="77"/>
        <v/>
      </c>
      <c r="AN1317" s="7" t="str">
        <f t="shared" si="78"/>
        <v/>
      </c>
      <c r="AO1317" s="7" t="str">
        <f t="shared" si="79"/>
        <v/>
      </c>
      <c r="AP1317" s="15" t="str">
        <f t="shared" si="80"/>
        <v/>
      </c>
    </row>
    <row r="1318" spans="38:42" ht="15" customHeight="1">
      <c r="AL1318" s="7" t="str">
        <f>IF(A1318="","",IF(COUNTIF(A1318:A$2001,A1318)=1,1,0))</f>
        <v/>
      </c>
      <c r="AM1318" s="7" t="str">
        <f t="shared" ca="1" si="77"/>
        <v/>
      </c>
      <c r="AN1318" s="7" t="str">
        <f t="shared" si="78"/>
        <v/>
      </c>
      <c r="AO1318" s="7" t="str">
        <f t="shared" si="79"/>
        <v/>
      </c>
      <c r="AP1318" s="15" t="str">
        <f t="shared" si="80"/>
        <v/>
      </c>
    </row>
    <row r="1319" spans="38:42" ht="15" customHeight="1">
      <c r="AL1319" s="7" t="str">
        <f>IF(A1319="","",IF(COUNTIF(A1319:A$2001,A1319)=1,1,0))</f>
        <v/>
      </c>
      <c r="AM1319" s="7" t="str">
        <f t="shared" ca="1" si="77"/>
        <v/>
      </c>
      <c r="AN1319" s="7" t="str">
        <f t="shared" si="78"/>
        <v/>
      </c>
      <c r="AO1319" s="7" t="str">
        <f t="shared" si="79"/>
        <v/>
      </c>
      <c r="AP1319" s="15" t="str">
        <f t="shared" si="80"/>
        <v/>
      </c>
    </row>
    <row r="1320" spans="38:42" ht="15" customHeight="1">
      <c r="AL1320" s="7" t="str">
        <f>IF(A1320="","",IF(COUNTIF(A1320:A$2001,A1320)=1,1,0))</f>
        <v/>
      </c>
      <c r="AM1320" s="7" t="str">
        <f t="shared" ca="1" si="77"/>
        <v/>
      </c>
      <c r="AN1320" s="7" t="str">
        <f t="shared" si="78"/>
        <v/>
      </c>
      <c r="AO1320" s="7" t="str">
        <f t="shared" si="79"/>
        <v/>
      </c>
      <c r="AP1320" s="15" t="str">
        <f t="shared" si="80"/>
        <v/>
      </c>
    </row>
    <row r="1321" spans="38:42" ht="15" customHeight="1">
      <c r="AL1321" s="7" t="str">
        <f>IF(A1321="","",IF(COUNTIF(A1321:A$2001,A1321)=1,1,0))</f>
        <v/>
      </c>
      <c r="AM1321" s="7" t="str">
        <f t="shared" ca="1" si="77"/>
        <v/>
      </c>
      <c r="AN1321" s="7" t="str">
        <f t="shared" si="78"/>
        <v/>
      </c>
      <c r="AO1321" s="7" t="str">
        <f t="shared" si="79"/>
        <v/>
      </c>
      <c r="AP1321" s="15" t="str">
        <f t="shared" si="80"/>
        <v/>
      </c>
    </row>
    <row r="1322" spans="38:42" ht="15" customHeight="1">
      <c r="AL1322" s="7" t="str">
        <f>IF(A1322="","",IF(COUNTIF(A1322:A$2001,A1322)=1,1,0))</f>
        <v/>
      </c>
      <c r="AM1322" s="7" t="str">
        <f t="shared" ca="1" si="77"/>
        <v/>
      </c>
      <c r="AN1322" s="7" t="str">
        <f t="shared" si="78"/>
        <v/>
      </c>
      <c r="AO1322" s="7" t="str">
        <f t="shared" si="79"/>
        <v/>
      </c>
      <c r="AP1322" s="15" t="str">
        <f t="shared" si="80"/>
        <v/>
      </c>
    </row>
    <row r="1323" spans="38:42" ht="15" customHeight="1">
      <c r="AL1323" s="7" t="str">
        <f>IF(A1323="","",IF(COUNTIF(A1323:A$2001,A1323)=1,1,0))</f>
        <v/>
      </c>
      <c r="AM1323" s="7" t="str">
        <f t="shared" ca="1" si="77"/>
        <v/>
      </c>
      <c r="AN1323" s="7" t="str">
        <f t="shared" si="78"/>
        <v/>
      </c>
      <c r="AO1323" s="7" t="str">
        <f t="shared" si="79"/>
        <v/>
      </c>
      <c r="AP1323" s="15" t="str">
        <f t="shared" si="80"/>
        <v/>
      </c>
    </row>
    <row r="1324" spans="38:42" ht="15" customHeight="1">
      <c r="AL1324" s="7" t="str">
        <f>IF(A1324="","",IF(COUNTIF(A1324:A$2001,A1324)=1,1,0))</f>
        <v/>
      </c>
      <c r="AM1324" s="7" t="str">
        <f t="shared" ca="1" si="77"/>
        <v/>
      </c>
      <c r="AN1324" s="7" t="str">
        <f t="shared" si="78"/>
        <v/>
      </c>
      <c r="AO1324" s="7" t="str">
        <f t="shared" si="79"/>
        <v/>
      </c>
      <c r="AP1324" s="15" t="str">
        <f t="shared" si="80"/>
        <v/>
      </c>
    </row>
    <row r="1325" spans="38:42" ht="15" customHeight="1">
      <c r="AL1325" s="7" t="str">
        <f>IF(A1325="","",IF(COUNTIF(A1325:A$2001,A1325)=1,1,0))</f>
        <v/>
      </c>
      <c r="AM1325" s="7" t="str">
        <f t="shared" ca="1" si="77"/>
        <v/>
      </c>
      <c r="AN1325" s="7" t="str">
        <f t="shared" si="78"/>
        <v/>
      </c>
      <c r="AO1325" s="7" t="str">
        <f t="shared" si="79"/>
        <v/>
      </c>
      <c r="AP1325" s="15" t="str">
        <f t="shared" si="80"/>
        <v/>
      </c>
    </row>
    <row r="1326" spans="38:42" ht="15" customHeight="1">
      <c r="AL1326" s="7" t="str">
        <f>IF(A1326="","",IF(COUNTIF(A1326:A$2001,A1326)=1,1,0))</f>
        <v/>
      </c>
      <c r="AM1326" s="7" t="str">
        <f t="shared" ca="1" si="77"/>
        <v/>
      </c>
      <c r="AN1326" s="7" t="str">
        <f t="shared" si="78"/>
        <v/>
      </c>
      <c r="AO1326" s="7" t="str">
        <f t="shared" si="79"/>
        <v/>
      </c>
      <c r="AP1326" s="15" t="str">
        <f t="shared" si="80"/>
        <v/>
      </c>
    </row>
    <row r="1327" spans="38:42" ht="15" customHeight="1">
      <c r="AL1327" s="7" t="str">
        <f>IF(A1327="","",IF(COUNTIF(A1327:A$2001,A1327)=1,1,0))</f>
        <v/>
      </c>
      <c r="AM1327" s="7" t="str">
        <f t="shared" ca="1" si="77"/>
        <v/>
      </c>
      <c r="AN1327" s="7" t="str">
        <f t="shared" si="78"/>
        <v/>
      </c>
      <c r="AO1327" s="7" t="str">
        <f t="shared" si="79"/>
        <v/>
      </c>
      <c r="AP1327" s="15" t="str">
        <f t="shared" si="80"/>
        <v/>
      </c>
    </row>
    <row r="1328" spans="38:42" ht="15" customHeight="1">
      <c r="AL1328" s="7" t="str">
        <f>IF(A1328="","",IF(COUNTIF(A1328:A$2001,A1328)=1,1,0))</f>
        <v/>
      </c>
      <c r="AM1328" s="7" t="str">
        <f t="shared" ca="1" si="77"/>
        <v/>
      </c>
      <c r="AN1328" s="7" t="str">
        <f t="shared" si="78"/>
        <v/>
      </c>
      <c r="AO1328" s="7" t="str">
        <f t="shared" si="79"/>
        <v/>
      </c>
      <c r="AP1328" s="15" t="str">
        <f t="shared" si="80"/>
        <v/>
      </c>
    </row>
    <row r="1329" spans="38:42" ht="15" customHeight="1">
      <c r="AL1329" s="7" t="str">
        <f>IF(A1329="","",IF(COUNTIF(A1329:A$2001,A1329)=1,1,0))</f>
        <v/>
      </c>
      <c r="AM1329" s="7" t="str">
        <f t="shared" ca="1" si="77"/>
        <v/>
      </c>
      <c r="AN1329" s="7" t="str">
        <f t="shared" si="78"/>
        <v/>
      </c>
      <c r="AO1329" s="7" t="str">
        <f t="shared" si="79"/>
        <v/>
      </c>
      <c r="AP1329" s="15" t="str">
        <f t="shared" si="80"/>
        <v/>
      </c>
    </row>
    <row r="1330" spans="38:42" ht="15" customHeight="1">
      <c r="AL1330" s="7" t="str">
        <f>IF(A1330="","",IF(COUNTIF(A1330:A$2001,A1330)=1,1,0))</f>
        <v/>
      </c>
      <c r="AM1330" s="7" t="str">
        <f t="shared" ca="1" si="77"/>
        <v/>
      </c>
      <c r="AN1330" s="7" t="str">
        <f t="shared" si="78"/>
        <v/>
      </c>
      <c r="AO1330" s="7" t="str">
        <f t="shared" si="79"/>
        <v/>
      </c>
      <c r="AP1330" s="15" t="str">
        <f t="shared" si="80"/>
        <v/>
      </c>
    </row>
    <row r="1331" spans="38:42" ht="15" customHeight="1">
      <c r="AL1331" s="7" t="str">
        <f>IF(A1331="","",IF(COUNTIF(A1331:A$2001,A1331)=1,1,0))</f>
        <v/>
      </c>
      <c r="AM1331" s="7" t="str">
        <f t="shared" ca="1" si="77"/>
        <v/>
      </c>
      <c r="AN1331" s="7" t="str">
        <f t="shared" si="78"/>
        <v/>
      </c>
      <c r="AO1331" s="7" t="str">
        <f t="shared" si="79"/>
        <v/>
      </c>
      <c r="AP1331" s="15" t="str">
        <f t="shared" si="80"/>
        <v/>
      </c>
    </row>
    <row r="1332" spans="38:42" ht="15" customHeight="1">
      <c r="AL1332" s="7" t="str">
        <f>IF(A1332="","",IF(COUNTIF(A1332:A$2001,A1332)=1,1,0))</f>
        <v/>
      </c>
      <c r="AM1332" s="7" t="str">
        <f t="shared" ca="1" si="77"/>
        <v/>
      </c>
      <c r="AN1332" s="7" t="str">
        <f t="shared" si="78"/>
        <v/>
      </c>
      <c r="AO1332" s="7" t="str">
        <f t="shared" si="79"/>
        <v/>
      </c>
      <c r="AP1332" s="15" t="str">
        <f t="shared" si="80"/>
        <v/>
      </c>
    </row>
    <row r="1333" spans="38:42" ht="15" customHeight="1">
      <c r="AL1333" s="7" t="str">
        <f>IF(A1333="","",IF(COUNTIF(A1333:A$2001,A1333)=1,1,0))</f>
        <v/>
      </c>
      <c r="AM1333" s="7" t="str">
        <f t="shared" ca="1" si="77"/>
        <v/>
      </c>
      <c r="AN1333" s="7" t="str">
        <f t="shared" si="78"/>
        <v/>
      </c>
      <c r="AO1333" s="7" t="str">
        <f t="shared" si="79"/>
        <v/>
      </c>
      <c r="AP1333" s="15" t="str">
        <f t="shared" si="80"/>
        <v/>
      </c>
    </row>
    <row r="1334" spans="38:42" ht="15" customHeight="1">
      <c r="AL1334" s="7" t="str">
        <f>IF(A1334="","",IF(COUNTIF(A1334:A$2001,A1334)=1,1,0))</f>
        <v/>
      </c>
      <c r="AM1334" s="7" t="str">
        <f t="shared" ca="1" si="77"/>
        <v/>
      </c>
      <c r="AN1334" s="7" t="str">
        <f t="shared" si="78"/>
        <v/>
      </c>
      <c r="AO1334" s="7" t="str">
        <f t="shared" si="79"/>
        <v/>
      </c>
      <c r="AP1334" s="15" t="str">
        <f t="shared" si="80"/>
        <v/>
      </c>
    </row>
    <row r="1335" spans="38:42" ht="15" customHeight="1">
      <c r="AL1335" s="7" t="str">
        <f>IF(A1335="","",IF(COUNTIF(A1335:A$2001,A1335)=1,1,0))</f>
        <v/>
      </c>
      <c r="AM1335" s="7" t="str">
        <f t="shared" ca="1" si="77"/>
        <v/>
      </c>
      <c r="AN1335" s="7" t="str">
        <f t="shared" si="78"/>
        <v/>
      </c>
      <c r="AO1335" s="7" t="str">
        <f t="shared" si="79"/>
        <v/>
      </c>
      <c r="AP1335" s="15" t="str">
        <f t="shared" si="80"/>
        <v/>
      </c>
    </row>
    <row r="1336" spans="38:42" ht="15" customHeight="1">
      <c r="AL1336" s="7" t="str">
        <f>IF(A1336="","",IF(COUNTIF(A1336:A$2001,A1336)=1,1,0))</f>
        <v/>
      </c>
      <c r="AM1336" s="7" t="str">
        <f t="shared" ca="1" si="77"/>
        <v/>
      </c>
      <c r="AN1336" s="7" t="str">
        <f t="shared" si="78"/>
        <v/>
      </c>
      <c r="AO1336" s="7" t="str">
        <f t="shared" si="79"/>
        <v/>
      </c>
      <c r="AP1336" s="15" t="str">
        <f t="shared" si="80"/>
        <v/>
      </c>
    </row>
    <row r="1337" spans="38:42" ht="15" customHeight="1">
      <c r="AL1337" s="7" t="str">
        <f>IF(A1337="","",IF(COUNTIF(A1337:A$2001,A1337)=1,1,0))</f>
        <v/>
      </c>
      <c r="AM1337" s="7" t="str">
        <f t="shared" ca="1" si="77"/>
        <v/>
      </c>
      <c r="AN1337" s="7" t="str">
        <f t="shared" si="78"/>
        <v/>
      </c>
      <c r="AO1337" s="7" t="str">
        <f t="shared" si="79"/>
        <v/>
      </c>
      <c r="AP1337" s="15" t="str">
        <f t="shared" si="80"/>
        <v/>
      </c>
    </row>
    <row r="1338" spans="38:42" ht="15" customHeight="1">
      <c r="AL1338" s="7" t="str">
        <f>IF(A1338="","",IF(COUNTIF(A1338:A$2001,A1338)=1,1,0))</f>
        <v/>
      </c>
      <c r="AM1338" s="7" t="str">
        <f t="shared" ca="1" si="77"/>
        <v/>
      </c>
      <c r="AN1338" s="7" t="str">
        <f t="shared" si="78"/>
        <v/>
      </c>
      <c r="AO1338" s="7" t="str">
        <f t="shared" si="79"/>
        <v/>
      </c>
      <c r="AP1338" s="15" t="str">
        <f t="shared" si="80"/>
        <v/>
      </c>
    </row>
    <row r="1339" spans="38:42" ht="15" customHeight="1">
      <c r="AL1339" s="7" t="str">
        <f>IF(A1339="","",IF(COUNTIF(A1339:A$2001,A1339)=1,1,0))</f>
        <v/>
      </c>
      <c r="AM1339" s="7" t="str">
        <f t="shared" ca="1" si="77"/>
        <v/>
      </c>
      <c r="AN1339" s="7" t="str">
        <f t="shared" si="78"/>
        <v/>
      </c>
      <c r="AO1339" s="7" t="str">
        <f t="shared" si="79"/>
        <v/>
      </c>
      <c r="AP1339" s="15" t="str">
        <f t="shared" si="80"/>
        <v/>
      </c>
    </row>
    <row r="1340" spans="38:42" ht="15" customHeight="1">
      <c r="AL1340" s="7" t="str">
        <f>IF(A1340="","",IF(COUNTIF(A1340:A$2001,A1340)=1,1,0))</f>
        <v/>
      </c>
      <c r="AM1340" s="7" t="str">
        <f t="shared" ca="1" si="77"/>
        <v/>
      </c>
      <c r="AN1340" s="7" t="str">
        <f t="shared" si="78"/>
        <v/>
      </c>
      <c r="AO1340" s="7" t="str">
        <f t="shared" si="79"/>
        <v/>
      </c>
      <c r="AP1340" s="15" t="str">
        <f t="shared" si="80"/>
        <v/>
      </c>
    </row>
    <row r="1341" spans="38:42" ht="15" customHeight="1">
      <c r="AL1341" s="7" t="str">
        <f>IF(A1341="","",IF(COUNTIF(A1341:A$2001,A1341)=1,1,0))</f>
        <v/>
      </c>
      <c r="AM1341" s="7" t="str">
        <f t="shared" ca="1" si="77"/>
        <v/>
      </c>
      <c r="AN1341" s="7" t="str">
        <f t="shared" si="78"/>
        <v/>
      </c>
      <c r="AO1341" s="7" t="str">
        <f t="shared" si="79"/>
        <v/>
      </c>
      <c r="AP1341" s="15" t="str">
        <f t="shared" si="80"/>
        <v/>
      </c>
    </row>
    <row r="1342" spans="38:42" ht="15" customHeight="1">
      <c r="AL1342" s="7" t="str">
        <f>IF(A1342="","",IF(COUNTIF(A1342:A$2001,A1342)=1,1,0))</f>
        <v/>
      </c>
      <c r="AM1342" s="7" t="str">
        <f t="shared" ca="1" si="77"/>
        <v/>
      </c>
      <c r="AN1342" s="7" t="str">
        <f t="shared" si="78"/>
        <v/>
      </c>
      <c r="AO1342" s="7" t="str">
        <f t="shared" si="79"/>
        <v/>
      </c>
      <c r="AP1342" s="15" t="str">
        <f t="shared" si="80"/>
        <v/>
      </c>
    </row>
    <row r="1343" spans="38:42" ht="15" customHeight="1">
      <c r="AL1343" s="7" t="str">
        <f>IF(A1343="","",IF(COUNTIF(A1343:A$2001,A1343)=1,1,0))</f>
        <v/>
      </c>
      <c r="AM1343" s="7" t="str">
        <f t="shared" ca="1" si="77"/>
        <v/>
      </c>
      <c r="AN1343" s="7" t="str">
        <f t="shared" si="78"/>
        <v/>
      </c>
      <c r="AO1343" s="7" t="str">
        <f t="shared" si="79"/>
        <v/>
      </c>
      <c r="AP1343" s="15" t="str">
        <f t="shared" si="80"/>
        <v/>
      </c>
    </row>
    <row r="1344" spans="38:42" ht="15" customHeight="1">
      <c r="AL1344" s="7" t="str">
        <f>IF(A1344="","",IF(COUNTIF(A1344:A$2001,A1344)=1,1,0))</f>
        <v/>
      </c>
      <c r="AM1344" s="7" t="str">
        <f t="shared" ca="1" si="77"/>
        <v/>
      </c>
      <c r="AN1344" s="7" t="str">
        <f t="shared" si="78"/>
        <v/>
      </c>
      <c r="AO1344" s="7" t="str">
        <f t="shared" si="79"/>
        <v/>
      </c>
      <c r="AP1344" s="15" t="str">
        <f t="shared" si="80"/>
        <v/>
      </c>
    </row>
    <row r="1345" spans="38:42" ht="15" customHeight="1">
      <c r="AL1345" s="7" t="str">
        <f>IF(A1345="","",IF(COUNTIF(A1345:A$2001,A1345)=1,1,0))</f>
        <v/>
      </c>
      <c r="AM1345" s="7" t="str">
        <f t="shared" ca="1" si="77"/>
        <v/>
      </c>
      <c r="AN1345" s="7" t="str">
        <f t="shared" si="78"/>
        <v/>
      </c>
      <c r="AO1345" s="7" t="str">
        <f t="shared" si="79"/>
        <v/>
      </c>
      <c r="AP1345" s="15" t="str">
        <f t="shared" si="80"/>
        <v/>
      </c>
    </row>
    <row r="1346" spans="38:42" ht="15" customHeight="1">
      <c r="AL1346" s="7" t="str">
        <f>IF(A1346="","",IF(COUNTIF(A1346:A$2001,A1346)=1,1,0))</f>
        <v/>
      </c>
      <c r="AM1346" s="7" t="str">
        <f t="shared" ref="AM1346:AM1409" ca="1" si="81">IF(I1346="","",TODAY()-I1346)</f>
        <v/>
      </c>
      <c r="AN1346" s="7" t="str">
        <f t="shared" ref="AN1346:AN1409" si="82">IF(A1346="","",IF(AND(E1346&lt;&gt;"33 確認済",E1346&lt;&gt;"36 送付中"),1,0))</f>
        <v/>
      </c>
      <c r="AO1346" s="7" t="str">
        <f t="shared" ref="AO1346:AO1409" si="83">IF(A1346="","",IF(AG1346&lt;&gt;"",1,0))</f>
        <v/>
      </c>
      <c r="AP1346" s="15" t="str">
        <f t="shared" ref="AP1346:AP1409" si="84">IF(P1346&lt;&gt;"","・添待ち","")&amp;IF(Q1346&lt;&gt;"","・住民票","")&amp;IF(R1346&lt;&gt;"","・発信","")&amp;IF(S1346&lt;&gt;"","・確認事項","")&amp;IF(T1346&lt;&gt;"","・管","")&amp;IF(U1346&lt;&gt;"","・SV","")&amp;IF(V1346&lt;&gt;"","・データ送付待ち","")&amp;IF(W1346&lt;&gt;"","・削除","")</f>
        <v/>
      </c>
    </row>
    <row r="1347" spans="38:42" ht="15" customHeight="1">
      <c r="AL1347" s="7" t="str">
        <f>IF(A1347="","",IF(COUNTIF(A1347:A$2001,A1347)=1,1,0))</f>
        <v/>
      </c>
      <c r="AM1347" s="7" t="str">
        <f t="shared" ca="1" si="81"/>
        <v/>
      </c>
      <c r="AN1347" s="7" t="str">
        <f t="shared" si="82"/>
        <v/>
      </c>
      <c r="AO1347" s="7" t="str">
        <f t="shared" si="83"/>
        <v/>
      </c>
      <c r="AP1347" s="15" t="str">
        <f t="shared" si="84"/>
        <v/>
      </c>
    </row>
    <row r="1348" spans="38:42" ht="15" customHeight="1">
      <c r="AL1348" s="7" t="str">
        <f>IF(A1348="","",IF(COUNTIF(A1348:A$2001,A1348)=1,1,0))</f>
        <v/>
      </c>
      <c r="AM1348" s="7" t="str">
        <f t="shared" ca="1" si="81"/>
        <v/>
      </c>
      <c r="AN1348" s="7" t="str">
        <f t="shared" si="82"/>
        <v/>
      </c>
      <c r="AO1348" s="7" t="str">
        <f t="shared" si="83"/>
        <v/>
      </c>
      <c r="AP1348" s="15" t="str">
        <f t="shared" si="84"/>
        <v/>
      </c>
    </row>
    <row r="1349" spans="38:42" ht="15" customHeight="1">
      <c r="AL1349" s="7" t="str">
        <f>IF(A1349="","",IF(COUNTIF(A1349:A$2001,A1349)=1,1,0))</f>
        <v/>
      </c>
      <c r="AM1349" s="7" t="str">
        <f t="shared" ca="1" si="81"/>
        <v/>
      </c>
      <c r="AN1349" s="7" t="str">
        <f t="shared" si="82"/>
        <v/>
      </c>
      <c r="AO1349" s="7" t="str">
        <f t="shared" si="83"/>
        <v/>
      </c>
      <c r="AP1349" s="15" t="str">
        <f t="shared" si="84"/>
        <v/>
      </c>
    </row>
    <row r="1350" spans="38:42" ht="15" customHeight="1">
      <c r="AL1350" s="7" t="str">
        <f>IF(A1350="","",IF(COUNTIF(A1350:A$2001,A1350)=1,1,0))</f>
        <v/>
      </c>
      <c r="AM1350" s="7" t="str">
        <f t="shared" ca="1" si="81"/>
        <v/>
      </c>
      <c r="AN1350" s="7" t="str">
        <f t="shared" si="82"/>
        <v/>
      </c>
      <c r="AO1350" s="7" t="str">
        <f t="shared" si="83"/>
        <v/>
      </c>
      <c r="AP1350" s="15" t="str">
        <f t="shared" si="84"/>
        <v/>
      </c>
    </row>
    <row r="1351" spans="38:42" ht="15" customHeight="1">
      <c r="AL1351" s="7" t="str">
        <f>IF(A1351="","",IF(COUNTIF(A1351:A$2001,A1351)=1,1,0))</f>
        <v/>
      </c>
      <c r="AM1351" s="7" t="str">
        <f t="shared" ca="1" si="81"/>
        <v/>
      </c>
      <c r="AN1351" s="7" t="str">
        <f t="shared" si="82"/>
        <v/>
      </c>
      <c r="AO1351" s="7" t="str">
        <f t="shared" si="83"/>
        <v/>
      </c>
      <c r="AP1351" s="15" t="str">
        <f t="shared" si="84"/>
        <v/>
      </c>
    </row>
    <row r="1352" spans="38:42" ht="15" customHeight="1">
      <c r="AL1352" s="7" t="str">
        <f>IF(A1352="","",IF(COUNTIF(A1352:A$2001,A1352)=1,1,0))</f>
        <v/>
      </c>
      <c r="AM1352" s="7" t="str">
        <f t="shared" ca="1" si="81"/>
        <v/>
      </c>
      <c r="AN1352" s="7" t="str">
        <f t="shared" si="82"/>
        <v/>
      </c>
      <c r="AO1352" s="7" t="str">
        <f t="shared" si="83"/>
        <v/>
      </c>
      <c r="AP1352" s="15" t="str">
        <f t="shared" si="84"/>
        <v/>
      </c>
    </row>
    <row r="1353" spans="38:42" ht="15" customHeight="1">
      <c r="AL1353" s="7" t="str">
        <f>IF(A1353="","",IF(COUNTIF(A1353:A$2001,A1353)=1,1,0))</f>
        <v/>
      </c>
      <c r="AM1353" s="7" t="str">
        <f t="shared" ca="1" si="81"/>
        <v/>
      </c>
      <c r="AN1353" s="7" t="str">
        <f t="shared" si="82"/>
        <v/>
      </c>
      <c r="AO1353" s="7" t="str">
        <f t="shared" si="83"/>
        <v/>
      </c>
      <c r="AP1353" s="15" t="str">
        <f t="shared" si="84"/>
        <v/>
      </c>
    </row>
    <row r="1354" spans="38:42" ht="15" customHeight="1">
      <c r="AL1354" s="7" t="str">
        <f>IF(A1354="","",IF(COUNTIF(A1354:A$2001,A1354)=1,1,0))</f>
        <v/>
      </c>
      <c r="AM1354" s="7" t="str">
        <f t="shared" ca="1" si="81"/>
        <v/>
      </c>
      <c r="AN1354" s="7" t="str">
        <f t="shared" si="82"/>
        <v/>
      </c>
      <c r="AO1354" s="7" t="str">
        <f t="shared" si="83"/>
        <v/>
      </c>
      <c r="AP1354" s="15" t="str">
        <f t="shared" si="84"/>
        <v/>
      </c>
    </row>
    <row r="1355" spans="38:42" ht="15" customHeight="1">
      <c r="AL1355" s="7" t="str">
        <f>IF(A1355="","",IF(COUNTIF(A1355:A$2001,A1355)=1,1,0))</f>
        <v/>
      </c>
      <c r="AM1355" s="7" t="str">
        <f t="shared" ca="1" si="81"/>
        <v/>
      </c>
      <c r="AN1355" s="7" t="str">
        <f t="shared" si="82"/>
        <v/>
      </c>
      <c r="AO1355" s="7" t="str">
        <f t="shared" si="83"/>
        <v/>
      </c>
      <c r="AP1355" s="15" t="str">
        <f t="shared" si="84"/>
        <v/>
      </c>
    </row>
    <row r="1356" spans="38:42" ht="15" customHeight="1">
      <c r="AL1356" s="7" t="str">
        <f>IF(A1356="","",IF(COUNTIF(A1356:A$2001,A1356)=1,1,0))</f>
        <v/>
      </c>
      <c r="AM1356" s="7" t="str">
        <f t="shared" ca="1" si="81"/>
        <v/>
      </c>
      <c r="AN1356" s="7" t="str">
        <f t="shared" si="82"/>
        <v/>
      </c>
      <c r="AO1356" s="7" t="str">
        <f t="shared" si="83"/>
        <v/>
      </c>
      <c r="AP1356" s="15" t="str">
        <f t="shared" si="84"/>
        <v/>
      </c>
    </row>
    <row r="1357" spans="38:42" ht="15" customHeight="1">
      <c r="AL1357" s="7" t="str">
        <f>IF(A1357="","",IF(COUNTIF(A1357:A$2001,A1357)=1,1,0))</f>
        <v/>
      </c>
      <c r="AM1357" s="7" t="str">
        <f t="shared" ca="1" si="81"/>
        <v/>
      </c>
      <c r="AN1357" s="7" t="str">
        <f t="shared" si="82"/>
        <v/>
      </c>
      <c r="AO1357" s="7" t="str">
        <f t="shared" si="83"/>
        <v/>
      </c>
      <c r="AP1357" s="15" t="str">
        <f t="shared" si="84"/>
        <v/>
      </c>
    </row>
    <row r="1358" spans="38:42" ht="15" customHeight="1">
      <c r="AL1358" s="7" t="str">
        <f>IF(A1358="","",IF(COUNTIF(A1358:A$2001,A1358)=1,1,0))</f>
        <v/>
      </c>
      <c r="AM1358" s="7" t="str">
        <f t="shared" ca="1" si="81"/>
        <v/>
      </c>
      <c r="AN1358" s="7" t="str">
        <f t="shared" si="82"/>
        <v/>
      </c>
      <c r="AO1358" s="7" t="str">
        <f t="shared" si="83"/>
        <v/>
      </c>
      <c r="AP1358" s="15" t="str">
        <f t="shared" si="84"/>
        <v/>
      </c>
    </row>
    <row r="1359" spans="38:42" ht="15" customHeight="1">
      <c r="AL1359" s="7" t="str">
        <f>IF(A1359="","",IF(COUNTIF(A1359:A$2001,A1359)=1,1,0))</f>
        <v/>
      </c>
      <c r="AM1359" s="7" t="str">
        <f t="shared" ca="1" si="81"/>
        <v/>
      </c>
      <c r="AN1359" s="7" t="str">
        <f t="shared" si="82"/>
        <v/>
      </c>
      <c r="AO1359" s="7" t="str">
        <f t="shared" si="83"/>
        <v/>
      </c>
      <c r="AP1359" s="15" t="str">
        <f t="shared" si="84"/>
        <v/>
      </c>
    </row>
    <row r="1360" spans="38:42" ht="15" customHeight="1">
      <c r="AL1360" s="7" t="str">
        <f>IF(A1360="","",IF(COUNTIF(A1360:A$2001,A1360)=1,1,0))</f>
        <v/>
      </c>
      <c r="AM1360" s="7" t="str">
        <f t="shared" ca="1" si="81"/>
        <v/>
      </c>
      <c r="AN1360" s="7" t="str">
        <f t="shared" si="82"/>
        <v/>
      </c>
      <c r="AO1360" s="7" t="str">
        <f t="shared" si="83"/>
        <v/>
      </c>
      <c r="AP1360" s="15" t="str">
        <f t="shared" si="84"/>
        <v/>
      </c>
    </row>
    <row r="1361" spans="38:42" ht="15" customHeight="1">
      <c r="AL1361" s="7" t="str">
        <f>IF(A1361="","",IF(COUNTIF(A1361:A$2001,A1361)=1,1,0))</f>
        <v/>
      </c>
      <c r="AM1361" s="7" t="str">
        <f t="shared" ca="1" si="81"/>
        <v/>
      </c>
      <c r="AN1361" s="7" t="str">
        <f t="shared" si="82"/>
        <v/>
      </c>
      <c r="AO1361" s="7" t="str">
        <f t="shared" si="83"/>
        <v/>
      </c>
      <c r="AP1361" s="15" t="str">
        <f t="shared" si="84"/>
        <v/>
      </c>
    </row>
    <row r="1362" spans="38:42" ht="15" customHeight="1">
      <c r="AL1362" s="7" t="str">
        <f>IF(A1362="","",IF(COUNTIF(A1362:A$2001,A1362)=1,1,0))</f>
        <v/>
      </c>
      <c r="AM1362" s="7" t="str">
        <f t="shared" ca="1" si="81"/>
        <v/>
      </c>
      <c r="AN1362" s="7" t="str">
        <f t="shared" si="82"/>
        <v/>
      </c>
      <c r="AO1362" s="7" t="str">
        <f t="shared" si="83"/>
        <v/>
      </c>
      <c r="AP1362" s="15" t="str">
        <f t="shared" si="84"/>
        <v/>
      </c>
    </row>
    <row r="1363" spans="38:42" ht="15" customHeight="1">
      <c r="AL1363" s="7" t="str">
        <f>IF(A1363="","",IF(COUNTIF(A1363:A$2001,A1363)=1,1,0))</f>
        <v/>
      </c>
      <c r="AM1363" s="7" t="str">
        <f t="shared" ca="1" si="81"/>
        <v/>
      </c>
      <c r="AN1363" s="7" t="str">
        <f t="shared" si="82"/>
        <v/>
      </c>
      <c r="AO1363" s="7" t="str">
        <f t="shared" si="83"/>
        <v/>
      </c>
      <c r="AP1363" s="15" t="str">
        <f t="shared" si="84"/>
        <v/>
      </c>
    </row>
    <row r="1364" spans="38:42" ht="15" customHeight="1">
      <c r="AL1364" s="7" t="str">
        <f>IF(A1364="","",IF(COUNTIF(A1364:A$2001,A1364)=1,1,0))</f>
        <v/>
      </c>
      <c r="AM1364" s="7" t="str">
        <f t="shared" ca="1" si="81"/>
        <v/>
      </c>
      <c r="AN1364" s="7" t="str">
        <f t="shared" si="82"/>
        <v/>
      </c>
      <c r="AO1364" s="7" t="str">
        <f t="shared" si="83"/>
        <v/>
      </c>
      <c r="AP1364" s="15" t="str">
        <f t="shared" si="84"/>
        <v/>
      </c>
    </row>
    <row r="1365" spans="38:42" ht="15" customHeight="1">
      <c r="AL1365" s="7" t="str">
        <f>IF(A1365="","",IF(COUNTIF(A1365:A$2001,A1365)=1,1,0))</f>
        <v/>
      </c>
      <c r="AM1365" s="7" t="str">
        <f t="shared" ca="1" si="81"/>
        <v/>
      </c>
      <c r="AN1365" s="7" t="str">
        <f t="shared" si="82"/>
        <v/>
      </c>
      <c r="AO1365" s="7" t="str">
        <f t="shared" si="83"/>
        <v/>
      </c>
      <c r="AP1365" s="15" t="str">
        <f t="shared" si="84"/>
        <v/>
      </c>
    </row>
    <row r="1366" spans="38:42" ht="15" customHeight="1">
      <c r="AL1366" s="7" t="str">
        <f>IF(A1366="","",IF(COUNTIF(A1366:A$2001,A1366)=1,1,0))</f>
        <v/>
      </c>
      <c r="AM1366" s="7" t="str">
        <f t="shared" ca="1" si="81"/>
        <v/>
      </c>
      <c r="AN1366" s="7" t="str">
        <f t="shared" si="82"/>
        <v/>
      </c>
      <c r="AO1366" s="7" t="str">
        <f t="shared" si="83"/>
        <v/>
      </c>
      <c r="AP1366" s="15" t="str">
        <f t="shared" si="84"/>
        <v/>
      </c>
    </row>
    <row r="1367" spans="38:42" ht="15" customHeight="1">
      <c r="AL1367" s="7" t="str">
        <f>IF(A1367="","",IF(COUNTIF(A1367:A$2001,A1367)=1,1,0))</f>
        <v/>
      </c>
      <c r="AM1367" s="7" t="str">
        <f t="shared" ca="1" si="81"/>
        <v/>
      </c>
      <c r="AN1367" s="7" t="str">
        <f t="shared" si="82"/>
        <v/>
      </c>
      <c r="AO1367" s="7" t="str">
        <f t="shared" si="83"/>
        <v/>
      </c>
      <c r="AP1367" s="15" t="str">
        <f t="shared" si="84"/>
        <v/>
      </c>
    </row>
    <row r="1368" spans="38:42" ht="15" customHeight="1">
      <c r="AL1368" s="7" t="str">
        <f>IF(A1368="","",IF(COUNTIF(A1368:A$2001,A1368)=1,1,0))</f>
        <v/>
      </c>
      <c r="AM1368" s="7" t="str">
        <f t="shared" ca="1" si="81"/>
        <v/>
      </c>
      <c r="AN1368" s="7" t="str">
        <f t="shared" si="82"/>
        <v/>
      </c>
      <c r="AO1368" s="7" t="str">
        <f t="shared" si="83"/>
        <v/>
      </c>
      <c r="AP1368" s="15" t="str">
        <f t="shared" si="84"/>
        <v/>
      </c>
    </row>
    <row r="1369" spans="38:42" ht="15" customHeight="1">
      <c r="AL1369" s="7" t="str">
        <f>IF(A1369="","",IF(COUNTIF(A1369:A$2001,A1369)=1,1,0))</f>
        <v/>
      </c>
      <c r="AM1369" s="7" t="str">
        <f t="shared" ca="1" si="81"/>
        <v/>
      </c>
      <c r="AN1369" s="7" t="str">
        <f t="shared" si="82"/>
        <v/>
      </c>
      <c r="AO1369" s="7" t="str">
        <f t="shared" si="83"/>
        <v/>
      </c>
      <c r="AP1369" s="15" t="str">
        <f t="shared" si="84"/>
        <v/>
      </c>
    </row>
    <row r="1370" spans="38:42" ht="15" customHeight="1">
      <c r="AL1370" s="7" t="str">
        <f>IF(A1370="","",IF(COUNTIF(A1370:A$2001,A1370)=1,1,0))</f>
        <v/>
      </c>
      <c r="AM1370" s="7" t="str">
        <f t="shared" ca="1" si="81"/>
        <v/>
      </c>
      <c r="AN1370" s="7" t="str">
        <f t="shared" si="82"/>
        <v/>
      </c>
      <c r="AO1370" s="7" t="str">
        <f t="shared" si="83"/>
        <v/>
      </c>
      <c r="AP1370" s="15" t="str">
        <f t="shared" si="84"/>
        <v/>
      </c>
    </row>
    <row r="1371" spans="38:42" ht="15" customHeight="1">
      <c r="AL1371" s="7" t="str">
        <f>IF(A1371="","",IF(COUNTIF(A1371:A$2001,A1371)=1,1,0))</f>
        <v/>
      </c>
      <c r="AM1371" s="7" t="str">
        <f t="shared" ca="1" si="81"/>
        <v/>
      </c>
      <c r="AN1371" s="7" t="str">
        <f t="shared" si="82"/>
        <v/>
      </c>
      <c r="AO1371" s="7" t="str">
        <f t="shared" si="83"/>
        <v/>
      </c>
      <c r="AP1371" s="15" t="str">
        <f t="shared" si="84"/>
        <v/>
      </c>
    </row>
    <row r="1372" spans="38:42" ht="15" customHeight="1">
      <c r="AL1372" s="7" t="str">
        <f>IF(A1372="","",IF(COUNTIF(A1372:A$2001,A1372)=1,1,0))</f>
        <v/>
      </c>
      <c r="AM1372" s="7" t="str">
        <f t="shared" ca="1" si="81"/>
        <v/>
      </c>
      <c r="AN1372" s="7" t="str">
        <f t="shared" si="82"/>
        <v/>
      </c>
      <c r="AO1372" s="7" t="str">
        <f t="shared" si="83"/>
        <v/>
      </c>
      <c r="AP1372" s="15" t="str">
        <f t="shared" si="84"/>
        <v/>
      </c>
    </row>
    <row r="1373" spans="38:42" ht="15" customHeight="1">
      <c r="AL1373" s="7" t="str">
        <f>IF(A1373="","",IF(COUNTIF(A1373:A$2001,A1373)=1,1,0))</f>
        <v/>
      </c>
      <c r="AM1373" s="7" t="str">
        <f t="shared" ca="1" si="81"/>
        <v/>
      </c>
      <c r="AN1373" s="7" t="str">
        <f t="shared" si="82"/>
        <v/>
      </c>
      <c r="AO1373" s="7" t="str">
        <f t="shared" si="83"/>
        <v/>
      </c>
      <c r="AP1373" s="15" t="str">
        <f t="shared" si="84"/>
        <v/>
      </c>
    </row>
    <row r="1374" spans="38:42" ht="15" customHeight="1">
      <c r="AL1374" s="7" t="str">
        <f>IF(A1374="","",IF(COUNTIF(A1374:A$2001,A1374)=1,1,0))</f>
        <v/>
      </c>
      <c r="AM1374" s="7" t="str">
        <f t="shared" ca="1" si="81"/>
        <v/>
      </c>
      <c r="AN1374" s="7" t="str">
        <f t="shared" si="82"/>
        <v/>
      </c>
      <c r="AO1374" s="7" t="str">
        <f t="shared" si="83"/>
        <v/>
      </c>
      <c r="AP1374" s="15" t="str">
        <f t="shared" si="84"/>
        <v/>
      </c>
    </row>
    <row r="1375" spans="38:42" ht="15" customHeight="1">
      <c r="AL1375" s="7" t="str">
        <f>IF(A1375="","",IF(COUNTIF(A1375:A$2001,A1375)=1,1,0))</f>
        <v/>
      </c>
      <c r="AM1375" s="7" t="str">
        <f t="shared" ca="1" si="81"/>
        <v/>
      </c>
      <c r="AN1375" s="7" t="str">
        <f t="shared" si="82"/>
        <v/>
      </c>
      <c r="AO1375" s="7" t="str">
        <f t="shared" si="83"/>
        <v/>
      </c>
      <c r="AP1375" s="15" t="str">
        <f t="shared" si="84"/>
        <v/>
      </c>
    </row>
    <row r="1376" spans="38:42" ht="15" customHeight="1">
      <c r="AL1376" s="7" t="str">
        <f>IF(A1376="","",IF(COUNTIF(A1376:A$2001,A1376)=1,1,0))</f>
        <v/>
      </c>
      <c r="AM1376" s="7" t="str">
        <f t="shared" ca="1" si="81"/>
        <v/>
      </c>
      <c r="AN1376" s="7" t="str">
        <f t="shared" si="82"/>
        <v/>
      </c>
      <c r="AO1376" s="7" t="str">
        <f t="shared" si="83"/>
        <v/>
      </c>
      <c r="AP1376" s="15" t="str">
        <f t="shared" si="84"/>
        <v/>
      </c>
    </row>
    <row r="1377" spans="38:42" ht="15" customHeight="1">
      <c r="AL1377" s="7" t="str">
        <f>IF(A1377="","",IF(COUNTIF(A1377:A$2001,A1377)=1,1,0))</f>
        <v/>
      </c>
      <c r="AM1377" s="7" t="str">
        <f t="shared" ca="1" si="81"/>
        <v/>
      </c>
      <c r="AN1377" s="7" t="str">
        <f t="shared" si="82"/>
        <v/>
      </c>
      <c r="AO1377" s="7" t="str">
        <f t="shared" si="83"/>
        <v/>
      </c>
      <c r="AP1377" s="15" t="str">
        <f t="shared" si="84"/>
        <v/>
      </c>
    </row>
    <row r="1378" spans="38:42" ht="15" customHeight="1">
      <c r="AL1378" s="7" t="str">
        <f>IF(A1378="","",IF(COUNTIF(A1378:A$2001,A1378)=1,1,0))</f>
        <v/>
      </c>
      <c r="AM1378" s="7" t="str">
        <f t="shared" ca="1" si="81"/>
        <v/>
      </c>
      <c r="AN1378" s="7" t="str">
        <f t="shared" si="82"/>
        <v/>
      </c>
      <c r="AO1378" s="7" t="str">
        <f t="shared" si="83"/>
        <v/>
      </c>
      <c r="AP1378" s="15" t="str">
        <f t="shared" si="84"/>
        <v/>
      </c>
    </row>
    <row r="1379" spans="38:42" ht="15" customHeight="1">
      <c r="AL1379" s="7" t="str">
        <f>IF(A1379="","",IF(COUNTIF(A1379:A$2001,A1379)=1,1,0))</f>
        <v/>
      </c>
      <c r="AM1379" s="7" t="str">
        <f t="shared" ca="1" si="81"/>
        <v/>
      </c>
      <c r="AN1379" s="7" t="str">
        <f t="shared" si="82"/>
        <v/>
      </c>
      <c r="AO1379" s="7" t="str">
        <f t="shared" si="83"/>
        <v/>
      </c>
      <c r="AP1379" s="15" t="str">
        <f t="shared" si="84"/>
        <v/>
      </c>
    </row>
    <row r="1380" spans="38:42" ht="15" customHeight="1">
      <c r="AL1380" s="7" t="str">
        <f>IF(A1380="","",IF(COUNTIF(A1380:A$2001,A1380)=1,1,0))</f>
        <v/>
      </c>
      <c r="AM1380" s="7" t="str">
        <f t="shared" ca="1" si="81"/>
        <v/>
      </c>
      <c r="AN1380" s="7" t="str">
        <f t="shared" si="82"/>
        <v/>
      </c>
      <c r="AO1380" s="7" t="str">
        <f t="shared" si="83"/>
        <v/>
      </c>
      <c r="AP1380" s="15" t="str">
        <f t="shared" si="84"/>
        <v/>
      </c>
    </row>
    <row r="1381" spans="38:42" ht="15" customHeight="1">
      <c r="AL1381" s="7" t="str">
        <f>IF(A1381="","",IF(COUNTIF(A1381:A$2001,A1381)=1,1,0))</f>
        <v/>
      </c>
      <c r="AM1381" s="7" t="str">
        <f t="shared" ca="1" si="81"/>
        <v/>
      </c>
      <c r="AN1381" s="7" t="str">
        <f t="shared" si="82"/>
        <v/>
      </c>
      <c r="AO1381" s="7" t="str">
        <f t="shared" si="83"/>
        <v/>
      </c>
      <c r="AP1381" s="15" t="str">
        <f t="shared" si="84"/>
        <v/>
      </c>
    </row>
    <row r="1382" spans="38:42" ht="15" customHeight="1">
      <c r="AL1382" s="7" t="str">
        <f>IF(A1382="","",IF(COUNTIF(A1382:A$2001,A1382)=1,1,0))</f>
        <v/>
      </c>
      <c r="AM1382" s="7" t="str">
        <f t="shared" ca="1" si="81"/>
        <v/>
      </c>
      <c r="AN1382" s="7" t="str">
        <f t="shared" si="82"/>
        <v/>
      </c>
      <c r="AO1382" s="7" t="str">
        <f t="shared" si="83"/>
        <v/>
      </c>
      <c r="AP1382" s="15" t="str">
        <f t="shared" si="84"/>
        <v/>
      </c>
    </row>
    <row r="1383" spans="38:42" ht="15" customHeight="1">
      <c r="AL1383" s="7" t="str">
        <f>IF(A1383="","",IF(COUNTIF(A1383:A$2001,A1383)=1,1,0))</f>
        <v/>
      </c>
      <c r="AM1383" s="7" t="str">
        <f t="shared" ca="1" si="81"/>
        <v/>
      </c>
      <c r="AN1383" s="7" t="str">
        <f t="shared" si="82"/>
        <v/>
      </c>
      <c r="AO1383" s="7" t="str">
        <f t="shared" si="83"/>
        <v/>
      </c>
      <c r="AP1383" s="15" t="str">
        <f t="shared" si="84"/>
        <v/>
      </c>
    </row>
    <row r="1384" spans="38:42" ht="15" customHeight="1">
      <c r="AL1384" s="7" t="str">
        <f>IF(A1384="","",IF(COUNTIF(A1384:A$2001,A1384)=1,1,0))</f>
        <v/>
      </c>
      <c r="AM1384" s="7" t="str">
        <f t="shared" ca="1" si="81"/>
        <v/>
      </c>
      <c r="AN1384" s="7" t="str">
        <f t="shared" si="82"/>
        <v/>
      </c>
      <c r="AO1384" s="7" t="str">
        <f t="shared" si="83"/>
        <v/>
      </c>
      <c r="AP1384" s="15" t="str">
        <f t="shared" si="84"/>
        <v/>
      </c>
    </row>
    <row r="1385" spans="38:42" ht="15" customHeight="1">
      <c r="AL1385" s="7" t="str">
        <f>IF(A1385="","",IF(COUNTIF(A1385:A$2001,A1385)=1,1,0))</f>
        <v/>
      </c>
      <c r="AM1385" s="7" t="str">
        <f t="shared" ca="1" si="81"/>
        <v/>
      </c>
      <c r="AN1385" s="7" t="str">
        <f t="shared" si="82"/>
        <v/>
      </c>
      <c r="AO1385" s="7" t="str">
        <f t="shared" si="83"/>
        <v/>
      </c>
      <c r="AP1385" s="15" t="str">
        <f t="shared" si="84"/>
        <v/>
      </c>
    </row>
    <row r="1386" spans="38:42" ht="15" customHeight="1">
      <c r="AL1386" s="7" t="str">
        <f>IF(A1386="","",IF(COUNTIF(A1386:A$2001,A1386)=1,1,0))</f>
        <v/>
      </c>
      <c r="AM1386" s="7" t="str">
        <f t="shared" ca="1" si="81"/>
        <v/>
      </c>
      <c r="AN1386" s="7" t="str">
        <f t="shared" si="82"/>
        <v/>
      </c>
      <c r="AO1386" s="7" t="str">
        <f t="shared" si="83"/>
        <v/>
      </c>
      <c r="AP1386" s="15" t="str">
        <f t="shared" si="84"/>
        <v/>
      </c>
    </row>
    <row r="1387" spans="38:42" ht="15" customHeight="1">
      <c r="AL1387" s="7" t="str">
        <f>IF(A1387="","",IF(COUNTIF(A1387:A$2001,A1387)=1,1,0))</f>
        <v/>
      </c>
      <c r="AM1387" s="7" t="str">
        <f t="shared" ca="1" si="81"/>
        <v/>
      </c>
      <c r="AN1387" s="7" t="str">
        <f t="shared" si="82"/>
        <v/>
      </c>
      <c r="AO1387" s="7" t="str">
        <f t="shared" si="83"/>
        <v/>
      </c>
      <c r="AP1387" s="15" t="str">
        <f t="shared" si="84"/>
        <v/>
      </c>
    </row>
    <row r="1388" spans="38:42" ht="15" customHeight="1">
      <c r="AL1388" s="7" t="str">
        <f>IF(A1388="","",IF(COUNTIF(A1388:A$2001,A1388)=1,1,0))</f>
        <v/>
      </c>
      <c r="AM1388" s="7" t="str">
        <f t="shared" ca="1" si="81"/>
        <v/>
      </c>
      <c r="AN1388" s="7" t="str">
        <f t="shared" si="82"/>
        <v/>
      </c>
      <c r="AO1388" s="7" t="str">
        <f t="shared" si="83"/>
        <v/>
      </c>
      <c r="AP1388" s="15" t="str">
        <f t="shared" si="84"/>
        <v/>
      </c>
    </row>
    <row r="1389" spans="38:42" ht="15" customHeight="1">
      <c r="AL1389" s="7" t="str">
        <f>IF(A1389="","",IF(COUNTIF(A1389:A$2001,A1389)=1,1,0))</f>
        <v/>
      </c>
      <c r="AM1389" s="7" t="str">
        <f t="shared" ca="1" si="81"/>
        <v/>
      </c>
      <c r="AN1389" s="7" t="str">
        <f t="shared" si="82"/>
        <v/>
      </c>
      <c r="AO1389" s="7" t="str">
        <f t="shared" si="83"/>
        <v/>
      </c>
      <c r="AP1389" s="15" t="str">
        <f t="shared" si="84"/>
        <v/>
      </c>
    </row>
    <row r="1390" spans="38:42" ht="15" customHeight="1">
      <c r="AL1390" s="7" t="str">
        <f>IF(A1390="","",IF(COUNTIF(A1390:A$2001,A1390)=1,1,0))</f>
        <v/>
      </c>
      <c r="AM1390" s="7" t="str">
        <f t="shared" ca="1" si="81"/>
        <v/>
      </c>
      <c r="AN1390" s="7" t="str">
        <f t="shared" si="82"/>
        <v/>
      </c>
      <c r="AO1390" s="7" t="str">
        <f t="shared" si="83"/>
        <v/>
      </c>
      <c r="AP1390" s="15" t="str">
        <f t="shared" si="84"/>
        <v/>
      </c>
    </row>
    <row r="1391" spans="38:42" ht="15" customHeight="1">
      <c r="AL1391" s="7" t="str">
        <f>IF(A1391="","",IF(COUNTIF(A1391:A$2001,A1391)=1,1,0))</f>
        <v/>
      </c>
      <c r="AM1391" s="7" t="str">
        <f t="shared" ca="1" si="81"/>
        <v/>
      </c>
      <c r="AN1391" s="7" t="str">
        <f t="shared" si="82"/>
        <v/>
      </c>
      <c r="AO1391" s="7" t="str">
        <f t="shared" si="83"/>
        <v/>
      </c>
      <c r="AP1391" s="15" t="str">
        <f t="shared" si="84"/>
        <v/>
      </c>
    </row>
    <row r="1392" spans="38:42" ht="15" customHeight="1">
      <c r="AL1392" s="7" t="str">
        <f>IF(A1392="","",IF(COUNTIF(A1392:A$2001,A1392)=1,1,0))</f>
        <v/>
      </c>
      <c r="AM1392" s="7" t="str">
        <f t="shared" ca="1" si="81"/>
        <v/>
      </c>
      <c r="AN1392" s="7" t="str">
        <f t="shared" si="82"/>
        <v/>
      </c>
      <c r="AO1392" s="7" t="str">
        <f t="shared" si="83"/>
        <v/>
      </c>
      <c r="AP1392" s="15" t="str">
        <f t="shared" si="84"/>
        <v/>
      </c>
    </row>
    <row r="1393" spans="38:42" ht="15" customHeight="1">
      <c r="AL1393" s="7" t="str">
        <f>IF(A1393="","",IF(COUNTIF(A1393:A$2001,A1393)=1,1,0))</f>
        <v/>
      </c>
      <c r="AM1393" s="7" t="str">
        <f t="shared" ca="1" si="81"/>
        <v/>
      </c>
      <c r="AN1393" s="7" t="str">
        <f t="shared" si="82"/>
        <v/>
      </c>
      <c r="AO1393" s="7" t="str">
        <f t="shared" si="83"/>
        <v/>
      </c>
      <c r="AP1393" s="15" t="str">
        <f t="shared" si="84"/>
        <v/>
      </c>
    </row>
    <row r="1394" spans="38:42" ht="15" customHeight="1">
      <c r="AL1394" s="7" t="str">
        <f>IF(A1394="","",IF(COUNTIF(A1394:A$2001,A1394)=1,1,0))</f>
        <v/>
      </c>
      <c r="AM1394" s="7" t="str">
        <f t="shared" ca="1" si="81"/>
        <v/>
      </c>
      <c r="AN1394" s="7" t="str">
        <f t="shared" si="82"/>
        <v/>
      </c>
      <c r="AO1394" s="7" t="str">
        <f t="shared" si="83"/>
        <v/>
      </c>
      <c r="AP1394" s="15" t="str">
        <f t="shared" si="84"/>
        <v/>
      </c>
    </row>
    <row r="1395" spans="38:42" ht="15" customHeight="1">
      <c r="AL1395" s="7" t="str">
        <f>IF(A1395="","",IF(COUNTIF(A1395:A$2001,A1395)=1,1,0))</f>
        <v/>
      </c>
      <c r="AM1395" s="7" t="str">
        <f t="shared" ca="1" si="81"/>
        <v/>
      </c>
      <c r="AN1395" s="7" t="str">
        <f t="shared" si="82"/>
        <v/>
      </c>
      <c r="AO1395" s="7" t="str">
        <f t="shared" si="83"/>
        <v/>
      </c>
      <c r="AP1395" s="15" t="str">
        <f t="shared" si="84"/>
        <v/>
      </c>
    </row>
    <row r="1396" spans="38:42" ht="15" customHeight="1">
      <c r="AL1396" s="7" t="str">
        <f>IF(A1396="","",IF(COUNTIF(A1396:A$2001,A1396)=1,1,0))</f>
        <v/>
      </c>
      <c r="AM1396" s="7" t="str">
        <f t="shared" ca="1" si="81"/>
        <v/>
      </c>
      <c r="AN1396" s="7" t="str">
        <f t="shared" si="82"/>
        <v/>
      </c>
      <c r="AO1396" s="7" t="str">
        <f t="shared" si="83"/>
        <v/>
      </c>
      <c r="AP1396" s="15" t="str">
        <f t="shared" si="84"/>
        <v/>
      </c>
    </row>
    <row r="1397" spans="38:42" ht="15" customHeight="1">
      <c r="AL1397" s="7" t="str">
        <f>IF(A1397="","",IF(COUNTIF(A1397:A$2001,A1397)=1,1,0))</f>
        <v/>
      </c>
      <c r="AM1397" s="7" t="str">
        <f t="shared" ca="1" si="81"/>
        <v/>
      </c>
      <c r="AN1397" s="7" t="str">
        <f t="shared" si="82"/>
        <v/>
      </c>
      <c r="AO1397" s="7" t="str">
        <f t="shared" si="83"/>
        <v/>
      </c>
      <c r="AP1397" s="15" t="str">
        <f t="shared" si="84"/>
        <v/>
      </c>
    </row>
    <row r="1398" spans="38:42" ht="15" customHeight="1">
      <c r="AL1398" s="7" t="str">
        <f>IF(A1398="","",IF(COUNTIF(A1398:A$2001,A1398)=1,1,0))</f>
        <v/>
      </c>
      <c r="AM1398" s="7" t="str">
        <f t="shared" ca="1" si="81"/>
        <v/>
      </c>
      <c r="AN1398" s="7" t="str">
        <f t="shared" si="82"/>
        <v/>
      </c>
      <c r="AO1398" s="7" t="str">
        <f t="shared" si="83"/>
        <v/>
      </c>
      <c r="AP1398" s="15" t="str">
        <f t="shared" si="84"/>
        <v/>
      </c>
    </row>
    <row r="1399" spans="38:42" ht="15" customHeight="1">
      <c r="AL1399" s="7" t="str">
        <f>IF(A1399="","",IF(COUNTIF(A1399:A$2001,A1399)=1,1,0))</f>
        <v/>
      </c>
      <c r="AM1399" s="7" t="str">
        <f t="shared" ca="1" si="81"/>
        <v/>
      </c>
      <c r="AN1399" s="7" t="str">
        <f t="shared" si="82"/>
        <v/>
      </c>
      <c r="AO1399" s="7" t="str">
        <f t="shared" si="83"/>
        <v/>
      </c>
      <c r="AP1399" s="15" t="str">
        <f t="shared" si="84"/>
        <v/>
      </c>
    </row>
    <row r="1400" spans="38:42" ht="15" customHeight="1">
      <c r="AL1400" s="7" t="str">
        <f>IF(A1400="","",IF(COUNTIF(A1400:A$2001,A1400)=1,1,0))</f>
        <v/>
      </c>
      <c r="AM1400" s="7" t="str">
        <f t="shared" ca="1" si="81"/>
        <v/>
      </c>
      <c r="AN1400" s="7" t="str">
        <f t="shared" si="82"/>
        <v/>
      </c>
      <c r="AO1400" s="7" t="str">
        <f t="shared" si="83"/>
        <v/>
      </c>
      <c r="AP1400" s="15" t="str">
        <f t="shared" si="84"/>
        <v/>
      </c>
    </row>
    <row r="1401" spans="38:42" ht="15" customHeight="1">
      <c r="AL1401" s="7" t="str">
        <f>IF(A1401="","",IF(COUNTIF(A1401:A$2001,A1401)=1,1,0))</f>
        <v/>
      </c>
      <c r="AM1401" s="7" t="str">
        <f t="shared" ca="1" si="81"/>
        <v/>
      </c>
      <c r="AN1401" s="7" t="str">
        <f t="shared" si="82"/>
        <v/>
      </c>
      <c r="AO1401" s="7" t="str">
        <f t="shared" si="83"/>
        <v/>
      </c>
      <c r="AP1401" s="15" t="str">
        <f t="shared" si="84"/>
        <v/>
      </c>
    </row>
    <row r="1402" spans="38:42" ht="15" customHeight="1">
      <c r="AL1402" s="7" t="str">
        <f>IF(A1402="","",IF(COUNTIF(A1402:A$2001,A1402)=1,1,0))</f>
        <v/>
      </c>
      <c r="AM1402" s="7" t="str">
        <f t="shared" ca="1" si="81"/>
        <v/>
      </c>
      <c r="AN1402" s="7" t="str">
        <f t="shared" si="82"/>
        <v/>
      </c>
      <c r="AO1402" s="7" t="str">
        <f t="shared" si="83"/>
        <v/>
      </c>
      <c r="AP1402" s="15" t="str">
        <f t="shared" si="84"/>
        <v/>
      </c>
    </row>
    <row r="1403" spans="38:42" ht="15" customHeight="1">
      <c r="AL1403" s="7" t="str">
        <f>IF(A1403="","",IF(COUNTIF(A1403:A$2001,A1403)=1,1,0))</f>
        <v/>
      </c>
      <c r="AM1403" s="7" t="str">
        <f t="shared" ca="1" si="81"/>
        <v/>
      </c>
      <c r="AN1403" s="7" t="str">
        <f t="shared" si="82"/>
        <v/>
      </c>
      <c r="AO1403" s="7" t="str">
        <f t="shared" si="83"/>
        <v/>
      </c>
      <c r="AP1403" s="15" t="str">
        <f t="shared" si="84"/>
        <v/>
      </c>
    </row>
    <row r="1404" spans="38:42" ht="15" customHeight="1">
      <c r="AL1404" s="7" t="str">
        <f>IF(A1404="","",IF(COUNTIF(A1404:A$2001,A1404)=1,1,0))</f>
        <v/>
      </c>
      <c r="AM1404" s="7" t="str">
        <f t="shared" ca="1" si="81"/>
        <v/>
      </c>
      <c r="AN1404" s="7" t="str">
        <f t="shared" si="82"/>
        <v/>
      </c>
      <c r="AO1404" s="7" t="str">
        <f t="shared" si="83"/>
        <v/>
      </c>
      <c r="AP1404" s="15" t="str">
        <f t="shared" si="84"/>
        <v/>
      </c>
    </row>
    <row r="1405" spans="38:42" ht="15" customHeight="1">
      <c r="AL1405" s="7" t="str">
        <f>IF(A1405="","",IF(COUNTIF(A1405:A$2001,A1405)=1,1,0))</f>
        <v/>
      </c>
      <c r="AM1405" s="7" t="str">
        <f t="shared" ca="1" si="81"/>
        <v/>
      </c>
      <c r="AN1405" s="7" t="str">
        <f t="shared" si="82"/>
        <v/>
      </c>
      <c r="AO1405" s="7" t="str">
        <f t="shared" si="83"/>
        <v/>
      </c>
      <c r="AP1405" s="15" t="str">
        <f t="shared" si="84"/>
        <v/>
      </c>
    </row>
    <row r="1406" spans="38:42" ht="15" customHeight="1">
      <c r="AL1406" s="7" t="str">
        <f>IF(A1406="","",IF(COUNTIF(A1406:A$2001,A1406)=1,1,0))</f>
        <v/>
      </c>
      <c r="AM1406" s="7" t="str">
        <f t="shared" ca="1" si="81"/>
        <v/>
      </c>
      <c r="AN1406" s="7" t="str">
        <f t="shared" si="82"/>
        <v/>
      </c>
      <c r="AO1406" s="7" t="str">
        <f t="shared" si="83"/>
        <v/>
      </c>
      <c r="AP1406" s="15" t="str">
        <f t="shared" si="84"/>
        <v/>
      </c>
    </row>
    <row r="1407" spans="38:42" ht="15" customHeight="1">
      <c r="AL1407" s="7" t="str">
        <f>IF(A1407="","",IF(COUNTIF(A1407:A$2001,A1407)=1,1,0))</f>
        <v/>
      </c>
      <c r="AM1407" s="7" t="str">
        <f t="shared" ca="1" si="81"/>
        <v/>
      </c>
      <c r="AN1407" s="7" t="str">
        <f t="shared" si="82"/>
        <v/>
      </c>
      <c r="AO1407" s="7" t="str">
        <f t="shared" si="83"/>
        <v/>
      </c>
      <c r="AP1407" s="15" t="str">
        <f t="shared" si="84"/>
        <v/>
      </c>
    </row>
    <row r="1408" spans="38:42" ht="15" customHeight="1">
      <c r="AL1408" s="7" t="str">
        <f>IF(A1408="","",IF(COUNTIF(A1408:A$2001,A1408)=1,1,0))</f>
        <v/>
      </c>
      <c r="AM1408" s="7" t="str">
        <f t="shared" ca="1" si="81"/>
        <v/>
      </c>
      <c r="AN1408" s="7" t="str">
        <f t="shared" si="82"/>
        <v/>
      </c>
      <c r="AO1408" s="7" t="str">
        <f t="shared" si="83"/>
        <v/>
      </c>
      <c r="AP1408" s="15" t="str">
        <f t="shared" si="84"/>
        <v/>
      </c>
    </row>
    <row r="1409" spans="38:42" ht="15" customHeight="1">
      <c r="AL1409" s="7" t="str">
        <f>IF(A1409="","",IF(COUNTIF(A1409:A$2001,A1409)=1,1,0))</f>
        <v/>
      </c>
      <c r="AM1409" s="7" t="str">
        <f t="shared" ca="1" si="81"/>
        <v/>
      </c>
      <c r="AN1409" s="7" t="str">
        <f t="shared" si="82"/>
        <v/>
      </c>
      <c r="AO1409" s="7" t="str">
        <f t="shared" si="83"/>
        <v/>
      </c>
      <c r="AP1409" s="15" t="str">
        <f t="shared" si="84"/>
        <v/>
      </c>
    </row>
    <row r="1410" spans="38:42" ht="15" customHeight="1">
      <c r="AL1410" s="7" t="str">
        <f>IF(A1410="","",IF(COUNTIF(A1410:A$2001,A1410)=1,1,0))</f>
        <v/>
      </c>
      <c r="AM1410" s="7" t="str">
        <f t="shared" ref="AM1410:AM1473" ca="1" si="85">IF(I1410="","",TODAY()-I1410)</f>
        <v/>
      </c>
      <c r="AN1410" s="7" t="str">
        <f t="shared" ref="AN1410:AN1473" si="86">IF(A1410="","",IF(AND(E1410&lt;&gt;"33 確認済",E1410&lt;&gt;"36 送付中"),1,0))</f>
        <v/>
      </c>
      <c r="AO1410" s="7" t="str">
        <f t="shared" ref="AO1410:AO1473" si="87">IF(A1410="","",IF(AG1410&lt;&gt;"",1,0))</f>
        <v/>
      </c>
      <c r="AP1410" s="15" t="str">
        <f t="shared" ref="AP1410:AP1473" si="88">IF(P1410&lt;&gt;"","・添待ち","")&amp;IF(Q1410&lt;&gt;"","・住民票","")&amp;IF(R1410&lt;&gt;"","・発信","")&amp;IF(S1410&lt;&gt;"","・確認事項","")&amp;IF(T1410&lt;&gt;"","・管","")&amp;IF(U1410&lt;&gt;"","・SV","")&amp;IF(V1410&lt;&gt;"","・データ送付待ち","")&amp;IF(W1410&lt;&gt;"","・削除","")</f>
        <v/>
      </c>
    </row>
    <row r="1411" spans="38:42" ht="15" customHeight="1">
      <c r="AL1411" s="7" t="str">
        <f>IF(A1411="","",IF(COUNTIF(A1411:A$2001,A1411)=1,1,0))</f>
        <v/>
      </c>
      <c r="AM1411" s="7" t="str">
        <f t="shared" ca="1" si="85"/>
        <v/>
      </c>
      <c r="AN1411" s="7" t="str">
        <f t="shared" si="86"/>
        <v/>
      </c>
      <c r="AO1411" s="7" t="str">
        <f t="shared" si="87"/>
        <v/>
      </c>
      <c r="AP1411" s="15" t="str">
        <f t="shared" si="88"/>
        <v/>
      </c>
    </row>
    <row r="1412" spans="38:42" ht="15" customHeight="1">
      <c r="AL1412" s="7" t="str">
        <f>IF(A1412="","",IF(COUNTIF(A1412:A$2001,A1412)=1,1,0))</f>
        <v/>
      </c>
      <c r="AM1412" s="7" t="str">
        <f t="shared" ca="1" si="85"/>
        <v/>
      </c>
      <c r="AN1412" s="7" t="str">
        <f t="shared" si="86"/>
        <v/>
      </c>
      <c r="AO1412" s="7" t="str">
        <f t="shared" si="87"/>
        <v/>
      </c>
      <c r="AP1412" s="15" t="str">
        <f t="shared" si="88"/>
        <v/>
      </c>
    </row>
    <row r="1413" spans="38:42" ht="15" customHeight="1">
      <c r="AL1413" s="7" t="str">
        <f>IF(A1413="","",IF(COUNTIF(A1413:A$2001,A1413)=1,1,0))</f>
        <v/>
      </c>
      <c r="AM1413" s="7" t="str">
        <f t="shared" ca="1" si="85"/>
        <v/>
      </c>
      <c r="AN1413" s="7" t="str">
        <f t="shared" si="86"/>
        <v/>
      </c>
      <c r="AO1413" s="7" t="str">
        <f t="shared" si="87"/>
        <v/>
      </c>
      <c r="AP1413" s="15" t="str">
        <f t="shared" si="88"/>
        <v/>
      </c>
    </row>
    <row r="1414" spans="38:42" ht="15" customHeight="1">
      <c r="AL1414" s="7" t="str">
        <f>IF(A1414="","",IF(COUNTIF(A1414:A$2001,A1414)=1,1,0))</f>
        <v/>
      </c>
      <c r="AM1414" s="7" t="str">
        <f t="shared" ca="1" si="85"/>
        <v/>
      </c>
      <c r="AN1414" s="7" t="str">
        <f t="shared" si="86"/>
        <v/>
      </c>
      <c r="AO1414" s="7" t="str">
        <f t="shared" si="87"/>
        <v/>
      </c>
      <c r="AP1414" s="15" t="str">
        <f t="shared" si="88"/>
        <v/>
      </c>
    </row>
    <row r="1415" spans="38:42" ht="15" customHeight="1">
      <c r="AL1415" s="7" t="str">
        <f>IF(A1415="","",IF(COUNTIF(A1415:A$2001,A1415)=1,1,0))</f>
        <v/>
      </c>
      <c r="AM1415" s="7" t="str">
        <f t="shared" ca="1" si="85"/>
        <v/>
      </c>
      <c r="AN1415" s="7" t="str">
        <f t="shared" si="86"/>
        <v/>
      </c>
      <c r="AO1415" s="7" t="str">
        <f t="shared" si="87"/>
        <v/>
      </c>
      <c r="AP1415" s="15" t="str">
        <f t="shared" si="88"/>
        <v/>
      </c>
    </row>
    <row r="1416" spans="38:42" ht="15" customHeight="1">
      <c r="AL1416" s="7" t="str">
        <f>IF(A1416="","",IF(COUNTIF(A1416:A$2001,A1416)=1,1,0))</f>
        <v/>
      </c>
      <c r="AM1416" s="7" t="str">
        <f t="shared" ca="1" si="85"/>
        <v/>
      </c>
      <c r="AN1416" s="7" t="str">
        <f t="shared" si="86"/>
        <v/>
      </c>
      <c r="AO1416" s="7" t="str">
        <f t="shared" si="87"/>
        <v/>
      </c>
      <c r="AP1416" s="15" t="str">
        <f t="shared" si="88"/>
        <v/>
      </c>
    </row>
    <row r="1417" spans="38:42" ht="15" customHeight="1">
      <c r="AL1417" s="7" t="str">
        <f>IF(A1417="","",IF(COUNTIF(A1417:A$2001,A1417)=1,1,0))</f>
        <v/>
      </c>
      <c r="AM1417" s="7" t="str">
        <f t="shared" ca="1" si="85"/>
        <v/>
      </c>
      <c r="AN1417" s="7" t="str">
        <f t="shared" si="86"/>
        <v/>
      </c>
      <c r="AO1417" s="7" t="str">
        <f t="shared" si="87"/>
        <v/>
      </c>
      <c r="AP1417" s="15" t="str">
        <f t="shared" si="88"/>
        <v/>
      </c>
    </row>
    <row r="1418" spans="38:42" ht="15" customHeight="1">
      <c r="AL1418" s="7" t="str">
        <f>IF(A1418="","",IF(COUNTIF(A1418:A$2001,A1418)=1,1,0))</f>
        <v/>
      </c>
      <c r="AM1418" s="7" t="str">
        <f t="shared" ca="1" si="85"/>
        <v/>
      </c>
      <c r="AN1418" s="7" t="str">
        <f t="shared" si="86"/>
        <v/>
      </c>
      <c r="AO1418" s="7" t="str">
        <f t="shared" si="87"/>
        <v/>
      </c>
      <c r="AP1418" s="15" t="str">
        <f t="shared" si="88"/>
        <v/>
      </c>
    </row>
    <row r="1419" spans="38:42" ht="15" customHeight="1">
      <c r="AL1419" s="7" t="str">
        <f>IF(A1419="","",IF(COUNTIF(A1419:A$2001,A1419)=1,1,0))</f>
        <v/>
      </c>
      <c r="AM1419" s="7" t="str">
        <f t="shared" ca="1" si="85"/>
        <v/>
      </c>
      <c r="AN1419" s="7" t="str">
        <f t="shared" si="86"/>
        <v/>
      </c>
      <c r="AO1419" s="7" t="str">
        <f t="shared" si="87"/>
        <v/>
      </c>
      <c r="AP1419" s="15" t="str">
        <f t="shared" si="88"/>
        <v/>
      </c>
    </row>
    <row r="1420" spans="38:42" ht="15" customHeight="1">
      <c r="AL1420" s="7" t="str">
        <f>IF(A1420="","",IF(COUNTIF(A1420:A$2001,A1420)=1,1,0))</f>
        <v/>
      </c>
      <c r="AM1420" s="7" t="str">
        <f t="shared" ca="1" si="85"/>
        <v/>
      </c>
      <c r="AN1420" s="7" t="str">
        <f t="shared" si="86"/>
        <v/>
      </c>
      <c r="AO1420" s="7" t="str">
        <f t="shared" si="87"/>
        <v/>
      </c>
      <c r="AP1420" s="15" t="str">
        <f t="shared" si="88"/>
        <v/>
      </c>
    </row>
    <row r="1421" spans="38:42" ht="15" customHeight="1">
      <c r="AL1421" s="7" t="str">
        <f>IF(A1421="","",IF(COUNTIF(A1421:A$2001,A1421)=1,1,0))</f>
        <v/>
      </c>
      <c r="AM1421" s="7" t="str">
        <f t="shared" ca="1" si="85"/>
        <v/>
      </c>
      <c r="AN1421" s="7" t="str">
        <f t="shared" si="86"/>
        <v/>
      </c>
      <c r="AO1421" s="7" t="str">
        <f t="shared" si="87"/>
        <v/>
      </c>
      <c r="AP1421" s="15" t="str">
        <f t="shared" si="88"/>
        <v/>
      </c>
    </row>
    <row r="1422" spans="38:42" ht="15" customHeight="1">
      <c r="AL1422" s="7" t="str">
        <f>IF(A1422="","",IF(COUNTIF(A1422:A$2001,A1422)=1,1,0))</f>
        <v/>
      </c>
      <c r="AM1422" s="7" t="str">
        <f t="shared" ca="1" si="85"/>
        <v/>
      </c>
      <c r="AN1422" s="7" t="str">
        <f t="shared" si="86"/>
        <v/>
      </c>
      <c r="AO1422" s="7" t="str">
        <f t="shared" si="87"/>
        <v/>
      </c>
      <c r="AP1422" s="15" t="str">
        <f t="shared" si="88"/>
        <v/>
      </c>
    </row>
    <row r="1423" spans="38:42" ht="15" customHeight="1">
      <c r="AL1423" s="7" t="str">
        <f>IF(A1423="","",IF(COUNTIF(A1423:A$2001,A1423)=1,1,0))</f>
        <v/>
      </c>
      <c r="AM1423" s="7" t="str">
        <f t="shared" ca="1" si="85"/>
        <v/>
      </c>
      <c r="AN1423" s="7" t="str">
        <f t="shared" si="86"/>
        <v/>
      </c>
      <c r="AO1423" s="7" t="str">
        <f t="shared" si="87"/>
        <v/>
      </c>
      <c r="AP1423" s="15" t="str">
        <f t="shared" si="88"/>
        <v/>
      </c>
    </row>
    <row r="1424" spans="38:42" ht="15" customHeight="1">
      <c r="AL1424" s="7" t="str">
        <f>IF(A1424="","",IF(COUNTIF(A1424:A$2001,A1424)=1,1,0))</f>
        <v/>
      </c>
      <c r="AM1424" s="7" t="str">
        <f t="shared" ca="1" si="85"/>
        <v/>
      </c>
      <c r="AN1424" s="7" t="str">
        <f t="shared" si="86"/>
        <v/>
      </c>
      <c r="AO1424" s="7" t="str">
        <f t="shared" si="87"/>
        <v/>
      </c>
      <c r="AP1424" s="15" t="str">
        <f t="shared" si="88"/>
        <v/>
      </c>
    </row>
    <row r="1425" spans="38:42" ht="15" customHeight="1">
      <c r="AL1425" s="7" t="str">
        <f>IF(A1425="","",IF(COUNTIF(A1425:A$2001,A1425)=1,1,0))</f>
        <v/>
      </c>
      <c r="AM1425" s="7" t="str">
        <f t="shared" ca="1" si="85"/>
        <v/>
      </c>
      <c r="AN1425" s="7" t="str">
        <f t="shared" si="86"/>
        <v/>
      </c>
      <c r="AO1425" s="7" t="str">
        <f t="shared" si="87"/>
        <v/>
      </c>
      <c r="AP1425" s="15" t="str">
        <f t="shared" si="88"/>
        <v/>
      </c>
    </row>
    <row r="1426" spans="38:42" ht="15" customHeight="1">
      <c r="AL1426" s="7" t="str">
        <f>IF(A1426="","",IF(COUNTIF(A1426:A$2001,A1426)=1,1,0))</f>
        <v/>
      </c>
      <c r="AM1426" s="7" t="str">
        <f t="shared" ca="1" si="85"/>
        <v/>
      </c>
      <c r="AN1426" s="7" t="str">
        <f t="shared" si="86"/>
        <v/>
      </c>
      <c r="AO1426" s="7" t="str">
        <f t="shared" si="87"/>
        <v/>
      </c>
      <c r="AP1426" s="15" t="str">
        <f t="shared" si="88"/>
        <v/>
      </c>
    </row>
    <row r="1427" spans="38:42" ht="15" customHeight="1">
      <c r="AL1427" s="7" t="str">
        <f>IF(A1427="","",IF(COUNTIF(A1427:A$2001,A1427)=1,1,0))</f>
        <v/>
      </c>
      <c r="AM1427" s="7" t="str">
        <f t="shared" ca="1" si="85"/>
        <v/>
      </c>
      <c r="AN1427" s="7" t="str">
        <f t="shared" si="86"/>
        <v/>
      </c>
      <c r="AO1427" s="7" t="str">
        <f t="shared" si="87"/>
        <v/>
      </c>
      <c r="AP1427" s="15" t="str">
        <f t="shared" si="88"/>
        <v/>
      </c>
    </row>
    <row r="1428" spans="38:42" ht="15" customHeight="1">
      <c r="AL1428" s="7" t="str">
        <f>IF(A1428="","",IF(COUNTIF(A1428:A$2001,A1428)=1,1,0))</f>
        <v/>
      </c>
      <c r="AM1428" s="7" t="str">
        <f t="shared" ca="1" si="85"/>
        <v/>
      </c>
      <c r="AN1428" s="7" t="str">
        <f t="shared" si="86"/>
        <v/>
      </c>
      <c r="AO1428" s="7" t="str">
        <f t="shared" si="87"/>
        <v/>
      </c>
      <c r="AP1428" s="15" t="str">
        <f t="shared" si="88"/>
        <v/>
      </c>
    </row>
    <row r="1429" spans="38:42" ht="15" customHeight="1">
      <c r="AL1429" s="7" t="str">
        <f>IF(A1429="","",IF(COUNTIF(A1429:A$2001,A1429)=1,1,0))</f>
        <v/>
      </c>
      <c r="AM1429" s="7" t="str">
        <f t="shared" ca="1" si="85"/>
        <v/>
      </c>
      <c r="AN1429" s="7" t="str">
        <f t="shared" si="86"/>
        <v/>
      </c>
      <c r="AO1429" s="7" t="str">
        <f t="shared" si="87"/>
        <v/>
      </c>
      <c r="AP1429" s="15" t="str">
        <f t="shared" si="88"/>
        <v/>
      </c>
    </row>
    <row r="1430" spans="38:42" ht="15" customHeight="1">
      <c r="AL1430" s="7" t="str">
        <f>IF(A1430="","",IF(COUNTIF(A1430:A$2001,A1430)=1,1,0))</f>
        <v/>
      </c>
      <c r="AM1430" s="7" t="str">
        <f t="shared" ca="1" si="85"/>
        <v/>
      </c>
      <c r="AN1430" s="7" t="str">
        <f t="shared" si="86"/>
        <v/>
      </c>
      <c r="AO1430" s="7" t="str">
        <f t="shared" si="87"/>
        <v/>
      </c>
      <c r="AP1430" s="15" t="str">
        <f t="shared" si="88"/>
        <v/>
      </c>
    </row>
    <row r="1431" spans="38:42" ht="15" customHeight="1">
      <c r="AL1431" s="7" t="str">
        <f>IF(A1431="","",IF(COUNTIF(A1431:A$2001,A1431)=1,1,0))</f>
        <v/>
      </c>
      <c r="AM1431" s="7" t="str">
        <f t="shared" ca="1" si="85"/>
        <v/>
      </c>
      <c r="AN1431" s="7" t="str">
        <f t="shared" si="86"/>
        <v/>
      </c>
      <c r="AO1431" s="7" t="str">
        <f t="shared" si="87"/>
        <v/>
      </c>
      <c r="AP1431" s="15" t="str">
        <f t="shared" si="88"/>
        <v/>
      </c>
    </row>
    <row r="1432" spans="38:42" ht="15" customHeight="1">
      <c r="AL1432" s="7" t="str">
        <f>IF(A1432="","",IF(COUNTIF(A1432:A$2001,A1432)=1,1,0))</f>
        <v/>
      </c>
      <c r="AM1432" s="7" t="str">
        <f t="shared" ca="1" si="85"/>
        <v/>
      </c>
      <c r="AN1432" s="7" t="str">
        <f t="shared" si="86"/>
        <v/>
      </c>
      <c r="AO1432" s="7" t="str">
        <f t="shared" si="87"/>
        <v/>
      </c>
      <c r="AP1432" s="15" t="str">
        <f t="shared" si="88"/>
        <v/>
      </c>
    </row>
    <row r="1433" spans="38:42" ht="15" customHeight="1">
      <c r="AL1433" s="7" t="str">
        <f>IF(A1433="","",IF(COUNTIF(A1433:A$2001,A1433)=1,1,0))</f>
        <v/>
      </c>
      <c r="AM1433" s="7" t="str">
        <f t="shared" ca="1" si="85"/>
        <v/>
      </c>
      <c r="AN1433" s="7" t="str">
        <f t="shared" si="86"/>
        <v/>
      </c>
      <c r="AO1433" s="7" t="str">
        <f t="shared" si="87"/>
        <v/>
      </c>
      <c r="AP1433" s="15" t="str">
        <f t="shared" si="88"/>
        <v/>
      </c>
    </row>
    <row r="1434" spans="38:42" ht="15" customHeight="1">
      <c r="AL1434" s="7" t="str">
        <f>IF(A1434="","",IF(COUNTIF(A1434:A$2001,A1434)=1,1,0))</f>
        <v/>
      </c>
      <c r="AM1434" s="7" t="str">
        <f t="shared" ca="1" si="85"/>
        <v/>
      </c>
      <c r="AN1434" s="7" t="str">
        <f t="shared" si="86"/>
        <v/>
      </c>
      <c r="AO1434" s="7" t="str">
        <f t="shared" si="87"/>
        <v/>
      </c>
      <c r="AP1434" s="15" t="str">
        <f t="shared" si="88"/>
        <v/>
      </c>
    </row>
    <row r="1435" spans="38:42" ht="15" customHeight="1">
      <c r="AL1435" s="7" t="str">
        <f>IF(A1435="","",IF(COUNTIF(A1435:A$2001,A1435)=1,1,0))</f>
        <v/>
      </c>
      <c r="AM1435" s="7" t="str">
        <f t="shared" ca="1" si="85"/>
        <v/>
      </c>
      <c r="AN1435" s="7" t="str">
        <f t="shared" si="86"/>
        <v/>
      </c>
      <c r="AO1435" s="7" t="str">
        <f t="shared" si="87"/>
        <v/>
      </c>
      <c r="AP1435" s="15" t="str">
        <f t="shared" si="88"/>
        <v/>
      </c>
    </row>
    <row r="1436" spans="38:42" ht="15" customHeight="1">
      <c r="AL1436" s="7" t="str">
        <f>IF(A1436="","",IF(COUNTIF(A1436:A$2001,A1436)=1,1,0))</f>
        <v/>
      </c>
      <c r="AM1436" s="7" t="str">
        <f t="shared" ca="1" si="85"/>
        <v/>
      </c>
      <c r="AN1436" s="7" t="str">
        <f t="shared" si="86"/>
        <v/>
      </c>
      <c r="AO1436" s="7" t="str">
        <f t="shared" si="87"/>
        <v/>
      </c>
      <c r="AP1436" s="15" t="str">
        <f t="shared" si="88"/>
        <v/>
      </c>
    </row>
    <row r="1437" spans="38:42" ht="15" customHeight="1">
      <c r="AL1437" s="7" t="str">
        <f>IF(A1437="","",IF(COUNTIF(A1437:A$2001,A1437)=1,1,0))</f>
        <v/>
      </c>
      <c r="AM1437" s="7" t="str">
        <f t="shared" ca="1" si="85"/>
        <v/>
      </c>
      <c r="AN1437" s="7" t="str">
        <f t="shared" si="86"/>
        <v/>
      </c>
      <c r="AO1437" s="7" t="str">
        <f t="shared" si="87"/>
        <v/>
      </c>
      <c r="AP1437" s="15" t="str">
        <f t="shared" si="88"/>
        <v/>
      </c>
    </row>
    <row r="1438" spans="38:42" ht="15" customHeight="1">
      <c r="AL1438" s="7" t="str">
        <f>IF(A1438="","",IF(COUNTIF(A1438:A$2001,A1438)=1,1,0))</f>
        <v/>
      </c>
      <c r="AM1438" s="7" t="str">
        <f t="shared" ca="1" si="85"/>
        <v/>
      </c>
      <c r="AN1438" s="7" t="str">
        <f t="shared" si="86"/>
        <v/>
      </c>
      <c r="AO1438" s="7" t="str">
        <f t="shared" si="87"/>
        <v/>
      </c>
      <c r="AP1438" s="15" t="str">
        <f t="shared" si="88"/>
        <v/>
      </c>
    </row>
    <row r="1439" spans="38:42" ht="15" customHeight="1">
      <c r="AL1439" s="7" t="str">
        <f>IF(A1439="","",IF(COUNTIF(A1439:A$2001,A1439)=1,1,0))</f>
        <v/>
      </c>
      <c r="AM1439" s="7" t="str">
        <f t="shared" ca="1" si="85"/>
        <v/>
      </c>
      <c r="AN1439" s="7" t="str">
        <f t="shared" si="86"/>
        <v/>
      </c>
      <c r="AO1439" s="7" t="str">
        <f t="shared" si="87"/>
        <v/>
      </c>
      <c r="AP1439" s="15" t="str">
        <f t="shared" si="88"/>
        <v/>
      </c>
    </row>
    <row r="1440" spans="38:42" ht="15" customHeight="1">
      <c r="AL1440" s="7" t="str">
        <f>IF(A1440="","",IF(COUNTIF(A1440:A$2001,A1440)=1,1,0))</f>
        <v/>
      </c>
      <c r="AM1440" s="7" t="str">
        <f t="shared" ca="1" si="85"/>
        <v/>
      </c>
      <c r="AN1440" s="7" t="str">
        <f t="shared" si="86"/>
        <v/>
      </c>
      <c r="AO1440" s="7" t="str">
        <f t="shared" si="87"/>
        <v/>
      </c>
      <c r="AP1440" s="15" t="str">
        <f t="shared" si="88"/>
        <v/>
      </c>
    </row>
    <row r="1441" spans="38:42" ht="15" customHeight="1">
      <c r="AL1441" s="7" t="str">
        <f>IF(A1441="","",IF(COUNTIF(A1441:A$2001,A1441)=1,1,0))</f>
        <v/>
      </c>
      <c r="AM1441" s="7" t="str">
        <f t="shared" ca="1" si="85"/>
        <v/>
      </c>
      <c r="AN1441" s="7" t="str">
        <f t="shared" si="86"/>
        <v/>
      </c>
      <c r="AO1441" s="7" t="str">
        <f t="shared" si="87"/>
        <v/>
      </c>
      <c r="AP1441" s="15" t="str">
        <f t="shared" si="88"/>
        <v/>
      </c>
    </row>
    <row r="1442" spans="38:42" ht="15" customHeight="1">
      <c r="AL1442" s="7" t="str">
        <f>IF(A1442="","",IF(COUNTIF(A1442:A$2001,A1442)=1,1,0))</f>
        <v/>
      </c>
      <c r="AM1442" s="7" t="str">
        <f t="shared" ca="1" si="85"/>
        <v/>
      </c>
      <c r="AN1442" s="7" t="str">
        <f t="shared" si="86"/>
        <v/>
      </c>
      <c r="AO1442" s="7" t="str">
        <f t="shared" si="87"/>
        <v/>
      </c>
      <c r="AP1442" s="15" t="str">
        <f t="shared" si="88"/>
        <v/>
      </c>
    </row>
    <row r="1443" spans="38:42" ht="15" customHeight="1">
      <c r="AL1443" s="7" t="str">
        <f>IF(A1443="","",IF(COUNTIF(A1443:A$2001,A1443)=1,1,0))</f>
        <v/>
      </c>
      <c r="AM1443" s="7" t="str">
        <f t="shared" ca="1" si="85"/>
        <v/>
      </c>
      <c r="AN1443" s="7" t="str">
        <f t="shared" si="86"/>
        <v/>
      </c>
      <c r="AO1443" s="7" t="str">
        <f t="shared" si="87"/>
        <v/>
      </c>
      <c r="AP1443" s="15" t="str">
        <f t="shared" si="88"/>
        <v/>
      </c>
    </row>
    <row r="1444" spans="38:42" ht="15" customHeight="1">
      <c r="AL1444" s="7" t="str">
        <f>IF(A1444="","",IF(COUNTIF(A1444:A$2001,A1444)=1,1,0))</f>
        <v/>
      </c>
      <c r="AM1444" s="7" t="str">
        <f t="shared" ca="1" si="85"/>
        <v/>
      </c>
      <c r="AN1444" s="7" t="str">
        <f t="shared" si="86"/>
        <v/>
      </c>
      <c r="AO1444" s="7" t="str">
        <f t="shared" si="87"/>
        <v/>
      </c>
      <c r="AP1444" s="15" t="str">
        <f t="shared" si="88"/>
        <v/>
      </c>
    </row>
    <row r="1445" spans="38:42" ht="15" customHeight="1">
      <c r="AL1445" s="7" t="str">
        <f>IF(A1445="","",IF(COUNTIF(A1445:A$2001,A1445)=1,1,0))</f>
        <v/>
      </c>
      <c r="AM1445" s="7" t="str">
        <f t="shared" ca="1" si="85"/>
        <v/>
      </c>
      <c r="AN1445" s="7" t="str">
        <f t="shared" si="86"/>
        <v/>
      </c>
      <c r="AO1445" s="7" t="str">
        <f t="shared" si="87"/>
        <v/>
      </c>
      <c r="AP1445" s="15" t="str">
        <f t="shared" si="88"/>
        <v/>
      </c>
    </row>
    <row r="1446" spans="38:42" ht="15" customHeight="1">
      <c r="AL1446" s="7" t="str">
        <f>IF(A1446="","",IF(COUNTIF(A1446:A$2001,A1446)=1,1,0))</f>
        <v/>
      </c>
      <c r="AM1446" s="7" t="str">
        <f t="shared" ca="1" si="85"/>
        <v/>
      </c>
      <c r="AN1446" s="7" t="str">
        <f t="shared" si="86"/>
        <v/>
      </c>
      <c r="AO1446" s="7" t="str">
        <f t="shared" si="87"/>
        <v/>
      </c>
      <c r="AP1446" s="15" t="str">
        <f t="shared" si="88"/>
        <v/>
      </c>
    </row>
    <row r="1447" spans="38:42" ht="15" customHeight="1">
      <c r="AL1447" s="7" t="str">
        <f>IF(A1447="","",IF(COUNTIF(A1447:A$2001,A1447)=1,1,0))</f>
        <v/>
      </c>
      <c r="AM1447" s="7" t="str">
        <f t="shared" ca="1" si="85"/>
        <v/>
      </c>
      <c r="AN1447" s="7" t="str">
        <f t="shared" si="86"/>
        <v/>
      </c>
      <c r="AO1447" s="7" t="str">
        <f t="shared" si="87"/>
        <v/>
      </c>
      <c r="AP1447" s="15" t="str">
        <f t="shared" si="88"/>
        <v/>
      </c>
    </row>
    <row r="1448" spans="38:42" ht="15" customHeight="1">
      <c r="AL1448" s="7" t="str">
        <f>IF(A1448="","",IF(COUNTIF(A1448:A$2001,A1448)=1,1,0))</f>
        <v/>
      </c>
      <c r="AM1448" s="7" t="str">
        <f t="shared" ca="1" si="85"/>
        <v/>
      </c>
      <c r="AN1448" s="7" t="str">
        <f t="shared" si="86"/>
        <v/>
      </c>
      <c r="AO1448" s="7" t="str">
        <f t="shared" si="87"/>
        <v/>
      </c>
      <c r="AP1448" s="15" t="str">
        <f t="shared" si="88"/>
        <v/>
      </c>
    </row>
    <row r="1449" spans="38:42" ht="15" customHeight="1">
      <c r="AL1449" s="7" t="str">
        <f>IF(A1449="","",IF(COUNTIF(A1449:A$2001,A1449)=1,1,0))</f>
        <v/>
      </c>
      <c r="AM1449" s="7" t="str">
        <f t="shared" ca="1" si="85"/>
        <v/>
      </c>
      <c r="AN1449" s="7" t="str">
        <f t="shared" si="86"/>
        <v/>
      </c>
      <c r="AO1449" s="7" t="str">
        <f t="shared" si="87"/>
        <v/>
      </c>
      <c r="AP1449" s="15" t="str">
        <f t="shared" si="88"/>
        <v/>
      </c>
    </row>
    <row r="1450" spans="38:42" ht="15" customHeight="1">
      <c r="AL1450" s="7" t="str">
        <f>IF(A1450="","",IF(COUNTIF(A1450:A$2001,A1450)=1,1,0))</f>
        <v/>
      </c>
      <c r="AM1450" s="7" t="str">
        <f t="shared" ca="1" si="85"/>
        <v/>
      </c>
      <c r="AN1450" s="7" t="str">
        <f t="shared" si="86"/>
        <v/>
      </c>
      <c r="AO1450" s="7" t="str">
        <f t="shared" si="87"/>
        <v/>
      </c>
      <c r="AP1450" s="15" t="str">
        <f t="shared" si="88"/>
        <v/>
      </c>
    </row>
    <row r="1451" spans="38:42" ht="15" customHeight="1">
      <c r="AL1451" s="7" t="str">
        <f>IF(A1451="","",IF(COUNTIF(A1451:A$2001,A1451)=1,1,0))</f>
        <v/>
      </c>
      <c r="AM1451" s="7" t="str">
        <f t="shared" ca="1" si="85"/>
        <v/>
      </c>
      <c r="AN1451" s="7" t="str">
        <f t="shared" si="86"/>
        <v/>
      </c>
      <c r="AO1451" s="7" t="str">
        <f t="shared" si="87"/>
        <v/>
      </c>
      <c r="AP1451" s="15" t="str">
        <f t="shared" si="88"/>
        <v/>
      </c>
    </row>
    <row r="1452" spans="38:42" ht="15" customHeight="1">
      <c r="AL1452" s="7" t="str">
        <f>IF(A1452="","",IF(COUNTIF(A1452:A$2001,A1452)=1,1,0))</f>
        <v/>
      </c>
      <c r="AM1452" s="7" t="str">
        <f t="shared" ca="1" si="85"/>
        <v/>
      </c>
      <c r="AN1452" s="7" t="str">
        <f t="shared" si="86"/>
        <v/>
      </c>
      <c r="AO1452" s="7" t="str">
        <f t="shared" si="87"/>
        <v/>
      </c>
      <c r="AP1452" s="15" t="str">
        <f t="shared" si="88"/>
        <v/>
      </c>
    </row>
    <row r="1453" spans="38:42" ht="15" customHeight="1">
      <c r="AL1453" s="7" t="str">
        <f>IF(A1453="","",IF(COUNTIF(A1453:A$2001,A1453)=1,1,0))</f>
        <v/>
      </c>
      <c r="AM1453" s="7" t="str">
        <f t="shared" ca="1" si="85"/>
        <v/>
      </c>
      <c r="AN1453" s="7" t="str">
        <f t="shared" si="86"/>
        <v/>
      </c>
      <c r="AO1453" s="7" t="str">
        <f t="shared" si="87"/>
        <v/>
      </c>
      <c r="AP1453" s="15" t="str">
        <f t="shared" si="88"/>
        <v/>
      </c>
    </row>
    <row r="1454" spans="38:42" ht="15" customHeight="1">
      <c r="AL1454" s="7" t="str">
        <f>IF(A1454="","",IF(COUNTIF(A1454:A$2001,A1454)=1,1,0))</f>
        <v/>
      </c>
      <c r="AM1454" s="7" t="str">
        <f t="shared" ca="1" si="85"/>
        <v/>
      </c>
      <c r="AN1454" s="7" t="str">
        <f t="shared" si="86"/>
        <v/>
      </c>
      <c r="AO1454" s="7" t="str">
        <f t="shared" si="87"/>
        <v/>
      </c>
      <c r="AP1454" s="15" t="str">
        <f t="shared" si="88"/>
        <v/>
      </c>
    </row>
    <row r="1455" spans="38:42" ht="15" customHeight="1">
      <c r="AL1455" s="7" t="str">
        <f>IF(A1455="","",IF(COUNTIF(A1455:A$2001,A1455)=1,1,0))</f>
        <v/>
      </c>
      <c r="AM1455" s="7" t="str">
        <f t="shared" ca="1" si="85"/>
        <v/>
      </c>
      <c r="AN1455" s="7" t="str">
        <f t="shared" si="86"/>
        <v/>
      </c>
      <c r="AO1455" s="7" t="str">
        <f t="shared" si="87"/>
        <v/>
      </c>
      <c r="AP1455" s="15" t="str">
        <f t="shared" si="88"/>
        <v/>
      </c>
    </row>
    <row r="1456" spans="38:42" ht="15" customHeight="1">
      <c r="AL1456" s="7" t="str">
        <f>IF(A1456="","",IF(COUNTIF(A1456:A$2001,A1456)=1,1,0))</f>
        <v/>
      </c>
      <c r="AM1456" s="7" t="str">
        <f t="shared" ca="1" si="85"/>
        <v/>
      </c>
      <c r="AN1456" s="7" t="str">
        <f t="shared" si="86"/>
        <v/>
      </c>
      <c r="AO1456" s="7" t="str">
        <f t="shared" si="87"/>
        <v/>
      </c>
      <c r="AP1456" s="15" t="str">
        <f t="shared" si="88"/>
        <v/>
      </c>
    </row>
    <row r="1457" spans="38:42" ht="15" customHeight="1">
      <c r="AL1457" s="7" t="str">
        <f>IF(A1457="","",IF(COUNTIF(A1457:A$2001,A1457)=1,1,0))</f>
        <v/>
      </c>
      <c r="AM1457" s="7" t="str">
        <f t="shared" ca="1" si="85"/>
        <v/>
      </c>
      <c r="AN1457" s="7" t="str">
        <f t="shared" si="86"/>
        <v/>
      </c>
      <c r="AO1457" s="7" t="str">
        <f t="shared" si="87"/>
        <v/>
      </c>
      <c r="AP1457" s="15" t="str">
        <f t="shared" si="88"/>
        <v/>
      </c>
    </row>
    <row r="1458" spans="38:42" ht="15" customHeight="1">
      <c r="AL1458" s="7" t="str">
        <f>IF(A1458="","",IF(COUNTIF(A1458:A$2001,A1458)=1,1,0))</f>
        <v/>
      </c>
      <c r="AM1458" s="7" t="str">
        <f t="shared" ca="1" si="85"/>
        <v/>
      </c>
      <c r="AN1458" s="7" t="str">
        <f t="shared" si="86"/>
        <v/>
      </c>
      <c r="AO1458" s="7" t="str">
        <f t="shared" si="87"/>
        <v/>
      </c>
      <c r="AP1458" s="15" t="str">
        <f t="shared" si="88"/>
        <v/>
      </c>
    </row>
    <row r="1459" spans="38:42" ht="15" customHeight="1">
      <c r="AL1459" s="7" t="str">
        <f>IF(A1459="","",IF(COUNTIF(A1459:A$2001,A1459)=1,1,0))</f>
        <v/>
      </c>
      <c r="AM1459" s="7" t="str">
        <f t="shared" ca="1" si="85"/>
        <v/>
      </c>
      <c r="AN1459" s="7" t="str">
        <f t="shared" si="86"/>
        <v/>
      </c>
      <c r="AO1459" s="7" t="str">
        <f t="shared" si="87"/>
        <v/>
      </c>
      <c r="AP1459" s="15" t="str">
        <f t="shared" si="88"/>
        <v/>
      </c>
    </row>
    <row r="1460" spans="38:42" ht="15" customHeight="1">
      <c r="AL1460" s="7" t="str">
        <f>IF(A1460="","",IF(COUNTIF(A1460:A$2001,A1460)=1,1,0))</f>
        <v/>
      </c>
      <c r="AM1460" s="7" t="str">
        <f t="shared" ca="1" si="85"/>
        <v/>
      </c>
      <c r="AN1460" s="7" t="str">
        <f t="shared" si="86"/>
        <v/>
      </c>
      <c r="AO1460" s="7" t="str">
        <f t="shared" si="87"/>
        <v/>
      </c>
      <c r="AP1460" s="15" t="str">
        <f t="shared" si="88"/>
        <v/>
      </c>
    </row>
    <row r="1461" spans="38:42" ht="15" customHeight="1">
      <c r="AL1461" s="7" t="str">
        <f>IF(A1461="","",IF(COUNTIF(A1461:A$2001,A1461)=1,1,0))</f>
        <v/>
      </c>
      <c r="AM1461" s="7" t="str">
        <f t="shared" ca="1" si="85"/>
        <v/>
      </c>
      <c r="AN1461" s="7" t="str">
        <f t="shared" si="86"/>
        <v/>
      </c>
      <c r="AO1461" s="7" t="str">
        <f t="shared" si="87"/>
        <v/>
      </c>
      <c r="AP1461" s="15" t="str">
        <f t="shared" si="88"/>
        <v/>
      </c>
    </row>
    <row r="1462" spans="38:42" ht="15" customHeight="1">
      <c r="AL1462" s="7" t="str">
        <f>IF(A1462="","",IF(COUNTIF(A1462:A$2001,A1462)=1,1,0))</f>
        <v/>
      </c>
      <c r="AM1462" s="7" t="str">
        <f t="shared" ca="1" si="85"/>
        <v/>
      </c>
      <c r="AN1462" s="7" t="str">
        <f t="shared" si="86"/>
        <v/>
      </c>
      <c r="AO1462" s="7" t="str">
        <f t="shared" si="87"/>
        <v/>
      </c>
      <c r="AP1462" s="15" t="str">
        <f t="shared" si="88"/>
        <v/>
      </c>
    </row>
    <row r="1463" spans="38:42" ht="15" customHeight="1">
      <c r="AL1463" s="7" t="str">
        <f>IF(A1463="","",IF(COUNTIF(A1463:A$2001,A1463)=1,1,0))</f>
        <v/>
      </c>
      <c r="AM1463" s="7" t="str">
        <f t="shared" ca="1" si="85"/>
        <v/>
      </c>
      <c r="AN1463" s="7" t="str">
        <f t="shared" si="86"/>
        <v/>
      </c>
      <c r="AO1463" s="7" t="str">
        <f t="shared" si="87"/>
        <v/>
      </c>
      <c r="AP1463" s="15" t="str">
        <f t="shared" si="88"/>
        <v/>
      </c>
    </row>
    <row r="1464" spans="38:42" ht="15" customHeight="1">
      <c r="AL1464" s="7" t="str">
        <f>IF(A1464="","",IF(COUNTIF(A1464:A$2001,A1464)=1,1,0))</f>
        <v/>
      </c>
      <c r="AM1464" s="7" t="str">
        <f t="shared" ca="1" si="85"/>
        <v/>
      </c>
      <c r="AN1464" s="7" t="str">
        <f t="shared" si="86"/>
        <v/>
      </c>
      <c r="AO1464" s="7" t="str">
        <f t="shared" si="87"/>
        <v/>
      </c>
      <c r="AP1464" s="15" t="str">
        <f t="shared" si="88"/>
        <v/>
      </c>
    </row>
    <row r="1465" spans="38:42" ht="15" customHeight="1">
      <c r="AL1465" s="7" t="str">
        <f>IF(A1465="","",IF(COUNTIF(A1465:A$2001,A1465)=1,1,0))</f>
        <v/>
      </c>
      <c r="AM1465" s="7" t="str">
        <f t="shared" ca="1" si="85"/>
        <v/>
      </c>
      <c r="AN1465" s="7" t="str">
        <f t="shared" si="86"/>
        <v/>
      </c>
      <c r="AO1465" s="7" t="str">
        <f t="shared" si="87"/>
        <v/>
      </c>
      <c r="AP1465" s="15" t="str">
        <f t="shared" si="88"/>
        <v/>
      </c>
    </row>
    <row r="1466" spans="38:42" ht="15" customHeight="1">
      <c r="AL1466" s="7" t="str">
        <f>IF(A1466="","",IF(COUNTIF(A1466:A$2001,A1466)=1,1,0))</f>
        <v/>
      </c>
      <c r="AM1466" s="7" t="str">
        <f t="shared" ca="1" si="85"/>
        <v/>
      </c>
      <c r="AN1466" s="7" t="str">
        <f t="shared" si="86"/>
        <v/>
      </c>
      <c r="AO1466" s="7" t="str">
        <f t="shared" si="87"/>
        <v/>
      </c>
      <c r="AP1466" s="15" t="str">
        <f t="shared" si="88"/>
        <v/>
      </c>
    </row>
    <row r="1467" spans="38:42" ht="15" customHeight="1">
      <c r="AL1467" s="7" t="str">
        <f>IF(A1467="","",IF(COUNTIF(A1467:A$2001,A1467)=1,1,0))</f>
        <v/>
      </c>
      <c r="AM1467" s="7" t="str">
        <f t="shared" ca="1" si="85"/>
        <v/>
      </c>
      <c r="AN1467" s="7" t="str">
        <f t="shared" si="86"/>
        <v/>
      </c>
      <c r="AO1467" s="7" t="str">
        <f t="shared" si="87"/>
        <v/>
      </c>
      <c r="AP1467" s="15" t="str">
        <f t="shared" si="88"/>
        <v/>
      </c>
    </row>
    <row r="1468" spans="38:42" ht="15" customHeight="1">
      <c r="AL1468" s="7" t="str">
        <f>IF(A1468="","",IF(COUNTIF(A1468:A$2001,A1468)=1,1,0))</f>
        <v/>
      </c>
      <c r="AM1468" s="7" t="str">
        <f t="shared" ca="1" si="85"/>
        <v/>
      </c>
      <c r="AN1468" s="7" t="str">
        <f t="shared" si="86"/>
        <v/>
      </c>
      <c r="AO1468" s="7" t="str">
        <f t="shared" si="87"/>
        <v/>
      </c>
      <c r="AP1468" s="15" t="str">
        <f t="shared" si="88"/>
        <v/>
      </c>
    </row>
    <row r="1469" spans="38:42" ht="15" customHeight="1">
      <c r="AL1469" s="7" t="str">
        <f>IF(A1469="","",IF(COUNTIF(A1469:A$2001,A1469)=1,1,0))</f>
        <v/>
      </c>
      <c r="AM1469" s="7" t="str">
        <f t="shared" ca="1" si="85"/>
        <v/>
      </c>
      <c r="AN1469" s="7" t="str">
        <f t="shared" si="86"/>
        <v/>
      </c>
      <c r="AO1469" s="7" t="str">
        <f t="shared" si="87"/>
        <v/>
      </c>
      <c r="AP1469" s="15" t="str">
        <f t="shared" si="88"/>
        <v/>
      </c>
    </row>
    <row r="1470" spans="38:42" ht="15" customHeight="1">
      <c r="AL1470" s="7" t="str">
        <f>IF(A1470="","",IF(COUNTIF(A1470:A$2001,A1470)=1,1,0))</f>
        <v/>
      </c>
      <c r="AM1470" s="7" t="str">
        <f t="shared" ca="1" si="85"/>
        <v/>
      </c>
      <c r="AN1470" s="7" t="str">
        <f t="shared" si="86"/>
        <v/>
      </c>
      <c r="AO1470" s="7" t="str">
        <f t="shared" si="87"/>
        <v/>
      </c>
      <c r="AP1470" s="15" t="str">
        <f t="shared" si="88"/>
        <v/>
      </c>
    </row>
    <row r="1471" spans="38:42" ht="15" customHeight="1">
      <c r="AL1471" s="7" t="str">
        <f>IF(A1471="","",IF(COUNTIF(A1471:A$2001,A1471)=1,1,0))</f>
        <v/>
      </c>
      <c r="AM1471" s="7" t="str">
        <f t="shared" ca="1" si="85"/>
        <v/>
      </c>
      <c r="AN1471" s="7" t="str">
        <f t="shared" si="86"/>
        <v/>
      </c>
      <c r="AO1471" s="7" t="str">
        <f t="shared" si="87"/>
        <v/>
      </c>
      <c r="AP1471" s="15" t="str">
        <f t="shared" si="88"/>
        <v/>
      </c>
    </row>
    <row r="1472" spans="38:42" ht="15" customHeight="1">
      <c r="AL1472" s="7" t="str">
        <f>IF(A1472="","",IF(COUNTIF(A1472:A$2001,A1472)=1,1,0))</f>
        <v/>
      </c>
      <c r="AM1472" s="7" t="str">
        <f t="shared" ca="1" si="85"/>
        <v/>
      </c>
      <c r="AN1472" s="7" t="str">
        <f t="shared" si="86"/>
        <v/>
      </c>
      <c r="AO1472" s="7" t="str">
        <f t="shared" si="87"/>
        <v/>
      </c>
      <c r="AP1472" s="15" t="str">
        <f t="shared" si="88"/>
        <v/>
      </c>
    </row>
    <row r="1473" spans="38:42" ht="15" customHeight="1">
      <c r="AL1473" s="7" t="str">
        <f>IF(A1473="","",IF(COUNTIF(A1473:A$2001,A1473)=1,1,0))</f>
        <v/>
      </c>
      <c r="AM1473" s="7" t="str">
        <f t="shared" ca="1" si="85"/>
        <v/>
      </c>
      <c r="AN1473" s="7" t="str">
        <f t="shared" si="86"/>
        <v/>
      </c>
      <c r="AO1473" s="7" t="str">
        <f t="shared" si="87"/>
        <v/>
      </c>
      <c r="AP1473" s="15" t="str">
        <f t="shared" si="88"/>
        <v/>
      </c>
    </row>
    <row r="1474" spans="38:42" ht="15" customHeight="1">
      <c r="AL1474" s="7" t="str">
        <f>IF(A1474="","",IF(COUNTIF(A1474:A$2001,A1474)=1,1,0))</f>
        <v/>
      </c>
      <c r="AM1474" s="7" t="str">
        <f t="shared" ref="AM1474:AM1537" ca="1" si="89">IF(I1474="","",TODAY()-I1474)</f>
        <v/>
      </c>
      <c r="AN1474" s="7" t="str">
        <f t="shared" ref="AN1474:AN1537" si="90">IF(A1474="","",IF(AND(E1474&lt;&gt;"33 確認済",E1474&lt;&gt;"36 送付中"),1,0))</f>
        <v/>
      </c>
      <c r="AO1474" s="7" t="str">
        <f t="shared" ref="AO1474:AO1537" si="91">IF(A1474="","",IF(AG1474&lt;&gt;"",1,0))</f>
        <v/>
      </c>
      <c r="AP1474" s="15" t="str">
        <f t="shared" ref="AP1474:AP1537" si="92">IF(P1474&lt;&gt;"","・添待ち","")&amp;IF(Q1474&lt;&gt;"","・住民票","")&amp;IF(R1474&lt;&gt;"","・発信","")&amp;IF(S1474&lt;&gt;"","・確認事項","")&amp;IF(T1474&lt;&gt;"","・管","")&amp;IF(U1474&lt;&gt;"","・SV","")&amp;IF(V1474&lt;&gt;"","・データ送付待ち","")&amp;IF(W1474&lt;&gt;"","・削除","")</f>
        <v/>
      </c>
    </row>
    <row r="1475" spans="38:42" ht="15" customHeight="1">
      <c r="AL1475" s="7" t="str">
        <f>IF(A1475="","",IF(COUNTIF(A1475:A$2001,A1475)=1,1,0))</f>
        <v/>
      </c>
      <c r="AM1475" s="7" t="str">
        <f t="shared" ca="1" si="89"/>
        <v/>
      </c>
      <c r="AN1475" s="7" t="str">
        <f t="shared" si="90"/>
        <v/>
      </c>
      <c r="AO1475" s="7" t="str">
        <f t="shared" si="91"/>
        <v/>
      </c>
      <c r="AP1475" s="15" t="str">
        <f t="shared" si="92"/>
        <v/>
      </c>
    </row>
    <row r="1476" spans="38:42" ht="15" customHeight="1">
      <c r="AL1476" s="7" t="str">
        <f>IF(A1476="","",IF(COUNTIF(A1476:A$2001,A1476)=1,1,0))</f>
        <v/>
      </c>
      <c r="AM1476" s="7" t="str">
        <f t="shared" ca="1" si="89"/>
        <v/>
      </c>
      <c r="AN1476" s="7" t="str">
        <f t="shared" si="90"/>
        <v/>
      </c>
      <c r="AO1476" s="7" t="str">
        <f t="shared" si="91"/>
        <v/>
      </c>
      <c r="AP1476" s="15" t="str">
        <f t="shared" si="92"/>
        <v/>
      </c>
    </row>
    <row r="1477" spans="38:42" ht="15" customHeight="1">
      <c r="AL1477" s="7" t="str">
        <f>IF(A1477="","",IF(COUNTIF(A1477:A$2001,A1477)=1,1,0))</f>
        <v/>
      </c>
      <c r="AM1477" s="7" t="str">
        <f t="shared" ca="1" si="89"/>
        <v/>
      </c>
      <c r="AN1477" s="7" t="str">
        <f t="shared" si="90"/>
        <v/>
      </c>
      <c r="AO1477" s="7" t="str">
        <f t="shared" si="91"/>
        <v/>
      </c>
      <c r="AP1477" s="15" t="str">
        <f t="shared" si="92"/>
        <v/>
      </c>
    </row>
    <row r="1478" spans="38:42" ht="15" customHeight="1">
      <c r="AL1478" s="7" t="str">
        <f>IF(A1478="","",IF(COUNTIF(A1478:A$2001,A1478)=1,1,0))</f>
        <v/>
      </c>
      <c r="AM1478" s="7" t="str">
        <f t="shared" ca="1" si="89"/>
        <v/>
      </c>
      <c r="AN1478" s="7" t="str">
        <f t="shared" si="90"/>
        <v/>
      </c>
      <c r="AO1478" s="7" t="str">
        <f t="shared" si="91"/>
        <v/>
      </c>
      <c r="AP1478" s="15" t="str">
        <f t="shared" si="92"/>
        <v/>
      </c>
    </row>
    <row r="1479" spans="38:42" ht="15" customHeight="1">
      <c r="AL1479" s="7" t="str">
        <f>IF(A1479="","",IF(COUNTIF(A1479:A$2001,A1479)=1,1,0))</f>
        <v/>
      </c>
      <c r="AM1479" s="7" t="str">
        <f t="shared" ca="1" si="89"/>
        <v/>
      </c>
      <c r="AN1479" s="7" t="str">
        <f t="shared" si="90"/>
        <v/>
      </c>
      <c r="AO1479" s="7" t="str">
        <f t="shared" si="91"/>
        <v/>
      </c>
      <c r="AP1479" s="15" t="str">
        <f t="shared" si="92"/>
        <v/>
      </c>
    </row>
    <row r="1480" spans="38:42" ht="15" customHeight="1">
      <c r="AL1480" s="7" t="str">
        <f>IF(A1480="","",IF(COUNTIF(A1480:A$2001,A1480)=1,1,0))</f>
        <v/>
      </c>
      <c r="AM1480" s="7" t="str">
        <f t="shared" ca="1" si="89"/>
        <v/>
      </c>
      <c r="AN1480" s="7" t="str">
        <f t="shared" si="90"/>
        <v/>
      </c>
      <c r="AO1480" s="7" t="str">
        <f t="shared" si="91"/>
        <v/>
      </c>
      <c r="AP1480" s="15" t="str">
        <f t="shared" si="92"/>
        <v/>
      </c>
    </row>
    <row r="1481" spans="38:42" ht="15" customHeight="1">
      <c r="AL1481" s="7" t="str">
        <f>IF(A1481="","",IF(COUNTIF(A1481:A$2001,A1481)=1,1,0))</f>
        <v/>
      </c>
      <c r="AM1481" s="7" t="str">
        <f t="shared" ca="1" si="89"/>
        <v/>
      </c>
      <c r="AN1481" s="7" t="str">
        <f t="shared" si="90"/>
        <v/>
      </c>
      <c r="AO1481" s="7" t="str">
        <f t="shared" si="91"/>
        <v/>
      </c>
      <c r="AP1481" s="15" t="str">
        <f t="shared" si="92"/>
        <v/>
      </c>
    </row>
    <row r="1482" spans="38:42" ht="15" customHeight="1">
      <c r="AL1482" s="7" t="str">
        <f>IF(A1482="","",IF(COUNTIF(A1482:A$2001,A1482)=1,1,0))</f>
        <v/>
      </c>
      <c r="AM1482" s="7" t="str">
        <f t="shared" ca="1" si="89"/>
        <v/>
      </c>
      <c r="AN1482" s="7" t="str">
        <f t="shared" si="90"/>
        <v/>
      </c>
      <c r="AO1482" s="7" t="str">
        <f t="shared" si="91"/>
        <v/>
      </c>
      <c r="AP1482" s="15" t="str">
        <f t="shared" si="92"/>
        <v/>
      </c>
    </row>
    <row r="1483" spans="38:42" ht="15" customHeight="1">
      <c r="AL1483" s="7" t="str">
        <f>IF(A1483="","",IF(COUNTIF(A1483:A$2001,A1483)=1,1,0))</f>
        <v/>
      </c>
      <c r="AM1483" s="7" t="str">
        <f t="shared" ca="1" si="89"/>
        <v/>
      </c>
      <c r="AN1483" s="7" t="str">
        <f t="shared" si="90"/>
        <v/>
      </c>
      <c r="AO1483" s="7" t="str">
        <f t="shared" si="91"/>
        <v/>
      </c>
      <c r="AP1483" s="15" t="str">
        <f t="shared" si="92"/>
        <v/>
      </c>
    </row>
    <row r="1484" spans="38:42" ht="15" customHeight="1">
      <c r="AL1484" s="7" t="str">
        <f>IF(A1484="","",IF(COUNTIF(A1484:A$2001,A1484)=1,1,0))</f>
        <v/>
      </c>
      <c r="AM1484" s="7" t="str">
        <f t="shared" ca="1" si="89"/>
        <v/>
      </c>
      <c r="AN1484" s="7" t="str">
        <f t="shared" si="90"/>
        <v/>
      </c>
      <c r="AO1484" s="7" t="str">
        <f t="shared" si="91"/>
        <v/>
      </c>
      <c r="AP1484" s="15" t="str">
        <f t="shared" si="92"/>
        <v/>
      </c>
    </row>
    <row r="1485" spans="38:42" ht="15" customHeight="1">
      <c r="AL1485" s="7" t="str">
        <f>IF(A1485="","",IF(COUNTIF(A1485:A$2001,A1485)=1,1,0))</f>
        <v/>
      </c>
      <c r="AM1485" s="7" t="str">
        <f t="shared" ca="1" si="89"/>
        <v/>
      </c>
      <c r="AN1485" s="7" t="str">
        <f t="shared" si="90"/>
        <v/>
      </c>
      <c r="AO1485" s="7" t="str">
        <f t="shared" si="91"/>
        <v/>
      </c>
      <c r="AP1485" s="15" t="str">
        <f t="shared" si="92"/>
        <v/>
      </c>
    </row>
    <row r="1486" spans="38:42" ht="15" customHeight="1">
      <c r="AL1486" s="7" t="str">
        <f>IF(A1486="","",IF(COUNTIF(A1486:A$2001,A1486)=1,1,0))</f>
        <v/>
      </c>
      <c r="AM1486" s="7" t="str">
        <f t="shared" ca="1" si="89"/>
        <v/>
      </c>
      <c r="AN1486" s="7" t="str">
        <f t="shared" si="90"/>
        <v/>
      </c>
      <c r="AO1486" s="7" t="str">
        <f t="shared" si="91"/>
        <v/>
      </c>
      <c r="AP1486" s="15" t="str">
        <f t="shared" si="92"/>
        <v/>
      </c>
    </row>
    <row r="1487" spans="38:42" ht="15" customHeight="1">
      <c r="AL1487" s="7" t="str">
        <f>IF(A1487="","",IF(COUNTIF(A1487:A$2001,A1487)=1,1,0))</f>
        <v/>
      </c>
      <c r="AM1487" s="7" t="str">
        <f t="shared" ca="1" si="89"/>
        <v/>
      </c>
      <c r="AN1487" s="7" t="str">
        <f t="shared" si="90"/>
        <v/>
      </c>
      <c r="AO1487" s="7" t="str">
        <f t="shared" si="91"/>
        <v/>
      </c>
      <c r="AP1487" s="15" t="str">
        <f t="shared" si="92"/>
        <v/>
      </c>
    </row>
    <row r="1488" spans="38:42" ht="15" customHeight="1">
      <c r="AL1488" s="7" t="str">
        <f>IF(A1488="","",IF(COUNTIF(A1488:A$2001,A1488)=1,1,0))</f>
        <v/>
      </c>
      <c r="AM1488" s="7" t="str">
        <f t="shared" ca="1" si="89"/>
        <v/>
      </c>
      <c r="AN1488" s="7" t="str">
        <f t="shared" si="90"/>
        <v/>
      </c>
      <c r="AO1488" s="7" t="str">
        <f t="shared" si="91"/>
        <v/>
      </c>
      <c r="AP1488" s="15" t="str">
        <f t="shared" si="92"/>
        <v/>
      </c>
    </row>
    <row r="1489" spans="38:42" ht="15" customHeight="1">
      <c r="AL1489" s="7" t="str">
        <f>IF(A1489="","",IF(COUNTIF(A1489:A$2001,A1489)=1,1,0))</f>
        <v/>
      </c>
      <c r="AM1489" s="7" t="str">
        <f t="shared" ca="1" si="89"/>
        <v/>
      </c>
      <c r="AN1489" s="7" t="str">
        <f t="shared" si="90"/>
        <v/>
      </c>
      <c r="AO1489" s="7" t="str">
        <f t="shared" si="91"/>
        <v/>
      </c>
      <c r="AP1489" s="15" t="str">
        <f t="shared" si="92"/>
        <v/>
      </c>
    </row>
    <row r="1490" spans="38:42" ht="15" customHeight="1">
      <c r="AL1490" s="7" t="str">
        <f>IF(A1490="","",IF(COUNTIF(A1490:A$2001,A1490)=1,1,0))</f>
        <v/>
      </c>
      <c r="AM1490" s="7" t="str">
        <f t="shared" ca="1" si="89"/>
        <v/>
      </c>
      <c r="AN1490" s="7" t="str">
        <f t="shared" si="90"/>
        <v/>
      </c>
      <c r="AO1490" s="7" t="str">
        <f t="shared" si="91"/>
        <v/>
      </c>
      <c r="AP1490" s="15" t="str">
        <f t="shared" si="92"/>
        <v/>
      </c>
    </row>
    <row r="1491" spans="38:42" ht="15" customHeight="1">
      <c r="AL1491" s="7" t="str">
        <f>IF(A1491="","",IF(COUNTIF(A1491:A$2001,A1491)=1,1,0))</f>
        <v/>
      </c>
      <c r="AM1491" s="7" t="str">
        <f t="shared" ca="1" si="89"/>
        <v/>
      </c>
      <c r="AN1491" s="7" t="str">
        <f t="shared" si="90"/>
        <v/>
      </c>
      <c r="AO1491" s="7" t="str">
        <f t="shared" si="91"/>
        <v/>
      </c>
      <c r="AP1491" s="15" t="str">
        <f t="shared" si="92"/>
        <v/>
      </c>
    </row>
    <row r="1492" spans="38:42" ht="15" customHeight="1">
      <c r="AL1492" s="7" t="str">
        <f>IF(A1492="","",IF(COUNTIF(A1492:A$2001,A1492)=1,1,0))</f>
        <v/>
      </c>
      <c r="AM1492" s="7" t="str">
        <f t="shared" ca="1" si="89"/>
        <v/>
      </c>
      <c r="AN1492" s="7" t="str">
        <f t="shared" si="90"/>
        <v/>
      </c>
      <c r="AO1492" s="7" t="str">
        <f t="shared" si="91"/>
        <v/>
      </c>
      <c r="AP1492" s="15" t="str">
        <f t="shared" si="92"/>
        <v/>
      </c>
    </row>
    <row r="1493" spans="38:42" ht="15" customHeight="1">
      <c r="AL1493" s="7" t="str">
        <f>IF(A1493="","",IF(COUNTIF(A1493:A$2001,A1493)=1,1,0))</f>
        <v/>
      </c>
      <c r="AM1493" s="7" t="str">
        <f t="shared" ca="1" si="89"/>
        <v/>
      </c>
      <c r="AN1493" s="7" t="str">
        <f t="shared" si="90"/>
        <v/>
      </c>
      <c r="AO1493" s="7" t="str">
        <f t="shared" si="91"/>
        <v/>
      </c>
      <c r="AP1493" s="15" t="str">
        <f t="shared" si="92"/>
        <v/>
      </c>
    </row>
    <row r="1494" spans="38:42" ht="15" customHeight="1">
      <c r="AL1494" s="7" t="str">
        <f>IF(A1494="","",IF(COUNTIF(A1494:A$2001,A1494)=1,1,0))</f>
        <v/>
      </c>
      <c r="AM1494" s="7" t="str">
        <f t="shared" ca="1" si="89"/>
        <v/>
      </c>
      <c r="AN1494" s="7" t="str">
        <f t="shared" si="90"/>
        <v/>
      </c>
      <c r="AO1494" s="7" t="str">
        <f t="shared" si="91"/>
        <v/>
      </c>
      <c r="AP1494" s="15" t="str">
        <f t="shared" si="92"/>
        <v/>
      </c>
    </row>
    <row r="1495" spans="38:42" ht="15" customHeight="1">
      <c r="AL1495" s="7" t="str">
        <f>IF(A1495="","",IF(COUNTIF(A1495:A$2001,A1495)=1,1,0))</f>
        <v/>
      </c>
      <c r="AM1495" s="7" t="str">
        <f t="shared" ca="1" si="89"/>
        <v/>
      </c>
      <c r="AN1495" s="7" t="str">
        <f t="shared" si="90"/>
        <v/>
      </c>
      <c r="AO1495" s="7" t="str">
        <f t="shared" si="91"/>
        <v/>
      </c>
      <c r="AP1495" s="15" t="str">
        <f t="shared" si="92"/>
        <v/>
      </c>
    </row>
    <row r="1496" spans="38:42" ht="15" customHeight="1">
      <c r="AL1496" s="7" t="str">
        <f>IF(A1496="","",IF(COUNTIF(A1496:A$2001,A1496)=1,1,0))</f>
        <v/>
      </c>
      <c r="AM1496" s="7" t="str">
        <f t="shared" ca="1" si="89"/>
        <v/>
      </c>
      <c r="AN1496" s="7" t="str">
        <f t="shared" si="90"/>
        <v/>
      </c>
      <c r="AO1496" s="7" t="str">
        <f t="shared" si="91"/>
        <v/>
      </c>
      <c r="AP1496" s="15" t="str">
        <f t="shared" si="92"/>
        <v/>
      </c>
    </row>
    <row r="1497" spans="38:42" ht="15" customHeight="1">
      <c r="AL1497" s="7" t="str">
        <f>IF(A1497="","",IF(COUNTIF(A1497:A$2001,A1497)=1,1,0))</f>
        <v/>
      </c>
      <c r="AM1497" s="7" t="str">
        <f t="shared" ca="1" si="89"/>
        <v/>
      </c>
      <c r="AN1497" s="7" t="str">
        <f t="shared" si="90"/>
        <v/>
      </c>
      <c r="AO1497" s="7" t="str">
        <f t="shared" si="91"/>
        <v/>
      </c>
      <c r="AP1497" s="15" t="str">
        <f t="shared" si="92"/>
        <v/>
      </c>
    </row>
    <row r="1498" spans="38:42" ht="15" customHeight="1">
      <c r="AL1498" s="7" t="str">
        <f>IF(A1498="","",IF(COUNTIF(A1498:A$2001,A1498)=1,1,0))</f>
        <v/>
      </c>
      <c r="AM1498" s="7" t="str">
        <f t="shared" ca="1" si="89"/>
        <v/>
      </c>
      <c r="AN1498" s="7" t="str">
        <f t="shared" si="90"/>
        <v/>
      </c>
      <c r="AO1498" s="7" t="str">
        <f t="shared" si="91"/>
        <v/>
      </c>
      <c r="AP1498" s="15" t="str">
        <f t="shared" si="92"/>
        <v/>
      </c>
    </row>
    <row r="1499" spans="38:42" ht="15" customHeight="1">
      <c r="AL1499" s="7" t="str">
        <f>IF(A1499="","",IF(COUNTIF(A1499:A$2001,A1499)=1,1,0))</f>
        <v/>
      </c>
      <c r="AM1499" s="7" t="str">
        <f t="shared" ca="1" si="89"/>
        <v/>
      </c>
      <c r="AN1499" s="7" t="str">
        <f t="shared" si="90"/>
        <v/>
      </c>
      <c r="AO1499" s="7" t="str">
        <f t="shared" si="91"/>
        <v/>
      </c>
      <c r="AP1499" s="15" t="str">
        <f t="shared" si="92"/>
        <v/>
      </c>
    </row>
    <row r="1500" spans="38:42" ht="15" customHeight="1">
      <c r="AL1500" s="7" t="str">
        <f>IF(A1500="","",IF(COUNTIF(A1500:A$2001,A1500)=1,1,0))</f>
        <v/>
      </c>
      <c r="AM1500" s="7" t="str">
        <f t="shared" ca="1" si="89"/>
        <v/>
      </c>
      <c r="AN1500" s="7" t="str">
        <f t="shared" si="90"/>
        <v/>
      </c>
      <c r="AO1500" s="7" t="str">
        <f t="shared" si="91"/>
        <v/>
      </c>
      <c r="AP1500" s="15" t="str">
        <f t="shared" si="92"/>
        <v/>
      </c>
    </row>
    <row r="1501" spans="38:42" ht="15" customHeight="1">
      <c r="AL1501" s="7" t="str">
        <f>IF(A1501="","",IF(COUNTIF(A1501:A$2001,A1501)=1,1,0))</f>
        <v/>
      </c>
      <c r="AM1501" s="7" t="str">
        <f t="shared" ca="1" si="89"/>
        <v/>
      </c>
      <c r="AN1501" s="7" t="str">
        <f t="shared" si="90"/>
        <v/>
      </c>
      <c r="AO1501" s="7" t="str">
        <f t="shared" si="91"/>
        <v/>
      </c>
      <c r="AP1501" s="15" t="str">
        <f t="shared" si="92"/>
        <v/>
      </c>
    </row>
    <row r="1502" spans="38:42" ht="15" customHeight="1">
      <c r="AL1502" s="7" t="str">
        <f>IF(A1502="","",IF(COUNTIF(A1502:A$2001,A1502)=1,1,0))</f>
        <v/>
      </c>
      <c r="AM1502" s="7" t="str">
        <f t="shared" ca="1" si="89"/>
        <v/>
      </c>
      <c r="AN1502" s="7" t="str">
        <f t="shared" si="90"/>
        <v/>
      </c>
      <c r="AO1502" s="7" t="str">
        <f t="shared" si="91"/>
        <v/>
      </c>
      <c r="AP1502" s="15" t="str">
        <f t="shared" si="92"/>
        <v/>
      </c>
    </row>
    <row r="1503" spans="38:42" ht="15" customHeight="1">
      <c r="AL1503" s="7" t="str">
        <f>IF(A1503="","",IF(COUNTIF(A1503:A$2001,A1503)=1,1,0))</f>
        <v/>
      </c>
      <c r="AM1503" s="7" t="str">
        <f t="shared" ca="1" si="89"/>
        <v/>
      </c>
      <c r="AN1503" s="7" t="str">
        <f t="shared" si="90"/>
        <v/>
      </c>
      <c r="AO1503" s="7" t="str">
        <f t="shared" si="91"/>
        <v/>
      </c>
      <c r="AP1503" s="15" t="str">
        <f t="shared" si="92"/>
        <v/>
      </c>
    </row>
    <row r="1504" spans="38:42" ht="15" customHeight="1">
      <c r="AL1504" s="7" t="str">
        <f>IF(A1504="","",IF(COUNTIF(A1504:A$2001,A1504)=1,1,0))</f>
        <v/>
      </c>
      <c r="AM1504" s="7" t="str">
        <f t="shared" ca="1" si="89"/>
        <v/>
      </c>
      <c r="AN1504" s="7" t="str">
        <f t="shared" si="90"/>
        <v/>
      </c>
      <c r="AO1504" s="7" t="str">
        <f t="shared" si="91"/>
        <v/>
      </c>
      <c r="AP1504" s="15" t="str">
        <f t="shared" si="92"/>
        <v/>
      </c>
    </row>
    <row r="1505" spans="38:42" ht="15" customHeight="1">
      <c r="AL1505" s="7" t="str">
        <f>IF(A1505="","",IF(COUNTIF(A1505:A$2001,A1505)=1,1,0))</f>
        <v/>
      </c>
      <c r="AM1505" s="7" t="str">
        <f t="shared" ca="1" si="89"/>
        <v/>
      </c>
      <c r="AN1505" s="7" t="str">
        <f t="shared" si="90"/>
        <v/>
      </c>
      <c r="AO1505" s="7" t="str">
        <f t="shared" si="91"/>
        <v/>
      </c>
      <c r="AP1505" s="15" t="str">
        <f t="shared" si="92"/>
        <v/>
      </c>
    </row>
    <row r="1506" spans="38:42" ht="15" customHeight="1">
      <c r="AL1506" s="7" t="str">
        <f>IF(A1506="","",IF(COUNTIF(A1506:A$2001,A1506)=1,1,0))</f>
        <v/>
      </c>
      <c r="AM1506" s="7" t="str">
        <f t="shared" ca="1" si="89"/>
        <v/>
      </c>
      <c r="AN1506" s="7" t="str">
        <f t="shared" si="90"/>
        <v/>
      </c>
      <c r="AO1506" s="7" t="str">
        <f t="shared" si="91"/>
        <v/>
      </c>
      <c r="AP1506" s="15" t="str">
        <f t="shared" si="92"/>
        <v/>
      </c>
    </row>
    <row r="1507" spans="38:42" ht="15" customHeight="1">
      <c r="AL1507" s="7" t="str">
        <f>IF(A1507="","",IF(COUNTIF(A1507:A$2001,A1507)=1,1,0))</f>
        <v/>
      </c>
      <c r="AM1507" s="7" t="str">
        <f t="shared" ca="1" si="89"/>
        <v/>
      </c>
      <c r="AN1507" s="7" t="str">
        <f t="shared" si="90"/>
        <v/>
      </c>
      <c r="AO1507" s="7" t="str">
        <f t="shared" si="91"/>
        <v/>
      </c>
      <c r="AP1507" s="15" t="str">
        <f t="shared" si="92"/>
        <v/>
      </c>
    </row>
    <row r="1508" spans="38:42" ht="15" customHeight="1">
      <c r="AL1508" s="7" t="str">
        <f>IF(A1508="","",IF(COUNTIF(A1508:A$2001,A1508)=1,1,0))</f>
        <v/>
      </c>
      <c r="AM1508" s="7" t="str">
        <f t="shared" ca="1" si="89"/>
        <v/>
      </c>
      <c r="AN1508" s="7" t="str">
        <f t="shared" si="90"/>
        <v/>
      </c>
      <c r="AO1508" s="7" t="str">
        <f t="shared" si="91"/>
        <v/>
      </c>
      <c r="AP1508" s="15" t="str">
        <f t="shared" si="92"/>
        <v/>
      </c>
    </row>
    <row r="1509" spans="38:42" ht="15" customHeight="1">
      <c r="AL1509" s="7" t="str">
        <f>IF(A1509="","",IF(COUNTIF(A1509:A$2001,A1509)=1,1,0))</f>
        <v/>
      </c>
      <c r="AM1509" s="7" t="str">
        <f t="shared" ca="1" si="89"/>
        <v/>
      </c>
      <c r="AN1509" s="7" t="str">
        <f t="shared" si="90"/>
        <v/>
      </c>
      <c r="AO1509" s="7" t="str">
        <f t="shared" si="91"/>
        <v/>
      </c>
      <c r="AP1509" s="15" t="str">
        <f t="shared" si="92"/>
        <v/>
      </c>
    </row>
    <row r="1510" spans="38:42" ht="15" customHeight="1">
      <c r="AL1510" s="7" t="str">
        <f>IF(A1510="","",IF(COUNTIF(A1510:A$2001,A1510)=1,1,0))</f>
        <v/>
      </c>
      <c r="AM1510" s="7" t="str">
        <f t="shared" ca="1" si="89"/>
        <v/>
      </c>
      <c r="AN1510" s="7" t="str">
        <f t="shared" si="90"/>
        <v/>
      </c>
      <c r="AO1510" s="7" t="str">
        <f t="shared" si="91"/>
        <v/>
      </c>
      <c r="AP1510" s="15" t="str">
        <f t="shared" si="92"/>
        <v/>
      </c>
    </row>
    <row r="1511" spans="38:42" ht="15" customHeight="1">
      <c r="AL1511" s="7" t="str">
        <f>IF(A1511="","",IF(COUNTIF(A1511:A$2001,A1511)=1,1,0))</f>
        <v/>
      </c>
      <c r="AM1511" s="7" t="str">
        <f t="shared" ca="1" si="89"/>
        <v/>
      </c>
      <c r="AN1511" s="7" t="str">
        <f t="shared" si="90"/>
        <v/>
      </c>
      <c r="AO1511" s="7" t="str">
        <f t="shared" si="91"/>
        <v/>
      </c>
      <c r="AP1511" s="15" t="str">
        <f t="shared" si="92"/>
        <v/>
      </c>
    </row>
    <row r="1512" spans="38:42" ht="15" customHeight="1">
      <c r="AL1512" s="7" t="str">
        <f>IF(A1512="","",IF(COUNTIF(A1512:A$2001,A1512)=1,1,0))</f>
        <v/>
      </c>
      <c r="AM1512" s="7" t="str">
        <f t="shared" ca="1" si="89"/>
        <v/>
      </c>
      <c r="AN1512" s="7" t="str">
        <f t="shared" si="90"/>
        <v/>
      </c>
      <c r="AO1512" s="7" t="str">
        <f t="shared" si="91"/>
        <v/>
      </c>
      <c r="AP1512" s="15" t="str">
        <f t="shared" si="92"/>
        <v/>
      </c>
    </row>
    <row r="1513" spans="38:42" ht="15" customHeight="1">
      <c r="AL1513" s="7" t="str">
        <f>IF(A1513="","",IF(COUNTIF(A1513:A$2001,A1513)=1,1,0))</f>
        <v/>
      </c>
      <c r="AM1513" s="7" t="str">
        <f t="shared" ca="1" si="89"/>
        <v/>
      </c>
      <c r="AN1513" s="7" t="str">
        <f t="shared" si="90"/>
        <v/>
      </c>
      <c r="AO1513" s="7" t="str">
        <f t="shared" si="91"/>
        <v/>
      </c>
      <c r="AP1513" s="15" t="str">
        <f t="shared" si="92"/>
        <v/>
      </c>
    </row>
    <row r="1514" spans="38:42" ht="15" customHeight="1">
      <c r="AL1514" s="7" t="str">
        <f>IF(A1514="","",IF(COUNTIF(A1514:A$2001,A1514)=1,1,0))</f>
        <v/>
      </c>
      <c r="AM1514" s="7" t="str">
        <f t="shared" ca="1" si="89"/>
        <v/>
      </c>
      <c r="AN1514" s="7" t="str">
        <f t="shared" si="90"/>
        <v/>
      </c>
      <c r="AO1514" s="7" t="str">
        <f t="shared" si="91"/>
        <v/>
      </c>
      <c r="AP1514" s="15" t="str">
        <f t="shared" si="92"/>
        <v/>
      </c>
    </row>
    <row r="1515" spans="38:42" ht="15" customHeight="1">
      <c r="AL1515" s="7" t="str">
        <f>IF(A1515="","",IF(COUNTIF(A1515:A$2001,A1515)=1,1,0))</f>
        <v/>
      </c>
      <c r="AM1515" s="7" t="str">
        <f t="shared" ca="1" si="89"/>
        <v/>
      </c>
      <c r="AN1515" s="7" t="str">
        <f t="shared" si="90"/>
        <v/>
      </c>
      <c r="AO1515" s="7" t="str">
        <f t="shared" si="91"/>
        <v/>
      </c>
      <c r="AP1515" s="15" t="str">
        <f t="shared" si="92"/>
        <v/>
      </c>
    </row>
    <row r="1516" spans="38:42" ht="15" customHeight="1">
      <c r="AL1516" s="7" t="str">
        <f>IF(A1516="","",IF(COUNTIF(A1516:A$2001,A1516)=1,1,0))</f>
        <v/>
      </c>
      <c r="AM1516" s="7" t="str">
        <f t="shared" ca="1" si="89"/>
        <v/>
      </c>
      <c r="AN1516" s="7" t="str">
        <f t="shared" si="90"/>
        <v/>
      </c>
      <c r="AO1516" s="7" t="str">
        <f t="shared" si="91"/>
        <v/>
      </c>
      <c r="AP1516" s="15" t="str">
        <f t="shared" si="92"/>
        <v/>
      </c>
    </row>
    <row r="1517" spans="38:42" ht="15" customHeight="1">
      <c r="AL1517" s="7" t="str">
        <f>IF(A1517="","",IF(COUNTIF(A1517:A$2001,A1517)=1,1,0))</f>
        <v/>
      </c>
      <c r="AM1517" s="7" t="str">
        <f t="shared" ca="1" si="89"/>
        <v/>
      </c>
      <c r="AN1517" s="7" t="str">
        <f t="shared" si="90"/>
        <v/>
      </c>
      <c r="AO1517" s="7" t="str">
        <f t="shared" si="91"/>
        <v/>
      </c>
      <c r="AP1517" s="15" t="str">
        <f t="shared" si="92"/>
        <v/>
      </c>
    </row>
    <row r="1518" spans="38:42" ht="15" customHeight="1">
      <c r="AL1518" s="7" t="str">
        <f>IF(A1518="","",IF(COUNTIF(A1518:A$2001,A1518)=1,1,0))</f>
        <v/>
      </c>
      <c r="AM1518" s="7" t="str">
        <f t="shared" ca="1" si="89"/>
        <v/>
      </c>
      <c r="AN1518" s="7" t="str">
        <f t="shared" si="90"/>
        <v/>
      </c>
      <c r="AO1518" s="7" t="str">
        <f t="shared" si="91"/>
        <v/>
      </c>
      <c r="AP1518" s="15" t="str">
        <f t="shared" si="92"/>
        <v/>
      </c>
    </row>
    <row r="1519" spans="38:42" ht="15" customHeight="1">
      <c r="AL1519" s="7" t="str">
        <f>IF(A1519="","",IF(COUNTIF(A1519:A$2001,A1519)=1,1,0))</f>
        <v/>
      </c>
      <c r="AM1519" s="7" t="str">
        <f t="shared" ca="1" si="89"/>
        <v/>
      </c>
      <c r="AN1519" s="7" t="str">
        <f t="shared" si="90"/>
        <v/>
      </c>
      <c r="AO1519" s="7" t="str">
        <f t="shared" si="91"/>
        <v/>
      </c>
      <c r="AP1519" s="15" t="str">
        <f t="shared" si="92"/>
        <v/>
      </c>
    </row>
    <row r="1520" spans="38:42" ht="15" customHeight="1">
      <c r="AL1520" s="7" t="str">
        <f>IF(A1520="","",IF(COUNTIF(A1520:A$2001,A1520)=1,1,0))</f>
        <v/>
      </c>
      <c r="AM1520" s="7" t="str">
        <f t="shared" ca="1" si="89"/>
        <v/>
      </c>
      <c r="AN1520" s="7" t="str">
        <f t="shared" si="90"/>
        <v/>
      </c>
      <c r="AO1520" s="7" t="str">
        <f t="shared" si="91"/>
        <v/>
      </c>
      <c r="AP1520" s="15" t="str">
        <f t="shared" si="92"/>
        <v/>
      </c>
    </row>
    <row r="1521" spans="38:42" ht="15" customHeight="1">
      <c r="AL1521" s="7" t="str">
        <f>IF(A1521="","",IF(COUNTIF(A1521:A$2001,A1521)=1,1,0))</f>
        <v/>
      </c>
      <c r="AM1521" s="7" t="str">
        <f t="shared" ca="1" si="89"/>
        <v/>
      </c>
      <c r="AN1521" s="7" t="str">
        <f t="shared" si="90"/>
        <v/>
      </c>
      <c r="AO1521" s="7" t="str">
        <f t="shared" si="91"/>
        <v/>
      </c>
      <c r="AP1521" s="15" t="str">
        <f t="shared" si="92"/>
        <v/>
      </c>
    </row>
    <row r="1522" spans="38:42" ht="15" customHeight="1">
      <c r="AL1522" s="7" t="str">
        <f>IF(A1522="","",IF(COUNTIF(A1522:A$2001,A1522)=1,1,0))</f>
        <v/>
      </c>
      <c r="AM1522" s="7" t="str">
        <f t="shared" ca="1" si="89"/>
        <v/>
      </c>
      <c r="AN1522" s="7" t="str">
        <f t="shared" si="90"/>
        <v/>
      </c>
      <c r="AO1522" s="7" t="str">
        <f t="shared" si="91"/>
        <v/>
      </c>
      <c r="AP1522" s="15" t="str">
        <f t="shared" si="92"/>
        <v/>
      </c>
    </row>
    <row r="1523" spans="38:42" ht="15" customHeight="1">
      <c r="AL1523" s="7" t="str">
        <f>IF(A1523="","",IF(COUNTIF(A1523:A$2001,A1523)=1,1,0))</f>
        <v/>
      </c>
      <c r="AM1523" s="7" t="str">
        <f t="shared" ca="1" si="89"/>
        <v/>
      </c>
      <c r="AN1523" s="7" t="str">
        <f t="shared" si="90"/>
        <v/>
      </c>
      <c r="AO1523" s="7" t="str">
        <f t="shared" si="91"/>
        <v/>
      </c>
      <c r="AP1523" s="15" t="str">
        <f t="shared" si="92"/>
        <v/>
      </c>
    </row>
    <row r="1524" spans="38:42" ht="15" customHeight="1">
      <c r="AL1524" s="7" t="str">
        <f>IF(A1524="","",IF(COUNTIF(A1524:A$2001,A1524)=1,1,0))</f>
        <v/>
      </c>
      <c r="AM1524" s="7" t="str">
        <f t="shared" ca="1" si="89"/>
        <v/>
      </c>
      <c r="AN1524" s="7" t="str">
        <f t="shared" si="90"/>
        <v/>
      </c>
      <c r="AO1524" s="7" t="str">
        <f t="shared" si="91"/>
        <v/>
      </c>
      <c r="AP1524" s="15" t="str">
        <f t="shared" si="92"/>
        <v/>
      </c>
    </row>
    <row r="1525" spans="38:42" ht="15" customHeight="1">
      <c r="AL1525" s="7" t="str">
        <f>IF(A1525="","",IF(COUNTIF(A1525:A$2001,A1525)=1,1,0))</f>
        <v/>
      </c>
      <c r="AM1525" s="7" t="str">
        <f t="shared" ca="1" si="89"/>
        <v/>
      </c>
      <c r="AN1525" s="7" t="str">
        <f t="shared" si="90"/>
        <v/>
      </c>
      <c r="AO1525" s="7" t="str">
        <f t="shared" si="91"/>
        <v/>
      </c>
      <c r="AP1525" s="15" t="str">
        <f t="shared" si="92"/>
        <v/>
      </c>
    </row>
    <row r="1526" spans="38:42" ht="15" customHeight="1">
      <c r="AL1526" s="7" t="str">
        <f>IF(A1526="","",IF(COUNTIF(A1526:A$2001,A1526)=1,1,0))</f>
        <v/>
      </c>
      <c r="AM1526" s="7" t="str">
        <f t="shared" ca="1" si="89"/>
        <v/>
      </c>
      <c r="AN1526" s="7" t="str">
        <f t="shared" si="90"/>
        <v/>
      </c>
      <c r="AO1526" s="7" t="str">
        <f t="shared" si="91"/>
        <v/>
      </c>
      <c r="AP1526" s="15" t="str">
        <f t="shared" si="92"/>
        <v/>
      </c>
    </row>
    <row r="1527" spans="38:42" ht="15" customHeight="1">
      <c r="AL1527" s="7" t="str">
        <f>IF(A1527="","",IF(COUNTIF(A1527:A$2001,A1527)=1,1,0))</f>
        <v/>
      </c>
      <c r="AM1527" s="7" t="str">
        <f t="shared" ca="1" si="89"/>
        <v/>
      </c>
      <c r="AN1527" s="7" t="str">
        <f t="shared" si="90"/>
        <v/>
      </c>
      <c r="AO1527" s="7" t="str">
        <f t="shared" si="91"/>
        <v/>
      </c>
      <c r="AP1527" s="15" t="str">
        <f t="shared" si="92"/>
        <v/>
      </c>
    </row>
    <row r="1528" spans="38:42" ht="15" customHeight="1">
      <c r="AL1528" s="7" t="str">
        <f>IF(A1528="","",IF(COUNTIF(A1528:A$2001,A1528)=1,1,0))</f>
        <v/>
      </c>
      <c r="AM1528" s="7" t="str">
        <f t="shared" ca="1" si="89"/>
        <v/>
      </c>
      <c r="AN1528" s="7" t="str">
        <f t="shared" si="90"/>
        <v/>
      </c>
      <c r="AO1528" s="7" t="str">
        <f t="shared" si="91"/>
        <v/>
      </c>
      <c r="AP1528" s="15" t="str">
        <f t="shared" si="92"/>
        <v/>
      </c>
    </row>
    <row r="1529" spans="38:42" ht="15" customHeight="1">
      <c r="AL1529" s="7" t="str">
        <f>IF(A1529="","",IF(COUNTIF(A1529:A$2001,A1529)=1,1,0))</f>
        <v/>
      </c>
      <c r="AM1529" s="7" t="str">
        <f t="shared" ca="1" si="89"/>
        <v/>
      </c>
      <c r="AN1529" s="7" t="str">
        <f t="shared" si="90"/>
        <v/>
      </c>
      <c r="AO1529" s="7" t="str">
        <f t="shared" si="91"/>
        <v/>
      </c>
      <c r="AP1529" s="15" t="str">
        <f t="shared" si="92"/>
        <v/>
      </c>
    </row>
    <row r="1530" spans="38:42" ht="15" customHeight="1">
      <c r="AL1530" s="7" t="str">
        <f>IF(A1530="","",IF(COUNTIF(A1530:A$2001,A1530)=1,1,0))</f>
        <v/>
      </c>
      <c r="AM1530" s="7" t="str">
        <f t="shared" ca="1" si="89"/>
        <v/>
      </c>
      <c r="AN1530" s="7" t="str">
        <f t="shared" si="90"/>
        <v/>
      </c>
      <c r="AO1530" s="7" t="str">
        <f t="shared" si="91"/>
        <v/>
      </c>
      <c r="AP1530" s="15" t="str">
        <f t="shared" si="92"/>
        <v/>
      </c>
    </row>
    <row r="1531" spans="38:42" ht="15" customHeight="1">
      <c r="AL1531" s="7" t="str">
        <f>IF(A1531="","",IF(COUNTIF(A1531:A$2001,A1531)=1,1,0))</f>
        <v/>
      </c>
      <c r="AM1531" s="7" t="str">
        <f t="shared" ca="1" si="89"/>
        <v/>
      </c>
      <c r="AN1531" s="7" t="str">
        <f t="shared" si="90"/>
        <v/>
      </c>
      <c r="AO1531" s="7" t="str">
        <f t="shared" si="91"/>
        <v/>
      </c>
      <c r="AP1531" s="15" t="str">
        <f t="shared" si="92"/>
        <v/>
      </c>
    </row>
    <row r="1532" spans="38:42" ht="15" customHeight="1">
      <c r="AL1532" s="7" t="str">
        <f>IF(A1532="","",IF(COUNTIF(A1532:A$2001,A1532)=1,1,0))</f>
        <v/>
      </c>
      <c r="AM1532" s="7" t="str">
        <f t="shared" ca="1" si="89"/>
        <v/>
      </c>
      <c r="AN1532" s="7" t="str">
        <f t="shared" si="90"/>
        <v/>
      </c>
      <c r="AO1532" s="7" t="str">
        <f t="shared" si="91"/>
        <v/>
      </c>
      <c r="AP1532" s="15" t="str">
        <f t="shared" si="92"/>
        <v/>
      </c>
    </row>
    <row r="1533" spans="38:42" ht="15" customHeight="1">
      <c r="AL1533" s="7" t="str">
        <f>IF(A1533="","",IF(COUNTIF(A1533:A$2001,A1533)=1,1,0))</f>
        <v/>
      </c>
      <c r="AM1533" s="7" t="str">
        <f t="shared" ca="1" si="89"/>
        <v/>
      </c>
      <c r="AN1533" s="7" t="str">
        <f t="shared" si="90"/>
        <v/>
      </c>
      <c r="AO1533" s="7" t="str">
        <f t="shared" si="91"/>
        <v/>
      </c>
      <c r="AP1533" s="15" t="str">
        <f t="shared" si="92"/>
        <v/>
      </c>
    </row>
    <row r="1534" spans="38:42" ht="15" customHeight="1">
      <c r="AL1534" s="7" t="str">
        <f>IF(A1534="","",IF(COUNTIF(A1534:A$2001,A1534)=1,1,0))</f>
        <v/>
      </c>
      <c r="AM1534" s="7" t="str">
        <f t="shared" ca="1" si="89"/>
        <v/>
      </c>
      <c r="AN1534" s="7" t="str">
        <f t="shared" si="90"/>
        <v/>
      </c>
      <c r="AO1534" s="7" t="str">
        <f t="shared" si="91"/>
        <v/>
      </c>
      <c r="AP1534" s="15" t="str">
        <f t="shared" si="92"/>
        <v/>
      </c>
    </row>
    <row r="1535" spans="38:42" ht="15" customHeight="1">
      <c r="AL1535" s="7" t="str">
        <f>IF(A1535="","",IF(COUNTIF(A1535:A$2001,A1535)=1,1,0))</f>
        <v/>
      </c>
      <c r="AM1535" s="7" t="str">
        <f t="shared" ca="1" si="89"/>
        <v/>
      </c>
      <c r="AN1535" s="7" t="str">
        <f t="shared" si="90"/>
        <v/>
      </c>
      <c r="AO1535" s="7" t="str">
        <f t="shared" si="91"/>
        <v/>
      </c>
      <c r="AP1535" s="15" t="str">
        <f t="shared" si="92"/>
        <v/>
      </c>
    </row>
    <row r="1536" spans="38:42" ht="15" customHeight="1">
      <c r="AL1536" s="7" t="str">
        <f>IF(A1536="","",IF(COUNTIF(A1536:A$2001,A1536)=1,1,0))</f>
        <v/>
      </c>
      <c r="AM1536" s="7" t="str">
        <f t="shared" ca="1" si="89"/>
        <v/>
      </c>
      <c r="AN1536" s="7" t="str">
        <f t="shared" si="90"/>
        <v/>
      </c>
      <c r="AO1536" s="7" t="str">
        <f t="shared" si="91"/>
        <v/>
      </c>
      <c r="AP1536" s="15" t="str">
        <f t="shared" si="92"/>
        <v/>
      </c>
    </row>
    <row r="1537" spans="38:42" ht="15" customHeight="1">
      <c r="AL1537" s="7" t="str">
        <f>IF(A1537="","",IF(COUNTIF(A1537:A$2001,A1537)=1,1,0))</f>
        <v/>
      </c>
      <c r="AM1537" s="7" t="str">
        <f t="shared" ca="1" si="89"/>
        <v/>
      </c>
      <c r="AN1537" s="7" t="str">
        <f t="shared" si="90"/>
        <v/>
      </c>
      <c r="AO1537" s="7" t="str">
        <f t="shared" si="91"/>
        <v/>
      </c>
      <c r="AP1537" s="15" t="str">
        <f t="shared" si="92"/>
        <v/>
      </c>
    </row>
    <row r="1538" spans="38:42" ht="15" customHeight="1">
      <c r="AL1538" s="7" t="str">
        <f>IF(A1538="","",IF(COUNTIF(A1538:A$2001,A1538)=1,1,0))</f>
        <v/>
      </c>
      <c r="AM1538" s="7" t="str">
        <f t="shared" ref="AM1538:AM1601" ca="1" si="93">IF(I1538="","",TODAY()-I1538)</f>
        <v/>
      </c>
      <c r="AN1538" s="7" t="str">
        <f t="shared" ref="AN1538:AN1601" si="94">IF(A1538="","",IF(AND(E1538&lt;&gt;"33 確認済",E1538&lt;&gt;"36 送付中"),1,0))</f>
        <v/>
      </c>
      <c r="AO1538" s="7" t="str">
        <f t="shared" ref="AO1538:AO1601" si="95">IF(A1538="","",IF(AG1538&lt;&gt;"",1,0))</f>
        <v/>
      </c>
      <c r="AP1538" s="15" t="str">
        <f t="shared" ref="AP1538:AP1601" si="96">IF(P1538&lt;&gt;"","・添待ち","")&amp;IF(Q1538&lt;&gt;"","・住民票","")&amp;IF(R1538&lt;&gt;"","・発信","")&amp;IF(S1538&lt;&gt;"","・確認事項","")&amp;IF(T1538&lt;&gt;"","・管","")&amp;IF(U1538&lt;&gt;"","・SV","")&amp;IF(V1538&lt;&gt;"","・データ送付待ち","")&amp;IF(W1538&lt;&gt;"","・削除","")</f>
        <v/>
      </c>
    </row>
    <row r="1539" spans="38:42" ht="15" customHeight="1">
      <c r="AL1539" s="7" t="str">
        <f>IF(A1539="","",IF(COUNTIF(A1539:A$2001,A1539)=1,1,0))</f>
        <v/>
      </c>
      <c r="AM1539" s="7" t="str">
        <f t="shared" ca="1" si="93"/>
        <v/>
      </c>
      <c r="AN1539" s="7" t="str">
        <f t="shared" si="94"/>
        <v/>
      </c>
      <c r="AO1539" s="7" t="str">
        <f t="shared" si="95"/>
        <v/>
      </c>
      <c r="AP1539" s="15" t="str">
        <f t="shared" si="96"/>
        <v/>
      </c>
    </row>
    <row r="1540" spans="38:42" ht="15" customHeight="1">
      <c r="AL1540" s="7" t="str">
        <f>IF(A1540="","",IF(COUNTIF(A1540:A$2001,A1540)=1,1,0))</f>
        <v/>
      </c>
      <c r="AM1540" s="7" t="str">
        <f t="shared" ca="1" si="93"/>
        <v/>
      </c>
      <c r="AN1540" s="7" t="str">
        <f t="shared" si="94"/>
        <v/>
      </c>
      <c r="AO1540" s="7" t="str">
        <f t="shared" si="95"/>
        <v/>
      </c>
      <c r="AP1540" s="15" t="str">
        <f t="shared" si="96"/>
        <v/>
      </c>
    </row>
    <row r="1541" spans="38:42" ht="15" customHeight="1">
      <c r="AL1541" s="7" t="str">
        <f>IF(A1541="","",IF(COUNTIF(A1541:A$2001,A1541)=1,1,0))</f>
        <v/>
      </c>
      <c r="AM1541" s="7" t="str">
        <f t="shared" ca="1" si="93"/>
        <v/>
      </c>
      <c r="AN1541" s="7" t="str">
        <f t="shared" si="94"/>
        <v/>
      </c>
      <c r="AO1541" s="7" t="str">
        <f t="shared" si="95"/>
        <v/>
      </c>
      <c r="AP1541" s="15" t="str">
        <f t="shared" si="96"/>
        <v/>
      </c>
    </row>
    <row r="1542" spans="38:42" ht="15" customHeight="1">
      <c r="AL1542" s="7" t="str">
        <f>IF(A1542="","",IF(COUNTIF(A1542:A$2001,A1542)=1,1,0))</f>
        <v/>
      </c>
      <c r="AM1542" s="7" t="str">
        <f t="shared" ca="1" si="93"/>
        <v/>
      </c>
      <c r="AN1542" s="7" t="str">
        <f t="shared" si="94"/>
        <v/>
      </c>
      <c r="AO1542" s="7" t="str">
        <f t="shared" si="95"/>
        <v/>
      </c>
      <c r="AP1542" s="15" t="str">
        <f t="shared" si="96"/>
        <v/>
      </c>
    </row>
    <row r="1543" spans="38:42" ht="15" customHeight="1">
      <c r="AL1543" s="7" t="str">
        <f>IF(A1543="","",IF(COUNTIF(A1543:A$2001,A1543)=1,1,0))</f>
        <v/>
      </c>
      <c r="AM1543" s="7" t="str">
        <f t="shared" ca="1" si="93"/>
        <v/>
      </c>
      <c r="AN1543" s="7" t="str">
        <f t="shared" si="94"/>
        <v/>
      </c>
      <c r="AO1543" s="7" t="str">
        <f t="shared" si="95"/>
        <v/>
      </c>
      <c r="AP1543" s="15" t="str">
        <f t="shared" si="96"/>
        <v/>
      </c>
    </row>
    <row r="1544" spans="38:42" ht="15" customHeight="1">
      <c r="AL1544" s="7" t="str">
        <f>IF(A1544="","",IF(COUNTIF(A1544:A$2001,A1544)=1,1,0))</f>
        <v/>
      </c>
      <c r="AM1544" s="7" t="str">
        <f t="shared" ca="1" si="93"/>
        <v/>
      </c>
      <c r="AN1544" s="7" t="str">
        <f t="shared" si="94"/>
        <v/>
      </c>
      <c r="AO1544" s="7" t="str">
        <f t="shared" si="95"/>
        <v/>
      </c>
      <c r="AP1544" s="15" t="str">
        <f t="shared" si="96"/>
        <v/>
      </c>
    </row>
    <row r="1545" spans="38:42" ht="15" customHeight="1">
      <c r="AL1545" s="7" t="str">
        <f>IF(A1545="","",IF(COUNTIF(A1545:A$2001,A1545)=1,1,0))</f>
        <v/>
      </c>
      <c r="AM1545" s="7" t="str">
        <f t="shared" ca="1" si="93"/>
        <v/>
      </c>
      <c r="AN1545" s="7" t="str">
        <f t="shared" si="94"/>
        <v/>
      </c>
      <c r="AO1545" s="7" t="str">
        <f t="shared" si="95"/>
        <v/>
      </c>
      <c r="AP1545" s="15" t="str">
        <f t="shared" si="96"/>
        <v/>
      </c>
    </row>
    <row r="1546" spans="38:42" ht="15" customHeight="1">
      <c r="AL1546" s="7" t="str">
        <f>IF(A1546="","",IF(COUNTIF(A1546:A$2001,A1546)=1,1,0))</f>
        <v/>
      </c>
      <c r="AM1546" s="7" t="str">
        <f t="shared" ca="1" si="93"/>
        <v/>
      </c>
      <c r="AN1546" s="7" t="str">
        <f t="shared" si="94"/>
        <v/>
      </c>
      <c r="AO1546" s="7" t="str">
        <f t="shared" si="95"/>
        <v/>
      </c>
      <c r="AP1546" s="15" t="str">
        <f t="shared" si="96"/>
        <v/>
      </c>
    </row>
    <row r="1547" spans="38:42" ht="15" customHeight="1">
      <c r="AL1547" s="7" t="str">
        <f>IF(A1547="","",IF(COUNTIF(A1547:A$2001,A1547)=1,1,0))</f>
        <v/>
      </c>
      <c r="AM1547" s="7" t="str">
        <f t="shared" ca="1" si="93"/>
        <v/>
      </c>
      <c r="AN1547" s="7" t="str">
        <f t="shared" si="94"/>
        <v/>
      </c>
      <c r="AO1547" s="7" t="str">
        <f t="shared" si="95"/>
        <v/>
      </c>
      <c r="AP1547" s="15" t="str">
        <f t="shared" si="96"/>
        <v/>
      </c>
    </row>
    <row r="1548" spans="38:42" ht="15" customHeight="1">
      <c r="AL1548" s="7" t="str">
        <f>IF(A1548="","",IF(COUNTIF(A1548:A$2001,A1548)=1,1,0))</f>
        <v/>
      </c>
      <c r="AM1548" s="7" t="str">
        <f t="shared" ca="1" si="93"/>
        <v/>
      </c>
      <c r="AN1548" s="7" t="str">
        <f t="shared" si="94"/>
        <v/>
      </c>
      <c r="AO1548" s="7" t="str">
        <f t="shared" si="95"/>
        <v/>
      </c>
      <c r="AP1548" s="15" t="str">
        <f t="shared" si="96"/>
        <v/>
      </c>
    </row>
    <row r="1549" spans="38:42" ht="15" customHeight="1">
      <c r="AL1549" s="7" t="str">
        <f>IF(A1549="","",IF(COUNTIF(A1549:A$2001,A1549)=1,1,0))</f>
        <v/>
      </c>
      <c r="AM1549" s="7" t="str">
        <f t="shared" ca="1" si="93"/>
        <v/>
      </c>
      <c r="AN1549" s="7" t="str">
        <f t="shared" si="94"/>
        <v/>
      </c>
      <c r="AO1549" s="7" t="str">
        <f t="shared" si="95"/>
        <v/>
      </c>
      <c r="AP1549" s="15" t="str">
        <f t="shared" si="96"/>
        <v/>
      </c>
    </row>
    <row r="1550" spans="38:42" ht="15" customHeight="1">
      <c r="AL1550" s="7" t="str">
        <f>IF(A1550="","",IF(COUNTIF(A1550:A$2001,A1550)=1,1,0))</f>
        <v/>
      </c>
      <c r="AM1550" s="7" t="str">
        <f t="shared" ca="1" si="93"/>
        <v/>
      </c>
      <c r="AN1550" s="7" t="str">
        <f t="shared" si="94"/>
        <v/>
      </c>
      <c r="AO1550" s="7" t="str">
        <f t="shared" si="95"/>
        <v/>
      </c>
      <c r="AP1550" s="15" t="str">
        <f t="shared" si="96"/>
        <v/>
      </c>
    </row>
    <row r="1551" spans="38:42" ht="15" customHeight="1">
      <c r="AL1551" s="7" t="str">
        <f>IF(A1551="","",IF(COUNTIF(A1551:A$2001,A1551)=1,1,0))</f>
        <v/>
      </c>
      <c r="AM1551" s="7" t="str">
        <f t="shared" ca="1" si="93"/>
        <v/>
      </c>
      <c r="AN1551" s="7" t="str">
        <f t="shared" si="94"/>
        <v/>
      </c>
      <c r="AO1551" s="7" t="str">
        <f t="shared" si="95"/>
        <v/>
      </c>
      <c r="AP1551" s="15" t="str">
        <f t="shared" si="96"/>
        <v/>
      </c>
    </row>
    <row r="1552" spans="38:42" ht="15" customHeight="1">
      <c r="AL1552" s="7" t="str">
        <f>IF(A1552="","",IF(COUNTIF(A1552:A$2001,A1552)=1,1,0))</f>
        <v/>
      </c>
      <c r="AM1552" s="7" t="str">
        <f t="shared" ca="1" si="93"/>
        <v/>
      </c>
      <c r="AN1552" s="7" t="str">
        <f t="shared" si="94"/>
        <v/>
      </c>
      <c r="AO1552" s="7" t="str">
        <f t="shared" si="95"/>
        <v/>
      </c>
      <c r="AP1552" s="15" t="str">
        <f t="shared" si="96"/>
        <v/>
      </c>
    </row>
    <row r="1553" spans="38:42" ht="15" customHeight="1">
      <c r="AL1553" s="7" t="str">
        <f>IF(A1553="","",IF(COUNTIF(A1553:A$2001,A1553)=1,1,0))</f>
        <v/>
      </c>
      <c r="AM1553" s="7" t="str">
        <f t="shared" ca="1" si="93"/>
        <v/>
      </c>
      <c r="AN1553" s="7" t="str">
        <f t="shared" si="94"/>
        <v/>
      </c>
      <c r="AO1553" s="7" t="str">
        <f t="shared" si="95"/>
        <v/>
      </c>
      <c r="AP1553" s="15" t="str">
        <f t="shared" si="96"/>
        <v/>
      </c>
    </row>
    <row r="1554" spans="38:42" ht="15" customHeight="1">
      <c r="AL1554" s="7" t="str">
        <f>IF(A1554="","",IF(COUNTIF(A1554:A$2001,A1554)=1,1,0))</f>
        <v/>
      </c>
      <c r="AM1554" s="7" t="str">
        <f t="shared" ca="1" si="93"/>
        <v/>
      </c>
      <c r="AN1554" s="7" t="str">
        <f t="shared" si="94"/>
        <v/>
      </c>
      <c r="AO1554" s="7" t="str">
        <f t="shared" si="95"/>
        <v/>
      </c>
      <c r="AP1554" s="15" t="str">
        <f t="shared" si="96"/>
        <v/>
      </c>
    </row>
    <row r="1555" spans="38:42" ht="15" customHeight="1">
      <c r="AL1555" s="7" t="str">
        <f>IF(A1555="","",IF(COUNTIF(A1555:A$2001,A1555)=1,1,0))</f>
        <v/>
      </c>
      <c r="AM1555" s="7" t="str">
        <f t="shared" ca="1" si="93"/>
        <v/>
      </c>
      <c r="AN1555" s="7" t="str">
        <f t="shared" si="94"/>
        <v/>
      </c>
      <c r="AO1555" s="7" t="str">
        <f t="shared" si="95"/>
        <v/>
      </c>
      <c r="AP1555" s="15" t="str">
        <f t="shared" si="96"/>
        <v/>
      </c>
    </row>
    <row r="1556" spans="38:42" ht="15" customHeight="1">
      <c r="AL1556" s="7" t="str">
        <f>IF(A1556="","",IF(COUNTIF(A1556:A$2001,A1556)=1,1,0))</f>
        <v/>
      </c>
      <c r="AM1556" s="7" t="str">
        <f t="shared" ca="1" si="93"/>
        <v/>
      </c>
      <c r="AN1556" s="7" t="str">
        <f t="shared" si="94"/>
        <v/>
      </c>
      <c r="AO1556" s="7" t="str">
        <f t="shared" si="95"/>
        <v/>
      </c>
      <c r="AP1556" s="15" t="str">
        <f t="shared" si="96"/>
        <v/>
      </c>
    </row>
    <row r="1557" spans="38:42" ht="15" customHeight="1">
      <c r="AL1557" s="7" t="str">
        <f>IF(A1557="","",IF(COUNTIF(A1557:A$2001,A1557)=1,1,0))</f>
        <v/>
      </c>
      <c r="AM1557" s="7" t="str">
        <f t="shared" ca="1" si="93"/>
        <v/>
      </c>
      <c r="AN1557" s="7" t="str">
        <f t="shared" si="94"/>
        <v/>
      </c>
      <c r="AO1557" s="7" t="str">
        <f t="shared" si="95"/>
        <v/>
      </c>
      <c r="AP1557" s="15" t="str">
        <f t="shared" si="96"/>
        <v/>
      </c>
    </row>
    <row r="1558" spans="38:42" ht="15" customHeight="1">
      <c r="AL1558" s="7" t="str">
        <f>IF(A1558="","",IF(COUNTIF(A1558:A$2001,A1558)=1,1,0))</f>
        <v/>
      </c>
      <c r="AM1558" s="7" t="str">
        <f t="shared" ca="1" si="93"/>
        <v/>
      </c>
      <c r="AN1558" s="7" t="str">
        <f t="shared" si="94"/>
        <v/>
      </c>
      <c r="AO1558" s="7" t="str">
        <f t="shared" si="95"/>
        <v/>
      </c>
      <c r="AP1558" s="15" t="str">
        <f t="shared" si="96"/>
        <v/>
      </c>
    </row>
    <row r="1559" spans="38:42" ht="15" customHeight="1">
      <c r="AL1559" s="7" t="str">
        <f>IF(A1559="","",IF(COUNTIF(A1559:A$2001,A1559)=1,1,0))</f>
        <v/>
      </c>
      <c r="AM1559" s="7" t="str">
        <f t="shared" ca="1" si="93"/>
        <v/>
      </c>
      <c r="AN1559" s="7" t="str">
        <f t="shared" si="94"/>
        <v/>
      </c>
      <c r="AO1559" s="7" t="str">
        <f t="shared" si="95"/>
        <v/>
      </c>
      <c r="AP1559" s="15" t="str">
        <f t="shared" si="96"/>
        <v/>
      </c>
    </row>
    <row r="1560" spans="38:42" ht="15" customHeight="1">
      <c r="AL1560" s="7" t="str">
        <f>IF(A1560="","",IF(COUNTIF(A1560:A$2001,A1560)=1,1,0))</f>
        <v/>
      </c>
      <c r="AM1560" s="7" t="str">
        <f t="shared" ca="1" si="93"/>
        <v/>
      </c>
      <c r="AN1560" s="7" t="str">
        <f t="shared" si="94"/>
        <v/>
      </c>
      <c r="AO1560" s="7" t="str">
        <f t="shared" si="95"/>
        <v/>
      </c>
      <c r="AP1560" s="15" t="str">
        <f t="shared" si="96"/>
        <v/>
      </c>
    </row>
    <row r="1561" spans="38:42" ht="15" customHeight="1">
      <c r="AL1561" s="7" t="str">
        <f>IF(A1561="","",IF(COUNTIF(A1561:A$2001,A1561)=1,1,0))</f>
        <v/>
      </c>
      <c r="AM1561" s="7" t="str">
        <f t="shared" ca="1" si="93"/>
        <v/>
      </c>
      <c r="AN1561" s="7" t="str">
        <f t="shared" si="94"/>
        <v/>
      </c>
      <c r="AO1561" s="7" t="str">
        <f t="shared" si="95"/>
        <v/>
      </c>
      <c r="AP1561" s="15" t="str">
        <f t="shared" si="96"/>
        <v/>
      </c>
    </row>
    <row r="1562" spans="38:42" ht="15" customHeight="1">
      <c r="AL1562" s="7" t="str">
        <f>IF(A1562="","",IF(COUNTIF(A1562:A$2001,A1562)=1,1,0))</f>
        <v/>
      </c>
      <c r="AM1562" s="7" t="str">
        <f t="shared" ca="1" si="93"/>
        <v/>
      </c>
      <c r="AN1562" s="7" t="str">
        <f t="shared" si="94"/>
        <v/>
      </c>
      <c r="AO1562" s="7" t="str">
        <f t="shared" si="95"/>
        <v/>
      </c>
      <c r="AP1562" s="15" t="str">
        <f t="shared" si="96"/>
        <v/>
      </c>
    </row>
    <row r="1563" spans="38:42" ht="15" customHeight="1">
      <c r="AL1563" s="7" t="str">
        <f>IF(A1563="","",IF(COUNTIF(A1563:A$2001,A1563)=1,1,0))</f>
        <v/>
      </c>
      <c r="AM1563" s="7" t="str">
        <f t="shared" ca="1" si="93"/>
        <v/>
      </c>
      <c r="AN1563" s="7" t="str">
        <f t="shared" si="94"/>
        <v/>
      </c>
      <c r="AO1563" s="7" t="str">
        <f t="shared" si="95"/>
        <v/>
      </c>
      <c r="AP1563" s="15" t="str">
        <f t="shared" si="96"/>
        <v/>
      </c>
    </row>
    <row r="1564" spans="38:42" ht="15" customHeight="1">
      <c r="AL1564" s="7" t="str">
        <f>IF(A1564="","",IF(COUNTIF(A1564:A$2001,A1564)=1,1,0))</f>
        <v/>
      </c>
      <c r="AM1564" s="7" t="str">
        <f t="shared" ca="1" si="93"/>
        <v/>
      </c>
      <c r="AN1564" s="7" t="str">
        <f t="shared" si="94"/>
        <v/>
      </c>
      <c r="AO1564" s="7" t="str">
        <f t="shared" si="95"/>
        <v/>
      </c>
      <c r="AP1564" s="15" t="str">
        <f t="shared" si="96"/>
        <v/>
      </c>
    </row>
    <row r="1565" spans="38:42" ht="15" customHeight="1">
      <c r="AL1565" s="7" t="str">
        <f>IF(A1565="","",IF(COUNTIF(A1565:A$2001,A1565)=1,1,0))</f>
        <v/>
      </c>
      <c r="AM1565" s="7" t="str">
        <f t="shared" ca="1" si="93"/>
        <v/>
      </c>
      <c r="AN1565" s="7" t="str">
        <f t="shared" si="94"/>
        <v/>
      </c>
      <c r="AO1565" s="7" t="str">
        <f t="shared" si="95"/>
        <v/>
      </c>
      <c r="AP1565" s="15" t="str">
        <f t="shared" si="96"/>
        <v/>
      </c>
    </row>
    <row r="1566" spans="38:42" ht="15" customHeight="1">
      <c r="AL1566" s="7" t="str">
        <f>IF(A1566="","",IF(COUNTIF(A1566:A$2001,A1566)=1,1,0))</f>
        <v/>
      </c>
      <c r="AM1566" s="7" t="str">
        <f t="shared" ca="1" si="93"/>
        <v/>
      </c>
      <c r="AN1566" s="7" t="str">
        <f t="shared" si="94"/>
        <v/>
      </c>
      <c r="AO1566" s="7" t="str">
        <f t="shared" si="95"/>
        <v/>
      </c>
      <c r="AP1566" s="15" t="str">
        <f t="shared" si="96"/>
        <v/>
      </c>
    </row>
    <row r="1567" spans="38:42" ht="15" customHeight="1">
      <c r="AL1567" s="7" t="str">
        <f>IF(A1567="","",IF(COUNTIF(A1567:A$2001,A1567)=1,1,0))</f>
        <v/>
      </c>
      <c r="AM1567" s="7" t="str">
        <f t="shared" ca="1" si="93"/>
        <v/>
      </c>
      <c r="AN1567" s="7" t="str">
        <f t="shared" si="94"/>
        <v/>
      </c>
      <c r="AO1567" s="7" t="str">
        <f t="shared" si="95"/>
        <v/>
      </c>
      <c r="AP1567" s="15" t="str">
        <f t="shared" si="96"/>
        <v/>
      </c>
    </row>
    <row r="1568" spans="38:42" ht="15" customHeight="1">
      <c r="AL1568" s="7" t="str">
        <f>IF(A1568="","",IF(COUNTIF(A1568:A$2001,A1568)=1,1,0))</f>
        <v/>
      </c>
      <c r="AM1568" s="7" t="str">
        <f t="shared" ca="1" si="93"/>
        <v/>
      </c>
      <c r="AN1568" s="7" t="str">
        <f t="shared" si="94"/>
        <v/>
      </c>
      <c r="AO1568" s="7" t="str">
        <f t="shared" si="95"/>
        <v/>
      </c>
      <c r="AP1568" s="15" t="str">
        <f t="shared" si="96"/>
        <v/>
      </c>
    </row>
    <row r="1569" spans="38:42" ht="15" customHeight="1">
      <c r="AL1569" s="7" t="str">
        <f>IF(A1569="","",IF(COUNTIF(A1569:A$2001,A1569)=1,1,0))</f>
        <v/>
      </c>
      <c r="AM1569" s="7" t="str">
        <f t="shared" ca="1" si="93"/>
        <v/>
      </c>
      <c r="AN1569" s="7" t="str">
        <f t="shared" si="94"/>
        <v/>
      </c>
      <c r="AO1569" s="7" t="str">
        <f t="shared" si="95"/>
        <v/>
      </c>
      <c r="AP1569" s="15" t="str">
        <f t="shared" si="96"/>
        <v/>
      </c>
    </row>
    <row r="1570" spans="38:42" ht="15" customHeight="1">
      <c r="AL1570" s="7" t="str">
        <f>IF(A1570="","",IF(COUNTIF(A1570:A$2001,A1570)=1,1,0))</f>
        <v/>
      </c>
      <c r="AM1570" s="7" t="str">
        <f t="shared" ca="1" si="93"/>
        <v/>
      </c>
      <c r="AN1570" s="7" t="str">
        <f t="shared" si="94"/>
        <v/>
      </c>
      <c r="AO1570" s="7" t="str">
        <f t="shared" si="95"/>
        <v/>
      </c>
      <c r="AP1570" s="15" t="str">
        <f t="shared" si="96"/>
        <v/>
      </c>
    </row>
    <row r="1571" spans="38:42" ht="15" customHeight="1">
      <c r="AL1571" s="7" t="str">
        <f>IF(A1571="","",IF(COUNTIF(A1571:A$2001,A1571)=1,1,0))</f>
        <v/>
      </c>
      <c r="AM1571" s="7" t="str">
        <f t="shared" ca="1" si="93"/>
        <v/>
      </c>
      <c r="AN1571" s="7" t="str">
        <f t="shared" si="94"/>
        <v/>
      </c>
      <c r="AO1571" s="7" t="str">
        <f t="shared" si="95"/>
        <v/>
      </c>
      <c r="AP1571" s="15" t="str">
        <f t="shared" si="96"/>
        <v/>
      </c>
    </row>
    <row r="1572" spans="38:42" ht="15" customHeight="1">
      <c r="AL1572" s="7" t="str">
        <f>IF(A1572="","",IF(COUNTIF(A1572:A$2001,A1572)=1,1,0))</f>
        <v/>
      </c>
      <c r="AM1572" s="7" t="str">
        <f t="shared" ca="1" si="93"/>
        <v/>
      </c>
      <c r="AN1572" s="7" t="str">
        <f t="shared" si="94"/>
        <v/>
      </c>
      <c r="AO1572" s="7" t="str">
        <f t="shared" si="95"/>
        <v/>
      </c>
      <c r="AP1572" s="15" t="str">
        <f t="shared" si="96"/>
        <v/>
      </c>
    </row>
    <row r="1573" spans="38:42" ht="15" customHeight="1">
      <c r="AL1573" s="7" t="str">
        <f>IF(A1573="","",IF(COUNTIF(A1573:A$2001,A1573)=1,1,0))</f>
        <v/>
      </c>
      <c r="AM1573" s="7" t="str">
        <f t="shared" ca="1" si="93"/>
        <v/>
      </c>
      <c r="AN1573" s="7" t="str">
        <f t="shared" si="94"/>
        <v/>
      </c>
      <c r="AO1573" s="7" t="str">
        <f t="shared" si="95"/>
        <v/>
      </c>
      <c r="AP1573" s="15" t="str">
        <f t="shared" si="96"/>
        <v/>
      </c>
    </row>
    <row r="1574" spans="38:42" ht="15" customHeight="1">
      <c r="AL1574" s="7" t="str">
        <f>IF(A1574="","",IF(COUNTIF(A1574:A$2001,A1574)=1,1,0))</f>
        <v/>
      </c>
      <c r="AM1574" s="7" t="str">
        <f t="shared" ca="1" si="93"/>
        <v/>
      </c>
      <c r="AN1574" s="7" t="str">
        <f t="shared" si="94"/>
        <v/>
      </c>
      <c r="AO1574" s="7" t="str">
        <f t="shared" si="95"/>
        <v/>
      </c>
      <c r="AP1574" s="15" t="str">
        <f t="shared" si="96"/>
        <v/>
      </c>
    </row>
    <row r="1575" spans="38:42" ht="15" customHeight="1">
      <c r="AL1575" s="7" t="str">
        <f>IF(A1575="","",IF(COUNTIF(A1575:A$2001,A1575)=1,1,0))</f>
        <v/>
      </c>
      <c r="AM1575" s="7" t="str">
        <f t="shared" ca="1" si="93"/>
        <v/>
      </c>
      <c r="AN1575" s="7" t="str">
        <f t="shared" si="94"/>
        <v/>
      </c>
      <c r="AO1575" s="7" t="str">
        <f t="shared" si="95"/>
        <v/>
      </c>
      <c r="AP1575" s="15" t="str">
        <f t="shared" si="96"/>
        <v/>
      </c>
    </row>
    <row r="1576" spans="38:42" ht="15" customHeight="1">
      <c r="AL1576" s="7" t="str">
        <f>IF(A1576="","",IF(COUNTIF(A1576:A$2001,A1576)=1,1,0))</f>
        <v/>
      </c>
      <c r="AM1576" s="7" t="str">
        <f t="shared" ca="1" si="93"/>
        <v/>
      </c>
      <c r="AN1576" s="7" t="str">
        <f t="shared" si="94"/>
        <v/>
      </c>
      <c r="AO1576" s="7" t="str">
        <f t="shared" si="95"/>
        <v/>
      </c>
      <c r="AP1576" s="15" t="str">
        <f t="shared" si="96"/>
        <v/>
      </c>
    </row>
    <row r="1577" spans="38:42" ht="15" customHeight="1">
      <c r="AL1577" s="7" t="str">
        <f>IF(A1577="","",IF(COUNTIF(A1577:A$2001,A1577)=1,1,0))</f>
        <v/>
      </c>
      <c r="AM1577" s="7" t="str">
        <f t="shared" ca="1" si="93"/>
        <v/>
      </c>
      <c r="AN1577" s="7" t="str">
        <f t="shared" si="94"/>
        <v/>
      </c>
      <c r="AO1577" s="7" t="str">
        <f t="shared" si="95"/>
        <v/>
      </c>
      <c r="AP1577" s="15" t="str">
        <f t="shared" si="96"/>
        <v/>
      </c>
    </row>
    <row r="1578" spans="38:42" ht="15" customHeight="1">
      <c r="AL1578" s="7" t="str">
        <f>IF(A1578="","",IF(COUNTIF(A1578:A$2001,A1578)=1,1,0))</f>
        <v/>
      </c>
      <c r="AM1578" s="7" t="str">
        <f t="shared" ca="1" si="93"/>
        <v/>
      </c>
      <c r="AN1578" s="7" t="str">
        <f t="shared" si="94"/>
        <v/>
      </c>
      <c r="AO1578" s="7" t="str">
        <f t="shared" si="95"/>
        <v/>
      </c>
      <c r="AP1578" s="15" t="str">
        <f t="shared" si="96"/>
        <v/>
      </c>
    </row>
    <row r="1579" spans="38:42" ht="15" customHeight="1">
      <c r="AL1579" s="7" t="str">
        <f>IF(A1579="","",IF(COUNTIF(A1579:A$2001,A1579)=1,1,0))</f>
        <v/>
      </c>
      <c r="AM1579" s="7" t="str">
        <f t="shared" ca="1" si="93"/>
        <v/>
      </c>
      <c r="AN1579" s="7" t="str">
        <f t="shared" si="94"/>
        <v/>
      </c>
      <c r="AO1579" s="7" t="str">
        <f t="shared" si="95"/>
        <v/>
      </c>
      <c r="AP1579" s="15" t="str">
        <f t="shared" si="96"/>
        <v/>
      </c>
    </row>
    <row r="1580" spans="38:42" ht="15" customHeight="1">
      <c r="AL1580" s="7" t="str">
        <f>IF(A1580="","",IF(COUNTIF(A1580:A$2001,A1580)=1,1,0))</f>
        <v/>
      </c>
      <c r="AM1580" s="7" t="str">
        <f t="shared" ca="1" si="93"/>
        <v/>
      </c>
      <c r="AN1580" s="7" t="str">
        <f t="shared" si="94"/>
        <v/>
      </c>
      <c r="AO1580" s="7" t="str">
        <f t="shared" si="95"/>
        <v/>
      </c>
      <c r="AP1580" s="15" t="str">
        <f t="shared" si="96"/>
        <v/>
      </c>
    </row>
    <row r="1581" spans="38:42" ht="15" customHeight="1">
      <c r="AL1581" s="7" t="str">
        <f>IF(A1581="","",IF(COUNTIF(A1581:A$2001,A1581)=1,1,0))</f>
        <v/>
      </c>
      <c r="AM1581" s="7" t="str">
        <f t="shared" ca="1" si="93"/>
        <v/>
      </c>
      <c r="AN1581" s="7" t="str">
        <f t="shared" si="94"/>
        <v/>
      </c>
      <c r="AO1581" s="7" t="str">
        <f t="shared" si="95"/>
        <v/>
      </c>
      <c r="AP1581" s="15" t="str">
        <f t="shared" si="96"/>
        <v/>
      </c>
    </row>
    <row r="1582" spans="38:42" ht="15" customHeight="1">
      <c r="AL1582" s="7" t="str">
        <f>IF(A1582="","",IF(COUNTIF(A1582:A$2001,A1582)=1,1,0))</f>
        <v/>
      </c>
      <c r="AM1582" s="7" t="str">
        <f t="shared" ca="1" si="93"/>
        <v/>
      </c>
      <c r="AN1582" s="7" t="str">
        <f t="shared" si="94"/>
        <v/>
      </c>
      <c r="AO1582" s="7" t="str">
        <f t="shared" si="95"/>
        <v/>
      </c>
      <c r="AP1582" s="15" t="str">
        <f t="shared" si="96"/>
        <v/>
      </c>
    </row>
    <row r="1583" spans="38:42" ht="15" customHeight="1">
      <c r="AL1583" s="7" t="str">
        <f>IF(A1583="","",IF(COUNTIF(A1583:A$2001,A1583)=1,1,0))</f>
        <v/>
      </c>
      <c r="AM1583" s="7" t="str">
        <f t="shared" ca="1" si="93"/>
        <v/>
      </c>
      <c r="AN1583" s="7" t="str">
        <f t="shared" si="94"/>
        <v/>
      </c>
      <c r="AO1583" s="7" t="str">
        <f t="shared" si="95"/>
        <v/>
      </c>
      <c r="AP1583" s="15" t="str">
        <f t="shared" si="96"/>
        <v/>
      </c>
    </row>
    <row r="1584" spans="38:42" ht="15" customHeight="1">
      <c r="AL1584" s="7" t="str">
        <f>IF(A1584="","",IF(COUNTIF(A1584:A$2001,A1584)=1,1,0))</f>
        <v/>
      </c>
      <c r="AM1584" s="7" t="str">
        <f t="shared" ca="1" si="93"/>
        <v/>
      </c>
      <c r="AN1584" s="7" t="str">
        <f t="shared" si="94"/>
        <v/>
      </c>
      <c r="AO1584" s="7" t="str">
        <f t="shared" si="95"/>
        <v/>
      </c>
      <c r="AP1584" s="15" t="str">
        <f t="shared" si="96"/>
        <v/>
      </c>
    </row>
    <row r="1585" spans="38:42" ht="15" customHeight="1">
      <c r="AL1585" s="7" t="str">
        <f>IF(A1585="","",IF(COUNTIF(A1585:A$2001,A1585)=1,1,0))</f>
        <v/>
      </c>
      <c r="AM1585" s="7" t="str">
        <f t="shared" ca="1" si="93"/>
        <v/>
      </c>
      <c r="AN1585" s="7" t="str">
        <f t="shared" si="94"/>
        <v/>
      </c>
      <c r="AO1585" s="7" t="str">
        <f t="shared" si="95"/>
        <v/>
      </c>
      <c r="AP1585" s="15" t="str">
        <f t="shared" si="96"/>
        <v/>
      </c>
    </row>
    <row r="1586" spans="38:42" ht="15" customHeight="1">
      <c r="AL1586" s="7" t="str">
        <f>IF(A1586="","",IF(COUNTIF(A1586:A$2001,A1586)=1,1,0))</f>
        <v/>
      </c>
      <c r="AM1586" s="7" t="str">
        <f t="shared" ca="1" si="93"/>
        <v/>
      </c>
      <c r="AN1586" s="7" t="str">
        <f t="shared" si="94"/>
        <v/>
      </c>
      <c r="AO1586" s="7" t="str">
        <f t="shared" si="95"/>
        <v/>
      </c>
      <c r="AP1586" s="15" t="str">
        <f t="shared" si="96"/>
        <v/>
      </c>
    </row>
    <row r="1587" spans="38:42" ht="15" customHeight="1">
      <c r="AL1587" s="7" t="str">
        <f>IF(A1587="","",IF(COUNTIF(A1587:A$2001,A1587)=1,1,0))</f>
        <v/>
      </c>
      <c r="AM1587" s="7" t="str">
        <f t="shared" ca="1" si="93"/>
        <v/>
      </c>
      <c r="AN1587" s="7" t="str">
        <f t="shared" si="94"/>
        <v/>
      </c>
      <c r="AO1587" s="7" t="str">
        <f t="shared" si="95"/>
        <v/>
      </c>
      <c r="AP1587" s="15" t="str">
        <f t="shared" si="96"/>
        <v/>
      </c>
    </row>
    <row r="1588" spans="38:42" ht="15" customHeight="1">
      <c r="AL1588" s="7" t="str">
        <f>IF(A1588="","",IF(COUNTIF(A1588:A$2001,A1588)=1,1,0))</f>
        <v/>
      </c>
      <c r="AM1588" s="7" t="str">
        <f t="shared" ca="1" si="93"/>
        <v/>
      </c>
      <c r="AN1588" s="7" t="str">
        <f t="shared" si="94"/>
        <v/>
      </c>
      <c r="AO1588" s="7" t="str">
        <f t="shared" si="95"/>
        <v/>
      </c>
      <c r="AP1588" s="15" t="str">
        <f t="shared" si="96"/>
        <v/>
      </c>
    </row>
    <row r="1589" spans="38:42" ht="15" customHeight="1">
      <c r="AL1589" s="7" t="str">
        <f>IF(A1589="","",IF(COUNTIF(A1589:A$2001,A1589)=1,1,0))</f>
        <v/>
      </c>
      <c r="AM1589" s="7" t="str">
        <f t="shared" ca="1" si="93"/>
        <v/>
      </c>
      <c r="AN1589" s="7" t="str">
        <f t="shared" si="94"/>
        <v/>
      </c>
      <c r="AO1589" s="7" t="str">
        <f t="shared" si="95"/>
        <v/>
      </c>
      <c r="AP1589" s="15" t="str">
        <f t="shared" si="96"/>
        <v/>
      </c>
    </row>
    <row r="1590" spans="38:42" ht="15" customHeight="1">
      <c r="AL1590" s="7" t="str">
        <f>IF(A1590="","",IF(COUNTIF(A1590:A$2001,A1590)=1,1,0))</f>
        <v/>
      </c>
      <c r="AM1590" s="7" t="str">
        <f t="shared" ca="1" si="93"/>
        <v/>
      </c>
      <c r="AN1590" s="7" t="str">
        <f t="shared" si="94"/>
        <v/>
      </c>
      <c r="AO1590" s="7" t="str">
        <f t="shared" si="95"/>
        <v/>
      </c>
      <c r="AP1590" s="15" t="str">
        <f t="shared" si="96"/>
        <v/>
      </c>
    </row>
    <row r="1591" spans="38:42" ht="15" customHeight="1">
      <c r="AL1591" s="7" t="str">
        <f>IF(A1591="","",IF(COUNTIF(A1591:A$2001,A1591)=1,1,0))</f>
        <v/>
      </c>
      <c r="AM1591" s="7" t="str">
        <f t="shared" ca="1" si="93"/>
        <v/>
      </c>
      <c r="AN1591" s="7" t="str">
        <f t="shared" si="94"/>
        <v/>
      </c>
      <c r="AO1591" s="7" t="str">
        <f t="shared" si="95"/>
        <v/>
      </c>
      <c r="AP1591" s="15" t="str">
        <f t="shared" si="96"/>
        <v/>
      </c>
    </row>
    <row r="1592" spans="38:42" ht="15" customHeight="1">
      <c r="AL1592" s="7" t="str">
        <f>IF(A1592="","",IF(COUNTIF(A1592:A$2001,A1592)=1,1,0))</f>
        <v/>
      </c>
      <c r="AM1592" s="7" t="str">
        <f t="shared" ca="1" si="93"/>
        <v/>
      </c>
      <c r="AN1592" s="7" t="str">
        <f t="shared" si="94"/>
        <v/>
      </c>
      <c r="AO1592" s="7" t="str">
        <f t="shared" si="95"/>
        <v/>
      </c>
      <c r="AP1592" s="15" t="str">
        <f t="shared" si="96"/>
        <v/>
      </c>
    </row>
    <row r="1593" spans="38:42" ht="15" customHeight="1">
      <c r="AL1593" s="7" t="str">
        <f>IF(A1593="","",IF(COUNTIF(A1593:A$2001,A1593)=1,1,0))</f>
        <v/>
      </c>
      <c r="AM1593" s="7" t="str">
        <f t="shared" ca="1" si="93"/>
        <v/>
      </c>
      <c r="AN1593" s="7" t="str">
        <f t="shared" si="94"/>
        <v/>
      </c>
      <c r="AO1593" s="7" t="str">
        <f t="shared" si="95"/>
        <v/>
      </c>
      <c r="AP1593" s="15" t="str">
        <f t="shared" si="96"/>
        <v/>
      </c>
    </row>
    <row r="1594" spans="38:42" ht="15" customHeight="1">
      <c r="AL1594" s="7" t="str">
        <f>IF(A1594="","",IF(COUNTIF(A1594:A$2001,A1594)=1,1,0))</f>
        <v/>
      </c>
      <c r="AM1594" s="7" t="str">
        <f t="shared" ca="1" si="93"/>
        <v/>
      </c>
      <c r="AN1594" s="7" t="str">
        <f t="shared" si="94"/>
        <v/>
      </c>
      <c r="AO1594" s="7" t="str">
        <f t="shared" si="95"/>
        <v/>
      </c>
      <c r="AP1594" s="15" t="str">
        <f t="shared" si="96"/>
        <v/>
      </c>
    </row>
    <row r="1595" spans="38:42" ht="15" customHeight="1">
      <c r="AL1595" s="7" t="str">
        <f>IF(A1595="","",IF(COUNTIF(A1595:A$2001,A1595)=1,1,0))</f>
        <v/>
      </c>
      <c r="AM1595" s="7" t="str">
        <f t="shared" ca="1" si="93"/>
        <v/>
      </c>
      <c r="AN1595" s="7" t="str">
        <f t="shared" si="94"/>
        <v/>
      </c>
      <c r="AO1595" s="7" t="str">
        <f t="shared" si="95"/>
        <v/>
      </c>
      <c r="AP1595" s="15" t="str">
        <f t="shared" si="96"/>
        <v/>
      </c>
    </row>
    <row r="1596" spans="38:42" ht="15" customHeight="1">
      <c r="AL1596" s="7" t="str">
        <f>IF(A1596="","",IF(COUNTIF(A1596:A$2001,A1596)=1,1,0))</f>
        <v/>
      </c>
      <c r="AM1596" s="7" t="str">
        <f t="shared" ca="1" si="93"/>
        <v/>
      </c>
      <c r="AN1596" s="7" t="str">
        <f t="shared" si="94"/>
        <v/>
      </c>
      <c r="AO1596" s="7" t="str">
        <f t="shared" si="95"/>
        <v/>
      </c>
      <c r="AP1596" s="15" t="str">
        <f t="shared" si="96"/>
        <v/>
      </c>
    </row>
    <row r="1597" spans="38:42" ht="15" customHeight="1">
      <c r="AL1597" s="7" t="str">
        <f>IF(A1597="","",IF(COUNTIF(A1597:A$2001,A1597)=1,1,0))</f>
        <v/>
      </c>
      <c r="AM1597" s="7" t="str">
        <f t="shared" ca="1" si="93"/>
        <v/>
      </c>
      <c r="AN1597" s="7" t="str">
        <f t="shared" si="94"/>
        <v/>
      </c>
      <c r="AO1597" s="7" t="str">
        <f t="shared" si="95"/>
        <v/>
      </c>
      <c r="AP1597" s="15" t="str">
        <f t="shared" si="96"/>
        <v/>
      </c>
    </row>
    <row r="1598" spans="38:42" ht="15" customHeight="1">
      <c r="AL1598" s="7" t="str">
        <f>IF(A1598="","",IF(COUNTIF(A1598:A$2001,A1598)=1,1,0))</f>
        <v/>
      </c>
      <c r="AM1598" s="7" t="str">
        <f t="shared" ca="1" si="93"/>
        <v/>
      </c>
      <c r="AN1598" s="7" t="str">
        <f t="shared" si="94"/>
        <v/>
      </c>
      <c r="AO1598" s="7" t="str">
        <f t="shared" si="95"/>
        <v/>
      </c>
      <c r="AP1598" s="15" t="str">
        <f t="shared" si="96"/>
        <v/>
      </c>
    </row>
    <row r="1599" spans="38:42" ht="15" customHeight="1">
      <c r="AL1599" s="7" t="str">
        <f>IF(A1599="","",IF(COUNTIF(A1599:A$2001,A1599)=1,1,0))</f>
        <v/>
      </c>
      <c r="AM1599" s="7" t="str">
        <f t="shared" ca="1" si="93"/>
        <v/>
      </c>
      <c r="AN1599" s="7" t="str">
        <f t="shared" si="94"/>
        <v/>
      </c>
      <c r="AO1599" s="7" t="str">
        <f t="shared" si="95"/>
        <v/>
      </c>
      <c r="AP1599" s="15" t="str">
        <f t="shared" si="96"/>
        <v/>
      </c>
    </row>
    <row r="1600" spans="38:42" ht="15" customHeight="1">
      <c r="AL1600" s="7" t="str">
        <f>IF(A1600="","",IF(COUNTIF(A1600:A$2001,A1600)=1,1,0))</f>
        <v/>
      </c>
      <c r="AM1600" s="7" t="str">
        <f t="shared" ca="1" si="93"/>
        <v/>
      </c>
      <c r="AN1600" s="7" t="str">
        <f t="shared" si="94"/>
        <v/>
      </c>
      <c r="AO1600" s="7" t="str">
        <f t="shared" si="95"/>
        <v/>
      </c>
      <c r="AP1600" s="15" t="str">
        <f t="shared" si="96"/>
        <v/>
      </c>
    </row>
    <row r="1601" spans="38:42" ht="15" customHeight="1">
      <c r="AL1601" s="7" t="str">
        <f>IF(A1601="","",IF(COUNTIF(A1601:A$2001,A1601)=1,1,0))</f>
        <v/>
      </c>
      <c r="AM1601" s="7" t="str">
        <f t="shared" ca="1" si="93"/>
        <v/>
      </c>
      <c r="AN1601" s="7" t="str">
        <f t="shared" si="94"/>
        <v/>
      </c>
      <c r="AO1601" s="7" t="str">
        <f t="shared" si="95"/>
        <v/>
      </c>
      <c r="AP1601" s="15" t="str">
        <f t="shared" si="96"/>
        <v/>
      </c>
    </row>
    <row r="1602" spans="38:42" ht="15" customHeight="1">
      <c r="AL1602" s="7" t="str">
        <f>IF(A1602="","",IF(COUNTIF(A1602:A$2001,A1602)=1,1,0))</f>
        <v/>
      </c>
      <c r="AM1602" s="7" t="str">
        <f t="shared" ref="AM1602:AM1665" ca="1" si="97">IF(I1602="","",TODAY()-I1602)</f>
        <v/>
      </c>
      <c r="AN1602" s="7" t="str">
        <f t="shared" ref="AN1602:AN1665" si="98">IF(A1602="","",IF(AND(E1602&lt;&gt;"33 確認済",E1602&lt;&gt;"36 送付中"),1,0))</f>
        <v/>
      </c>
      <c r="AO1602" s="7" t="str">
        <f t="shared" ref="AO1602:AO1665" si="99">IF(A1602="","",IF(AG1602&lt;&gt;"",1,0))</f>
        <v/>
      </c>
      <c r="AP1602" s="15" t="str">
        <f t="shared" ref="AP1602:AP1665" si="100">IF(P1602&lt;&gt;"","・添待ち","")&amp;IF(Q1602&lt;&gt;"","・住民票","")&amp;IF(R1602&lt;&gt;"","・発信","")&amp;IF(S1602&lt;&gt;"","・確認事項","")&amp;IF(T1602&lt;&gt;"","・管","")&amp;IF(U1602&lt;&gt;"","・SV","")&amp;IF(V1602&lt;&gt;"","・データ送付待ち","")&amp;IF(W1602&lt;&gt;"","・削除","")</f>
        <v/>
      </c>
    </row>
    <row r="1603" spans="38:42" ht="15" customHeight="1">
      <c r="AL1603" s="7" t="str">
        <f>IF(A1603="","",IF(COUNTIF(A1603:A$2001,A1603)=1,1,0))</f>
        <v/>
      </c>
      <c r="AM1603" s="7" t="str">
        <f t="shared" ca="1" si="97"/>
        <v/>
      </c>
      <c r="AN1603" s="7" t="str">
        <f t="shared" si="98"/>
        <v/>
      </c>
      <c r="AO1603" s="7" t="str">
        <f t="shared" si="99"/>
        <v/>
      </c>
      <c r="AP1603" s="15" t="str">
        <f t="shared" si="100"/>
        <v/>
      </c>
    </row>
    <row r="1604" spans="38:42" ht="15" customHeight="1">
      <c r="AL1604" s="7" t="str">
        <f>IF(A1604="","",IF(COUNTIF(A1604:A$2001,A1604)=1,1,0))</f>
        <v/>
      </c>
      <c r="AM1604" s="7" t="str">
        <f t="shared" ca="1" si="97"/>
        <v/>
      </c>
      <c r="AN1604" s="7" t="str">
        <f t="shared" si="98"/>
        <v/>
      </c>
      <c r="AO1604" s="7" t="str">
        <f t="shared" si="99"/>
        <v/>
      </c>
      <c r="AP1604" s="15" t="str">
        <f t="shared" si="100"/>
        <v/>
      </c>
    </row>
    <row r="1605" spans="38:42" ht="15" customHeight="1">
      <c r="AL1605" s="7" t="str">
        <f>IF(A1605="","",IF(COUNTIF(A1605:A$2001,A1605)=1,1,0))</f>
        <v/>
      </c>
      <c r="AM1605" s="7" t="str">
        <f t="shared" ca="1" si="97"/>
        <v/>
      </c>
      <c r="AN1605" s="7" t="str">
        <f t="shared" si="98"/>
        <v/>
      </c>
      <c r="AO1605" s="7" t="str">
        <f t="shared" si="99"/>
        <v/>
      </c>
      <c r="AP1605" s="15" t="str">
        <f t="shared" si="100"/>
        <v/>
      </c>
    </row>
    <row r="1606" spans="38:42" ht="15" customHeight="1">
      <c r="AL1606" s="7" t="str">
        <f>IF(A1606="","",IF(COUNTIF(A1606:A$2001,A1606)=1,1,0))</f>
        <v/>
      </c>
      <c r="AM1606" s="7" t="str">
        <f t="shared" ca="1" si="97"/>
        <v/>
      </c>
      <c r="AN1606" s="7" t="str">
        <f t="shared" si="98"/>
        <v/>
      </c>
      <c r="AO1606" s="7" t="str">
        <f t="shared" si="99"/>
        <v/>
      </c>
      <c r="AP1606" s="15" t="str">
        <f t="shared" si="100"/>
        <v/>
      </c>
    </row>
    <row r="1607" spans="38:42" ht="15" customHeight="1">
      <c r="AL1607" s="7" t="str">
        <f>IF(A1607="","",IF(COUNTIF(A1607:A$2001,A1607)=1,1,0))</f>
        <v/>
      </c>
      <c r="AM1607" s="7" t="str">
        <f t="shared" ca="1" si="97"/>
        <v/>
      </c>
      <c r="AN1607" s="7" t="str">
        <f t="shared" si="98"/>
        <v/>
      </c>
      <c r="AO1607" s="7" t="str">
        <f t="shared" si="99"/>
        <v/>
      </c>
      <c r="AP1607" s="15" t="str">
        <f t="shared" si="100"/>
        <v/>
      </c>
    </row>
    <row r="1608" spans="38:42" ht="15" customHeight="1">
      <c r="AL1608" s="7" t="str">
        <f>IF(A1608="","",IF(COUNTIF(A1608:A$2001,A1608)=1,1,0))</f>
        <v/>
      </c>
      <c r="AM1608" s="7" t="str">
        <f t="shared" ca="1" si="97"/>
        <v/>
      </c>
      <c r="AN1608" s="7" t="str">
        <f t="shared" si="98"/>
        <v/>
      </c>
      <c r="AO1608" s="7" t="str">
        <f t="shared" si="99"/>
        <v/>
      </c>
      <c r="AP1608" s="15" t="str">
        <f t="shared" si="100"/>
        <v/>
      </c>
    </row>
    <row r="1609" spans="38:42" ht="15" customHeight="1">
      <c r="AL1609" s="7" t="str">
        <f>IF(A1609="","",IF(COUNTIF(A1609:A$2001,A1609)=1,1,0))</f>
        <v/>
      </c>
      <c r="AM1609" s="7" t="str">
        <f t="shared" ca="1" si="97"/>
        <v/>
      </c>
      <c r="AN1609" s="7" t="str">
        <f t="shared" si="98"/>
        <v/>
      </c>
      <c r="AO1609" s="7" t="str">
        <f t="shared" si="99"/>
        <v/>
      </c>
      <c r="AP1609" s="15" t="str">
        <f t="shared" si="100"/>
        <v/>
      </c>
    </row>
    <row r="1610" spans="38:42" ht="15" customHeight="1">
      <c r="AL1610" s="7" t="str">
        <f>IF(A1610="","",IF(COUNTIF(A1610:A$2001,A1610)=1,1,0))</f>
        <v/>
      </c>
      <c r="AM1610" s="7" t="str">
        <f t="shared" ca="1" si="97"/>
        <v/>
      </c>
      <c r="AN1610" s="7" t="str">
        <f t="shared" si="98"/>
        <v/>
      </c>
      <c r="AO1610" s="7" t="str">
        <f t="shared" si="99"/>
        <v/>
      </c>
      <c r="AP1610" s="15" t="str">
        <f t="shared" si="100"/>
        <v/>
      </c>
    </row>
    <row r="1611" spans="38:42" ht="15" customHeight="1">
      <c r="AL1611" s="7" t="str">
        <f>IF(A1611="","",IF(COUNTIF(A1611:A$2001,A1611)=1,1,0))</f>
        <v/>
      </c>
      <c r="AM1611" s="7" t="str">
        <f t="shared" ca="1" si="97"/>
        <v/>
      </c>
      <c r="AN1611" s="7" t="str">
        <f t="shared" si="98"/>
        <v/>
      </c>
      <c r="AO1611" s="7" t="str">
        <f t="shared" si="99"/>
        <v/>
      </c>
      <c r="AP1611" s="15" t="str">
        <f t="shared" si="100"/>
        <v/>
      </c>
    </row>
    <row r="1612" spans="38:42" ht="15" customHeight="1">
      <c r="AL1612" s="7" t="str">
        <f>IF(A1612="","",IF(COUNTIF(A1612:A$2001,A1612)=1,1,0))</f>
        <v/>
      </c>
      <c r="AM1612" s="7" t="str">
        <f t="shared" ca="1" si="97"/>
        <v/>
      </c>
      <c r="AN1612" s="7" t="str">
        <f t="shared" si="98"/>
        <v/>
      </c>
      <c r="AO1612" s="7" t="str">
        <f t="shared" si="99"/>
        <v/>
      </c>
      <c r="AP1612" s="15" t="str">
        <f t="shared" si="100"/>
        <v/>
      </c>
    </row>
    <row r="1613" spans="38:42" ht="15" customHeight="1">
      <c r="AL1613" s="7" t="str">
        <f>IF(A1613="","",IF(COUNTIF(A1613:A$2001,A1613)=1,1,0))</f>
        <v/>
      </c>
      <c r="AM1613" s="7" t="str">
        <f t="shared" ca="1" si="97"/>
        <v/>
      </c>
      <c r="AN1613" s="7" t="str">
        <f t="shared" si="98"/>
        <v/>
      </c>
      <c r="AO1613" s="7" t="str">
        <f t="shared" si="99"/>
        <v/>
      </c>
      <c r="AP1613" s="15" t="str">
        <f t="shared" si="100"/>
        <v/>
      </c>
    </row>
    <row r="1614" spans="38:42" ht="15" customHeight="1">
      <c r="AL1614" s="7" t="str">
        <f>IF(A1614="","",IF(COUNTIF(A1614:A$2001,A1614)=1,1,0))</f>
        <v/>
      </c>
      <c r="AM1614" s="7" t="str">
        <f t="shared" ca="1" si="97"/>
        <v/>
      </c>
      <c r="AN1614" s="7" t="str">
        <f t="shared" si="98"/>
        <v/>
      </c>
      <c r="AO1614" s="7" t="str">
        <f t="shared" si="99"/>
        <v/>
      </c>
      <c r="AP1614" s="15" t="str">
        <f t="shared" si="100"/>
        <v/>
      </c>
    </row>
    <row r="1615" spans="38:42" ht="15" customHeight="1">
      <c r="AL1615" s="7" t="str">
        <f>IF(A1615="","",IF(COUNTIF(A1615:A$2001,A1615)=1,1,0))</f>
        <v/>
      </c>
      <c r="AM1615" s="7" t="str">
        <f t="shared" ca="1" si="97"/>
        <v/>
      </c>
      <c r="AN1615" s="7" t="str">
        <f t="shared" si="98"/>
        <v/>
      </c>
      <c r="AO1615" s="7" t="str">
        <f t="shared" si="99"/>
        <v/>
      </c>
      <c r="AP1615" s="15" t="str">
        <f t="shared" si="100"/>
        <v/>
      </c>
    </row>
    <row r="1616" spans="38:42" ht="15" customHeight="1">
      <c r="AL1616" s="7" t="str">
        <f>IF(A1616="","",IF(COUNTIF(A1616:A$2001,A1616)=1,1,0))</f>
        <v/>
      </c>
      <c r="AM1616" s="7" t="str">
        <f t="shared" ca="1" si="97"/>
        <v/>
      </c>
      <c r="AN1616" s="7" t="str">
        <f t="shared" si="98"/>
        <v/>
      </c>
      <c r="AO1616" s="7" t="str">
        <f t="shared" si="99"/>
        <v/>
      </c>
      <c r="AP1616" s="15" t="str">
        <f t="shared" si="100"/>
        <v/>
      </c>
    </row>
    <row r="1617" spans="38:42" ht="15" customHeight="1">
      <c r="AL1617" s="7" t="str">
        <f>IF(A1617="","",IF(COUNTIF(A1617:A$2001,A1617)=1,1,0))</f>
        <v/>
      </c>
      <c r="AM1617" s="7" t="str">
        <f t="shared" ca="1" si="97"/>
        <v/>
      </c>
      <c r="AN1617" s="7" t="str">
        <f t="shared" si="98"/>
        <v/>
      </c>
      <c r="AO1617" s="7" t="str">
        <f t="shared" si="99"/>
        <v/>
      </c>
      <c r="AP1617" s="15" t="str">
        <f t="shared" si="100"/>
        <v/>
      </c>
    </row>
    <row r="1618" spans="38:42" ht="15" customHeight="1">
      <c r="AL1618" s="7" t="str">
        <f>IF(A1618="","",IF(COUNTIF(A1618:A$2001,A1618)=1,1,0))</f>
        <v/>
      </c>
      <c r="AM1618" s="7" t="str">
        <f t="shared" ca="1" si="97"/>
        <v/>
      </c>
      <c r="AN1618" s="7" t="str">
        <f t="shared" si="98"/>
        <v/>
      </c>
      <c r="AO1618" s="7" t="str">
        <f t="shared" si="99"/>
        <v/>
      </c>
      <c r="AP1618" s="15" t="str">
        <f t="shared" si="100"/>
        <v/>
      </c>
    </row>
    <row r="1619" spans="38:42" ht="15" customHeight="1">
      <c r="AL1619" s="7" t="str">
        <f>IF(A1619="","",IF(COUNTIF(A1619:A$2001,A1619)=1,1,0))</f>
        <v/>
      </c>
      <c r="AM1619" s="7" t="str">
        <f t="shared" ca="1" si="97"/>
        <v/>
      </c>
      <c r="AN1619" s="7" t="str">
        <f t="shared" si="98"/>
        <v/>
      </c>
      <c r="AO1619" s="7" t="str">
        <f t="shared" si="99"/>
        <v/>
      </c>
      <c r="AP1619" s="15" t="str">
        <f t="shared" si="100"/>
        <v/>
      </c>
    </row>
    <row r="1620" spans="38:42" ht="15" customHeight="1">
      <c r="AL1620" s="7" t="str">
        <f>IF(A1620="","",IF(COUNTIF(A1620:A$2001,A1620)=1,1,0))</f>
        <v/>
      </c>
      <c r="AM1620" s="7" t="str">
        <f t="shared" ca="1" si="97"/>
        <v/>
      </c>
      <c r="AN1620" s="7" t="str">
        <f t="shared" si="98"/>
        <v/>
      </c>
      <c r="AO1620" s="7" t="str">
        <f t="shared" si="99"/>
        <v/>
      </c>
      <c r="AP1620" s="15" t="str">
        <f t="shared" si="100"/>
        <v/>
      </c>
    </row>
    <row r="1621" spans="38:42" ht="15" customHeight="1">
      <c r="AL1621" s="7" t="str">
        <f>IF(A1621="","",IF(COUNTIF(A1621:A$2001,A1621)=1,1,0))</f>
        <v/>
      </c>
      <c r="AM1621" s="7" t="str">
        <f t="shared" ca="1" si="97"/>
        <v/>
      </c>
      <c r="AN1621" s="7" t="str">
        <f t="shared" si="98"/>
        <v/>
      </c>
      <c r="AO1621" s="7" t="str">
        <f t="shared" si="99"/>
        <v/>
      </c>
      <c r="AP1621" s="15" t="str">
        <f t="shared" si="100"/>
        <v/>
      </c>
    </row>
    <row r="1622" spans="38:42" ht="15" customHeight="1">
      <c r="AL1622" s="7" t="str">
        <f>IF(A1622="","",IF(COUNTIF(A1622:A$2001,A1622)=1,1,0))</f>
        <v/>
      </c>
      <c r="AM1622" s="7" t="str">
        <f t="shared" ca="1" si="97"/>
        <v/>
      </c>
      <c r="AN1622" s="7" t="str">
        <f t="shared" si="98"/>
        <v/>
      </c>
      <c r="AO1622" s="7" t="str">
        <f t="shared" si="99"/>
        <v/>
      </c>
      <c r="AP1622" s="15" t="str">
        <f t="shared" si="100"/>
        <v/>
      </c>
    </row>
    <row r="1623" spans="38:42" ht="15" customHeight="1">
      <c r="AL1623" s="7" t="str">
        <f>IF(A1623="","",IF(COUNTIF(A1623:A$2001,A1623)=1,1,0))</f>
        <v/>
      </c>
      <c r="AM1623" s="7" t="str">
        <f t="shared" ca="1" si="97"/>
        <v/>
      </c>
      <c r="AN1623" s="7" t="str">
        <f t="shared" si="98"/>
        <v/>
      </c>
      <c r="AO1623" s="7" t="str">
        <f t="shared" si="99"/>
        <v/>
      </c>
      <c r="AP1623" s="15" t="str">
        <f t="shared" si="100"/>
        <v/>
      </c>
    </row>
    <row r="1624" spans="38:42" ht="15" customHeight="1">
      <c r="AL1624" s="7" t="str">
        <f>IF(A1624="","",IF(COUNTIF(A1624:A$2001,A1624)=1,1,0))</f>
        <v/>
      </c>
      <c r="AM1624" s="7" t="str">
        <f t="shared" ca="1" si="97"/>
        <v/>
      </c>
      <c r="AN1624" s="7" t="str">
        <f t="shared" si="98"/>
        <v/>
      </c>
      <c r="AO1624" s="7" t="str">
        <f t="shared" si="99"/>
        <v/>
      </c>
      <c r="AP1624" s="15" t="str">
        <f t="shared" si="100"/>
        <v/>
      </c>
    </row>
    <row r="1625" spans="38:42" ht="15" customHeight="1">
      <c r="AL1625" s="7" t="str">
        <f>IF(A1625="","",IF(COUNTIF(A1625:A$2001,A1625)=1,1,0))</f>
        <v/>
      </c>
      <c r="AM1625" s="7" t="str">
        <f t="shared" ca="1" si="97"/>
        <v/>
      </c>
      <c r="AN1625" s="7" t="str">
        <f t="shared" si="98"/>
        <v/>
      </c>
      <c r="AO1625" s="7" t="str">
        <f t="shared" si="99"/>
        <v/>
      </c>
      <c r="AP1625" s="15" t="str">
        <f t="shared" si="100"/>
        <v/>
      </c>
    </row>
    <row r="1626" spans="38:42" ht="15" customHeight="1">
      <c r="AL1626" s="7" t="str">
        <f>IF(A1626="","",IF(COUNTIF(A1626:A$2001,A1626)=1,1,0))</f>
        <v/>
      </c>
      <c r="AM1626" s="7" t="str">
        <f t="shared" ca="1" si="97"/>
        <v/>
      </c>
      <c r="AN1626" s="7" t="str">
        <f t="shared" si="98"/>
        <v/>
      </c>
      <c r="AO1626" s="7" t="str">
        <f t="shared" si="99"/>
        <v/>
      </c>
      <c r="AP1626" s="15" t="str">
        <f t="shared" si="100"/>
        <v/>
      </c>
    </row>
    <row r="1627" spans="38:42" ht="15" customHeight="1">
      <c r="AL1627" s="7" t="str">
        <f>IF(A1627="","",IF(COUNTIF(A1627:A$2001,A1627)=1,1,0))</f>
        <v/>
      </c>
      <c r="AM1627" s="7" t="str">
        <f t="shared" ca="1" si="97"/>
        <v/>
      </c>
      <c r="AN1627" s="7" t="str">
        <f t="shared" si="98"/>
        <v/>
      </c>
      <c r="AO1627" s="7" t="str">
        <f t="shared" si="99"/>
        <v/>
      </c>
      <c r="AP1627" s="15" t="str">
        <f t="shared" si="100"/>
        <v/>
      </c>
    </row>
    <row r="1628" spans="38:42" ht="15" customHeight="1">
      <c r="AL1628" s="7" t="str">
        <f>IF(A1628="","",IF(COUNTIF(A1628:A$2001,A1628)=1,1,0))</f>
        <v/>
      </c>
      <c r="AM1628" s="7" t="str">
        <f t="shared" ca="1" si="97"/>
        <v/>
      </c>
      <c r="AN1628" s="7" t="str">
        <f t="shared" si="98"/>
        <v/>
      </c>
      <c r="AO1628" s="7" t="str">
        <f t="shared" si="99"/>
        <v/>
      </c>
      <c r="AP1628" s="15" t="str">
        <f t="shared" si="100"/>
        <v/>
      </c>
    </row>
    <row r="1629" spans="38:42" ht="15" customHeight="1">
      <c r="AL1629" s="7" t="str">
        <f>IF(A1629="","",IF(COUNTIF(A1629:A$2001,A1629)=1,1,0))</f>
        <v/>
      </c>
      <c r="AM1629" s="7" t="str">
        <f t="shared" ca="1" si="97"/>
        <v/>
      </c>
      <c r="AN1629" s="7" t="str">
        <f t="shared" si="98"/>
        <v/>
      </c>
      <c r="AO1629" s="7" t="str">
        <f t="shared" si="99"/>
        <v/>
      </c>
      <c r="AP1629" s="15" t="str">
        <f t="shared" si="100"/>
        <v/>
      </c>
    </row>
    <row r="1630" spans="38:42" ht="15" customHeight="1">
      <c r="AL1630" s="7" t="str">
        <f>IF(A1630="","",IF(COUNTIF(A1630:A$2001,A1630)=1,1,0))</f>
        <v/>
      </c>
      <c r="AM1630" s="7" t="str">
        <f t="shared" ca="1" si="97"/>
        <v/>
      </c>
      <c r="AN1630" s="7" t="str">
        <f t="shared" si="98"/>
        <v/>
      </c>
      <c r="AO1630" s="7" t="str">
        <f t="shared" si="99"/>
        <v/>
      </c>
      <c r="AP1630" s="15" t="str">
        <f t="shared" si="100"/>
        <v/>
      </c>
    </row>
    <row r="1631" spans="38:42" ht="15" customHeight="1">
      <c r="AL1631" s="7" t="str">
        <f>IF(A1631="","",IF(COUNTIF(A1631:A$2001,A1631)=1,1,0))</f>
        <v/>
      </c>
      <c r="AM1631" s="7" t="str">
        <f t="shared" ca="1" si="97"/>
        <v/>
      </c>
      <c r="AN1631" s="7" t="str">
        <f t="shared" si="98"/>
        <v/>
      </c>
      <c r="AO1631" s="7" t="str">
        <f t="shared" si="99"/>
        <v/>
      </c>
      <c r="AP1631" s="15" t="str">
        <f t="shared" si="100"/>
        <v/>
      </c>
    </row>
    <row r="1632" spans="38:42" ht="15" customHeight="1">
      <c r="AL1632" s="7" t="str">
        <f>IF(A1632="","",IF(COUNTIF(A1632:A$2001,A1632)=1,1,0))</f>
        <v/>
      </c>
      <c r="AM1632" s="7" t="str">
        <f t="shared" ca="1" si="97"/>
        <v/>
      </c>
      <c r="AN1632" s="7" t="str">
        <f t="shared" si="98"/>
        <v/>
      </c>
      <c r="AO1632" s="7" t="str">
        <f t="shared" si="99"/>
        <v/>
      </c>
      <c r="AP1632" s="15" t="str">
        <f t="shared" si="100"/>
        <v/>
      </c>
    </row>
    <row r="1633" spans="38:42" ht="15" customHeight="1">
      <c r="AL1633" s="7" t="str">
        <f>IF(A1633="","",IF(COUNTIF(A1633:A$2001,A1633)=1,1,0))</f>
        <v/>
      </c>
      <c r="AM1633" s="7" t="str">
        <f t="shared" ca="1" si="97"/>
        <v/>
      </c>
      <c r="AN1633" s="7" t="str">
        <f t="shared" si="98"/>
        <v/>
      </c>
      <c r="AO1633" s="7" t="str">
        <f t="shared" si="99"/>
        <v/>
      </c>
      <c r="AP1633" s="15" t="str">
        <f t="shared" si="100"/>
        <v/>
      </c>
    </row>
    <row r="1634" spans="38:42" ht="15" customHeight="1">
      <c r="AL1634" s="7" t="str">
        <f>IF(A1634="","",IF(COUNTIF(A1634:A$2001,A1634)=1,1,0))</f>
        <v/>
      </c>
      <c r="AM1634" s="7" t="str">
        <f t="shared" ca="1" si="97"/>
        <v/>
      </c>
      <c r="AN1634" s="7" t="str">
        <f t="shared" si="98"/>
        <v/>
      </c>
      <c r="AO1634" s="7" t="str">
        <f t="shared" si="99"/>
        <v/>
      </c>
      <c r="AP1634" s="15" t="str">
        <f t="shared" si="100"/>
        <v/>
      </c>
    </row>
    <row r="1635" spans="38:42" ht="15" customHeight="1">
      <c r="AL1635" s="7" t="str">
        <f>IF(A1635="","",IF(COUNTIF(A1635:A$2001,A1635)=1,1,0))</f>
        <v/>
      </c>
      <c r="AM1635" s="7" t="str">
        <f t="shared" ca="1" si="97"/>
        <v/>
      </c>
      <c r="AN1635" s="7" t="str">
        <f t="shared" si="98"/>
        <v/>
      </c>
      <c r="AO1635" s="7" t="str">
        <f t="shared" si="99"/>
        <v/>
      </c>
      <c r="AP1635" s="15" t="str">
        <f t="shared" si="100"/>
        <v/>
      </c>
    </row>
    <row r="1636" spans="38:42" ht="15" customHeight="1">
      <c r="AL1636" s="7" t="str">
        <f>IF(A1636="","",IF(COUNTIF(A1636:A$2001,A1636)=1,1,0))</f>
        <v/>
      </c>
      <c r="AM1636" s="7" t="str">
        <f t="shared" ca="1" si="97"/>
        <v/>
      </c>
      <c r="AN1636" s="7" t="str">
        <f t="shared" si="98"/>
        <v/>
      </c>
      <c r="AO1636" s="7" t="str">
        <f t="shared" si="99"/>
        <v/>
      </c>
      <c r="AP1636" s="15" t="str">
        <f t="shared" si="100"/>
        <v/>
      </c>
    </row>
    <row r="1637" spans="38:42" ht="15" customHeight="1">
      <c r="AL1637" s="7" t="str">
        <f>IF(A1637="","",IF(COUNTIF(A1637:A$2001,A1637)=1,1,0))</f>
        <v/>
      </c>
      <c r="AM1637" s="7" t="str">
        <f t="shared" ca="1" si="97"/>
        <v/>
      </c>
      <c r="AN1637" s="7" t="str">
        <f t="shared" si="98"/>
        <v/>
      </c>
      <c r="AO1637" s="7" t="str">
        <f t="shared" si="99"/>
        <v/>
      </c>
      <c r="AP1637" s="15" t="str">
        <f t="shared" si="100"/>
        <v/>
      </c>
    </row>
    <row r="1638" spans="38:42" ht="15" customHeight="1">
      <c r="AL1638" s="7" t="str">
        <f>IF(A1638="","",IF(COUNTIF(A1638:A$2001,A1638)=1,1,0))</f>
        <v/>
      </c>
      <c r="AM1638" s="7" t="str">
        <f t="shared" ca="1" si="97"/>
        <v/>
      </c>
      <c r="AN1638" s="7" t="str">
        <f t="shared" si="98"/>
        <v/>
      </c>
      <c r="AO1638" s="7" t="str">
        <f t="shared" si="99"/>
        <v/>
      </c>
      <c r="AP1638" s="15" t="str">
        <f t="shared" si="100"/>
        <v/>
      </c>
    </row>
    <row r="1639" spans="38:42" ht="15" customHeight="1">
      <c r="AL1639" s="7" t="str">
        <f>IF(A1639="","",IF(COUNTIF(A1639:A$2001,A1639)=1,1,0))</f>
        <v/>
      </c>
      <c r="AM1639" s="7" t="str">
        <f t="shared" ca="1" si="97"/>
        <v/>
      </c>
      <c r="AN1639" s="7" t="str">
        <f t="shared" si="98"/>
        <v/>
      </c>
      <c r="AO1639" s="7" t="str">
        <f t="shared" si="99"/>
        <v/>
      </c>
      <c r="AP1639" s="15" t="str">
        <f t="shared" si="100"/>
        <v/>
      </c>
    </row>
    <row r="1640" spans="38:42" ht="15" customHeight="1">
      <c r="AL1640" s="7" t="str">
        <f>IF(A1640="","",IF(COUNTIF(A1640:A$2001,A1640)=1,1,0))</f>
        <v/>
      </c>
      <c r="AM1640" s="7" t="str">
        <f t="shared" ca="1" si="97"/>
        <v/>
      </c>
      <c r="AN1640" s="7" t="str">
        <f t="shared" si="98"/>
        <v/>
      </c>
      <c r="AO1640" s="7" t="str">
        <f t="shared" si="99"/>
        <v/>
      </c>
      <c r="AP1640" s="15" t="str">
        <f t="shared" si="100"/>
        <v/>
      </c>
    </row>
    <row r="1641" spans="38:42" ht="15" customHeight="1">
      <c r="AL1641" s="7" t="str">
        <f>IF(A1641="","",IF(COUNTIF(A1641:A$2001,A1641)=1,1,0))</f>
        <v/>
      </c>
      <c r="AM1641" s="7" t="str">
        <f t="shared" ca="1" si="97"/>
        <v/>
      </c>
      <c r="AN1641" s="7" t="str">
        <f t="shared" si="98"/>
        <v/>
      </c>
      <c r="AO1641" s="7" t="str">
        <f t="shared" si="99"/>
        <v/>
      </c>
      <c r="AP1641" s="15" t="str">
        <f t="shared" si="100"/>
        <v/>
      </c>
    </row>
    <row r="1642" spans="38:42" ht="15" customHeight="1">
      <c r="AL1642" s="7" t="str">
        <f>IF(A1642="","",IF(COUNTIF(A1642:A$2001,A1642)=1,1,0))</f>
        <v/>
      </c>
      <c r="AM1642" s="7" t="str">
        <f t="shared" ca="1" si="97"/>
        <v/>
      </c>
      <c r="AN1642" s="7" t="str">
        <f t="shared" si="98"/>
        <v/>
      </c>
      <c r="AO1642" s="7" t="str">
        <f t="shared" si="99"/>
        <v/>
      </c>
      <c r="AP1642" s="15" t="str">
        <f t="shared" si="100"/>
        <v/>
      </c>
    </row>
    <row r="1643" spans="38:42" ht="15" customHeight="1">
      <c r="AL1643" s="7" t="str">
        <f>IF(A1643="","",IF(COUNTIF(A1643:A$2001,A1643)=1,1,0))</f>
        <v/>
      </c>
      <c r="AM1643" s="7" t="str">
        <f t="shared" ca="1" si="97"/>
        <v/>
      </c>
      <c r="AN1643" s="7" t="str">
        <f t="shared" si="98"/>
        <v/>
      </c>
      <c r="AO1643" s="7" t="str">
        <f t="shared" si="99"/>
        <v/>
      </c>
      <c r="AP1643" s="15" t="str">
        <f t="shared" si="100"/>
        <v/>
      </c>
    </row>
    <row r="1644" spans="38:42" ht="15" customHeight="1">
      <c r="AL1644" s="7" t="str">
        <f>IF(A1644="","",IF(COUNTIF(A1644:A$2001,A1644)=1,1,0))</f>
        <v/>
      </c>
      <c r="AM1644" s="7" t="str">
        <f t="shared" ca="1" si="97"/>
        <v/>
      </c>
      <c r="AN1644" s="7" t="str">
        <f t="shared" si="98"/>
        <v/>
      </c>
      <c r="AO1644" s="7" t="str">
        <f t="shared" si="99"/>
        <v/>
      </c>
      <c r="AP1644" s="15" t="str">
        <f t="shared" si="100"/>
        <v/>
      </c>
    </row>
    <row r="1645" spans="38:42" ht="15" customHeight="1">
      <c r="AL1645" s="7" t="str">
        <f>IF(A1645="","",IF(COUNTIF(A1645:A$2001,A1645)=1,1,0))</f>
        <v/>
      </c>
      <c r="AM1645" s="7" t="str">
        <f t="shared" ca="1" si="97"/>
        <v/>
      </c>
      <c r="AN1645" s="7" t="str">
        <f t="shared" si="98"/>
        <v/>
      </c>
      <c r="AO1645" s="7" t="str">
        <f t="shared" si="99"/>
        <v/>
      </c>
      <c r="AP1645" s="15" t="str">
        <f t="shared" si="100"/>
        <v/>
      </c>
    </row>
    <row r="1646" spans="38:42" ht="15" customHeight="1">
      <c r="AL1646" s="7" t="str">
        <f>IF(A1646="","",IF(COUNTIF(A1646:A$2001,A1646)=1,1,0))</f>
        <v/>
      </c>
      <c r="AM1646" s="7" t="str">
        <f t="shared" ca="1" si="97"/>
        <v/>
      </c>
      <c r="AN1646" s="7" t="str">
        <f t="shared" si="98"/>
        <v/>
      </c>
      <c r="AO1646" s="7" t="str">
        <f t="shared" si="99"/>
        <v/>
      </c>
      <c r="AP1646" s="15" t="str">
        <f t="shared" si="100"/>
        <v/>
      </c>
    </row>
    <row r="1647" spans="38:42" ht="15" customHeight="1">
      <c r="AL1647" s="7" t="str">
        <f>IF(A1647="","",IF(COUNTIF(A1647:A$2001,A1647)=1,1,0))</f>
        <v/>
      </c>
      <c r="AM1647" s="7" t="str">
        <f t="shared" ca="1" si="97"/>
        <v/>
      </c>
      <c r="AN1647" s="7" t="str">
        <f t="shared" si="98"/>
        <v/>
      </c>
      <c r="AO1647" s="7" t="str">
        <f t="shared" si="99"/>
        <v/>
      </c>
      <c r="AP1647" s="15" t="str">
        <f t="shared" si="100"/>
        <v/>
      </c>
    </row>
    <row r="1648" spans="38:42" ht="15" customHeight="1">
      <c r="AL1648" s="7" t="str">
        <f>IF(A1648="","",IF(COUNTIF(A1648:A$2001,A1648)=1,1,0))</f>
        <v/>
      </c>
      <c r="AM1648" s="7" t="str">
        <f t="shared" ca="1" si="97"/>
        <v/>
      </c>
      <c r="AN1648" s="7" t="str">
        <f t="shared" si="98"/>
        <v/>
      </c>
      <c r="AO1648" s="7" t="str">
        <f t="shared" si="99"/>
        <v/>
      </c>
      <c r="AP1648" s="15" t="str">
        <f t="shared" si="100"/>
        <v/>
      </c>
    </row>
    <row r="1649" spans="38:42" ht="15" customHeight="1">
      <c r="AL1649" s="7" t="str">
        <f>IF(A1649="","",IF(COUNTIF(A1649:A$2001,A1649)=1,1,0))</f>
        <v/>
      </c>
      <c r="AM1649" s="7" t="str">
        <f t="shared" ca="1" si="97"/>
        <v/>
      </c>
      <c r="AN1649" s="7" t="str">
        <f t="shared" si="98"/>
        <v/>
      </c>
      <c r="AO1649" s="7" t="str">
        <f t="shared" si="99"/>
        <v/>
      </c>
      <c r="AP1649" s="15" t="str">
        <f t="shared" si="100"/>
        <v/>
      </c>
    </row>
    <row r="1650" spans="38:42" ht="15" customHeight="1">
      <c r="AL1650" s="7" t="str">
        <f>IF(A1650="","",IF(COUNTIF(A1650:A$2001,A1650)=1,1,0))</f>
        <v/>
      </c>
      <c r="AM1650" s="7" t="str">
        <f t="shared" ca="1" si="97"/>
        <v/>
      </c>
      <c r="AN1650" s="7" t="str">
        <f t="shared" si="98"/>
        <v/>
      </c>
      <c r="AO1650" s="7" t="str">
        <f t="shared" si="99"/>
        <v/>
      </c>
      <c r="AP1650" s="15" t="str">
        <f t="shared" si="100"/>
        <v/>
      </c>
    </row>
    <row r="1651" spans="38:42" ht="15" customHeight="1">
      <c r="AL1651" s="7" t="str">
        <f>IF(A1651="","",IF(COUNTIF(A1651:A$2001,A1651)=1,1,0))</f>
        <v/>
      </c>
      <c r="AM1651" s="7" t="str">
        <f t="shared" ca="1" si="97"/>
        <v/>
      </c>
      <c r="AN1651" s="7" t="str">
        <f t="shared" si="98"/>
        <v/>
      </c>
      <c r="AO1651" s="7" t="str">
        <f t="shared" si="99"/>
        <v/>
      </c>
      <c r="AP1651" s="15" t="str">
        <f t="shared" si="100"/>
        <v/>
      </c>
    </row>
    <row r="1652" spans="38:42" ht="15" customHeight="1">
      <c r="AL1652" s="7" t="str">
        <f>IF(A1652="","",IF(COUNTIF(A1652:A$2001,A1652)=1,1,0))</f>
        <v/>
      </c>
      <c r="AM1652" s="7" t="str">
        <f t="shared" ca="1" si="97"/>
        <v/>
      </c>
      <c r="AN1652" s="7" t="str">
        <f t="shared" si="98"/>
        <v/>
      </c>
      <c r="AO1652" s="7" t="str">
        <f t="shared" si="99"/>
        <v/>
      </c>
      <c r="AP1652" s="15" t="str">
        <f t="shared" si="100"/>
        <v/>
      </c>
    </row>
    <row r="1653" spans="38:42" ht="15" customHeight="1">
      <c r="AL1653" s="7" t="str">
        <f>IF(A1653="","",IF(COUNTIF(A1653:A$2001,A1653)=1,1,0))</f>
        <v/>
      </c>
      <c r="AM1653" s="7" t="str">
        <f t="shared" ca="1" si="97"/>
        <v/>
      </c>
      <c r="AN1653" s="7" t="str">
        <f t="shared" si="98"/>
        <v/>
      </c>
      <c r="AO1653" s="7" t="str">
        <f t="shared" si="99"/>
        <v/>
      </c>
      <c r="AP1653" s="15" t="str">
        <f t="shared" si="100"/>
        <v/>
      </c>
    </row>
    <row r="1654" spans="38:42" ht="15" customHeight="1">
      <c r="AL1654" s="7" t="str">
        <f>IF(A1654="","",IF(COUNTIF(A1654:A$2001,A1654)=1,1,0))</f>
        <v/>
      </c>
      <c r="AM1654" s="7" t="str">
        <f t="shared" ca="1" si="97"/>
        <v/>
      </c>
      <c r="AN1654" s="7" t="str">
        <f t="shared" si="98"/>
        <v/>
      </c>
      <c r="AO1654" s="7" t="str">
        <f t="shared" si="99"/>
        <v/>
      </c>
      <c r="AP1654" s="15" t="str">
        <f t="shared" si="100"/>
        <v/>
      </c>
    </row>
    <row r="1655" spans="38:42" ht="15" customHeight="1">
      <c r="AL1655" s="7" t="str">
        <f>IF(A1655="","",IF(COUNTIF(A1655:A$2001,A1655)=1,1,0))</f>
        <v/>
      </c>
      <c r="AM1655" s="7" t="str">
        <f t="shared" ca="1" si="97"/>
        <v/>
      </c>
      <c r="AN1655" s="7" t="str">
        <f t="shared" si="98"/>
        <v/>
      </c>
      <c r="AO1655" s="7" t="str">
        <f t="shared" si="99"/>
        <v/>
      </c>
      <c r="AP1655" s="15" t="str">
        <f t="shared" si="100"/>
        <v/>
      </c>
    </row>
    <row r="1656" spans="38:42" ht="15" customHeight="1">
      <c r="AL1656" s="7" t="str">
        <f>IF(A1656="","",IF(COUNTIF(A1656:A$2001,A1656)=1,1,0))</f>
        <v/>
      </c>
      <c r="AM1656" s="7" t="str">
        <f t="shared" ca="1" si="97"/>
        <v/>
      </c>
      <c r="AN1656" s="7" t="str">
        <f t="shared" si="98"/>
        <v/>
      </c>
      <c r="AO1656" s="7" t="str">
        <f t="shared" si="99"/>
        <v/>
      </c>
      <c r="AP1656" s="15" t="str">
        <f t="shared" si="100"/>
        <v/>
      </c>
    </row>
    <row r="1657" spans="38:42" ht="15" customHeight="1">
      <c r="AL1657" s="7" t="str">
        <f>IF(A1657="","",IF(COUNTIF(A1657:A$2001,A1657)=1,1,0))</f>
        <v/>
      </c>
      <c r="AM1657" s="7" t="str">
        <f t="shared" ca="1" si="97"/>
        <v/>
      </c>
      <c r="AN1657" s="7" t="str">
        <f t="shared" si="98"/>
        <v/>
      </c>
      <c r="AO1657" s="7" t="str">
        <f t="shared" si="99"/>
        <v/>
      </c>
      <c r="AP1657" s="15" t="str">
        <f t="shared" si="100"/>
        <v/>
      </c>
    </row>
    <row r="1658" spans="38:42" ht="15" customHeight="1">
      <c r="AL1658" s="7" t="str">
        <f>IF(A1658="","",IF(COUNTIF(A1658:A$2001,A1658)=1,1,0))</f>
        <v/>
      </c>
      <c r="AM1658" s="7" t="str">
        <f t="shared" ca="1" si="97"/>
        <v/>
      </c>
      <c r="AN1658" s="7" t="str">
        <f t="shared" si="98"/>
        <v/>
      </c>
      <c r="AO1658" s="7" t="str">
        <f t="shared" si="99"/>
        <v/>
      </c>
      <c r="AP1658" s="15" t="str">
        <f t="shared" si="100"/>
        <v/>
      </c>
    </row>
    <row r="1659" spans="38:42" ht="15" customHeight="1">
      <c r="AL1659" s="7" t="str">
        <f>IF(A1659="","",IF(COUNTIF(A1659:A$2001,A1659)=1,1,0))</f>
        <v/>
      </c>
      <c r="AM1659" s="7" t="str">
        <f t="shared" ca="1" si="97"/>
        <v/>
      </c>
      <c r="AN1659" s="7" t="str">
        <f t="shared" si="98"/>
        <v/>
      </c>
      <c r="AO1659" s="7" t="str">
        <f t="shared" si="99"/>
        <v/>
      </c>
      <c r="AP1659" s="15" t="str">
        <f t="shared" si="100"/>
        <v/>
      </c>
    </row>
    <row r="1660" spans="38:42" ht="15" customHeight="1">
      <c r="AL1660" s="7" t="str">
        <f>IF(A1660="","",IF(COUNTIF(A1660:A$2001,A1660)=1,1,0))</f>
        <v/>
      </c>
      <c r="AM1660" s="7" t="str">
        <f t="shared" ca="1" si="97"/>
        <v/>
      </c>
      <c r="AN1660" s="7" t="str">
        <f t="shared" si="98"/>
        <v/>
      </c>
      <c r="AO1660" s="7" t="str">
        <f t="shared" si="99"/>
        <v/>
      </c>
      <c r="AP1660" s="15" t="str">
        <f t="shared" si="100"/>
        <v/>
      </c>
    </row>
    <row r="1661" spans="38:42" ht="15" customHeight="1">
      <c r="AL1661" s="7" t="str">
        <f>IF(A1661="","",IF(COUNTIF(A1661:A$2001,A1661)=1,1,0))</f>
        <v/>
      </c>
      <c r="AM1661" s="7" t="str">
        <f t="shared" ca="1" si="97"/>
        <v/>
      </c>
      <c r="AN1661" s="7" t="str">
        <f t="shared" si="98"/>
        <v/>
      </c>
      <c r="AO1661" s="7" t="str">
        <f t="shared" si="99"/>
        <v/>
      </c>
      <c r="AP1661" s="15" t="str">
        <f t="shared" si="100"/>
        <v/>
      </c>
    </row>
    <row r="1662" spans="38:42" ht="15" customHeight="1">
      <c r="AL1662" s="7" t="str">
        <f>IF(A1662="","",IF(COUNTIF(A1662:A$2001,A1662)=1,1,0))</f>
        <v/>
      </c>
      <c r="AM1662" s="7" t="str">
        <f t="shared" ca="1" si="97"/>
        <v/>
      </c>
      <c r="AN1662" s="7" t="str">
        <f t="shared" si="98"/>
        <v/>
      </c>
      <c r="AO1662" s="7" t="str">
        <f t="shared" si="99"/>
        <v/>
      </c>
      <c r="AP1662" s="15" t="str">
        <f t="shared" si="100"/>
        <v/>
      </c>
    </row>
    <row r="1663" spans="38:42" ht="15" customHeight="1">
      <c r="AL1663" s="7" t="str">
        <f>IF(A1663="","",IF(COUNTIF(A1663:A$2001,A1663)=1,1,0))</f>
        <v/>
      </c>
      <c r="AM1663" s="7" t="str">
        <f t="shared" ca="1" si="97"/>
        <v/>
      </c>
      <c r="AN1663" s="7" t="str">
        <f t="shared" si="98"/>
        <v/>
      </c>
      <c r="AO1663" s="7" t="str">
        <f t="shared" si="99"/>
        <v/>
      </c>
      <c r="AP1663" s="15" t="str">
        <f t="shared" si="100"/>
        <v/>
      </c>
    </row>
    <row r="1664" spans="38:42" ht="15" customHeight="1">
      <c r="AL1664" s="7" t="str">
        <f>IF(A1664="","",IF(COUNTIF(A1664:A$2001,A1664)=1,1,0))</f>
        <v/>
      </c>
      <c r="AM1664" s="7" t="str">
        <f t="shared" ca="1" si="97"/>
        <v/>
      </c>
      <c r="AN1664" s="7" t="str">
        <f t="shared" si="98"/>
        <v/>
      </c>
      <c r="AO1664" s="7" t="str">
        <f t="shared" si="99"/>
        <v/>
      </c>
      <c r="AP1664" s="15" t="str">
        <f t="shared" si="100"/>
        <v/>
      </c>
    </row>
    <row r="1665" spans="38:42" ht="15" customHeight="1">
      <c r="AL1665" s="7" t="str">
        <f>IF(A1665="","",IF(COUNTIF(A1665:A$2001,A1665)=1,1,0))</f>
        <v/>
      </c>
      <c r="AM1665" s="7" t="str">
        <f t="shared" ca="1" si="97"/>
        <v/>
      </c>
      <c r="AN1665" s="7" t="str">
        <f t="shared" si="98"/>
        <v/>
      </c>
      <c r="AO1665" s="7" t="str">
        <f t="shared" si="99"/>
        <v/>
      </c>
      <c r="AP1665" s="15" t="str">
        <f t="shared" si="100"/>
        <v/>
      </c>
    </row>
    <row r="1666" spans="38:42" ht="15" customHeight="1">
      <c r="AL1666" s="7" t="str">
        <f>IF(A1666="","",IF(COUNTIF(A1666:A$2001,A1666)=1,1,0))</f>
        <v/>
      </c>
      <c r="AM1666" s="7" t="str">
        <f t="shared" ref="AM1666:AM1729" ca="1" si="101">IF(I1666="","",TODAY()-I1666)</f>
        <v/>
      </c>
      <c r="AN1666" s="7" t="str">
        <f t="shared" ref="AN1666:AN1729" si="102">IF(A1666="","",IF(AND(E1666&lt;&gt;"33 確認済",E1666&lt;&gt;"36 送付中"),1,0))</f>
        <v/>
      </c>
      <c r="AO1666" s="7" t="str">
        <f t="shared" ref="AO1666:AO1729" si="103">IF(A1666="","",IF(AG1666&lt;&gt;"",1,0))</f>
        <v/>
      </c>
      <c r="AP1666" s="15" t="str">
        <f t="shared" ref="AP1666:AP1729" si="104">IF(P1666&lt;&gt;"","・添待ち","")&amp;IF(Q1666&lt;&gt;"","・住民票","")&amp;IF(R1666&lt;&gt;"","・発信","")&amp;IF(S1666&lt;&gt;"","・確認事項","")&amp;IF(T1666&lt;&gt;"","・管","")&amp;IF(U1666&lt;&gt;"","・SV","")&amp;IF(V1666&lt;&gt;"","・データ送付待ち","")&amp;IF(W1666&lt;&gt;"","・削除","")</f>
        <v/>
      </c>
    </row>
    <row r="1667" spans="38:42" ht="15" customHeight="1">
      <c r="AL1667" s="7" t="str">
        <f>IF(A1667="","",IF(COUNTIF(A1667:A$2001,A1667)=1,1,0))</f>
        <v/>
      </c>
      <c r="AM1667" s="7" t="str">
        <f t="shared" ca="1" si="101"/>
        <v/>
      </c>
      <c r="AN1667" s="7" t="str">
        <f t="shared" si="102"/>
        <v/>
      </c>
      <c r="AO1667" s="7" t="str">
        <f t="shared" si="103"/>
        <v/>
      </c>
      <c r="AP1667" s="15" t="str">
        <f t="shared" si="104"/>
        <v/>
      </c>
    </row>
    <row r="1668" spans="38:42" ht="15" customHeight="1">
      <c r="AL1668" s="7" t="str">
        <f>IF(A1668="","",IF(COUNTIF(A1668:A$2001,A1668)=1,1,0))</f>
        <v/>
      </c>
      <c r="AM1668" s="7" t="str">
        <f t="shared" ca="1" si="101"/>
        <v/>
      </c>
      <c r="AN1668" s="7" t="str">
        <f t="shared" si="102"/>
        <v/>
      </c>
      <c r="AO1668" s="7" t="str">
        <f t="shared" si="103"/>
        <v/>
      </c>
      <c r="AP1668" s="15" t="str">
        <f t="shared" si="104"/>
        <v/>
      </c>
    </row>
    <row r="1669" spans="38:42" ht="15" customHeight="1">
      <c r="AL1669" s="7" t="str">
        <f>IF(A1669="","",IF(COUNTIF(A1669:A$2001,A1669)=1,1,0))</f>
        <v/>
      </c>
      <c r="AM1669" s="7" t="str">
        <f t="shared" ca="1" si="101"/>
        <v/>
      </c>
      <c r="AN1669" s="7" t="str">
        <f t="shared" si="102"/>
        <v/>
      </c>
      <c r="AO1669" s="7" t="str">
        <f t="shared" si="103"/>
        <v/>
      </c>
      <c r="AP1669" s="15" t="str">
        <f t="shared" si="104"/>
        <v/>
      </c>
    </row>
    <row r="1670" spans="38:42" ht="15" customHeight="1">
      <c r="AL1670" s="7" t="str">
        <f>IF(A1670="","",IF(COUNTIF(A1670:A$2001,A1670)=1,1,0))</f>
        <v/>
      </c>
      <c r="AM1670" s="7" t="str">
        <f t="shared" ca="1" si="101"/>
        <v/>
      </c>
      <c r="AN1670" s="7" t="str">
        <f t="shared" si="102"/>
        <v/>
      </c>
      <c r="AO1670" s="7" t="str">
        <f t="shared" si="103"/>
        <v/>
      </c>
      <c r="AP1670" s="15" t="str">
        <f t="shared" si="104"/>
        <v/>
      </c>
    </row>
    <row r="1671" spans="38:42" ht="15" customHeight="1">
      <c r="AL1671" s="7" t="str">
        <f>IF(A1671="","",IF(COUNTIF(A1671:A$2001,A1671)=1,1,0))</f>
        <v/>
      </c>
      <c r="AM1671" s="7" t="str">
        <f t="shared" ca="1" si="101"/>
        <v/>
      </c>
      <c r="AN1671" s="7" t="str">
        <f t="shared" si="102"/>
        <v/>
      </c>
      <c r="AO1671" s="7" t="str">
        <f t="shared" si="103"/>
        <v/>
      </c>
      <c r="AP1671" s="15" t="str">
        <f t="shared" si="104"/>
        <v/>
      </c>
    </row>
    <row r="1672" spans="38:42" ht="15" customHeight="1">
      <c r="AL1672" s="7" t="str">
        <f>IF(A1672="","",IF(COUNTIF(A1672:A$2001,A1672)=1,1,0))</f>
        <v/>
      </c>
      <c r="AM1672" s="7" t="str">
        <f t="shared" ca="1" si="101"/>
        <v/>
      </c>
      <c r="AN1672" s="7" t="str">
        <f t="shared" si="102"/>
        <v/>
      </c>
      <c r="AO1672" s="7" t="str">
        <f t="shared" si="103"/>
        <v/>
      </c>
      <c r="AP1672" s="15" t="str">
        <f t="shared" si="104"/>
        <v/>
      </c>
    </row>
    <row r="1673" spans="38:42" ht="15" customHeight="1">
      <c r="AL1673" s="7" t="str">
        <f>IF(A1673="","",IF(COUNTIF(A1673:A$2001,A1673)=1,1,0))</f>
        <v/>
      </c>
      <c r="AM1673" s="7" t="str">
        <f t="shared" ca="1" si="101"/>
        <v/>
      </c>
      <c r="AN1673" s="7" t="str">
        <f t="shared" si="102"/>
        <v/>
      </c>
      <c r="AO1673" s="7" t="str">
        <f t="shared" si="103"/>
        <v/>
      </c>
      <c r="AP1673" s="15" t="str">
        <f t="shared" si="104"/>
        <v/>
      </c>
    </row>
    <row r="1674" spans="38:42" ht="15" customHeight="1">
      <c r="AL1674" s="7" t="str">
        <f>IF(A1674="","",IF(COUNTIF(A1674:A$2001,A1674)=1,1,0))</f>
        <v/>
      </c>
      <c r="AM1674" s="7" t="str">
        <f t="shared" ca="1" si="101"/>
        <v/>
      </c>
      <c r="AN1674" s="7" t="str">
        <f t="shared" si="102"/>
        <v/>
      </c>
      <c r="AO1674" s="7" t="str">
        <f t="shared" si="103"/>
        <v/>
      </c>
      <c r="AP1674" s="15" t="str">
        <f t="shared" si="104"/>
        <v/>
      </c>
    </row>
    <row r="1675" spans="38:42" ht="15" customHeight="1">
      <c r="AL1675" s="7" t="str">
        <f>IF(A1675="","",IF(COUNTIF(A1675:A$2001,A1675)=1,1,0))</f>
        <v/>
      </c>
      <c r="AM1675" s="7" t="str">
        <f t="shared" ca="1" si="101"/>
        <v/>
      </c>
      <c r="AN1675" s="7" t="str">
        <f t="shared" si="102"/>
        <v/>
      </c>
      <c r="AO1675" s="7" t="str">
        <f t="shared" si="103"/>
        <v/>
      </c>
      <c r="AP1675" s="15" t="str">
        <f t="shared" si="104"/>
        <v/>
      </c>
    </row>
    <row r="1676" spans="38:42" ht="15" customHeight="1">
      <c r="AL1676" s="7" t="str">
        <f>IF(A1676="","",IF(COUNTIF(A1676:A$2001,A1676)=1,1,0))</f>
        <v/>
      </c>
      <c r="AM1676" s="7" t="str">
        <f t="shared" ca="1" si="101"/>
        <v/>
      </c>
      <c r="AN1676" s="7" t="str">
        <f t="shared" si="102"/>
        <v/>
      </c>
      <c r="AO1676" s="7" t="str">
        <f t="shared" si="103"/>
        <v/>
      </c>
      <c r="AP1676" s="15" t="str">
        <f t="shared" si="104"/>
        <v/>
      </c>
    </row>
    <row r="1677" spans="38:42" ht="15" customHeight="1">
      <c r="AL1677" s="7" t="str">
        <f>IF(A1677="","",IF(COUNTIF(A1677:A$2001,A1677)=1,1,0))</f>
        <v/>
      </c>
      <c r="AM1677" s="7" t="str">
        <f t="shared" ca="1" si="101"/>
        <v/>
      </c>
      <c r="AN1677" s="7" t="str">
        <f t="shared" si="102"/>
        <v/>
      </c>
      <c r="AO1677" s="7" t="str">
        <f t="shared" si="103"/>
        <v/>
      </c>
      <c r="AP1677" s="15" t="str">
        <f t="shared" si="104"/>
        <v/>
      </c>
    </row>
    <row r="1678" spans="38:42" ht="15" customHeight="1">
      <c r="AL1678" s="7" t="str">
        <f>IF(A1678="","",IF(COUNTIF(A1678:A$2001,A1678)=1,1,0))</f>
        <v/>
      </c>
      <c r="AM1678" s="7" t="str">
        <f t="shared" ca="1" si="101"/>
        <v/>
      </c>
      <c r="AN1678" s="7" t="str">
        <f t="shared" si="102"/>
        <v/>
      </c>
      <c r="AO1678" s="7" t="str">
        <f t="shared" si="103"/>
        <v/>
      </c>
      <c r="AP1678" s="15" t="str">
        <f t="shared" si="104"/>
        <v/>
      </c>
    </row>
    <row r="1679" spans="38:42" ht="15" customHeight="1">
      <c r="AL1679" s="7" t="str">
        <f>IF(A1679="","",IF(COUNTIF(A1679:A$2001,A1679)=1,1,0))</f>
        <v/>
      </c>
      <c r="AM1679" s="7" t="str">
        <f t="shared" ca="1" si="101"/>
        <v/>
      </c>
      <c r="AN1679" s="7" t="str">
        <f t="shared" si="102"/>
        <v/>
      </c>
      <c r="AO1679" s="7" t="str">
        <f t="shared" si="103"/>
        <v/>
      </c>
      <c r="AP1679" s="15" t="str">
        <f t="shared" si="104"/>
        <v/>
      </c>
    </row>
    <row r="1680" spans="38:42" ht="15" customHeight="1">
      <c r="AL1680" s="7" t="str">
        <f>IF(A1680="","",IF(COUNTIF(A1680:A$2001,A1680)=1,1,0))</f>
        <v/>
      </c>
      <c r="AM1680" s="7" t="str">
        <f t="shared" ca="1" si="101"/>
        <v/>
      </c>
      <c r="AN1680" s="7" t="str">
        <f t="shared" si="102"/>
        <v/>
      </c>
      <c r="AO1680" s="7" t="str">
        <f t="shared" si="103"/>
        <v/>
      </c>
      <c r="AP1680" s="15" t="str">
        <f t="shared" si="104"/>
        <v/>
      </c>
    </row>
    <row r="1681" spans="38:42" ht="15" customHeight="1">
      <c r="AL1681" s="7" t="str">
        <f>IF(A1681="","",IF(COUNTIF(A1681:A$2001,A1681)=1,1,0))</f>
        <v/>
      </c>
      <c r="AM1681" s="7" t="str">
        <f t="shared" ca="1" si="101"/>
        <v/>
      </c>
      <c r="AN1681" s="7" t="str">
        <f t="shared" si="102"/>
        <v/>
      </c>
      <c r="AO1681" s="7" t="str">
        <f t="shared" si="103"/>
        <v/>
      </c>
      <c r="AP1681" s="15" t="str">
        <f t="shared" si="104"/>
        <v/>
      </c>
    </row>
    <row r="1682" spans="38:42" ht="15" customHeight="1">
      <c r="AL1682" s="7" t="str">
        <f>IF(A1682="","",IF(COUNTIF(A1682:A$2001,A1682)=1,1,0))</f>
        <v/>
      </c>
      <c r="AM1682" s="7" t="str">
        <f t="shared" ca="1" si="101"/>
        <v/>
      </c>
      <c r="AN1682" s="7" t="str">
        <f t="shared" si="102"/>
        <v/>
      </c>
      <c r="AO1682" s="7" t="str">
        <f t="shared" si="103"/>
        <v/>
      </c>
      <c r="AP1682" s="15" t="str">
        <f t="shared" si="104"/>
        <v/>
      </c>
    </row>
    <row r="1683" spans="38:42" ht="15" customHeight="1">
      <c r="AL1683" s="7" t="str">
        <f>IF(A1683="","",IF(COUNTIF(A1683:A$2001,A1683)=1,1,0))</f>
        <v/>
      </c>
      <c r="AM1683" s="7" t="str">
        <f t="shared" ca="1" si="101"/>
        <v/>
      </c>
      <c r="AN1683" s="7" t="str">
        <f t="shared" si="102"/>
        <v/>
      </c>
      <c r="AO1683" s="7" t="str">
        <f t="shared" si="103"/>
        <v/>
      </c>
      <c r="AP1683" s="15" t="str">
        <f t="shared" si="104"/>
        <v/>
      </c>
    </row>
    <row r="1684" spans="38:42" ht="15" customHeight="1">
      <c r="AL1684" s="7" t="str">
        <f>IF(A1684="","",IF(COUNTIF(A1684:A$2001,A1684)=1,1,0))</f>
        <v/>
      </c>
      <c r="AM1684" s="7" t="str">
        <f t="shared" ca="1" si="101"/>
        <v/>
      </c>
      <c r="AN1684" s="7" t="str">
        <f t="shared" si="102"/>
        <v/>
      </c>
      <c r="AO1684" s="7" t="str">
        <f t="shared" si="103"/>
        <v/>
      </c>
      <c r="AP1684" s="15" t="str">
        <f t="shared" si="104"/>
        <v/>
      </c>
    </row>
    <row r="1685" spans="38:42" ht="15" customHeight="1">
      <c r="AL1685" s="7" t="str">
        <f>IF(A1685="","",IF(COUNTIF(A1685:A$2001,A1685)=1,1,0))</f>
        <v/>
      </c>
      <c r="AM1685" s="7" t="str">
        <f t="shared" ca="1" si="101"/>
        <v/>
      </c>
      <c r="AN1685" s="7" t="str">
        <f t="shared" si="102"/>
        <v/>
      </c>
      <c r="AO1685" s="7" t="str">
        <f t="shared" si="103"/>
        <v/>
      </c>
      <c r="AP1685" s="15" t="str">
        <f t="shared" si="104"/>
        <v/>
      </c>
    </row>
    <row r="1686" spans="38:42" ht="15" customHeight="1">
      <c r="AL1686" s="7" t="str">
        <f>IF(A1686="","",IF(COUNTIF(A1686:A$2001,A1686)=1,1,0))</f>
        <v/>
      </c>
      <c r="AM1686" s="7" t="str">
        <f t="shared" ca="1" si="101"/>
        <v/>
      </c>
      <c r="AN1686" s="7" t="str">
        <f t="shared" si="102"/>
        <v/>
      </c>
      <c r="AO1686" s="7" t="str">
        <f t="shared" si="103"/>
        <v/>
      </c>
      <c r="AP1686" s="15" t="str">
        <f t="shared" si="104"/>
        <v/>
      </c>
    </row>
    <row r="1687" spans="38:42" ht="15" customHeight="1">
      <c r="AL1687" s="7" t="str">
        <f>IF(A1687="","",IF(COUNTIF(A1687:A$2001,A1687)=1,1,0))</f>
        <v/>
      </c>
      <c r="AM1687" s="7" t="str">
        <f t="shared" ca="1" si="101"/>
        <v/>
      </c>
      <c r="AN1687" s="7" t="str">
        <f t="shared" si="102"/>
        <v/>
      </c>
      <c r="AO1687" s="7" t="str">
        <f t="shared" si="103"/>
        <v/>
      </c>
      <c r="AP1687" s="15" t="str">
        <f t="shared" si="104"/>
        <v/>
      </c>
    </row>
    <row r="1688" spans="38:42" ht="15" customHeight="1">
      <c r="AL1688" s="7" t="str">
        <f>IF(A1688="","",IF(COUNTIF(A1688:A$2001,A1688)=1,1,0))</f>
        <v/>
      </c>
      <c r="AM1688" s="7" t="str">
        <f t="shared" ca="1" si="101"/>
        <v/>
      </c>
      <c r="AN1688" s="7" t="str">
        <f t="shared" si="102"/>
        <v/>
      </c>
      <c r="AO1688" s="7" t="str">
        <f t="shared" si="103"/>
        <v/>
      </c>
      <c r="AP1688" s="15" t="str">
        <f t="shared" si="104"/>
        <v/>
      </c>
    </row>
    <row r="1689" spans="38:42" ht="15" customHeight="1">
      <c r="AL1689" s="7" t="str">
        <f>IF(A1689="","",IF(COUNTIF(A1689:A$2001,A1689)=1,1,0))</f>
        <v/>
      </c>
      <c r="AM1689" s="7" t="str">
        <f t="shared" ca="1" si="101"/>
        <v/>
      </c>
      <c r="AN1689" s="7" t="str">
        <f t="shared" si="102"/>
        <v/>
      </c>
      <c r="AO1689" s="7" t="str">
        <f t="shared" si="103"/>
        <v/>
      </c>
      <c r="AP1689" s="15" t="str">
        <f t="shared" si="104"/>
        <v/>
      </c>
    </row>
    <row r="1690" spans="38:42" ht="15" customHeight="1">
      <c r="AL1690" s="7" t="str">
        <f>IF(A1690="","",IF(COUNTIF(A1690:A$2001,A1690)=1,1,0))</f>
        <v/>
      </c>
      <c r="AM1690" s="7" t="str">
        <f t="shared" ca="1" si="101"/>
        <v/>
      </c>
      <c r="AN1690" s="7" t="str">
        <f t="shared" si="102"/>
        <v/>
      </c>
      <c r="AO1690" s="7" t="str">
        <f t="shared" si="103"/>
        <v/>
      </c>
      <c r="AP1690" s="15" t="str">
        <f t="shared" si="104"/>
        <v/>
      </c>
    </row>
    <row r="1691" spans="38:42" ht="15" customHeight="1">
      <c r="AL1691" s="7" t="str">
        <f>IF(A1691="","",IF(COUNTIF(A1691:A$2001,A1691)=1,1,0))</f>
        <v/>
      </c>
      <c r="AM1691" s="7" t="str">
        <f t="shared" ca="1" si="101"/>
        <v/>
      </c>
      <c r="AN1691" s="7" t="str">
        <f t="shared" si="102"/>
        <v/>
      </c>
      <c r="AO1691" s="7" t="str">
        <f t="shared" si="103"/>
        <v/>
      </c>
      <c r="AP1691" s="15" t="str">
        <f t="shared" si="104"/>
        <v/>
      </c>
    </row>
    <row r="1692" spans="38:42" ht="15" customHeight="1">
      <c r="AL1692" s="7" t="str">
        <f>IF(A1692="","",IF(COUNTIF(A1692:A$2001,A1692)=1,1,0))</f>
        <v/>
      </c>
      <c r="AM1692" s="7" t="str">
        <f t="shared" ca="1" si="101"/>
        <v/>
      </c>
      <c r="AN1692" s="7" t="str">
        <f t="shared" si="102"/>
        <v/>
      </c>
      <c r="AO1692" s="7" t="str">
        <f t="shared" si="103"/>
        <v/>
      </c>
      <c r="AP1692" s="15" t="str">
        <f t="shared" si="104"/>
        <v/>
      </c>
    </row>
    <row r="1693" spans="38:42" ht="15" customHeight="1">
      <c r="AL1693" s="7" t="str">
        <f>IF(A1693="","",IF(COUNTIF(A1693:A$2001,A1693)=1,1,0))</f>
        <v/>
      </c>
      <c r="AM1693" s="7" t="str">
        <f t="shared" ca="1" si="101"/>
        <v/>
      </c>
      <c r="AN1693" s="7" t="str">
        <f t="shared" si="102"/>
        <v/>
      </c>
      <c r="AO1693" s="7" t="str">
        <f t="shared" si="103"/>
        <v/>
      </c>
      <c r="AP1693" s="15" t="str">
        <f t="shared" si="104"/>
        <v/>
      </c>
    </row>
    <row r="1694" spans="38:42" ht="15" customHeight="1">
      <c r="AL1694" s="7" t="str">
        <f>IF(A1694="","",IF(COUNTIF(A1694:A$2001,A1694)=1,1,0))</f>
        <v/>
      </c>
      <c r="AM1694" s="7" t="str">
        <f t="shared" ca="1" si="101"/>
        <v/>
      </c>
      <c r="AN1694" s="7" t="str">
        <f t="shared" si="102"/>
        <v/>
      </c>
      <c r="AO1694" s="7" t="str">
        <f t="shared" si="103"/>
        <v/>
      </c>
      <c r="AP1694" s="15" t="str">
        <f t="shared" si="104"/>
        <v/>
      </c>
    </row>
    <row r="1695" spans="38:42" ht="15" customHeight="1">
      <c r="AL1695" s="7" t="str">
        <f>IF(A1695="","",IF(COUNTIF(A1695:A$2001,A1695)=1,1,0))</f>
        <v/>
      </c>
      <c r="AM1695" s="7" t="str">
        <f t="shared" ca="1" si="101"/>
        <v/>
      </c>
      <c r="AN1695" s="7" t="str">
        <f t="shared" si="102"/>
        <v/>
      </c>
      <c r="AO1695" s="7" t="str">
        <f t="shared" si="103"/>
        <v/>
      </c>
      <c r="AP1695" s="15" t="str">
        <f t="shared" si="104"/>
        <v/>
      </c>
    </row>
    <row r="1696" spans="38:42" ht="15" customHeight="1">
      <c r="AL1696" s="7" t="str">
        <f>IF(A1696="","",IF(COUNTIF(A1696:A$2001,A1696)=1,1,0))</f>
        <v/>
      </c>
      <c r="AM1696" s="7" t="str">
        <f t="shared" ca="1" si="101"/>
        <v/>
      </c>
      <c r="AN1696" s="7" t="str">
        <f t="shared" si="102"/>
        <v/>
      </c>
      <c r="AO1696" s="7" t="str">
        <f t="shared" si="103"/>
        <v/>
      </c>
      <c r="AP1696" s="15" t="str">
        <f t="shared" si="104"/>
        <v/>
      </c>
    </row>
    <row r="1697" spans="38:42" ht="15" customHeight="1">
      <c r="AL1697" s="7" t="str">
        <f>IF(A1697="","",IF(COUNTIF(A1697:A$2001,A1697)=1,1,0))</f>
        <v/>
      </c>
      <c r="AM1697" s="7" t="str">
        <f t="shared" ca="1" si="101"/>
        <v/>
      </c>
      <c r="AN1697" s="7" t="str">
        <f t="shared" si="102"/>
        <v/>
      </c>
      <c r="AO1697" s="7" t="str">
        <f t="shared" si="103"/>
        <v/>
      </c>
      <c r="AP1697" s="15" t="str">
        <f t="shared" si="104"/>
        <v/>
      </c>
    </row>
    <row r="1698" spans="38:42" ht="15" customHeight="1">
      <c r="AL1698" s="7" t="str">
        <f>IF(A1698="","",IF(COUNTIF(A1698:A$2001,A1698)=1,1,0))</f>
        <v/>
      </c>
      <c r="AM1698" s="7" t="str">
        <f t="shared" ca="1" si="101"/>
        <v/>
      </c>
      <c r="AN1698" s="7" t="str">
        <f t="shared" si="102"/>
        <v/>
      </c>
      <c r="AO1698" s="7" t="str">
        <f t="shared" si="103"/>
        <v/>
      </c>
      <c r="AP1698" s="15" t="str">
        <f t="shared" si="104"/>
        <v/>
      </c>
    </row>
    <row r="1699" spans="38:42" ht="15" customHeight="1">
      <c r="AL1699" s="7" t="str">
        <f>IF(A1699="","",IF(COUNTIF(A1699:A$2001,A1699)=1,1,0))</f>
        <v/>
      </c>
      <c r="AM1699" s="7" t="str">
        <f t="shared" ca="1" si="101"/>
        <v/>
      </c>
      <c r="AN1699" s="7" t="str">
        <f t="shared" si="102"/>
        <v/>
      </c>
      <c r="AO1699" s="7" t="str">
        <f t="shared" si="103"/>
        <v/>
      </c>
      <c r="AP1699" s="15" t="str">
        <f t="shared" si="104"/>
        <v/>
      </c>
    </row>
    <row r="1700" spans="38:42" ht="15" customHeight="1">
      <c r="AL1700" s="7" t="str">
        <f>IF(A1700="","",IF(COUNTIF(A1700:A$2001,A1700)=1,1,0))</f>
        <v/>
      </c>
      <c r="AM1700" s="7" t="str">
        <f t="shared" ca="1" si="101"/>
        <v/>
      </c>
      <c r="AN1700" s="7" t="str">
        <f t="shared" si="102"/>
        <v/>
      </c>
      <c r="AO1700" s="7" t="str">
        <f t="shared" si="103"/>
        <v/>
      </c>
      <c r="AP1700" s="15" t="str">
        <f t="shared" si="104"/>
        <v/>
      </c>
    </row>
    <row r="1701" spans="38:42" ht="15" customHeight="1">
      <c r="AL1701" s="7" t="str">
        <f>IF(A1701="","",IF(COUNTIF(A1701:A$2001,A1701)=1,1,0))</f>
        <v/>
      </c>
      <c r="AM1701" s="7" t="str">
        <f t="shared" ca="1" si="101"/>
        <v/>
      </c>
      <c r="AN1701" s="7" t="str">
        <f t="shared" si="102"/>
        <v/>
      </c>
      <c r="AO1701" s="7" t="str">
        <f t="shared" si="103"/>
        <v/>
      </c>
      <c r="AP1701" s="15" t="str">
        <f t="shared" si="104"/>
        <v/>
      </c>
    </row>
    <row r="1702" spans="38:42" ht="15" customHeight="1">
      <c r="AL1702" s="7" t="str">
        <f>IF(A1702="","",IF(COUNTIF(A1702:A$2001,A1702)=1,1,0))</f>
        <v/>
      </c>
      <c r="AM1702" s="7" t="str">
        <f t="shared" ca="1" si="101"/>
        <v/>
      </c>
      <c r="AN1702" s="7" t="str">
        <f t="shared" si="102"/>
        <v/>
      </c>
      <c r="AO1702" s="7" t="str">
        <f t="shared" si="103"/>
        <v/>
      </c>
      <c r="AP1702" s="15" t="str">
        <f t="shared" si="104"/>
        <v/>
      </c>
    </row>
    <row r="1703" spans="38:42" ht="15" customHeight="1">
      <c r="AL1703" s="7" t="str">
        <f>IF(A1703="","",IF(COUNTIF(A1703:A$2001,A1703)=1,1,0))</f>
        <v/>
      </c>
      <c r="AM1703" s="7" t="str">
        <f t="shared" ca="1" si="101"/>
        <v/>
      </c>
      <c r="AN1703" s="7" t="str">
        <f t="shared" si="102"/>
        <v/>
      </c>
      <c r="AO1703" s="7" t="str">
        <f t="shared" si="103"/>
        <v/>
      </c>
      <c r="AP1703" s="15" t="str">
        <f t="shared" si="104"/>
        <v/>
      </c>
    </row>
    <row r="1704" spans="38:42" ht="15" customHeight="1">
      <c r="AL1704" s="7" t="str">
        <f>IF(A1704="","",IF(COUNTIF(A1704:A$2001,A1704)=1,1,0))</f>
        <v/>
      </c>
      <c r="AM1704" s="7" t="str">
        <f t="shared" ca="1" si="101"/>
        <v/>
      </c>
      <c r="AN1704" s="7" t="str">
        <f t="shared" si="102"/>
        <v/>
      </c>
      <c r="AO1704" s="7" t="str">
        <f t="shared" si="103"/>
        <v/>
      </c>
      <c r="AP1704" s="15" t="str">
        <f t="shared" si="104"/>
        <v/>
      </c>
    </row>
    <row r="1705" spans="38:42" ht="15" customHeight="1">
      <c r="AL1705" s="7" t="str">
        <f>IF(A1705="","",IF(COUNTIF(A1705:A$2001,A1705)=1,1,0))</f>
        <v/>
      </c>
      <c r="AM1705" s="7" t="str">
        <f t="shared" ca="1" si="101"/>
        <v/>
      </c>
      <c r="AN1705" s="7" t="str">
        <f t="shared" si="102"/>
        <v/>
      </c>
      <c r="AO1705" s="7" t="str">
        <f t="shared" si="103"/>
        <v/>
      </c>
      <c r="AP1705" s="15" t="str">
        <f t="shared" si="104"/>
        <v/>
      </c>
    </row>
    <row r="1706" spans="38:42" ht="15" customHeight="1">
      <c r="AL1706" s="7" t="str">
        <f>IF(A1706="","",IF(COUNTIF(A1706:A$2001,A1706)=1,1,0))</f>
        <v/>
      </c>
      <c r="AM1706" s="7" t="str">
        <f t="shared" ca="1" si="101"/>
        <v/>
      </c>
      <c r="AN1706" s="7" t="str">
        <f t="shared" si="102"/>
        <v/>
      </c>
      <c r="AO1706" s="7" t="str">
        <f t="shared" si="103"/>
        <v/>
      </c>
      <c r="AP1706" s="15" t="str">
        <f t="shared" si="104"/>
        <v/>
      </c>
    </row>
    <row r="1707" spans="38:42" ht="15" customHeight="1">
      <c r="AL1707" s="7" t="str">
        <f>IF(A1707="","",IF(COUNTIF(A1707:A$2001,A1707)=1,1,0))</f>
        <v/>
      </c>
      <c r="AM1707" s="7" t="str">
        <f t="shared" ca="1" si="101"/>
        <v/>
      </c>
      <c r="AN1707" s="7" t="str">
        <f t="shared" si="102"/>
        <v/>
      </c>
      <c r="AO1707" s="7" t="str">
        <f t="shared" si="103"/>
        <v/>
      </c>
      <c r="AP1707" s="15" t="str">
        <f t="shared" si="104"/>
        <v/>
      </c>
    </row>
    <row r="1708" spans="38:42" ht="15" customHeight="1">
      <c r="AL1708" s="7" t="str">
        <f>IF(A1708="","",IF(COUNTIF(A1708:A$2001,A1708)=1,1,0))</f>
        <v/>
      </c>
      <c r="AM1708" s="7" t="str">
        <f t="shared" ca="1" si="101"/>
        <v/>
      </c>
      <c r="AN1708" s="7" t="str">
        <f t="shared" si="102"/>
        <v/>
      </c>
      <c r="AO1708" s="7" t="str">
        <f t="shared" si="103"/>
        <v/>
      </c>
      <c r="AP1708" s="15" t="str">
        <f t="shared" si="104"/>
        <v/>
      </c>
    </row>
    <row r="1709" spans="38:42" ht="15" customHeight="1">
      <c r="AL1709" s="7" t="str">
        <f>IF(A1709="","",IF(COUNTIF(A1709:A$2001,A1709)=1,1,0))</f>
        <v/>
      </c>
      <c r="AM1709" s="7" t="str">
        <f t="shared" ca="1" si="101"/>
        <v/>
      </c>
      <c r="AN1709" s="7" t="str">
        <f t="shared" si="102"/>
        <v/>
      </c>
      <c r="AO1709" s="7" t="str">
        <f t="shared" si="103"/>
        <v/>
      </c>
      <c r="AP1709" s="15" t="str">
        <f t="shared" si="104"/>
        <v/>
      </c>
    </row>
    <row r="1710" spans="38:42" ht="15" customHeight="1">
      <c r="AL1710" s="7" t="str">
        <f>IF(A1710="","",IF(COUNTIF(A1710:A$2001,A1710)=1,1,0))</f>
        <v/>
      </c>
      <c r="AM1710" s="7" t="str">
        <f t="shared" ca="1" si="101"/>
        <v/>
      </c>
      <c r="AN1710" s="7" t="str">
        <f t="shared" si="102"/>
        <v/>
      </c>
      <c r="AO1710" s="7" t="str">
        <f t="shared" si="103"/>
        <v/>
      </c>
      <c r="AP1710" s="15" t="str">
        <f t="shared" si="104"/>
        <v/>
      </c>
    </row>
    <row r="1711" spans="38:42" ht="15" customHeight="1">
      <c r="AL1711" s="7" t="str">
        <f>IF(A1711="","",IF(COUNTIF(A1711:A$2001,A1711)=1,1,0))</f>
        <v/>
      </c>
      <c r="AM1711" s="7" t="str">
        <f t="shared" ca="1" si="101"/>
        <v/>
      </c>
      <c r="AN1711" s="7" t="str">
        <f t="shared" si="102"/>
        <v/>
      </c>
      <c r="AO1711" s="7" t="str">
        <f t="shared" si="103"/>
        <v/>
      </c>
      <c r="AP1711" s="15" t="str">
        <f t="shared" si="104"/>
        <v/>
      </c>
    </row>
    <row r="1712" spans="38:42" ht="15" customHeight="1">
      <c r="AL1712" s="7" t="str">
        <f>IF(A1712="","",IF(COUNTIF(A1712:A$2001,A1712)=1,1,0))</f>
        <v/>
      </c>
      <c r="AM1712" s="7" t="str">
        <f t="shared" ca="1" si="101"/>
        <v/>
      </c>
      <c r="AN1712" s="7" t="str">
        <f t="shared" si="102"/>
        <v/>
      </c>
      <c r="AO1712" s="7" t="str">
        <f t="shared" si="103"/>
        <v/>
      </c>
      <c r="AP1712" s="15" t="str">
        <f t="shared" si="104"/>
        <v/>
      </c>
    </row>
    <row r="1713" spans="38:42" ht="15" customHeight="1">
      <c r="AL1713" s="7" t="str">
        <f>IF(A1713="","",IF(COUNTIF(A1713:A$2001,A1713)=1,1,0))</f>
        <v/>
      </c>
      <c r="AM1713" s="7" t="str">
        <f t="shared" ca="1" si="101"/>
        <v/>
      </c>
      <c r="AN1713" s="7" t="str">
        <f t="shared" si="102"/>
        <v/>
      </c>
      <c r="AO1713" s="7" t="str">
        <f t="shared" si="103"/>
        <v/>
      </c>
      <c r="AP1713" s="15" t="str">
        <f t="shared" si="104"/>
        <v/>
      </c>
    </row>
    <row r="1714" spans="38:42" ht="15" customHeight="1">
      <c r="AL1714" s="7" t="str">
        <f>IF(A1714="","",IF(COUNTIF(A1714:A$2001,A1714)=1,1,0))</f>
        <v/>
      </c>
      <c r="AM1714" s="7" t="str">
        <f t="shared" ca="1" si="101"/>
        <v/>
      </c>
      <c r="AN1714" s="7" t="str">
        <f t="shared" si="102"/>
        <v/>
      </c>
      <c r="AO1714" s="7" t="str">
        <f t="shared" si="103"/>
        <v/>
      </c>
      <c r="AP1714" s="15" t="str">
        <f t="shared" si="104"/>
        <v/>
      </c>
    </row>
    <row r="1715" spans="38:42" ht="15" customHeight="1">
      <c r="AL1715" s="7" t="str">
        <f>IF(A1715="","",IF(COUNTIF(A1715:A$2001,A1715)=1,1,0))</f>
        <v/>
      </c>
      <c r="AM1715" s="7" t="str">
        <f t="shared" ca="1" si="101"/>
        <v/>
      </c>
      <c r="AN1715" s="7" t="str">
        <f t="shared" si="102"/>
        <v/>
      </c>
      <c r="AO1715" s="7" t="str">
        <f t="shared" si="103"/>
        <v/>
      </c>
      <c r="AP1715" s="15" t="str">
        <f t="shared" si="104"/>
        <v/>
      </c>
    </row>
    <row r="1716" spans="38:42" ht="15" customHeight="1">
      <c r="AL1716" s="7" t="str">
        <f>IF(A1716="","",IF(COUNTIF(A1716:A$2001,A1716)=1,1,0))</f>
        <v/>
      </c>
      <c r="AM1716" s="7" t="str">
        <f t="shared" ca="1" si="101"/>
        <v/>
      </c>
      <c r="AN1716" s="7" t="str">
        <f t="shared" si="102"/>
        <v/>
      </c>
      <c r="AO1716" s="7" t="str">
        <f t="shared" si="103"/>
        <v/>
      </c>
      <c r="AP1716" s="15" t="str">
        <f t="shared" si="104"/>
        <v/>
      </c>
    </row>
    <row r="1717" spans="38:42" ht="15" customHeight="1">
      <c r="AL1717" s="7" t="str">
        <f>IF(A1717="","",IF(COUNTIF(A1717:A$2001,A1717)=1,1,0))</f>
        <v/>
      </c>
      <c r="AM1717" s="7" t="str">
        <f t="shared" ca="1" si="101"/>
        <v/>
      </c>
      <c r="AN1717" s="7" t="str">
        <f t="shared" si="102"/>
        <v/>
      </c>
      <c r="AO1717" s="7" t="str">
        <f t="shared" si="103"/>
        <v/>
      </c>
      <c r="AP1717" s="15" t="str">
        <f t="shared" si="104"/>
        <v/>
      </c>
    </row>
    <row r="1718" spans="38:42" ht="15" customHeight="1">
      <c r="AL1718" s="7" t="str">
        <f>IF(A1718="","",IF(COUNTIF(A1718:A$2001,A1718)=1,1,0))</f>
        <v/>
      </c>
      <c r="AM1718" s="7" t="str">
        <f t="shared" ca="1" si="101"/>
        <v/>
      </c>
      <c r="AN1718" s="7" t="str">
        <f t="shared" si="102"/>
        <v/>
      </c>
      <c r="AO1718" s="7" t="str">
        <f t="shared" si="103"/>
        <v/>
      </c>
      <c r="AP1718" s="15" t="str">
        <f t="shared" si="104"/>
        <v/>
      </c>
    </row>
    <row r="1719" spans="38:42" ht="15" customHeight="1">
      <c r="AL1719" s="7" t="str">
        <f>IF(A1719="","",IF(COUNTIF(A1719:A$2001,A1719)=1,1,0))</f>
        <v/>
      </c>
      <c r="AM1719" s="7" t="str">
        <f t="shared" ca="1" si="101"/>
        <v/>
      </c>
      <c r="AN1719" s="7" t="str">
        <f t="shared" si="102"/>
        <v/>
      </c>
      <c r="AO1719" s="7" t="str">
        <f t="shared" si="103"/>
        <v/>
      </c>
      <c r="AP1719" s="15" t="str">
        <f t="shared" si="104"/>
        <v/>
      </c>
    </row>
    <row r="1720" spans="38:42" ht="15" customHeight="1">
      <c r="AL1720" s="7" t="str">
        <f>IF(A1720="","",IF(COUNTIF(A1720:A$2001,A1720)=1,1,0))</f>
        <v/>
      </c>
      <c r="AM1720" s="7" t="str">
        <f t="shared" ca="1" si="101"/>
        <v/>
      </c>
      <c r="AN1720" s="7" t="str">
        <f t="shared" si="102"/>
        <v/>
      </c>
      <c r="AO1720" s="7" t="str">
        <f t="shared" si="103"/>
        <v/>
      </c>
      <c r="AP1720" s="15" t="str">
        <f t="shared" si="104"/>
        <v/>
      </c>
    </row>
    <row r="1721" spans="38:42" ht="15" customHeight="1">
      <c r="AL1721" s="7" t="str">
        <f>IF(A1721="","",IF(COUNTIF(A1721:A$2001,A1721)=1,1,0))</f>
        <v/>
      </c>
      <c r="AM1721" s="7" t="str">
        <f t="shared" ca="1" si="101"/>
        <v/>
      </c>
      <c r="AN1721" s="7" t="str">
        <f t="shared" si="102"/>
        <v/>
      </c>
      <c r="AO1721" s="7" t="str">
        <f t="shared" si="103"/>
        <v/>
      </c>
      <c r="AP1721" s="15" t="str">
        <f t="shared" si="104"/>
        <v/>
      </c>
    </row>
    <row r="1722" spans="38:42" ht="15" customHeight="1">
      <c r="AL1722" s="7" t="str">
        <f>IF(A1722="","",IF(COUNTIF(A1722:A$2001,A1722)=1,1,0))</f>
        <v/>
      </c>
      <c r="AM1722" s="7" t="str">
        <f t="shared" ca="1" si="101"/>
        <v/>
      </c>
      <c r="AN1722" s="7" t="str">
        <f t="shared" si="102"/>
        <v/>
      </c>
      <c r="AO1722" s="7" t="str">
        <f t="shared" si="103"/>
        <v/>
      </c>
      <c r="AP1722" s="15" t="str">
        <f t="shared" si="104"/>
        <v/>
      </c>
    </row>
    <row r="1723" spans="38:42" ht="15" customHeight="1">
      <c r="AL1723" s="7" t="str">
        <f>IF(A1723="","",IF(COUNTIF(A1723:A$2001,A1723)=1,1,0))</f>
        <v/>
      </c>
      <c r="AM1723" s="7" t="str">
        <f t="shared" ca="1" si="101"/>
        <v/>
      </c>
      <c r="AN1723" s="7" t="str">
        <f t="shared" si="102"/>
        <v/>
      </c>
      <c r="AO1723" s="7" t="str">
        <f t="shared" si="103"/>
        <v/>
      </c>
      <c r="AP1723" s="15" t="str">
        <f t="shared" si="104"/>
        <v/>
      </c>
    </row>
    <row r="1724" spans="38:42" ht="15" customHeight="1">
      <c r="AL1724" s="7" t="str">
        <f>IF(A1724="","",IF(COUNTIF(A1724:A$2001,A1724)=1,1,0))</f>
        <v/>
      </c>
      <c r="AM1724" s="7" t="str">
        <f t="shared" ca="1" si="101"/>
        <v/>
      </c>
      <c r="AN1724" s="7" t="str">
        <f t="shared" si="102"/>
        <v/>
      </c>
      <c r="AO1724" s="7" t="str">
        <f t="shared" si="103"/>
        <v/>
      </c>
      <c r="AP1724" s="15" t="str">
        <f t="shared" si="104"/>
        <v/>
      </c>
    </row>
    <row r="1725" spans="38:42" ht="15" customHeight="1">
      <c r="AL1725" s="7" t="str">
        <f>IF(A1725="","",IF(COUNTIF(A1725:A$2001,A1725)=1,1,0))</f>
        <v/>
      </c>
      <c r="AM1725" s="7" t="str">
        <f t="shared" ca="1" si="101"/>
        <v/>
      </c>
      <c r="AN1725" s="7" t="str">
        <f t="shared" si="102"/>
        <v/>
      </c>
      <c r="AO1725" s="7" t="str">
        <f t="shared" si="103"/>
        <v/>
      </c>
      <c r="AP1725" s="15" t="str">
        <f t="shared" si="104"/>
        <v/>
      </c>
    </row>
    <row r="1726" spans="38:42" ht="15" customHeight="1">
      <c r="AL1726" s="7" t="str">
        <f>IF(A1726="","",IF(COUNTIF(A1726:A$2001,A1726)=1,1,0))</f>
        <v/>
      </c>
      <c r="AM1726" s="7" t="str">
        <f t="shared" ca="1" si="101"/>
        <v/>
      </c>
      <c r="AN1726" s="7" t="str">
        <f t="shared" si="102"/>
        <v/>
      </c>
      <c r="AO1726" s="7" t="str">
        <f t="shared" si="103"/>
        <v/>
      </c>
      <c r="AP1726" s="15" t="str">
        <f t="shared" si="104"/>
        <v/>
      </c>
    </row>
    <row r="1727" spans="38:42" ht="15" customHeight="1">
      <c r="AL1727" s="7" t="str">
        <f>IF(A1727="","",IF(COUNTIF(A1727:A$2001,A1727)=1,1,0))</f>
        <v/>
      </c>
      <c r="AM1727" s="7" t="str">
        <f t="shared" ca="1" si="101"/>
        <v/>
      </c>
      <c r="AN1727" s="7" t="str">
        <f t="shared" si="102"/>
        <v/>
      </c>
      <c r="AO1727" s="7" t="str">
        <f t="shared" si="103"/>
        <v/>
      </c>
      <c r="AP1727" s="15" t="str">
        <f t="shared" si="104"/>
        <v/>
      </c>
    </row>
    <row r="1728" spans="38:42" ht="15" customHeight="1">
      <c r="AL1728" s="7" t="str">
        <f>IF(A1728="","",IF(COUNTIF(A1728:A$2001,A1728)=1,1,0))</f>
        <v/>
      </c>
      <c r="AM1728" s="7" t="str">
        <f t="shared" ca="1" si="101"/>
        <v/>
      </c>
      <c r="AN1728" s="7" t="str">
        <f t="shared" si="102"/>
        <v/>
      </c>
      <c r="AO1728" s="7" t="str">
        <f t="shared" si="103"/>
        <v/>
      </c>
      <c r="AP1728" s="15" t="str">
        <f t="shared" si="104"/>
        <v/>
      </c>
    </row>
    <row r="1729" spans="38:42" ht="15" customHeight="1">
      <c r="AL1729" s="7" t="str">
        <f>IF(A1729="","",IF(COUNTIF(A1729:A$2001,A1729)=1,1,0))</f>
        <v/>
      </c>
      <c r="AM1729" s="7" t="str">
        <f t="shared" ca="1" si="101"/>
        <v/>
      </c>
      <c r="AN1729" s="7" t="str">
        <f t="shared" si="102"/>
        <v/>
      </c>
      <c r="AO1729" s="7" t="str">
        <f t="shared" si="103"/>
        <v/>
      </c>
      <c r="AP1729" s="15" t="str">
        <f t="shared" si="104"/>
        <v/>
      </c>
    </row>
    <row r="1730" spans="38:42" ht="15" customHeight="1">
      <c r="AL1730" s="7" t="str">
        <f>IF(A1730="","",IF(COUNTIF(A1730:A$2001,A1730)=1,1,0))</f>
        <v/>
      </c>
      <c r="AM1730" s="7" t="str">
        <f t="shared" ref="AM1730:AM1793" ca="1" si="105">IF(I1730="","",TODAY()-I1730)</f>
        <v/>
      </c>
      <c r="AN1730" s="7" t="str">
        <f t="shared" ref="AN1730:AN1793" si="106">IF(A1730="","",IF(AND(E1730&lt;&gt;"33 確認済",E1730&lt;&gt;"36 送付中"),1,0))</f>
        <v/>
      </c>
      <c r="AO1730" s="7" t="str">
        <f t="shared" ref="AO1730:AO1793" si="107">IF(A1730="","",IF(AG1730&lt;&gt;"",1,0))</f>
        <v/>
      </c>
      <c r="AP1730" s="15" t="str">
        <f t="shared" ref="AP1730:AP1793" si="108">IF(P1730&lt;&gt;"","・添待ち","")&amp;IF(Q1730&lt;&gt;"","・住民票","")&amp;IF(R1730&lt;&gt;"","・発信","")&amp;IF(S1730&lt;&gt;"","・確認事項","")&amp;IF(T1730&lt;&gt;"","・管","")&amp;IF(U1730&lt;&gt;"","・SV","")&amp;IF(V1730&lt;&gt;"","・データ送付待ち","")&amp;IF(W1730&lt;&gt;"","・削除","")</f>
        <v/>
      </c>
    </row>
    <row r="1731" spans="38:42" ht="15" customHeight="1">
      <c r="AL1731" s="7" t="str">
        <f>IF(A1731="","",IF(COUNTIF(A1731:A$2001,A1731)=1,1,0))</f>
        <v/>
      </c>
      <c r="AM1731" s="7" t="str">
        <f t="shared" ca="1" si="105"/>
        <v/>
      </c>
      <c r="AN1731" s="7" t="str">
        <f t="shared" si="106"/>
        <v/>
      </c>
      <c r="AO1731" s="7" t="str">
        <f t="shared" si="107"/>
        <v/>
      </c>
      <c r="AP1731" s="15" t="str">
        <f t="shared" si="108"/>
        <v/>
      </c>
    </row>
    <row r="1732" spans="38:42" ht="15" customHeight="1">
      <c r="AL1732" s="7" t="str">
        <f>IF(A1732="","",IF(COUNTIF(A1732:A$2001,A1732)=1,1,0))</f>
        <v/>
      </c>
      <c r="AM1732" s="7" t="str">
        <f t="shared" ca="1" si="105"/>
        <v/>
      </c>
      <c r="AN1732" s="7" t="str">
        <f t="shared" si="106"/>
        <v/>
      </c>
      <c r="AO1732" s="7" t="str">
        <f t="shared" si="107"/>
        <v/>
      </c>
      <c r="AP1732" s="15" t="str">
        <f t="shared" si="108"/>
        <v/>
      </c>
    </row>
    <row r="1733" spans="38:42" ht="15" customHeight="1">
      <c r="AL1733" s="7" t="str">
        <f>IF(A1733="","",IF(COUNTIF(A1733:A$2001,A1733)=1,1,0))</f>
        <v/>
      </c>
      <c r="AM1733" s="7" t="str">
        <f t="shared" ca="1" si="105"/>
        <v/>
      </c>
      <c r="AN1733" s="7" t="str">
        <f t="shared" si="106"/>
        <v/>
      </c>
      <c r="AO1733" s="7" t="str">
        <f t="shared" si="107"/>
        <v/>
      </c>
      <c r="AP1733" s="15" t="str">
        <f t="shared" si="108"/>
        <v/>
      </c>
    </row>
    <row r="1734" spans="38:42" ht="15" customHeight="1">
      <c r="AL1734" s="7" t="str">
        <f>IF(A1734="","",IF(COUNTIF(A1734:A$2001,A1734)=1,1,0))</f>
        <v/>
      </c>
      <c r="AM1734" s="7" t="str">
        <f t="shared" ca="1" si="105"/>
        <v/>
      </c>
      <c r="AN1734" s="7" t="str">
        <f t="shared" si="106"/>
        <v/>
      </c>
      <c r="AO1734" s="7" t="str">
        <f t="shared" si="107"/>
        <v/>
      </c>
      <c r="AP1734" s="15" t="str">
        <f t="shared" si="108"/>
        <v/>
      </c>
    </row>
    <row r="1735" spans="38:42" ht="15" customHeight="1">
      <c r="AL1735" s="7" t="str">
        <f>IF(A1735="","",IF(COUNTIF(A1735:A$2001,A1735)=1,1,0))</f>
        <v/>
      </c>
      <c r="AM1735" s="7" t="str">
        <f t="shared" ca="1" si="105"/>
        <v/>
      </c>
      <c r="AN1735" s="7" t="str">
        <f t="shared" si="106"/>
        <v/>
      </c>
      <c r="AO1735" s="7" t="str">
        <f t="shared" si="107"/>
        <v/>
      </c>
      <c r="AP1735" s="15" t="str">
        <f t="shared" si="108"/>
        <v/>
      </c>
    </row>
    <row r="1736" spans="38:42" ht="15" customHeight="1">
      <c r="AL1736" s="7" t="str">
        <f>IF(A1736="","",IF(COUNTIF(A1736:A$2001,A1736)=1,1,0))</f>
        <v/>
      </c>
      <c r="AM1736" s="7" t="str">
        <f t="shared" ca="1" si="105"/>
        <v/>
      </c>
      <c r="AN1736" s="7" t="str">
        <f t="shared" si="106"/>
        <v/>
      </c>
      <c r="AO1736" s="7" t="str">
        <f t="shared" si="107"/>
        <v/>
      </c>
      <c r="AP1736" s="15" t="str">
        <f t="shared" si="108"/>
        <v/>
      </c>
    </row>
    <row r="1737" spans="38:42" ht="15" customHeight="1">
      <c r="AL1737" s="7" t="str">
        <f>IF(A1737="","",IF(COUNTIF(A1737:A$2001,A1737)=1,1,0))</f>
        <v/>
      </c>
      <c r="AM1737" s="7" t="str">
        <f t="shared" ca="1" si="105"/>
        <v/>
      </c>
      <c r="AN1737" s="7" t="str">
        <f t="shared" si="106"/>
        <v/>
      </c>
      <c r="AO1737" s="7" t="str">
        <f t="shared" si="107"/>
        <v/>
      </c>
      <c r="AP1737" s="15" t="str">
        <f t="shared" si="108"/>
        <v/>
      </c>
    </row>
    <row r="1738" spans="38:42" ht="15" customHeight="1">
      <c r="AL1738" s="7" t="str">
        <f>IF(A1738="","",IF(COUNTIF(A1738:A$2001,A1738)=1,1,0))</f>
        <v/>
      </c>
      <c r="AM1738" s="7" t="str">
        <f t="shared" ca="1" si="105"/>
        <v/>
      </c>
      <c r="AN1738" s="7" t="str">
        <f t="shared" si="106"/>
        <v/>
      </c>
      <c r="AO1738" s="7" t="str">
        <f t="shared" si="107"/>
        <v/>
      </c>
      <c r="AP1738" s="15" t="str">
        <f t="shared" si="108"/>
        <v/>
      </c>
    </row>
    <row r="1739" spans="38:42" ht="15" customHeight="1">
      <c r="AL1739" s="7" t="str">
        <f>IF(A1739="","",IF(COUNTIF(A1739:A$2001,A1739)=1,1,0))</f>
        <v/>
      </c>
      <c r="AM1739" s="7" t="str">
        <f t="shared" ca="1" si="105"/>
        <v/>
      </c>
      <c r="AN1739" s="7" t="str">
        <f t="shared" si="106"/>
        <v/>
      </c>
      <c r="AO1739" s="7" t="str">
        <f t="shared" si="107"/>
        <v/>
      </c>
      <c r="AP1739" s="15" t="str">
        <f t="shared" si="108"/>
        <v/>
      </c>
    </row>
    <row r="1740" spans="38:42" ht="15" customHeight="1">
      <c r="AL1740" s="7" t="str">
        <f>IF(A1740="","",IF(COUNTIF(A1740:A$2001,A1740)=1,1,0))</f>
        <v/>
      </c>
      <c r="AM1740" s="7" t="str">
        <f t="shared" ca="1" si="105"/>
        <v/>
      </c>
      <c r="AN1740" s="7" t="str">
        <f t="shared" si="106"/>
        <v/>
      </c>
      <c r="AO1740" s="7" t="str">
        <f t="shared" si="107"/>
        <v/>
      </c>
      <c r="AP1740" s="15" t="str">
        <f t="shared" si="108"/>
        <v/>
      </c>
    </row>
    <row r="1741" spans="38:42" ht="15" customHeight="1">
      <c r="AL1741" s="7" t="str">
        <f>IF(A1741="","",IF(COUNTIF(A1741:A$2001,A1741)=1,1,0))</f>
        <v/>
      </c>
      <c r="AM1741" s="7" t="str">
        <f t="shared" ca="1" si="105"/>
        <v/>
      </c>
      <c r="AN1741" s="7" t="str">
        <f t="shared" si="106"/>
        <v/>
      </c>
      <c r="AO1741" s="7" t="str">
        <f t="shared" si="107"/>
        <v/>
      </c>
      <c r="AP1741" s="15" t="str">
        <f t="shared" si="108"/>
        <v/>
      </c>
    </row>
    <row r="1742" spans="38:42" ht="15" customHeight="1">
      <c r="AL1742" s="7" t="str">
        <f>IF(A1742="","",IF(COUNTIF(A1742:A$2001,A1742)=1,1,0))</f>
        <v/>
      </c>
      <c r="AM1742" s="7" t="str">
        <f t="shared" ca="1" si="105"/>
        <v/>
      </c>
      <c r="AN1742" s="7" t="str">
        <f t="shared" si="106"/>
        <v/>
      </c>
      <c r="AO1742" s="7" t="str">
        <f t="shared" si="107"/>
        <v/>
      </c>
      <c r="AP1742" s="15" t="str">
        <f t="shared" si="108"/>
        <v/>
      </c>
    </row>
    <row r="1743" spans="38:42" ht="15" customHeight="1">
      <c r="AL1743" s="7" t="str">
        <f>IF(A1743="","",IF(COUNTIF(A1743:A$2001,A1743)=1,1,0))</f>
        <v/>
      </c>
      <c r="AM1743" s="7" t="str">
        <f t="shared" ca="1" si="105"/>
        <v/>
      </c>
      <c r="AN1743" s="7" t="str">
        <f t="shared" si="106"/>
        <v/>
      </c>
      <c r="AO1743" s="7" t="str">
        <f t="shared" si="107"/>
        <v/>
      </c>
      <c r="AP1743" s="15" t="str">
        <f t="shared" si="108"/>
        <v/>
      </c>
    </row>
    <row r="1744" spans="38:42" ht="15" customHeight="1">
      <c r="AL1744" s="7" t="str">
        <f>IF(A1744="","",IF(COUNTIF(A1744:A$2001,A1744)=1,1,0))</f>
        <v/>
      </c>
      <c r="AM1744" s="7" t="str">
        <f t="shared" ca="1" si="105"/>
        <v/>
      </c>
      <c r="AN1744" s="7" t="str">
        <f t="shared" si="106"/>
        <v/>
      </c>
      <c r="AO1744" s="7" t="str">
        <f t="shared" si="107"/>
        <v/>
      </c>
      <c r="AP1744" s="15" t="str">
        <f t="shared" si="108"/>
        <v/>
      </c>
    </row>
    <row r="1745" spans="38:42" ht="15" customHeight="1">
      <c r="AL1745" s="7" t="str">
        <f>IF(A1745="","",IF(COUNTIF(A1745:A$2001,A1745)=1,1,0))</f>
        <v/>
      </c>
      <c r="AM1745" s="7" t="str">
        <f t="shared" ca="1" si="105"/>
        <v/>
      </c>
      <c r="AN1745" s="7" t="str">
        <f t="shared" si="106"/>
        <v/>
      </c>
      <c r="AO1745" s="7" t="str">
        <f t="shared" si="107"/>
        <v/>
      </c>
      <c r="AP1745" s="15" t="str">
        <f t="shared" si="108"/>
        <v/>
      </c>
    </row>
    <row r="1746" spans="38:42" ht="15" customHeight="1">
      <c r="AL1746" s="7" t="str">
        <f>IF(A1746="","",IF(COUNTIF(A1746:A$2001,A1746)=1,1,0))</f>
        <v/>
      </c>
      <c r="AM1746" s="7" t="str">
        <f t="shared" ca="1" si="105"/>
        <v/>
      </c>
      <c r="AN1746" s="7" t="str">
        <f t="shared" si="106"/>
        <v/>
      </c>
      <c r="AO1746" s="7" t="str">
        <f t="shared" si="107"/>
        <v/>
      </c>
      <c r="AP1746" s="15" t="str">
        <f t="shared" si="108"/>
        <v/>
      </c>
    </row>
    <row r="1747" spans="38:42" ht="15" customHeight="1">
      <c r="AL1747" s="7" t="str">
        <f>IF(A1747="","",IF(COUNTIF(A1747:A$2001,A1747)=1,1,0))</f>
        <v/>
      </c>
      <c r="AM1747" s="7" t="str">
        <f t="shared" ca="1" si="105"/>
        <v/>
      </c>
      <c r="AN1747" s="7" t="str">
        <f t="shared" si="106"/>
        <v/>
      </c>
      <c r="AO1747" s="7" t="str">
        <f t="shared" si="107"/>
        <v/>
      </c>
      <c r="AP1747" s="15" t="str">
        <f t="shared" si="108"/>
        <v/>
      </c>
    </row>
    <row r="1748" spans="38:42" ht="15" customHeight="1">
      <c r="AL1748" s="7" t="str">
        <f>IF(A1748="","",IF(COUNTIF(A1748:A$2001,A1748)=1,1,0))</f>
        <v/>
      </c>
      <c r="AM1748" s="7" t="str">
        <f t="shared" ca="1" si="105"/>
        <v/>
      </c>
      <c r="AN1748" s="7" t="str">
        <f t="shared" si="106"/>
        <v/>
      </c>
      <c r="AO1748" s="7" t="str">
        <f t="shared" si="107"/>
        <v/>
      </c>
      <c r="AP1748" s="15" t="str">
        <f t="shared" si="108"/>
        <v/>
      </c>
    </row>
    <row r="1749" spans="38:42" ht="15" customHeight="1">
      <c r="AL1749" s="7" t="str">
        <f>IF(A1749="","",IF(COUNTIF(A1749:A$2001,A1749)=1,1,0))</f>
        <v/>
      </c>
      <c r="AM1749" s="7" t="str">
        <f t="shared" ca="1" si="105"/>
        <v/>
      </c>
      <c r="AN1749" s="7" t="str">
        <f t="shared" si="106"/>
        <v/>
      </c>
      <c r="AO1749" s="7" t="str">
        <f t="shared" si="107"/>
        <v/>
      </c>
      <c r="AP1749" s="15" t="str">
        <f t="shared" si="108"/>
        <v/>
      </c>
    </row>
    <row r="1750" spans="38:42" ht="15" customHeight="1">
      <c r="AL1750" s="7" t="str">
        <f>IF(A1750="","",IF(COUNTIF(A1750:A$2001,A1750)=1,1,0))</f>
        <v/>
      </c>
      <c r="AM1750" s="7" t="str">
        <f t="shared" ca="1" si="105"/>
        <v/>
      </c>
      <c r="AN1750" s="7" t="str">
        <f t="shared" si="106"/>
        <v/>
      </c>
      <c r="AO1750" s="7" t="str">
        <f t="shared" si="107"/>
        <v/>
      </c>
      <c r="AP1750" s="15" t="str">
        <f t="shared" si="108"/>
        <v/>
      </c>
    </row>
    <row r="1751" spans="38:42" ht="15" customHeight="1">
      <c r="AL1751" s="7" t="str">
        <f>IF(A1751="","",IF(COUNTIF(A1751:A$2001,A1751)=1,1,0))</f>
        <v/>
      </c>
      <c r="AM1751" s="7" t="str">
        <f t="shared" ca="1" si="105"/>
        <v/>
      </c>
      <c r="AN1751" s="7" t="str">
        <f t="shared" si="106"/>
        <v/>
      </c>
      <c r="AO1751" s="7" t="str">
        <f t="shared" si="107"/>
        <v/>
      </c>
      <c r="AP1751" s="15" t="str">
        <f t="shared" si="108"/>
        <v/>
      </c>
    </row>
    <row r="1752" spans="38:42" ht="15" customHeight="1">
      <c r="AL1752" s="7" t="str">
        <f>IF(A1752="","",IF(COUNTIF(A1752:A$2001,A1752)=1,1,0))</f>
        <v/>
      </c>
      <c r="AM1752" s="7" t="str">
        <f t="shared" ca="1" si="105"/>
        <v/>
      </c>
      <c r="AN1752" s="7" t="str">
        <f t="shared" si="106"/>
        <v/>
      </c>
      <c r="AO1752" s="7" t="str">
        <f t="shared" si="107"/>
        <v/>
      </c>
      <c r="AP1752" s="15" t="str">
        <f t="shared" si="108"/>
        <v/>
      </c>
    </row>
    <row r="1753" spans="38:42" ht="15" customHeight="1">
      <c r="AL1753" s="7" t="str">
        <f>IF(A1753="","",IF(COUNTIF(A1753:A$2001,A1753)=1,1,0))</f>
        <v/>
      </c>
      <c r="AM1753" s="7" t="str">
        <f t="shared" ca="1" si="105"/>
        <v/>
      </c>
      <c r="AN1753" s="7" t="str">
        <f t="shared" si="106"/>
        <v/>
      </c>
      <c r="AO1753" s="7" t="str">
        <f t="shared" si="107"/>
        <v/>
      </c>
      <c r="AP1753" s="15" t="str">
        <f t="shared" si="108"/>
        <v/>
      </c>
    </row>
    <row r="1754" spans="38:42" ht="15" customHeight="1">
      <c r="AL1754" s="7" t="str">
        <f>IF(A1754="","",IF(COUNTIF(A1754:A$2001,A1754)=1,1,0))</f>
        <v/>
      </c>
      <c r="AM1754" s="7" t="str">
        <f t="shared" ca="1" si="105"/>
        <v/>
      </c>
      <c r="AN1754" s="7" t="str">
        <f t="shared" si="106"/>
        <v/>
      </c>
      <c r="AO1754" s="7" t="str">
        <f t="shared" si="107"/>
        <v/>
      </c>
      <c r="AP1754" s="15" t="str">
        <f t="shared" si="108"/>
        <v/>
      </c>
    </row>
    <row r="1755" spans="38:42" ht="15" customHeight="1">
      <c r="AL1755" s="7" t="str">
        <f>IF(A1755="","",IF(COUNTIF(A1755:A$2001,A1755)=1,1,0))</f>
        <v/>
      </c>
      <c r="AM1755" s="7" t="str">
        <f t="shared" ca="1" si="105"/>
        <v/>
      </c>
      <c r="AN1755" s="7" t="str">
        <f t="shared" si="106"/>
        <v/>
      </c>
      <c r="AO1755" s="7" t="str">
        <f t="shared" si="107"/>
        <v/>
      </c>
      <c r="AP1755" s="15" t="str">
        <f t="shared" si="108"/>
        <v/>
      </c>
    </row>
    <row r="1756" spans="38:42" ht="15" customHeight="1">
      <c r="AL1756" s="7" t="str">
        <f>IF(A1756="","",IF(COUNTIF(A1756:A$2001,A1756)=1,1,0))</f>
        <v/>
      </c>
      <c r="AM1756" s="7" t="str">
        <f t="shared" ca="1" si="105"/>
        <v/>
      </c>
      <c r="AN1756" s="7" t="str">
        <f t="shared" si="106"/>
        <v/>
      </c>
      <c r="AO1756" s="7" t="str">
        <f t="shared" si="107"/>
        <v/>
      </c>
      <c r="AP1756" s="15" t="str">
        <f t="shared" si="108"/>
        <v/>
      </c>
    </row>
    <row r="1757" spans="38:42" ht="15" customHeight="1">
      <c r="AL1757" s="7" t="str">
        <f>IF(A1757="","",IF(COUNTIF(A1757:A$2001,A1757)=1,1,0))</f>
        <v/>
      </c>
      <c r="AM1757" s="7" t="str">
        <f t="shared" ca="1" si="105"/>
        <v/>
      </c>
      <c r="AN1757" s="7" t="str">
        <f t="shared" si="106"/>
        <v/>
      </c>
      <c r="AO1757" s="7" t="str">
        <f t="shared" si="107"/>
        <v/>
      </c>
      <c r="AP1757" s="15" t="str">
        <f t="shared" si="108"/>
        <v/>
      </c>
    </row>
    <row r="1758" spans="38:42" ht="15" customHeight="1">
      <c r="AL1758" s="7" t="str">
        <f>IF(A1758="","",IF(COUNTIF(A1758:A$2001,A1758)=1,1,0))</f>
        <v/>
      </c>
      <c r="AM1758" s="7" t="str">
        <f t="shared" ca="1" si="105"/>
        <v/>
      </c>
      <c r="AN1758" s="7" t="str">
        <f t="shared" si="106"/>
        <v/>
      </c>
      <c r="AO1758" s="7" t="str">
        <f t="shared" si="107"/>
        <v/>
      </c>
      <c r="AP1758" s="15" t="str">
        <f t="shared" si="108"/>
        <v/>
      </c>
    </row>
    <row r="1759" spans="38:42" ht="15" customHeight="1">
      <c r="AL1759" s="7" t="str">
        <f>IF(A1759="","",IF(COUNTIF(A1759:A$2001,A1759)=1,1,0))</f>
        <v/>
      </c>
      <c r="AM1759" s="7" t="str">
        <f t="shared" ca="1" si="105"/>
        <v/>
      </c>
      <c r="AN1759" s="7" t="str">
        <f t="shared" si="106"/>
        <v/>
      </c>
      <c r="AO1759" s="7" t="str">
        <f t="shared" si="107"/>
        <v/>
      </c>
      <c r="AP1759" s="15" t="str">
        <f t="shared" si="108"/>
        <v/>
      </c>
    </row>
    <row r="1760" spans="38:42" ht="15" customHeight="1">
      <c r="AL1760" s="7" t="str">
        <f>IF(A1760="","",IF(COUNTIF(A1760:A$2001,A1760)=1,1,0))</f>
        <v/>
      </c>
      <c r="AM1760" s="7" t="str">
        <f t="shared" ca="1" si="105"/>
        <v/>
      </c>
      <c r="AN1760" s="7" t="str">
        <f t="shared" si="106"/>
        <v/>
      </c>
      <c r="AO1760" s="7" t="str">
        <f t="shared" si="107"/>
        <v/>
      </c>
      <c r="AP1760" s="15" t="str">
        <f t="shared" si="108"/>
        <v/>
      </c>
    </row>
    <row r="1761" spans="38:42" ht="15" customHeight="1">
      <c r="AL1761" s="7" t="str">
        <f>IF(A1761="","",IF(COUNTIF(A1761:A$2001,A1761)=1,1,0))</f>
        <v/>
      </c>
      <c r="AM1761" s="7" t="str">
        <f t="shared" ca="1" si="105"/>
        <v/>
      </c>
      <c r="AN1761" s="7" t="str">
        <f t="shared" si="106"/>
        <v/>
      </c>
      <c r="AO1761" s="7" t="str">
        <f t="shared" si="107"/>
        <v/>
      </c>
      <c r="AP1761" s="15" t="str">
        <f t="shared" si="108"/>
        <v/>
      </c>
    </row>
    <row r="1762" spans="38:42" ht="15" customHeight="1">
      <c r="AL1762" s="7" t="str">
        <f>IF(A1762="","",IF(COUNTIF(A1762:A$2001,A1762)=1,1,0))</f>
        <v/>
      </c>
      <c r="AM1762" s="7" t="str">
        <f t="shared" ca="1" si="105"/>
        <v/>
      </c>
      <c r="AN1762" s="7" t="str">
        <f t="shared" si="106"/>
        <v/>
      </c>
      <c r="AO1762" s="7" t="str">
        <f t="shared" si="107"/>
        <v/>
      </c>
      <c r="AP1762" s="15" t="str">
        <f t="shared" si="108"/>
        <v/>
      </c>
    </row>
    <row r="1763" spans="38:42" ht="15" customHeight="1">
      <c r="AL1763" s="7" t="str">
        <f>IF(A1763="","",IF(COUNTIF(A1763:A$2001,A1763)=1,1,0))</f>
        <v/>
      </c>
      <c r="AM1763" s="7" t="str">
        <f t="shared" ca="1" si="105"/>
        <v/>
      </c>
      <c r="AN1763" s="7" t="str">
        <f t="shared" si="106"/>
        <v/>
      </c>
      <c r="AO1763" s="7" t="str">
        <f t="shared" si="107"/>
        <v/>
      </c>
      <c r="AP1763" s="15" t="str">
        <f t="shared" si="108"/>
        <v/>
      </c>
    </row>
    <row r="1764" spans="38:42" ht="15" customHeight="1">
      <c r="AL1764" s="7" t="str">
        <f>IF(A1764="","",IF(COUNTIF(A1764:A$2001,A1764)=1,1,0))</f>
        <v/>
      </c>
      <c r="AM1764" s="7" t="str">
        <f t="shared" ca="1" si="105"/>
        <v/>
      </c>
      <c r="AN1764" s="7" t="str">
        <f t="shared" si="106"/>
        <v/>
      </c>
      <c r="AO1764" s="7" t="str">
        <f t="shared" si="107"/>
        <v/>
      </c>
      <c r="AP1764" s="15" t="str">
        <f t="shared" si="108"/>
        <v/>
      </c>
    </row>
    <row r="1765" spans="38:42" ht="15" customHeight="1">
      <c r="AL1765" s="7" t="str">
        <f>IF(A1765="","",IF(COUNTIF(A1765:A$2001,A1765)=1,1,0))</f>
        <v/>
      </c>
      <c r="AM1765" s="7" t="str">
        <f t="shared" ca="1" si="105"/>
        <v/>
      </c>
      <c r="AN1765" s="7" t="str">
        <f t="shared" si="106"/>
        <v/>
      </c>
      <c r="AO1765" s="7" t="str">
        <f t="shared" si="107"/>
        <v/>
      </c>
      <c r="AP1765" s="15" t="str">
        <f t="shared" si="108"/>
        <v/>
      </c>
    </row>
    <row r="1766" spans="38:42" ht="15" customHeight="1">
      <c r="AL1766" s="7" t="str">
        <f>IF(A1766="","",IF(COUNTIF(A1766:A$2001,A1766)=1,1,0))</f>
        <v/>
      </c>
      <c r="AM1766" s="7" t="str">
        <f t="shared" ca="1" si="105"/>
        <v/>
      </c>
      <c r="AN1766" s="7" t="str">
        <f t="shared" si="106"/>
        <v/>
      </c>
      <c r="AO1766" s="7" t="str">
        <f t="shared" si="107"/>
        <v/>
      </c>
      <c r="AP1766" s="15" t="str">
        <f t="shared" si="108"/>
        <v/>
      </c>
    </row>
    <row r="1767" spans="38:42" ht="15" customHeight="1">
      <c r="AL1767" s="7" t="str">
        <f>IF(A1767="","",IF(COUNTIF(A1767:A$2001,A1767)=1,1,0))</f>
        <v/>
      </c>
      <c r="AM1767" s="7" t="str">
        <f t="shared" ca="1" si="105"/>
        <v/>
      </c>
      <c r="AN1767" s="7" t="str">
        <f t="shared" si="106"/>
        <v/>
      </c>
      <c r="AO1767" s="7" t="str">
        <f t="shared" si="107"/>
        <v/>
      </c>
      <c r="AP1767" s="15" t="str">
        <f t="shared" si="108"/>
        <v/>
      </c>
    </row>
    <row r="1768" spans="38:42" ht="15" customHeight="1">
      <c r="AL1768" s="7" t="str">
        <f>IF(A1768="","",IF(COUNTIF(A1768:A$2001,A1768)=1,1,0))</f>
        <v/>
      </c>
      <c r="AM1768" s="7" t="str">
        <f t="shared" ca="1" si="105"/>
        <v/>
      </c>
      <c r="AN1768" s="7" t="str">
        <f t="shared" si="106"/>
        <v/>
      </c>
      <c r="AO1768" s="7" t="str">
        <f t="shared" si="107"/>
        <v/>
      </c>
      <c r="AP1768" s="15" t="str">
        <f t="shared" si="108"/>
        <v/>
      </c>
    </row>
    <row r="1769" spans="38:42" ht="15" customHeight="1">
      <c r="AL1769" s="7" t="str">
        <f>IF(A1769="","",IF(COUNTIF(A1769:A$2001,A1769)=1,1,0))</f>
        <v/>
      </c>
      <c r="AM1769" s="7" t="str">
        <f t="shared" ca="1" si="105"/>
        <v/>
      </c>
      <c r="AN1769" s="7" t="str">
        <f t="shared" si="106"/>
        <v/>
      </c>
      <c r="AO1769" s="7" t="str">
        <f t="shared" si="107"/>
        <v/>
      </c>
      <c r="AP1769" s="15" t="str">
        <f t="shared" si="108"/>
        <v/>
      </c>
    </row>
    <row r="1770" spans="38:42" ht="15" customHeight="1">
      <c r="AL1770" s="7" t="str">
        <f>IF(A1770="","",IF(COUNTIF(A1770:A$2001,A1770)=1,1,0))</f>
        <v/>
      </c>
      <c r="AM1770" s="7" t="str">
        <f t="shared" ca="1" si="105"/>
        <v/>
      </c>
      <c r="AN1770" s="7" t="str">
        <f t="shared" si="106"/>
        <v/>
      </c>
      <c r="AO1770" s="7" t="str">
        <f t="shared" si="107"/>
        <v/>
      </c>
      <c r="AP1770" s="15" t="str">
        <f t="shared" si="108"/>
        <v/>
      </c>
    </row>
    <row r="1771" spans="38:42" ht="15" customHeight="1">
      <c r="AL1771" s="7" t="str">
        <f>IF(A1771="","",IF(COUNTIF(A1771:A$2001,A1771)=1,1,0))</f>
        <v/>
      </c>
      <c r="AM1771" s="7" t="str">
        <f t="shared" ca="1" si="105"/>
        <v/>
      </c>
      <c r="AN1771" s="7" t="str">
        <f t="shared" si="106"/>
        <v/>
      </c>
      <c r="AO1771" s="7" t="str">
        <f t="shared" si="107"/>
        <v/>
      </c>
      <c r="AP1771" s="15" t="str">
        <f t="shared" si="108"/>
        <v/>
      </c>
    </row>
    <row r="1772" spans="38:42" ht="15" customHeight="1">
      <c r="AL1772" s="7" t="str">
        <f>IF(A1772="","",IF(COUNTIF(A1772:A$2001,A1772)=1,1,0))</f>
        <v/>
      </c>
      <c r="AM1772" s="7" t="str">
        <f t="shared" ca="1" si="105"/>
        <v/>
      </c>
      <c r="AN1772" s="7" t="str">
        <f t="shared" si="106"/>
        <v/>
      </c>
      <c r="AO1772" s="7" t="str">
        <f t="shared" si="107"/>
        <v/>
      </c>
      <c r="AP1772" s="15" t="str">
        <f t="shared" si="108"/>
        <v/>
      </c>
    </row>
    <row r="1773" spans="38:42" ht="15" customHeight="1">
      <c r="AL1773" s="7" t="str">
        <f>IF(A1773="","",IF(COUNTIF(A1773:A$2001,A1773)=1,1,0))</f>
        <v/>
      </c>
      <c r="AM1773" s="7" t="str">
        <f t="shared" ca="1" si="105"/>
        <v/>
      </c>
      <c r="AN1773" s="7" t="str">
        <f t="shared" si="106"/>
        <v/>
      </c>
      <c r="AO1773" s="7" t="str">
        <f t="shared" si="107"/>
        <v/>
      </c>
      <c r="AP1773" s="15" t="str">
        <f t="shared" si="108"/>
        <v/>
      </c>
    </row>
    <row r="1774" spans="38:42" ht="15" customHeight="1">
      <c r="AL1774" s="7" t="str">
        <f>IF(A1774="","",IF(COUNTIF(A1774:A$2001,A1774)=1,1,0))</f>
        <v/>
      </c>
      <c r="AM1774" s="7" t="str">
        <f t="shared" ca="1" si="105"/>
        <v/>
      </c>
      <c r="AN1774" s="7" t="str">
        <f t="shared" si="106"/>
        <v/>
      </c>
      <c r="AO1774" s="7" t="str">
        <f t="shared" si="107"/>
        <v/>
      </c>
      <c r="AP1774" s="15" t="str">
        <f t="shared" si="108"/>
        <v/>
      </c>
    </row>
    <row r="1775" spans="38:42" ht="15" customHeight="1">
      <c r="AL1775" s="7" t="str">
        <f>IF(A1775="","",IF(COUNTIF(A1775:A$2001,A1775)=1,1,0))</f>
        <v/>
      </c>
      <c r="AM1775" s="7" t="str">
        <f t="shared" ca="1" si="105"/>
        <v/>
      </c>
      <c r="AN1775" s="7" t="str">
        <f t="shared" si="106"/>
        <v/>
      </c>
      <c r="AO1775" s="7" t="str">
        <f t="shared" si="107"/>
        <v/>
      </c>
      <c r="AP1775" s="15" t="str">
        <f t="shared" si="108"/>
        <v/>
      </c>
    </row>
    <row r="1776" spans="38:42" ht="15" customHeight="1">
      <c r="AL1776" s="7" t="str">
        <f>IF(A1776="","",IF(COUNTIF(A1776:A$2001,A1776)=1,1,0))</f>
        <v/>
      </c>
      <c r="AM1776" s="7" t="str">
        <f t="shared" ca="1" si="105"/>
        <v/>
      </c>
      <c r="AN1776" s="7" t="str">
        <f t="shared" si="106"/>
        <v/>
      </c>
      <c r="AO1776" s="7" t="str">
        <f t="shared" si="107"/>
        <v/>
      </c>
      <c r="AP1776" s="15" t="str">
        <f t="shared" si="108"/>
        <v/>
      </c>
    </row>
    <row r="1777" spans="38:42" ht="15" customHeight="1">
      <c r="AL1777" s="7" t="str">
        <f>IF(A1777="","",IF(COUNTIF(A1777:A$2001,A1777)=1,1,0))</f>
        <v/>
      </c>
      <c r="AM1777" s="7" t="str">
        <f t="shared" ca="1" si="105"/>
        <v/>
      </c>
      <c r="AN1777" s="7" t="str">
        <f t="shared" si="106"/>
        <v/>
      </c>
      <c r="AO1777" s="7" t="str">
        <f t="shared" si="107"/>
        <v/>
      </c>
      <c r="AP1777" s="15" t="str">
        <f t="shared" si="108"/>
        <v/>
      </c>
    </row>
    <row r="1778" spans="38:42" ht="15" customHeight="1">
      <c r="AL1778" s="7" t="str">
        <f>IF(A1778="","",IF(COUNTIF(A1778:A$2001,A1778)=1,1,0))</f>
        <v/>
      </c>
      <c r="AM1778" s="7" t="str">
        <f t="shared" ca="1" si="105"/>
        <v/>
      </c>
      <c r="AN1778" s="7" t="str">
        <f t="shared" si="106"/>
        <v/>
      </c>
      <c r="AO1778" s="7" t="str">
        <f t="shared" si="107"/>
        <v/>
      </c>
      <c r="AP1778" s="15" t="str">
        <f t="shared" si="108"/>
        <v/>
      </c>
    </row>
    <row r="1779" spans="38:42" ht="15" customHeight="1">
      <c r="AL1779" s="7" t="str">
        <f>IF(A1779="","",IF(COUNTIF(A1779:A$2001,A1779)=1,1,0))</f>
        <v/>
      </c>
      <c r="AM1779" s="7" t="str">
        <f t="shared" ca="1" si="105"/>
        <v/>
      </c>
      <c r="AN1779" s="7" t="str">
        <f t="shared" si="106"/>
        <v/>
      </c>
      <c r="AO1779" s="7" t="str">
        <f t="shared" si="107"/>
        <v/>
      </c>
      <c r="AP1779" s="15" t="str">
        <f t="shared" si="108"/>
        <v/>
      </c>
    </row>
    <row r="1780" spans="38:42" ht="15" customHeight="1">
      <c r="AL1780" s="7" t="str">
        <f>IF(A1780="","",IF(COUNTIF(A1780:A$2001,A1780)=1,1,0))</f>
        <v/>
      </c>
      <c r="AM1780" s="7" t="str">
        <f t="shared" ca="1" si="105"/>
        <v/>
      </c>
      <c r="AN1780" s="7" t="str">
        <f t="shared" si="106"/>
        <v/>
      </c>
      <c r="AO1780" s="7" t="str">
        <f t="shared" si="107"/>
        <v/>
      </c>
      <c r="AP1780" s="15" t="str">
        <f t="shared" si="108"/>
        <v/>
      </c>
    </row>
    <row r="1781" spans="38:42" ht="15" customHeight="1">
      <c r="AL1781" s="7" t="str">
        <f>IF(A1781="","",IF(COUNTIF(A1781:A$2001,A1781)=1,1,0))</f>
        <v/>
      </c>
      <c r="AM1781" s="7" t="str">
        <f t="shared" ca="1" si="105"/>
        <v/>
      </c>
      <c r="AN1781" s="7" t="str">
        <f t="shared" si="106"/>
        <v/>
      </c>
      <c r="AO1781" s="7" t="str">
        <f t="shared" si="107"/>
        <v/>
      </c>
      <c r="AP1781" s="15" t="str">
        <f t="shared" si="108"/>
        <v/>
      </c>
    </row>
    <row r="1782" spans="38:42" ht="15" customHeight="1">
      <c r="AL1782" s="7" t="str">
        <f>IF(A1782="","",IF(COUNTIF(A1782:A$2001,A1782)=1,1,0))</f>
        <v/>
      </c>
      <c r="AM1782" s="7" t="str">
        <f t="shared" ca="1" si="105"/>
        <v/>
      </c>
      <c r="AN1782" s="7" t="str">
        <f t="shared" si="106"/>
        <v/>
      </c>
      <c r="AO1782" s="7" t="str">
        <f t="shared" si="107"/>
        <v/>
      </c>
      <c r="AP1782" s="15" t="str">
        <f t="shared" si="108"/>
        <v/>
      </c>
    </row>
    <row r="1783" spans="38:42" ht="15" customHeight="1">
      <c r="AL1783" s="7" t="str">
        <f>IF(A1783="","",IF(COUNTIF(A1783:A$2001,A1783)=1,1,0))</f>
        <v/>
      </c>
      <c r="AM1783" s="7" t="str">
        <f t="shared" ca="1" si="105"/>
        <v/>
      </c>
      <c r="AN1783" s="7" t="str">
        <f t="shared" si="106"/>
        <v/>
      </c>
      <c r="AO1783" s="7" t="str">
        <f t="shared" si="107"/>
        <v/>
      </c>
      <c r="AP1783" s="15" t="str">
        <f t="shared" si="108"/>
        <v/>
      </c>
    </row>
    <row r="1784" spans="38:42" ht="15" customHeight="1">
      <c r="AL1784" s="7" t="str">
        <f>IF(A1784="","",IF(COUNTIF(A1784:A$2001,A1784)=1,1,0))</f>
        <v/>
      </c>
      <c r="AM1784" s="7" t="str">
        <f t="shared" ca="1" si="105"/>
        <v/>
      </c>
      <c r="AN1784" s="7" t="str">
        <f t="shared" si="106"/>
        <v/>
      </c>
      <c r="AO1784" s="7" t="str">
        <f t="shared" si="107"/>
        <v/>
      </c>
      <c r="AP1784" s="15" t="str">
        <f t="shared" si="108"/>
        <v/>
      </c>
    </row>
    <row r="1785" spans="38:42" ht="15" customHeight="1">
      <c r="AL1785" s="7" t="str">
        <f>IF(A1785="","",IF(COUNTIF(A1785:A$2001,A1785)=1,1,0))</f>
        <v/>
      </c>
      <c r="AM1785" s="7" t="str">
        <f t="shared" ca="1" si="105"/>
        <v/>
      </c>
      <c r="AN1785" s="7" t="str">
        <f t="shared" si="106"/>
        <v/>
      </c>
      <c r="AO1785" s="7" t="str">
        <f t="shared" si="107"/>
        <v/>
      </c>
      <c r="AP1785" s="15" t="str">
        <f t="shared" si="108"/>
        <v/>
      </c>
    </row>
    <row r="1786" spans="38:42" ht="15" customHeight="1">
      <c r="AL1786" s="7" t="str">
        <f>IF(A1786="","",IF(COUNTIF(A1786:A$2001,A1786)=1,1,0))</f>
        <v/>
      </c>
      <c r="AM1786" s="7" t="str">
        <f t="shared" ca="1" si="105"/>
        <v/>
      </c>
      <c r="AN1786" s="7" t="str">
        <f t="shared" si="106"/>
        <v/>
      </c>
      <c r="AO1786" s="7" t="str">
        <f t="shared" si="107"/>
        <v/>
      </c>
      <c r="AP1786" s="15" t="str">
        <f t="shared" si="108"/>
        <v/>
      </c>
    </row>
    <row r="1787" spans="38:42" ht="15" customHeight="1">
      <c r="AL1787" s="7" t="str">
        <f>IF(A1787="","",IF(COUNTIF(A1787:A$2001,A1787)=1,1,0))</f>
        <v/>
      </c>
      <c r="AM1787" s="7" t="str">
        <f t="shared" ca="1" si="105"/>
        <v/>
      </c>
      <c r="AN1787" s="7" t="str">
        <f t="shared" si="106"/>
        <v/>
      </c>
      <c r="AO1787" s="7" t="str">
        <f t="shared" si="107"/>
        <v/>
      </c>
      <c r="AP1787" s="15" t="str">
        <f t="shared" si="108"/>
        <v/>
      </c>
    </row>
    <row r="1788" spans="38:42" ht="15" customHeight="1">
      <c r="AL1788" s="7" t="str">
        <f>IF(A1788="","",IF(COUNTIF(A1788:A$2001,A1788)=1,1,0))</f>
        <v/>
      </c>
      <c r="AM1788" s="7" t="str">
        <f t="shared" ca="1" si="105"/>
        <v/>
      </c>
      <c r="AN1788" s="7" t="str">
        <f t="shared" si="106"/>
        <v/>
      </c>
      <c r="AO1788" s="7" t="str">
        <f t="shared" si="107"/>
        <v/>
      </c>
      <c r="AP1788" s="15" t="str">
        <f t="shared" si="108"/>
        <v/>
      </c>
    </row>
    <row r="1789" spans="38:42" ht="15" customHeight="1">
      <c r="AL1789" s="7" t="str">
        <f>IF(A1789="","",IF(COUNTIF(A1789:A$2001,A1789)=1,1,0))</f>
        <v/>
      </c>
      <c r="AM1789" s="7" t="str">
        <f t="shared" ca="1" si="105"/>
        <v/>
      </c>
      <c r="AN1789" s="7" t="str">
        <f t="shared" si="106"/>
        <v/>
      </c>
      <c r="AO1789" s="7" t="str">
        <f t="shared" si="107"/>
        <v/>
      </c>
      <c r="AP1789" s="15" t="str">
        <f t="shared" si="108"/>
        <v/>
      </c>
    </row>
    <row r="1790" spans="38:42" ht="15" customHeight="1">
      <c r="AL1790" s="7" t="str">
        <f>IF(A1790="","",IF(COUNTIF(A1790:A$2001,A1790)=1,1,0))</f>
        <v/>
      </c>
      <c r="AM1790" s="7" t="str">
        <f t="shared" ca="1" si="105"/>
        <v/>
      </c>
      <c r="AN1790" s="7" t="str">
        <f t="shared" si="106"/>
        <v/>
      </c>
      <c r="AO1790" s="7" t="str">
        <f t="shared" si="107"/>
        <v/>
      </c>
      <c r="AP1790" s="15" t="str">
        <f t="shared" si="108"/>
        <v/>
      </c>
    </row>
    <row r="1791" spans="38:42" ht="15" customHeight="1">
      <c r="AL1791" s="7" t="str">
        <f>IF(A1791="","",IF(COUNTIF(A1791:A$2001,A1791)=1,1,0))</f>
        <v/>
      </c>
      <c r="AM1791" s="7" t="str">
        <f t="shared" ca="1" si="105"/>
        <v/>
      </c>
      <c r="AN1791" s="7" t="str">
        <f t="shared" si="106"/>
        <v/>
      </c>
      <c r="AO1791" s="7" t="str">
        <f t="shared" si="107"/>
        <v/>
      </c>
      <c r="AP1791" s="15" t="str">
        <f t="shared" si="108"/>
        <v/>
      </c>
    </row>
    <row r="1792" spans="38:42" ht="15" customHeight="1">
      <c r="AL1792" s="7" t="str">
        <f>IF(A1792="","",IF(COUNTIF(A1792:A$2001,A1792)=1,1,0))</f>
        <v/>
      </c>
      <c r="AM1792" s="7" t="str">
        <f t="shared" ca="1" si="105"/>
        <v/>
      </c>
      <c r="AN1792" s="7" t="str">
        <f t="shared" si="106"/>
        <v/>
      </c>
      <c r="AO1792" s="7" t="str">
        <f t="shared" si="107"/>
        <v/>
      </c>
      <c r="AP1792" s="15" t="str">
        <f t="shared" si="108"/>
        <v/>
      </c>
    </row>
    <row r="1793" spans="38:42" ht="15" customHeight="1">
      <c r="AL1793" s="7" t="str">
        <f>IF(A1793="","",IF(COUNTIF(A1793:A$2001,A1793)=1,1,0))</f>
        <v/>
      </c>
      <c r="AM1793" s="7" t="str">
        <f t="shared" ca="1" si="105"/>
        <v/>
      </c>
      <c r="AN1793" s="7" t="str">
        <f t="shared" si="106"/>
        <v/>
      </c>
      <c r="AO1793" s="7" t="str">
        <f t="shared" si="107"/>
        <v/>
      </c>
      <c r="AP1793" s="15" t="str">
        <f t="shared" si="108"/>
        <v/>
      </c>
    </row>
    <row r="1794" spans="38:42" ht="15" customHeight="1">
      <c r="AL1794" s="7" t="str">
        <f>IF(A1794="","",IF(COUNTIF(A1794:A$2001,A1794)=1,1,0))</f>
        <v/>
      </c>
      <c r="AM1794" s="7" t="str">
        <f t="shared" ref="AM1794:AM1857" ca="1" si="109">IF(I1794="","",TODAY()-I1794)</f>
        <v/>
      </c>
      <c r="AN1794" s="7" t="str">
        <f t="shared" ref="AN1794:AN1857" si="110">IF(A1794="","",IF(AND(E1794&lt;&gt;"33 確認済",E1794&lt;&gt;"36 送付中"),1,0))</f>
        <v/>
      </c>
      <c r="AO1794" s="7" t="str">
        <f t="shared" ref="AO1794:AO1857" si="111">IF(A1794="","",IF(AG1794&lt;&gt;"",1,0))</f>
        <v/>
      </c>
      <c r="AP1794" s="15" t="str">
        <f t="shared" ref="AP1794:AP1857" si="112">IF(P1794&lt;&gt;"","・添待ち","")&amp;IF(Q1794&lt;&gt;"","・住民票","")&amp;IF(R1794&lt;&gt;"","・発信","")&amp;IF(S1794&lt;&gt;"","・確認事項","")&amp;IF(T1794&lt;&gt;"","・管","")&amp;IF(U1794&lt;&gt;"","・SV","")&amp;IF(V1794&lt;&gt;"","・データ送付待ち","")&amp;IF(W1794&lt;&gt;"","・削除","")</f>
        <v/>
      </c>
    </row>
    <row r="1795" spans="38:42" ht="15" customHeight="1">
      <c r="AL1795" s="7" t="str">
        <f>IF(A1795="","",IF(COUNTIF(A1795:A$2001,A1795)=1,1,0))</f>
        <v/>
      </c>
      <c r="AM1795" s="7" t="str">
        <f t="shared" ca="1" si="109"/>
        <v/>
      </c>
      <c r="AN1795" s="7" t="str">
        <f t="shared" si="110"/>
        <v/>
      </c>
      <c r="AO1795" s="7" t="str">
        <f t="shared" si="111"/>
        <v/>
      </c>
      <c r="AP1795" s="15" t="str">
        <f t="shared" si="112"/>
        <v/>
      </c>
    </row>
    <row r="1796" spans="38:42" ht="15" customHeight="1">
      <c r="AL1796" s="7" t="str">
        <f>IF(A1796="","",IF(COUNTIF(A1796:A$2001,A1796)=1,1,0))</f>
        <v/>
      </c>
      <c r="AM1796" s="7" t="str">
        <f t="shared" ca="1" si="109"/>
        <v/>
      </c>
      <c r="AN1796" s="7" t="str">
        <f t="shared" si="110"/>
        <v/>
      </c>
      <c r="AO1796" s="7" t="str">
        <f t="shared" si="111"/>
        <v/>
      </c>
      <c r="AP1796" s="15" t="str">
        <f t="shared" si="112"/>
        <v/>
      </c>
    </row>
    <row r="1797" spans="38:42" ht="15" customHeight="1">
      <c r="AL1797" s="7" t="str">
        <f>IF(A1797="","",IF(COUNTIF(A1797:A$2001,A1797)=1,1,0))</f>
        <v/>
      </c>
      <c r="AM1797" s="7" t="str">
        <f t="shared" ca="1" si="109"/>
        <v/>
      </c>
      <c r="AN1797" s="7" t="str">
        <f t="shared" si="110"/>
        <v/>
      </c>
      <c r="AO1797" s="7" t="str">
        <f t="shared" si="111"/>
        <v/>
      </c>
      <c r="AP1797" s="15" t="str">
        <f t="shared" si="112"/>
        <v/>
      </c>
    </row>
    <row r="1798" spans="38:42" ht="15" customHeight="1">
      <c r="AL1798" s="7" t="str">
        <f>IF(A1798="","",IF(COUNTIF(A1798:A$2001,A1798)=1,1,0))</f>
        <v/>
      </c>
      <c r="AM1798" s="7" t="str">
        <f t="shared" ca="1" si="109"/>
        <v/>
      </c>
      <c r="AN1798" s="7" t="str">
        <f t="shared" si="110"/>
        <v/>
      </c>
      <c r="AO1798" s="7" t="str">
        <f t="shared" si="111"/>
        <v/>
      </c>
      <c r="AP1798" s="15" t="str">
        <f t="shared" si="112"/>
        <v/>
      </c>
    </row>
    <row r="1799" spans="38:42" ht="15" customHeight="1">
      <c r="AL1799" s="7" t="str">
        <f>IF(A1799="","",IF(COUNTIF(A1799:A$2001,A1799)=1,1,0))</f>
        <v/>
      </c>
      <c r="AM1799" s="7" t="str">
        <f t="shared" ca="1" si="109"/>
        <v/>
      </c>
      <c r="AN1799" s="7" t="str">
        <f t="shared" si="110"/>
        <v/>
      </c>
      <c r="AO1799" s="7" t="str">
        <f t="shared" si="111"/>
        <v/>
      </c>
      <c r="AP1799" s="15" t="str">
        <f t="shared" si="112"/>
        <v/>
      </c>
    </row>
    <row r="1800" spans="38:42" ht="15" customHeight="1">
      <c r="AL1800" s="7" t="str">
        <f>IF(A1800="","",IF(COUNTIF(A1800:A$2001,A1800)=1,1,0))</f>
        <v/>
      </c>
      <c r="AM1800" s="7" t="str">
        <f t="shared" ca="1" si="109"/>
        <v/>
      </c>
      <c r="AN1800" s="7" t="str">
        <f t="shared" si="110"/>
        <v/>
      </c>
      <c r="AO1800" s="7" t="str">
        <f t="shared" si="111"/>
        <v/>
      </c>
      <c r="AP1800" s="15" t="str">
        <f t="shared" si="112"/>
        <v/>
      </c>
    </row>
    <row r="1801" spans="38:42" ht="15" customHeight="1">
      <c r="AL1801" s="7" t="str">
        <f>IF(A1801="","",IF(COUNTIF(A1801:A$2001,A1801)=1,1,0))</f>
        <v/>
      </c>
      <c r="AM1801" s="7" t="str">
        <f t="shared" ca="1" si="109"/>
        <v/>
      </c>
      <c r="AN1801" s="7" t="str">
        <f t="shared" si="110"/>
        <v/>
      </c>
      <c r="AO1801" s="7" t="str">
        <f t="shared" si="111"/>
        <v/>
      </c>
      <c r="AP1801" s="15" t="str">
        <f t="shared" si="112"/>
        <v/>
      </c>
    </row>
    <row r="1802" spans="38:42" ht="15" customHeight="1">
      <c r="AL1802" s="7" t="str">
        <f>IF(A1802="","",IF(COUNTIF(A1802:A$2001,A1802)=1,1,0))</f>
        <v/>
      </c>
      <c r="AM1802" s="7" t="str">
        <f t="shared" ca="1" si="109"/>
        <v/>
      </c>
      <c r="AN1802" s="7" t="str">
        <f t="shared" si="110"/>
        <v/>
      </c>
      <c r="AO1802" s="7" t="str">
        <f t="shared" si="111"/>
        <v/>
      </c>
      <c r="AP1802" s="15" t="str">
        <f t="shared" si="112"/>
        <v/>
      </c>
    </row>
    <row r="1803" spans="38:42" ht="15" customHeight="1">
      <c r="AL1803" s="7" t="str">
        <f>IF(A1803="","",IF(COUNTIF(A1803:A$2001,A1803)=1,1,0))</f>
        <v/>
      </c>
      <c r="AM1803" s="7" t="str">
        <f t="shared" ca="1" si="109"/>
        <v/>
      </c>
      <c r="AN1803" s="7" t="str">
        <f t="shared" si="110"/>
        <v/>
      </c>
      <c r="AO1803" s="7" t="str">
        <f t="shared" si="111"/>
        <v/>
      </c>
      <c r="AP1803" s="15" t="str">
        <f t="shared" si="112"/>
        <v/>
      </c>
    </row>
    <row r="1804" spans="38:42" ht="15" customHeight="1">
      <c r="AL1804" s="7" t="str">
        <f>IF(A1804="","",IF(COUNTIF(A1804:A$2001,A1804)=1,1,0))</f>
        <v/>
      </c>
      <c r="AM1804" s="7" t="str">
        <f t="shared" ca="1" si="109"/>
        <v/>
      </c>
      <c r="AN1804" s="7" t="str">
        <f t="shared" si="110"/>
        <v/>
      </c>
      <c r="AO1804" s="7" t="str">
        <f t="shared" si="111"/>
        <v/>
      </c>
      <c r="AP1804" s="15" t="str">
        <f t="shared" si="112"/>
        <v/>
      </c>
    </row>
    <row r="1805" spans="38:42" ht="15" customHeight="1">
      <c r="AL1805" s="7" t="str">
        <f>IF(A1805="","",IF(COUNTIF(A1805:A$2001,A1805)=1,1,0))</f>
        <v/>
      </c>
      <c r="AM1805" s="7" t="str">
        <f t="shared" ca="1" si="109"/>
        <v/>
      </c>
      <c r="AN1805" s="7" t="str">
        <f t="shared" si="110"/>
        <v/>
      </c>
      <c r="AO1805" s="7" t="str">
        <f t="shared" si="111"/>
        <v/>
      </c>
      <c r="AP1805" s="15" t="str">
        <f t="shared" si="112"/>
        <v/>
      </c>
    </row>
    <row r="1806" spans="38:42" ht="15" customHeight="1">
      <c r="AL1806" s="7" t="str">
        <f>IF(A1806="","",IF(COUNTIF(A1806:A$2001,A1806)=1,1,0))</f>
        <v/>
      </c>
      <c r="AM1806" s="7" t="str">
        <f t="shared" ca="1" si="109"/>
        <v/>
      </c>
      <c r="AN1806" s="7" t="str">
        <f t="shared" si="110"/>
        <v/>
      </c>
      <c r="AO1806" s="7" t="str">
        <f t="shared" si="111"/>
        <v/>
      </c>
      <c r="AP1806" s="15" t="str">
        <f t="shared" si="112"/>
        <v/>
      </c>
    </row>
    <row r="1807" spans="38:42" ht="15" customHeight="1">
      <c r="AL1807" s="7" t="str">
        <f>IF(A1807="","",IF(COUNTIF(A1807:A$2001,A1807)=1,1,0))</f>
        <v/>
      </c>
      <c r="AM1807" s="7" t="str">
        <f t="shared" ca="1" si="109"/>
        <v/>
      </c>
      <c r="AN1807" s="7" t="str">
        <f t="shared" si="110"/>
        <v/>
      </c>
      <c r="AO1807" s="7" t="str">
        <f t="shared" si="111"/>
        <v/>
      </c>
      <c r="AP1807" s="15" t="str">
        <f t="shared" si="112"/>
        <v/>
      </c>
    </row>
    <row r="1808" spans="38:42" ht="15" customHeight="1">
      <c r="AL1808" s="7" t="str">
        <f>IF(A1808="","",IF(COUNTIF(A1808:A$2001,A1808)=1,1,0))</f>
        <v/>
      </c>
      <c r="AM1808" s="7" t="str">
        <f t="shared" ca="1" si="109"/>
        <v/>
      </c>
      <c r="AN1808" s="7" t="str">
        <f t="shared" si="110"/>
        <v/>
      </c>
      <c r="AO1808" s="7" t="str">
        <f t="shared" si="111"/>
        <v/>
      </c>
      <c r="AP1808" s="15" t="str">
        <f t="shared" si="112"/>
        <v/>
      </c>
    </row>
    <row r="1809" spans="38:42" ht="15" customHeight="1">
      <c r="AL1809" s="7" t="str">
        <f>IF(A1809="","",IF(COUNTIF(A1809:A$2001,A1809)=1,1,0))</f>
        <v/>
      </c>
      <c r="AM1809" s="7" t="str">
        <f t="shared" ca="1" si="109"/>
        <v/>
      </c>
      <c r="AN1809" s="7" t="str">
        <f t="shared" si="110"/>
        <v/>
      </c>
      <c r="AO1809" s="7" t="str">
        <f t="shared" si="111"/>
        <v/>
      </c>
      <c r="AP1809" s="15" t="str">
        <f t="shared" si="112"/>
        <v/>
      </c>
    </row>
    <row r="1810" spans="38:42" ht="15" customHeight="1">
      <c r="AL1810" s="7" t="str">
        <f>IF(A1810="","",IF(COUNTIF(A1810:A$2001,A1810)=1,1,0))</f>
        <v/>
      </c>
      <c r="AM1810" s="7" t="str">
        <f t="shared" ca="1" si="109"/>
        <v/>
      </c>
      <c r="AN1810" s="7" t="str">
        <f t="shared" si="110"/>
        <v/>
      </c>
      <c r="AO1810" s="7" t="str">
        <f t="shared" si="111"/>
        <v/>
      </c>
      <c r="AP1810" s="15" t="str">
        <f t="shared" si="112"/>
        <v/>
      </c>
    </row>
    <row r="1811" spans="38:42" ht="15" customHeight="1">
      <c r="AL1811" s="7" t="str">
        <f>IF(A1811="","",IF(COUNTIF(A1811:A$2001,A1811)=1,1,0))</f>
        <v/>
      </c>
      <c r="AM1811" s="7" t="str">
        <f t="shared" ca="1" si="109"/>
        <v/>
      </c>
      <c r="AN1811" s="7" t="str">
        <f t="shared" si="110"/>
        <v/>
      </c>
      <c r="AO1811" s="7" t="str">
        <f t="shared" si="111"/>
        <v/>
      </c>
      <c r="AP1811" s="15" t="str">
        <f t="shared" si="112"/>
        <v/>
      </c>
    </row>
    <row r="1812" spans="38:42" ht="15" customHeight="1">
      <c r="AL1812" s="7" t="str">
        <f>IF(A1812="","",IF(COUNTIF(A1812:A$2001,A1812)=1,1,0))</f>
        <v/>
      </c>
      <c r="AM1812" s="7" t="str">
        <f t="shared" ca="1" si="109"/>
        <v/>
      </c>
      <c r="AN1812" s="7" t="str">
        <f t="shared" si="110"/>
        <v/>
      </c>
      <c r="AO1812" s="7" t="str">
        <f t="shared" si="111"/>
        <v/>
      </c>
      <c r="AP1812" s="15" t="str">
        <f t="shared" si="112"/>
        <v/>
      </c>
    </row>
    <row r="1813" spans="38:42" ht="15" customHeight="1">
      <c r="AL1813" s="7" t="str">
        <f>IF(A1813="","",IF(COUNTIF(A1813:A$2001,A1813)=1,1,0))</f>
        <v/>
      </c>
      <c r="AM1813" s="7" t="str">
        <f t="shared" ca="1" si="109"/>
        <v/>
      </c>
      <c r="AN1813" s="7" t="str">
        <f t="shared" si="110"/>
        <v/>
      </c>
      <c r="AO1813" s="7" t="str">
        <f t="shared" si="111"/>
        <v/>
      </c>
      <c r="AP1813" s="15" t="str">
        <f t="shared" si="112"/>
        <v/>
      </c>
    </row>
    <row r="1814" spans="38:42" ht="15" customHeight="1">
      <c r="AL1814" s="7" t="str">
        <f>IF(A1814="","",IF(COUNTIF(A1814:A$2001,A1814)=1,1,0))</f>
        <v/>
      </c>
      <c r="AM1814" s="7" t="str">
        <f t="shared" ca="1" si="109"/>
        <v/>
      </c>
      <c r="AN1814" s="7" t="str">
        <f t="shared" si="110"/>
        <v/>
      </c>
      <c r="AO1814" s="7" t="str">
        <f t="shared" si="111"/>
        <v/>
      </c>
      <c r="AP1814" s="15" t="str">
        <f t="shared" si="112"/>
        <v/>
      </c>
    </row>
    <row r="1815" spans="38:42" ht="15" customHeight="1">
      <c r="AL1815" s="7" t="str">
        <f>IF(A1815="","",IF(COUNTIF(A1815:A$2001,A1815)=1,1,0))</f>
        <v/>
      </c>
      <c r="AM1815" s="7" t="str">
        <f t="shared" ca="1" si="109"/>
        <v/>
      </c>
      <c r="AN1815" s="7" t="str">
        <f t="shared" si="110"/>
        <v/>
      </c>
      <c r="AO1815" s="7" t="str">
        <f t="shared" si="111"/>
        <v/>
      </c>
      <c r="AP1815" s="15" t="str">
        <f t="shared" si="112"/>
        <v/>
      </c>
    </row>
    <row r="1816" spans="38:42" ht="15" customHeight="1">
      <c r="AL1816" s="7" t="str">
        <f>IF(A1816="","",IF(COUNTIF(A1816:A$2001,A1816)=1,1,0))</f>
        <v/>
      </c>
      <c r="AM1816" s="7" t="str">
        <f t="shared" ca="1" si="109"/>
        <v/>
      </c>
      <c r="AN1816" s="7" t="str">
        <f t="shared" si="110"/>
        <v/>
      </c>
      <c r="AO1816" s="7" t="str">
        <f t="shared" si="111"/>
        <v/>
      </c>
      <c r="AP1816" s="15" t="str">
        <f t="shared" si="112"/>
        <v/>
      </c>
    </row>
    <row r="1817" spans="38:42" ht="15" customHeight="1">
      <c r="AL1817" s="7" t="str">
        <f>IF(A1817="","",IF(COUNTIF(A1817:A$2001,A1817)=1,1,0))</f>
        <v/>
      </c>
      <c r="AM1817" s="7" t="str">
        <f t="shared" ca="1" si="109"/>
        <v/>
      </c>
      <c r="AN1817" s="7" t="str">
        <f t="shared" si="110"/>
        <v/>
      </c>
      <c r="AO1817" s="7" t="str">
        <f t="shared" si="111"/>
        <v/>
      </c>
      <c r="AP1817" s="15" t="str">
        <f t="shared" si="112"/>
        <v/>
      </c>
    </row>
    <row r="1818" spans="38:42" ht="15" customHeight="1">
      <c r="AL1818" s="7" t="str">
        <f>IF(A1818="","",IF(COUNTIF(A1818:A$2001,A1818)=1,1,0))</f>
        <v/>
      </c>
      <c r="AM1818" s="7" t="str">
        <f t="shared" ca="1" si="109"/>
        <v/>
      </c>
      <c r="AN1818" s="7" t="str">
        <f t="shared" si="110"/>
        <v/>
      </c>
      <c r="AO1818" s="7" t="str">
        <f t="shared" si="111"/>
        <v/>
      </c>
      <c r="AP1818" s="15" t="str">
        <f t="shared" si="112"/>
        <v/>
      </c>
    </row>
    <row r="1819" spans="38:42" ht="15" customHeight="1">
      <c r="AL1819" s="7" t="str">
        <f>IF(A1819="","",IF(COUNTIF(A1819:A$2001,A1819)=1,1,0))</f>
        <v/>
      </c>
      <c r="AM1819" s="7" t="str">
        <f t="shared" ca="1" si="109"/>
        <v/>
      </c>
      <c r="AN1819" s="7" t="str">
        <f t="shared" si="110"/>
        <v/>
      </c>
      <c r="AO1819" s="7" t="str">
        <f t="shared" si="111"/>
        <v/>
      </c>
      <c r="AP1819" s="15" t="str">
        <f t="shared" si="112"/>
        <v/>
      </c>
    </row>
    <row r="1820" spans="38:42" ht="15" customHeight="1">
      <c r="AL1820" s="7" t="str">
        <f>IF(A1820="","",IF(COUNTIF(A1820:A$2001,A1820)=1,1,0))</f>
        <v/>
      </c>
      <c r="AM1820" s="7" t="str">
        <f t="shared" ca="1" si="109"/>
        <v/>
      </c>
      <c r="AN1820" s="7" t="str">
        <f t="shared" si="110"/>
        <v/>
      </c>
      <c r="AO1820" s="7" t="str">
        <f t="shared" si="111"/>
        <v/>
      </c>
      <c r="AP1820" s="15" t="str">
        <f t="shared" si="112"/>
        <v/>
      </c>
    </row>
    <row r="1821" spans="38:42" ht="15" customHeight="1">
      <c r="AL1821" s="7" t="str">
        <f>IF(A1821="","",IF(COUNTIF(A1821:A$2001,A1821)=1,1,0))</f>
        <v/>
      </c>
      <c r="AM1821" s="7" t="str">
        <f t="shared" ca="1" si="109"/>
        <v/>
      </c>
      <c r="AN1821" s="7" t="str">
        <f t="shared" si="110"/>
        <v/>
      </c>
      <c r="AO1821" s="7" t="str">
        <f t="shared" si="111"/>
        <v/>
      </c>
      <c r="AP1821" s="15" t="str">
        <f t="shared" si="112"/>
        <v/>
      </c>
    </row>
    <row r="1822" spans="38:42" ht="15" customHeight="1">
      <c r="AL1822" s="7" t="str">
        <f>IF(A1822="","",IF(COUNTIF(A1822:A$2001,A1822)=1,1,0))</f>
        <v/>
      </c>
      <c r="AM1822" s="7" t="str">
        <f t="shared" ca="1" si="109"/>
        <v/>
      </c>
      <c r="AN1822" s="7" t="str">
        <f t="shared" si="110"/>
        <v/>
      </c>
      <c r="AO1822" s="7" t="str">
        <f t="shared" si="111"/>
        <v/>
      </c>
      <c r="AP1822" s="15" t="str">
        <f t="shared" si="112"/>
        <v/>
      </c>
    </row>
    <row r="1823" spans="38:42" ht="15" customHeight="1">
      <c r="AL1823" s="7" t="str">
        <f>IF(A1823="","",IF(COUNTIF(A1823:A$2001,A1823)=1,1,0))</f>
        <v/>
      </c>
      <c r="AM1823" s="7" t="str">
        <f t="shared" ca="1" si="109"/>
        <v/>
      </c>
      <c r="AN1823" s="7" t="str">
        <f t="shared" si="110"/>
        <v/>
      </c>
      <c r="AO1823" s="7" t="str">
        <f t="shared" si="111"/>
        <v/>
      </c>
      <c r="AP1823" s="15" t="str">
        <f t="shared" si="112"/>
        <v/>
      </c>
    </row>
    <row r="1824" spans="38:42" ht="15" customHeight="1">
      <c r="AL1824" s="7" t="str">
        <f>IF(A1824="","",IF(COUNTIF(A1824:A$2001,A1824)=1,1,0))</f>
        <v/>
      </c>
      <c r="AM1824" s="7" t="str">
        <f t="shared" ca="1" si="109"/>
        <v/>
      </c>
      <c r="AN1824" s="7" t="str">
        <f t="shared" si="110"/>
        <v/>
      </c>
      <c r="AO1824" s="7" t="str">
        <f t="shared" si="111"/>
        <v/>
      </c>
      <c r="AP1824" s="15" t="str">
        <f t="shared" si="112"/>
        <v/>
      </c>
    </row>
    <row r="1825" spans="38:42" ht="15" customHeight="1">
      <c r="AL1825" s="7" t="str">
        <f>IF(A1825="","",IF(COUNTIF(A1825:A$2001,A1825)=1,1,0))</f>
        <v/>
      </c>
      <c r="AM1825" s="7" t="str">
        <f t="shared" ca="1" si="109"/>
        <v/>
      </c>
      <c r="AN1825" s="7" t="str">
        <f t="shared" si="110"/>
        <v/>
      </c>
      <c r="AO1825" s="7" t="str">
        <f t="shared" si="111"/>
        <v/>
      </c>
      <c r="AP1825" s="15" t="str">
        <f t="shared" si="112"/>
        <v/>
      </c>
    </row>
    <row r="1826" spans="38:42" ht="15" customHeight="1">
      <c r="AL1826" s="7" t="str">
        <f>IF(A1826="","",IF(COUNTIF(A1826:A$2001,A1826)=1,1,0))</f>
        <v/>
      </c>
      <c r="AM1826" s="7" t="str">
        <f t="shared" ca="1" si="109"/>
        <v/>
      </c>
      <c r="AN1826" s="7" t="str">
        <f t="shared" si="110"/>
        <v/>
      </c>
      <c r="AO1826" s="7" t="str">
        <f t="shared" si="111"/>
        <v/>
      </c>
      <c r="AP1826" s="15" t="str">
        <f t="shared" si="112"/>
        <v/>
      </c>
    </row>
    <row r="1827" spans="38:42" ht="15" customHeight="1">
      <c r="AL1827" s="7" t="str">
        <f>IF(A1827="","",IF(COUNTIF(A1827:A$2001,A1827)=1,1,0))</f>
        <v/>
      </c>
      <c r="AM1827" s="7" t="str">
        <f t="shared" ca="1" si="109"/>
        <v/>
      </c>
      <c r="AN1827" s="7" t="str">
        <f t="shared" si="110"/>
        <v/>
      </c>
      <c r="AO1827" s="7" t="str">
        <f t="shared" si="111"/>
        <v/>
      </c>
      <c r="AP1827" s="15" t="str">
        <f t="shared" si="112"/>
        <v/>
      </c>
    </row>
    <row r="1828" spans="38:42" ht="15" customHeight="1">
      <c r="AL1828" s="7" t="str">
        <f>IF(A1828="","",IF(COUNTIF(A1828:A$2001,A1828)=1,1,0))</f>
        <v/>
      </c>
      <c r="AM1828" s="7" t="str">
        <f t="shared" ca="1" si="109"/>
        <v/>
      </c>
      <c r="AN1828" s="7" t="str">
        <f t="shared" si="110"/>
        <v/>
      </c>
      <c r="AO1828" s="7" t="str">
        <f t="shared" si="111"/>
        <v/>
      </c>
      <c r="AP1828" s="15" t="str">
        <f t="shared" si="112"/>
        <v/>
      </c>
    </row>
    <row r="1829" spans="38:42" ht="15" customHeight="1">
      <c r="AL1829" s="7" t="str">
        <f>IF(A1829="","",IF(COUNTIF(A1829:A$2001,A1829)=1,1,0))</f>
        <v/>
      </c>
      <c r="AM1829" s="7" t="str">
        <f t="shared" ca="1" si="109"/>
        <v/>
      </c>
      <c r="AN1829" s="7" t="str">
        <f t="shared" si="110"/>
        <v/>
      </c>
      <c r="AO1829" s="7" t="str">
        <f t="shared" si="111"/>
        <v/>
      </c>
      <c r="AP1829" s="15" t="str">
        <f t="shared" si="112"/>
        <v/>
      </c>
    </row>
    <row r="1830" spans="38:42" ht="15" customHeight="1">
      <c r="AL1830" s="7" t="str">
        <f>IF(A1830="","",IF(COUNTIF(A1830:A$2001,A1830)=1,1,0))</f>
        <v/>
      </c>
      <c r="AM1830" s="7" t="str">
        <f t="shared" ca="1" si="109"/>
        <v/>
      </c>
      <c r="AN1830" s="7" t="str">
        <f t="shared" si="110"/>
        <v/>
      </c>
      <c r="AO1830" s="7" t="str">
        <f t="shared" si="111"/>
        <v/>
      </c>
      <c r="AP1830" s="15" t="str">
        <f t="shared" si="112"/>
        <v/>
      </c>
    </row>
    <row r="1831" spans="38:42" ht="15" customHeight="1">
      <c r="AL1831" s="7" t="str">
        <f>IF(A1831="","",IF(COUNTIF(A1831:A$2001,A1831)=1,1,0))</f>
        <v/>
      </c>
      <c r="AM1831" s="7" t="str">
        <f t="shared" ca="1" si="109"/>
        <v/>
      </c>
      <c r="AN1831" s="7" t="str">
        <f t="shared" si="110"/>
        <v/>
      </c>
      <c r="AO1831" s="7" t="str">
        <f t="shared" si="111"/>
        <v/>
      </c>
      <c r="AP1831" s="15" t="str">
        <f t="shared" si="112"/>
        <v/>
      </c>
    </row>
    <row r="1832" spans="38:42" ht="15" customHeight="1">
      <c r="AL1832" s="7" t="str">
        <f>IF(A1832="","",IF(COUNTIF(A1832:A$2001,A1832)=1,1,0))</f>
        <v/>
      </c>
      <c r="AM1832" s="7" t="str">
        <f t="shared" ca="1" si="109"/>
        <v/>
      </c>
      <c r="AN1832" s="7" t="str">
        <f t="shared" si="110"/>
        <v/>
      </c>
      <c r="AO1832" s="7" t="str">
        <f t="shared" si="111"/>
        <v/>
      </c>
      <c r="AP1832" s="15" t="str">
        <f t="shared" si="112"/>
        <v/>
      </c>
    </row>
    <row r="1833" spans="38:42" ht="15" customHeight="1">
      <c r="AL1833" s="7" t="str">
        <f>IF(A1833="","",IF(COUNTIF(A1833:A$2001,A1833)=1,1,0))</f>
        <v/>
      </c>
      <c r="AM1833" s="7" t="str">
        <f t="shared" ca="1" si="109"/>
        <v/>
      </c>
      <c r="AN1833" s="7" t="str">
        <f t="shared" si="110"/>
        <v/>
      </c>
      <c r="AO1833" s="7" t="str">
        <f t="shared" si="111"/>
        <v/>
      </c>
      <c r="AP1833" s="15" t="str">
        <f t="shared" si="112"/>
        <v/>
      </c>
    </row>
    <row r="1834" spans="38:42" ht="15" customHeight="1">
      <c r="AL1834" s="7" t="str">
        <f>IF(A1834="","",IF(COUNTIF(A1834:A$2001,A1834)=1,1,0))</f>
        <v/>
      </c>
      <c r="AM1834" s="7" t="str">
        <f t="shared" ca="1" si="109"/>
        <v/>
      </c>
      <c r="AN1834" s="7" t="str">
        <f t="shared" si="110"/>
        <v/>
      </c>
      <c r="AO1834" s="7" t="str">
        <f t="shared" si="111"/>
        <v/>
      </c>
      <c r="AP1834" s="15" t="str">
        <f t="shared" si="112"/>
        <v/>
      </c>
    </row>
    <row r="1835" spans="38:42" ht="15" customHeight="1">
      <c r="AL1835" s="7" t="str">
        <f>IF(A1835="","",IF(COUNTIF(A1835:A$2001,A1835)=1,1,0))</f>
        <v/>
      </c>
      <c r="AM1835" s="7" t="str">
        <f t="shared" ca="1" si="109"/>
        <v/>
      </c>
      <c r="AN1835" s="7" t="str">
        <f t="shared" si="110"/>
        <v/>
      </c>
      <c r="AO1835" s="7" t="str">
        <f t="shared" si="111"/>
        <v/>
      </c>
      <c r="AP1835" s="15" t="str">
        <f t="shared" si="112"/>
        <v/>
      </c>
    </row>
    <row r="1836" spans="38:42" ht="15" customHeight="1">
      <c r="AL1836" s="7" t="str">
        <f>IF(A1836="","",IF(COUNTIF(A1836:A$2001,A1836)=1,1,0))</f>
        <v/>
      </c>
      <c r="AM1836" s="7" t="str">
        <f t="shared" ca="1" si="109"/>
        <v/>
      </c>
      <c r="AN1836" s="7" t="str">
        <f t="shared" si="110"/>
        <v/>
      </c>
      <c r="AO1836" s="7" t="str">
        <f t="shared" si="111"/>
        <v/>
      </c>
      <c r="AP1836" s="15" t="str">
        <f t="shared" si="112"/>
        <v/>
      </c>
    </row>
    <row r="1837" spans="38:42" ht="15" customHeight="1">
      <c r="AL1837" s="7" t="str">
        <f>IF(A1837="","",IF(COUNTIF(A1837:A$2001,A1837)=1,1,0))</f>
        <v/>
      </c>
      <c r="AM1837" s="7" t="str">
        <f t="shared" ca="1" si="109"/>
        <v/>
      </c>
      <c r="AN1837" s="7" t="str">
        <f t="shared" si="110"/>
        <v/>
      </c>
      <c r="AO1837" s="7" t="str">
        <f t="shared" si="111"/>
        <v/>
      </c>
      <c r="AP1837" s="15" t="str">
        <f t="shared" si="112"/>
        <v/>
      </c>
    </row>
    <row r="1838" spans="38:42" ht="15" customHeight="1">
      <c r="AL1838" s="7" t="str">
        <f>IF(A1838="","",IF(COUNTIF(A1838:A$2001,A1838)=1,1,0))</f>
        <v/>
      </c>
      <c r="AM1838" s="7" t="str">
        <f t="shared" ca="1" si="109"/>
        <v/>
      </c>
      <c r="AN1838" s="7" t="str">
        <f t="shared" si="110"/>
        <v/>
      </c>
      <c r="AO1838" s="7" t="str">
        <f t="shared" si="111"/>
        <v/>
      </c>
      <c r="AP1838" s="15" t="str">
        <f t="shared" si="112"/>
        <v/>
      </c>
    </row>
    <row r="1839" spans="38:42" ht="15" customHeight="1">
      <c r="AL1839" s="7" t="str">
        <f>IF(A1839="","",IF(COUNTIF(A1839:A$2001,A1839)=1,1,0))</f>
        <v/>
      </c>
      <c r="AM1839" s="7" t="str">
        <f t="shared" ca="1" si="109"/>
        <v/>
      </c>
      <c r="AN1839" s="7" t="str">
        <f t="shared" si="110"/>
        <v/>
      </c>
      <c r="AO1839" s="7" t="str">
        <f t="shared" si="111"/>
        <v/>
      </c>
      <c r="AP1839" s="15" t="str">
        <f t="shared" si="112"/>
        <v/>
      </c>
    </row>
    <row r="1840" spans="38:42" ht="15" customHeight="1">
      <c r="AL1840" s="7" t="str">
        <f>IF(A1840="","",IF(COUNTIF(A1840:A$2001,A1840)=1,1,0))</f>
        <v/>
      </c>
      <c r="AM1840" s="7" t="str">
        <f t="shared" ca="1" si="109"/>
        <v/>
      </c>
      <c r="AN1840" s="7" t="str">
        <f t="shared" si="110"/>
        <v/>
      </c>
      <c r="AO1840" s="7" t="str">
        <f t="shared" si="111"/>
        <v/>
      </c>
      <c r="AP1840" s="15" t="str">
        <f t="shared" si="112"/>
        <v/>
      </c>
    </row>
    <row r="1841" spans="38:42" ht="15" customHeight="1">
      <c r="AL1841" s="7" t="str">
        <f>IF(A1841="","",IF(COUNTIF(A1841:A$2001,A1841)=1,1,0))</f>
        <v/>
      </c>
      <c r="AM1841" s="7" t="str">
        <f t="shared" ca="1" si="109"/>
        <v/>
      </c>
      <c r="AN1841" s="7" t="str">
        <f t="shared" si="110"/>
        <v/>
      </c>
      <c r="AO1841" s="7" t="str">
        <f t="shared" si="111"/>
        <v/>
      </c>
      <c r="AP1841" s="15" t="str">
        <f t="shared" si="112"/>
        <v/>
      </c>
    </row>
    <row r="1842" spans="38:42" ht="15" customHeight="1">
      <c r="AL1842" s="7" t="str">
        <f>IF(A1842="","",IF(COUNTIF(A1842:A$2001,A1842)=1,1,0))</f>
        <v/>
      </c>
      <c r="AM1842" s="7" t="str">
        <f t="shared" ca="1" si="109"/>
        <v/>
      </c>
      <c r="AN1842" s="7" t="str">
        <f t="shared" si="110"/>
        <v/>
      </c>
      <c r="AO1842" s="7" t="str">
        <f t="shared" si="111"/>
        <v/>
      </c>
      <c r="AP1842" s="15" t="str">
        <f t="shared" si="112"/>
        <v/>
      </c>
    </row>
    <row r="1843" spans="38:42" ht="15" customHeight="1">
      <c r="AL1843" s="7" t="str">
        <f>IF(A1843="","",IF(COUNTIF(A1843:A$2001,A1843)=1,1,0))</f>
        <v/>
      </c>
      <c r="AM1843" s="7" t="str">
        <f t="shared" ca="1" si="109"/>
        <v/>
      </c>
      <c r="AN1843" s="7" t="str">
        <f t="shared" si="110"/>
        <v/>
      </c>
      <c r="AO1843" s="7" t="str">
        <f t="shared" si="111"/>
        <v/>
      </c>
      <c r="AP1843" s="15" t="str">
        <f t="shared" si="112"/>
        <v/>
      </c>
    </row>
    <row r="1844" spans="38:42" ht="15" customHeight="1">
      <c r="AL1844" s="7" t="str">
        <f>IF(A1844="","",IF(COUNTIF(A1844:A$2001,A1844)=1,1,0))</f>
        <v/>
      </c>
      <c r="AM1844" s="7" t="str">
        <f t="shared" ca="1" si="109"/>
        <v/>
      </c>
      <c r="AN1844" s="7" t="str">
        <f t="shared" si="110"/>
        <v/>
      </c>
      <c r="AO1844" s="7" t="str">
        <f t="shared" si="111"/>
        <v/>
      </c>
      <c r="AP1844" s="15" t="str">
        <f t="shared" si="112"/>
        <v/>
      </c>
    </row>
    <row r="1845" spans="38:42" ht="15" customHeight="1">
      <c r="AL1845" s="7" t="str">
        <f>IF(A1845="","",IF(COUNTIF(A1845:A$2001,A1845)=1,1,0))</f>
        <v/>
      </c>
      <c r="AM1845" s="7" t="str">
        <f t="shared" ca="1" si="109"/>
        <v/>
      </c>
      <c r="AN1845" s="7" t="str">
        <f t="shared" si="110"/>
        <v/>
      </c>
      <c r="AO1845" s="7" t="str">
        <f t="shared" si="111"/>
        <v/>
      </c>
      <c r="AP1845" s="15" t="str">
        <f t="shared" si="112"/>
        <v/>
      </c>
    </row>
    <row r="1846" spans="38:42" ht="15" customHeight="1">
      <c r="AL1846" s="7" t="str">
        <f>IF(A1846="","",IF(COUNTIF(A1846:A$2001,A1846)=1,1,0))</f>
        <v/>
      </c>
      <c r="AM1846" s="7" t="str">
        <f t="shared" ca="1" si="109"/>
        <v/>
      </c>
      <c r="AN1846" s="7" t="str">
        <f t="shared" si="110"/>
        <v/>
      </c>
      <c r="AO1846" s="7" t="str">
        <f t="shared" si="111"/>
        <v/>
      </c>
      <c r="AP1846" s="15" t="str">
        <f t="shared" si="112"/>
        <v/>
      </c>
    </row>
    <row r="1847" spans="38:42" ht="15" customHeight="1">
      <c r="AL1847" s="7" t="str">
        <f>IF(A1847="","",IF(COUNTIF(A1847:A$2001,A1847)=1,1,0))</f>
        <v/>
      </c>
      <c r="AM1847" s="7" t="str">
        <f t="shared" ca="1" si="109"/>
        <v/>
      </c>
      <c r="AN1847" s="7" t="str">
        <f t="shared" si="110"/>
        <v/>
      </c>
      <c r="AO1847" s="7" t="str">
        <f t="shared" si="111"/>
        <v/>
      </c>
      <c r="AP1847" s="15" t="str">
        <f t="shared" si="112"/>
        <v/>
      </c>
    </row>
    <row r="1848" spans="38:42" ht="15" customHeight="1">
      <c r="AL1848" s="7" t="str">
        <f>IF(A1848="","",IF(COUNTIF(A1848:A$2001,A1848)=1,1,0))</f>
        <v/>
      </c>
      <c r="AM1848" s="7" t="str">
        <f t="shared" ca="1" si="109"/>
        <v/>
      </c>
      <c r="AN1848" s="7" t="str">
        <f t="shared" si="110"/>
        <v/>
      </c>
      <c r="AO1848" s="7" t="str">
        <f t="shared" si="111"/>
        <v/>
      </c>
      <c r="AP1848" s="15" t="str">
        <f t="shared" si="112"/>
        <v/>
      </c>
    </row>
    <row r="1849" spans="38:42" ht="15" customHeight="1">
      <c r="AL1849" s="7" t="str">
        <f>IF(A1849="","",IF(COUNTIF(A1849:A$2001,A1849)=1,1,0))</f>
        <v/>
      </c>
      <c r="AM1849" s="7" t="str">
        <f t="shared" ca="1" si="109"/>
        <v/>
      </c>
      <c r="AN1849" s="7" t="str">
        <f t="shared" si="110"/>
        <v/>
      </c>
      <c r="AO1849" s="7" t="str">
        <f t="shared" si="111"/>
        <v/>
      </c>
      <c r="AP1849" s="15" t="str">
        <f t="shared" si="112"/>
        <v/>
      </c>
    </row>
    <row r="1850" spans="38:42" ht="15" customHeight="1">
      <c r="AL1850" s="7" t="str">
        <f>IF(A1850="","",IF(COUNTIF(A1850:A$2001,A1850)=1,1,0))</f>
        <v/>
      </c>
      <c r="AM1850" s="7" t="str">
        <f t="shared" ca="1" si="109"/>
        <v/>
      </c>
      <c r="AN1850" s="7" t="str">
        <f t="shared" si="110"/>
        <v/>
      </c>
      <c r="AO1850" s="7" t="str">
        <f t="shared" si="111"/>
        <v/>
      </c>
      <c r="AP1850" s="15" t="str">
        <f t="shared" si="112"/>
        <v/>
      </c>
    </row>
    <row r="1851" spans="38:42" ht="15" customHeight="1">
      <c r="AL1851" s="7" t="str">
        <f>IF(A1851="","",IF(COUNTIF(A1851:A$2001,A1851)=1,1,0))</f>
        <v/>
      </c>
      <c r="AM1851" s="7" t="str">
        <f t="shared" ca="1" si="109"/>
        <v/>
      </c>
      <c r="AN1851" s="7" t="str">
        <f t="shared" si="110"/>
        <v/>
      </c>
      <c r="AO1851" s="7" t="str">
        <f t="shared" si="111"/>
        <v/>
      </c>
      <c r="AP1851" s="15" t="str">
        <f t="shared" si="112"/>
        <v/>
      </c>
    </row>
    <row r="1852" spans="38:42" ht="15" customHeight="1">
      <c r="AL1852" s="7" t="str">
        <f>IF(A1852="","",IF(COUNTIF(A1852:A$2001,A1852)=1,1,0))</f>
        <v/>
      </c>
      <c r="AM1852" s="7" t="str">
        <f t="shared" ca="1" si="109"/>
        <v/>
      </c>
      <c r="AN1852" s="7" t="str">
        <f t="shared" si="110"/>
        <v/>
      </c>
      <c r="AO1852" s="7" t="str">
        <f t="shared" si="111"/>
        <v/>
      </c>
      <c r="AP1852" s="15" t="str">
        <f t="shared" si="112"/>
        <v/>
      </c>
    </row>
    <row r="1853" spans="38:42" ht="15" customHeight="1">
      <c r="AL1853" s="7" t="str">
        <f>IF(A1853="","",IF(COUNTIF(A1853:A$2001,A1853)=1,1,0))</f>
        <v/>
      </c>
      <c r="AM1853" s="7" t="str">
        <f t="shared" ca="1" si="109"/>
        <v/>
      </c>
      <c r="AN1853" s="7" t="str">
        <f t="shared" si="110"/>
        <v/>
      </c>
      <c r="AO1853" s="7" t="str">
        <f t="shared" si="111"/>
        <v/>
      </c>
      <c r="AP1853" s="15" t="str">
        <f t="shared" si="112"/>
        <v/>
      </c>
    </row>
    <row r="1854" spans="38:42" ht="15" customHeight="1">
      <c r="AL1854" s="7" t="str">
        <f>IF(A1854="","",IF(COUNTIF(A1854:A$2001,A1854)=1,1,0))</f>
        <v/>
      </c>
      <c r="AM1854" s="7" t="str">
        <f t="shared" ca="1" si="109"/>
        <v/>
      </c>
      <c r="AN1854" s="7" t="str">
        <f t="shared" si="110"/>
        <v/>
      </c>
      <c r="AO1854" s="7" t="str">
        <f t="shared" si="111"/>
        <v/>
      </c>
      <c r="AP1854" s="15" t="str">
        <f t="shared" si="112"/>
        <v/>
      </c>
    </row>
    <row r="1855" spans="38:42" ht="15" customHeight="1">
      <c r="AL1855" s="7" t="str">
        <f>IF(A1855="","",IF(COUNTIF(A1855:A$2001,A1855)=1,1,0))</f>
        <v/>
      </c>
      <c r="AM1855" s="7" t="str">
        <f t="shared" ca="1" si="109"/>
        <v/>
      </c>
      <c r="AN1855" s="7" t="str">
        <f t="shared" si="110"/>
        <v/>
      </c>
      <c r="AO1855" s="7" t="str">
        <f t="shared" si="111"/>
        <v/>
      </c>
      <c r="AP1855" s="15" t="str">
        <f t="shared" si="112"/>
        <v/>
      </c>
    </row>
    <row r="1856" spans="38:42" ht="15" customHeight="1">
      <c r="AL1856" s="7" t="str">
        <f>IF(A1856="","",IF(COUNTIF(A1856:A$2001,A1856)=1,1,0))</f>
        <v/>
      </c>
      <c r="AM1856" s="7" t="str">
        <f t="shared" ca="1" si="109"/>
        <v/>
      </c>
      <c r="AN1856" s="7" t="str">
        <f t="shared" si="110"/>
        <v/>
      </c>
      <c r="AO1856" s="7" t="str">
        <f t="shared" si="111"/>
        <v/>
      </c>
      <c r="AP1856" s="15" t="str">
        <f t="shared" si="112"/>
        <v/>
      </c>
    </row>
    <row r="1857" spans="38:42" ht="15" customHeight="1">
      <c r="AL1857" s="7" t="str">
        <f>IF(A1857="","",IF(COUNTIF(A1857:A$2001,A1857)=1,1,0))</f>
        <v/>
      </c>
      <c r="AM1857" s="7" t="str">
        <f t="shared" ca="1" si="109"/>
        <v/>
      </c>
      <c r="AN1857" s="7" t="str">
        <f t="shared" si="110"/>
        <v/>
      </c>
      <c r="AO1857" s="7" t="str">
        <f t="shared" si="111"/>
        <v/>
      </c>
      <c r="AP1857" s="15" t="str">
        <f t="shared" si="112"/>
        <v/>
      </c>
    </row>
    <row r="1858" spans="38:42" ht="15" customHeight="1">
      <c r="AL1858" s="7" t="str">
        <f>IF(A1858="","",IF(COUNTIF(A1858:A$2001,A1858)=1,1,0))</f>
        <v/>
      </c>
      <c r="AM1858" s="7" t="str">
        <f t="shared" ref="AM1858:AM1921" ca="1" si="113">IF(I1858="","",TODAY()-I1858)</f>
        <v/>
      </c>
      <c r="AN1858" s="7" t="str">
        <f t="shared" ref="AN1858:AN1921" si="114">IF(A1858="","",IF(AND(E1858&lt;&gt;"33 確認済",E1858&lt;&gt;"36 送付中"),1,0))</f>
        <v/>
      </c>
      <c r="AO1858" s="7" t="str">
        <f t="shared" ref="AO1858:AO1921" si="115">IF(A1858="","",IF(AG1858&lt;&gt;"",1,0))</f>
        <v/>
      </c>
      <c r="AP1858" s="15" t="str">
        <f t="shared" ref="AP1858:AP1921" si="116">IF(P1858&lt;&gt;"","・添待ち","")&amp;IF(Q1858&lt;&gt;"","・住民票","")&amp;IF(R1858&lt;&gt;"","・発信","")&amp;IF(S1858&lt;&gt;"","・確認事項","")&amp;IF(T1858&lt;&gt;"","・管","")&amp;IF(U1858&lt;&gt;"","・SV","")&amp;IF(V1858&lt;&gt;"","・データ送付待ち","")&amp;IF(W1858&lt;&gt;"","・削除","")</f>
        <v/>
      </c>
    </row>
    <row r="1859" spans="38:42" ht="15" customHeight="1">
      <c r="AL1859" s="7" t="str">
        <f>IF(A1859="","",IF(COUNTIF(A1859:A$2001,A1859)=1,1,0))</f>
        <v/>
      </c>
      <c r="AM1859" s="7" t="str">
        <f t="shared" ca="1" si="113"/>
        <v/>
      </c>
      <c r="AN1859" s="7" t="str">
        <f t="shared" si="114"/>
        <v/>
      </c>
      <c r="AO1859" s="7" t="str">
        <f t="shared" si="115"/>
        <v/>
      </c>
      <c r="AP1859" s="15" t="str">
        <f t="shared" si="116"/>
        <v/>
      </c>
    </row>
    <row r="1860" spans="38:42" ht="15" customHeight="1">
      <c r="AL1860" s="7" t="str">
        <f>IF(A1860="","",IF(COUNTIF(A1860:A$2001,A1860)=1,1,0))</f>
        <v/>
      </c>
      <c r="AM1860" s="7" t="str">
        <f t="shared" ca="1" si="113"/>
        <v/>
      </c>
      <c r="AN1860" s="7" t="str">
        <f t="shared" si="114"/>
        <v/>
      </c>
      <c r="AO1860" s="7" t="str">
        <f t="shared" si="115"/>
        <v/>
      </c>
      <c r="AP1860" s="15" t="str">
        <f t="shared" si="116"/>
        <v/>
      </c>
    </row>
    <row r="1861" spans="38:42" ht="15" customHeight="1">
      <c r="AL1861" s="7" t="str">
        <f>IF(A1861="","",IF(COUNTIF(A1861:A$2001,A1861)=1,1,0))</f>
        <v/>
      </c>
      <c r="AM1861" s="7" t="str">
        <f t="shared" ca="1" si="113"/>
        <v/>
      </c>
      <c r="AN1861" s="7" t="str">
        <f t="shared" si="114"/>
        <v/>
      </c>
      <c r="AO1861" s="7" t="str">
        <f t="shared" si="115"/>
        <v/>
      </c>
      <c r="AP1861" s="15" t="str">
        <f t="shared" si="116"/>
        <v/>
      </c>
    </row>
    <row r="1862" spans="38:42" ht="15" customHeight="1">
      <c r="AL1862" s="7" t="str">
        <f>IF(A1862="","",IF(COUNTIF(A1862:A$2001,A1862)=1,1,0))</f>
        <v/>
      </c>
      <c r="AM1862" s="7" t="str">
        <f t="shared" ca="1" si="113"/>
        <v/>
      </c>
      <c r="AN1862" s="7" t="str">
        <f t="shared" si="114"/>
        <v/>
      </c>
      <c r="AO1862" s="7" t="str">
        <f t="shared" si="115"/>
        <v/>
      </c>
      <c r="AP1862" s="15" t="str">
        <f t="shared" si="116"/>
        <v/>
      </c>
    </row>
    <row r="1863" spans="38:42" ht="15" customHeight="1">
      <c r="AL1863" s="7" t="str">
        <f>IF(A1863="","",IF(COUNTIF(A1863:A$2001,A1863)=1,1,0))</f>
        <v/>
      </c>
      <c r="AM1863" s="7" t="str">
        <f t="shared" ca="1" si="113"/>
        <v/>
      </c>
      <c r="AN1863" s="7" t="str">
        <f t="shared" si="114"/>
        <v/>
      </c>
      <c r="AO1863" s="7" t="str">
        <f t="shared" si="115"/>
        <v/>
      </c>
      <c r="AP1863" s="15" t="str">
        <f t="shared" si="116"/>
        <v/>
      </c>
    </row>
    <row r="1864" spans="38:42" ht="15" customHeight="1">
      <c r="AL1864" s="7" t="str">
        <f>IF(A1864="","",IF(COUNTIF(A1864:A$2001,A1864)=1,1,0))</f>
        <v/>
      </c>
      <c r="AM1864" s="7" t="str">
        <f t="shared" ca="1" si="113"/>
        <v/>
      </c>
      <c r="AN1864" s="7" t="str">
        <f t="shared" si="114"/>
        <v/>
      </c>
      <c r="AO1864" s="7" t="str">
        <f t="shared" si="115"/>
        <v/>
      </c>
      <c r="AP1864" s="15" t="str">
        <f t="shared" si="116"/>
        <v/>
      </c>
    </row>
    <row r="1865" spans="38:42" ht="15" customHeight="1">
      <c r="AL1865" s="7" t="str">
        <f>IF(A1865="","",IF(COUNTIF(A1865:A$2001,A1865)=1,1,0))</f>
        <v/>
      </c>
      <c r="AM1865" s="7" t="str">
        <f t="shared" ca="1" si="113"/>
        <v/>
      </c>
      <c r="AN1865" s="7" t="str">
        <f t="shared" si="114"/>
        <v/>
      </c>
      <c r="AO1865" s="7" t="str">
        <f t="shared" si="115"/>
        <v/>
      </c>
      <c r="AP1865" s="15" t="str">
        <f t="shared" si="116"/>
        <v/>
      </c>
    </row>
    <row r="1866" spans="38:42" ht="15" customHeight="1">
      <c r="AL1866" s="7" t="str">
        <f>IF(A1866="","",IF(COUNTIF(A1866:A$2001,A1866)=1,1,0))</f>
        <v/>
      </c>
      <c r="AM1866" s="7" t="str">
        <f t="shared" ca="1" si="113"/>
        <v/>
      </c>
      <c r="AN1866" s="7" t="str">
        <f t="shared" si="114"/>
        <v/>
      </c>
      <c r="AO1866" s="7" t="str">
        <f t="shared" si="115"/>
        <v/>
      </c>
      <c r="AP1866" s="15" t="str">
        <f t="shared" si="116"/>
        <v/>
      </c>
    </row>
    <row r="1867" spans="38:42" ht="15" customHeight="1">
      <c r="AL1867" s="7" t="str">
        <f>IF(A1867="","",IF(COUNTIF(A1867:A$2001,A1867)=1,1,0))</f>
        <v/>
      </c>
      <c r="AM1867" s="7" t="str">
        <f t="shared" ca="1" si="113"/>
        <v/>
      </c>
      <c r="AN1867" s="7" t="str">
        <f t="shared" si="114"/>
        <v/>
      </c>
      <c r="AO1867" s="7" t="str">
        <f t="shared" si="115"/>
        <v/>
      </c>
      <c r="AP1867" s="15" t="str">
        <f t="shared" si="116"/>
        <v/>
      </c>
    </row>
    <row r="1868" spans="38:42" ht="15" customHeight="1">
      <c r="AL1868" s="7" t="str">
        <f>IF(A1868="","",IF(COUNTIF(A1868:A$2001,A1868)=1,1,0))</f>
        <v/>
      </c>
      <c r="AM1868" s="7" t="str">
        <f t="shared" ca="1" si="113"/>
        <v/>
      </c>
      <c r="AN1868" s="7" t="str">
        <f t="shared" si="114"/>
        <v/>
      </c>
      <c r="AO1868" s="7" t="str">
        <f t="shared" si="115"/>
        <v/>
      </c>
      <c r="AP1868" s="15" t="str">
        <f t="shared" si="116"/>
        <v/>
      </c>
    </row>
    <row r="1869" spans="38:42" ht="15" customHeight="1">
      <c r="AL1869" s="7" t="str">
        <f>IF(A1869="","",IF(COUNTIF(A1869:A$2001,A1869)=1,1,0))</f>
        <v/>
      </c>
      <c r="AM1869" s="7" t="str">
        <f t="shared" ca="1" si="113"/>
        <v/>
      </c>
      <c r="AN1869" s="7" t="str">
        <f t="shared" si="114"/>
        <v/>
      </c>
      <c r="AO1869" s="7" t="str">
        <f t="shared" si="115"/>
        <v/>
      </c>
      <c r="AP1869" s="15" t="str">
        <f t="shared" si="116"/>
        <v/>
      </c>
    </row>
    <row r="1870" spans="38:42" ht="15" customHeight="1">
      <c r="AL1870" s="7" t="str">
        <f>IF(A1870="","",IF(COUNTIF(A1870:A$2001,A1870)=1,1,0))</f>
        <v/>
      </c>
      <c r="AM1870" s="7" t="str">
        <f t="shared" ca="1" si="113"/>
        <v/>
      </c>
      <c r="AN1870" s="7" t="str">
        <f t="shared" si="114"/>
        <v/>
      </c>
      <c r="AO1870" s="7" t="str">
        <f t="shared" si="115"/>
        <v/>
      </c>
      <c r="AP1870" s="15" t="str">
        <f t="shared" si="116"/>
        <v/>
      </c>
    </row>
    <row r="1871" spans="38:42" ht="15" customHeight="1">
      <c r="AL1871" s="7" t="str">
        <f>IF(A1871="","",IF(COUNTIF(A1871:A$2001,A1871)=1,1,0))</f>
        <v/>
      </c>
      <c r="AM1871" s="7" t="str">
        <f t="shared" ca="1" si="113"/>
        <v/>
      </c>
      <c r="AN1871" s="7" t="str">
        <f t="shared" si="114"/>
        <v/>
      </c>
      <c r="AO1871" s="7" t="str">
        <f t="shared" si="115"/>
        <v/>
      </c>
      <c r="AP1871" s="15" t="str">
        <f t="shared" si="116"/>
        <v/>
      </c>
    </row>
    <row r="1872" spans="38:42" ht="15" customHeight="1">
      <c r="AL1872" s="7" t="str">
        <f>IF(A1872="","",IF(COUNTIF(A1872:A$2001,A1872)=1,1,0))</f>
        <v/>
      </c>
      <c r="AM1872" s="7" t="str">
        <f t="shared" ca="1" si="113"/>
        <v/>
      </c>
      <c r="AN1872" s="7" t="str">
        <f t="shared" si="114"/>
        <v/>
      </c>
      <c r="AO1872" s="7" t="str">
        <f t="shared" si="115"/>
        <v/>
      </c>
      <c r="AP1872" s="15" t="str">
        <f t="shared" si="116"/>
        <v/>
      </c>
    </row>
    <row r="1873" spans="38:42" ht="15" customHeight="1">
      <c r="AL1873" s="7" t="str">
        <f>IF(A1873="","",IF(COUNTIF(A1873:A$2001,A1873)=1,1,0))</f>
        <v/>
      </c>
      <c r="AM1873" s="7" t="str">
        <f t="shared" ca="1" si="113"/>
        <v/>
      </c>
      <c r="AN1873" s="7" t="str">
        <f t="shared" si="114"/>
        <v/>
      </c>
      <c r="AO1873" s="7" t="str">
        <f t="shared" si="115"/>
        <v/>
      </c>
      <c r="AP1873" s="15" t="str">
        <f t="shared" si="116"/>
        <v/>
      </c>
    </row>
    <row r="1874" spans="38:42" ht="15" customHeight="1">
      <c r="AL1874" s="7" t="str">
        <f>IF(A1874="","",IF(COUNTIF(A1874:A$2001,A1874)=1,1,0))</f>
        <v/>
      </c>
      <c r="AM1874" s="7" t="str">
        <f t="shared" ca="1" si="113"/>
        <v/>
      </c>
      <c r="AN1874" s="7" t="str">
        <f t="shared" si="114"/>
        <v/>
      </c>
      <c r="AO1874" s="7" t="str">
        <f t="shared" si="115"/>
        <v/>
      </c>
      <c r="AP1874" s="15" t="str">
        <f t="shared" si="116"/>
        <v/>
      </c>
    </row>
    <row r="1875" spans="38:42" ht="15" customHeight="1">
      <c r="AL1875" s="7" t="str">
        <f>IF(A1875="","",IF(COUNTIF(A1875:A$2001,A1875)=1,1,0))</f>
        <v/>
      </c>
      <c r="AM1875" s="7" t="str">
        <f t="shared" ca="1" si="113"/>
        <v/>
      </c>
      <c r="AN1875" s="7" t="str">
        <f t="shared" si="114"/>
        <v/>
      </c>
      <c r="AO1875" s="7" t="str">
        <f t="shared" si="115"/>
        <v/>
      </c>
      <c r="AP1875" s="15" t="str">
        <f t="shared" si="116"/>
        <v/>
      </c>
    </row>
    <row r="1876" spans="38:42" ht="15" customHeight="1">
      <c r="AL1876" s="7" t="str">
        <f>IF(A1876="","",IF(COUNTIF(A1876:A$2001,A1876)=1,1,0))</f>
        <v/>
      </c>
      <c r="AM1876" s="7" t="str">
        <f t="shared" ca="1" si="113"/>
        <v/>
      </c>
      <c r="AN1876" s="7" t="str">
        <f t="shared" si="114"/>
        <v/>
      </c>
      <c r="AO1876" s="7" t="str">
        <f t="shared" si="115"/>
        <v/>
      </c>
      <c r="AP1876" s="15" t="str">
        <f t="shared" si="116"/>
        <v/>
      </c>
    </row>
    <row r="1877" spans="38:42" ht="15" customHeight="1">
      <c r="AL1877" s="7" t="str">
        <f>IF(A1877="","",IF(COUNTIF(A1877:A$2001,A1877)=1,1,0))</f>
        <v/>
      </c>
      <c r="AM1877" s="7" t="str">
        <f t="shared" ca="1" si="113"/>
        <v/>
      </c>
      <c r="AN1877" s="7" t="str">
        <f t="shared" si="114"/>
        <v/>
      </c>
      <c r="AO1877" s="7" t="str">
        <f t="shared" si="115"/>
        <v/>
      </c>
      <c r="AP1877" s="15" t="str">
        <f t="shared" si="116"/>
        <v/>
      </c>
    </row>
    <row r="1878" spans="38:42" ht="15" customHeight="1">
      <c r="AL1878" s="7" t="str">
        <f>IF(A1878="","",IF(COUNTIF(A1878:A$2001,A1878)=1,1,0))</f>
        <v/>
      </c>
      <c r="AM1878" s="7" t="str">
        <f t="shared" ca="1" si="113"/>
        <v/>
      </c>
      <c r="AN1878" s="7" t="str">
        <f t="shared" si="114"/>
        <v/>
      </c>
      <c r="AO1878" s="7" t="str">
        <f t="shared" si="115"/>
        <v/>
      </c>
      <c r="AP1878" s="15" t="str">
        <f t="shared" si="116"/>
        <v/>
      </c>
    </row>
    <row r="1879" spans="38:42" ht="15" customHeight="1">
      <c r="AL1879" s="7" t="str">
        <f>IF(A1879="","",IF(COUNTIF(A1879:A$2001,A1879)=1,1,0))</f>
        <v/>
      </c>
      <c r="AM1879" s="7" t="str">
        <f t="shared" ca="1" si="113"/>
        <v/>
      </c>
      <c r="AN1879" s="7" t="str">
        <f t="shared" si="114"/>
        <v/>
      </c>
      <c r="AO1879" s="7" t="str">
        <f t="shared" si="115"/>
        <v/>
      </c>
      <c r="AP1879" s="15" t="str">
        <f t="shared" si="116"/>
        <v/>
      </c>
    </row>
    <row r="1880" spans="38:42" ht="15" customHeight="1">
      <c r="AL1880" s="7" t="str">
        <f>IF(A1880="","",IF(COUNTIF(A1880:A$2001,A1880)=1,1,0))</f>
        <v/>
      </c>
      <c r="AM1880" s="7" t="str">
        <f t="shared" ca="1" si="113"/>
        <v/>
      </c>
      <c r="AN1880" s="7" t="str">
        <f t="shared" si="114"/>
        <v/>
      </c>
      <c r="AO1880" s="7" t="str">
        <f t="shared" si="115"/>
        <v/>
      </c>
      <c r="AP1880" s="15" t="str">
        <f t="shared" si="116"/>
        <v/>
      </c>
    </row>
    <row r="1881" spans="38:42" ht="15" customHeight="1">
      <c r="AL1881" s="7" t="str">
        <f>IF(A1881="","",IF(COUNTIF(A1881:A$2001,A1881)=1,1,0))</f>
        <v/>
      </c>
      <c r="AM1881" s="7" t="str">
        <f t="shared" ca="1" si="113"/>
        <v/>
      </c>
      <c r="AN1881" s="7" t="str">
        <f t="shared" si="114"/>
        <v/>
      </c>
      <c r="AO1881" s="7" t="str">
        <f t="shared" si="115"/>
        <v/>
      </c>
      <c r="AP1881" s="15" t="str">
        <f t="shared" si="116"/>
        <v/>
      </c>
    </row>
    <row r="1882" spans="38:42" ht="15" customHeight="1">
      <c r="AL1882" s="7" t="str">
        <f>IF(A1882="","",IF(COUNTIF(A1882:A$2001,A1882)=1,1,0))</f>
        <v/>
      </c>
      <c r="AM1882" s="7" t="str">
        <f t="shared" ca="1" si="113"/>
        <v/>
      </c>
      <c r="AN1882" s="7" t="str">
        <f t="shared" si="114"/>
        <v/>
      </c>
      <c r="AO1882" s="7" t="str">
        <f t="shared" si="115"/>
        <v/>
      </c>
      <c r="AP1882" s="15" t="str">
        <f t="shared" si="116"/>
        <v/>
      </c>
    </row>
    <row r="1883" spans="38:42" ht="15" customHeight="1">
      <c r="AL1883" s="7" t="str">
        <f>IF(A1883="","",IF(COUNTIF(A1883:A$2001,A1883)=1,1,0))</f>
        <v/>
      </c>
      <c r="AM1883" s="7" t="str">
        <f t="shared" ca="1" si="113"/>
        <v/>
      </c>
      <c r="AN1883" s="7" t="str">
        <f t="shared" si="114"/>
        <v/>
      </c>
      <c r="AO1883" s="7" t="str">
        <f t="shared" si="115"/>
        <v/>
      </c>
      <c r="AP1883" s="15" t="str">
        <f t="shared" si="116"/>
        <v/>
      </c>
    </row>
    <row r="1884" spans="38:42" ht="15" customHeight="1">
      <c r="AL1884" s="7" t="str">
        <f>IF(A1884="","",IF(COUNTIF(A1884:A$2001,A1884)=1,1,0))</f>
        <v/>
      </c>
      <c r="AM1884" s="7" t="str">
        <f t="shared" ca="1" si="113"/>
        <v/>
      </c>
      <c r="AN1884" s="7" t="str">
        <f t="shared" si="114"/>
        <v/>
      </c>
      <c r="AO1884" s="7" t="str">
        <f t="shared" si="115"/>
        <v/>
      </c>
      <c r="AP1884" s="15" t="str">
        <f t="shared" si="116"/>
        <v/>
      </c>
    </row>
    <row r="1885" spans="38:42" ht="15" customHeight="1">
      <c r="AL1885" s="7" t="str">
        <f>IF(A1885="","",IF(COUNTIF(A1885:A$2001,A1885)=1,1,0))</f>
        <v/>
      </c>
      <c r="AM1885" s="7" t="str">
        <f t="shared" ca="1" si="113"/>
        <v/>
      </c>
      <c r="AN1885" s="7" t="str">
        <f t="shared" si="114"/>
        <v/>
      </c>
      <c r="AO1885" s="7" t="str">
        <f t="shared" si="115"/>
        <v/>
      </c>
      <c r="AP1885" s="15" t="str">
        <f t="shared" si="116"/>
        <v/>
      </c>
    </row>
    <row r="1886" spans="38:42" ht="15" customHeight="1">
      <c r="AL1886" s="7" t="str">
        <f>IF(A1886="","",IF(COUNTIF(A1886:A$2001,A1886)=1,1,0))</f>
        <v/>
      </c>
      <c r="AM1886" s="7" t="str">
        <f t="shared" ca="1" si="113"/>
        <v/>
      </c>
      <c r="AN1886" s="7" t="str">
        <f t="shared" si="114"/>
        <v/>
      </c>
      <c r="AO1886" s="7" t="str">
        <f t="shared" si="115"/>
        <v/>
      </c>
      <c r="AP1886" s="15" t="str">
        <f t="shared" si="116"/>
        <v/>
      </c>
    </row>
    <row r="1887" spans="38:42" ht="15" customHeight="1">
      <c r="AL1887" s="7" t="str">
        <f>IF(A1887="","",IF(COUNTIF(A1887:A$2001,A1887)=1,1,0))</f>
        <v/>
      </c>
      <c r="AM1887" s="7" t="str">
        <f t="shared" ca="1" si="113"/>
        <v/>
      </c>
      <c r="AN1887" s="7" t="str">
        <f t="shared" si="114"/>
        <v/>
      </c>
      <c r="AO1887" s="7" t="str">
        <f t="shared" si="115"/>
        <v/>
      </c>
      <c r="AP1887" s="15" t="str">
        <f t="shared" si="116"/>
        <v/>
      </c>
    </row>
    <row r="1888" spans="38:42" ht="15" customHeight="1">
      <c r="AL1888" s="7" t="str">
        <f>IF(A1888="","",IF(COUNTIF(A1888:A$2001,A1888)=1,1,0))</f>
        <v/>
      </c>
      <c r="AM1888" s="7" t="str">
        <f t="shared" ca="1" si="113"/>
        <v/>
      </c>
      <c r="AN1888" s="7" t="str">
        <f t="shared" si="114"/>
        <v/>
      </c>
      <c r="AO1888" s="7" t="str">
        <f t="shared" si="115"/>
        <v/>
      </c>
      <c r="AP1888" s="15" t="str">
        <f t="shared" si="116"/>
        <v/>
      </c>
    </row>
    <row r="1889" spans="38:42" ht="15" customHeight="1">
      <c r="AL1889" s="7" t="str">
        <f>IF(A1889="","",IF(COUNTIF(A1889:A$2001,A1889)=1,1,0))</f>
        <v/>
      </c>
      <c r="AM1889" s="7" t="str">
        <f t="shared" ca="1" si="113"/>
        <v/>
      </c>
      <c r="AN1889" s="7" t="str">
        <f t="shared" si="114"/>
        <v/>
      </c>
      <c r="AO1889" s="7" t="str">
        <f t="shared" si="115"/>
        <v/>
      </c>
      <c r="AP1889" s="15" t="str">
        <f t="shared" si="116"/>
        <v/>
      </c>
    </row>
    <row r="1890" spans="38:42" ht="15" customHeight="1">
      <c r="AL1890" s="7" t="str">
        <f>IF(A1890="","",IF(COUNTIF(A1890:A$2001,A1890)=1,1,0))</f>
        <v/>
      </c>
      <c r="AM1890" s="7" t="str">
        <f t="shared" ca="1" si="113"/>
        <v/>
      </c>
      <c r="AN1890" s="7" t="str">
        <f t="shared" si="114"/>
        <v/>
      </c>
      <c r="AO1890" s="7" t="str">
        <f t="shared" si="115"/>
        <v/>
      </c>
      <c r="AP1890" s="15" t="str">
        <f t="shared" si="116"/>
        <v/>
      </c>
    </row>
    <row r="1891" spans="38:42" ht="15" customHeight="1">
      <c r="AL1891" s="7" t="str">
        <f>IF(A1891="","",IF(COUNTIF(A1891:A$2001,A1891)=1,1,0))</f>
        <v/>
      </c>
      <c r="AM1891" s="7" t="str">
        <f t="shared" ca="1" si="113"/>
        <v/>
      </c>
      <c r="AN1891" s="7" t="str">
        <f t="shared" si="114"/>
        <v/>
      </c>
      <c r="AO1891" s="7" t="str">
        <f t="shared" si="115"/>
        <v/>
      </c>
      <c r="AP1891" s="15" t="str">
        <f t="shared" si="116"/>
        <v/>
      </c>
    </row>
    <row r="1892" spans="38:42" ht="15" customHeight="1">
      <c r="AL1892" s="7" t="str">
        <f>IF(A1892="","",IF(COUNTIF(A1892:A$2001,A1892)=1,1,0))</f>
        <v/>
      </c>
      <c r="AM1892" s="7" t="str">
        <f t="shared" ca="1" si="113"/>
        <v/>
      </c>
      <c r="AN1892" s="7" t="str">
        <f t="shared" si="114"/>
        <v/>
      </c>
      <c r="AO1892" s="7" t="str">
        <f t="shared" si="115"/>
        <v/>
      </c>
      <c r="AP1892" s="15" t="str">
        <f t="shared" si="116"/>
        <v/>
      </c>
    </row>
    <row r="1893" spans="38:42" ht="15" customHeight="1">
      <c r="AL1893" s="7" t="str">
        <f>IF(A1893="","",IF(COUNTIF(A1893:A$2001,A1893)=1,1,0))</f>
        <v/>
      </c>
      <c r="AM1893" s="7" t="str">
        <f t="shared" ca="1" si="113"/>
        <v/>
      </c>
      <c r="AN1893" s="7" t="str">
        <f t="shared" si="114"/>
        <v/>
      </c>
      <c r="AO1893" s="7" t="str">
        <f t="shared" si="115"/>
        <v/>
      </c>
      <c r="AP1893" s="15" t="str">
        <f t="shared" si="116"/>
        <v/>
      </c>
    </row>
    <row r="1894" spans="38:42" ht="15" customHeight="1">
      <c r="AL1894" s="7" t="str">
        <f>IF(A1894="","",IF(COUNTIF(A1894:A$2001,A1894)=1,1,0))</f>
        <v/>
      </c>
      <c r="AM1894" s="7" t="str">
        <f t="shared" ca="1" si="113"/>
        <v/>
      </c>
      <c r="AN1894" s="7" t="str">
        <f t="shared" si="114"/>
        <v/>
      </c>
      <c r="AO1894" s="7" t="str">
        <f t="shared" si="115"/>
        <v/>
      </c>
      <c r="AP1894" s="15" t="str">
        <f t="shared" si="116"/>
        <v/>
      </c>
    </row>
    <row r="1895" spans="38:42" ht="15" customHeight="1">
      <c r="AL1895" s="7" t="str">
        <f>IF(A1895="","",IF(COUNTIF(A1895:A$2001,A1895)=1,1,0))</f>
        <v/>
      </c>
      <c r="AM1895" s="7" t="str">
        <f t="shared" ca="1" si="113"/>
        <v/>
      </c>
      <c r="AN1895" s="7" t="str">
        <f t="shared" si="114"/>
        <v/>
      </c>
      <c r="AO1895" s="7" t="str">
        <f t="shared" si="115"/>
        <v/>
      </c>
      <c r="AP1895" s="15" t="str">
        <f t="shared" si="116"/>
        <v/>
      </c>
    </row>
    <row r="1896" spans="38:42" ht="15" customHeight="1">
      <c r="AL1896" s="7" t="str">
        <f>IF(A1896="","",IF(COUNTIF(A1896:A$2001,A1896)=1,1,0))</f>
        <v/>
      </c>
      <c r="AM1896" s="7" t="str">
        <f t="shared" ca="1" si="113"/>
        <v/>
      </c>
      <c r="AN1896" s="7" t="str">
        <f t="shared" si="114"/>
        <v/>
      </c>
      <c r="AO1896" s="7" t="str">
        <f t="shared" si="115"/>
        <v/>
      </c>
      <c r="AP1896" s="15" t="str">
        <f t="shared" si="116"/>
        <v/>
      </c>
    </row>
    <row r="1897" spans="38:42" ht="15" customHeight="1">
      <c r="AL1897" s="7" t="str">
        <f>IF(A1897="","",IF(COUNTIF(A1897:A$2001,A1897)=1,1,0))</f>
        <v/>
      </c>
      <c r="AM1897" s="7" t="str">
        <f t="shared" ca="1" si="113"/>
        <v/>
      </c>
      <c r="AN1897" s="7" t="str">
        <f t="shared" si="114"/>
        <v/>
      </c>
      <c r="AO1897" s="7" t="str">
        <f t="shared" si="115"/>
        <v/>
      </c>
      <c r="AP1897" s="15" t="str">
        <f t="shared" si="116"/>
        <v/>
      </c>
    </row>
    <row r="1898" spans="38:42" ht="15" customHeight="1">
      <c r="AL1898" s="7" t="str">
        <f>IF(A1898="","",IF(COUNTIF(A1898:A$2001,A1898)=1,1,0))</f>
        <v/>
      </c>
      <c r="AM1898" s="7" t="str">
        <f t="shared" ca="1" si="113"/>
        <v/>
      </c>
      <c r="AN1898" s="7" t="str">
        <f t="shared" si="114"/>
        <v/>
      </c>
      <c r="AO1898" s="7" t="str">
        <f t="shared" si="115"/>
        <v/>
      </c>
      <c r="AP1898" s="15" t="str">
        <f t="shared" si="116"/>
        <v/>
      </c>
    </row>
    <row r="1899" spans="38:42" ht="15" customHeight="1">
      <c r="AL1899" s="7" t="str">
        <f>IF(A1899="","",IF(COUNTIF(A1899:A$2001,A1899)=1,1,0))</f>
        <v/>
      </c>
      <c r="AM1899" s="7" t="str">
        <f t="shared" ca="1" si="113"/>
        <v/>
      </c>
      <c r="AN1899" s="7" t="str">
        <f t="shared" si="114"/>
        <v/>
      </c>
      <c r="AO1899" s="7" t="str">
        <f t="shared" si="115"/>
        <v/>
      </c>
      <c r="AP1899" s="15" t="str">
        <f t="shared" si="116"/>
        <v/>
      </c>
    </row>
    <row r="1900" spans="38:42" ht="15" customHeight="1">
      <c r="AL1900" s="7" t="str">
        <f>IF(A1900="","",IF(COUNTIF(A1900:A$2001,A1900)=1,1,0))</f>
        <v/>
      </c>
      <c r="AM1900" s="7" t="str">
        <f t="shared" ca="1" si="113"/>
        <v/>
      </c>
      <c r="AN1900" s="7" t="str">
        <f t="shared" si="114"/>
        <v/>
      </c>
      <c r="AO1900" s="7" t="str">
        <f t="shared" si="115"/>
        <v/>
      </c>
      <c r="AP1900" s="15" t="str">
        <f t="shared" si="116"/>
        <v/>
      </c>
    </row>
    <row r="1901" spans="38:42" ht="15" customHeight="1">
      <c r="AL1901" s="7" t="str">
        <f>IF(A1901="","",IF(COUNTIF(A1901:A$2001,A1901)=1,1,0))</f>
        <v/>
      </c>
      <c r="AM1901" s="7" t="str">
        <f t="shared" ca="1" si="113"/>
        <v/>
      </c>
      <c r="AN1901" s="7" t="str">
        <f t="shared" si="114"/>
        <v/>
      </c>
      <c r="AO1901" s="7" t="str">
        <f t="shared" si="115"/>
        <v/>
      </c>
      <c r="AP1901" s="15" t="str">
        <f t="shared" si="116"/>
        <v/>
      </c>
    </row>
    <row r="1902" spans="38:42" ht="15" customHeight="1">
      <c r="AL1902" s="7" t="str">
        <f>IF(A1902="","",IF(COUNTIF(A1902:A$2001,A1902)=1,1,0))</f>
        <v/>
      </c>
      <c r="AM1902" s="7" t="str">
        <f t="shared" ca="1" si="113"/>
        <v/>
      </c>
      <c r="AN1902" s="7" t="str">
        <f t="shared" si="114"/>
        <v/>
      </c>
      <c r="AO1902" s="7" t="str">
        <f t="shared" si="115"/>
        <v/>
      </c>
      <c r="AP1902" s="15" t="str">
        <f t="shared" si="116"/>
        <v/>
      </c>
    </row>
    <row r="1903" spans="38:42" ht="15" customHeight="1">
      <c r="AL1903" s="7" t="str">
        <f>IF(A1903="","",IF(COUNTIF(A1903:A$2001,A1903)=1,1,0))</f>
        <v/>
      </c>
      <c r="AM1903" s="7" t="str">
        <f t="shared" ca="1" si="113"/>
        <v/>
      </c>
      <c r="AN1903" s="7" t="str">
        <f t="shared" si="114"/>
        <v/>
      </c>
      <c r="AO1903" s="7" t="str">
        <f t="shared" si="115"/>
        <v/>
      </c>
      <c r="AP1903" s="15" t="str">
        <f t="shared" si="116"/>
        <v/>
      </c>
    </row>
    <row r="1904" spans="38:42" ht="15" customHeight="1">
      <c r="AL1904" s="7" t="str">
        <f>IF(A1904="","",IF(COUNTIF(A1904:A$2001,A1904)=1,1,0))</f>
        <v/>
      </c>
      <c r="AM1904" s="7" t="str">
        <f t="shared" ca="1" si="113"/>
        <v/>
      </c>
      <c r="AN1904" s="7" t="str">
        <f t="shared" si="114"/>
        <v/>
      </c>
      <c r="AO1904" s="7" t="str">
        <f t="shared" si="115"/>
        <v/>
      </c>
      <c r="AP1904" s="15" t="str">
        <f t="shared" si="116"/>
        <v/>
      </c>
    </row>
    <row r="1905" spans="38:42" ht="15" customHeight="1">
      <c r="AL1905" s="7" t="str">
        <f>IF(A1905="","",IF(COUNTIF(A1905:A$2001,A1905)=1,1,0))</f>
        <v/>
      </c>
      <c r="AM1905" s="7" t="str">
        <f t="shared" ca="1" si="113"/>
        <v/>
      </c>
      <c r="AN1905" s="7" t="str">
        <f t="shared" si="114"/>
        <v/>
      </c>
      <c r="AO1905" s="7" t="str">
        <f t="shared" si="115"/>
        <v/>
      </c>
      <c r="AP1905" s="15" t="str">
        <f t="shared" si="116"/>
        <v/>
      </c>
    </row>
    <row r="1906" spans="38:42" ht="15" customHeight="1">
      <c r="AL1906" s="7" t="str">
        <f>IF(A1906="","",IF(COUNTIF(A1906:A$2001,A1906)=1,1,0))</f>
        <v/>
      </c>
      <c r="AM1906" s="7" t="str">
        <f t="shared" ca="1" si="113"/>
        <v/>
      </c>
      <c r="AN1906" s="7" t="str">
        <f t="shared" si="114"/>
        <v/>
      </c>
      <c r="AO1906" s="7" t="str">
        <f t="shared" si="115"/>
        <v/>
      </c>
      <c r="AP1906" s="15" t="str">
        <f t="shared" si="116"/>
        <v/>
      </c>
    </row>
    <row r="1907" spans="38:42" ht="15" customHeight="1">
      <c r="AL1907" s="7" t="str">
        <f>IF(A1907="","",IF(COUNTIF(A1907:A$2001,A1907)=1,1,0))</f>
        <v/>
      </c>
      <c r="AM1907" s="7" t="str">
        <f t="shared" ca="1" si="113"/>
        <v/>
      </c>
      <c r="AN1907" s="7" t="str">
        <f t="shared" si="114"/>
        <v/>
      </c>
      <c r="AO1907" s="7" t="str">
        <f t="shared" si="115"/>
        <v/>
      </c>
      <c r="AP1907" s="15" t="str">
        <f t="shared" si="116"/>
        <v/>
      </c>
    </row>
    <row r="1908" spans="38:42" ht="15" customHeight="1">
      <c r="AL1908" s="7" t="str">
        <f>IF(A1908="","",IF(COUNTIF(A1908:A$2001,A1908)=1,1,0))</f>
        <v/>
      </c>
      <c r="AM1908" s="7" t="str">
        <f t="shared" ca="1" si="113"/>
        <v/>
      </c>
      <c r="AN1908" s="7" t="str">
        <f t="shared" si="114"/>
        <v/>
      </c>
      <c r="AO1908" s="7" t="str">
        <f t="shared" si="115"/>
        <v/>
      </c>
      <c r="AP1908" s="15" t="str">
        <f t="shared" si="116"/>
        <v/>
      </c>
    </row>
    <row r="1909" spans="38:42" ht="15" customHeight="1">
      <c r="AL1909" s="7" t="str">
        <f>IF(A1909="","",IF(COUNTIF(A1909:A$2001,A1909)=1,1,0))</f>
        <v/>
      </c>
      <c r="AM1909" s="7" t="str">
        <f t="shared" ca="1" si="113"/>
        <v/>
      </c>
      <c r="AN1909" s="7" t="str">
        <f t="shared" si="114"/>
        <v/>
      </c>
      <c r="AO1909" s="7" t="str">
        <f t="shared" si="115"/>
        <v/>
      </c>
      <c r="AP1909" s="15" t="str">
        <f t="shared" si="116"/>
        <v/>
      </c>
    </row>
    <row r="1910" spans="38:42" ht="15" customHeight="1">
      <c r="AL1910" s="7" t="str">
        <f>IF(A1910="","",IF(COUNTIF(A1910:A$2001,A1910)=1,1,0))</f>
        <v/>
      </c>
      <c r="AM1910" s="7" t="str">
        <f t="shared" ca="1" si="113"/>
        <v/>
      </c>
      <c r="AN1910" s="7" t="str">
        <f t="shared" si="114"/>
        <v/>
      </c>
      <c r="AO1910" s="7" t="str">
        <f t="shared" si="115"/>
        <v/>
      </c>
      <c r="AP1910" s="15" t="str">
        <f t="shared" si="116"/>
        <v/>
      </c>
    </row>
    <row r="1911" spans="38:42" ht="15" customHeight="1">
      <c r="AL1911" s="7" t="str">
        <f>IF(A1911="","",IF(COUNTIF(A1911:A$2001,A1911)=1,1,0))</f>
        <v/>
      </c>
      <c r="AM1911" s="7" t="str">
        <f t="shared" ca="1" si="113"/>
        <v/>
      </c>
      <c r="AN1911" s="7" t="str">
        <f t="shared" si="114"/>
        <v/>
      </c>
      <c r="AO1911" s="7" t="str">
        <f t="shared" si="115"/>
        <v/>
      </c>
      <c r="AP1911" s="15" t="str">
        <f t="shared" si="116"/>
        <v/>
      </c>
    </row>
    <row r="1912" spans="38:42" ht="15" customHeight="1">
      <c r="AL1912" s="7" t="str">
        <f>IF(A1912="","",IF(COUNTIF(A1912:A$2001,A1912)=1,1,0))</f>
        <v/>
      </c>
      <c r="AM1912" s="7" t="str">
        <f t="shared" ca="1" si="113"/>
        <v/>
      </c>
      <c r="AN1912" s="7" t="str">
        <f t="shared" si="114"/>
        <v/>
      </c>
      <c r="AO1912" s="7" t="str">
        <f t="shared" si="115"/>
        <v/>
      </c>
      <c r="AP1912" s="15" t="str">
        <f t="shared" si="116"/>
        <v/>
      </c>
    </row>
    <row r="1913" spans="38:42" ht="15" customHeight="1">
      <c r="AL1913" s="7" t="str">
        <f>IF(A1913="","",IF(COUNTIF(A1913:A$2001,A1913)=1,1,0))</f>
        <v/>
      </c>
      <c r="AM1913" s="7" t="str">
        <f t="shared" ca="1" si="113"/>
        <v/>
      </c>
      <c r="AN1913" s="7" t="str">
        <f t="shared" si="114"/>
        <v/>
      </c>
      <c r="AO1913" s="7" t="str">
        <f t="shared" si="115"/>
        <v/>
      </c>
      <c r="AP1913" s="15" t="str">
        <f t="shared" si="116"/>
        <v/>
      </c>
    </row>
    <row r="1914" spans="38:42" ht="15" customHeight="1">
      <c r="AL1914" s="7" t="str">
        <f>IF(A1914="","",IF(COUNTIF(A1914:A$2001,A1914)=1,1,0))</f>
        <v/>
      </c>
      <c r="AM1914" s="7" t="str">
        <f t="shared" ca="1" si="113"/>
        <v/>
      </c>
      <c r="AN1914" s="7" t="str">
        <f t="shared" si="114"/>
        <v/>
      </c>
      <c r="AO1914" s="7" t="str">
        <f t="shared" si="115"/>
        <v/>
      </c>
      <c r="AP1914" s="15" t="str">
        <f t="shared" si="116"/>
        <v/>
      </c>
    </row>
    <row r="1915" spans="38:42" ht="15" customHeight="1">
      <c r="AL1915" s="7" t="str">
        <f>IF(A1915="","",IF(COUNTIF(A1915:A$2001,A1915)=1,1,0))</f>
        <v/>
      </c>
      <c r="AM1915" s="7" t="str">
        <f t="shared" ca="1" si="113"/>
        <v/>
      </c>
      <c r="AN1915" s="7" t="str">
        <f t="shared" si="114"/>
        <v/>
      </c>
      <c r="AO1915" s="7" t="str">
        <f t="shared" si="115"/>
        <v/>
      </c>
      <c r="AP1915" s="15" t="str">
        <f t="shared" si="116"/>
        <v/>
      </c>
    </row>
    <row r="1916" spans="38:42" ht="15" customHeight="1">
      <c r="AL1916" s="7" t="str">
        <f>IF(A1916="","",IF(COUNTIF(A1916:A$2001,A1916)=1,1,0))</f>
        <v/>
      </c>
      <c r="AM1916" s="7" t="str">
        <f t="shared" ca="1" si="113"/>
        <v/>
      </c>
      <c r="AN1916" s="7" t="str">
        <f t="shared" si="114"/>
        <v/>
      </c>
      <c r="AO1916" s="7" t="str">
        <f t="shared" si="115"/>
        <v/>
      </c>
      <c r="AP1916" s="15" t="str">
        <f t="shared" si="116"/>
        <v/>
      </c>
    </row>
    <row r="1917" spans="38:42" ht="15" customHeight="1">
      <c r="AL1917" s="7" t="str">
        <f>IF(A1917="","",IF(COUNTIF(A1917:A$2001,A1917)=1,1,0))</f>
        <v/>
      </c>
      <c r="AM1917" s="7" t="str">
        <f t="shared" ca="1" si="113"/>
        <v/>
      </c>
      <c r="AN1917" s="7" t="str">
        <f t="shared" si="114"/>
        <v/>
      </c>
      <c r="AO1917" s="7" t="str">
        <f t="shared" si="115"/>
        <v/>
      </c>
      <c r="AP1917" s="15" t="str">
        <f t="shared" si="116"/>
        <v/>
      </c>
    </row>
    <row r="1918" spans="38:42" ht="15" customHeight="1">
      <c r="AL1918" s="7" t="str">
        <f>IF(A1918="","",IF(COUNTIF(A1918:A$2001,A1918)=1,1,0))</f>
        <v/>
      </c>
      <c r="AM1918" s="7" t="str">
        <f t="shared" ca="1" si="113"/>
        <v/>
      </c>
      <c r="AN1918" s="7" t="str">
        <f t="shared" si="114"/>
        <v/>
      </c>
      <c r="AO1918" s="7" t="str">
        <f t="shared" si="115"/>
        <v/>
      </c>
      <c r="AP1918" s="15" t="str">
        <f t="shared" si="116"/>
        <v/>
      </c>
    </row>
    <row r="1919" spans="38:42" ht="15" customHeight="1">
      <c r="AL1919" s="7" t="str">
        <f>IF(A1919="","",IF(COUNTIF(A1919:A$2001,A1919)=1,1,0))</f>
        <v/>
      </c>
      <c r="AM1919" s="7" t="str">
        <f t="shared" ca="1" si="113"/>
        <v/>
      </c>
      <c r="AN1919" s="7" t="str">
        <f t="shared" si="114"/>
        <v/>
      </c>
      <c r="AO1919" s="7" t="str">
        <f t="shared" si="115"/>
        <v/>
      </c>
      <c r="AP1919" s="15" t="str">
        <f t="shared" si="116"/>
        <v/>
      </c>
    </row>
    <row r="1920" spans="38:42" ht="15" customHeight="1">
      <c r="AL1920" s="7" t="str">
        <f>IF(A1920="","",IF(COUNTIF(A1920:A$2001,A1920)=1,1,0))</f>
        <v/>
      </c>
      <c r="AM1920" s="7" t="str">
        <f t="shared" ca="1" si="113"/>
        <v/>
      </c>
      <c r="AN1920" s="7" t="str">
        <f t="shared" si="114"/>
        <v/>
      </c>
      <c r="AO1920" s="7" t="str">
        <f t="shared" si="115"/>
        <v/>
      </c>
      <c r="AP1920" s="15" t="str">
        <f t="shared" si="116"/>
        <v/>
      </c>
    </row>
    <row r="1921" spans="38:42" ht="15" customHeight="1">
      <c r="AL1921" s="7" t="str">
        <f>IF(A1921="","",IF(COUNTIF(A1921:A$2001,A1921)=1,1,0))</f>
        <v/>
      </c>
      <c r="AM1921" s="7" t="str">
        <f t="shared" ca="1" si="113"/>
        <v/>
      </c>
      <c r="AN1921" s="7" t="str">
        <f t="shared" si="114"/>
        <v/>
      </c>
      <c r="AO1921" s="7" t="str">
        <f t="shared" si="115"/>
        <v/>
      </c>
      <c r="AP1921" s="15" t="str">
        <f t="shared" si="116"/>
        <v/>
      </c>
    </row>
    <row r="1922" spans="38:42" ht="15" customHeight="1">
      <c r="AL1922" s="7" t="str">
        <f>IF(A1922="","",IF(COUNTIF(A1922:A$2001,A1922)=1,1,0))</f>
        <v/>
      </c>
      <c r="AM1922" s="7" t="str">
        <f t="shared" ref="AM1922:AM1985" ca="1" si="117">IF(I1922="","",TODAY()-I1922)</f>
        <v/>
      </c>
      <c r="AN1922" s="7" t="str">
        <f t="shared" ref="AN1922:AN1985" si="118">IF(A1922="","",IF(AND(E1922&lt;&gt;"33 確認済",E1922&lt;&gt;"36 送付中"),1,0))</f>
        <v/>
      </c>
      <c r="AO1922" s="7" t="str">
        <f t="shared" ref="AO1922:AO1985" si="119">IF(A1922="","",IF(AG1922&lt;&gt;"",1,0))</f>
        <v/>
      </c>
      <c r="AP1922" s="15" t="str">
        <f t="shared" ref="AP1922:AP1985" si="120">IF(P1922&lt;&gt;"","・添待ち","")&amp;IF(Q1922&lt;&gt;"","・住民票","")&amp;IF(R1922&lt;&gt;"","・発信","")&amp;IF(S1922&lt;&gt;"","・確認事項","")&amp;IF(T1922&lt;&gt;"","・管","")&amp;IF(U1922&lt;&gt;"","・SV","")&amp;IF(V1922&lt;&gt;"","・データ送付待ち","")&amp;IF(W1922&lt;&gt;"","・削除","")</f>
        <v/>
      </c>
    </row>
    <row r="1923" spans="38:42" ht="15" customHeight="1">
      <c r="AL1923" s="7" t="str">
        <f>IF(A1923="","",IF(COUNTIF(A1923:A$2001,A1923)=1,1,0))</f>
        <v/>
      </c>
      <c r="AM1923" s="7" t="str">
        <f t="shared" ca="1" si="117"/>
        <v/>
      </c>
      <c r="AN1923" s="7" t="str">
        <f t="shared" si="118"/>
        <v/>
      </c>
      <c r="AO1923" s="7" t="str">
        <f t="shared" si="119"/>
        <v/>
      </c>
      <c r="AP1923" s="15" t="str">
        <f t="shared" si="120"/>
        <v/>
      </c>
    </row>
    <row r="1924" spans="38:42" ht="15" customHeight="1">
      <c r="AL1924" s="7" t="str">
        <f>IF(A1924="","",IF(COUNTIF(A1924:A$2001,A1924)=1,1,0))</f>
        <v/>
      </c>
      <c r="AM1924" s="7" t="str">
        <f t="shared" ca="1" si="117"/>
        <v/>
      </c>
      <c r="AN1924" s="7" t="str">
        <f t="shared" si="118"/>
        <v/>
      </c>
      <c r="AO1924" s="7" t="str">
        <f t="shared" si="119"/>
        <v/>
      </c>
      <c r="AP1924" s="15" t="str">
        <f t="shared" si="120"/>
        <v/>
      </c>
    </row>
    <row r="1925" spans="38:42" ht="15" customHeight="1">
      <c r="AL1925" s="7" t="str">
        <f>IF(A1925="","",IF(COUNTIF(A1925:A$2001,A1925)=1,1,0))</f>
        <v/>
      </c>
      <c r="AM1925" s="7" t="str">
        <f t="shared" ca="1" si="117"/>
        <v/>
      </c>
      <c r="AN1925" s="7" t="str">
        <f t="shared" si="118"/>
        <v/>
      </c>
      <c r="AO1925" s="7" t="str">
        <f t="shared" si="119"/>
        <v/>
      </c>
      <c r="AP1925" s="15" t="str">
        <f t="shared" si="120"/>
        <v/>
      </c>
    </row>
    <row r="1926" spans="38:42" ht="15" customHeight="1">
      <c r="AL1926" s="7" t="str">
        <f>IF(A1926="","",IF(COUNTIF(A1926:A$2001,A1926)=1,1,0))</f>
        <v/>
      </c>
      <c r="AM1926" s="7" t="str">
        <f t="shared" ca="1" si="117"/>
        <v/>
      </c>
      <c r="AN1926" s="7" t="str">
        <f t="shared" si="118"/>
        <v/>
      </c>
      <c r="AO1926" s="7" t="str">
        <f t="shared" si="119"/>
        <v/>
      </c>
      <c r="AP1926" s="15" t="str">
        <f t="shared" si="120"/>
        <v/>
      </c>
    </row>
    <row r="1927" spans="38:42" ht="15" customHeight="1">
      <c r="AL1927" s="7" t="str">
        <f>IF(A1927="","",IF(COUNTIF(A1927:A$2001,A1927)=1,1,0))</f>
        <v/>
      </c>
      <c r="AM1927" s="7" t="str">
        <f t="shared" ca="1" si="117"/>
        <v/>
      </c>
      <c r="AN1927" s="7" t="str">
        <f t="shared" si="118"/>
        <v/>
      </c>
      <c r="AO1927" s="7" t="str">
        <f t="shared" si="119"/>
        <v/>
      </c>
      <c r="AP1927" s="15" t="str">
        <f t="shared" si="120"/>
        <v/>
      </c>
    </row>
    <row r="1928" spans="38:42" ht="15" customHeight="1">
      <c r="AL1928" s="7" t="str">
        <f>IF(A1928="","",IF(COUNTIF(A1928:A$2001,A1928)=1,1,0))</f>
        <v/>
      </c>
      <c r="AM1928" s="7" t="str">
        <f t="shared" ca="1" si="117"/>
        <v/>
      </c>
      <c r="AN1928" s="7" t="str">
        <f t="shared" si="118"/>
        <v/>
      </c>
      <c r="AO1928" s="7" t="str">
        <f t="shared" si="119"/>
        <v/>
      </c>
      <c r="AP1928" s="15" t="str">
        <f t="shared" si="120"/>
        <v/>
      </c>
    </row>
    <row r="1929" spans="38:42" ht="15" customHeight="1">
      <c r="AL1929" s="7" t="str">
        <f>IF(A1929="","",IF(COUNTIF(A1929:A$2001,A1929)=1,1,0))</f>
        <v/>
      </c>
      <c r="AM1929" s="7" t="str">
        <f t="shared" ca="1" si="117"/>
        <v/>
      </c>
      <c r="AN1929" s="7" t="str">
        <f t="shared" si="118"/>
        <v/>
      </c>
      <c r="AO1929" s="7" t="str">
        <f t="shared" si="119"/>
        <v/>
      </c>
      <c r="AP1929" s="15" t="str">
        <f t="shared" si="120"/>
        <v/>
      </c>
    </row>
    <row r="1930" spans="38:42" ht="15" customHeight="1">
      <c r="AL1930" s="7" t="str">
        <f>IF(A1930="","",IF(COUNTIF(A1930:A$2001,A1930)=1,1,0))</f>
        <v/>
      </c>
      <c r="AM1930" s="7" t="str">
        <f t="shared" ca="1" si="117"/>
        <v/>
      </c>
      <c r="AN1930" s="7" t="str">
        <f t="shared" si="118"/>
        <v/>
      </c>
      <c r="AO1930" s="7" t="str">
        <f t="shared" si="119"/>
        <v/>
      </c>
      <c r="AP1930" s="15" t="str">
        <f t="shared" si="120"/>
        <v/>
      </c>
    </row>
    <row r="1931" spans="38:42" ht="15" customHeight="1">
      <c r="AL1931" s="7" t="str">
        <f>IF(A1931="","",IF(COUNTIF(A1931:A$2001,A1931)=1,1,0))</f>
        <v/>
      </c>
      <c r="AM1931" s="7" t="str">
        <f t="shared" ca="1" si="117"/>
        <v/>
      </c>
      <c r="AN1931" s="7" t="str">
        <f t="shared" si="118"/>
        <v/>
      </c>
      <c r="AO1931" s="7" t="str">
        <f t="shared" si="119"/>
        <v/>
      </c>
      <c r="AP1931" s="15" t="str">
        <f t="shared" si="120"/>
        <v/>
      </c>
    </row>
    <row r="1932" spans="38:42" ht="15" customHeight="1">
      <c r="AL1932" s="7" t="str">
        <f>IF(A1932="","",IF(COUNTIF(A1932:A$2001,A1932)=1,1,0))</f>
        <v/>
      </c>
      <c r="AM1932" s="7" t="str">
        <f t="shared" ca="1" si="117"/>
        <v/>
      </c>
      <c r="AN1932" s="7" t="str">
        <f t="shared" si="118"/>
        <v/>
      </c>
      <c r="AO1932" s="7" t="str">
        <f t="shared" si="119"/>
        <v/>
      </c>
      <c r="AP1932" s="15" t="str">
        <f t="shared" si="120"/>
        <v/>
      </c>
    </row>
    <row r="1933" spans="38:42" ht="15" customHeight="1">
      <c r="AL1933" s="7" t="str">
        <f>IF(A1933="","",IF(COUNTIF(A1933:A$2001,A1933)=1,1,0))</f>
        <v/>
      </c>
      <c r="AM1933" s="7" t="str">
        <f t="shared" ca="1" si="117"/>
        <v/>
      </c>
      <c r="AN1933" s="7" t="str">
        <f t="shared" si="118"/>
        <v/>
      </c>
      <c r="AO1933" s="7" t="str">
        <f t="shared" si="119"/>
        <v/>
      </c>
      <c r="AP1933" s="15" t="str">
        <f t="shared" si="120"/>
        <v/>
      </c>
    </row>
    <row r="1934" spans="38:42" ht="15" customHeight="1">
      <c r="AL1934" s="7" t="str">
        <f>IF(A1934="","",IF(COUNTIF(A1934:A$2001,A1934)=1,1,0))</f>
        <v/>
      </c>
      <c r="AM1934" s="7" t="str">
        <f t="shared" ca="1" si="117"/>
        <v/>
      </c>
      <c r="AN1934" s="7" t="str">
        <f t="shared" si="118"/>
        <v/>
      </c>
      <c r="AO1934" s="7" t="str">
        <f t="shared" si="119"/>
        <v/>
      </c>
      <c r="AP1934" s="15" t="str">
        <f t="shared" si="120"/>
        <v/>
      </c>
    </row>
    <row r="1935" spans="38:42" ht="15" customHeight="1">
      <c r="AL1935" s="7" t="str">
        <f>IF(A1935="","",IF(COUNTIF(A1935:A$2001,A1935)=1,1,0))</f>
        <v/>
      </c>
      <c r="AM1935" s="7" t="str">
        <f t="shared" ca="1" si="117"/>
        <v/>
      </c>
      <c r="AN1935" s="7" t="str">
        <f t="shared" si="118"/>
        <v/>
      </c>
      <c r="AO1935" s="7" t="str">
        <f t="shared" si="119"/>
        <v/>
      </c>
      <c r="AP1935" s="15" t="str">
        <f t="shared" si="120"/>
        <v/>
      </c>
    </row>
    <row r="1936" spans="38:42" ht="15" customHeight="1">
      <c r="AL1936" s="7" t="str">
        <f>IF(A1936="","",IF(COUNTIF(A1936:A$2001,A1936)=1,1,0))</f>
        <v/>
      </c>
      <c r="AM1936" s="7" t="str">
        <f t="shared" ca="1" si="117"/>
        <v/>
      </c>
      <c r="AN1936" s="7" t="str">
        <f t="shared" si="118"/>
        <v/>
      </c>
      <c r="AO1936" s="7" t="str">
        <f t="shared" si="119"/>
        <v/>
      </c>
      <c r="AP1936" s="15" t="str">
        <f t="shared" si="120"/>
        <v/>
      </c>
    </row>
    <row r="1937" spans="38:42" ht="15" customHeight="1">
      <c r="AL1937" s="7" t="str">
        <f>IF(A1937="","",IF(COUNTIF(A1937:A$2001,A1937)=1,1,0))</f>
        <v/>
      </c>
      <c r="AM1937" s="7" t="str">
        <f t="shared" ca="1" si="117"/>
        <v/>
      </c>
      <c r="AN1937" s="7" t="str">
        <f t="shared" si="118"/>
        <v/>
      </c>
      <c r="AO1937" s="7" t="str">
        <f t="shared" si="119"/>
        <v/>
      </c>
      <c r="AP1937" s="15" t="str">
        <f t="shared" si="120"/>
        <v/>
      </c>
    </row>
    <row r="1938" spans="38:42" ht="15" customHeight="1">
      <c r="AL1938" s="7" t="str">
        <f>IF(A1938="","",IF(COUNTIF(A1938:A$2001,A1938)=1,1,0))</f>
        <v/>
      </c>
      <c r="AM1938" s="7" t="str">
        <f t="shared" ca="1" si="117"/>
        <v/>
      </c>
      <c r="AN1938" s="7" t="str">
        <f t="shared" si="118"/>
        <v/>
      </c>
      <c r="AO1938" s="7" t="str">
        <f t="shared" si="119"/>
        <v/>
      </c>
      <c r="AP1938" s="15" t="str">
        <f t="shared" si="120"/>
        <v/>
      </c>
    </row>
    <row r="1939" spans="38:42" ht="15" customHeight="1">
      <c r="AL1939" s="7" t="str">
        <f>IF(A1939="","",IF(COUNTIF(A1939:A$2001,A1939)=1,1,0))</f>
        <v/>
      </c>
      <c r="AM1939" s="7" t="str">
        <f t="shared" ca="1" si="117"/>
        <v/>
      </c>
      <c r="AN1939" s="7" t="str">
        <f t="shared" si="118"/>
        <v/>
      </c>
      <c r="AO1939" s="7" t="str">
        <f t="shared" si="119"/>
        <v/>
      </c>
      <c r="AP1939" s="15" t="str">
        <f t="shared" si="120"/>
        <v/>
      </c>
    </row>
    <row r="1940" spans="38:42" ht="15" customHeight="1">
      <c r="AL1940" s="7" t="str">
        <f>IF(A1940="","",IF(COUNTIF(A1940:A$2001,A1940)=1,1,0))</f>
        <v/>
      </c>
      <c r="AM1940" s="7" t="str">
        <f t="shared" ca="1" si="117"/>
        <v/>
      </c>
      <c r="AN1940" s="7" t="str">
        <f t="shared" si="118"/>
        <v/>
      </c>
      <c r="AO1940" s="7" t="str">
        <f t="shared" si="119"/>
        <v/>
      </c>
      <c r="AP1940" s="15" t="str">
        <f t="shared" si="120"/>
        <v/>
      </c>
    </row>
    <row r="1941" spans="38:42" ht="15" customHeight="1">
      <c r="AL1941" s="7" t="str">
        <f>IF(A1941="","",IF(COUNTIF(A1941:A$2001,A1941)=1,1,0))</f>
        <v/>
      </c>
      <c r="AM1941" s="7" t="str">
        <f t="shared" ca="1" si="117"/>
        <v/>
      </c>
      <c r="AN1941" s="7" t="str">
        <f t="shared" si="118"/>
        <v/>
      </c>
      <c r="AO1941" s="7" t="str">
        <f t="shared" si="119"/>
        <v/>
      </c>
      <c r="AP1941" s="15" t="str">
        <f t="shared" si="120"/>
        <v/>
      </c>
    </row>
    <row r="1942" spans="38:42" ht="15" customHeight="1">
      <c r="AL1942" s="7" t="str">
        <f>IF(A1942="","",IF(COUNTIF(A1942:A$2001,A1942)=1,1,0))</f>
        <v/>
      </c>
      <c r="AM1942" s="7" t="str">
        <f t="shared" ca="1" si="117"/>
        <v/>
      </c>
      <c r="AN1942" s="7" t="str">
        <f t="shared" si="118"/>
        <v/>
      </c>
      <c r="AO1942" s="7" t="str">
        <f t="shared" si="119"/>
        <v/>
      </c>
      <c r="AP1942" s="15" t="str">
        <f t="shared" si="120"/>
        <v/>
      </c>
    </row>
    <row r="1943" spans="38:42" ht="15" customHeight="1">
      <c r="AL1943" s="7" t="str">
        <f>IF(A1943="","",IF(COUNTIF(A1943:A$2001,A1943)=1,1,0))</f>
        <v/>
      </c>
      <c r="AM1943" s="7" t="str">
        <f t="shared" ca="1" si="117"/>
        <v/>
      </c>
      <c r="AN1943" s="7" t="str">
        <f t="shared" si="118"/>
        <v/>
      </c>
      <c r="AO1943" s="7" t="str">
        <f t="shared" si="119"/>
        <v/>
      </c>
      <c r="AP1943" s="15" t="str">
        <f t="shared" si="120"/>
        <v/>
      </c>
    </row>
    <row r="1944" spans="38:42" ht="15" customHeight="1">
      <c r="AL1944" s="7" t="str">
        <f>IF(A1944="","",IF(COUNTIF(A1944:A$2001,A1944)=1,1,0))</f>
        <v/>
      </c>
      <c r="AM1944" s="7" t="str">
        <f t="shared" ca="1" si="117"/>
        <v/>
      </c>
      <c r="AN1944" s="7" t="str">
        <f t="shared" si="118"/>
        <v/>
      </c>
      <c r="AO1944" s="7" t="str">
        <f t="shared" si="119"/>
        <v/>
      </c>
      <c r="AP1944" s="15" t="str">
        <f t="shared" si="120"/>
        <v/>
      </c>
    </row>
    <row r="1945" spans="38:42" ht="15" customHeight="1">
      <c r="AL1945" s="7" t="str">
        <f>IF(A1945="","",IF(COUNTIF(A1945:A$2001,A1945)=1,1,0))</f>
        <v/>
      </c>
      <c r="AM1945" s="7" t="str">
        <f t="shared" ca="1" si="117"/>
        <v/>
      </c>
      <c r="AN1945" s="7" t="str">
        <f t="shared" si="118"/>
        <v/>
      </c>
      <c r="AO1945" s="7" t="str">
        <f t="shared" si="119"/>
        <v/>
      </c>
      <c r="AP1945" s="15" t="str">
        <f t="shared" si="120"/>
        <v/>
      </c>
    </row>
    <row r="1946" spans="38:42" ht="15" customHeight="1">
      <c r="AL1946" s="7" t="str">
        <f>IF(A1946="","",IF(COUNTIF(A1946:A$2001,A1946)=1,1,0))</f>
        <v/>
      </c>
      <c r="AM1946" s="7" t="str">
        <f t="shared" ca="1" si="117"/>
        <v/>
      </c>
      <c r="AN1946" s="7" t="str">
        <f t="shared" si="118"/>
        <v/>
      </c>
      <c r="AO1946" s="7" t="str">
        <f t="shared" si="119"/>
        <v/>
      </c>
      <c r="AP1946" s="15" t="str">
        <f t="shared" si="120"/>
        <v/>
      </c>
    </row>
    <row r="1947" spans="38:42" ht="15" customHeight="1">
      <c r="AL1947" s="7" t="str">
        <f>IF(A1947="","",IF(COUNTIF(A1947:A$2001,A1947)=1,1,0))</f>
        <v/>
      </c>
      <c r="AM1947" s="7" t="str">
        <f t="shared" ca="1" si="117"/>
        <v/>
      </c>
      <c r="AN1947" s="7" t="str">
        <f t="shared" si="118"/>
        <v/>
      </c>
      <c r="AO1947" s="7" t="str">
        <f t="shared" si="119"/>
        <v/>
      </c>
      <c r="AP1947" s="15" t="str">
        <f t="shared" si="120"/>
        <v/>
      </c>
    </row>
    <row r="1948" spans="38:42" ht="15" customHeight="1">
      <c r="AL1948" s="7" t="str">
        <f>IF(A1948="","",IF(COUNTIF(A1948:A$2001,A1948)=1,1,0))</f>
        <v/>
      </c>
      <c r="AM1948" s="7" t="str">
        <f t="shared" ca="1" si="117"/>
        <v/>
      </c>
      <c r="AN1948" s="7" t="str">
        <f t="shared" si="118"/>
        <v/>
      </c>
      <c r="AO1948" s="7" t="str">
        <f t="shared" si="119"/>
        <v/>
      </c>
      <c r="AP1948" s="15" t="str">
        <f t="shared" si="120"/>
        <v/>
      </c>
    </row>
    <row r="1949" spans="38:42" ht="15" customHeight="1">
      <c r="AL1949" s="7" t="str">
        <f>IF(A1949="","",IF(COUNTIF(A1949:A$2001,A1949)=1,1,0))</f>
        <v/>
      </c>
      <c r="AM1949" s="7" t="str">
        <f t="shared" ca="1" si="117"/>
        <v/>
      </c>
      <c r="AN1949" s="7" t="str">
        <f t="shared" si="118"/>
        <v/>
      </c>
      <c r="AO1949" s="7" t="str">
        <f t="shared" si="119"/>
        <v/>
      </c>
      <c r="AP1949" s="15" t="str">
        <f t="shared" si="120"/>
        <v/>
      </c>
    </row>
    <row r="1950" spans="38:42" ht="15" customHeight="1">
      <c r="AL1950" s="7" t="str">
        <f>IF(A1950="","",IF(COUNTIF(A1950:A$2001,A1950)=1,1,0))</f>
        <v/>
      </c>
      <c r="AM1950" s="7" t="str">
        <f t="shared" ca="1" si="117"/>
        <v/>
      </c>
      <c r="AN1950" s="7" t="str">
        <f t="shared" si="118"/>
        <v/>
      </c>
      <c r="AO1950" s="7" t="str">
        <f t="shared" si="119"/>
        <v/>
      </c>
      <c r="AP1950" s="15" t="str">
        <f t="shared" si="120"/>
        <v/>
      </c>
    </row>
    <row r="1951" spans="38:42" ht="15" customHeight="1">
      <c r="AL1951" s="7" t="str">
        <f>IF(A1951="","",IF(COUNTIF(A1951:A$2001,A1951)=1,1,0))</f>
        <v/>
      </c>
      <c r="AM1951" s="7" t="str">
        <f t="shared" ca="1" si="117"/>
        <v/>
      </c>
      <c r="AN1951" s="7" t="str">
        <f t="shared" si="118"/>
        <v/>
      </c>
      <c r="AO1951" s="7" t="str">
        <f t="shared" si="119"/>
        <v/>
      </c>
      <c r="AP1951" s="15" t="str">
        <f t="shared" si="120"/>
        <v/>
      </c>
    </row>
    <row r="1952" spans="38:42" ht="15" customHeight="1">
      <c r="AL1952" s="7" t="str">
        <f>IF(A1952="","",IF(COUNTIF(A1952:A$2001,A1952)=1,1,0))</f>
        <v/>
      </c>
      <c r="AM1952" s="7" t="str">
        <f t="shared" ca="1" si="117"/>
        <v/>
      </c>
      <c r="AN1952" s="7" t="str">
        <f t="shared" si="118"/>
        <v/>
      </c>
      <c r="AO1952" s="7" t="str">
        <f t="shared" si="119"/>
        <v/>
      </c>
      <c r="AP1952" s="15" t="str">
        <f t="shared" si="120"/>
        <v/>
      </c>
    </row>
    <row r="1953" spans="38:42" ht="15" customHeight="1">
      <c r="AL1953" s="7" t="str">
        <f>IF(A1953="","",IF(COUNTIF(A1953:A$2001,A1953)=1,1,0))</f>
        <v/>
      </c>
      <c r="AM1953" s="7" t="str">
        <f t="shared" ca="1" si="117"/>
        <v/>
      </c>
      <c r="AN1953" s="7" t="str">
        <f t="shared" si="118"/>
        <v/>
      </c>
      <c r="AO1953" s="7" t="str">
        <f t="shared" si="119"/>
        <v/>
      </c>
      <c r="AP1953" s="15" t="str">
        <f t="shared" si="120"/>
        <v/>
      </c>
    </row>
    <row r="1954" spans="38:42" ht="15" customHeight="1">
      <c r="AL1954" s="7" t="str">
        <f>IF(A1954="","",IF(COUNTIF(A1954:A$2001,A1954)=1,1,0))</f>
        <v/>
      </c>
      <c r="AM1954" s="7" t="str">
        <f t="shared" ca="1" si="117"/>
        <v/>
      </c>
      <c r="AN1954" s="7" t="str">
        <f t="shared" si="118"/>
        <v/>
      </c>
      <c r="AO1954" s="7" t="str">
        <f t="shared" si="119"/>
        <v/>
      </c>
      <c r="AP1954" s="15" t="str">
        <f t="shared" si="120"/>
        <v/>
      </c>
    </row>
    <row r="1955" spans="38:42" ht="15" customHeight="1">
      <c r="AL1955" s="7" t="str">
        <f>IF(A1955="","",IF(COUNTIF(A1955:A$2001,A1955)=1,1,0))</f>
        <v/>
      </c>
      <c r="AM1955" s="7" t="str">
        <f t="shared" ca="1" si="117"/>
        <v/>
      </c>
      <c r="AN1955" s="7" t="str">
        <f t="shared" si="118"/>
        <v/>
      </c>
      <c r="AO1955" s="7" t="str">
        <f t="shared" si="119"/>
        <v/>
      </c>
      <c r="AP1955" s="15" t="str">
        <f t="shared" si="120"/>
        <v/>
      </c>
    </row>
    <row r="1956" spans="38:42" ht="15" customHeight="1">
      <c r="AL1956" s="7" t="str">
        <f>IF(A1956="","",IF(COUNTIF(A1956:A$2001,A1956)=1,1,0))</f>
        <v/>
      </c>
      <c r="AM1956" s="7" t="str">
        <f t="shared" ca="1" si="117"/>
        <v/>
      </c>
      <c r="AN1956" s="7" t="str">
        <f t="shared" si="118"/>
        <v/>
      </c>
      <c r="AO1956" s="7" t="str">
        <f t="shared" si="119"/>
        <v/>
      </c>
      <c r="AP1956" s="15" t="str">
        <f t="shared" si="120"/>
        <v/>
      </c>
    </row>
    <row r="1957" spans="38:42" ht="15" customHeight="1">
      <c r="AL1957" s="7" t="str">
        <f>IF(A1957="","",IF(COUNTIF(A1957:A$2001,A1957)=1,1,0))</f>
        <v/>
      </c>
      <c r="AM1957" s="7" t="str">
        <f t="shared" ca="1" si="117"/>
        <v/>
      </c>
      <c r="AN1957" s="7" t="str">
        <f t="shared" si="118"/>
        <v/>
      </c>
      <c r="AO1957" s="7" t="str">
        <f t="shared" si="119"/>
        <v/>
      </c>
      <c r="AP1957" s="15" t="str">
        <f t="shared" si="120"/>
        <v/>
      </c>
    </row>
    <row r="1958" spans="38:42" ht="15" customHeight="1">
      <c r="AL1958" s="7" t="str">
        <f>IF(A1958="","",IF(COUNTIF(A1958:A$2001,A1958)=1,1,0))</f>
        <v/>
      </c>
      <c r="AM1958" s="7" t="str">
        <f t="shared" ca="1" si="117"/>
        <v/>
      </c>
      <c r="AN1958" s="7" t="str">
        <f t="shared" si="118"/>
        <v/>
      </c>
      <c r="AO1958" s="7" t="str">
        <f t="shared" si="119"/>
        <v/>
      </c>
      <c r="AP1958" s="15" t="str">
        <f t="shared" si="120"/>
        <v/>
      </c>
    </row>
    <row r="1959" spans="38:42" ht="15" customHeight="1">
      <c r="AL1959" s="7" t="str">
        <f>IF(A1959="","",IF(COUNTIF(A1959:A$2001,A1959)=1,1,0))</f>
        <v/>
      </c>
      <c r="AM1959" s="7" t="str">
        <f t="shared" ca="1" si="117"/>
        <v/>
      </c>
      <c r="AN1959" s="7" t="str">
        <f t="shared" si="118"/>
        <v/>
      </c>
      <c r="AO1959" s="7" t="str">
        <f t="shared" si="119"/>
        <v/>
      </c>
      <c r="AP1959" s="15" t="str">
        <f t="shared" si="120"/>
        <v/>
      </c>
    </row>
    <row r="1960" spans="38:42" ht="15" customHeight="1">
      <c r="AL1960" s="7" t="str">
        <f>IF(A1960="","",IF(COUNTIF(A1960:A$2001,A1960)=1,1,0))</f>
        <v/>
      </c>
      <c r="AM1960" s="7" t="str">
        <f t="shared" ca="1" si="117"/>
        <v/>
      </c>
      <c r="AN1960" s="7" t="str">
        <f t="shared" si="118"/>
        <v/>
      </c>
      <c r="AO1960" s="7" t="str">
        <f t="shared" si="119"/>
        <v/>
      </c>
      <c r="AP1960" s="15" t="str">
        <f t="shared" si="120"/>
        <v/>
      </c>
    </row>
    <row r="1961" spans="38:42" ht="15" customHeight="1">
      <c r="AL1961" s="7" t="str">
        <f>IF(A1961="","",IF(COUNTIF(A1961:A$2001,A1961)=1,1,0))</f>
        <v/>
      </c>
      <c r="AM1961" s="7" t="str">
        <f t="shared" ca="1" si="117"/>
        <v/>
      </c>
      <c r="AN1961" s="7" t="str">
        <f t="shared" si="118"/>
        <v/>
      </c>
      <c r="AO1961" s="7" t="str">
        <f t="shared" si="119"/>
        <v/>
      </c>
      <c r="AP1961" s="15" t="str">
        <f t="shared" si="120"/>
        <v/>
      </c>
    </row>
    <row r="1962" spans="38:42" ht="15" customHeight="1">
      <c r="AL1962" s="7" t="str">
        <f>IF(A1962="","",IF(COUNTIF(A1962:A$2001,A1962)=1,1,0))</f>
        <v/>
      </c>
      <c r="AM1962" s="7" t="str">
        <f t="shared" ca="1" si="117"/>
        <v/>
      </c>
      <c r="AN1962" s="7" t="str">
        <f t="shared" si="118"/>
        <v/>
      </c>
      <c r="AO1962" s="7" t="str">
        <f t="shared" si="119"/>
        <v/>
      </c>
      <c r="AP1962" s="15" t="str">
        <f t="shared" si="120"/>
        <v/>
      </c>
    </row>
    <row r="1963" spans="38:42" ht="15" customHeight="1">
      <c r="AL1963" s="7" t="str">
        <f>IF(A1963="","",IF(COUNTIF(A1963:A$2001,A1963)=1,1,0))</f>
        <v/>
      </c>
      <c r="AM1963" s="7" t="str">
        <f t="shared" ca="1" si="117"/>
        <v/>
      </c>
      <c r="AN1963" s="7" t="str">
        <f t="shared" si="118"/>
        <v/>
      </c>
      <c r="AO1963" s="7" t="str">
        <f t="shared" si="119"/>
        <v/>
      </c>
      <c r="AP1963" s="15" t="str">
        <f t="shared" si="120"/>
        <v/>
      </c>
    </row>
    <row r="1964" spans="38:42" ht="15" customHeight="1">
      <c r="AL1964" s="7" t="str">
        <f>IF(A1964="","",IF(COUNTIF(A1964:A$2001,A1964)=1,1,0))</f>
        <v/>
      </c>
      <c r="AM1964" s="7" t="str">
        <f t="shared" ca="1" si="117"/>
        <v/>
      </c>
      <c r="AN1964" s="7" t="str">
        <f t="shared" si="118"/>
        <v/>
      </c>
      <c r="AO1964" s="7" t="str">
        <f t="shared" si="119"/>
        <v/>
      </c>
      <c r="AP1964" s="15" t="str">
        <f t="shared" si="120"/>
        <v/>
      </c>
    </row>
    <row r="1965" spans="38:42" ht="15" customHeight="1">
      <c r="AL1965" s="7" t="str">
        <f>IF(A1965="","",IF(COUNTIF(A1965:A$2001,A1965)=1,1,0))</f>
        <v/>
      </c>
      <c r="AM1965" s="7" t="str">
        <f t="shared" ca="1" si="117"/>
        <v/>
      </c>
      <c r="AN1965" s="7" t="str">
        <f t="shared" si="118"/>
        <v/>
      </c>
      <c r="AO1965" s="7" t="str">
        <f t="shared" si="119"/>
        <v/>
      </c>
      <c r="AP1965" s="15" t="str">
        <f t="shared" si="120"/>
        <v/>
      </c>
    </row>
    <row r="1966" spans="38:42" ht="15" customHeight="1">
      <c r="AL1966" s="7" t="str">
        <f>IF(A1966="","",IF(COUNTIF(A1966:A$2001,A1966)=1,1,0))</f>
        <v/>
      </c>
      <c r="AM1966" s="7" t="str">
        <f t="shared" ca="1" si="117"/>
        <v/>
      </c>
      <c r="AN1966" s="7" t="str">
        <f t="shared" si="118"/>
        <v/>
      </c>
      <c r="AO1966" s="7" t="str">
        <f t="shared" si="119"/>
        <v/>
      </c>
      <c r="AP1966" s="15" t="str">
        <f t="shared" si="120"/>
        <v/>
      </c>
    </row>
    <row r="1967" spans="38:42" ht="15" customHeight="1">
      <c r="AL1967" s="7" t="str">
        <f>IF(A1967="","",IF(COUNTIF(A1967:A$2001,A1967)=1,1,0))</f>
        <v/>
      </c>
      <c r="AM1967" s="7" t="str">
        <f t="shared" ca="1" si="117"/>
        <v/>
      </c>
      <c r="AN1967" s="7" t="str">
        <f t="shared" si="118"/>
        <v/>
      </c>
      <c r="AO1967" s="7" t="str">
        <f t="shared" si="119"/>
        <v/>
      </c>
      <c r="AP1967" s="15" t="str">
        <f t="shared" si="120"/>
        <v/>
      </c>
    </row>
    <row r="1968" spans="38:42" ht="15" customHeight="1">
      <c r="AL1968" s="7" t="str">
        <f>IF(A1968="","",IF(COUNTIF(A1968:A$2001,A1968)=1,1,0))</f>
        <v/>
      </c>
      <c r="AM1968" s="7" t="str">
        <f t="shared" ca="1" si="117"/>
        <v/>
      </c>
      <c r="AN1968" s="7" t="str">
        <f t="shared" si="118"/>
        <v/>
      </c>
      <c r="AO1968" s="7" t="str">
        <f t="shared" si="119"/>
        <v/>
      </c>
      <c r="AP1968" s="15" t="str">
        <f t="shared" si="120"/>
        <v/>
      </c>
    </row>
    <row r="1969" spans="38:42" ht="15" customHeight="1">
      <c r="AL1969" s="7" t="str">
        <f>IF(A1969="","",IF(COUNTIF(A1969:A$2001,A1969)=1,1,0))</f>
        <v/>
      </c>
      <c r="AM1969" s="7" t="str">
        <f t="shared" ca="1" si="117"/>
        <v/>
      </c>
      <c r="AN1969" s="7" t="str">
        <f t="shared" si="118"/>
        <v/>
      </c>
      <c r="AO1969" s="7" t="str">
        <f t="shared" si="119"/>
        <v/>
      </c>
      <c r="AP1969" s="15" t="str">
        <f t="shared" si="120"/>
        <v/>
      </c>
    </row>
    <row r="1970" spans="38:42" ht="15" customHeight="1">
      <c r="AL1970" s="7" t="str">
        <f>IF(A1970="","",IF(COUNTIF(A1970:A$2001,A1970)=1,1,0))</f>
        <v/>
      </c>
      <c r="AM1970" s="7" t="str">
        <f t="shared" ca="1" si="117"/>
        <v/>
      </c>
      <c r="AN1970" s="7" t="str">
        <f t="shared" si="118"/>
        <v/>
      </c>
      <c r="AO1970" s="7" t="str">
        <f t="shared" si="119"/>
        <v/>
      </c>
      <c r="AP1970" s="15" t="str">
        <f t="shared" si="120"/>
        <v/>
      </c>
    </row>
    <row r="1971" spans="38:42" ht="15" customHeight="1">
      <c r="AL1971" s="7" t="str">
        <f>IF(A1971="","",IF(COUNTIF(A1971:A$2001,A1971)=1,1,0))</f>
        <v/>
      </c>
      <c r="AM1971" s="7" t="str">
        <f t="shared" ca="1" si="117"/>
        <v/>
      </c>
      <c r="AN1971" s="7" t="str">
        <f t="shared" si="118"/>
        <v/>
      </c>
      <c r="AO1971" s="7" t="str">
        <f t="shared" si="119"/>
        <v/>
      </c>
      <c r="AP1971" s="15" t="str">
        <f t="shared" si="120"/>
        <v/>
      </c>
    </row>
    <row r="1972" spans="38:42" ht="15" customHeight="1">
      <c r="AL1972" s="7" t="str">
        <f>IF(A1972="","",IF(COUNTIF(A1972:A$2001,A1972)=1,1,0))</f>
        <v/>
      </c>
      <c r="AM1972" s="7" t="str">
        <f t="shared" ca="1" si="117"/>
        <v/>
      </c>
      <c r="AN1972" s="7" t="str">
        <f t="shared" si="118"/>
        <v/>
      </c>
      <c r="AO1972" s="7" t="str">
        <f t="shared" si="119"/>
        <v/>
      </c>
      <c r="AP1972" s="15" t="str">
        <f t="shared" si="120"/>
        <v/>
      </c>
    </row>
    <row r="1973" spans="38:42" ht="15" customHeight="1">
      <c r="AL1973" s="7" t="str">
        <f>IF(A1973="","",IF(COUNTIF(A1973:A$2001,A1973)=1,1,0))</f>
        <v/>
      </c>
      <c r="AM1973" s="7" t="str">
        <f t="shared" ca="1" si="117"/>
        <v/>
      </c>
      <c r="AN1973" s="7" t="str">
        <f t="shared" si="118"/>
        <v/>
      </c>
      <c r="AO1973" s="7" t="str">
        <f t="shared" si="119"/>
        <v/>
      </c>
      <c r="AP1973" s="15" t="str">
        <f t="shared" si="120"/>
        <v/>
      </c>
    </row>
    <row r="1974" spans="38:42" ht="15" customHeight="1">
      <c r="AL1974" s="7" t="str">
        <f>IF(A1974="","",IF(COUNTIF(A1974:A$2001,A1974)=1,1,0))</f>
        <v/>
      </c>
      <c r="AM1974" s="7" t="str">
        <f t="shared" ca="1" si="117"/>
        <v/>
      </c>
      <c r="AN1974" s="7" t="str">
        <f t="shared" si="118"/>
        <v/>
      </c>
      <c r="AO1974" s="7" t="str">
        <f t="shared" si="119"/>
        <v/>
      </c>
      <c r="AP1974" s="15" t="str">
        <f t="shared" si="120"/>
        <v/>
      </c>
    </row>
    <row r="1975" spans="38:42" ht="15" customHeight="1">
      <c r="AL1975" s="7" t="str">
        <f>IF(A1975="","",IF(COUNTIF(A1975:A$2001,A1975)=1,1,0))</f>
        <v/>
      </c>
      <c r="AM1975" s="7" t="str">
        <f t="shared" ca="1" si="117"/>
        <v/>
      </c>
      <c r="AN1975" s="7" t="str">
        <f t="shared" si="118"/>
        <v/>
      </c>
      <c r="AO1975" s="7" t="str">
        <f t="shared" si="119"/>
        <v/>
      </c>
      <c r="AP1975" s="15" t="str">
        <f t="shared" si="120"/>
        <v/>
      </c>
    </row>
    <row r="1976" spans="38:42" ht="15" customHeight="1">
      <c r="AL1976" s="7" t="str">
        <f>IF(A1976="","",IF(COUNTIF(A1976:A$2001,A1976)=1,1,0))</f>
        <v/>
      </c>
      <c r="AM1976" s="7" t="str">
        <f t="shared" ca="1" si="117"/>
        <v/>
      </c>
      <c r="AN1976" s="7" t="str">
        <f t="shared" si="118"/>
        <v/>
      </c>
      <c r="AO1976" s="7" t="str">
        <f t="shared" si="119"/>
        <v/>
      </c>
      <c r="AP1976" s="15" t="str">
        <f t="shared" si="120"/>
        <v/>
      </c>
    </row>
    <row r="1977" spans="38:42" ht="15" customHeight="1">
      <c r="AL1977" s="7" t="str">
        <f>IF(A1977="","",IF(COUNTIF(A1977:A$2001,A1977)=1,1,0))</f>
        <v/>
      </c>
      <c r="AM1977" s="7" t="str">
        <f t="shared" ca="1" si="117"/>
        <v/>
      </c>
      <c r="AN1977" s="7" t="str">
        <f t="shared" si="118"/>
        <v/>
      </c>
      <c r="AO1977" s="7" t="str">
        <f t="shared" si="119"/>
        <v/>
      </c>
      <c r="AP1977" s="15" t="str">
        <f t="shared" si="120"/>
        <v/>
      </c>
    </row>
    <row r="1978" spans="38:42" ht="15" customHeight="1">
      <c r="AL1978" s="7" t="str">
        <f>IF(A1978="","",IF(COUNTIF(A1978:A$2001,A1978)=1,1,0))</f>
        <v/>
      </c>
      <c r="AM1978" s="7" t="str">
        <f t="shared" ca="1" si="117"/>
        <v/>
      </c>
      <c r="AN1978" s="7" t="str">
        <f t="shared" si="118"/>
        <v/>
      </c>
      <c r="AO1978" s="7" t="str">
        <f t="shared" si="119"/>
        <v/>
      </c>
      <c r="AP1978" s="15" t="str">
        <f t="shared" si="120"/>
        <v/>
      </c>
    </row>
    <row r="1979" spans="38:42" ht="15" customHeight="1">
      <c r="AL1979" s="7" t="str">
        <f>IF(A1979="","",IF(COUNTIF(A1979:A$2001,A1979)=1,1,0))</f>
        <v/>
      </c>
      <c r="AM1979" s="7" t="str">
        <f t="shared" ca="1" si="117"/>
        <v/>
      </c>
      <c r="AN1979" s="7" t="str">
        <f t="shared" si="118"/>
        <v/>
      </c>
      <c r="AO1979" s="7" t="str">
        <f t="shared" si="119"/>
        <v/>
      </c>
      <c r="AP1979" s="15" t="str">
        <f t="shared" si="120"/>
        <v/>
      </c>
    </row>
    <row r="1980" spans="38:42" ht="15" customHeight="1">
      <c r="AL1980" s="7" t="str">
        <f>IF(A1980="","",IF(COUNTIF(A1980:A$2001,A1980)=1,1,0))</f>
        <v/>
      </c>
      <c r="AM1980" s="7" t="str">
        <f t="shared" ca="1" si="117"/>
        <v/>
      </c>
      <c r="AN1980" s="7" t="str">
        <f t="shared" si="118"/>
        <v/>
      </c>
      <c r="AO1980" s="7" t="str">
        <f t="shared" si="119"/>
        <v/>
      </c>
      <c r="AP1980" s="15" t="str">
        <f t="shared" si="120"/>
        <v/>
      </c>
    </row>
    <row r="1981" spans="38:42" ht="15" customHeight="1">
      <c r="AL1981" s="7" t="str">
        <f>IF(A1981="","",IF(COUNTIF(A1981:A$2001,A1981)=1,1,0))</f>
        <v/>
      </c>
      <c r="AM1981" s="7" t="str">
        <f t="shared" ca="1" si="117"/>
        <v/>
      </c>
      <c r="AN1981" s="7" t="str">
        <f t="shared" si="118"/>
        <v/>
      </c>
      <c r="AO1981" s="7" t="str">
        <f t="shared" si="119"/>
        <v/>
      </c>
      <c r="AP1981" s="15" t="str">
        <f t="shared" si="120"/>
        <v/>
      </c>
    </row>
    <row r="1982" spans="38:42" ht="15" customHeight="1">
      <c r="AL1982" s="7" t="str">
        <f>IF(A1982="","",IF(COUNTIF(A1982:A$2001,A1982)=1,1,0))</f>
        <v/>
      </c>
      <c r="AM1982" s="7" t="str">
        <f t="shared" ca="1" si="117"/>
        <v/>
      </c>
      <c r="AN1982" s="7" t="str">
        <f t="shared" si="118"/>
        <v/>
      </c>
      <c r="AO1982" s="7" t="str">
        <f t="shared" si="119"/>
        <v/>
      </c>
      <c r="AP1982" s="15" t="str">
        <f t="shared" si="120"/>
        <v/>
      </c>
    </row>
    <row r="1983" spans="38:42" ht="15" customHeight="1">
      <c r="AL1983" s="7" t="str">
        <f>IF(A1983="","",IF(COUNTIF(A1983:A$2001,A1983)=1,1,0))</f>
        <v/>
      </c>
      <c r="AM1983" s="7" t="str">
        <f t="shared" ca="1" si="117"/>
        <v/>
      </c>
      <c r="AN1983" s="7" t="str">
        <f t="shared" si="118"/>
        <v/>
      </c>
      <c r="AO1983" s="7" t="str">
        <f t="shared" si="119"/>
        <v/>
      </c>
      <c r="AP1983" s="15" t="str">
        <f t="shared" si="120"/>
        <v/>
      </c>
    </row>
    <row r="1984" spans="38:42" ht="15" customHeight="1">
      <c r="AL1984" s="7" t="str">
        <f>IF(A1984="","",IF(COUNTIF(A1984:A$2001,A1984)=1,1,0))</f>
        <v/>
      </c>
      <c r="AM1984" s="7" t="str">
        <f t="shared" ca="1" si="117"/>
        <v/>
      </c>
      <c r="AN1984" s="7" t="str">
        <f t="shared" si="118"/>
        <v/>
      </c>
      <c r="AO1984" s="7" t="str">
        <f t="shared" si="119"/>
        <v/>
      </c>
      <c r="AP1984" s="15" t="str">
        <f t="shared" si="120"/>
        <v/>
      </c>
    </row>
    <row r="1985" spans="38:42" ht="15" customHeight="1">
      <c r="AL1985" s="7" t="str">
        <f>IF(A1985="","",IF(COUNTIF(A1985:A$2001,A1985)=1,1,0))</f>
        <v/>
      </c>
      <c r="AM1985" s="7" t="str">
        <f t="shared" ca="1" si="117"/>
        <v/>
      </c>
      <c r="AN1985" s="7" t="str">
        <f t="shared" si="118"/>
        <v/>
      </c>
      <c r="AO1985" s="7" t="str">
        <f t="shared" si="119"/>
        <v/>
      </c>
      <c r="AP1985" s="15" t="str">
        <f t="shared" si="120"/>
        <v/>
      </c>
    </row>
    <row r="1986" spans="38:42" ht="15" customHeight="1">
      <c r="AL1986" s="7" t="str">
        <f>IF(A1986="","",IF(COUNTIF(A1986:A$2001,A1986)=1,1,0))</f>
        <v/>
      </c>
      <c r="AM1986" s="7" t="str">
        <f t="shared" ref="AM1986:AM2000" ca="1" si="121">IF(I1986="","",TODAY()-I1986)</f>
        <v/>
      </c>
      <c r="AN1986" s="7" t="str">
        <f t="shared" ref="AN1986:AN2000" si="122">IF(A1986="","",IF(AND(E1986&lt;&gt;"33 確認済",E1986&lt;&gt;"36 送付中"),1,0))</f>
        <v/>
      </c>
      <c r="AO1986" s="7" t="str">
        <f t="shared" ref="AO1986:AO2000" si="123">IF(A1986="","",IF(AG1986&lt;&gt;"",1,0))</f>
        <v/>
      </c>
      <c r="AP1986" s="15" t="str">
        <f t="shared" ref="AP1986:AP2000" si="124">IF(P1986&lt;&gt;"","・添待ち","")&amp;IF(Q1986&lt;&gt;"","・住民票","")&amp;IF(R1986&lt;&gt;"","・発信","")&amp;IF(S1986&lt;&gt;"","・確認事項","")&amp;IF(T1986&lt;&gt;"","・管","")&amp;IF(U1986&lt;&gt;"","・SV","")&amp;IF(V1986&lt;&gt;"","・データ送付待ち","")&amp;IF(W1986&lt;&gt;"","・削除","")</f>
        <v/>
      </c>
    </row>
    <row r="1987" spans="38:42" ht="15" customHeight="1">
      <c r="AL1987" s="7" t="str">
        <f>IF(A1987="","",IF(COUNTIF(A1987:A$2001,A1987)=1,1,0))</f>
        <v/>
      </c>
      <c r="AM1987" s="7" t="str">
        <f t="shared" ca="1" si="121"/>
        <v/>
      </c>
      <c r="AN1987" s="7" t="str">
        <f t="shared" si="122"/>
        <v/>
      </c>
      <c r="AO1987" s="7" t="str">
        <f t="shared" si="123"/>
        <v/>
      </c>
      <c r="AP1987" s="15" t="str">
        <f t="shared" si="124"/>
        <v/>
      </c>
    </row>
    <row r="1988" spans="38:42" ht="15" customHeight="1">
      <c r="AL1988" s="7" t="str">
        <f>IF(A1988="","",IF(COUNTIF(A1988:A$2001,A1988)=1,1,0))</f>
        <v/>
      </c>
      <c r="AM1988" s="7" t="str">
        <f t="shared" ca="1" si="121"/>
        <v/>
      </c>
      <c r="AN1988" s="7" t="str">
        <f t="shared" si="122"/>
        <v/>
      </c>
      <c r="AO1988" s="7" t="str">
        <f t="shared" si="123"/>
        <v/>
      </c>
      <c r="AP1988" s="15" t="str">
        <f t="shared" si="124"/>
        <v/>
      </c>
    </row>
    <row r="1989" spans="38:42" ht="15" customHeight="1">
      <c r="AL1989" s="7" t="str">
        <f>IF(A1989="","",IF(COUNTIF(A1989:A$2001,A1989)=1,1,0))</f>
        <v/>
      </c>
      <c r="AM1989" s="7" t="str">
        <f t="shared" ca="1" si="121"/>
        <v/>
      </c>
      <c r="AN1989" s="7" t="str">
        <f t="shared" si="122"/>
        <v/>
      </c>
      <c r="AO1989" s="7" t="str">
        <f t="shared" si="123"/>
        <v/>
      </c>
      <c r="AP1989" s="15" t="str">
        <f t="shared" si="124"/>
        <v/>
      </c>
    </row>
    <row r="1990" spans="38:42" ht="15" customHeight="1">
      <c r="AL1990" s="7" t="str">
        <f>IF(A1990="","",IF(COUNTIF(A1990:A$2001,A1990)=1,1,0))</f>
        <v/>
      </c>
      <c r="AM1990" s="7" t="str">
        <f t="shared" ca="1" si="121"/>
        <v/>
      </c>
      <c r="AN1990" s="7" t="str">
        <f t="shared" si="122"/>
        <v/>
      </c>
      <c r="AO1990" s="7" t="str">
        <f t="shared" si="123"/>
        <v/>
      </c>
      <c r="AP1990" s="15" t="str">
        <f t="shared" si="124"/>
        <v/>
      </c>
    </row>
    <row r="1991" spans="38:42" ht="15" customHeight="1">
      <c r="AL1991" s="7" t="str">
        <f>IF(A1991="","",IF(COUNTIF(A1991:A$2001,A1991)=1,1,0))</f>
        <v/>
      </c>
      <c r="AM1991" s="7" t="str">
        <f t="shared" ca="1" si="121"/>
        <v/>
      </c>
      <c r="AN1991" s="7" t="str">
        <f t="shared" si="122"/>
        <v/>
      </c>
      <c r="AO1991" s="7" t="str">
        <f t="shared" si="123"/>
        <v/>
      </c>
      <c r="AP1991" s="15" t="str">
        <f t="shared" si="124"/>
        <v/>
      </c>
    </row>
    <row r="1992" spans="38:42" ht="15" customHeight="1">
      <c r="AL1992" s="7" t="str">
        <f>IF(A1992="","",IF(COUNTIF(A1992:A$2001,A1992)=1,1,0))</f>
        <v/>
      </c>
      <c r="AM1992" s="7" t="str">
        <f t="shared" ca="1" si="121"/>
        <v/>
      </c>
      <c r="AN1992" s="7" t="str">
        <f t="shared" si="122"/>
        <v/>
      </c>
      <c r="AO1992" s="7" t="str">
        <f t="shared" si="123"/>
        <v/>
      </c>
      <c r="AP1992" s="15" t="str">
        <f t="shared" si="124"/>
        <v/>
      </c>
    </row>
    <row r="1993" spans="38:42" ht="15" customHeight="1">
      <c r="AL1993" s="7" t="str">
        <f>IF(A1993="","",IF(COUNTIF(A1993:A$2001,A1993)=1,1,0))</f>
        <v/>
      </c>
      <c r="AM1993" s="7" t="str">
        <f t="shared" ca="1" si="121"/>
        <v/>
      </c>
      <c r="AN1993" s="7" t="str">
        <f t="shared" si="122"/>
        <v/>
      </c>
      <c r="AO1993" s="7" t="str">
        <f t="shared" si="123"/>
        <v/>
      </c>
      <c r="AP1993" s="15" t="str">
        <f t="shared" si="124"/>
        <v/>
      </c>
    </row>
    <row r="1994" spans="38:42" ht="15" customHeight="1">
      <c r="AL1994" s="7" t="str">
        <f>IF(A1994="","",IF(COUNTIF(A1994:A$2001,A1994)=1,1,0))</f>
        <v/>
      </c>
      <c r="AM1994" s="7" t="str">
        <f t="shared" ca="1" si="121"/>
        <v/>
      </c>
      <c r="AN1994" s="7" t="str">
        <f t="shared" si="122"/>
        <v/>
      </c>
      <c r="AO1994" s="7" t="str">
        <f t="shared" si="123"/>
        <v/>
      </c>
      <c r="AP1994" s="15" t="str">
        <f t="shared" si="124"/>
        <v/>
      </c>
    </row>
    <row r="1995" spans="38:42" ht="15" customHeight="1">
      <c r="AL1995" s="7" t="str">
        <f>IF(A1995="","",IF(COUNTIF(A1995:A$2001,A1995)=1,1,0))</f>
        <v/>
      </c>
      <c r="AM1995" s="7" t="str">
        <f t="shared" ca="1" si="121"/>
        <v/>
      </c>
      <c r="AN1995" s="7" t="str">
        <f t="shared" si="122"/>
        <v/>
      </c>
      <c r="AO1995" s="7" t="str">
        <f t="shared" si="123"/>
        <v/>
      </c>
      <c r="AP1995" s="15" t="str">
        <f t="shared" si="124"/>
        <v/>
      </c>
    </row>
    <row r="1996" spans="38:42" ht="15" customHeight="1">
      <c r="AL1996" s="7" t="str">
        <f>IF(A1996="","",IF(COUNTIF(A1996:A$2001,A1996)=1,1,0))</f>
        <v/>
      </c>
      <c r="AM1996" s="7" t="str">
        <f t="shared" ca="1" si="121"/>
        <v/>
      </c>
      <c r="AN1996" s="7" t="str">
        <f t="shared" si="122"/>
        <v/>
      </c>
      <c r="AO1996" s="7" t="str">
        <f t="shared" si="123"/>
        <v/>
      </c>
      <c r="AP1996" s="15" t="str">
        <f t="shared" si="124"/>
        <v/>
      </c>
    </row>
    <row r="1997" spans="38:42" ht="15" customHeight="1">
      <c r="AL1997" s="7" t="str">
        <f>IF(A1997="","",IF(COUNTIF(A1997:A$2001,A1997)=1,1,0))</f>
        <v/>
      </c>
      <c r="AM1997" s="7" t="str">
        <f t="shared" ca="1" si="121"/>
        <v/>
      </c>
      <c r="AN1997" s="7" t="str">
        <f t="shared" si="122"/>
        <v/>
      </c>
      <c r="AO1997" s="7" t="str">
        <f t="shared" si="123"/>
        <v/>
      </c>
      <c r="AP1997" s="15" t="str">
        <f t="shared" si="124"/>
        <v/>
      </c>
    </row>
    <row r="1998" spans="38:42" ht="15" customHeight="1">
      <c r="AL1998" s="7" t="str">
        <f>IF(A1998="","",IF(COUNTIF(A1998:A$2001,A1998)=1,1,0))</f>
        <v/>
      </c>
      <c r="AM1998" s="7" t="str">
        <f t="shared" ca="1" si="121"/>
        <v/>
      </c>
      <c r="AN1998" s="7" t="str">
        <f t="shared" si="122"/>
        <v/>
      </c>
      <c r="AO1998" s="7" t="str">
        <f t="shared" si="123"/>
        <v/>
      </c>
      <c r="AP1998" s="15" t="str">
        <f t="shared" si="124"/>
        <v/>
      </c>
    </row>
    <row r="1999" spans="38:42" ht="15" customHeight="1">
      <c r="AL1999" s="7" t="str">
        <f>IF(A1999="","",IF(COUNTIF(A1999:A$2001,A1999)=1,1,0))</f>
        <v/>
      </c>
      <c r="AM1999" s="7" t="str">
        <f t="shared" ca="1" si="121"/>
        <v/>
      </c>
      <c r="AN1999" s="7" t="str">
        <f t="shared" si="122"/>
        <v/>
      </c>
      <c r="AO1999" s="7" t="str">
        <f t="shared" si="123"/>
        <v/>
      </c>
      <c r="AP1999" s="15" t="str">
        <f t="shared" si="124"/>
        <v/>
      </c>
    </row>
    <row r="2000" spans="38:42" ht="15" customHeight="1">
      <c r="AL2000" s="7" t="str">
        <f>IF(A2000="","",IF(COUNTIF(A2000:A$2001,A2000)=1,1,0))</f>
        <v/>
      </c>
      <c r="AM2000" s="7" t="str">
        <f t="shared" ca="1" si="121"/>
        <v/>
      </c>
      <c r="AN2000" s="7" t="str">
        <f t="shared" si="122"/>
        <v/>
      </c>
      <c r="AO2000" s="7" t="str">
        <f t="shared" si="123"/>
        <v/>
      </c>
      <c r="AP2000" s="15" t="str">
        <f t="shared" si="124"/>
        <v/>
      </c>
    </row>
  </sheetData>
  <phoneticPr fontId="14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B28"/>
  <sheetViews>
    <sheetView showGridLines="0" zoomScaleNormal="100" workbookViewId="0">
      <selection activeCell="B22" sqref="B22"/>
    </sheetView>
  </sheetViews>
  <sheetFormatPr defaultColWidth="8.7109375" defaultRowHeight="15"/>
  <cols>
    <col min="1" max="1" width="2" customWidth="1"/>
    <col min="2" max="2" width="100" customWidth="1"/>
  </cols>
  <sheetData>
    <row r="1" spans="2:2" ht="6" customHeight="1"/>
    <row r="2" spans="2:2" ht="30" customHeight="1">
      <c r="B2" s="8" t="s">
        <v>139</v>
      </c>
    </row>
    <row r="3" spans="2:2" ht="18" customHeight="1">
      <c r="B3" s="9" t="s">
        <v>140</v>
      </c>
    </row>
    <row r="4" spans="2:2" ht="18" customHeight="1">
      <c r="B4" s="9" t="s">
        <v>141</v>
      </c>
    </row>
    <row r="5" spans="2:2" ht="18" customHeight="1">
      <c r="B5" s="10" t="s">
        <v>142</v>
      </c>
    </row>
    <row r="6" spans="2:2" ht="18" customHeight="1">
      <c r="B6" s="9" t="s">
        <v>143</v>
      </c>
    </row>
    <row r="7" spans="2:2" ht="18" customHeight="1">
      <c r="B7" s="9" t="s">
        <v>144</v>
      </c>
    </row>
    <row r="8" spans="2:2" ht="18" customHeight="1">
      <c r="B8" s="11" t="s">
        <v>145</v>
      </c>
    </row>
    <row r="10" spans="2:2" ht="9.75" customHeight="1"/>
    <row r="11" spans="2:2" ht="15.75" customHeight="1">
      <c r="B11" s="12" t="s">
        <v>146</v>
      </c>
    </row>
    <row r="12" spans="2:2" ht="15.75" customHeight="1">
      <c r="B12" s="13" t="s">
        <v>147</v>
      </c>
    </row>
    <row r="13" spans="2:2" ht="15.75" customHeight="1">
      <c r="B13" s="13" t="s">
        <v>148</v>
      </c>
    </row>
    <row r="14" spans="2:2" ht="15.75" customHeight="1">
      <c r="B14" s="13" t="s">
        <v>149</v>
      </c>
    </row>
    <row r="15" spans="2:2" ht="15.75" customHeight="1">
      <c r="B15" s="13" t="s">
        <v>150</v>
      </c>
    </row>
    <row r="16" spans="2:2" ht="15.75" customHeight="1">
      <c r="B16" s="13" t="s">
        <v>151</v>
      </c>
    </row>
    <row r="17" spans="2:2" ht="15.75" customHeight="1">
      <c r="B17" s="13" t="s">
        <v>152</v>
      </c>
    </row>
    <row r="18" spans="2:2" ht="15.75" customHeight="1">
      <c r="B18" s="13" t="s">
        <v>153</v>
      </c>
    </row>
    <row r="19" spans="2:2" ht="15.75" customHeight="1">
      <c r="B19" s="13" t="s">
        <v>154</v>
      </c>
    </row>
    <row r="20" spans="2:2" ht="15.75" customHeight="1">
      <c r="B20" s="13" t="s">
        <v>155</v>
      </c>
    </row>
    <row r="21" spans="2:2" ht="15.75" customHeight="1">
      <c r="B21" s="13" t="s">
        <v>156</v>
      </c>
    </row>
    <row r="22" spans="2:2" ht="15.75" customHeight="1">
      <c r="B22" s="13" t="s">
        <v>157</v>
      </c>
    </row>
    <row r="23" spans="2:2" ht="15.75" customHeight="1">
      <c r="B23" s="13" t="s">
        <v>158</v>
      </c>
    </row>
    <row r="24" spans="2:2" ht="15.75" customHeight="1">
      <c r="B24" s="13" t="s">
        <v>159</v>
      </c>
    </row>
    <row r="25" spans="2:2" ht="15.75" customHeight="1">
      <c r="B25" s="13" t="s">
        <v>160</v>
      </c>
    </row>
    <row r="26" spans="2:2" ht="15.75" customHeight="1">
      <c r="B26" s="13" t="s">
        <v>161</v>
      </c>
    </row>
    <row r="27" spans="2:2" ht="15.75" customHeight="1">
      <c r="B27" s="13" t="s">
        <v>155</v>
      </c>
    </row>
    <row r="28" spans="2:2" ht="15.75" customHeight="1">
      <c r="B28" s="13" t="s">
        <v>162</v>
      </c>
    </row>
  </sheetData>
  <phoneticPr fontId="14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ダッシュボード</vt:lpstr>
      <vt:lpstr>元データ</vt:lpstr>
      <vt:lpstr>VBAコード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総務局 ヘルプメール０７</cp:lastModifiedBy>
  <cp:revision>0</cp:revision>
  <dcterms:created xsi:type="dcterms:W3CDTF">2026-09-25T01:47:29Z</dcterms:created>
  <dcterms:modified xsi:type="dcterms:W3CDTF">2026-10-02T07:39:00Z</dcterms:modified>
  <dc:language>en-US</dc:language>
</cp:coreProperties>
</file>