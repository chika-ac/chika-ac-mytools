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obay\projects\Kaizen\処理件数\"/>
    </mc:Choice>
  </mc:AlternateContent>
  <xr:revisionPtr revIDLastSave="0" documentId="13_ncr:1_{965EA7F7-F053-44C4-939D-4954216048A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月次" sheetId="1" r:id="rId1"/>
    <sheet name="件数入力" sheetId="2" r:id="rId2"/>
    <sheet name="メンバー" sheetId="3" r:id="rId3"/>
    <sheet name="設定" sheetId="4" r:id="rId4"/>
    <sheet name="計算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8" i="5" l="1"/>
  <c r="N60" i="5" s="1"/>
  <c r="N40" i="5"/>
  <c r="N62" i="5" s="1"/>
  <c r="N41" i="5"/>
  <c r="N63" i="5" s="1"/>
  <c r="N42" i="5"/>
  <c r="N64" i="5" s="1"/>
  <c r="N43" i="5"/>
  <c r="N65" i="5" s="1"/>
  <c r="N44" i="5"/>
  <c r="N66" i="5" s="1"/>
  <c r="N45" i="5"/>
  <c r="N67" i="5" s="1"/>
  <c r="N46" i="5"/>
  <c r="N68" i="5" s="1"/>
  <c r="B74" i="5"/>
  <c r="A74" i="5"/>
  <c r="B73" i="5"/>
  <c r="A73" i="5"/>
  <c r="B72" i="5"/>
  <c r="A72" i="5"/>
  <c r="B71" i="5"/>
  <c r="A71" i="5"/>
  <c r="B70" i="5"/>
  <c r="A70" i="5"/>
  <c r="B69" i="5"/>
  <c r="A69" i="5"/>
  <c r="B68" i="5"/>
  <c r="A68" i="5"/>
  <c r="B67" i="5"/>
  <c r="A67" i="5"/>
  <c r="B66" i="5"/>
  <c r="A66" i="5"/>
  <c r="B65" i="5"/>
  <c r="A65" i="5"/>
  <c r="B64" i="5"/>
  <c r="A64" i="5"/>
  <c r="B63" i="5"/>
  <c r="A63" i="5"/>
  <c r="B62" i="5"/>
  <c r="A62" i="5"/>
  <c r="B61" i="5"/>
  <c r="A61" i="5"/>
  <c r="B60" i="5"/>
  <c r="A60" i="5"/>
  <c r="B59" i="5"/>
  <c r="A59" i="5"/>
  <c r="B58" i="5"/>
  <c r="A58" i="5"/>
  <c r="F57" i="5"/>
  <c r="B57" i="5"/>
  <c r="A57" i="5"/>
  <c r="B56" i="5"/>
  <c r="A56" i="5"/>
  <c r="H55" i="5"/>
  <c r="B55" i="5"/>
  <c r="A55" i="5"/>
  <c r="V52" i="5"/>
  <c r="V74" i="5" s="1"/>
  <c r="U52" i="5"/>
  <c r="U74" i="5" s="1"/>
  <c r="T52" i="5"/>
  <c r="T74" i="5" s="1"/>
  <c r="S52" i="5"/>
  <c r="S74" i="5" s="1"/>
  <c r="R52" i="5"/>
  <c r="R74" i="5" s="1"/>
  <c r="Q52" i="5"/>
  <c r="Q74" i="5" s="1"/>
  <c r="P52" i="5"/>
  <c r="P74" i="5" s="1"/>
  <c r="O52" i="5"/>
  <c r="O74" i="5" s="1"/>
  <c r="N52" i="5"/>
  <c r="N74" i="5" s="1"/>
  <c r="M52" i="5"/>
  <c r="M74" i="5" s="1"/>
  <c r="L52" i="5"/>
  <c r="L74" i="5" s="1"/>
  <c r="K52" i="5"/>
  <c r="K74" i="5" s="1"/>
  <c r="J52" i="5"/>
  <c r="J74" i="5" s="1"/>
  <c r="I52" i="5"/>
  <c r="I74" i="5" s="1"/>
  <c r="H52" i="5"/>
  <c r="H74" i="5" s="1"/>
  <c r="G52" i="5"/>
  <c r="G74" i="5" s="1"/>
  <c r="F52" i="5"/>
  <c r="F74" i="5" s="1"/>
  <c r="E52" i="5"/>
  <c r="E74" i="5" s="1"/>
  <c r="D52" i="5"/>
  <c r="D74" i="5" s="1"/>
  <c r="B52" i="5"/>
  <c r="A52" i="5"/>
  <c r="V51" i="5"/>
  <c r="V73" i="5" s="1"/>
  <c r="U51" i="5"/>
  <c r="U73" i="5" s="1"/>
  <c r="T51" i="5"/>
  <c r="T73" i="5" s="1"/>
  <c r="S51" i="5"/>
  <c r="S73" i="5" s="1"/>
  <c r="R51" i="5"/>
  <c r="R73" i="5" s="1"/>
  <c r="Q51" i="5"/>
  <c r="Q73" i="5" s="1"/>
  <c r="P51" i="5"/>
  <c r="P73" i="5" s="1"/>
  <c r="O51" i="5"/>
  <c r="O73" i="5" s="1"/>
  <c r="N51" i="5"/>
  <c r="N73" i="5" s="1"/>
  <c r="M51" i="5"/>
  <c r="M73" i="5" s="1"/>
  <c r="L51" i="5"/>
  <c r="L73" i="5" s="1"/>
  <c r="K51" i="5"/>
  <c r="K73" i="5" s="1"/>
  <c r="J51" i="5"/>
  <c r="J73" i="5" s="1"/>
  <c r="I51" i="5"/>
  <c r="I73" i="5" s="1"/>
  <c r="H51" i="5"/>
  <c r="H73" i="5" s="1"/>
  <c r="G51" i="5"/>
  <c r="G73" i="5" s="1"/>
  <c r="F51" i="5"/>
  <c r="F73" i="5" s="1"/>
  <c r="E51" i="5"/>
  <c r="E73" i="5" s="1"/>
  <c r="D51" i="5"/>
  <c r="D73" i="5" s="1"/>
  <c r="B51" i="5"/>
  <c r="A51" i="5"/>
  <c r="V50" i="5"/>
  <c r="V72" i="5" s="1"/>
  <c r="U50" i="5"/>
  <c r="U72" i="5" s="1"/>
  <c r="T50" i="5"/>
  <c r="T72" i="5" s="1"/>
  <c r="S50" i="5"/>
  <c r="S72" i="5" s="1"/>
  <c r="R50" i="5"/>
  <c r="R72" i="5" s="1"/>
  <c r="Q50" i="5"/>
  <c r="Q72" i="5" s="1"/>
  <c r="P50" i="5"/>
  <c r="P72" i="5" s="1"/>
  <c r="O50" i="5"/>
  <c r="O72" i="5" s="1"/>
  <c r="N50" i="5"/>
  <c r="N72" i="5" s="1"/>
  <c r="M50" i="5"/>
  <c r="M72" i="5" s="1"/>
  <c r="L50" i="5"/>
  <c r="L72" i="5" s="1"/>
  <c r="K50" i="5"/>
  <c r="K72" i="5" s="1"/>
  <c r="J50" i="5"/>
  <c r="J72" i="5" s="1"/>
  <c r="I50" i="5"/>
  <c r="I72" i="5" s="1"/>
  <c r="H50" i="5"/>
  <c r="H72" i="5" s="1"/>
  <c r="G50" i="5"/>
  <c r="G72" i="5" s="1"/>
  <c r="F50" i="5"/>
  <c r="F72" i="5" s="1"/>
  <c r="E50" i="5"/>
  <c r="E72" i="5" s="1"/>
  <c r="D50" i="5"/>
  <c r="D72" i="5" s="1"/>
  <c r="B50" i="5"/>
  <c r="A50" i="5"/>
  <c r="V49" i="5"/>
  <c r="V71" i="5" s="1"/>
  <c r="U49" i="5"/>
  <c r="U71" i="5" s="1"/>
  <c r="T49" i="5"/>
  <c r="T71" i="5" s="1"/>
  <c r="S49" i="5"/>
  <c r="S71" i="5" s="1"/>
  <c r="R49" i="5"/>
  <c r="R71" i="5" s="1"/>
  <c r="Q49" i="5"/>
  <c r="Q71" i="5" s="1"/>
  <c r="P49" i="5"/>
  <c r="P71" i="5" s="1"/>
  <c r="O49" i="5"/>
  <c r="O71" i="5" s="1"/>
  <c r="N49" i="5"/>
  <c r="N71" i="5" s="1"/>
  <c r="M49" i="5"/>
  <c r="M71" i="5" s="1"/>
  <c r="L49" i="5"/>
  <c r="L71" i="5" s="1"/>
  <c r="K49" i="5"/>
  <c r="K71" i="5" s="1"/>
  <c r="J49" i="5"/>
  <c r="J71" i="5" s="1"/>
  <c r="I49" i="5"/>
  <c r="I71" i="5" s="1"/>
  <c r="H49" i="5"/>
  <c r="H71" i="5" s="1"/>
  <c r="G49" i="5"/>
  <c r="G71" i="5" s="1"/>
  <c r="F49" i="5"/>
  <c r="F71" i="5" s="1"/>
  <c r="E49" i="5"/>
  <c r="E71" i="5" s="1"/>
  <c r="D49" i="5"/>
  <c r="D71" i="5" s="1"/>
  <c r="B49" i="5"/>
  <c r="A49" i="5"/>
  <c r="V48" i="5"/>
  <c r="V70" i="5" s="1"/>
  <c r="U48" i="5"/>
  <c r="U70" i="5" s="1"/>
  <c r="T48" i="5"/>
  <c r="T70" i="5" s="1"/>
  <c r="S48" i="5"/>
  <c r="S70" i="5" s="1"/>
  <c r="R48" i="5"/>
  <c r="R70" i="5" s="1"/>
  <c r="Q48" i="5"/>
  <c r="Q70" i="5" s="1"/>
  <c r="P48" i="5"/>
  <c r="P70" i="5" s="1"/>
  <c r="O48" i="5"/>
  <c r="O70" i="5" s="1"/>
  <c r="N48" i="5"/>
  <c r="N70" i="5" s="1"/>
  <c r="M48" i="5"/>
  <c r="M70" i="5" s="1"/>
  <c r="L48" i="5"/>
  <c r="L70" i="5" s="1"/>
  <c r="K48" i="5"/>
  <c r="K70" i="5" s="1"/>
  <c r="J48" i="5"/>
  <c r="J70" i="5" s="1"/>
  <c r="I48" i="5"/>
  <c r="I70" i="5" s="1"/>
  <c r="H48" i="5"/>
  <c r="H70" i="5" s="1"/>
  <c r="G48" i="5"/>
  <c r="G70" i="5" s="1"/>
  <c r="F48" i="5"/>
  <c r="F70" i="5" s="1"/>
  <c r="E48" i="5"/>
  <c r="E70" i="5" s="1"/>
  <c r="D48" i="5"/>
  <c r="D70" i="5" s="1"/>
  <c r="B48" i="5"/>
  <c r="A48" i="5"/>
  <c r="V47" i="5"/>
  <c r="V69" i="5" s="1"/>
  <c r="U47" i="5"/>
  <c r="U69" i="5" s="1"/>
  <c r="T47" i="5"/>
  <c r="T69" i="5" s="1"/>
  <c r="S47" i="5"/>
  <c r="S69" i="5" s="1"/>
  <c r="R47" i="5"/>
  <c r="R69" i="5" s="1"/>
  <c r="Q47" i="5"/>
  <c r="Q69" i="5" s="1"/>
  <c r="P47" i="5"/>
  <c r="P69" i="5" s="1"/>
  <c r="O47" i="5"/>
  <c r="O69" i="5" s="1"/>
  <c r="N47" i="5"/>
  <c r="N69" i="5" s="1"/>
  <c r="M47" i="5"/>
  <c r="M69" i="5" s="1"/>
  <c r="L47" i="5"/>
  <c r="L69" i="5" s="1"/>
  <c r="K47" i="5"/>
  <c r="K69" i="5" s="1"/>
  <c r="J47" i="5"/>
  <c r="J69" i="5" s="1"/>
  <c r="I47" i="5"/>
  <c r="I69" i="5" s="1"/>
  <c r="H47" i="5"/>
  <c r="H69" i="5" s="1"/>
  <c r="G47" i="5"/>
  <c r="G69" i="5" s="1"/>
  <c r="F47" i="5"/>
  <c r="F69" i="5" s="1"/>
  <c r="E47" i="5"/>
  <c r="E69" i="5" s="1"/>
  <c r="D47" i="5"/>
  <c r="D69" i="5" s="1"/>
  <c r="B47" i="5"/>
  <c r="A47" i="5"/>
  <c r="V46" i="5"/>
  <c r="V68" i="5" s="1"/>
  <c r="U46" i="5"/>
  <c r="U68" i="5" s="1"/>
  <c r="T46" i="5"/>
  <c r="T68" i="5" s="1"/>
  <c r="S46" i="5"/>
  <c r="S68" i="5" s="1"/>
  <c r="R46" i="5"/>
  <c r="R68" i="5" s="1"/>
  <c r="Q46" i="5"/>
  <c r="Q68" i="5" s="1"/>
  <c r="P46" i="5"/>
  <c r="P68" i="5" s="1"/>
  <c r="O46" i="5"/>
  <c r="O68" i="5" s="1"/>
  <c r="M46" i="5"/>
  <c r="M68" i="5" s="1"/>
  <c r="L46" i="5"/>
  <c r="L68" i="5" s="1"/>
  <c r="K46" i="5"/>
  <c r="K68" i="5" s="1"/>
  <c r="J46" i="5"/>
  <c r="J68" i="5" s="1"/>
  <c r="I46" i="5"/>
  <c r="I68" i="5" s="1"/>
  <c r="H46" i="5"/>
  <c r="H68" i="5" s="1"/>
  <c r="G46" i="5"/>
  <c r="G68" i="5" s="1"/>
  <c r="F46" i="5"/>
  <c r="F68" i="5" s="1"/>
  <c r="E46" i="5"/>
  <c r="E68" i="5" s="1"/>
  <c r="D46" i="5"/>
  <c r="D68" i="5" s="1"/>
  <c r="B46" i="5"/>
  <c r="A46" i="5"/>
  <c r="V45" i="5"/>
  <c r="V67" i="5" s="1"/>
  <c r="U45" i="5"/>
  <c r="U67" i="5" s="1"/>
  <c r="T45" i="5"/>
  <c r="T67" i="5" s="1"/>
  <c r="S45" i="5"/>
  <c r="S67" i="5" s="1"/>
  <c r="R45" i="5"/>
  <c r="R67" i="5" s="1"/>
  <c r="Q45" i="5"/>
  <c r="Q67" i="5" s="1"/>
  <c r="P45" i="5"/>
  <c r="P67" i="5" s="1"/>
  <c r="O45" i="5"/>
  <c r="O67" i="5" s="1"/>
  <c r="M45" i="5"/>
  <c r="M67" i="5" s="1"/>
  <c r="L45" i="5"/>
  <c r="L67" i="5" s="1"/>
  <c r="K45" i="5"/>
  <c r="K67" i="5" s="1"/>
  <c r="J45" i="5"/>
  <c r="J67" i="5" s="1"/>
  <c r="I45" i="5"/>
  <c r="I67" i="5" s="1"/>
  <c r="H45" i="5"/>
  <c r="H67" i="5" s="1"/>
  <c r="G45" i="5"/>
  <c r="G67" i="5" s="1"/>
  <c r="F45" i="5"/>
  <c r="F67" i="5" s="1"/>
  <c r="E45" i="5"/>
  <c r="E67" i="5" s="1"/>
  <c r="D45" i="5"/>
  <c r="D67" i="5" s="1"/>
  <c r="B45" i="5"/>
  <c r="A45" i="5"/>
  <c r="V44" i="5"/>
  <c r="V66" i="5" s="1"/>
  <c r="U44" i="5"/>
  <c r="U66" i="5" s="1"/>
  <c r="T44" i="5"/>
  <c r="T66" i="5" s="1"/>
  <c r="S44" i="5"/>
  <c r="S66" i="5" s="1"/>
  <c r="R44" i="5"/>
  <c r="R66" i="5" s="1"/>
  <c r="Q44" i="5"/>
  <c r="Q66" i="5" s="1"/>
  <c r="P44" i="5"/>
  <c r="P66" i="5" s="1"/>
  <c r="O44" i="5"/>
  <c r="O66" i="5" s="1"/>
  <c r="M44" i="5"/>
  <c r="M66" i="5" s="1"/>
  <c r="L44" i="5"/>
  <c r="L66" i="5" s="1"/>
  <c r="K44" i="5"/>
  <c r="K66" i="5" s="1"/>
  <c r="J44" i="5"/>
  <c r="J66" i="5" s="1"/>
  <c r="I44" i="5"/>
  <c r="I66" i="5" s="1"/>
  <c r="H44" i="5"/>
  <c r="H66" i="5" s="1"/>
  <c r="G44" i="5"/>
  <c r="G66" i="5" s="1"/>
  <c r="F44" i="5"/>
  <c r="F66" i="5" s="1"/>
  <c r="E44" i="5"/>
  <c r="E66" i="5" s="1"/>
  <c r="D44" i="5"/>
  <c r="D66" i="5" s="1"/>
  <c r="B44" i="5"/>
  <c r="A44" i="5"/>
  <c r="V43" i="5"/>
  <c r="V65" i="5" s="1"/>
  <c r="U43" i="5"/>
  <c r="U65" i="5" s="1"/>
  <c r="T43" i="5"/>
  <c r="T65" i="5" s="1"/>
  <c r="S43" i="5"/>
  <c r="S65" i="5" s="1"/>
  <c r="R43" i="5"/>
  <c r="R65" i="5" s="1"/>
  <c r="Q43" i="5"/>
  <c r="Q65" i="5" s="1"/>
  <c r="P43" i="5"/>
  <c r="P65" i="5" s="1"/>
  <c r="O43" i="5"/>
  <c r="O65" i="5" s="1"/>
  <c r="M43" i="5"/>
  <c r="M65" i="5" s="1"/>
  <c r="L43" i="5"/>
  <c r="L65" i="5" s="1"/>
  <c r="K43" i="5"/>
  <c r="K65" i="5" s="1"/>
  <c r="J43" i="5"/>
  <c r="J65" i="5" s="1"/>
  <c r="I43" i="5"/>
  <c r="I65" i="5" s="1"/>
  <c r="H43" i="5"/>
  <c r="H65" i="5" s="1"/>
  <c r="G43" i="5"/>
  <c r="G65" i="5" s="1"/>
  <c r="F43" i="5"/>
  <c r="F65" i="5" s="1"/>
  <c r="E43" i="5"/>
  <c r="E65" i="5" s="1"/>
  <c r="D43" i="5"/>
  <c r="D65" i="5" s="1"/>
  <c r="B43" i="5"/>
  <c r="A43" i="5"/>
  <c r="V42" i="5"/>
  <c r="V64" i="5" s="1"/>
  <c r="U42" i="5"/>
  <c r="U64" i="5" s="1"/>
  <c r="T42" i="5"/>
  <c r="T64" i="5" s="1"/>
  <c r="S42" i="5"/>
  <c r="S64" i="5" s="1"/>
  <c r="R42" i="5"/>
  <c r="R64" i="5" s="1"/>
  <c r="Q42" i="5"/>
  <c r="Q64" i="5" s="1"/>
  <c r="P42" i="5"/>
  <c r="P64" i="5" s="1"/>
  <c r="O42" i="5"/>
  <c r="O64" i="5" s="1"/>
  <c r="M42" i="5"/>
  <c r="M64" i="5" s="1"/>
  <c r="L42" i="5"/>
  <c r="L64" i="5" s="1"/>
  <c r="K42" i="5"/>
  <c r="K64" i="5" s="1"/>
  <c r="J42" i="5"/>
  <c r="J64" i="5" s="1"/>
  <c r="I42" i="5"/>
  <c r="I64" i="5" s="1"/>
  <c r="H42" i="5"/>
  <c r="H64" i="5" s="1"/>
  <c r="G42" i="5"/>
  <c r="G64" i="5" s="1"/>
  <c r="F42" i="5"/>
  <c r="F64" i="5" s="1"/>
  <c r="E42" i="5"/>
  <c r="E64" i="5" s="1"/>
  <c r="D42" i="5"/>
  <c r="D64" i="5" s="1"/>
  <c r="B42" i="5"/>
  <c r="A42" i="5"/>
  <c r="V41" i="5"/>
  <c r="V63" i="5" s="1"/>
  <c r="U41" i="5"/>
  <c r="U63" i="5" s="1"/>
  <c r="T41" i="5"/>
  <c r="T63" i="5" s="1"/>
  <c r="S41" i="5"/>
  <c r="S63" i="5" s="1"/>
  <c r="R41" i="5"/>
  <c r="R63" i="5" s="1"/>
  <c r="Q41" i="5"/>
  <c r="Q63" i="5" s="1"/>
  <c r="P41" i="5"/>
  <c r="P63" i="5" s="1"/>
  <c r="O41" i="5"/>
  <c r="O63" i="5" s="1"/>
  <c r="M41" i="5"/>
  <c r="M63" i="5" s="1"/>
  <c r="L41" i="5"/>
  <c r="L63" i="5" s="1"/>
  <c r="K41" i="5"/>
  <c r="K63" i="5" s="1"/>
  <c r="J41" i="5"/>
  <c r="J63" i="5" s="1"/>
  <c r="I41" i="5"/>
  <c r="I63" i="5" s="1"/>
  <c r="H41" i="5"/>
  <c r="H63" i="5" s="1"/>
  <c r="G41" i="5"/>
  <c r="G63" i="5" s="1"/>
  <c r="F41" i="5"/>
  <c r="F63" i="5" s="1"/>
  <c r="E41" i="5"/>
  <c r="E63" i="5" s="1"/>
  <c r="D41" i="5"/>
  <c r="D63" i="5" s="1"/>
  <c r="B41" i="5"/>
  <c r="A41" i="5"/>
  <c r="V40" i="5"/>
  <c r="V62" i="5" s="1"/>
  <c r="U40" i="5"/>
  <c r="U62" i="5" s="1"/>
  <c r="T40" i="5"/>
  <c r="T62" i="5" s="1"/>
  <c r="S40" i="5"/>
  <c r="S62" i="5" s="1"/>
  <c r="R40" i="5"/>
  <c r="R62" i="5" s="1"/>
  <c r="Q40" i="5"/>
  <c r="Q62" i="5" s="1"/>
  <c r="P40" i="5"/>
  <c r="P62" i="5" s="1"/>
  <c r="O40" i="5"/>
  <c r="O62" i="5" s="1"/>
  <c r="M40" i="5"/>
  <c r="M62" i="5" s="1"/>
  <c r="L40" i="5"/>
  <c r="L62" i="5" s="1"/>
  <c r="K40" i="5"/>
  <c r="K62" i="5" s="1"/>
  <c r="J40" i="5"/>
  <c r="J62" i="5" s="1"/>
  <c r="I40" i="5"/>
  <c r="I62" i="5" s="1"/>
  <c r="H40" i="5"/>
  <c r="H62" i="5" s="1"/>
  <c r="G40" i="5"/>
  <c r="G62" i="5" s="1"/>
  <c r="F40" i="5"/>
  <c r="F62" i="5" s="1"/>
  <c r="E40" i="5"/>
  <c r="E62" i="5" s="1"/>
  <c r="D40" i="5"/>
  <c r="D62" i="5" s="1"/>
  <c r="B40" i="5"/>
  <c r="A40" i="5"/>
  <c r="V39" i="5"/>
  <c r="V61" i="5" s="1"/>
  <c r="U39" i="5"/>
  <c r="U61" i="5" s="1"/>
  <c r="T39" i="5"/>
  <c r="T61" i="5" s="1"/>
  <c r="S39" i="5"/>
  <c r="S61" i="5" s="1"/>
  <c r="R39" i="5"/>
  <c r="R61" i="5" s="1"/>
  <c r="Q39" i="5"/>
  <c r="Q61" i="5" s="1"/>
  <c r="P39" i="5"/>
  <c r="P61" i="5" s="1"/>
  <c r="O39" i="5"/>
  <c r="O61" i="5" s="1"/>
  <c r="N39" i="5"/>
  <c r="N61" i="5" s="1"/>
  <c r="M39" i="5"/>
  <c r="M61" i="5" s="1"/>
  <c r="L39" i="5"/>
  <c r="L61" i="5" s="1"/>
  <c r="K39" i="5"/>
  <c r="K61" i="5" s="1"/>
  <c r="J39" i="5"/>
  <c r="J61" i="5" s="1"/>
  <c r="I39" i="5"/>
  <c r="I61" i="5" s="1"/>
  <c r="H39" i="5"/>
  <c r="H61" i="5" s="1"/>
  <c r="G39" i="5"/>
  <c r="G61" i="5" s="1"/>
  <c r="F39" i="5"/>
  <c r="F61" i="5" s="1"/>
  <c r="E39" i="5"/>
  <c r="E61" i="5" s="1"/>
  <c r="D39" i="5"/>
  <c r="D61" i="5" s="1"/>
  <c r="B39" i="5"/>
  <c r="A39" i="5"/>
  <c r="V38" i="5"/>
  <c r="V60" i="5" s="1"/>
  <c r="U38" i="5"/>
  <c r="U60" i="5" s="1"/>
  <c r="T38" i="5"/>
  <c r="T60" i="5" s="1"/>
  <c r="S38" i="5"/>
  <c r="S60" i="5" s="1"/>
  <c r="R38" i="5"/>
  <c r="R60" i="5" s="1"/>
  <c r="Q38" i="5"/>
  <c r="Q60" i="5" s="1"/>
  <c r="P38" i="5"/>
  <c r="P60" i="5" s="1"/>
  <c r="O38" i="5"/>
  <c r="O60" i="5" s="1"/>
  <c r="M38" i="5"/>
  <c r="M60" i="5" s="1"/>
  <c r="L38" i="5"/>
  <c r="L60" i="5" s="1"/>
  <c r="K38" i="5"/>
  <c r="K60" i="5" s="1"/>
  <c r="J38" i="5"/>
  <c r="J60" i="5" s="1"/>
  <c r="I38" i="5"/>
  <c r="I60" i="5" s="1"/>
  <c r="H38" i="5"/>
  <c r="H60" i="5" s="1"/>
  <c r="G38" i="5"/>
  <c r="G60" i="5" s="1"/>
  <c r="F38" i="5"/>
  <c r="F60" i="5" s="1"/>
  <c r="E38" i="5"/>
  <c r="E60" i="5" s="1"/>
  <c r="D38" i="5"/>
  <c r="D60" i="5" s="1"/>
  <c r="B38" i="5"/>
  <c r="A38" i="5"/>
  <c r="V37" i="5"/>
  <c r="V59" i="5" s="1"/>
  <c r="U37" i="5"/>
  <c r="U59" i="5" s="1"/>
  <c r="T37" i="5"/>
  <c r="T59" i="5" s="1"/>
  <c r="S37" i="5"/>
  <c r="S59" i="5" s="1"/>
  <c r="R37" i="5"/>
  <c r="R59" i="5" s="1"/>
  <c r="Q37" i="5"/>
  <c r="Q59" i="5" s="1"/>
  <c r="P37" i="5"/>
  <c r="P59" i="5" s="1"/>
  <c r="O37" i="5"/>
  <c r="O59" i="5" s="1"/>
  <c r="N37" i="5"/>
  <c r="N59" i="5" s="1"/>
  <c r="M37" i="5"/>
  <c r="M59" i="5" s="1"/>
  <c r="L37" i="5"/>
  <c r="L59" i="5" s="1"/>
  <c r="K37" i="5"/>
  <c r="K59" i="5" s="1"/>
  <c r="J37" i="5"/>
  <c r="J59" i="5" s="1"/>
  <c r="I37" i="5"/>
  <c r="I59" i="5" s="1"/>
  <c r="H37" i="5"/>
  <c r="H59" i="5" s="1"/>
  <c r="G37" i="5"/>
  <c r="G59" i="5" s="1"/>
  <c r="F37" i="5"/>
  <c r="F59" i="5" s="1"/>
  <c r="E37" i="5"/>
  <c r="E59" i="5" s="1"/>
  <c r="D37" i="5"/>
  <c r="D59" i="5" s="1"/>
  <c r="B37" i="5"/>
  <c r="A37" i="5"/>
  <c r="V36" i="5"/>
  <c r="V58" i="5" s="1"/>
  <c r="U36" i="5"/>
  <c r="U58" i="5" s="1"/>
  <c r="T36" i="5"/>
  <c r="T58" i="5" s="1"/>
  <c r="S36" i="5"/>
  <c r="S58" i="5" s="1"/>
  <c r="R36" i="5"/>
  <c r="R58" i="5" s="1"/>
  <c r="Q36" i="5"/>
  <c r="Q58" i="5" s="1"/>
  <c r="P36" i="5"/>
  <c r="P58" i="5" s="1"/>
  <c r="O36" i="5"/>
  <c r="O58" i="5" s="1"/>
  <c r="N36" i="5"/>
  <c r="N58" i="5" s="1"/>
  <c r="M36" i="5"/>
  <c r="M58" i="5" s="1"/>
  <c r="L36" i="5"/>
  <c r="L58" i="5" s="1"/>
  <c r="K36" i="5"/>
  <c r="K58" i="5" s="1"/>
  <c r="J36" i="5"/>
  <c r="J58" i="5" s="1"/>
  <c r="I36" i="5"/>
  <c r="I58" i="5" s="1"/>
  <c r="H36" i="5"/>
  <c r="H58" i="5" s="1"/>
  <c r="G36" i="5"/>
  <c r="G58" i="5" s="1"/>
  <c r="F36" i="5"/>
  <c r="F58" i="5" s="1"/>
  <c r="E36" i="5"/>
  <c r="E58" i="5" s="1"/>
  <c r="D36" i="5"/>
  <c r="D58" i="5" s="1"/>
  <c r="B36" i="5"/>
  <c r="A36" i="5"/>
  <c r="V35" i="5"/>
  <c r="V57" i="5" s="1"/>
  <c r="U35" i="5"/>
  <c r="U57" i="5" s="1"/>
  <c r="T35" i="5"/>
  <c r="T57" i="5" s="1"/>
  <c r="S35" i="5"/>
  <c r="S57" i="5" s="1"/>
  <c r="R35" i="5"/>
  <c r="R57" i="5" s="1"/>
  <c r="Q35" i="5"/>
  <c r="Q57" i="5" s="1"/>
  <c r="P35" i="5"/>
  <c r="P57" i="5" s="1"/>
  <c r="O35" i="5"/>
  <c r="O57" i="5" s="1"/>
  <c r="N35" i="5"/>
  <c r="N57" i="5" s="1"/>
  <c r="M35" i="5"/>
  <c r="M57" i="5" s="1"/>
  <c r="L35" i="5"/>
  <c r="L57" i="5" s="1"/>
  <c r="K35" i="5"/>
  <c r="K57" i="5" s="1"/>
  <c r="J35" i="5"/>
  <c r="J57" i="5" s="1"/>
  <c r="I35" i="5"/>
  <c r="I57" i="5" s="1"/>
  <c r="H35" i="5"/>
  <c r="H57" i="5" s="1"/>
  <c r="G35" i="5"/>
  <c r="G57" i="5" s="1"/>
  <c r="F35" i="5"/>
  <c r="E35" i="5"/>
  <c r="E57" i="5" s="1"/>
  <c r="D35" i="5"/>
  <c r="D57" i="5" s="1"/>
  <c r="B35" i="5"/>
  <c r="A35" i="5"/>
  <c r="V34" i="5"/>
  <c r="V56" i="5" s="1"/>
  <c r="U34" i="5"/>
  <c r="U56" i="5" s="1"/>
  <c r="T34" i="5"/>
  <c r="T56" i="5" s="1"/>
  <c r="S34" i="5"/>
  <c r="S56" i="5" s="1"/>
  <c r="R34" i="5"/>
  <c r="R56" i="5" s="1"/>
  <c r="Q34" i="5"/>
  <c r="Q56" i="5" s="1"/>
  <c r="P34" i="5"/>
  <c r="P56" i="5" s="1"/>
  <c r="O34" i="5"/>
  <c r="O56" i="5" s="1"/>
  <c r="N34" i="5"/>
  <c r="N56" i="5" s="1"/>
  <c r="M34" i="5"/>
  <c r="M56" i="5" s="1"/>
  <c r="L34" i="5"/>
  <c r="L56" i="5" s="1"/>
  <c r="K34" i="5"/>
  <c r="K56" i="5" s="1"/>
  <c r="J34" i="5"/>
  <c r="J56" i="5" s="1"/>
  <c r="I34" i="5"/>
  <c r="I56" i="5" s="1"/>
  <c r="H34" i="5"/>
  <c r="H56" i="5" s="1"/>
  <c r="G34" i="5"/>
  <c r="G56" i="5" s="1"/>
  <c r="F34" i="5"/>
  <c r="F56" i="5" s="1"/>
  <c r="E34" i="5"/>
  <c r="E56" i="5" s="1"/>
  <c r="D34" i="5"/>
  <c r="D56" i="5" s="1"/>
  <c r="B34" i="5"/>
  <c r="A34" i="5"/>
  <c r="V33" i="5"/>
  <c r="V55" i="5" s="1"/>
  <c r="U33" i="5"/>
  <c r="U55" i="5" s="1"/>
  <c r="T33" i="5"/>
  <c r="T55" i="5" s="1"/>
  <c r="S33" i="5"/>
  <c r="S55" i="5" s="1"/>
  <c r="R33" i="5"/>
  <c r="R55" i="5" s="1"/>
  <c r="Q33" i="5"/>
  <c r="Q55" i="5" s="1"/>
  <c r="P33" i="5"/>
  <c r="P55" i="5" s="1"/>
  <c r="O33" i="5"/>
  <c r="O55" i="5" s="1"/>
  <c r="N33" i="5"/>
  <c r="N55" i="5" s="1"/>
  <c r="M33" i="5"/>
  <c r="M55" i="5" s="1"/>
  <c r="L33" i="5"/>
  <c r="L55" i="5" s="1"/>
  <c r="K33" i="5"/>
  <c r="K55" i="5" s="1"/>
  <c r="J33" i="5"/>
  <c r="J55" i="5" s="1"/>
  <c r="I33" i="5"/>
  <c r="I55" i="5" s="1"/>
  <c r="H33" i="5"/>
  <c r="G33" i="5"/>
  <c r="G55" i="5" s="1"/>
  <c r="F33" i="5"/>
  <c r="F55" i="5" s="1"/>
  <c r="E33" i="5"/>
  <c r="E55" i="5" s="1"/>
  <c r="D33" i="5"/>
  <c r="D55" i="5" s="1"/>
  <c r="B33" i="5"/>
  <c r="A33" i="5"/>
  <c r="B30" i="5"/>
  <c r="A30" i="5"/>
  <c r="B29" i="5"/>
  <c r="A29" i="5"/>
  <c r="B28" i="5"/>
  <c r="A28" i="5"/>
  <c r="B27" i="5"/>
  <c r="A27" i="5"/>
  <c r="B26" i="5"/>
  <c r="A26" i="5"/>
  <c r="B25" i="5"/>
  <c r="A25" i="5"/>
  <c r="B24" i="5"/>
  <c r="A24" i="5"/>
  <c r="B23" i="5"/>
  <c r="A23" i="5"/>
  <c r="B22" i="5"/>
  <c r="A22" i="5"/>
  <c r="B21" i="5"/>
  <c r="A21" i="5"/>
  <c r="B20" i="5"/>
  <c r="A20" i="5"/>
  <c r="B19" i="5"/>
  <c r="A19" i="5"/>
  <c r="B18" i="5"/>
  <c r="A18" i="5"/>
  <c r="B17" i="5"/>
  <c r="A17" i="5"/>
  <c r="B16" i="5"/>
  <c r="A16" i="5"/>
  <c r="B15" i="5"/>
  <c r="A15" i="5"/>
  <c r="B14" i="5"/>
  <c r="A14" i="5"/>
  <c r="B13" i="5"/>
  <c r="A13" i="5"/>
  <c r="B12" i="5"/>
  <c r="A12" i="5"/>
  <c r="B11" i="5"/>
  <c r="A11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B7" i="4"/>
  <c r="B121" i="3"/>
  <c r="A121" i="3"/>
  <c r="B120" i="3"/>
  <c r="A120" i="3"/>
  <c r="B119" i="3"/>
  <c r="A119" i="3"/>
  <c r="B118" i="3"/>
  <c r="A118" i="3"/>
  <c r="B117" i="3"/>
  <c r="A117" i="3"/>
  <c r="B116" i="3"/>
  <c r="A116" i="3"/>
  <c r="B115" i="3"/>
  <c r="A115" i="3"/>
  <c r="B114" i="3"/>
  <c r="A114" i="3"/>
  <c r="B113" i="3"/>
  <c r="A113" i="3"/>
  <c r="B112" i="3"/>
  <c r="A112" i="3"/>
  <c r="B111" i="3"/>
  <c r="A111" i="3"/>
  <c r="B110" i="3"/>
  <c r="A110" i="3"/>
  <c r="B109" i="3"/>
  <c r="A109" i="3"/>
  <c r="B108" i="3"/>
  <c r="A108" i="3"/>
  <c r="B107" i="3"/>
  <c r="A107" i="3"/>
  <c r="B106" i="3"/>
  <c r="A106" i="3"/>
  <c r="B105" i="3"/>
  <c r="A105" i="3"/>
  <c r="B104" i="3"/>
  <c r="A104" i="3"/>
  <c r="B103" i="3"/>
  <c r="A103" i="3"/>
  <c r="B102" i="3"/>
  <c r="A102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I101" i="3"/>
  <c r="H101" i="3"/>
  <c r="G101" i="3"/>
  <c r="F101" i="3"/>
  <c r="E101" i="3"/>
  <c r="D101" i="3"/>
  <c r="B94" i="3"/>
  <c r="A94" i="3"/>
  <c r="B93" i="3"/>
  <c r="A93" i="3"/>
  <c r="B92" i="3"/>
  <c r="A92" i="3"/>
  <c r="B91" i="3"/>
  <c r="A91" i="3"/>
  <c r="B90" i="3"/>
  <c r="A90" i="3"/>
  <c r="B89" i="3"/>
  <c r="A89" i="3"/>
  <c r="B88" i="3"/>
  <c r="A88" i="3"/>
  <c r="B87" i="3"/>
  <c r="A87" i="3"/>
  <c r="B86" i="3"/>
  <c r="A86" i="3"/>
  <c r="B85" i="3"/>
  <c r="A85" i="3"/>
  <c r="B84" i="3"/>
  <c r="A84" i="3"/>
  <c r="B83" i="3"/>
  <c r="A83" i="3"/>
  <c r="B82" i="3"/>
  <c r="A82" i="3"/>
  <c r="B81" i="3"/>
  <c r="A81" i="3"/>
  <c r="B80" i="3"/>
  <c r="A80" i="3"/>
  <c r="B79" i="3"/>
  <c r="A79" i="3"/>
  <c r="B78" i="3"/>
  <c r="A78" i="3"/>
  <c r="B77" i="3"/>
  <c r="A77" i="3"/>
  <c r="B76" i="3"/>
  <c r="A76" i="3"/>
  <c r="B75" i="3"/>
  <c r="A75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B71" i="3"/>
  <c r="A71" i="3"/>
  <c r="B70" i="3"/>
  <c r="A70" i="3"/>
  <c r="B69" i="3"/>
  <c r="A69" i="3"/>
  <c r="B68" i="3"/>
  <c r="A68" i="3"/>
  <c r="B67" i="3"/>
  <c r="A67" i="3"/>
  <c r="B66" i="3"/>
  <c r="A66" i="3"/>
  <c r="B65" i="3"/>
  <c r="A65" i="3"/>
  <c r="B64" i="3"/>
  <c r="A64" i="3"/>
  <c r="B63" i="3"/>
  <c r="A63" i="3"/>
  <c r="B62" i="3"/>
  <c r="A62" i="3"/>
  <c r="B61" i="3"/>
  <c r="A61" i="3"/>
  <c r="B60" i="3"/>
  <c r="A60" i="3"/>
  <c r="B59" i="3"/>
  <c r="A59" i="3"/>
  <c r="B58" i="3"/>
  <c r="A58" i="3"/>
  <c r="B57" i="3"/>
  <c r="A57" i="3"/>
  <c r="B56" i="3"/>
  <c r="A56" i="3"/>
  <c r="B55" i="3"/>
  <c r="A55" i="3"/>
  <c r="B54" i="3"/>
  <c r="A54" i="3"/>
  <c r="B53" i="3"/>
  <c r="A53" i="3"/>
  <c r="B52" i="3"/>
  <c r="A52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B48" i="3"/>
  <c r="A48" i="3"/>
  <c r="B47" i="3"/>
  <c r="A47" i="3"/>
  <c r="B46" i="3"/>
  <c r="A46" i="3"/>
  <c r="B45" i="3"/>
  <c r="A45" i="3"/>
  <c r="B44" i="3"/>
  <c r="A44" i="3"/>
  <c r="B43" i="3"/>
  <c r="A43" i="3"/>
  <c r="B42" i="3"/>
  <c r="A42" i="3"/>
  <c r="B41" i="3"/>
  <c r="A41" i="3"/>
  <c r="B40" i="3"/>
  <c r="A40" i="3"/>
  <c r="B39" i="3"/>
  <c r="A39" i="3"/>
  <c r="B38" i="3"/>
  <c r="A38" i="3"/>
  <c r="B37" i="3"/>
  <c r="A37" i="3"/>
  <c r="B36" i="3"/>
  <c r="A36" i="3"/>
  <c r="B35" i="3"/>
  <c r="A35" i="3"/>
  <c r="B34" i="3"/>
  <c r="A34" i="3"/>
  <c r="B33" i="3"/>
  <c r="A33" i="3"/>
  <c r="B32" i="3"/>
  <c r="A32" i="3"/>
  <c r="B31" i="3"/>
  <c r="A31" i="3"/>
  <c r="B30" i="3"/>
  <c r="A30" i="3"/>
  <c r="B29" i="3"/>
  <c r="A29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D34" i="1"/>
  <c r="D36" i="1" s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D29" i="1"/>
  <c r="D31" i="1" s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D24" i="1"/>
  <c r="D26" i="1" s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D19" i="1"/>
  <c r="D21" i="1" s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D14" i="1"/>
  <c r="D16" i="1" s="1"/>
  <c r="V12" i="1"/>
  <c r="V42" i="1" s="1"/>
  <c r="U12" i="1"/>
  <c r="U42" i="1" s="1"/>
  <c r="T12" i="1"/>
  <c r="T42" i="1" s="1"/>
  <c r="S12" i="1"/>
  <c r="S42" i="1" s="1"/>
  <c r="R12" i="1"/>
  <c r="R42" i="1" s="1"/>
  <c r="Q12" i="1"/>
  <c r="Q42" i="1" s="1"/>
  <c r="P12" i="1"/>
  <c r="P42" i="1" s="1"/>
  <c r="O12" i="1"/>
  <c r="O42" i="1" s="1"/>
  <c r="N12" i="1"/>
  <c r="N42" i="1" s="1"/>
  <c r="M12" i="1"/>
  <c r="M42" i="1" s="1"/>
  <c r="L12" i="1"/>
  <c r="L42" i="1" s="1"/>
  <c r="K12" i="1"/>
  <c r="K42" i="1" s="1"/>
  <c r="J12" i="1"/>
  <c r="J42" i="1" s="1"/>
  <c r="I12" i="1"/>
  <c r="I42" i="1" s="1"/>
  <c r="H12" i="1"/>
  <c r="H42" i="1" s="1"/>
  <c r="G12" i="1"/>
  <c r="G42" i="1" s="1"/>
  <c r="F12" i="1"/>
  <c r="F42" i="1" s="1"/>
  <c r="E12" i="1"/>
  <c r="E42" i="1" s="1"/>
  <c r="D12" i="1"/>
  <c r="D42" i="1" s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D9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F51" i="1" l="1"/>
  <c r="D51" i="1"/>
  <c r="U50" i="1"/>
  <c r="T50" i="1"/>
  <c r="Q50" i="1"/>
  <c r="P50" i="1"/>
  <c r="M50" i="1"/>
  <c r="K50" i="1"/>
  <c r="I50" i="1"/>
  <c r="G50" i="1"/>
  <c r="E50" i="1"/>
  <c r="V49" i="1"/>
  <c r="S49" i="1"/>
  <c r="R49" i="1"/>
  <c r="O49" i="1"/>
  <c r="M49" i="1"/>
  <c r="K49" i="1"/>
  <c r="I49" i="1"/>
  <c r="F49" i="1"/>
  <c r="D49" i="1"/>
  <c r="U48" i="1"/>
  <c r="S48" i="1"/>
  <c r="Q48" i="1"/>
  <c r="O48" i="1"/>
  <c r="M48" i="1"/>
  <c r="K48" i="1"/>
  <c r="J48" i="1"/>
  <c r="H48" i="1"/>
  <c r="F48" i="1"/>
  <c r="D48" i="1"/>
  <c r="E51" i="1"/>
  <c r="V50" i="1"/>
  <c r="S50" i="1"/>
  <c r="R50" i="1"/>
  <c r="O50" i="1"/>
  <c r="N50" i="1"/>
  <c r="L50" i="1"/>
  <c r="J50" i="1"/>
  <c r="H50" i="1"/>
  <c r="F50" i="1"/>
  <c r="D50" i="1"/>
  <c r="U49" i="1"/>
  <c r="T49" i="1"/>
  <c r="Q49" i="1"/>
  <c r="P49" i="1"/>
  <c r="N49" i="1"/>
  <c r="L49" i="1"/>
  <c r="J49" i="1"/>
  <c r="H49" i="1"/>
  <c r="G49" i="1"/>
  <c r="E49" i="1"/>
  <c r="V48" i="1"/>
  <c r="T48" i="1"/>
  <c r="R48" i="1"/>
  <c r="P48" i="1"/>
  <c r="N48" i="1"/>
  <c r="L48" i="1"/>
  <c r="I48" i="1"/>
  <c r="G48" i="1"/>
  <c r="E48" i="1"/>
  <c r="V30" i="5"/>
  <c r="V27" i="5"/>
  <c r="V29" i="5"/>
  <c r="V24" i="5"/>
  <c r="V26" i="5"/>
  <c r="V28" i="5"/>
  <c r="V25" i="5"/>
  <c r="V22" i="5"/>
  <c r="V23" i="5"/>
  <c r="U23" i="5"/>
  <c r="U28" i="5"/>
  <c r="U26" i="5"/>
  <c r="U22" i="5"/>
  <c r="U27" i="5"/>
  <c r="U24" i="5"/>
  <c r="U30" i="5"/>
  <c r="U25" i="5"/>
  <c r="U29" i="5"/>
  <c r="T29" i="5"/>
  <c r="T24" i="5"/>
  <c r="T30" i="5"/>
  <c r="T27" i="5"/>
  <c r="T28" i="5"/>
  <c r="T26" i="5"/>
  <c r="T23" i="5"/>
  <c r="T22" i="5"/>
  <c r="T25" i="5"/>
  <c r="S25" i="5"/>
  <c r="S22" i="5"/>
  <c r="S26" i="5"/>
  <c r="S28" i="5"/>
  <c r="S24" i="5"/>
  <c r="S29" i="5"/>
  <c r="S30" i="5"/>
  <c r="S23" i="5"/>
  <c r="S27" i="5"/>
  <c r="R30" i="5"/>
  <c r="R22" i="5"/>
  <c r="R25" i="5"/>
  <c r="R24" i="5"/>
  <c r="R27" i="5"/>
  <c r="R23" i="5"/>
  <c r="R26" i="5"/>
  <c r="R29" i="5"/>
  <c r="R28" i="5"/>
  <c r="Q27" i="5"/>
  <c r="Q25" i="5"/>
  <c r="Q30" i="5"/>
  <c r="Q23" i="5"/>
  <c r="Q29" i="5"/>
  <c r="Q26" i="5"/>
  <c r="Q24" i="5"/>
  <c r="Q22" i="5"/>
  <c r="Q28" i="5"/>
  <c r="P27" i="5"/>
  <c r="P28" i="5"/>
  <c r="P22" i="5"/>
  <c r="P29" i="5"/>
  <c r="P26" i="5"/>
  <c r="P30" i="5"/>
  <c r="P23" i="5"/>
  <c r="P25" i="5"/>
  <c r="P24" i="5"/>
  <c r="O29" i="5"/>
  <c r="O30" i="5"/>
  <c r="O27" i="5"/>
  <c r="O26" i="5"/>
  <c r="O28" i="5"/>
  <c r="O22" i="5"/>
  <c r="O25" i="5"/>
  <c r="O24" i="5"/>
  <c r="O23" i="5"/>
  <c r="N30" i="5"/>
  <c r="N28" i="5"/>
  <c r="N22" i="5"/>
  <c r="N25" i="5"/>
  <c r="N24" i="5"/>
  <c r="N26" i="5"/>
  <c r="N23" i="5"/>
  <c r="N29" i="5"/>
  <c r="N27" i="5"/>
  <c r="M24" i="5"/>
  <c r="M29" i="5"/>
  <c r="M25" i="5"/>
  <c r="M23" i="5"/>
  <c r="M27" i="5"/>
  <c r="M30" i="5"/>
  <c r="M22" i="5"/>
  <c r="M26" i="5"/>
  <c r="M28" i="5"/>
  <c r="L28" i="5"/>
  <c r="L26" i="5"/>
  <c r="L24" i="5"/>
  <c r="L29" i="5"/>
  <c r="L27" i="5"/>
  <c r="L30" i="5"/>
  <c r="L18" i="5"/>
  <c r="L22" i="5"/>
  <c r="L17" i="5"/>
  <c r="L23" i="5"/>
  <c r="L25" i="5"/>
  <c r="L19" i="5"/>
  <c r="K23" i="5"/>
  <c r="K18" i="5"/>
  <c r="K27" i="5"/>
  <c r="K28" i="5"/>
  <c r="K17" i="5"/>
  <c r="K26" i="5"/>
  <c r="K25" i="5"/>
  <c r="K30" i="5"/>
  <c r="K24" i="5"/>
  <c r="K19" i="5"/>
  <c r="K29" i="5"/>
  <c r="K22" i="5"/>
  <c r="J28" i="5"/>
  <c r="J29" i="5"/>
  <c r="J19" i="5"/>
  <c r="J18" i="5"/>
  <c r="J26" i="5"/>
  <c r="J27" i="5"/>
  <c r="J25" i="5"/>
  <c r="J30" i="5"/>
  <c r="J24" i="5"/>
  <c r="J17" i="5"/>
  <c r="J23" i="5"/>
  <c r="J22" i="5"/>
  <c r="I27" i="5"/>
  <c r="I22" i="5"/>
  <c r="I19" i="5"/>
  <c r="I28" i="5"/>
  <c r="I24" i="5"/>
  <c r="I23" i="5"/>
  <c r="I26" i="5"/>
  <c r="I25" i="5"/>
  <c r="I30" i="5"/>
  <c r="I18" i="5"/>
  <c r="I29" i="5"/>
  <c r="I17" i="5"/>
  <c r="H18" i="5"/>
  <c r="H26" i="5"/>
  <c r="H27" i="5"/>
  <c r="H22" i="5"/>
  <c r="H19" i="5"/>
  <c r="H30" i="5"/>
  <c r="H23" i="5"/>
  <c r="H25" i="5"/>
  <c r="H24" i="5"/>
  <c r="H28" i="5"/>
  <c r="H29" i="5"/>
  <c r="H17" i="5"/>
  <c r="G30" i="5"/>
  <c r="G25" i="5"/>
  <c r="G19" i="5"/>
  <c r="G27" i="5"/>
  <c r="G22" i="5"/>
  <c r="G17" i="5"/>
  <c r="G18" i="5"/>
  <c r="G24" i="5"/>
  <c r="G29" i="5"/>
  <c r="G26" i="5"/>
  <c r="G28" i="5"/>
  <c r="G23" i="5"/>
  <c r="F19" i="5"/>
  <c r="F17" i="5"/>
  <c r="F28" i="5"/>
  <c r="F30" i="5"/>
  <c r="F27" i="5"/>
  <c r="F26" i="5"/>
  <c r="F29" i="5"/>
  <c r="F25" i="5"/>
  <c r="F22" i="5"/>
  <c r="F24" i="5"/>
  <c r="F18" i="5"/>
  <c r="F23" i="5"/>
  <c r="E24" i="5"/>
  <c r="E25" i="5"/>
  <c r="E30" i="5"/>
  <c r="E28" i="5"/>
  <c r="E29" i="5"/>
  <c r="E26" i="5"/>
  <c r="E18" i="5"/>
  <c r="E27" i="5"/>
  <c r="E17" i="5"/>
  <c r="E19" i="5"/>
  <c r="E23" i="5"/>
  <c r="E22" i="5"/>
  <c r="D26" i="5"/>
  <c r="D27" i="5"/>
  <c r="D19" i="5"/>
  <c r="D30" i="5"/>
  <c r="D28" i="5"/>
  <c r="D23" i="5"/>
  <c r="D22" i="5"/>
  <c r="D25" i="5"/>
  <c r="D29" i="5"/>
  <c r="D18" i="5"/>
  <c r="D24" i="5"/>
  <c r="D17" i="5"/>
  <c r="V5" i="5"/>
  <c r="V4" i="5"/>
  <c r="V8" i="5"/>
  <c r="V7" i="5"/>
  <c r="V6" i="5"/>
  <c r="U4" i="5"/>
  <c r="U7" i="5"/>
  <c r="U6" i="5"/>
  <c r="U5" i="5"/>
  <c r="U8" i="5"/>
  <c r="T6" i="5"/>
  <c r="T5" i="5"/>
  <c r="T7" i="5"/>
  <c r="T4" i="5"/>
  <c r="T8" i="5"/>
  <c r="S4" i="5"/>
  <c r="S7" i="5"/>
  <c r="S5" i="5"/>
  <c r="S8" i="5"/>
  <c r="S6" i="5"/>
  <c r="S13" i="5" s="1"/>
  <c r="R7" i="5"/>
  <c r="R8" i="5"/>
  <c r="R4" i="5"/>
  <c r="R5" i="5"/>
  <c r="R6" i="5"/>
  <c r="Q7" i="5"/>
  <c r="Q6" i="5"/>
  <c r="Q4" i="5"/>
  <c r="Q8" i="5"/>
  <c r="Q5" i="5"/>
  <c r="P8" i="5"/>
  <c r="P5" i="5"/>
  <c r="P6" i="5"/>
  <c r="P4" i="5"/>
  <c r="P7" i="5"/>
  <c r="O6" i="5"/>
  <c r="O5" i="5"/>
  <c r="O4" i="5"/>
  <c r="O8" i="5"/>
  <c r="O7" i="5"/>
  <c r="O14" i="5" s="1"/>
  <c r="N6" i="5"/>
  <c r="N7" i="5"/>
  <c r="N4" i="5"/>
  <c r="N8" i="5"/>
  <c r="N5" i="5"/>
  <c r="M7" i="5"/>
  <c r="M6" i="5"/>
  <c r="M5" i="5"/>
  <c r="M4" i="5"/>
  <c r="M8" i="5"/>
  <c r="L16" i="5"/>
  <c r="L4" i="5"/>
  <c r="L6" i="5"/>
  <c r="L7" i="5"/>
  <c r="L5" i="5"/>
  <c r="L8" i="5"/>
  <c r="K16" i="5"/>
  <c r="K6" i="5"/>
  <c r="K4" i="5"/>
  <c r="K8" i="5"/>
  <c r="K7" i="5"/>
  <c r="K5" i="5"/>
  <c r="J16" i="5"/>
  <c r="J6" i="5"/>
  <c r="J8" i="5"/>
  <c r="J7" i="5"/>
  <c r="J5" i="5"/>
  <c r="J4" i="5"/>
  <c r="I16" i="5"/>
  <c r="I4" i="5"/>
  <c r="I5" i="5"/>
  <c r="I7" i="5"/>
  <c r="I6" i="5"/>
  <c r="I8" i="5"/>
  <c r="H16" i="5"/>
  <c r="H8" i="5"/>
  <c r="H7" i="5"/>
  <c r="H6" i="5"/>
  <c r="H4" i="5"/>
  <c r="H5" i="5"/>
  <c r="H12" i="5"/>
  <c r="H11" i="5"/>
  <c r="H13" i="5"/>
  <c r="G16" i="5"/>
  <c r="G4" i="5"/>
  <c r="G5" i="5"/>
  <c r="G7" i="5"/>
  <c r="G6" i="5"/>
  <c r="G8" i="5"/>
  <c r="F16" i="5"/>
  <c r="F4" i="5"/>
  <c r="F7" i="5"/>
  <c r="F5" i="5"/>
  <c r="F8" i="5"/>
  <c r="F6" i="5"/>
  <c r="E8" i="5"/>
  <c r="E4" i="5"/>
  <c r="E16" i="5"/>
  <c r="E7" i="5"/>
  <c r="E5" i="5"/>
  <c r="E6" i="5"/>
  <c r="D7" i="5"/>
  <c r="D6" i="5"/>
  <c r="D4" i="5"/>
  <c r="D15" i="5" s="1"/>
  <c r="D8" i="5"/>
  <c r="D16" i="5"/>
  <c r="D5" i="5"/>
  <c r="H57" i="1"/>
  <c r="G57" i="1"/>
  <c r="F57" i="1"/>
  <c r="E57" i="1"/>
  <c r="V56" i="1"/>
  <c r="S56" i="1"/>
  <c r="N56" i="1"/>
  <c r="H56" i="1"/>
  <c r="R55" i="1"/>
  <c r="R61" i="1" s="1"/>
  <c r="O55" i="1"/>
  <c r="O61" i="1" s="1"/>
  <c r="J55" i="1"/>
  <c r="J61" i="1" s="1"/>
  <c r="F55" i="1"/>
  <c r="F61" i="1" s="1"/>
  <c r="S52" i="1"/>
  <c r="K52" i="1"/>
  <c r="E52" i="1"/>
  <c r="T51" i="1"/>
  <c r="Q51" i="1"/>
  <c r="L51" i="1"/>
  <c r="J51" i="1"/>
  <c r="H93" i="1"/>
  <c r="D93" i="1"/>
  <c r="R92" i="1"/>
  <c r="P92" i="1"/>
  <c r="M92" i="1"/>
  <c r="K92" i="1"/>
  <c r="J92" i="1"/>
  <c r="G92" i="1"/>
  <c r="E92" i="1"/>
  <c r="V91" i="1"/>
  <c r="R91" i="1"/>
  <c r="O91" i="1"/>
  <c r="M91" i="1"/>
  <c r="J91" i="1"/>
  <c r="V86" i="1"/>
  <c r="T86" i="1"/>
  <c r="Q86" i="1"/>
  <c r="N86" i="1"/>
  <c r="K86" i="1"/>
  <c r="I86" i="1"/>
  <c r="F86" i="1"/>
  <c r="D86" i="1"/>
  <c r="S85" i="1"/>
  <c r="P85" i="1"/>
  <c r="N85" i="1"/>
  <c r="K85" i="1"/>
  <c r="H85" i="1"/>
  <c r="E85" i="1"/>
  <c r="V84" i="1"/>
  <c r="S84" i="1"/>
  <c r="P84" i="1"/>
  <c r="N84" i="1"/>
  <c r="K84" i="1"/>
  <c r="I84" i="1"/>
  <c r="G84" i="1"/>
  <c r="D84" i="1"/>
  <c r="U83" i="1"/>
  <c r="R83" i="1"/>
  <c r="O83" i="1"/>
  <c r="L83" i="1"/>
  <c r="J83" i="1"/>
  <c r="F83" i="1"/>
  <c r="V82" i="1"/>
  <c r="T82" i="1"/>
  <c r="Q82" i="1"/>
  <c r="M82" i="1"/>
  <c r="I82" i="1"/>
  <c r="E82" i="1"/>
  <c r="U81" i="1"/>
  <c r="S81" i="1"/>
  <c r="R81" i="1"/>
  <c r="O81" i="1"/>
  <c r="L81" i="1"/>
  <c r="I81" i="1"/>
  <c r="H81" i="1"/>
  <c r="F81" i="1"/>
  <c r="E81" i="1"/>
  <c r="D57" i="1"/>
  <c r="U56" i="1"/>
  <c r="R56" i="1"/>
  <c r="P56" i="1"/>
  <c r="M56" i="1"/>
  <c r="J56" i="1"/>
  <c r="G56" i="1"/>
  <c r="D56" i="1"/>
  <c r="U55" i="1"/>
  <c r="P55" i="1"/>
  <c r="L55" i="1"/>
  <c r="H55" i="1"/>
  <c r="D55" i="1"/>
  <c r="V52" i="1"/>
  <c r="Q52" i="1"/>
  <c r="O52" i="1"/>
  <c r="N52" i="1"/>
  <c r="I52" i="1"/>
  <c r="G52" i="1"/>
  <c r="V51" i="1"/>
  <c r="P51" i="1"/>
  <c r="M51" i="1"/>
  <c r="I51" i="1"/>
  <c r="I93" i="1"/>
  <c r="V92" i="1"/>
  <c r="S92" i="1"/>
  <c r="O92" i="1"/>
  <c r="L92" i="1"/>
  <c r="I92" i="1"/>
  <c r="F92" i="1"/>
  <c r="U91" i="1"/>
  <c r="S91" i="1"/>
  <c r="Q91" i="1"/>
  <c r="N91" i="1"/>
  <c r="K91" i="1"/>
  <c r="H91" i="1"/>
  <c r="G91" i="1"/>
  <c r="E91" i="1"/>
  <c r="V90" i="1"/>
  <c r="U90" i="1"/>
  <c r="S90" i="1"/>
  <c r="R90" i="1"/>
  <c r="P90" i="1"/>
  <c r="O90" i="1"/>
  <c r="M90" i="1"/>
  <c r="L90" i="1"/>
  <c r="J90" i="1"/>
  <c r="H90" i="1"/>
  <c r="F90" i="1"/>
  <c r="E90" i="1"/>
  <c r="V89" i="1"/>
  <c r="T89" i="1"/>
  <c r="T95" i="1" s="1"/>
  <c r="S89" i="1"/>
  <c r="S95" i="1" s="1"/>
  <c r="R89" i="1"/>
  <c r="P89" i="1"/>
  <c r="O89" i="1"/>
  <c r="M89" i="1"/>
  <c r="L89" i="1"/>
  <c r="J89" i="1"/>
  <c r="I89" i="1"/>
  <c r="G89" i="1"/>
  <c r="E89" i="1"/>
  <c r="D89" i="1"/>
  <c r="U86" i="1"/>
  <c r="R86" i="1"/>
  <c r="P86" i="1"/>
  <c r="O86" i="1"/>
  <c r="L86" i="1"/>
  <c r="J86" i="1"/>
  <c r="G86" i="1"/>
  <c r="E86" i="1"/>
  <c r="U85" i="1"/>
  <c r="T85" i="1"/>
  <c r="Q85" i="1"/>
  <c r="O85" i="1"/>
  <c r="L85" i="1"/>
  <c r="I85" i="1"/>
  <c r="F85" i="1"/>
  <c r="D85" i="1"/>
  <c r="T84" i="1"/>
  <c r="R84" i="1"/>
  <c r="O84" i="1"/>
  <c r="M84" i="1"/>
  <c r="J84" i="1"/>
  <c r="F84" i="1"/>
  <c r="V83" i="1"/>
  <c r="S83" i="1"/>
  <c r="Q83" i="1"/>
  <c r="N83" i="1"/>
  <c r="M83" i="1"/>
  <c r="I83" i="1"/>
  <c r="G83" i="1"/>
  <c r="D83" i="1"/>
  <c r="U82" i="1"/>
  <c r="R82" i="1"/>
  <c r="O82" i="1"/>
  <c r="L82" i="1"/>
  <c r="J82" i="1"/>
  <c r="G82" i="1"/>
  <c r="F82" i="1"/>
  <c r="V81" i="1"/>
  <c r="P81" i="1"/>
  <c r="M81" i="1"/>
  <c r="K81" i="1"/>
  <c r="T56" i="1"/>
  <c r="Q56" i="1"/>
  <c r="L56" i="1"/>
  <c r="I56" i="1"/>
  <c r="E56" i="1"/>
  <c r="V55" i="1"/>
  <c r="S55" i="1"/>
  <c r="Q55" i="1"/>
  <c r="M55" i="1"/>
  <c r="K55" i="1"/>
  <c r="G55" i="1"/>
  <c r="T52" i="1"/>
  <c r="R52" i="1"/>
  <c r="L52" i="1"/>
  <c r="J52" i="1"/>
  <c r="H52" i="1"/>
  <c r="F52" i="1"/>
  <c r="U51" i="1"/>
  <c r="R51" i="1"/>
  <c r="O51" i="1"/>
  <c r="K51" i="1"/>
  <c r="H51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G93" i="1"/>
  <c r="F93" i="1"/>
  <c r="E93" i="1"/>
  <c r="U92" i="1"/>
  <c r="T92" i="1"/>
  <c r="Q92" i="1"/>
  <c r="N92" i="1"/>
  <c r="H92" i="1"/>
  <c r="D92" i="1"/>
  <c r="T91" i="1"/>
  <c r="P91" i="1"/>
  <c r="L91" i="1"/>
  <c r="I91" i="1"/>
  <c r="F91" i="1"/>
  <c r="D91" i="1"/>
  <c r="T90" i="1"/>
  <c r="Q90" i="1"/>
  <c r="N90" i="1"/>
  <c r="K90" i="1"/>
  <c r="I90" i="1"/>
  <c r="G90" i="1"/>
  <c r="D90" i="1"/>
  <c r="U89" i="1"/>
  <c r="Q89" i="1"/>
  <c r="N89" i="1"/>
  <c r="K89" i="1"/>
  <c r="H89" i="1"/>
  <c r="F89" i="1"/>
  <c r="S86" i="1"/>
  <c r="M86" i="1"/>
  <c r="H86" i="1"/>
  <c r="V85" i="1"/>
  <c r="R85" i="1"/>
  <c r="M85" i="1"/>
  <c r="J85" i="1"/>
  <c r="G85" i="1"/>
  <c r="U84" i="1"/>
  <c r="Q84" i="1"/>
  <c r="L84" i="1"/>
  <c r="H84" i="1"/>
  <c r="E84" i="1"/>
  <c r="T83" i="1"/>
  <c r="P83" i="1"/>
  <c r="K83" i="1"/>
  <c r="H83" i="1"/>
  <c r="E83" i="1"/>
  <c r="S82" i="1"/>
  <c r="P82" i="1"/>
  <c r="N82" i="1"/>
  <c r="K82" i="1"/>
  <c r="H82" i="1"/>
  <c r="D82" i="1"/>
  <c r="T81" i="1"/>
  <c r="Q81" i="1"/>
  <c r="N81" i="1"/>
  <c r="J81" i="1"/>
  <c r="G81" i="1"/>
  <c r="D81" i="1"/>
  <c r="O56" i="1"/>
  <c r="K56" i="1"/>
  <c r="F56" i="1"/>
  <c r="T55" i="1"/>
  <c r="N55" i="1"/>
  <c r="I55" i="1"/>
  <c r="E55" i="1"/>
  <c r="U52" i="1"/>
  <c r="P52" i="1"/>
  <c r="M52" i="1"/>
  <c r="D52" i="1"/>
  <c r="S51" i="1"/>
  <c r="N51" i="1"/>
  <c r="G51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D38" i="1"/>
  <c r="D68" i="1"/>
  <c r="D102" i="1"/>
  <c r="D33" i="1"/>
  <c r="D67" i="1"/>
  <c r="D101" i="1"/>
  <c r="D28" i="1"/>
  <c r="D66" i="1"/>
  <c r="D100" i="1"/>
  <c r="D65" i="1"/>
  <c r="D99" i="1"/>
  <c r="D23" i="1"/>
  <c r="D18" i="1"/>
  <c r="D64" i="1"/>
  <c r="D98" i="1"/>
  <c r="V47" i="1"/>
  <c r="V40" i="1"/>
  <c r="U47" i="1"/>
  <c r="U40" i="1"/>
  <c r="T47" i="1"/>
  <c r="T40" i="1"/>
  <c r="S47" i="1"/>
  <c r="S40" i="1"/>
  <c r="R47" i="1"/>
  <c r="R40" i="1"/>
  <c r="Q47" i="1"/>
  <c r="Q40" i="1"/>
  <c r="P40" i="1"/>
  <c r="P47" i="1"/>
  <c r="O47" i="1"/>
  <c r="O40" i="1"/>
  <c r="N47" i="1"/>
  <c r="N40" i="1"/>
  <c r="M47" i="1"/>
  <c r="M40" i="1"/>
  <c r="L47" i="1"/>
  <c r="L40" i="1"/>
  <c r="K47" i="1"/>
  <c r="K40" i="1"/>
  <c r="J47" i="1"/>
  <c r="J40" i="1"/>
  <c r="I47" i="1"/>
  <c r="I40" i="1"/>
  <c r="H40" i="1"/>
  <c r="H47" i="1"/>
  <c r="G40" i="1"/>
  <c r="G47" i="1"/>
  <c r="F40" i="1"/>
  <c r="F47" i="1"/>
  <c r="E47" i="1"/>
  <c r="E40" i="1"/>
  <c r="D47" i="1"/>
  <c r="D40" i="1"/>
  <c r="D39" i="1"/>
  <c r="D11" i="1"/>
  <c r="H89" i="3" l="1"/>
  <c r="H116" i="3"/>
  <c r="G89" i="3"/>
  <c r="G116" i="3"/>
  <c r="T88" i="3"/>
  <c r="T115" i="3"/>
  <c r="T87" i="3"/>
  <c r="T114" i="3"/>
  <c r="T86" i="3"/>
  <c r="T113" i="3"/>
  <c r="S86" i="3"/>
  <c r="S113" i="3"/>
  <c r="H86" i="3"/>
  <c r="H113" i="3"/>
  <c r="D86" i="3"/>
  <c r="D113" i="3"/>
  <c r="H83" i="3"/>
  <c r="H110" i="3"/>
  <c r="D83" i="3"/>
  <c r="D110" i="3"/>
  <c r="I82" i="3"/>
  <c r="I109" i="3"/>
  <c r="H82" i="3"/>
  <c r="H109" i="3"/>
  <c r="D82" i="3"/>
  <c r="D109" i="3"/>
  <c r="I81" i="3"/>
  <c r="I108" i="3"/>
  <c r="H81" i="3"/>
  <c r="H108" i="3"/>
  <c r="D81" i="3"/>
  <c r="D108" i="3"/>
  <c r="V94" i="3"/>
  <c r="V121" i="3"/>
  <c r="V118" i="3"/>
  <c r="V91" i="3"/>
  <c r="V120" i="3"/>
  <c r="V93" i="3"/>
  <c r="V117" i="3"/>
  <c r="V90" i="3"/>
  <c r="V119" i="3"/>
  <c r="V92" i="3"/>
  <c r="V89" i="3"/>
  <c r="V116" i="3"/>
  <c r="U92" i="3"/>
  <c r="U119" i="3"/>
  <c r="U117" i="3"/>
  <c r="U90" i="3"/>
  <c r="U118" i="3"/>
  <c r="U91" i="3"/>
  <c r="U121" i="3"/>
  <c r="U94" i="3"/>
  <c r="U89" i="3"/>
  <c r="U116" i="3"/>
  <c r="U93" i="3"/>
  <c r="U120" i="3"/>
  <c r="T120" i="3"/>
  <c r="T93" i="3"/>
  <c r="T94" i="3"/>
  <c r="T121" i="3"/>
  <c r="T118" i="3"/>
  <c r="T91" i="3"/>
  <c r="T92" i="3"/>
  <c r="T119" i="3"/>
  <c r="T117" i="3"/>
  <c r="T90" i="3"/>
  <c r="T89" i="3"/>
  <c r="T116" i="3"/>
  <c r="S89" i="3"/>
  <c r="S116" i="3"/>
  <c r="S117" i="3"/>
  <c r="S90" i="3"/>
  <c r="S119" i="3"/>
  <c r="S92" i="3"/>
  <c r="S93" i="3"/>
  <c r="S120" i="3"/>
  <c r="S121" i="3"/>
  <c r="S94" i="3"/>
  <c r="S118" i="3"/>
  <c r="S91" i="3"/>
  <c r="R121" i="3"/>
  <c r="R94" i="3"/>
  <c r="R89" i="3"/>
  <c r="R116" i="3"/>
  <c r="R118" i="3"/>
  <c r="R91" i="3"/>
  <c r="R117" i="3"/>
  <c r="R90" i="3"/>
  <c r="R120" i="3"/>
  <c r="R93" i="3"/>
  <c r="R119" i="3"/>
  <c r="R92" i="3"/>
  <c r="Q118" i="3"/>
  <c r="Q91" i="3"/>
  <c r="Q89" i="3"/>
  <c r="Q116" i="3"/>
  <c r="Q121" i="3"/>
  <c r="Q94" i="3"/>
  <c r="Q120" i="3"/>
  <c r="Q93" i="3"/>
  <c r="Q117" i="3"/>
  <c r="Q90" i="3"/>
  <c r="Q119" i="3"/>
  <c r="Q92" i="3"/>
  <c r="P118" i="3"/>
  <c r="P91" i="3"/>
  <c r="P119" i="3"/>
  <c r="P92" i="3"/>
  <c r="P120" i="3"/>
  <c r="P93" i="3"/>
  <c r="P117" i="3"/>
  <c r="P90" i="3"/>
  <c r="P121" i="3"/>
  <c r="P94" i="3"/>
  <c r="O93" i="3"/>
  <c r="O120" i="3"/>
  <c r="O94" i="3"/>
  <c r="O121" i="3"/>
  <c r="O118" i="3"/>
  <c r="O91" i="3"/>
  <c r="O117" i="3"/>
  <c r="O90" i="3"/>
  <c r="O119" i="3"/>
  <c r="O92" i="3"/>
  <c r="N121" i="3"/>
  <c r="N94" i="3"/>
  <c r="N119" i="3"/>
  <c r="N92" i="3"/>
  <c r="N117" i="3"/>
  <c r="N90" i="3"/>
  <c r="N120" i="3"/>
  <c r="N93" i="3"/>
  <c r="N118" i="3"/>
  <c r="N91" i="3"/>
  <c r="M120" i="3"/>
  <c r="M93" i="3"/>
  <c r="M118" i="3"/>
  <c r="M91" i="3"/>
  <c r="M94" i="3"/>
  <c r="M121" i="3"/>
  <c r="M90" i="3"/>
  <c r="M117" i="3"/>
  <c r="M119" i="3"/>
  <c r="M92" i="3"/>
  <c r="L119" i="3"/>
  <c r="L92" i="3"/>
  <c r="L90" i="3"/>
  <c r="L117" i="3"/>
  <c r="L120" i="3"/>
  <c r="L93" i="3"/>
  <c r="L118" i="3"/>
  <c r="L91" i="3"/>
  <c r="L94" i="3"/>
  <c r="L121" i="3"/>
  <c r="K118" i="3"/>
  <c r="K91" i="3"/>
  <c r="K119" i="3"/>
  <c r="K92" i="3"/>
  <c r="K90" i="3"/>
  <c r="K117" i="3"/>
  <c r="K121" i="3"/>
  <c r="K94" i="3"/>
  <c r="K120" i="3"/>
  <c r="K93" i="3"/>
  <c r="J119" i="3"/>
  <c r="J92" i="3"/>
  <c r="J120" i="3"/>
  <c r="J93" i="3"/>
  <c r="J90" i="3"/>
  <c r="J117" i="3"/>
  <c r="J118" i="3"/>
  <c r="J91" i="3"/>
  <c r="J94" i="3"/>
  <c r="J121" i="3"/>
  <c r="I118" i="3"/>
  <c r="I91" i="3"/>
  <c r="I119" i="3"/>
  <c r="I92" i="3"/>
  <c r="I90" i="3"/>
  <c r="I117" i="3"/>
  <c r="I121" i="3"/>
  <c r="I94" i="3"/>
  <c r="I120" i="3"/>
  <c r="I93" i="3"/>
  <c r="H90" i="3"/>
  <c r="H117" i="3"/>
  <c r="H118" i="3"/>
  <c r="H91" i="3"/>
  <c r="H121" i="3"/>
  <c r="H94" i="3"/>
  <c r="H119" i="3"/>
  <c r="H92" i="3"/>
  <c r="H93" i="3"/>
  <c r="H120" i="3"/>
  <c r="G121" i="3"/>
  <c r="G94" i="3"/>
  <c r="G118" i="3"/>
  <c r="G91" i="3"/>
  <c r="G120" i="3"/>
  <c r="G93" i="3"/>
  <c r="G90" i="3"/>
  <c r="G117" i="3"/>
  <c r="G119" i="3"/>
  <c r="G92" i="3"/>
  <c r="F119" i="3"/>
  <c r="F92" i="3"/>
  <c r="F121" i="3"/>
  <c r="F94" i="3"/>
  <c r="F118" i="3"/>
  <c r="F91" i="3"/>
  <c r="F90" i="3"/>
  <c r="F117" i="3"/>
  <c r="F120" i="3"/>
  <c r="F93" i="3"/>
  <c r="E121" i="3"/>
  <c r="E94" i="3"/>
  <c r="E119" i="3"/>
  <c r="E92" i="3"/>
  <c r="E120" i="3"/>
  <c r="E93" i="3"/>
  <c r="E90" i="3"/>
  <c r="E117" i="3"/>
  <c r="E118" i="3"/>
  <c r="E91" i="3"/>
  <c r="D90" i="3"/>
  <c r="D117" i="3"/>
  <c r="D118" i="3"/>
  <c r="D91" i="3"/>
  <c r="D121" i="3"/>
  <c r="D94" i="3"/>
  <c r="D119" i="3"/>
  <c r="D92" i="3"/>
  <c r="D93" i="3"/>
  <c r="D120" i="3"/>
  <c r="U15" i="5"/>
  <c r="G15" i="5"/>
  <c r="U87" i="1"/>
  <c r="S87" i="1"/>
  <c r="R87" i="1"/>
  <c r="O87" i="1"/>
  <c r="L87" i="1"/>
  <c r="D61" i="1"/>
  <c r="V53" i="1"/>
  <c r="U53" i="1"/>
  <c r="R53" i="1"/>
  <c r="H53" i="1"/>
  <c r="F53" i="1"/>
  <c r="V88" i="3"/>
  <c r="V115" i="3"/>
  <c r="V86" i="3"/>
  <c r="V113" i="3"/>
  <c r="V87" i="3"/>
  <c r="V114" i="3"/>
  <c r="U87" i="3"/>
  <c r="U114" i="3"/>
  <c r="U86" i="3"/>
  <c r="U113" i="3"/>
  <c r="U88" i="3"/>
  <c r="U115" i="3"/>
  <c r="S88" i="3"/>
  <c r="S115" i="3"/>
  <c r="S87" i="3"/>
  <c r="S114" i="3"/>
  <c r="R86" i="3"/>
  <c r="R113" i="3"/>
  <c r="R88" i="3"/>
  <c r="R115" i="3"/>
  <c r="R87" i="3"/>
  <c r="R114" i="3"/>
  <c r="Q87" i="3"/>
  <c r="Q114" i="3"/>
  <c r="Q88" i="3"/>
  <c r="Q115" i="3"/>
  <c r="Q86" i="3"/>
  <c r="Q113" i="3"/>
  <c r="P86" i="3"/>
  <c r="P113" i="3"/>
  <c r="P87" i="3"/>
  <c r="P114" i="3"/>
  <c r="P89" i="3"/>
  <c r="P116" i="3"/>
  <c r="P88" i="3"/>
  <c r="P115" i="3"/>
  <c r="O86" i="3"/>
  <c r="O113" i="3"/>
  <c r="O89" i="3"/>
  <c r="O116" i="3"/>
  <c r="O88" i="3"/>
  <c r="O115" i="3"/>
  <c r="O87" i="3"/>
  <c r="O114" i="3"/>
  <c r="N86" i="3"/>
  <c r="N113" i="3"/>
  <c r="N89" i="3"/>
  <c r="N116" i="3"/>
  <c r="N88" i="3"/>
  <c r="N115" i="3"/>
  <c r="N87" i="3"/>
  <c r="N114" i="3"/>
  <c r="M88" i="3"/>
  <c r="M115" i="3"/>
  <c r="M89" i="3"/>
  <c r="M116" i="3"/>
  <c r="M87" i="3"/>
  <c r="M114" i="3"/>
  <c r="M86" i="3"/>
  <c r="M113" i="3"/>
  <c r="L88" i="3"/>
  <c r="L115" i="3"/>
  <c r="L82" i="3"/>
  <c r="L109" i="3"/>
  <c r="L86" i="3"/>
  <c r="L113" i="3"/>
  <c r="L81" i="3"/>
  <c r="L108" i="3"/>
  <c r="L87" i="3"/>
  <c r="L114" i="3"/>
  <c r="L89" i="3"/>
  <c r="L116" i="3"/>
  <c r="L83" i="3"/>
  <c r="L110" i="3"/>
  <c r="K87" i="3"/>
  <c r="K114" i="3"/>
  <c r="K82" i="3"/>
  <c r="K109" i="3"/>
  <c r="K81" i="3"/>
  <c r="K108" i="3"/>
  <c r="K89" i="3"/>
  <c r="K116" i="3"/>
  <c r="K88" i="3"/>
  <c r="K115" i="3"/>
  <c r="K83" i="3"/>
  <c r="K110" i="3"/>
  <c r="K86" i="3"/>
  <c r="K113" i="3"/>
  <c r="J83" i="3"/>
  <c r="J110" i="3"/>
  <c r="J82" i="3"/>
  <c r="J109" i="3"/>
  <c r="J89" i="3"/>
  <c r="J116" i="3"/>
  <c r="J88" i="3"/>
  <c r="J115" i="3"/>
  <c r="J81" i="3"/>
  <c r="J108" i="3"/>
  <c r="J87" i="3"/>
  <c r="J114" i="3"/>
  <c r="J86" i="3"/>
  <c r="J113" i="3"/>
  <c r="I86" i="3"/>
  <c r="I113" i="3"/>
  <c r="I83" i="3"/>
  <c r="I110" i="3"/>
  <c r="I88" i="3"/>
  <c r="I115" i="3"/>
  <c r="I87" i="3"/>
  <c r="I114" i="3"/>
  <c r="I89" i="3"/>
  <c r="I116" i="3"/>
  <c r="H87" i="3"/>
  <c r="H114" i="3"/>
  <c r="H88" i="3"/>
  <c r="H115" i="3"/>
  <c r="G83" i="3"/>
  <c r="G110" i="3"/>
  <c r="G86" i="3"/>
  <c r="G113" i="3"/>
  <c r="G81" i="3"/>
  <c r="G108" i="3"/>
  <c r="G82" i="3"/>
  <c r="G109" i="3"/>
  <c r="G88" i="3"/>
  <c r="G115" i="3"/>
  <c r="G87" i="3"/>
  <c r="G114" i="3"/>
  <c r="F83" i="3"/>
  <c r="F110" i="3"/>
  <c r="F81" i="3"/>
  <c r="F108" i="3"/>
  <c r="F89" i="3"/>
  <c r="F116" i="3"/>
  <c r="F86" i="3"/>
  <c r="F113" i="3"/>
  <c r="F88" i="3"/>
  <c r="F115" i="3"/>
  <c r="F82" i="3"/>
  <c r="F109" i="3"/>
  <c r="F87" i="3"/>
  <c r="F114" i="3"/>
  <c r="E88" i="3"/>
  <c r="E115" i="3"/>
  <c r="E89" i="3"/>
  <c r="E116" i="3"/>
  <c r="E82" i="3"/>
  <c r="E109" i="3"/>
  <c r="E81" i="3"/>
  <c r="E108" i="3"/>
  <c r="E83" i="3"/>
  <c r="E110" i="3"/>
  <c r="E87" i="3"/>
  <c r="E114" i="3"/>
  <c r="E86" i="3"/>
  <c r="E113" i="3"/>
  <c r="D87" i="3"/>
  <c r="D114" i="3"/>
  <c r="D89" i="3"/>
  <c r="D116" i="3"/>
  <c r="D88" i="3"/>
  <c r="D115" i="3"/>
  <c r="G11" i="5"/>
  <c r="G12" i="5"/>
  <c r="V17" i="5"/>
  <c r="V18" i="5"/>
  <c r="V21" i="5"/>
  <c r="V16" i="5"/>
  <c r="V19" i="5"/>
  <c r="V20" i="5"/>
  <c r="U17" i="5"/>
  <c r="U18" i="5"/>
  <c r="U21" i="5"/>
  <c r="U16" i="5"/>
  <c r="U19" i="5"/>
  <c r="U20" i="5"/>
  <c r="T16" i="5"/>
  <c r="T18" i="5"/>
  <c r="T19" i="5"/>
  <c r="T20" i="5"/>
  <c r="T17" i="5"/>
  <c r="T21" i="5"/>
  <c r="S17" i="5"/>
  <c r="S19" i="5"/>
  <c r="S16" i="5"/>
  <c r="S18" i="5"/>
  <c r="S20" i="5"/>
  <c r="S21" i="5"/>
  <c r="S77" i="3"/>
  <c r="S104" i="3"/>
  <c r="R16" i="5"/>
  <c r="R18" i="5"/>
  <c r="R19" i="5"/>
  <c r="R20" i="5"/>
  <c r="R17" i="5"/>
  <c r="R21" i="5"/>
  <c r="Q19" i="5"/>
  <c r="Q21" i="5"/>
  <c r="Q17" i="5"/>
  <c r="Q18" i="5"/>
  <c r="Q16" i="5"/>
  <c r="Q20" i="5"/>
  <c r="P17" i="5"/>
  <c r="P18" i="5"/>
  <c r="P19" i="5"/>
  <c r="P16" i="5"/>
  <c r="P20" i="5"/>
  <c r="P21" i="5"/>
  <c r="O16" i="5"/>
  <c r="O19" i="5"/>
  <c r="O20" i="5"/>
  <c r="O21" i="5"/>
  <c r="O18" i="5"/>
  <c r="O17" i="5"/>
  <c r="O78" i="3"/>
  <c r="O105" i="3"/>
  <c r="N18" i="5"/>
  <c r="N19" i="5"/>
  <c r="N16" i="5"/>
  <c r="N17" i="5"/>
  <c r="N20" i="5"/>
  <c r="N21" i="5"/>
  <c r="M17" i="5"/>
  <c r="M19" i="5"/>
  <c r="M18" i="5"/>
  <c r="M21" i="5"/>
  <c r="M20" i="5"/>
  <c r="L80" i="3"/>
  <c r="L107" i="3"/>
  <c r="L20" i="5"/>
  <c r="L21" i="5"/>
  <c r="K80" i="3"/>
  <c r="K107" i="3"/>
  <c r="K20" i="5"/>
  <c r="K21" i="5"/>
  <c r="J80" i="3"/>
  <c r="J107" i="3"/>
  <c r="J20" i="5"/>
  <c r="J21" i="5"/>
  <c r="I107" i="3"/>
  <c r="I80" i="3"/>
  <c r="I20" i="5"/>
  <c r="I21" i="5"/>
  <c r="H80" i="3"/>
  <c r="H107" i="3"/>
  <c r="H21" i="5"/>
  <c r="H20" i="5"/>
  <c r="H76" i="3"/>
  <c r="H103" i="3"/>
  <c r="H75" i="3"/>
  <c r="H102" i="3"/>
  <c r="H77" i="3"/>
  <c r="H104" i="3"/>
  <c r="G80" i="3"/>
  <c r="G107" i="3"/>
  <c r="G20" i="5"/>
  <c r="G21" i="5"/>
  <c r="G76" i="3"/>
  <c r="G103" i="3"/>
  <c r="F80" i="3"/>
  <c r="F107" i="3"/>
  <c r="F20" i="5"/>
  <c r="F21" i="5"/>
  <c r="E20" i="5"/>
  <c r="E21" i="5"/>
  <c r="E80" i="3"/>
  <c r="E107" i="3"/>
  <c r="D21" i="5"/>
  <c r="D20" i="5"/>
  <c r="D80" i="3"/>
  <c r="D107" i="3"/>
  <c r="D106" i="3"/>
  <c r="D79" i="3"/>
  <c r="D110" i="1"/>
  <c r="D76" i="1"/>
  <c r="E34" i="1"/>
  <c r="E36" i="1" s="1"/>
  <c r="D75" i="1"/>
  <c r="D109" i="1"/>
  <c r="E29" i="1"/>
  <c r="E31" i="1" s="1"/>
  <c r="D74" i="1"/>
  <c r="D108" i="1"/>
  <c r="E24" i="1"/>
  <c r="E26" i="1" s="1"/>
  <c r="D73" i="1"/>
  <c r="D107" i="1"/>
  <c r="E19" i="1"/>
  <c r="E21" i="1" s="1"/>
  <c r="D72" i="1"/>
  <c r="D106" i="1"/>
  <c r="E14" i="1"/>
  <c r="E16" i="1" s="1"/>
  <c r="D41" i="1"/>
  <c r="D63" i="1"/>
  <c r="D69" i="1" s="1"/>
  <c r="D97" i="1"/>
  <c r="D103" i="1" s="1"/>
  <c r="D13" i="1"/>
  <c r="I87" i="1"/>
  <c r="H87" i="1"/>
  <c r="F87" i="1"/>
  <c r="E87" i="1"/>
  <c r="U61" i="1"/>
  <c r="P61" i="1"/>
  <c r="L61" i="1"/>
  <c r="H61" i="1"/>
  <c r="V95" i="1"/>
  <c r="R95" i="1"/>
  <c r="S53" i="1"/>
  <c r="P95" i="1"/>
  <c r="O95" i="1"/>
  <c r="M95" i="1"/>
  <c r="L95" i="1"/>
  <c r="J95" i="1"/>
  <c r="I95" i="1"/>
  <c r="G95" i="1"/>
  <c r="E95" i="1"/>
  <c r="D95" i="1"/>
  <c r="V87" i="1"/>
  <c r="P87" i="1"/>
  <c r="M87" i="1"/>
  <c r="K87" i="1"/>
  <c r="V61" i="1"/>
  <c r="S61" i="1"/>
  <c r="Q61" i="1"/>
  <c r="M61" i="1"/>
  <c r="K61" i="1"/>
  <c r="G61" i="1"/>
  <c r="E61" i="1"/>
  <c r="U95" i="1"/>
  <c r="Q95" i="1"/>
  <c r="N95" i="1"/>
  <c r="K95" i="1"/>
  <c r="H95" i="1"/>
  <c r="F95" i="1"/>
  <c r="T87" i="1"/>
  <c r="Q87" i="1"/>
  <c r="N87" i="1"/>
  <c r="J87" i="1"/>
  <c r="G87" i="1"/>
  <c r="D87" i="1"/>
  <c r="T61" i="1"/>
  <c r="N61" i="1"/>
  <c r="I61" i="1"/>
  <c r="T53" i="1"/>
  <c r="Q53" i="1"/>
  <c r="P53" i="1"/>
  <c r="O53" i="1"/>
  <c r="N53" i="1"/>
  <c r="M53" i="1"/>
  <c r="L53" i="1"/>
  <c r="K53" i="1"/>
  <c r="J53" i="1"/>
  <c r="I53" i="1"/>
  <c r="G53" i="1"/>
  <c r="E53" i="1"/>
  <c r="D53" i="1"/>
  <c r="V14" i="5"/>
  <c r="V13" i="5"/>
  <c r="V12" i="5"/>
  <c r="V11" i="5"/>
  <c r="V15" i="5"/>
  <c r="U11" i="5"/>
  <c r="U14" i="5"/>
  <c r="U13" i="5"/>
  <c r="U12" i="5"/>
  <c r="T13" i="5"/>
  <c r="T15" i="5"/>
  <c r="T14" i="5"/>
  <c r="T12" i="5"/>
  <c r="T11" i="5"/>
  <c r="S11" i="5"/>
  <c r="S12" i="5"/>
  <c r="S15" i="5"/>
  <c r="S14" i="5"/>
  <c r="R11" i="5"/>
  <c r="R15" i="5"/>
  <c r="R14" i="5"/>
  <c r="R12" i="5"/>
  <c r="R13" i="5"/>
  <c r="Q13" i="5"/>
  <c r="Q12" i="5"/>
  <c r="Q11" i="5"/>
  <c r="Q15" i="5"/>
  <c r="Q14" i="5"/>
  <c r="P15" i="5"/>
  <c r="P12" i="5"/>
  <c r="P11" i="5"/>
  <c r="P13" i="5"/>
  <c r="P14" i="5"/>
  <c r="O13" i="5"/>
  <c r="O12" i="5"/>
  <c r="O15" i="5"/>
  <c r="O11" i="5"/>
  <c r="N12" i="5"/>
  <c r="N11" i="5"/>
  <c r="N14" i="5"/>
  <c r="N13" i="5"/>
  <c r="N15" i="5"/>
  <c r="M16" i="5"/>
  <c r="M11" i="5"/>
  <c r="M14" i="5"/>
  <c r="M15" i="5"/>
  <c r="M12" i="5"/>
  <c r="M13" i="5"/>
  <c r="L13" i="5"/>
  <c r="L11" i="5"/>
  <c r="L14" i="5"/>
  <c r="L15" i="5"/>
  <c r="L12" i="5"/>
  <c r="K13" i="5"/>
  <c r="K15" i="5"/>
  <c r="K14" i="5"/>
  <c r="K11" i="5"/>
  <c r="K12" i="5"/>
  <c r="J11" i="5"/>
  <c r="J15" i="5"/>
  <c r="J14" i="5"/>
  <c r="J13" i="5"/>
  <c r="J12" i="5"/>
  <c r="I14" i="5"/>
  <c r="I11" i="5"/>
  <c r="I12" i="5"/>
  <c r="I15" i="5"/>
  <c r="I13" i="5"/>
  <c r="H14" i="5"/>
  <c r="H15" i="5"/>
  <c r="G14" i="5"/>
  <c r="G13" i="5"/>
  <c r="F11" i="5"/>
  <c r="F14" i="5"/>
  <c r="F12" i="5"/>
  <c r="F13" i="5"/>
  <c r="F15" i="5"/>
  <c r="E11" i="5"/>
  <c r="E14" i="5"/>
  <c r="E13" i="5"/>
  <c r="E15" i="5"/>
  <c r="E12" i="5"/>
  <c r="D12" i="5"/>
  <c r="D11" i="5"/>
  <c r="D14" i="5"/>
  <c r="D13" i="5"/>
  <c r="U106" i="3" l="1"/>
  <c r="U79" i="3"/>
  <c r="G79" i="3"/>
  <c r="G106" i="3"/>
  <c r="G102" i="3"/>
  <c r="G75" i="3"/>
  <c r="H114" i="1"/>
  <c r="H118" i="1"/>
  <c r="G114" i="1"/>
  <c r="G118" i="1"/>
  <c r="V81" i="3"/>
  <c r="V108" i="3"/>
  <c r="V82" i="3"/>
  <c r="V109" i="3"/>
  <c r="V85" i="3"/>
  <c r="V112" i="3"/>
  <c r="V80" i="3"/>
  <c r="V107" i="3"/>
  <c r="V110" i="3"/>
  <c r="V83" i="3"/>
  <c r="V111" i="3"/>
  <c r="V123" i="3" s="1"/>
  <c r="V120" i="1" s="1"/>
  <c r="V130" i="1" s="1"/>
  <c r="V84" i="3"/>
  <c r="V96" i="3" s="1"/>
  <c r="V119" i="1" s="1"/>
  <c r="V129" i="1" s="1"/>
  <c r="U108" i="3"/>
  <c r="U81" i="3"/>
  <c r="U109" i="3"/>
  <c r="U82" i="3"/>
  <c r="U112" i="3"/>
  <c r="U85" i="3"/>
  <c r="U107" i="3"/>
  <c r="U80" i="3"/>
  <c r="U110" i="3"/>
  <c r="U83" i="3"/>
  <c r="U84" i="3"/>
  <c r="U111" i="3"/>
  <c r="T107" i="3"/>
  <c r="T80" i="3"/>
  <c r="T82" i="3"/>
  <c r="T109" i="3"/>
  <c r="T83" i="3"/>
  <c r="T110" i="3"/>
  <c r="T84" i="3"/>
  <c r="T111" i="3"/>
  <c r="T81" i="3"/>
  <c r="T108" i="3"/>
  <c r="T85" i="3"/>
  <c r="T112" i="3"/>
  <c r="S108" i="3"/>
  <c r="S81" i="3"/>
  <c r="S110" i="3"/>
  <c r="S83" i="3"/>
  <c r="S80" i="3"/>
  <c r="S107" i="3"/>
  <c r="S109" i="3"/>
  <c r="S82" i="3"/>
  <c r="S111" i="3"/>
  <c r="S84" i="3"/>
  <c r="S85" i="3"/>
  <c r="S112" i="3"/>
  <c r="R80" i="3"/>
  <c r="R107" i="3"/>
  <c r="R82" i="3"/>
  <c r="R109" i="3"/>
  <c r="R83" i="3"/>
  <c r="R110" i="3"/>
  <c r="R84" i="3"/>
  <c r="R111" i="3"/>
  <c r="R108" i="3"/>
  <c r="R81" i="3"/>
  <c r="R112" i="3"/>
  <c r="R85" i="3"/>
  <c r="Q110" i="3"/>
  <c r="Q83" i="3"/>
  <c r="Q85" i="3"/>
  <c r="Q112" i="3"/>
  <c r="Q108" i="3"/>
  <c r="Q81" i="3"/>
  <c r="Q109" i="3"/>
  <c r="Q82" i="3"/>
  <c r="Q107" i="3"/>
  <c r="Q80" i="3"/>
  <c r="Q84" i="3"/>
  <c r="Q111" i="3"/>
  <c r="P81" i="3"/>
  <c r="P108" i="3"/>
  <c r="P82" i="3"/>
  <c r="P109" i="3"/>
  <c r="P83" i="3"/>
  <c r="P110" i="3"/>
  <c r="P107" i="3"/>
  <c r="P80" i="3"/>
  <c r="P84" i="3"/>
  <c r="P111" i="3"/>
  <c r="P112" i="3"/>
  <c r="P85" i="3"/>
  <c r="O107" i="3"/>
  <c r="O80" i="3"/>
  <c r="O110" i="3"/>
  <c r="O83" i="3"/>
  <c r="O84" i="3"/>
  <c r="O111" i="3"/>
  <c r="O85" i="3"/>
  <c r="O112" i="3"/>
  <c r="O109" i="3"/>
  <c r="O82" i="3"/>
  <c r="O108" i="3"/>
  <c r="O81" i="3"/>
  <c r="N82" i="3"/>
  <c r="N109" i="3"/>
  <c r="N110" i="3"/>
  <c r="N83" i="3"/>
  <c r="N107" i="3"/>
  <c r="N80" i="3"/>
  <c r="N81" i="3"/>
  <c r="N108" i="3"/>
  <c r="N84" i="3"/>
  <c r="N111" i="3"/>
  <c r="N85" i="3"/>
  <c r="N112" i="3"/>
  <c r="M81" i="3"/>
  <c r="M108" i="3"/>
  <c r="M83" i="3"/>
  <c r="M110" i="3"/>
  <c r="M109" i="3"/>
  <c r="M82" i="3"/>
  <c r="M112" i="3"/>
  <c r="M85" i="3"/>
  <c r="M84" i="3"/>
  <c r="M96" i="3" s="1"/>
  <c r="M119" i="1" s="1"/>
  <c r="M129" i="1" s="1"/>
  <c r="M111" i="3"/>
  <c r="M123" i="3" s="1"/>
  <c r="M120" i="1" s="1"/>
  <c r="M130" i="1" s="1"/>
  <c r="L84" i="3"/>
  <c r="L111" i="3"/>
  <c r="L112" i="3"/>
  <c r="L85" i="3"/>
  <c r="K84" i="3"/>
  <c r="K111" i="3"/>
  <c r="K123" i="3" s="1"/>
  <c r="K120" i="1" s="1"/>
  <c r="K130" i="1" s="1"/>
  <c r="K85" i="3"/>
  <c r="K112" i="3"/>
  <c r="J111" i="3"/>
  <c r="J84" i="3"/>
  <c r="J112" i="3"/>
  <c r="J85" i="3"/>
  <c r="I84" i="3"/>
  <c r="I111" i="3"/>
  <c r="I112" i="3"/>
  <c r="I85" i="3"/>
  <c r="H85" i="3"/>
  <c r="H112" i="3"/>
  <c r="H111" i="3"/>
  <c r="H123" i="3" s="1"/>
  <c r="H120" i="1" s="1"/>
  <c r="H130" i="1" s="1"/>
  <c r="H84" i="3"/>
  <c r="H96" i="3" s="1"/>
  <c r="H119" i="1" s="1"/>
  <c r="H129" i="1" s="1"/>
  <c r="G84" i="3"/>
  <c r="G111" i="3"/>
  <c r="G85" i="3"/>
  <c r="G112" i="3"/>
  <c r="F111" i="3"/>
  <c r="F84" i="3"/>
  <c r="F112" i="3"/>
  <c r="F85" i="3"/>
  <c r="E111" i="3"/>
  <c r="E84" i="3"/>
  <c r="E85" i="3"/>
  <c r="E112" i="3"/>
  <c r="D85" i="3"/>
  <c r="D112" i="3"/>
  <c r="D84" i="3"/>
  <c r="D96" i="3" s="1"/>
  <c r="D119" i="1" s="1"/>
  <c r="D129" i="1" s="1"/>
  <c r="D111" i="3"/>
  <c r="D123" i="3" s="1"/>
  <c r="D120" i="1" s="1"/>
  <c r="D130" i="1" s="1"/>
  <c r="E38" i="1"/>
  <c r="E68" i="1"/>
  <c r="E102" i="1"/>
  <c r="E33" i="1"/>
  <c r="E67" i="1"/>
  <c r="E101" i="1"/>
  <c r="E28" i="1"/>
  <c r="E66" i="1"/>
  <c r="E100" i="1"/>
  <c r="E23" i="1"/>
  <c r="E65" i="1"/>
  <c r="E99" i="1"/>
  <c r="E64" i="1"/>
  <c r="E98" i="1"/>
  <c r="E18" i="1"/>
  <c r="D43" i="1"/>
  <c r="D71" i="1"/>
  <c r="D77" i="1" s="1"/>
  <c r="D127" i="1" s="1"/>
  <c r="D105" i="1"/>
  <c r="D111" i="1" s="1"/>
  <c r="D133" i="1" s="1"/>
  <c r="E9" i="1"/>
  <c r="V105" i="3"/>
  <c r="V78" i="3"/>
  <c r="V104" i="3"/>
  <c r="V77" i="3"/>
  <c r="V103" i="3"/>
  <c r="V76" i="3"/>
  <c r="V102" i="3"/>
  <c r="V75" i="3"/>
  <c r="V118" i="1"/>
  <c r="V114" i="1"/>
  <c r="V106" i="3"/>
  <c r="V79" i="3"/>
  <c r="U102" i="3"/>
  <c r="U75" i="3"/>
  <c r="U118" i="1"/>
  <c r="U114" i="1"/>
  <c r="U105" i="3"/>
  <c r="U78" i="3"/>
  <c r="U104" i="3"/>
  <c r="U77" i="3"/>
  <c r="U103" i="3"/>
  <c r="U76" i="3"/>
  <c r="T104" i="3"/>
  <c r="T77" i="3"/>
  <c r="T106" i="3"/>
  <c r="T79" i="3"/>
  <c r="T78" i="3"/>
  <c r="T105" i="3"/>
  <c r="T103" i="3"/>
  <c r="T76" i="3"/>
  <c r="T102" i="3"/>
  <c r="T75" i="3"/>
  <c r="T118" i="1"/>
  <c r="T114" i="1"/>
  <c r="S102" i="3"/>
  <c r="S75" i="3"/>
  <c r="S118" i="1"/>
  <c r="S114" i="1"/>
  <c r="S103" i="3"/>
  <c r="S76" i="3"/>
  <c r="S106" i="3"/>
  <c r="S79" i="3"/>
  <c r="S105" i="3"/>
  <c r="S78" i="3"/>
  <c r="R102" i="3"/>
  <c r="R75" i="3"/>
  <c r="R118" i="1"/>
  <c r="R114" i="1"/>
  <c r="R79" i="3"/>
  <c r="R106" i="3"/>
  <c r="R78" i="3"/>
  <c r="R105" i="3"/>
  <c r="R103" i="3"/>
  <c r="R76" i="3"/>
  <c r="R104" i="3"/>
  <c r="R77" i="3"/>
  <c r="Q104" i="3"/>
  <c r="Q77" i="3"/>
  <c r="Q103" i="3"/>
  <c r="Q76" i="3"/>
  <c r="Q102" i="3"/>
  <c r="Q75" i="3"/>
  <c r="Q118" i="1"/>
  <c r="Q114" i="1"/>
  <c r="Q106" i="3"/>
  <c r="Q79" i="3"/>
  <c r="Q105" i="3"/>
  <c r="Q78" i="3"/>
  <c r="P106" i="3"/>
  <c r="P79" i="3"/>
  <c r="P103" i="3"/>
  <c r="P76" i="3"/>
  <c r="P102" i="3"/>
  <c r="P75" i="3"/>
  <c r="P118" i="1"/>
  <c r="P114" i="1"/>
  <c r="P104" i="3"/>
  <c r="P77" i="3"/>
  <c r="P105" i="3"/>
  <c r="P78" i="3"/>
  <c r="O104" i="3"/>
  <c r="O77" i="3"/>
  <c r="O103" i="3"/>
  <c r="O76" i="3"/>
  <c r="O106" i="3"/>
  <c r="O79" i="3"/>
  <c r="O102" i="3"/>
  <c r="O75" i="3"/>
  <c r="O118" i="1"/>
  <c r="O114" i="1"/>
  <c r="N103" i="3"/>
  <c r="N76" i="3"/>
  <c r="N102" i="3"/>
  <c r="N75" i="3"/>
  <c r="N118" i="1"/>
  <c r="N114" i="1"/>
  <c r="N105" i="3"/>
  <c r="N78" i="3"/>
  <c r="N104" i="3"/>
  <c r="N77" i="3"/>
  <c r="N79" i="3"/>
  <c r="N106" i="3"/>
  <c r="M107" i="3"/>
  <c r="M80" i="3"/>
  <c r="M102" i="3"/>
  <c r="M75" i="3"/>
  <c r="M118" i="1"/>
  <c r="M114" i="1"/>
  <c r="M105" i="3"/>
  <c r="M78" i="3"/>
  <c r="M106" i="3"/>
  <c r="M79" i="3"/>
  <c r="M103" i="3"/>
  <c r="M76" i="3"/>
  <c r="M104" i="3"/>
  <c r="M77" i="3"/>
  <c r="L104" i="3"/>
  <c r="L77" i="3"/>
  <c r="L102" i="3"/>
  <c r="L75" i="3"/>
  <c r="L118" i="1"/>
  <c r="L114" i="1"/>
  <c r="L78" i="3"/>
  <c r="L105" i="3"/>
  <c r="L106" i="3"/>
  <c r="L79" i="3"/>
  <c r="L103" i="3"/>
  <c r="L76" i="3"/>
  <c r="K104" i="3"/>
  <c r="K77" i="3"/>
  <c r="K106" i="3"/>
  <c r="K79" i="3"/>
  <c r="K105" i="3"/>
  <c r="K78" i="3"/>
  <c r="K102" i="3"/>
  <c r="K75" i="3"/>
  <c r="K118" i="1"/>
  <c r="K114" i="1"/>
  <c r="K103" i="3"/>
  <c r="K76" i="3"/>
  <c r="J102" i="3"/>
  <c r="J75" i="3"/>
  <c r="J118" i="1"/>
  <c r="J114" i="1"/>
  <c r="J106" i="3"/>
  <c r="J79" i="3"/>
  <c r="J105" i="3"/>
  <c r="J78" i="3"/>
  <c r="J104" i="3"/>
  <c r="J77" i="3"/>
  <c r="J103" i="3"/>
  <c r="J76" i="3"/>
  <c r="I105" i="3"/>
  <c r="I78" i="3"/>
  <c r="I102" i="3"/>
  <c r="I75" i="3"/>
  <c r="I118" i="1"/>
  <c r="I114" i="1"/>
  <c r="I103" i="3"/>
  <c r="I76" i="3"/>
  <c r="I79" i="3"/>
  <c r="I106" i="3"/>
  <c r="I104" i="3"/>
  <c r="I77" i="3"/>
  <c r="H78" i="3"/>
  <c r="H105" i="3"/>
  <c r="H106" i="3"/>
  <c r="H79" i="3"/>
  <c r="G105" i="3"/>
  <c r="G78" i="3"/>
  <c r="G104" i="3"/>
  <c r="G77" i="3"/>
  <c r="F102" i="3"/>
  <c r="F75" i="3"/>
  <c r="F118" i="1"/>
  <c r="F114" i="1"/>
  <c r="F105" i="3"/>
  <c r="F78" i="3"/>
  <c r="F103" i="3"/>
  <c r="F76" i="3"/>
  <c r="F104" i="3"/>
  <c r="F77" i="3"/>
  <c r="F106" i="3"/>
  <c r="F79" i="3"/>
  <c r="E102" i="3"/>
  <c r="E75" i="3"/>
  <c r="E118" i="1"/>
  <c r="E114" i="1"/>
  <c r="E105" i="3"/>
  <c r="E78" i="3"/>
  <c r="E104" i="3"/>
  <c r="E77" i="3"/>
  <c r="E106" i="3"/>
  <c r="E79" i="3"/>
  <c r="E103" i="3"/>
  <c r="E76" i="3"/>
  <c r="D103" i="3"/>
  <c r="D76" i="3"/>
  <c r="D102" i="3"/>
  <c r="D75" i="3"/>
  <c r="D118" i="1"/>
  <c r="D114" i="1"/>
  <c r="D105" i="3"/>
  <c r="D78" i="3"/>
  <c r="D104" i="3"/>
  <c r="D77" i="3"/>
  <c r="P123" i="3" l="1"/>
  <c r="P120" i="1" s="1"/>
  <c r="P132" i="1" s="1"/>
  <c r="P96" i="3"/>
  <c r="P119" i="1" s="1"/>
  <c r="P129" i="1" s="1"/>
  <c r="G97" i="3"/>
  <c r="G95" i="3"/>
  <c r="G115" i="1" s="1"/>
  <c r="G123" i="1" s="1"/>
  <c r="U96" i="3"/>
  <c r="U119" i="1" s="1"/>
  <c r="U129" i="1" s="1"/>
  <c r="U123" i="3"/>
  <c r="U120" i="1" s="1"/>
  <c r="T96" i="3"/>
  <c r="T119" i="1" s="1"/>
  <c r="T129" i="1" s="1"/>
  <c r="G122" i="3"/>
  <c r="G116" i="1" s="1"/>
  <c r="G124" i="3"/>
  <c r="S96" i="3"/>
  <c r="S119" i="1" s="1"/>
  <c r="S129" i="1" s="1"/>
  <c r="R96" i="3"/>
  <c r="R119" i="1" s="1"/>
  <c r="R129" i="1" s="1"/>
  <c r="R123" i="3"/>
  <c r="R120" i="1" s="1"/>
  <c r="O96" i="3"/>
  <c r="O119" i="1" s="1"/>
  <c r="O129" i="1" s="1"/>
  <c r="O123" i="3"/>
  <c r="O120" i="1" s="1"/>
  <c r="O130" i="1" s="1"/>
  <c r="K96" i="3"/>
  <c r="K119" i="1" s="1"/>
  <c r="K129" i="1" s="1"/>
  <c r="S123" i="3"/>
  <c r="S120" i="1" s="1"/>
  <c r="H97" i="3"/>
  <c r="H95" i="3"/>
  <c r="H115" i="1" s="1"/>
  <c r="H123" i="1" s="1"/>
  <c r="H124" i="3"/>
  <c r="H122" i="3"/>
  <c r="H116" i="1" s="1"/>
  <c r="V131" i="1"/>
  <c r="V132" i="1"/>
  <c r="M131" i="1"/>
  <c r="M132" i="1"/>
  <c r="K131" i="1"/>
  <c r="K132" i="1"/>
  <c r="H131" i="1"/>
  <c r="H132" i="1"/>
  <c r="D131" i="1"/>
  <c r="D132" i="1"/>
  <c r="E76" i="1"/>
  <c r="E110" i="1"/>
  <c r="F34" i="1"/>
  <c r="F36" i="1" s="1"/>
  <c r="E75" i="1"/>
  <c r="E109" i="1"/>
  <c r="F29" i="1"/>
  <c r="F31" i="1" s="1"/>
  <c r="E74" i="1"/>
  <c r="E108" i="1"/>
  <c r="F24" i="1"/>
  <c r="F26" i="1" s="1"/>
  <c r="F19" i="1"/>
  <c r="F21" i="1" s="1"/>
  <c r="E73" i="1"/>
  <c r="E107" i="1"/>
  <c r="E72" i="1"/>
  <c r="E106" i="1"/>
  <c r="F14" i="1"/>
  <c r="F16" i="1" s="1"/>
  <c r="E11" i="1"/>
  <c r="E39" i="1"/>
  <c r="V124" i="3"/>
  <c r="V122" i="3"/>
  <c r="V116" i="1" s="1"/>
  <c r="V95" i="3"/>
  <c r="V115" i="1" s="1"/>
  <c r="V123" i="1" s="1"/>
  <c r="V97" i="3"/>
  <c r="U122" i="3"/>
  <c r="U116" i="1" s="1"/>
  <c r="U124" i="3"/>
  <c r="U95" i="3"/>
  <c r="U115" i="1" s="1"/>
  <c r="U123" i="1" s="1"/>
  <c r="U97" i="3"/>
  <c r="T124" i="3"/>
  <c r="T122" i="3"/>
  <c r="T116" i="1" s="1"/>
  <c r="T95" i="3"/>
  <c r="T115" i="1" s="1"/>
  <c r="T123" i="1" s="1"/>
  <c r="T97" i="3"/>
  <c r="S124" i="3"/>
  <c r="S122" i="3"/>
  <c r="S116" i="1" s="1"/>
  <c r="S95" i="3"/>
  <c r="S115" i="1" s="1"/>
  <c r="S123" i="1" s="1"/>
  <c r="S97" i="3"/>
  <c r="R122" i="3"/>
  <c r="R116" i="1" s="1"/>
  <c r="R124" i="3"/>
  <c r="R95" i="3"/>
  <c r="R115" i="1" s="1"/>
  <c r="R123" i="1" s="1"/>
  <c r="R97" i="3"/>
  <c r="Q124" i="3"/>
  <c r="Q122" i="3"/>
  <c r="Q116" i="1" s="1"/>
  <c r="Q95" i="3"/>
  <c r="Q115" i="1" s="1"/>
  <c r="Q123" i="1" s="1"/>
  <c r="Q97" i="3"/>
  <c r="P124" i="3"/>
  <c r="P122" i="3"/>
  <c r="P116" i="1" s="1"/>
  <c r="P95" i="3"/>
  <c r="P115" i="1" s="1"/>
  <c r="P123" i="1" s="1"/>
  <c r="P97" i="3"/>
  <c r="O124" i="3"/>
  <c r="O122" i="3"/>
  <c r="O116" i="1" s="1"/>
  <c r="O95" i="3"/>
  <c r="O115" i="1" s="1"/>
  <c r="O123" i="1" s="1"/>
  <c r="O97" i="3"/>
  <c r="N122" i="3"/>
  <c r="N116" i="1" s="1"/>
  <c r="N124" i="3"/>
  <c r="N95" i="3"/>
  <c r="N115" i="1" s="1"/>
  <c r="N123" i="1" s="1"/>
  <c r="N97" i="3"/>
  <c r="M124" i="3"/>
  <c r="M122" i="3"/>
  <c r="M116" i="1" s="1"/>
  <c r="M95" i="3"/>
  <c r="M115" i="1" s="1"/>
  <c r="M123" i="1" s="1"/>
  <c r="M97" i="3"/>
  <c r="L124" i="3"/>
  <c r="L122" i="3"/>
  <c r="L116" i="1" s="1"/>
  <c r="L95" i="3"/>
  <c r="L115" i="1" s="1"/>
  <c r="L123" i="1" s="1"/>
  <c r="L97" i="3"/>
  <c r="K124" i="3"/>
  <c r="K122" i="3"/>
  <c r="K116" i="1" s="1"/>
  <c r="K95" i="3"/>
  <c r="K115" i="1" s="1"/>
  <c r="K123" i="1" s="1"/>
  <c r="K97" i="3"/>
  <c r="J122" i="3"/>
  <c r="J116" i="1" s="1"/>
  <c r="J124" i="3"/>
  <c r="J95" i="3"/>
  <c r="J115" i="1" s="1"/>
  <c r="J123" i="1" s="1"/>
  <c r="J97" i="3"/>
  <c r="I124" i="3"/>
  <c r="I122" i="3"/>
  <c r="I116" i="1" s="1"/>
  <c r="I95" i="3"/>
  <c r="I115" i="1" s="1"/>
  <c r="I123" i="1" s="1"/>
  <c r="I97" i="3"/>
  <c r="F124" i="3"/>
  <c r="F122" i="3"/>
  <c r="F116" i="1" s="1"/>
  <c r="F97" i="3"/>
  <c r="F95" i="3"/>
  <c r="F115" i="1" s="1"/>
  <c r="F123" i="1" s="1"/>
  <c r="E124" i="3"/>
  <c r="E122" i="3"/>
  <c r="E116" i="1" s="1"/>
  <c r="E97" i="3"/>
  <c r="E95" i="3"/>
  <c r="E115" i="1" s="1"/>
  <c r="E123" i="1" s="1"/>
  <c r="D124" i="3"/>
  <c r="D122" i="3"/>
  <c r="D116" i="1" s="1"/>
  <c r="D95" i="3"/>
  <c r="D115" i="1" s="1"/>
  <c r="D123" i="1" s="1"/>
  <c r="D97" i="3"/>
  <c r="Q96" i="3"/>
  <c r="Q119" i="1" s="1"/>
  <c r="Q129" i="1" s="1"/>
  <c r="Q123" i="3"/>
  <c r="Q120" i="1" s="1"/>
  <c r="N96" i="3"/>
  <c r="N119" i="1" s="1"/>
  <c r="N129" i="1" s="1"/>
  <c r="N123" i="3"/>
  <c r="N120" i="1" s="1"/>
  <c r="L96" i="3"/>
  <c r="L119" i="1" s="1"/>
  <c r="L129" i="1" s="1"/>
  <c r="L123" i="3"/>
  <c r="L120" i="1" s="1"/>
  <c r="F123" i="3"/>
  <c r="F120" i="1" s="1"/>
  <c r="E123" i="3"/>
  <c r="E120" i="1" s="1"/>
  <c r="J123" i="3"/>
  <c r="J120" i="1" s="1"/>
  <c r="J96" i="3"/>
  <c r="J119" i="1" s="1"/>
  <c r="J129" i="1" s="1"/>
  <c r="I96" i="3"/>
  <c r="I119" i="1" s="1"/>
  <c r="I129" i="1" s="1"/>
  <c r="I123" i="3"/>
  <c r="I120" i="1" s="1"/>
  <c r="G96" i="3"/>
  <c r="G119" i="1" s="1"/>
  <c r="G129" i="1" s="1"/>
  <c r="G123" i="3"/>
  <c r="G120" i="1" s="1"/>
  <c r="F96" i="3"/>
  <c r="F119" i="1" s="1"/>
  <c r="F129" i="1" s="1"/>
  <c r="E96" i="3"/>
  <c r="E119" i="1" s="1"/>
  <c r="E129" i="1" s="1"/>
  <c r="T123" i="3"/>
  <c r="T120" i="1" s="1"/>
  <c r="P130" i="1" l="1"/>
  <c r="P131" i="1"/>
  <c r="U130" i="1"/>
  <c r="U131" i="1"/>
  <c r="U132" i="1"/>
  <c r="G124" i="1"/>
  <c r="G125" i="1"/>
  <c r="G126" i="1"/>
  <c r="R130" i="1"/>
  <c r="R131" i="1"/>
  <c r="R132" i="1"/>
  <c r="S130" i="1"/>
  <c r="S131" i="1"/>
  <c r="S132" i="1"/>
  <c r="O131" i="1"/>
  <c r="O132" i="1"/>
  <c r="H124" i="1"/>
  <c r="H125" i="1"/>
  <c r="H126" i="1"/>
  <c r="F38" i="1"/>
  <c r="F68" i="1"/>
  <c r="F102" i="1"/>
  <c r="F33" i="1"/>
  <c r="F67" i="1"/>
  <c r="F101" i="1"/>
  <c r="F28" i="1"/>
  <c r="F66" i="1"/>
  <c r="F100" i="1"/>
  <c r="F65" i="1"/>
  <c r="F99" i="1"/>
  <c r="F23" i="1"/>
  <c r="F18" i="1"/>
  <c r="F64" i="1"/>
  <c r="F98" i="1"/>
  <c r="E13" i="1"/>
  <c r="E41" i="1"/>
  <c r="E63" i="1"/>
  <c r="E69" i="1" s="1"/>
  <c r="E97" i="1"/>
  <c r="E103" i="1" s="1"/>
  <c r="V124" i="1"/>
  <c r="V125" i="1"/>
  <c r="V126" i="1"/>
  <c r="U124" i="1"/>
  <c r="U125" i="1"/>
  <c r="U126" i="1"/>
  <c r="T124" i="1"/>
  <c r="T125" i="1"/>
  <c r="T126" i="1"/>
  <c r="S124" i="1"/>
  <c r="S125" i="1"/>
  <c r="S126" i="1"/>
  <c r="R124" i="1"/>
  <c r="R125" i="1"/>
  <c r="R126" i="1"/>
  <c r="Q124" i="1"/>
  <c r="Q125" i="1"/>
  <c r="Q126" i="1"/>
  <c r="P124" i="1"/>
  <c r="P125" i="1"/>
  <c r="P126" i="1"/>
  <c r="O124" i="1"/>
  <c r="O125" i="1"/>
  <c r="O126" i="1"/>
  <c r="N124" i="1"/>
  <c r="N125" i="1"/>
  <c r="N126" i="1"/>
  <c r="M124" i="1"/>
  <c r="M125" i="1"/>
  <c r="M126" i="1"/>
  <c r="L124" i="1"/>
  <c r="L125" i="1"/>
  <c r="L126" i="1"/>
  <c r="K124" i="1"/>
  <c r="K125" i="1"/>
  <c r="K126" i="1"/>
  <c r="J124" i="1"/>
  <c r="J125" i="1"/>
  <c r="J126" i="1"/>
  <c r="I124" i="1"/>
  <c r="I125" i="1"/>
  <c r="I126" i="1"/>
  <c r="F124" i="1"/>
  <c r="F125" i="1"/>
  <c r="F126" i="1"/>
  <c r="E124" i="1"/>
  <c r="E125" i="1"/>
  <c r="E126" i="1"/>
  <c r="D124" i="1"/>
  <c r="D125" i="1"/>
  <c r="D126" i="1"/>
  <c r="Q132" i="1"/>
  <c r="Q131" i="1"/>
  <c r="Q130" i="1"/>
  <c r="N132" i="1"/>
  <c r="N131" i="1"/>
  <c r="N130" i="1"/>
  <c r="L132" i="1"/>
  <c r="L131" i="1"/>
  <c r="L130" i="1"/>
  <c r="F132" i="1"/>
  <c r="F131" i="1"/>
  <c r="F130" i="1"/>
  <c r="E132" i="1"/>
  <c r="E131" i="1"/>
  <c r="E130" i="1"/>
  <c r="J132" i="1"/>
  <c r="J131" i="1"/>
  <c r="J130" i="1"/>
  <c r="I132" i="1"/>
  <c r="I131" i="1"/>
  <c r="I130" i="1"/>
  <c r="G132" i="1"/>
  <c r="G131" i="1"/>
  <c r="G130" i="1"/>
  <c r="T132" i="1"/>
  <c r="T131" i="1"/>
  <c r="T130" i="1"/>
  <c r="F110" i="1" l="1"/>
  <c r="F76" i="1"/>
  <c r="G34" i="1"/>
  <c r="G36" i="1" s="1"/>
  <c r="F75" i="1"/>
  <c r="F109" i="1"/>
  <c r="G29" i="1"/>
  <c r="G31" i="1" s="1"/>
  <c r="F74" i="1"/>
  <c r="F108" i="1"/>
  <c r="G24" i="1"/>
  <c r="G26" i="1" s="1"/>
  <c r="F73" i="1"/>
  <c r="F107" i="1"/>
  <c r="G19" i="1"/>
  <c r="G21" i="1" s="1"/>
  <c r="F72" i="1"/>
  <c r="F106" i="1"/>
  <c r="G14" i="1"/>
  <c r="G16" i="1" s="1"/>
  <c r="F9" i="1"/>
  <c r="E43" i="1"/>
  <c r="E71" i="1"/>
  <c r="E77" i="1" s="1"/>
  <c r="E127" i="1" s="1"/>
  <c r="E105" i="1"/>
  <c r="E111" i="1" s="1"/>
  <c r="E133" i="1" s="1"/>
  <c r="G38" i="1" l="1"/>
  <c r="G68" i="1"/>
  <c r="G102" i="1"/>
  <c r="G33" i="1"/>
  <c r="G67" i="1"/>
  <c r="G101" i="1"/>
  <c r="G28" i="1"/>
  <c r="G66" i="1"/>
  <c r="G100" i="1"/>
  <c r="G23" i="1"/>
  <c r="G65" i="1"/>
  <c r="G99" i="1"/>
  <c r="G64" i="1"/>
  <c r="G98" i="1"/>
  <c r="G18" i="1"/>
  <c r="F11" i="1"/>
  <c r="F39" i="1"/>
  <c r="G76" i="1" l="1"/>
  <c r="G110" i="1"/>
  <c r="H34" i="1"/>
  <c r="H36" i="1" s="1"/>
  <c r="G75" i="1"/>
  <c r="G109" i="1"/>
  <c r="H29" i="1"/>
  <c r="H31" i="1" s="1"/>
  <c r="G74" i="1"/>
  <c r="G108" i="1"/>
  <c r="H24" i="1"/>
  <c r="H26" i="1" s="1"/>
  <c r="H19" i="1"/>
  <c r="H21" i="1" s="1"/>
  <c r="G73" i="1"/>
  <c r="G107" i="1"/>
  <c r="G72" i="1"/>
  <c r="G106" i="1"/>
  <c r="H14" i="1"/>
  <c r="H16" i="1" s="1"/>
  <c r="F41" i="1"/>
  <c r="F63" i="1"/>
  <c r="F69" i="1" s="1"/>
  <c r="F97" i="1"/>
  <c r="F103" i="1" s="1"/>
  <c r="F13" i="1"/>
  <c r="H38" i="1" l="1"/>
  <c r="H68" i="1"/>
  <c r="H102" i="1"/>
  <c r="H33" i="1"/>
  <c r="H67" i="1"/>
  <c r="H101" i="1"/>
  <c r="H28" i="1"/>
  <c r="H66" i="1"/>
  <c r="H100" i="1"/>
  <c r="H65" i="1"/>
  <c r="H99" i="1"/>
  <c r="H23" i="1"/>
  <c r="H18" i="1"/>
  <c r="H64" i="1"/>
  <c r="H98" i="1"/>
  <c r="G9" i="1"/>
  <c r="F43" i="1"/>
  <c r="F71" i="1"/>
  <c r="F77" i="1" s="1"/>
  <c r="F127" i="1" s="1"/>
  <c r="F105" i="1"/>
  <c r="F111" i="1" s="1"/>
  <c r="F133" i="1" s="1"/>
  <c r="H110" i="1" l="1"/>
  <c r="H76" i="1"/>
  <c r="I34" i="1"/>
  <c r="I36" i="1" s="1"/>
  <c r="H75" i="1"/>
  <c r="H109" i="1"/>
  <c r="I29" i="1"/>
  <c r="I31" i="1" s="1"/>
  <c r="H74" i="1"/>
  <c r="H108" i="1"/>
  <c r="I24" i="1"/>
  <c r="I26" i="1" s="1"/>
  <c r="H73" i="1"/>
  <c r="H107" i="1"/>
  <c r="I19" i="1"/>
  <c r="I21" i="1" s="1"/>
  <c r="H72" i="1"/>
  <c r="H106" i="1"/>
  <c r="I14" i="1"/>
  <c r="I16" i="1" s="1"/>
  <c r="G39" i="1"/>
  <c r="G11" i="1"/>
  <c r="I38" i="1" l="1"/>
  <c r="I68" i="1"/>
  <c r="I102" i="1"/>
  <c r="I33" i="1"/>
  <c r="I67" i="1"/>
  <c r="I101" i="1"/>
  <c r="I28" i="1"/>
  <c r="I66" i="1"/>
  <c r="I100" i="1"/>
  <c r="I23" i="1"/>
  <c r="I65" i="1"/>
  <c r="I99" i="1"/>
  <c r="I18" i="1"/>
  <c r="I64" i="1"/>
  <c r="I98" i="1"/>
  <c r="G13" i="1"/>
  <c r="G41" i="1"/>
  <c r="G63" i="1"/>
  <c r="G69" i="1" s="1"/>
  <c r="G97" i="1"/>
  <c r="G103" i="1" s="1"/>
  <c r="I76" i="1" l="1"/>
  <c r="I110" i="1"/>
  <c r="J34" i="1"/>
  <c r="J36" i="1" s="1"/>
  <c r="I75" i="1"/>
  <c r="I109" i="1"/>
  <c r="J29" i="1"/>
  <c r="J31" i="1" s="1"/>
  <c r="I74" i="1"/>
  <c r="I108" i="1"/>
  <c r="J24" i="1"/>
  <c r="J26" i="1" s="1"/>
  <c r="J19" i="1"/>
  <c r="J21" i="1" s="1"/>
  <c r="I73" i="1"/>
  <c r="I107" i="1"/>
  <c r="I72" i="1"/>
  <c r="I106" i="1"/>
  <c r="J14" i="1"/>
  <c r="J16" i="1" s="1"/>
  <c r="G43" i="1"/>
  <c r="G71" i="1"/>
  <c r="G77" i="1" s="1"/>
  <c r="G127" i="1" s="1"/>
  <c r="G105" i="1"/>
  <c r="G111" i="1" s="1"/>
  <c r="G133" i="1" s="1"/>
  <c r="H9" i="1"/>
  <c r="J38" i="1" l="1"/>
  <c r="J68" i="1"/>
  <c r="J102" i="1"/>
  <c r="J33" i="1"/>
  <c r="J67" i="1"/>
  <c r="J101" i="1"/>
  <c r="J28" i="1"/>
  <c r="J66" i="1"/>
  <c r="J100" i="1"/>
  <c r="J65" i="1"/>
  <c r="J99" i="1"/>
  <c r="J23" i="1"/>
  <c r="J18" i="1"/>
  <c r="J64" i="1"/>
  <c r="J98" i="1"/>
  <c r="H11" i="1"/>
  <c r="H39" i="1"/>
  <c r="J76" i="1" l="1"/>
  <c r="J110" i="1"/>
  <c r="K34" i="1"/>
  <c r="K36" i="1" s="1"/>
  <c r="J75" i="1"/>
  <c r="J109" i="1"/>
  <c r="K29" i="1"/>
  <c r="K31" i="1" s="1"/>
  <c r="J74" i="1"/>
  <c r="J108" i="1"/>
  <c r="K24" i="1"/>
  <c r="K26" i="1" s="1"/>
  <c r="J73" i="1"/>
  <c r="J107" i="1"/>
  <c r="K19" i="1"/>
  <c r="K21" i="1" s="1"/>
  <c r="J72" i="1"/>
  <c r="J106" i="1"/>
  <c r="K14" i="1"/>
  <c r="K16" i="1" s="1"/>
  <c r="H41" i="1"/>
  <c r="H63" i="1"/>
  <c r="H69" i="1" s="1"/>
  <c r="H97" i="1"/>
  <c r="H103" i="1" s="1"/>
  <c r="H13" i="1"/>
  <c r="K38" i="1" l="1"/>
  <c r="K68" i="1"/>
  <c r="K102" i="1"/>
  <c r="K33" i="1"/>
  <c r="K67" i="1"/>
  <c r="K101" i="1"/>
  <c r="K28" i="1"/>
  <c r="K66" i="1"/>
  <c r="K100" i="1"/>
  <c r="K23" i="1"/>
  <c r="K65" i="1"/>
  <c r="K99" i="1"/>
  <c r="K18" i="1"/>
  <c r="K64" i="1"/>
  <c r="K98" i="1"/>
  <c r="I9" i="1"/>
  <c r="H43" i="1"/>
  <c r="H71" i="1"/>
  <c r="H77" i="1" s="1"/>
  <c r="H127" i="1" s="1"/>
  <c r="H105" i="1"/>
  <c r="H111" i="1" s="1"/>
  <c r="H133" i="1" s="1"/>
  <c r="K76" i="1" l="1"/>
  <c r="K110" i="1"/>
  <c r="L34" i="1"/>
  <c r="L36" i="1" s="1"/>
  <c r="K75" i="1"/>
  <c r="K109" i="1"/>
  <c r="L29" i="1"/>
  <c r="L31" i="1" s="1"/>
  <c r="K74" i="1"/>
  <c r="K108" i="1"/>
  <c r="L24" i="1"/>
  <c r="L26" i="1" s="1"/>
  <c r="L19" i="1"/>
  <c r="L21" i="1" s="1"/>
  <c r="K73" i="1"/>
  <c r="K107" i="1"/>
  <c r="K72" i="1"/>
  <c r="K106" i="1"/>
  <c r="L14" i="1"/>
  <c r="L16" i="1" s="1"/>
  <c r="I39" i="1"/>
  <c r="I11" i="1"/>
  <c r="L38" i="1" l="1"/>
  <c r="L68" i="1"/>
  <c r="L102" i="1"/>
  <c r="L33" i="1"/>
  <c r="L67" i="1"/>
  <c r="L101" i="1"/>
  <c r="L28" i="1"/>
  <c r="L66" i="1"/>
  <c r="L100" i="1"/>
  <c r="L65" i="1"/>
  <c r="L99" i="1"/>
  <c r="L23" i="1"/>
  <c r="L18" i="1"/>
  <c r="L64" i="1"/>
  <c r="L98" i="1"/>
  <c r="I13" i="1"/>
  <c r="I41" i="1"/>
  <c r="I63" i="1"/>
  <c r="I69" i="1" s="1"/>
  <c r="I97" i="1"/>
  <c r="I103" i="1" s="1"/>
  <c r="L76" i="1" l="1"/>
  <c r="L110" i="1"/>
  <c r="M34" i="1"/>
  <c r="M36" i="1" s="1"/>
  <c r="L75" i="1"/>
  <c r="L109" i="1"/>
  <c r="M29" i="1"/>
  <c r="M31" i="1" s="1"/>
  <c r="L74" i="1"/>
  <c r="L108" i="1"/>
  <c r="M24" i="1"/>
  <c r="M26" i="1" s="1"/>
  <c r="L73" i="1"/>
  <c r="L107" i="1"/>
  <c r="M19" i="1"/>
  <c r="M21" i="1" s="1"/>
  <c r="L72" i="1"/>
  <c r="L106" i="1"/>
  <c r="M14" i="1"/>
  <c r="M16" i="1" s="1"/>
  <c r="I43" i="1"/>
  <c r="I71" i="1"/>
  <c r="I77" i="1" s="1"/>
  <c r="I127" i="1" s="1"/>
  <c r="I105" i="1"/>
  <c r="I111" i="1" s="1"/>
  <c r="I133" i="1" s="1"/>
  <c r="J9" i="1"/>
  <c r="M38" i="1" l="1"/>
  <c r="M68" i="1"/>
  <c r="M102" i="1"/>
  <c r="M33" i="1"/>
  <c r="M67" i="1"/>
  <c r="M101" i="1"/>
  <c r="M28" i="1"/>
  <c r="M66" i="1"/>
  <c r="M100" i="1"/>
  <c r="M23" i="1"/>
  <c r="M65" i="1"/>
  <c r="M99" i="1"/>
  <c r="M18" i="1"/>
  <c r="M64" i="1"/>
  <c r="M98" i="1"/>
  <c r="J11" i="1"/>
  <c r="J39" i="1"/>
  <c r="M76" i="1" l="1"/>
  <c r="M110" i="1"/>
  <c r="N34" i="1"/>
  <c r="N36" i="1" s="1"/>
  <c r="M75" i="1"/>
  <c r="M109" i="1"/>
  <c r="N29" i="1"/>
  <c r="N31" i="1" s="1"/>
  <c r="M74" i="1"/>
  <c r="M108" i="1"/>
  <c r="N24" i="1"/>
  <c r="N26" i="1" s="1"/>
  <c r="N19" i="1"/>
  <c r="N21" i="1" s="1"/>
  <c r="M73" i="1"/>
  <c r="M107" i="1"/>
  <c r="M72" i="1"/>
  <c r="M106" i="1"/>
  <c r="N14" i="1"/>
  <c r="N16" i="1" s="1"/>
  <c r="J41" i="1"/>
  <c r="J63" i="1"/>
  <c r="J69" i="1" s="1"/>
  <c r="J97" i="1"/>
  <c r="J103" i="1" s="1"/>
  <c r="J13" i="1"/>
  <c r="N38" i="1" l="1"/>
  <c r="N68" i="1"/>
  <c r="N102" i="1"/>
  <c r="N33" i="1"/>
  <c r="N67" i="1"/>
  <c r="N101" i="1"/>
  <c r="N28" i="1"/>
  <c r="N66" i="1"/>
  <c r="N100" i="1"/>
  <c r="N65" i="1"/>
  <c r="N99" i="1"/>
  <c r="N23" i="1"/>
  <c r="N18" i="1"/>
  <c r="N64" i="1"/>
  <c r="N98" i="1"/>
  <c r="K9" i="1"/>
  <c r="J43" i="1"/>
  <c r="J71" i="1"/>
  <c r="J77" i="1" s="1"/>
  <c r="J127" i="1" s="1"/>
  <c r="J105" i="1"/>
  <c r="J111" i="1" s="1"/>
  <c r="J133" i="1" s="1"/>
  <c r="N76" i="1" l="1"/>
  <c r="N110" i="1"/>
  <c r="O34" i="1"/>
  <c r="O36" i="1" s="1"/>
  <c r="N75" i="1"/>
  <c r="N109" i="1"/>
  <c r="O29" i="1"/>
  <c r="O31" i="1" s="1"/>
  <c r="N74" i="1"/>
  <c r="N108" i="1"/>
  <c r="O24" i="1"/>
  <c r="O26" i="1" s="1"/>
  <c r="N73" i="1"/>
  <c r="N107" i="1"/>
  <c r="O19" i="1"/>
  <c r="O21" i="1" s="1"/>
  <c r="N72" i="1"/>
  <c r="N106" i="1"/>
  <c r="O14" i="1"/>
  <c r="O16" i="1" s="1"/>
  <c r="K39" i="1"/>
  <c r="K11" i="1"/>
  <c r="O38" i="1" l="1"/>
  <c r="O68" i="1"/>
  <c r="O102" i="1"/>
  <c r="O33" i="1"/>
  <c r="O67" i="1"/>
  <c r="O101" i="1"/>
  <c r="O28" i="1"/>
  <c r="O66" i="1"/>
  <c r="O100" i="1"/>
  <c r="O23" i="1"/>
  <c r="O65" i="1"/>
  <c r="O99" i="1"/>
  <c r="O18" i="1"/>
  <c r="O64" i="1"/>
  <c r="O98" i="1"/>
  <c r="K13" i="1"/>
  <c r="K41" i="1"/>
  <c r="K63" i="1"/>
  <c r="K69" i="1" s="1"/>
  <c r="K97" i="1"/>
  <c r="K103" i="1" s="1"/>
  <c r="O76" i="1" l="1"/>
  <c r="O110" i="1"/>
  <c r="P34" i="1"/>
  <c r="P36" i="1" s="1"/>
  <c r="O75" i="1"/>
  <c r="O109" i="1"/>
  <c r="P29" i="1"/>
  <c r="P31" i="1" s="1"/>
  <c r="O74" i="1"/>
  <c r="O108" i="1"/>
  <c r="P24" i="1"/>
  <c r="P26" i="1" s="1"/>
  <c r="P19" i="1"/>
  <c r="P21" i="1" s="1"/>
  <c r="O73" i="1"/>
  <c r="O107" i="1"/>
  <c r="O72" i="1"/>
  <c r="O106" i="1"/>
  <c r="P14" i="1"/>
  <c r="P16" i="1" s="1"/>
  <c r="K43" i="1"/>
  <c r="K71" i="1"/>
  <c r="K77" i="1" s="1"/>
  <c r="K127" i="1" s="1"/>
  <c r="K105" i="1"/>
  <c r="K111" i="1" s="1"/>
  <c r="K133" i="1" s="1"/>
  <c r="L9" i="1"/>
  <c r="P38" i="1" l="1"/>
  <c r="P68" i="1"/>
  <c r="P102" i="1"/>
  <c r="P33" i="1"/>
  <c r="P67" i="1"/>
  <c r="P101" i="1"/>
  <c r="P28" i="1"/>
  <c r="P66" i="1"/>
  <c r="P100" i="1"/>
  <c r="P65" i="1"/>
  <c r="P99" i="1"/>
  <c r="P23" i="1"/>
  <c r="P18" i="1"/>
  <c r="P64" i="1"/>
  <c r="P98" i="1"/>
  <c r="L11" i="1"/>
  <c r="L39" i="1"/>
  <c r="P76" i="1" l="1"/>
  <c r="P110" i="1"/>
  <c r="Q34" i="1"/>
  <c r="Q36" i="1" s="1"/>
  <c r="P75" i="1"/>
  <c r="P109" i="1"/>
  <c r="Q29" i="1"/>
  <c r="Q31" i="1" s="1"/>
  <c r="P108" i="1"/>
  <c r="P74" i="1"/>
  <c r="Q24" i="1"/>
  <c r="Q26" i="1" s="1"/>
  <c r="P73" i="1"/>
  <c r="P107" i="1"/>
  <c r="Q19" i="1"/>
  <c r="Q21" i="1" s="1"/>
  <c r="P72" i="1"/>
  <c r="P106" i="1"/>
  <c r="Q14" i="1"/>
  <c r="Q16" i="1" s="1"/>
  <c r="L41" i="1"/>
  <c r="L63" i="1"/>
  <c r="L69" i="1" s="1"/>
  <c r="L97" i="1"/>
  <c r="L103" i="1" s="1"/>
  <c r="L13" i="1"/>
  <c r="Q38" i="1" l="1"/>
  <c r="Q68" i="1"/>
  <c r="Q102" i="1"/>
  <c r="Q33" i="1"/>
  <c r="Q67" i="1"/>
  <c r="Q101" i="1"/>
  <c r="Q28" i="1"/>
  <c r="Q66" i="1"/>
  <c r="Q100" i="1"/>
  <c r="Q23" i="1"/>
  <c r="Q65" i="1"/>
  <c r="Q99" i="1"/>
  <c r="Q18" i="1"/>
  <c r="Q64" i="1"/>
  <c r="Q98" i="1"/>
  <c r="M9" i="1"/>
  <c r="L43" i="1"/>
  <c r="L71" i="1"/>
  <c r="L77" i="1" s="1"/>
  <c r="L127" i="1" s="1"/>
  <c r="L105" i="1"/>
  <c r="L111" i="1" s="1"/>
  <c r="L133" i="1" s="1"/>
  <c r="Q76" i="1" l="1"/>
  <c r="Q110" i="1"/>
  <c r="R34" i="1"/>
  <c r="R36" i="1" s="1"/>
  <c r="Q75" i="1"/>
  <c r="Q109" i="1"/>
  <c r="R29" i="1"/>
  <c r="R31" i="1" s="1"/>
  <c r="Q74" i="1"/>
  <c r="Q108" i="1"/>
  <c r="R24" i="1"/>
  <c r="R26" i="1" s="1"/>
  <c r="R19" i="1"/>
  <c r="R21" i="1" s="1"/>
  <c r="Q73" i="1"/>
  <c r="Q107" i="1"/>
  <c r="R14" i="1"/>
  <c r="R16" i="1" s="1"/>
  <c r="Q72" i="1"/>
  <c r="Q106" i="1"/>
  <c r="M39" i="1"/>
  <c r="M11" i="1"/>
  <c r="R38" i="1" l="1"/>
  <c r="R68" i="1"/>
  <c r="R102" i="1"/>
  <c r="R33" i="1"/>
  <c r="R67" i="1"/>
  <c r="R101" i="1"/>
  <c r="R28" i="1"/>
  <c r="R66" i="1"/>
  <c r="R100" i="1"/>
  <c r="R65" i="1"/>
  <c r="R99" i="1"/>
  <c r="R23" i="1"/>
  <c r="R18" i="1"/>
  <c r="R64" i="1"/>
  <c r="R98" i="1"/>
  <c r="M13" i="1"/>
  <c r="M41" i="1"/>
  <c r="M63" i="1"/>
  <c r="M69" i="1" s="1"/>
  <c r="M97" i="1"/>
  <c r="M103" i="1" s="1"/>
  <c r="R110" i="1" l="1"/>
  <c r="R76" i="1"/>
  <c r="S34" i="1"/>
  <c r="S36" i="1" s="1"/>
  <c r="R75" i="1"/>
  <c r="R109" i="1"/>
  <c r="S29" i="1"/>
  <c r="S31" i="1" s="1"/>
  <c r="R108" i="1"/>
  <c r="R74" i="1"/>
  <c r="S24" i="1"/>
  <c r="S26" i="1" s="1"/>
  <c r="R73" i="1"/>
  <c r="R107" i="1"/>
  <c r="S19" i="1"/>
  <c r="S21" i="1" s="1"/>
  <c r="R72" i="1"/>
  <c r="R106" i="1"/>
  <c r="S14" i="1"/>
  <c r="S16" i="1" s="1"/>
  <c r="M43" i="1"/>
  <c r="M71" i="1"/>
  <c r="M77" i="1" s="1"/>
  <c r="M127" i="1" s="1"/>
  <c r="M105" i="1"/>
  <c r="M111" i="1" s="1"/>
  <c r="M133" i="1" s="1"/>
  <c r="N9" i="1"/>
  <c r="S38" i="1" l="1"/>
  <c r="S68" i="1"/>
  <c r="S102" i="1"/>
  <c r="S33" i="1"/>
  <c r="S67" i="1"/>
  <c r="S101" i="1"/>
  <c r="S28" i="1"/>
  <c r="S66" i="1"/>
  <c r="S100" i="1"/>
  <c r="S23" i="1"/>
  <c r="S65" i="1"/>
  <c r="S99" i="1"/>
  <c r="S18" i="1"/>
  <c r="S64" i="1"/>
  <c r="S98" i="1"/>
  <c r="N11" i="1"/>
  <c r="N39" i="1"/>
  <c r="S76" i="1" l="1"/>
  <c r="S110" i="1"/>
  <c r="T34" i="1"/>
  <c r="T36" i="1" s="1"/>
  <c r="S75" i="1"/>
  <c r="S109" i="1"/>
  <c r="T29" i="1"/>
  <c r="T31" i="1" s="1"/>
  <c r="S74" i="1"/>
  <c r="S108" i="1"/>
  <c r="T24" i="1"/>
  <c r="T26" i="1" s="1"/>
  <c r="T19" i="1"/>
  <c r="T21" i="1" s="1"/>
  <c r="S73" i="1"/>
  <c r="S107" i="1"/>
  <c r="T14" i="1"/>
  <c r="T16" i="1" s="1"/>
  <c r="S72" i="1"/>
  <c r="S106" i="1"/>
  <c r="N41" i="1"/>
  <c r="N63" i="1"/>
  <c r="N69" i="1" s="1"/>
  <c r="N97" i="1"/>
  <c r="N103" i="1" s="1"/>
  <c r="N13" i="1"/>
  <c r="T38" i="1" l="1"/>
  <c r="T68" i="1"/>
  <c r="T102" i="1"/>
  <c r="T33" i="1"/>
  <c r="T67" i="1"/>
  <c r="T101" i="1"/>
  <c r="T28" i="1"/>
  <c r="T66" i="1"/>
  <c r="T100" i="1"/>
  <c r="T65" i="1"/>
  <c r="T99" i="1"/>
  <c r="T23" i="1"/>
  <c r="T18" i="1"/>
  <c r="T64" i="1"/>
  <c r="T98" i="1"/>
  <c r="O9" i="1"/>
  <c r="N43" i="1"/>
  <c r="N71" i="1"/>
  <c r="N77" i="1" s="1"/>
  <c r="N127" i="1" s="1"/>
  <c r="N105" i="1"/>
  <c r="N111" i="1" s="1"/>
  <c r="N133" i="1" s="1"/>
  <c r="T76" i="1" l="1"/>
  <c r="T110" i="1"/>
  <c r="U34" i="1"/>
  <c r="U36" i="1" s="1"/>
  <c r="T75" i="1"/>
  <c r="T109" i="1"/>
  <c r="U29" i="1"/>
  <c r="U31" i="1" s="1"/>
  <c r="T74" i="1"/>
  <c r="T108" i="1"/>
  <c r="U24" i="1"/>
  <c r="U26" i="1" s="1"/>
  <c r="T73" i="1"/>
  <c r="T107" i="1"/>
  <c r="U19" i="1"/>
  <c r="U21" i="1" s="1"/>
  <c r="T72" i="1"/>
  <c r="T106" i="1"/>
  <c r="U14" i="1"/>
  <c r="U16" i="1" s="1"/>
  <c r="O39" i="1"/>
  <c r="O11" i="1"/>
  <c r="U38" i="1" l="1"/>
  <c r="U68" i="1"/>
  <c r="U102" i="1"/>
  <c r="U33" i="1"/>
  <c r="U67" i="1"/>
  <c r="U101" i="1"/>
  <c r="U28" i="1"/>
  <c r="U66" i="1"/>
  <c r="U100" i="1"/>
  <c r="U23" i="1"/>
  <c r="U65" i="1"/>
  <c r="U99" i="1"/>
  <c r="U18" i="1"/>
  <c r="U64" i="1"/>
  <c r="U98" i="1"/>
  <c r="O13" i="1"/>
  <c r="O41" i="1"/>
  <c r="O63" i="1"/>
  <c r="O69" i="1" s="1"/>
  <c r="O97" i="1"/>
  <c r="O103" i="1" s="1"/>
  <c r="U76" i="1" l="1"/>
  <c r="U110" i="1"/>
  <c r="V34" i="1"/>
  <c r="V36" i="1" s="1"/>
  <c r="U109" i="1"/>
  <c r="U75" i="1"/>
  <c r="V29" i="1"/>
  <c r="V31" i="1" s="1"/>
  <c r="U74" i="1"/>
  <c r="U108" i="1"/>
  <c r="V24" i="1"/>
  <c r="V26" i="1" s="1"/>
  <c r="V19" i="1"/>
  <c r="V21" i="1" s="1"/>
  <c r="U73" i="1"/>
  <c r="U107" i="1"/>
  <c r="V14" i="1"/>
  <c r="V16" i="1" s="1"/>
  <c r="U72" i="1"/>
  <c r="U106" i="1"/>
  <c r="O43" i="1"/>
  <c r="O71" i="1"/>
  <c r="O77" i="1" s="1"/>
  <c r="O127" i="1" s="1"/>
  <c r="O105" i="1"/>
  <c r="O111" i="1" s="1"/>
  <c r="O133" i="1" s="1"/>
  <c r="P9" i="1"/>
  <c r="V38" i="1" l="1"/>
  <c r="V68" i="1"/>
  <c r="V102" i="1"/>
  <c r="V33" i="1"/>
  <c r="V67" i="1"/>
  <c r="V101" i="1"/>
  <c r="V28" i="1"/>
  <c r="V66" i="1"/>
  <c r="V100" i="1"/>
  <c r="V65" i="1"/>
  <c r="V99" i="1"/>
  <c r="V23" i="1"/>
  <c r="V64" i="1"/>
  <c r="V98" i="1"/>
  <c r="V18" i="1"/>
  <c r="P11" i="1"/>
  <c r="P39" i="1"/>
  <c r="V76" i="1" l="1"/>
  <c r="V110" i="1"/>
  <c r="V75" i="1"/>
  <c r="V109" i="1"/>
  <c r="V74" i="1"/>
  <c r="V108" i="1"/>
  <c r="V73" i="1"/>
  <c r="V107" i="1"/>
  <c r="V72" i="1"/>
  <c r="V106" i="1"/>
  <c r="P13" i="1"/>
  <c r="P41" i="1"/>
  <c r="P63" i="1"/>
  <c r="P69" i="1" s="1"/>
  <c r="P97" i="1"/>
  <c r="P103" i="1" s="1"/>
  <c r="Q9" i="1" l="1"/>
  <c r="P43" i="1"/>
  <c r="P71" i="1"/>
  <c r="P77" i="1" s="1"/>
  <c r="P127" i="1" s="1"/>
  <c r="P105" i="1"/>
  <c r="P111" i="1" s="1"/>
  <c r="P133" i="1" s="1"/>
  <c r="Q11" i="1" l="1"/>
  <c r="Q39" i="1"/>
  <c r="Q41" i="1" l="1"/>
  <c r="Q63" i="1"/>
  <c r="Q69" i="1" s="1"/>
  <c r="Q97" i="1"/>
  <c r="Q103" i="1" s="1"/>
  <c r="Q13" i="1"/>
  <c r="Q43" i="1" l="1"/>
  <c r="Q71" i="1"/>
  <c r="Q77" i="1" s="1"/>
  <c r="Q127" i="1" s="1"/>
  <c r="Q105" i="1"/>
  <c r="Q111" i="1" s="1"/>
  <c r="Q133" i="1" s="1"/>
  <c r="R9" i="1"/>
  <c r="R11" i="1" l="1"/>
  <c r="R39" i="1"/>
  <c r="R13" i="1" l="1"/>
  <c r="R41" i="1"/>
  <c r="R63" i="1"/>
  <c r="R69" i="1" s="1"/>
  <c r="R97" i="1"/>
  <c r="R103" i="1" s="1"/>
  <c r="S9" i="1" l="1"/>
  <c r="R43" i="1"/>
  <c r="R71" i="1"/>
  <c r="R77" i="1" s="1"/>
  <c r="R127" i="1" s="1"/>
  <c r="R105" i="1"/>
  <c r="R111" i="1" s="1"/>
  <c r="R133" i="1" s="1"/>
  <c r="S11" i="1" l="1"/>
  <c r="S39" i="1"/>
  <c r="S41" i="1" l="1"/>
  <c r="S63" i="1"/>
  <c r="S69" i="1" s="1"/>
  <c r="S97" i="1"/>
  <c r="S103" i="1" s="1"/>
  <c r="S13" i="1"/>
  <c r="T9" i="1" l="1"/>
  <c r="S43" i="1"/>
  <c r="S71" i="1"/>
  <c r="S77" i="1" s="1"/>
  <c r="S127" i="1" s="1"/>
  <c r="S105" i="1"/>
  <c r="S111" i="1" s="1"/>
  <c r="S133" i="1" s="1"/>
  <c r="T39" i="1" l="1"/>
  <c r="T11" i="1"/>
  <c r="T13" i="1" l="1"/>
  <c r="T41" i="1"/>
  <c r="T63" i="1"/>
  <c r="T69" i="1" s="1"/>
  <c r="T97" i="1"/>
  <c r="T103" i="1" s="1"/>
  <c r="T43" i="1" l="1"/>
  <c r="T71" i="1"/>
  <c r="T77" i="1" s="1"/>
  <c r="T127" i="1" s="1"/>
  <c r="T105" i="1"/>
  <c r="T111" i="1" s="1"/>
  <c r="T133" i="1" s="1"/>
  <c r="U9" i="1"/>
  <c r="U11" i="1" l="1"/>
  <c r="U39" i="1"/>
  <c r="U41" i="1" l="1"/>
  <c r="U63" i="1"/>
  <c r="U69" i="1" s="1"/>
  <c r="U97" i="1"/>
  <c r="U103" i="1" s="1"/>
  <c r="U13" i="1"/>
  <c r="V9" i="1" l="1"/>
  <c r="U43" i="1"/>
  <c r="U71" i="1"/>
  <c r="U77" i="1" s="1"/>
  <c r="U127" i="1" s="1"/>
  <c r="U105" i="1"/>
  <c r="U111" i="1" s="1"/>
  <c r="U133" i="1" s="1"/>
  <c r="V39" i="1" l="1"/>
  <c r="V11" i="1"/>
  <c r="V13" i="1" l="1"/>
  <c r="V41" i="1"/>
  <c r="V63" i="1"/>
  <c r="V69" i="1" s="1"/>
  <c r="V97" i="1"/>
  <c r="V103" i="1" s="1"/>
  <c r="V43" i="1" l="1"/>
  <c r="V71" i="1"/>
  <c r="V77" i="1" s="1"/>
  <c r="V127" i="1" s="1"/>
  <c r="V105" i="1"/>
  <c r="V111" i="1" s="1"/>
  <c r="V1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ちなーちゅ</author>
  </authors>
  <commentList>
    <comment ref="B123" authorId="0" shapeId="0" xr:uid="{F7408652-390A-4081-89AE-0B76D312AB1B}">
      <text>
        <r>
          <rPr>
            <b/>
            <sz val="9"/>
            <color indexed="81"/>
            <rFont val="MS P ゴシック"/>
            <family val="3"/>
            <charset val="128"/>
          </rPr>
          <t>プラスならその月は予定より足りません。</t>
        </r>
      </text>
    </comment>
    <comment ref="B124" authorId="0" shapeId="0" xr:uid="{EA257037-0E95-4583-B25B-29589F92DF67}">
      <text>
        <r>
          <rPr>
            <b/>
            <sz val="9"/>
            <color indexed="81"/>
            <rFont val="Meiryo UI"/>
            <family val="3"/>
            <charset val="128"/>
          </rPr>
          <t>過去の月の振り返り用。</t>
        </r>
      </text>
    </comment>
    <comment ref="B125" authorId="0" shapeId="0" xr:uid="{93393310-91BE-4275-97FB-B4F7495BE578}">
      <text>
        <r>
          <rPr>
            <b/>
            <sz val="9"/>
            <color indexed="81"/>
            <rFont val="MS P ゴシック"/>
            <family val="3"/>
            <charset val="128"/>
          </rPr>
          <t>100%を超えていれば、来た件数に処理が追いついていません</t>
        </r>
      </text>
    </comment>
    <comment ref="B126" authorId="0" shapeId="0" xr:uid="{3169F770-F74D-4D07-8152-6F6C337395CA}">
      <text>
        <r>
          <rPr>
            <b/>
            <sz val="9"/>
            <color indexed="81"/>
            <rFont val="MS P ゴシック"/>
            <family val="3"/>
            <charset val="128"/>
          </rPr>
          <t>認定に使った時間で、標準時間どおりにどれだけ処理できたかを表します。100%を大きく下回る月は、標準時間が実態より短い可能性があります</t>
        </r>
      </text>
    </comment>
    <comment ref="B127" authorId="0" shapeId="0" xr:uid="{B4146368-5197-4768-9E18-E02C2AA79822}">
      <text>
        <r>
          <rPr>
            <sz val="9"/>
            <color indexed="81"/>
            <rFont val="MS P ゴシック"/>
            <family val="3"/>
            <charset val="128"/>
          </rPr>
          <t xml:space="preserve">
たまっている仕事の量です。この値が増え続けているなら、不足が慢性化しています
</t>
        </r>
      </text>
    </comment>
  </commentList>
</comments>
</file>

<file path=xl/sharedStrings.xml><?xml version="1.0" encoding="utf-8"?>
<sst xmlns="http://schemas.openxmlformats.org/spreadsheetml/2006/main" count="432" uniqueCount="153">
  <si>
    <t>認定業務　必要工数・供給工数の比較（単位：人月＝設定!B7 時間）</t>
  </si>
  <si>
    <t>このシートで入力するのは「予実区分」の黄色い行だけ。ほかはすべて自動計算です。</t>
  </si>
  <si>
    <t>件数は［件数入力］、人の勤務時間・曜日・認定への割当（予定／実績）は［メンバー］に入力します。</t>
  </si>
  <si>
    <t>年月</t>
  </si>
  <si>
    <t>稼働日数</t>
  </si>
  <si>
    <t>土日・設定シートの休業日を除く</t>
  </si>
  <si>
    <t>日</t>
  </si>
  <si>
    <t>予実区分</t>
  </si>
  <si>
    <t>実績/見込</t>
  </si>
  <si>
    <t>実績</t>
  </si>
  <si>
    <t>見込</t>
  </si>
  <si>
    <t>■ 件数（種別ごと）　前月繰越＋当月受付＝対応対象（積上）、対応対象－決裁＝残数（翌月へ繰越）</t>
  </si>
  <si>
    <t>給与口座</t>
  </si>
  <si>
    <t>前月繰越</t>
  </si>
  <si>
    <t>件</t>
  </si>
  <si>
    <t>当月受付（申請）</t>
  </si>
  <si>
    <t>対応対象（積上）</t>
  </si>
  <si>
    <t>決裁</t>
  </si>
  <si>
    <t>残数（翌月繰越）</t>
  </si>
  <si>
    <t>児童　認定</t>
  </si>
  <si>
    <t>児童　改定</t>
  </si>
  <si>
    <t>住居</t>
  </si>
  <si>
    <t>通勤</t>
  </si>
  <si>
    <t>扶養</t>
  </si>
  <si>
    <t>合計</t>
  </si>
  <si>
    <t>■ OP　必要工数と実績（種別ごと：件数×OP標準処理時間÷60÷1人月の時間）</t>
  </si>
  <si>
    <t>OP　必要人月（当月受付ベース）</t>
  </si>
  <si>
    <t>人月</t>
  </si>
  <si>
    <t>OP　実績人月（決裁ベース）</t>
  </si>
  <si>
    <t>OP　必要人月（積上ベース・参考）</t>
  </si>
  <si>
    <t>OP　残数の人月換算（滞留）</t>
  </si>
  <si>
    <t>■ SV　必要工数と実績（種別ごと：件数×SV標準処理時間÷60÷1人月の時間）</t>
  </si>
  <si>
    <t>SV　必要人月（当月受付ベース）</t>
  </si>
  <si>
    <t>SV　実績人月（決裁ベース）</t>
  </si>
  <si>
    <t>SV　必要人月（積上ベース・参考）</t>
  </si>
  <si>
    <t>SV　残数の人月換算（滞留）</t>
  </si>
  <si>
    <t>■ 供給工数（［メンバー］の④⑤の合計）</t>
  </si>
  <si>
    <t>OP</t>
  </si>
  <si>
    <t>在籍人数（その月に勤務時間がある人）</t>
  </si>
  <si>
    <t>人</t>
  </si>
  <si>
    <t>供給人月（予定）</t>
  </si>
  <si>
    <t>供給人月（実績）</t>
  </si>
  <si>
    <t>SV</t>
  </si>
  <si>
    <t>■ 比較（不足人月は＋が不足、－が余裕）</t>
  </si>
  <si>
    <t>不足人月（必要[受付] − 供給[予定]）</t>
  </si>
  <si>
    <t>不足人月（必要[受付] − 供給[実績]）</t>
  </si>
  <si>
    <t>負荷率（必要[受付] ÷ 供給[実績]）</t>
  </si>
  <si>
    <t>%</t>
  </si>
  <si>
    <t>消化率（実績[決裁] ÷ 供給[実績]）</t>
  </si>
  <si>
    <t>滞留（残数の人月換算）</t>
  </si>
  <si>
    <t>【前提】</t>
  </si>
  <si>
    <t>・供給人月＝人ごとの（曜日別勤務時間×その月の曜日数（休業日除く））×認定への割当 ÷ 1人月の時間 の合計。</t>
  </si>
  <si>
    <t>・割当は［メンバー］で人×月ごとに記号（設定シートの対応表で数字に変換）か数字を入れる。実績は予定と違った月だけ入れる。</t>
  </si>
  <si>
    <t>・月の途中で状態が変わったときは、割合を日数で按分して入れる（例：15日から休職→通0.6の半分で0.3）。</t>
  </si>
  <si>
    <t>・標準処理時間・メンバー・割当・件数（ダミー）はすべて仮置き。</t>
  </si>
  <si>
    <t>件数入力（黄色い枠に月ごとの件数を入れる）</t>
  </si>
  <si>
    <t>当月受付＝その月に申請された件数、決裁＝その月に決裁した件数。いまはダミー（100〜200）。</t>
  </si>
  <si>
    <t>■ 当月受付（申請件数）</t>
  </si>
  <si>
    <t>種別</t>
  </si>
  <si>
    <t>■ 決裁件数</t>
  </si>
  <si>
    <t>■ 期首繰越（2026/4時点ですでに残っていた件数。なければ0）</t>
  </si>
  <si>
    <t>件数</t>
  </si>
  <si>
    <t>メンバー（バイネーム）</t>
  </si>
  <si>
    <t>① 名簿に区分・氏名・曜日ごとの勤務時間（休みの曜日は空欄）・在籍期間（空欄＝全期間）を入れる。② 割当（予定）に月ごとの記号（通・半・休・他・専）か数字を入れる。③ 実績は予定と違った月だけ入れる（空欄＝予定どおり）。</t>
  </si>
  <si>
    <t>④⑤ は自動計算：その人がその月に認定に使える人月（＝勤務時間×割合÷1人月の時間）。この合計が［月次］の供給になります。</t>
  </si>
  <si>
    <t>■ ① 名簿</t>
  </si>
  <si>
    <t>区分</t>
  </si>
  <si>
    <t>氏名</t>
  </si>
  <si>
    <t>月（h）</t>
  </si>
  <si>
    <t>火（h）</t>
  </si>
  <si>
    <t>水（h）</t>
  </si>
  <si>
    <t>木（h）</t>
  </si>
  <si>
    <t>金（h）</t>
  </si>
  <si>
    <t>在籍開始</t>
  </si>
  <si>
    <t>在籍終了</t>
  </si>
  <si>
    <t>備考</t>
  </si>
  <si>
    <t>✎ ② 認定への割当（予定）　記号（通・半・休・他・専）か数字。空欄＝0</t>
  </si>
  <si>
    <t>通</t>
  </si>
  <si>
    <t>半</t>
  </si>
  <si>
    <t>休</t>
  </si>
  <si>
    <t>他</t>
  </si>
  <si>
    <t>✎ ③ 認定への割当（実績）　予定と違った月だけ入れる。空欄＝予定どおり</t>
  </si>
  <si>
    <t>■ ④ 認定人月（予定）＝勤務時間×割当（予定）÷1人月の時間　※自動</t>
  </si>
  <si>
    <t>OP 合計</t>
  </si>
  <si>
    <t>SV 合計</t>
  </si>
  <si>
    <t>全体</t>
  </si>
  <si>
    <t>■ ⑤ 認定人月（実績）＝勤務時間×割当（実績）÷1人月の時間　※自動</t>
  </si>
  <si>
    <t>設定（人月の定義・割当の記号・標準処理時間・休業日）</t>
  </si>
  <si>
    <t>黄色セル（青字）＝入力。白いセル＝自動計算（触らない）。</t>
  </si>
  <si>
    <t>■ 人月の定義</t>
  </si>
  <si>
    <t>1日の時間（h）</t>
  </si>
  <si>
    <t>1か月の日数（日）</t>
  </si>
  <si>
    <t>1人月の時間（h）</t>
  </si>
  <si>
    <t>← 人月換算はすべてこのセルで割る</t>
  </si>
  <si>
    <t>■ 割当の記号（メンバーシートの割当表で使う。割合＝勤務時間のうち認定に使える割合。電話並行の半減も込みの最終値）</t>
  </si>
  <si>
    <t>記号</t>
  </si>
  <si>
    <t>割合</t>
  </si>
  <si>
    <t>意味</t>
  </si>
  <si>
    <t>通常（認定6割）</t>
  </si>
  <si>
    <t>電話並行で半減（6割×0.5）</t>
  </si>
  <si>
    <t>休職・長期不在</t>
  </si>
  <si>
    <t>別業務が中心</t>
  </si>
  <si>
    <t>専</t>
  </si>
  <si>
    <t>認定専任</t>
  </si>
  <si>
    <t>※記号の代わりに数字（例 0.45）を直接入れてもOK。記号の割合を変えると、その記号を使っている全員・全月に反映。</t>
  </si>
  <si>
    <t>■ 標準処理時間（1件あたり・分）　※いまは仮の数字</t>
  </si>
  <si>
    <t>OP標準（分）</t>
  </si>
  <si>
    <t>SV標準（分）</t>
  </si>
  <si>
    <t>■ 休業日（祝日・年末年始）　土日とここに載っている日は勤務日に数えない</t>
  </si>
  <si>
    <t>日付</t>
  </si>
  <si>
    <t>名称</t>
  </si>
  <si>
    <t>昭和の日</t>
  </si>
  <si>
    <t>みどりの日</t>
  </si>
  <si>
    <t>こどもの日</t>
  </si>
  <si>
    <t>振替休日</t>
  </si>
  <si>
    <t>海の日</t>
  </si>
  <si>
    <t>山の日</t>
  </si>
  <si>
    <t>敬老の日</t>
  </si>
  <si>
    <t>国民の休日</t>
  </si>
  <si>
    <t>秋分の日</t>
  </si>
  <si>
    <t>スポーツの日</t>
  </si>
  <si>
    <t>文化の日</t>
  </si>
  <si>
    <t>勤労感謝の日</t>
  </si>
  <si>
    <t>年末休業</t>
  </si>
  <si>
    <t>元日</t>
  </si>
  <si>
    <t>成人の日</t>
  </si>
  <si>
    <t>建国記念の日</t>
  </si>
  <si>
    <t>天皇誕生日</t>
  </si>
  <si>
    <t>振替休日（春分の日）</t>
  </si>
  <si>
    <t>憲法記念日</t>
  </si>
  <si>
    <t>計算（人ごと・月ごとの中間計算。触らない）</t>
  </si>
  <si>
    <t>月曜の日数</t>
  </si>
  <si>
    <t>火曜の日数</t>
  </si>
  <si>
    <t>水曜の日数</t>
  </si>
  <si>
    <t>木曜の日数</t>
  </si>
  <si>
    <t>金曜の日数</t>
  </si>
  <si>
    <t>勤務時間（h／月）＝曜日別の勤務時間×その月の曜日数（在籍期間外は0）</t>
  </si>
  <si>
    <t>認定割合（予定）＝割当（予定）の記号を数字に変換</t>
  </si>
  <si>
    <t>認定割合（実績）＝割当（実績）。空欄なら予定と同じ</t>
  </si>
  <si>
    <t>藤本</t>
    <rPh sb="0" eb="2">
      <t>フジモト</t>
    </rPh>
    <phoneticPr fontId="9"/>
  </si>
  <si>
    <t>穂満</t>
    <rPh sb="0" eb="2">
      <t>ホマン</t>
    </rPh>
    <phoneticPr fontId="9"/>
  </si>
  <si>
    <t>八木</t>
    <rPh sb="0" eb="2">
      <t>ヤギ</t>
    </rPh>
    <phoneticPr fontId="9"/>
  </si>
  <si>
    <t>大迫</t>
    <rPh sb="0" eb="2">
      <t>オオサコ</t>
    </rPh>
    <phoneticPr fontId="9"/>
  </si>
  <si>
    <t>大場</t>
    <rPh sb="0" eb="2">
      <t>オオバ</t>
    </rPh>
    <phoneticPr fontId="9"/>
  </si>
  <si>
    <t>島</t>
    <rPh sb="0" eb="1">
      <t>シマ</t>
    </rPh>
    <phoneticPr fontId="9"/>
  </si>
  <si>
    <t>三浦</t>
    <rPh sb="0" eb="2">
      <t>ミウラ</t>
    </rPh>
    <phoneticPr fontId="9"/>
  </si>
  <si>
    <t>伊藤</t>
    <rPh sb="0" eb="2">
      <t>イトウ</t>
    </rPh>
    <phoneticPr fontId="9"/>
  </si>
  <si>
    <t>兼田</t>
    <rPh sb="0" eb="2">
      <t>カネダ</t>
    </rPh>
    <phoneticPr fontId="9"/>
  </si>
  <si>
    <t>植田</t>
    <rPh sb="0" eb="2">
      <t>ウエダ</t>
    </rPh>
    <phoneticPr fontId="9"/>
  </si>
  <si>
    <t>小野</t>
    <rPh sb="0" eb="2">
      <t>オノ</t>
    </rPh>
    <phoneticPr fontId="9"/>
  </si>
  <si>
    <t>栗城</t>
    <rPh sb="0" eb="2">
      <t>クリキ</t>
    </rPh>
    <phoneticPr fontId="9"/>
  </si>
  <si>
    <t>田中</t>
    <rPh sb="0" eb="2">
      <t>タナカ</t>
    </rPh>
    <phoneticPr fontId="9"/>
  </si>
  <si>
    <t>西村</t>
    <rPh sb="0" eb="2">
      <t>ニシムラ</t>
    </rPh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</si>
</sst>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/d\(aaa\)"/>
    <numFmt numFmtId="177" formatCode="yyyy/m"/>
    <numFmt numFmtId="178" formatCode="0.0"/>
    <numFmt numFmtId="179" formatCode="0.00;\-0.00;\-"/>
  </numFmts>
  <fonts count="14">
    <font>
      <sz val="11"/>
      <color theme="1"/>
      <name val="ＭＳ Ｐゴシック"/>
      <family val="2"/>
      <scheme val="minor"/>
    </font>
    <font>
      <b/>
      <sz val="14"/>
      <name val="Meiryo UI"/>
      <family val="3"/>
      <charset val="128"/>
    </font>
    <font>
      <b/>
      <sz val="11"/>
      <name val="Meiryo UI"/>
      <family val="3"/>
      <charset val="128"/>
    </font>
    <font>
      <sz val="11"/>
      <color rgb="FF0000FF"/>
      <name val="Meiryo UI"/>
      <family val="3"/>
      <charset val="128"/>
    </font>
    <font>
      <b/>
      <sz val="11"/>
      <color rgb="FFC00000"/>
      <name val="Meiryo UI"/>
      <family val="3"/>
      <charset val="128"/>
    </font>
    <font>
      <sz val="11"/>
      <color rgb="FF404040"/>
      <name val="Meiryo UI"/>
      <family val="3"/>
      <charset val="128"/>
    </font>
    <font>
      <sz val="11"/>
      <color rgb="FF008000"/>
      <name val="Meiryo UI"/>
      <family val="3"/>
      <charset val="128"/>
    </font>
    <font>
      <sz val="11"/>
      <name val="Meiryo UI"/>
      <family val="3"/>
      <charset val="128"/>
    </font>
    <font>
      <sz val="11"/>
      <color theme="1"/>
      <name val="Meiryo UI"/>
      <family val="3"/>
      <charset val="128"/>
    </font>
    <font>
      <sz val="6"/>
      <name val="ＭＳ Ｐゴシック"/>
      <family val="3"/>
      <charset val="128"/>
      <scheme val="minor"/>
    </font>
    <font>
      <sz val="11"/>
      <color rgb="FFFF0000"/>
      <name val="Meiryo UI"/>
      <family val="3"/>
      <charset val="128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b/>
      <sz val="9"/>
      <color indexed="81"/>
      <name val="Meiryo UI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BDD7EE"/>
      </patternFill>
    </fill>
    <fill>
      <patternFill patternType="solid">
        <fgColor rgb="FFFFE699"/>
      </patternFill>
    </fill>
    <fill>
      <patternFill patternType="solid">
        <fgColor rgb="FFE2EFDA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8" fillId="0" borderId="0" xfId="0" applyFont="1"/>
    <xf numFmtId="0" fontId="4" fillId="0" borderId="0" xfId="0" applyFont="1"/>
    <xf numFmtId="0" fontId="2" fillId="0" borderId="0" xfId="0" applyFont="1"/>
    <xf numFmtId="177" fontId="2" fillId="3" borderId="1" xfId="0" applyNumberFormat="1" applyFont="1" applyFill="1" applyBorder="1" applyAlignment="1">
      <alignment horizontal="center"/>
    </xf>
    <xf numFmtId="0" fontId="5" fillId="0" borderId="1" xfId="0" applyFont="1" applyBorder="1"/>
    <xf numFmtId="0" fontId="3" fillId="2" borderId="1" xfId="0" applyFont="1" applyFill="1" applyBorder="1" applyAlignment="1">
      <alignment horizontal="center"/>
    </xf>
    <xf numFmtId="0" fontId="2" fillId="4" borderId="0" xfId="0" applyFont="1" applyFill="1"/>
    <xf numFmtId="0" fontId="8" fillId="4" borderId="0" xfId="0" applyFont="1" applyFill="1"/>
    <xf numFmtId="3" fontId="5" fillId="0" borderId="1" xfId="0" applyNumberFormat="1" applyFont="1" applyBorder="1"/>
    <xf numFmtId="0" fontId="7" fillId="0" borderId="0" xfId="0" applyFont="1"/>
    <xf numFmtId="3" fontId="2" fillId="0" borderId="1" xfId="0" applyNumberFormat="1" applyFont="1" applyBorder="1"/>
    <xf numFmtId="0" fontId="2" fillId="7" borderId="0" xfId="0" applyFont="1" applyFill="1"/>
    <xf numFmtId="0" fontId="8" fillId="7" borderId="0" xfId="0" applyFont="1" applyFill="1"/>
    <xf numFmtId="2" fontId="5" fillId="0" borderId="1" xfId="0" applyNumberFormat="1" applyFont="1" applyBorder="1"/>
    <xf numFmtId="2" fontId="2" fillId="6" borderId="1" xfId="0" applyNumberFormat="1" applyFont="1" applyFill="1" applyBorder="1"/>
    <xf numFmtId="2" fontId="2" fillId="0" borderId="1" xfId="0" applyNumberFormat="1" applyFont="1" applyBorder="1"/>
    <xf numFmtId="1" fontId="5" fillId="0" borderId="1" xfId="0" applyNumberFormat="1" applyFont="1" applyBorder="1"/>
    <xf numFmtId="179" fontId="2" fillId="0" borderId="1" xfId="0" applyNumberFormat="1" applyFont="1" applyBorder="1"/>
    <xf numFmtId="9" fontId="5" fillId="0" borderId="1" xfId="0" applyNumberFormat="1" applyFont="1" applyBorder="1"/>
    <xf numFmtId="0" fontId="2" fillId="3" borderId="0" xfId="0" applyFont="1" applyFill="1"/>
    <xf numFmtId="0" fontId="8" fillId="0" borderId="1" xfId="0" applyFont="1" applyBorder="1"/>
    <xf numFmtId="3" fontId="3" fillId="2" borderId="1" xfId="0" applyNumberFormat="1" applyFont="1" applyFill="1" applyBorder="1"/>
    <xf numFmtId="0" fontId="2" fillId="3" borderId="1" xfId="0" applyFont="1" applyFill="1" applyBorder="1" applyAlignment="1">
      <alignment horizontal="center"/>
    </xf>
    <xf numFmtId="0" fontId="3" fillId="2" borderId="1" xfId="0" applyFont="1" applyFill="1" applyBorder="1"/>
    <xf numFmtId="178" fontId="3" fillId="2" borderId="1" xfId="0" applyNumberFormat="1" applyFont="1" applyFill="1" applyBorder="1"/>
    <xf numFmtId="177" fontId="3" fillId="2" borderId="1" xfId="0" applyNumberFormat="1" applyFont="1" applyFill="1" applyBorder="1"/>
    <xf numFmtId="0" fontId="2" fillId="5" borderId="0" xfId="0" applyFont="1" applyFill="1"/>
    <xf numFmtId="0" fontId="8" fillId="5" borderId="0" xfId="0" applyFont="1" applyFill="1"/>
    <xf numFmtId="0" fontId="2" fillId="3" borderId="1" xfId="0" applyFont="1" applyFill="1" applyBorder="1"/>
    <xf numFmtId="0" fontId="6" fillId="0" borderId="1" xfId="0" applyFont="1" applyBorder="1"/>
    <xf numFmtId="2" fontId="3" fillId="2" borderId="1" xfId="0" applyNumberFormat="1" applyFont="1" applyFill="1" applyBorder="1" applyAlignment="1">
      <alignment horizontal="center"/>
    </xf>
    <xf numFmtId="179" fontId="5" fillId="0" borderId="1" xfId="0" applyNumberFormat="1" applyFont="1" applyBorder="1"/>
    <xf numFmtId="0" fontId="2" fillId="0" borderId="1" xfId="0" applyFont="1" applyBorder="1"/>
    <xf numFmtId="2" fontId="3" fillId="2" borderId="1" xfId="0" applyNumberFormat="1" applyFont="1" applyFill="1" applyBorder="1"/>
    <xf numFmtId="176" fontId="3" fillId="2" borderId="1" xfId="0" applyNumberFormat="1" applyFont="1" applyFill="1" applyBorder="1"/>
    <xf numFmtId="0" fontId="6" fillId="0" borderId="0" xfId="0" applyFont="1"/>
    <xf numFmtId="178" fontId="5" fillId="0" borderId="1" xfId="0" applyNumberFormat="1" applyFont="1" applyBorder="1"/>
    <xf numFmtId="2" fontId="10" fillId="2" borderId="1" xfId="0" applyNumberFormat="1" applyFont="1" applyFill="1" applyBorder="1" applyAlignment="1">
      <alignment horizontal="center"/>
    </xf>
  </cellXfs>
  <cellStyles count="1">
    <cellStyle name="標準" xfId="0" builtinId="0"/>
  </cellStyles>
  <dxfs count="4">
    <dxf>
      <fill>
        <patternFill patternType="solid">
          <fgColor rgb="FFF8CBAD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8CBA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619125</xdr:colOff>
      <xdr:row>44</xdr:row>
      <xdr:rowOff>76200</xdr:rowOff>
    </xdr:from>
    <xdr:to>
      <xdr:col>18</xdr:col>
      <xdr:colOff>695325</xdr:colOff>
      <xdr:row>55</xdr:row>
      <xdr:rowOff>85725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33C4952F-3639-7276-61A6-F677BE201F31}"/>
            </a:ext>
          </a:extLst>
        </xdr:cNvPr>
        <xdr:cNvSpPr txBox="1"/>
      </xdr:nvSpPr>
      <xdr:spPr>
        <a:xfrm>
          <a:off x="11582400" y="8924925"/>
          <a:ext cx="3276600" cy="2209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8</a:t>
          </a:r>
          <a:r>
            <a:rPr kumimoji="1" lang="ja-JP" altLang="en-US" sz="1100"/>
            <a:t>人のうち</a:t>
          </a:r>
          <a:r>
            <a:rPr kumimoji="1" lang="en-US" altLang="ja-JP" sz="1100"/>
            <a:t>3</a:t>
          </a:r>
          <a:r>
            <a:rPr kumimoji="1" lang="ja-JP" altLang="en-US" sz="1100"/>
            <a:t>人が選ばれて、その日認定が</a:t>
          </a:r>
          <a:r>
            <a:rPr kumimoji="1" lang="en-US" altLang="ja-JP" sz="1100"/>
            <a:t>0.6</a:t>
          </a:r>
          <a:r>
            <a:rPr kumimoji="1" lang="ja-JP" altLang="en-US" sz="1100"/>
            <a:t>になるとき、全員に</a:t>
          </a:r>
          <a:r>
            <a:rPr kumimoji="1" lang="en-US" altLang="ja-JP" sz="1100"/>
            <a:t>0.85</a:t>
          </a:r>
          <a:endParaRPr kumimoji="0" lang="en-US" altLang="ja-JP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kumimoji="0" lang="en-US" altLang="ja-JP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kumimoji="0" lang="en-US" altLang="ja-JP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kumimoji="0" lang="en-US" altLang="ja-JP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kumimoji="1" lang="en-US" altLang="ja-JP" sz="1100"/>
        </a:p>
        <a:p>
          <a:r>
            <a:rPr kumimoji="1" lang="en-US" altLang="ja-JP" sz="1100"/>
            <a:t>12</a:t>
          </a:r>
          <a:r>
            <a:rPr kumimoji="1" lang="ja-JP" altLang="en-US" sz="1100"/>
            <a:t>人のうち</a:t>
          </a:r>
          <a:r>
            <a:rPr kumimoji="1" lang="en-US" altLang="ja-JP" sz="1100"/>
            <a:t>3</a:t>
          </a:r>
          <a:r>
            <a:rPr kumimoji="1" lang="ja-JP" altLang="en-US" sz="1100"/>
            <a:t>人が選ばれて認定</a:t>
          </a:r>
          <a:r>
            <a:rPr kumimoji="1" lang="en-US" altLang="ja-JP" sz="1100"/>
            <a:t>0.6</a:t>
          </a:r>
          <a:r>
            <a:rPr kumimoji="1" lang="ja-JP" altLang="en-US" sz="1100"/>
            <a:t>になるとき</a:t>
          </a:r>
          <a:r>
            <a:rPr kumimoji="1" lang="en-US" altLang="ja-JP" sz="1100"/>
            <a:t>0.9</a:t>
          </a:r>
        </a:p>
        <a:p>
          <a:endParaRPr kumimoji="1" lang="en-US" altLang="ja-JP" sz="1100"/>
        </a:p>
        <a:p>
          <a:r>
            <a:rPr kumimoji="1" lang="en-US" altLang="ja-JP" sz="1100"/>
            <a:t>7</a:t>
          </a:r>
          <a:r>
            <a:rPr kumimoji="1" lang="ja-JP" altLang="en-US" sz="1100"/>
            <a:t>人のうち</a:t>
          </a:r>
          <a:r>
            <a:rPr kumimoji="1" lang="en-US" altLang="ja-JP" sz="1100"/>
            <a:t>3</a:t>
          </a:r>
          <a:r>
            <a:rPr kumimoji="1" lang="ja-JP" altLang="en-US" sz="1100"/>
            <a:t>人が電話に選ばれて、認定半減するとき、全員に</a:t>
          </a:r>
          <a:r>
            <a:rPr kumimoji="1" lang="en-US" altLang="ja-JP" sz="1100"/>
            <a:t>0.79</a:t>
          </a:r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40"/>
  <sheetViews>
    <sheetView tabSelected="1" workbookViewId="0">
      <pane xSplit="3" ySplit="6" topLeftCell="D115" activePane="bottomRight" state="frozen"/>
      <selection pane="topRight"/>
      <selection pane="bottomLeft"/>
      <selection pane="bottomRight" activeCell="E19" sqref="E19"/>
    </sheetView>
  </sheetViews>
  <sheetFormatPr defaultRowHeight="13.5"/>
  <cols>
    <col min="1" max="1" width="12" customWidth="1"/>
    <col min="2" max="2" width="40" customWidth="1"/>
    <col min="3" max="3" width="8" customWidth="1"/>
    <col min="4" max="22" width="10.5" customWidth="1"/>
  </cols>
  <sheetData>
    <row r="1" spans="1:22" ht="19.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1:22" ht="15.75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ht="15.7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ht="15.75">
      <c r="A4" s="4" t="s">
        <v>3</v>
      </c>
      <c r="B4" s="2"/>
      <c r="C4" s="2"/>
      <c r="D4" s="5">
        <v>46113</v>
      </c>
      <c r="E4" s="5">
        <v>46143</v>
      </c>
      <c r="F4" s="5">
        <v>46174</v>
      </c>
      <c r="G4" s="5">
        <v>46204</v>
      </c>
      <c r="H4" s="5">
        <v>46235</v>
      </c>
      <c r="I4" s="5">
        <v>46266</v>
      </c>
      <c r="J4" s="5">
        <v>46296</v>
      </c>
      <c r="K4" s="5">
        <v>46327</v>
      </c>
      <c r="L4" s="5">
        <v>46357</v>
      </c>
      <c r="M4" s="5">
        <v>46388</v>
      </c>
      <c r="N4" s="5">
        <v>46419</v>
      </c>
      <c r="O4" s="5">
        <v>46447</v>
      </c>
      <c r="P4" s="5">
        <v>46478</v>
      </c>
      <c r="Q4" s="5">
        <v>46508</v>
      </c>
      <c r="R4" s="5">
        <v>46539</v>
      </c>
      <c r="S4" s="5">
        <v>46569</v>
      </c>
      <c r="T4" s="5">
        <v>46600</v>
      </c>
      <c r="U4" s="5">
        <v>46631</v>
      </c>
      <c r="V4" s="5">
        <v>46661</v>
      </c>
    </row>
    <row r="5" spans="1:22" ht="15.75">
      <c r="A5" s="4" t="s">
        <v>4</v>
      </c>
      <c r="B5" s="2" t="s">
        <v>5</v>
      </c>
      <c r="C5" s="2" t="s">
        <v>6</v>
      </c>
      <c r="D5" s="6">
        <f>NETWORKDAYS(D$4,EOMONTH(D$4,0),設定!$A$34:$A$83)</f>
        <v>21</v>
      </c>
      <c r="E5" s="6">
        <f>NETWORKDAYS(E$4,EOMONTH(E$4,0),設定!$A$34:$A$83)</f>
        <v>18</v>
      </c>
      <c r="F5" s="6">
        <f>NETWORKDAYS(F$4,EOMONTH(F$4,0),設定!$A$34:$A$83)</f>
        <v>22</v>
      </c>
      <c r="G5" s="6">
        <f>NETWORKDAYS(G$4,EOMONTH(G$4,0),設定!$A$34:$A$83)</f>
        <v>22</v>
      </c>
      <c r="H5" s="6">
        <f>NETWORKDAYS(H$4,EOMONTH(H$4,0),設定!$A$34:$A$83)</f>
        <v>20</v>
      </c>
      <c r="I5" s="6">
        <f>NETWORKDAYS(I$4,EOMONTH(I$4,0),設定!$A$34:$A$83)</f>
        <v>19</v>
      </c>
      <c r="J5" s="6">
        <f>NETWORKDAYS(J$4,EOMONTH(J$4,0),設定!$A$34:$A$83)</f>
        <v>21</v>
      </c>
      <c r="K5" s="6">
        <f>NETWORKDAYS(K$4,EOMONTH(K$4,0),設定!$A$34:$A$83)</f>
        <v>19</v>
      </c>
      <c r="L5" s="6">
        <f>NETWORKDAYS(L$4,EOMONTH(L$4,0),設定!$A$34:$A$83)</f>
        <v>20</v>
      </c>
      <c r="M5" s="6">
        <f>NETWORKDAYS(M$4,EOMONTH(M$4,0),設定!$A$34:$A$83)</f>
        <v>19</v>
      </c>
      <c r="N5" s="6">
        <f>NETWORKDAYS(N$4,EOMONTH(N$4,0),設定!$A$34:$A$83)</f>
        <v>18</v>
      </c>
      <c r="O5" s="6">
        <f>NETWORKDAYS(O$4,EOMONTH(O$4,0),設定!$A$34:$A$83)</f>
        <v>22</v>
      </c>
      <c r="P5" s="6">
        <f>NETWORKDAYS(P$4,EOMONTH(P$4,0),設定!$A$34:$A$83)</f>
        <v>21</v>
      </c>
      <c r="Q5" s="6">
        <f>NETWORKDAYS(Q$4,EOMONTH(Q$4,0),設定!$A$34:$A$83)</f>
        <v>18</v>
      </c>
      <c r="R5" s="6">
        <f>NETWORKDAYS(R$4,EOMONTH(R$4,0),設定!$A$34:$A$83)</f>
        <v>22</v>
      </c>
      <c r="S5" s="6">
        <f>NETWORKDAYS(S$4,EOMONTH(S$4,0),設定!$A$34:$A$83)</f>
        <v>21</v>
      </c>
      <c r="T5" s="6">
        <f>NETWORKDAYS(T$4,EOMONTH(T$4,0),設定!$A$34:$A$83)</f>
        <v>21</v>
      </c>
      <c r="U5" s="6">
        <f>NETWORKDAYS(U$4,EOMONTH(U$4,0),設定!$A$34:$A$83)</f>
        <v>20</v>
      </c>
      <c r="V5" s="6">
        <f>NETWORKDAYS(V$4,EOMONTH(V$4,0),設定!$A$34:$A$83)</f>
        <v>20</v>
      </c>
    </row>
    <row r="6" spans="1:22" ht="15.75">
      <c r="A6" s="4" t="s">
        <v>7</v>
      </c>
      <c r="B6" s="2"/>
      <c r="C6" s="2" t="s">
        <v>8</v>
      </c>
      <c r="D6" s="7" t="s">
        <v>9</v>
      </c>
      <c r="E6" s="7" t="s">
        <v>9</v>
      </c>
      <c r="F6" s="7" t="s">
        <v>9</v>
      </c>
      <c r="G6" s="7" t="s">
        <v>9</v>
      </c>
      <c r="H6" s="7" t="s">
        <v>9</v>
      </c>
      <c r="I6" s="7" t="s">
        <v>9</v>
      </c>
      <c r="J6" s="7" t="s">
        <v>10</v>
      </c>
      <c r="K6" s="7" t="s">
        <v>10</v>
      </c>
      <c r="L6" s="7" t="s">
        <v>10</v>
      </c>
      <c r="M6" s="7" t="s">
        <v>10</v>
      </c>
      <c r="N6" s="7" t="s">
        <v>10</v>
      </c>
      <c r="O6" s="7" t="s">
        <v>10</v>
      </c>
      <c r="P6" s="7" t="s">
        <v>10</v>
      </c>
      <c r="Q6" s="7" t="s">
        <v>10</v>
      </c>
      <c r="R6" s="7" t="s">
        <v>10</v>
      </c>
      <c r="S6" s="7" t="s">
        <v>10</v>
      </c>
      <c r="T6" s="7" t="s">
        <v>10</v>
      </c>
      <c r="U6" s="7" t="s">
        <v>10</v>
      </c>
      <c r="V6" s="7" t="s">
        <v>10</v>
      </c>
    </row>
    <row r="7" spans="1:22" ht="15.7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ht="15.75">
      <c r="A8" s="8" t="s">
        <v>11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</row>
    <row r="9" spans="1:22" ht="15.75">
      <c r="A9" s="4" t="s">
        <v>12</v>
      </c>
      <c r="B9" s="4" t="s">
        <v>13</v>
      </c>
      <c r="C9" s="4" t="s">
        <v>14</v>
      </c>
      <c r="D9" s="10">
        <f>件数入力!$D$24</f>
        <v>0</v>
      </c>
      <c r="E9" s="10">
        <f t="shared" ref="E9:V9" si="0">D13</f>
        <v>32</v>
      </c>
      <c r="F9" s="10">
        <f t="shared" si="0"/>
        <v>58</v>
      </c>
      <c r="G9" s="10">
        <f t="shared" si="0"/>
        <v>42</v>
      </c>
      <c r="H9" s="10">
        <f t="shared" si="0"/>
        <v>0</v>
      </c>
      <c r="I9" s="10">
        <f t="shared" si="0"/>
        <v>0</v>
      </c>
      <c r="J9" s="10">
        <f t="shared" si="0"/>
        <v>14</v>
      </c>
      <c r="K9" s="10">
        <f t="shared" si="0"/>
        <v>77</v>
      </c>
      <c r="L9" s="10">
        <f t="shared" si="0"/>
        <v>114</v>
      </c>
      <c r="M9" s="10">
        <f t="shared" si="0"/>
        <v>91</v>
      </c>
      <c r="N9" s="10">
        <f t="shared" si="0"/>
        <v>147</v>
      </c>
      <c r="O9" s="10">
        <f t="shared" si="0"/>
        <v>152</v>
      </c>
      <c r="P9" s="10">
        <f t="shared" si="0"/>
        <v>150</v>
      </c>
      <c r="Q9" s="10">
        <f t="shared" si="0"/>
        <v>129</v>
      </c>
      <c r="R9" s="10">
        <f t="shared" si="0"/>
        <v>112</v>
      </c>
      <c r="S9" s="10">
        <f t="shared" si="0"/>
        <v>53</v>
      </c>
      <c r="T9" s="10">
        <f t="shared" si="0"/>
        <v>6</v>
      </c>
      <c r="U9" s="10">
        <f t="shared" si="0"/>
        <v>0</v>
      </c>
      <c r="V9" s="10">
        <f t="shared" si="0"/>
        <v>0</v>
      </c>
    </row>
    <row r="10" spans="1:22" ht="15.75">
      <c r="A10" s="2"/>
      <c r="B10" s="11" t="s">
        <v>15</v>
      </c>
      <c r="C10" s="11" t="s">
        <v>14</v>
      </c>
      <c r="D10" s="10">
        <f>件数入力!D6</f>
        <v>137</v>
      </c>
      <c r="E10" s="10">
        <f>件数入力!E6</f>
        <v>156</v>
      </c>
      <c r="F10" s="10">
        <f>件数入力!F6</f>
        <v>119</v>
      </c>
      <c r="G10" s="10">
        <f>件数入力!G6</f>
        <v>111</v>
      </c>
      <c r="H10" s="10">
        <f>件数入力!H6</f>
        <v>127</v>
      </c>
      <c r="I10" s="10">
        <f>件数入力!I6</f>
        <v>200</v>
      </c>
      <c r="J10" s="10">
        <f>件数入力!J6</f>
        <v>190</v>
      </c>
      <c r="K10" s="10">
        <f>件数入力!K6</f>
        <v>152</v>
      </c>
      <c r="L10" s="10">
        <f>件数入力!L6</f>
        <v>172</v>
      </c>
      <c r="M10" s="10">
        <f>件数入力!M6</f>
        <v>159</v>
      </c>
      <c r="N10" s="10">
        <f>件数入力!N6</f>
        <v>151</v>
      </c>
      <c r="O10" s="10">
        <f>件数入力!O6</f>
        <v>128</v>
      </c>
      <c r="P10" s="10">
        <f>件数入力!P6</f>
        <v>136</v>
      </c>
      <c r="Q10" s="10">
        <f>件数入力!Q6</f>
        <v>107</v>
      </c>
      <c r="R10" s="10">
        <f>件数入力!R6</f>
        <v>111</v>
      </c>
      <c r="S10" s="10">
        <f>件数入力!S6</f>
        <v>137</v>
      </c>
      <c r="T10" s="10">
        <f>件数入力!T6</f>
        <v>151</v>
      </c>
      <c r="U10" s="10">
        <f>件数入力!U6</f>
        <v>159</v>
      </c>
      <c r="V10" s="10">
        <f>件数入力!V6</f>
        <v>107</v>
      </c>
    </row>
    <row r="11" spans="1:22" ht="15.75">
      <c r="A11" s="2"/>
      <c r="B11" s="11" t="s">
        <v>16</v>
      </c>
      <c r="C11" s="11" t="s">
        <v>14</v>
      </c>
      <c r="D11" s="12">
        <f t="shared" ref="D11:V11" si="1">D9+D10</f>
        <v>137</v>
      </c>
      <c r="E11" s="12">
        <f t="shared" si="1"/>
        <v>188</v>
      </c>
      <c r="F11" s="12">
        <f t="shared" si="1"/>
        <v>177</v>
      </c>
      <c r="G11" s="12">
        <f t="shared" si="1"/>
        <v>153</v>
      </c>
      <c r="H11" s="12">
        <f t="shared" si="1"/>
        <v>127</v>
      </c>
      <c r="I11" s="12">
        <f t="shared" si="1"/>
        <v>200</v>
      </c>
      <c r="J11" s="12">
        <f t="shared" si="1"/>
        <v>204</v>
      </c>
      <c r="K11" s="12">
        <f t="shared" si="1"/>
        <v>229</v>
      </c>
      <c r="L11" s="12">
        <f t="shared" si="1"/>
        <v>286</v>
      </c>
      <c r="M11" s="12">
        <f t="shared" si="1"/>
        <v>250</v>
      </c>
      <c r="N11" s="12">
        <f t="shared" si="1"/>
        <v>298</v>
      </c>
      <c r="O11" s="12">
        <f t="shared" si="1"/>
        <v>280</v>
      </c>
      <c r="P11" s="12">
        <f t="shared" si="1"/>
        <v>286</v>
      </c>
      <c r="Q11" s="12">
        <f t="shared" si="1"/>
        <v>236</v>
      </c>
      <c r="R11" s="12">
        <f t="shared" si="1"/>
        <v>223</v>
      </c>
      <c r="S11" s="12">
        <f t="shared" si="1"/>
        <v>190</v>
      </c>
      <c r="T11" s="12">
        <f t="shared" si="1"/>
        <v>157</v>
      </c>
      <c r="U11" s="12">
        <f t="shared" si="1"/>
        <v>159</v>
      </c>
      <c r="V11" s="12">
        <f t="shared" si="1"/>
        <v>107</v>
      </c>
    </row>
    <row r="12" spans="1:22" ht="15.75">
      <c r="A12" s="2"/>
      <c r="B12" s="11" t="s">
        <v>17</v>
      </c>
      <c r="C12" s="11" t="s">
        <v>14</v>
      </c>
      <c r="D12" s="10">
        <f>件数入力!D15</f>
        <v>105</v>
      </c>
      <c r="E12" s="10">
        <f>件数入力!E15</f>
        <v>130</v>
      </c>
      <c r="F12" s="10">
        <f>件数入力!F15</f>
        <v>135</v>
      </c>
      <c r="G12" s="10">
        <f>件数入力!G15</f>
        <v>153</v>
      </c>
      <c r="H12" s="10">
        <f>件数入力!H15</f>
        <v>127</v>
      </c>
      <c r="I12" s="10">
        <f>件数入力!I15</f>
        <v>186</v>
      </c>
      <c r="J12" s="10">
        <f>件数入力!J15</f>
        <v>127</v>
      </c>
      <c r="K12" s="10">
        <f>件数入力!K15</f>
        <v>115</v>
      </c>
      <c r="L12" s="10">
        <f>件数入力!L15</f>
        <v>195</v>
      </c>
      <c r="M12" s="10">
        <f>件数入力!M15</f>
        <v>103</v>
      </c>
      <c r="N12" s="10">
        <f>件数入力!N15</f>
        <v>146</v>
      </c>
      <c r="O12" s="10">
        <f>件数入力!O15</f>
        <v>130</v>
      </c>
      <c r="P12" s="10">
        <f>件数入力!P15</f>
        <v>157</v>
      </c>
      <c r="Q12" s="10">
        <f>件数入力!Q15</f>
        <v>124</v>
      </c>
      <c r="R12" s="10">
        <f>件数入力!R15</f>
        <v>170</v>
      </c>
      <c r="S12" s="10">
        <f>件数入力!S15</f>
        <v>184</v>
      </c>
      <c r="T12" s="10">
        <f>件数入力!T15</f>
        <v>157</v>
      </c>
      <c r="U12" s="10">
        <f>件数入力!U15</f>
        <v>159</v>
      </c>
      <c r="V12" s="10">
        <f>件数入力!V15</f>
        <v>101</v>
      </c>
    </row>
    <row r="13" spans="1:22" ht="15.75">
      <c r="A13" s="2"/>
      <c r="B13" s="11" t="s">
        <v>18</v>
      </c>
      <c r="C13" s="11" t="s">
        <v>14</v>
      </c>
      <c r="D13" s="10">
        <f t="shared" ref="D13:V13" si="2">D11-D12</f>
        <v>32</v>
      </c>
      <c r="E13" s="10">
        <f t="shared" si="2"/>
        <v>58</v>
      </c>
      <c r="F13" s="10">
        <f t="shared" si="2"/>
        <v>42</v>
      </c>
      <c r="G13" s="10">
        <f t="shared" si="2"/>
        <v>0</v>
      </c>
      <c r="H13" s="10">
        <f t="shared" si="2"/>
        <v>0</v>
      </c>
      <c r="I13" s="10">
        <f t="shared" si="2"/>
        <v>14</v>
      </c>
      <c r="J13" s="10">
        <f t="shared" si="2"/>
        <v>77</v>
      </c>
      <c r="K13" s="10">
        <f t="shared" si="2"/>
        <v>114</v>
      </c>
      <c r="L13" s="10">
        <f t="shared" si="2"/>
        <v>91</v>
      </c>
      <c r="M13" s="10">
        <f t="shared" si="2"/>
        <v>147</v>
      </c>
      <c r="N13" s="10">
        <f t="shared" si="2"/>
        <v>152</v>
      </c>
      <c r="O13" s="10">
        <f t="shared" si="2"/>
        <v>150</v>
      </c>
      <c r="P13" s="10">
        <f t="shared" si="2"/>
        <v>129</v>
      </c>
      <c r="Q13" s="10">
        <f t="shared" si="2"/>
        <v>112</v>
      </c>
      <c r="R13" s="10">
        <f t="shared" si="2"/>
        <v>53</v>
      </c>
      <c r="S13" s="10">
        <f t="shared" si="2"/>
        <v>6</v>
      </c>
      <c r="T13" s="10">
        <f t="shared" si="2"/>
        <v>0</v>
      </c>
      <c r="U13" s="10">
        <f t="shared" si="2"/>
        <v>0</v>
      </c>
      <c r="V13" s="10">
        <f t="shared" si="2"/>
        <v>6</v>
      </c>
    </row>
    <row r="14" spans="1:22" ht="15.75">
      <c r="A14" s="4" t="s">
        <v>19</v>
      </c>
      <c r="B14" s="4" t="s">
        <v>13</v>
      </c>
      <c r="C14" s="4" t="s">
        <v>14</v>
      </c>
      <c r="D14" s="10">
        <f>件数入力!$D$25</f>
        <v>0</v>
      </c>
      <c r="E14" s="10">
        <f t="shared" ref="E14:V14" si="3">D18</f>
        <v>36</v>
      </c>
      <c r="F14" s="10">
        <f t="shared" si="3"/>
        <v>70</v>
      </c>
      <c r="G14" s="10">
        <f t="shared" si="3"/>
        <v>36</v>
      </c>
      <c r="H14" s="10">
        <f t="shared" si="3"/>
        <v>43</v>
      </c>
      <c r="I14" s="10">
        <f t="shared" si="3"/>
        <v>112</v>
      </c>
      <c r="J14" s="10">
        <f t="shared" si="3"/>
        <v>136</v>
      </c>
      <c r="K14" s="10">
        <f t="shared" si="3"/>
        <v>174</v>
      </c>
      <c r="L14" s="10">
        <f t="shared" si="3"/>
        <v>90</v>
      </c>
      <c r="M14" s="10">
        <f t="shared" si="3"/>
        <v>20</v>
      </c>
      <c r="N14" s="10">
        <f t="shared" si="3"/>
        <v>32</v>
      </c>
      <c r="O14" s="10">
        <f t="shared" si="3"/>
        <v>0</v>
      </c>
      <c r="P14" s="10">
        <f t="shared" si="3"/>
        <v>11</v>
      </c>
      <c r="Q14" s="10">
        <f t="shared" si="3"/>
        <v>45</v>
      </c>
      <c r="R14" s="10">
        <f t="shared" si="3"/>
        <v>0</v>
      </c>
      <c r="S14" s="10">
        <f t="shared" si="3"/>
        <v>11</v>
      </c>
      <c r="T14" s="10">
        <f t="shared" si="3"/>
        <v>24</v>
      </c>
      <c r="U14" s="10">
        <f t="shared" si="3"/>
        <v>18</v>
      </c>
      <c r="V14" s="10">
        <f t="shared" si="3"/>
        <v>0</v>
      </c>
    </row>
    <row r="15" spans="1:22" ht="15.75">
      <c r="A15" s="2"/>
      <c r="B15" s="11" t="s">
        <v>15</v>
      </c>
      <c r="C15" s="11" t="s">
        <v>14</v>
      </c>
      <c r="D15" s="10">
        <f>件数入力!D7</f>
        <v>145</v>
      </c>
      <c r="E15" s="10">
        <f>件数入力!E7</f>
        <v>196</v>
      </c>
      <c r="F15" s="10">
        <f>件数入力!F7</f>
        <v>108</v>
      </c>
      <c r="G15" s="10">
        <f>件数入力!G7</f>
        <v>174</v>
      </c>
      <c r="H15" s="10">
        <f>件数入力!H7</f>
        <v>177</v>
      </c>
      <c r="I15" s="10">
        <f>件数入力!I7</f>
        <v>140</v>
      </c>
      <c r="J15" s="10">
        <f>件数入力!J7</f>
        <v>144</v>
      </c>
      <c r="K15" s="10">
        <f>件数入力!K7</f>
        <v>110</v>
      </c>
      <c r="L15" s="10">
        <f>件数入力!L7</f>
        <v>115</v>
      </c>
      <c r="M15" s="10">
        <f>件数入力!M7</f>
        <v>137</v>
      </c>
      <c r="N15" s="10">
        <f>件数入力!N7</f>
        <v>132</v>
      </c>
      <c r="O15" s="10">
        <f>件数入力!O7</f>
        <v>121</v>
      </c>
      <c r="P15" s="10">
        <f>件数入力!P7</f>
        <v>134</v>
      </c>
      <c r="Q15" s="10">
        <f>件数入力!Q7</f>
        <v>124</v>
      </c>
      <c r="R15" s="10">
        <f>件数入力!R7</f>
        <v>113</v>
      </c>
      <c r="S15" s="10">
        <f>件数入力!S7</f>
        <v>167</v>
      </c>
      <c r="T15" s="10">
        <f>件数入力!T7</f>
        <v>103</v>
      </c>
      <c r="U15" s="10">
        <f>件数入力!U7</f>
        <v>166</v>
      </c>
      <c r="V15" s="10">
        <f>件数入力!V7</f>
        <v>189</v>
      </c>
    </row>
    <row r="16" spans="1:22" ht="15.75">
      <c r="A16" s="2"/>
      <c r="B16" s="11" t="s">
        <v>16</v>
      </c>
      <c r="C16" s="11" t="s">
        <v>14</v>
      </c>
      <c r="D16" s="12">
        <f t="shared" ref="D16:V16" si="4">D14+D15</f>
        <v>145</v>
      </c>
      <c r="E16" s="12">
        <f t="shared" si="4"/>
        <v>232</v>
      </c>
      <c r="F16" s="12">
        <f t="shared" si="4"/>
        <v>178</v>
      </c>
      <c r="G16" s="12">
        <f t="shared" si="4"/>
        <v>210</v>
      </c>
      <c r="H16" s="12">
        <f t="shared" si="4"/>
        <v>220</v>
      </c>
      <c r="I16" s="12">
        <f t="shared" si="4"/>
        <v>252</v>
      </c>
      <c r="J16" s="12">
        <f t="shared" si="4"/>
        <v>280</v>
      </c>
      <c r="K16" s="12">
        <f t="shared" si="4"/>
        <v>284</v>
      </c>
      <c r="L16" s="12">
        <f t="shared" si="4"/>
        <v>205</v>
      </c>
      <c r="M16" s="12">
        <f t="shared" si="4"/>
        <v>157</v>
      </c>
      <c r="N16" s="12">
        <f t="shared" si="4"/>
        <v>164</v>
      </c>
      <c r="O16" s="12">
        <f t="shared" si="4"/>
        <v>121</v>
      </c>
      <c r="P16" s="12">
        <f t="shared" si="4"/>
        <v>145</v>
      </c>
      <c r="Q16" s="12">
        <f t="shared" si="4"/>
        <v>169</v>
      </c>
      <c r="R16" s="12">
        <f t="shared" si="4"/>
        <v>113</v>
      </c>
      <c r="S16" s="12">
        <f t="shared" si="4"/>
        <v>178</v>
      </c>
      <c r="T16" s="12">
        <f t="shared" si="4"/>
        <v>127</v>
      </c>
      <c r="U16" s="12">
        <f t="shared" si="4"/>
        <v>184</v>
      </c>
      <c r="V16" s="12">
        <f t="shared" si="4"/>
        <v>189</v>
      </c>
    </row>
    <row r="17" spans="1:22" ht="15.75">
      <c r="A17" s="2"/>
      <c r="B17" s="11" t="s">
        <v>17</v>
      </c>
      <c r="C17" s="11" t="s">
        <v>14</v>
      </c>
      <c r="D17" s="10">
        <f>件数入力!D16</f>
        <v>109</v>
      </c>
      <c r="E17" s="10">
        <f>件数入力!E16</f>
        <v>162</v>
      </c>
      <c r="F17" s="10">
        <f>件数入力!F16</f>
        <v>142</v>
      </c>
      <c r="G17" s="10">
        <f>件数入力!G16</f>
        <v>167</v>
      </c>
      <c r="H17" s="10">
        <f>件数入力!H16</f>
        <v>108</v>
      </c>
      <c r="I17" s="10">
        <f>件数入力!I16</f>
        <v>116</v>
      </c>
      <c r="J17" s="10">
        <f>件数入力!J16</f>
        <v>106</v>
      </c>
      <c r="K17" s="10">
        <f>件数入力!K16</f>
        <v>194</v>
      </c>
      <c r="L17" s="10">
        <f>件数入力!L16</f>
        <v>185</v>
      </c>
      <c r="M17" s="10">
        <f>件数入力!M16</f>
        <v>125</v>
      </c>
      <c r="N17" s="10">
        <f>件数入力!N16</f>
        <v>164</v>
      </c>
      <c r="O17" s="10">
        <f>件数入力!O16</f>
        <v>110</v>
      </c>
      <c r="P17" s="10">
        <f>件数入力!P16</f>
        <v>100</v>
      </c>
      <c r="Q17" s="10">
        <f>件数入力!Q16</f>
        <v>169</v>
      </c>
      <c r="R17" s="10">
        <f>件数入力!R16</f>
        <v>102</v>
      </c>
      <c r="S17" s="10">
        <f>件数入力!S16</f>
        <v>154</v>
      </c>
      <c r="T17" s="10">
        <f>件数入力!T16</f>
        <v>109</v>
      </c>
      <c r="U17" s="10">
        <f>件数入力!U16</f>
        <v>184</v>
      </c>
      <c r="V17" s="10">
        <f>件数入力!V16</f>
        <v>110</v>
      </c>
    </row>
    <row r="18" spans="1:22" ht="15.75">
      <c r="A18" s="2"/>
      <c r="B18" s="11" t="s">
        <v>18</v>
      </c>
      <c r="C18" s="11" t="s">
        <v>14</v>
      </c>
      <c r="D18" s="10">
        <f t="shared" ref="D18:V18" si="5">D16-D17</f>
        <v>36</v>
      </c>
      <c r="E18" s="10">
        <f t="shared" si="5"/>
        <v>70</v>
      </c>
      <c r="F18" s="10">
        <f t="shared" si="5"/>
        <v>36</v>
      </c>
      <c r="G18" s="10">
        <f t="shared" si="5"/>
        <v>43</v>
      </c>
      <c r="H18" s="10">
        <f t="shared" si="5"/>
        <v>112</v>
      </c>
      <c r="I18" s="10">
        <f t="shared" si="5"/>
        <v>136</v>
      </c>
      <c r="J18" s="10">
        <f t="shared" si="5"/>
        <v>174</v>
      </c>
      <c r="K18" s="10">
        <f t="shared" si="5"/>
        <v>90</v>
      </c>
      <c r="L18" s="10">
        <f t="shared" si="5"/>
        <v>20</v>
      </c>
      <c r="M18" s="10">
        <f t="shared" si="5"/>
        <v>32</v>
      </c>
      <c r="N18" s="10">
        <f t="shared" si="5"/>
        <v>0</v>
      </c>
      <c r="O18" s="10">
        <f t="shared" si="5"/>
        <v>11</v>
      </c>
      <c r="P18" s="10">
        <f t="shared" si="5"/>
        <v>45</v>
      </c>
      <c r="Q18" s="10">
        <f t="shared" si="5"/>
        <v>0</v>
      </c>
      <c r="R18" s="10">
        <f t="shared" si="5"/>
        <v>11</v>
      </c>
      <c r="S18" s="10">
        <f t="shared" si="5"/>
        <v>24</v>
      </c>
      <c r="T18" s="10">
        <f t="shared" si="5"/>
        <v>18</v>
      </c>
      <c r="U18" s="10">
        <f t="shared" si="5"/>
        <v>0</v>
      </c>
      <c r="V18" s="10">
        <f t="shared" si="5"/>
        <v>79</v>
      </c>
    </row>
    <row r="19" spans="1:22" ht="15.75">
      <c r="A19" s="4" t="s">
        <v>20</v>
      </c>
      <c r="B19" s="4" t="s">
        <v>13</v>
      </c>
      <c r="C19" s="4" t="s">
        <v>14</v>
      </c>
      <c r="D19" s="10">
        <f>件数入力!$D$26</f>
        <v>0</v>
      </c>
      <c r="E19" s="10">
        <f t="shared" ref="E19:V19" si="6">D23</f>
        <v>43</v>
      </c>
      <c r="F19" s="10">
        <f t="shared" si="6"/>
        <v>0</v>
      </c>
      <c r="G19" s="10">
        <f t="shared" si="6"/>
        <v>0</v>
      </c>
      <c r="H19" s="10">
        <f t="shared" si="6"/>
        <v>0</v>
      </c>
      <c r="I19" s="10">
        <f t="shared" si="6"/>
        <v>0</v>
      </c>
      <c r="J19" s="10">
        <f t="shared" si="6"/>
        <v>0</v>
      </c>
      <c r="K19" s="10">
        <f t="shared" si="6"/>
        <v>0</v>
      </c>
      <c r="L19" s="10">
        <f t="shared" si="6"/>
        <v>0</v>
      </c>
      <c r="M19" s="10">
        <f t="shared" si="6"/>
        <v>0</v>
      </c>
      <c r="N19" s="10">
        <f t="shared" si="6"/>
        <v>52</v>
      </c>
      <c r="O19" s="10">
        <f t="shared" si="6"/>
        <v>27</v>
      </c>
      <c r="P19" s="10">
        <f t="shared" si="6"/>
        <v>23</v>
      </c>
      <c r="Q19" s="10">
        <f t="shared" si="6"/>
        <v>41</v>
      </c>
      <c r="R19" s="10">
        <f t="shared" si="6"/>
        <v>6</v>
      </c>
      <c r="S19" s="10">
        <f t="shared" si="6"/>
        <v>10</v>
      </c>
      <c r="T19" s="10">
        <f t="shared" si="6"/>
        <v>86</v>
      </c>
      <c r="U19" s="10">
        <f t="shared" si="6"/>
        <v>57</v>
      </c>
      <c r="V19" s="10">
        <f t="shared" si="6"/>
        <v>72</v>
      </c>
    </row>
    <row r="20" spans="1:22" ht="15.75">
      <c r="A20" s="2"/>
      <c r="B20" s="11" t="s">
        <v>15</v>
      </c>
      <c r="C20" s="11" t="s">
        <v>14</v>
      </c>
      <c r="D20" s="10">
        <f>件数入力!D8</f>
        <v>155</v>
      </c>
      <c r="E20" s="10">
        <f>件数入力!E8</f>
        <v>105</v>
      </c>
      <c r="F20" s="10">
        <f>件数入力!F8</f>
        <v>118</v>
      </c>
      <c r="G20" s="10">
        <f>件数入力!G8</f>
        <v>123</v>
      </c>
      <c r="H20" s="10">
        <f>件数入力!H8</f>
        <v>141</v>
      </c>
      <c r="I20" s="10">
        <f>件数入力!I8</f>
        <v>185</v>
      </c>
      <c r="J20" s="10">
        <f>件数入力!J8</f>
        <v>109</v>
      </c>
      <c r="K20" s="10">
        <f>件数入力!K8</f>
        <v>137</v>
      </c>
      <c r="L20" s="10">
        <f>件数入力!L8</f>
        <v>114</v>
      </c>
      <c r="M20" s="10">
        <f>件数入力!M8</f>
        <v>198</v>
      </c>
      <c r="N20" s="10">
        <f>件数入力!N8</f>
        <v>105</v>
      </c>
      <c r="O20" s="10">
        <f>件数入力!O8</f>
        <v>195</v>
      </c>
      <c r="P20" s="10">
        <f>件数入力!P8</f>
        <v>199</v>
      </c>
      <c r="Q20" s="10">
        <f>件数入力!Q8</f>
        <v>124</v>
      </c>
      <c r="R20" s="10">
        <f>件数入力!R8</f>
        <v>138</v>
      </c>
      <c r="S20" s="10">
        <f>件数入力!S8</f>
        <v>193</v>
      </c>
      <c r="T20" s="10">
        <f>件数入力!T8</f>
        <v>102</v>
      </c>
      <c r="U20" s="10">
        <f>件数入力!U8</f>
        <v>186</v>
      </c>
      <c r="V20" s="10">
        <f>件数入力!V8</f>
        <v>112</v>
      </c>
    </row>
    <row r="21" spans="1:22" ht="15.75">
      <c r="A21" s="2"/>
      <c r="B21" s="11" t="s">
        <v>16</v>
      </c>
      <c r="C21" s="11" t="s">
        <v>14</v>
      </c>
      <c r="D21" s="12">
        <f t="shared" ref="D21:V21" si="7">D19+D20</f>
        <v>155</v>
      </c>
      <c r="E21" s="12">
        <f t="shared" si="7"/>
        <v>148</v>
      </c>
      <c r="F21" s="12">
        <f t="shared" si="7"/>
        <v>118</v>
      </c>
      <c r="G21" s="12">
        <f t="shared" si="7"/>
        <v>123</v>
      </c>
      <c r="H21" s="12">
        <f t="shared" si="7"/>
        <v>141</v>
      </c>
      <c r="I21" s="12">
        <f t="shared" si="7"/>
        <v>185</v>
      </c>
      <c r="J21" s="12">
        <f t="shared" si="7"/>
        <v>109</v>
      </c>
      <c r="K21" s="12">
        <f t="shared" si="7"/>
        <v>137</v>
      </c>
      <c r="L21" s="12">
        <f t="shared" si="7"/>
        <v>114</v>
      </c>
      <c r="M21" s="12">
        <f t="shared" si="7"/>
        <v>198</v>
      </c>
      <c r="N21" s="12">
        <f t="shared" si="7"/>
        <v>157</v>
      </c>
      <c r="O21" s="12">
        <f t="shared" si="7"/>
        <v>222</v>
      </c>
      <c r="P21" s="12">
        <f t="shared" si="7"/>
        <v>222</v>
      </c>
      <c r="Q21" s="12">
        <f t="shared" si="7"/>
        <v>165</v>
      </c>
      <c r="R21" s="12">
        <f t="shared" si="7"/>
        <v>144</v>
      </c>
      <c r="S21" s="12">
        <f t="shared" si="7"/>
        <v>203</v>
      </c>
      <c r="T21" s="12">
        <f t="shared" si="7"/>
        <v>188</v>
      </c>
      <c r="U21" s="12">
        <f t="shared" si="7"/>
        <v>243</v>
      </c>
      <c r="V21" s="12">
        <f t="shared" si="7"/>
        <v>184</v>
      </c>
    </row>
    <row r="22" spans="1:22" ht="15.75">
      <c r="A22" s="2"/>
      <c r="B22" s="11" t="s">
        <v>17</v>
      </c>
      <c r="C22" s="11" t="s">
        <v>14</v>
      </c>
      <c r="D22" s="10">
        <f>件数入力!D17</f>
        <v>112</v>
      </c>
      <c r="E22" s="10">
        <f>件数入力!E17</f>
        <v>148</v>
      </c>
      <c r="F22" s="10">
        <f>件数入力!F17</f>
        <v>118</v>
      </c>
      <c r="G22" s="10">
        <f>件数入力!G17</f>
        <v>123</v>
      </c>
      <c r="H22" s="10">
        <f>件数入力!H17</f>
        <v>141</v>
      </c>
      <c r="I22" s="10">
        <f>件数入力!I17</f>
        <v>185</v>
      </c>
      <c r="J22" s="10">
        <f>件数入力!J17</f>
        <v>109</v>
      </c>
      <c r="K22" s="10">
        <f>件数入力!K17</f>
        <v>137</v>
      </c>
      <c r="L22" s="10">
        <f>件数入力!L17</f>
        <v>114</v>
      </c>
      <c r="M22" s="10">
        <f>件数入力!M17</f>
        <v>146</v>
      </c>
      <c r="N22" s="10">
        <f>件数入力!N17</f>
        <v>130</v>
      </c>
      <c r="O22" s="10">
        <f>件数入力!O17</f>
        <v>199</v>
      </c>
      <c r="P22" s="10">
        <f>件数入力!P17</f>
        <v>181</v>
      </c>
      <c r="Q22" s="10">
        <f>件数入力!Q17</f>
        <v>159</v>
      </c>
      <c r="R22" s="10">
        <f>件数入力!R17</f>
        <v>134</v>
      </c>
      <c r="S22" s="10">
        <f>件数入力!S17</f>
        <v>117</v>
      </c>
      <c r="T22" s="10">
        <f>件数入力!T17</f>
        <v>131</v>
      </c>
      <c r="U22" s="10">
        <f>件数入力!U17</f>
        <v>171</v>
      </c>
      <c r="V22" s="10">
        <f>件数入力!V17</f>
        <v>134</v>
      </c>
    </row>
    <row r="23" spans="1:22" ht="15.75">
      <c r="A23" s="2"/>
      <c r="B23" s="11" t="s">
        <v>18</v>
      </c>
      <c r="C23" s="11" t="s">
        <v>14</v>
      </c>
      <c r="D23" s="10">
        <f t="shared" ref="D23:V23" si="8">D21-D22</f>
        <v>43</v>
      </c>
      <c r="E23" s="10">
        <f t="shared" si="8"/>
        <v>0</v>
      </c>
      <c r="F23" s="10">
        <f t="shared" si="8"/>
        <v>0</v>
      </c>
      <c r="G23" s="10">
        <f t="shared" si="8"/>
        <v>0</v>
      </c>
      <c r="H23" s="10">
        <f t="shared" si="8"/>
        <v>0</v>
      </c>
      <c r="I23" s="10">
        <f t="shared" si="8"/>
        <v>0</v>
      </c>
      <c r="J23" s="10">
        <f t="shared" si="8"/>
        <v>0</v>
      </c>
      <c r="K23" s="10">
        <f t="shared" si="8"/>
        <v>0</v>
      </c>
      <c r="L23" s="10">
        <f t="shared" si="8"/>
        <v>0</v>
      </c>
      <c r="M23" s="10">
        <f t="shared" si="8"/>
        <v>52</v>
      </c>
      <c r="N23" s="10">
        <f t="shared" si="8"/>
        <v>27</v>
      </c>
      <c r="O23" s="10">
        <f t="shared" si="8"/>
        <v>23</v>
      </c>
      <c r="P23" s="10">
        <f t="shared" si="8"/>
        <v>41</v>
      </c>
      <c r="Q23" s="10">
        <f t="shared" si="8"/>
        <v>6</v>
      </c>
      <c r="R23" s="10">
        <f t="shared" si="8"/>
        <v>10</v>
      </c>
      <c r="S23" s="10">
        <f t="shared" si="8"/>
        <v>86</v>
      </c>
      <c r="T23" s="10">
        <f t="shared" si="8"/>
        <v>57</v>
      </c>
      <c r="U23" s="10">
        <f t="shared" si="8"/>
        <v>72</v>
      </c>
      <c r="V23" s="10">
        <f t="shared" si="8"/>
        <v>50</v>
      </c>
    </row>
    <row r="24" spans="1:22" ht="15.75">
      <c r="A24" s="4" t="s">
        <v>21</v>
      </c>
      <c r="B24" s="4" t="s">
        <v>13</v>
      </c>
      <c r="C24" s="4" t="s">
        <v>14</v>
      </c>
      <c r="D24" s="10">
        <f>件数入力!$D$27</f>
        <v>0</v>
      </c>
      <c r="E24" s="10">
        <f t="shared" ref="E24:V24" si="9">D28</f>
        <v>0</v>
      </c>
      <c r="F24" s="10">
        <f t="shared" si="9"/>
        <v>0</v>
      </c>
      <c r="G24" s="10">
        <f t="shared" si="9"/>
        <v>36</v>
      </c>
      <c r="H24" s="10">
        <f t="shared" si="9"/>
        <v>71</v>
      </c>
      <c r="I24" s="10">
        <f t="shared" si="9"/>
        <v>18</v>
      </c>
      <c r="J24" s="10">
        <f t="shared" si="9"/>
        <v>15</v>
      </c>
      <c r="K24" s="10">
        <f t="shared" si="9"/>
        <v>86</v>
      </c>
      <c r="L24" s="10">
        <f t="shared" si="9"/>
        <v>142</v>
      </c>
      <c r="M24" s="10">
        <f t="shared" si="9"/>
        <v>84</v>
      </c>
      <c r="N24" s="10">
        <f t="shared" si="9"/>
        <v>88</v>
      </c>
      <c r="O24" s="10">
        <f t="shared" si="9"/>
        <v>120</v>
      </c>
      <c r="P24" s="10">
        <f t="shared" si="9"/>
        <v>65</v>
      </c>
      <c r="Q24" s="10">
        <f t="shared" si="9"/>
        <v>20</v>
      </c>
      <c r="R24" s="10">
        <f t="shared" si="9"/>
        <v>54</v>
      </c>
      <c r="S24" s="10">
        <f t="shared" si="9"/>
        <v>104</v>
      </c>
      <c r="T24" s="10">
        <f t="shared" si="9"/>
        <v>175</v>
      </c>
      <c r="U24" s="10">
        <f t="shared" si="9"/>
        <v>181</v>
      </c>
      <c r="V24" s="10">
        <f t="shared" si="9"/>
        <v>147</v>
      </c>
    </row>
    <row r="25" spans="1:22" ht="15.75">
      <c r="A25" s="2"/>
      <c r="B25" s="11" t="s">
        <v>15</v>
      </c>
      <c r="C25" s="11" t="s">
        <v>14</v>
      </c>
      <c r="D25" s="10">
        <f>件数入力!D9</f>
        <v>100</v>
      </c>
      <c r="E25" s="10">
        <f>件数入力!E9</f>
        <v>133</v>
      </c>
      <c r="F25" s="10">
        <f>件数入力!F9</f>
        <v>165</v>
      </c>
      <c r="G25" s="10">
        <f>件数入力!G9</f>
        <v>177</v>
      </c>
      <c r="H25" s="10">
        <f>件数入力!H9</f>
        <v>115</v>
      </c>
      <c r="I25" s="10">
        <f>件数入力!I9</f>
        <v>136</v>
      </c>
      <c r="J25" s="10">
        <f>件数入力!J9</f>
        <v>176</v>
      </c>
      <c r="K25" s="10">
        <f>件数入力!K9</f>
        <v>192</v>
      </c>
      <c r="L25" s="10">
        <f>件数入力!L9</f>
        <v>107</v>
      </c>
      <c r="M25" s="10">
        <f>件数入力!M9</f>
        <v>108</v>
      </c>
      <c r="N25" s="10">
        <f>件数入力!N9</f>
        <v>144</v>
      </c>
      <c r="O25" s="10">
        <f>件数入力!O9</f>
        <v>101</v>
      </c>
      <c r="P25" s="10">
        <f>件数入力!P9</f>
        <v>108</v>
      </c>
      <c r="Q25" s="10">
        <f>件数入力!Q9</f>
        <v>161</v>
      </c>
      <c r="R25" s="10">
        <f>件数入力!R9</f>
        <v>197</v>
      </c>
      <c r="S25" s="10">
        <f>件数入力!S9</f>
        <v>189</v>
      </c>
      <c r="T25" s="10">
        <f>件数入力!T9</f>
        <v>132</v>
      </c>
      <c r="U25" s="10">
        <f>件数入力!U9</f>
        <v>118</v>
      </c>
      <c r="V25" s="10">
        <f>件数入力!V9</f>
        <v>152</v>
      </c>
    </row>
    <row r="26" spans="1:22" ht="15.75">
      <c r="A26" s="2"/>
      <c r="B26" s="11" t="s">
        <v>16</v>
      </c>
      <c r="C26" s="11" t="s">
        <v>14</v>
      </c>
      <c r="D26" s="12">
        <f t="shared" ref="D26:V26" si="10">D24+D25</f>
        <v>100</v>
      </c>
      <c r="E26" s="12">
        <f t="shared" si="10"/>
        <v>133</v>
      </c>
      <c r="F26" s="12">
        <f t="shared" si="10"/>
        <v>165</v>
      </c>
      <c r="G26" s="12">
        <f t="shared" si="10"/>
        <v>213</v>
      </c>
      <c r="H26" s="12">
        <f t="shared" si="10"/>
        <v>186</v>
      </c>
      <c r="I26" s="12">
        <f t="shared" si="10"/>
        <v>154</v>
      </c>
      <c r="J26" s="12">
        <f t="shared" si="10"/>
        <v>191</v>
      </c>
      <c r="K26" s="12">
        <f t="shared" si="10"/>
        <v>278</v>
      </c>
      <c r="L26" s="12">
        <f t="shared" si="10"/>
        <v>249</v>
      </c>
      <c r="M26" s="12">
        <f t="shared" si="10"/>
        <v>192</v>
      </c>
      <c r="N26" s="12">
        <f t="shared" si="10"/>
        <v>232</v>
      </c>
      <c r="O26" s="12">
        <f t="shared" si="10"/>
        <v>221</v>
      </c>
      <c r="P26" s="12">
        <f t="shared" si="10"/>
        <v>173</v>
      </c>
      <c r="Q26" s="12">
        <f t="shared" si="10"/>
        <v>181</v>
      </c>
      <c r="R26" s="12">
        <f t="shared" si="10"/>
        <v>251</v>
      </c>
      <c r="S26" s="12">
        <f t="shared" si="10"/>
        <v>293</v>
      </c>
      <c r="T26" s="12">
        <f t="shared" si="10"/>
        <v>307</v>
      </c>
      <c r="U26" s="12">
        <f t="shared" si="10"/>
        <v>299</v>
      </c>
      <c r="V26" s="12">
        <f t="shared" si="10"/>
        <v>299</v>
      </c>
    </row>
    <row r="27" spans="1:22" ht="15.75">
      <c r="A27" s="2"/>
      <c r="B27" s="11" t="s">
        <v>17</v>
      </c>
      <c r="C27" s="11" t="s">
        <v>14</v>
      </c>
      <c r="D27" s="10">
        <f>件数入力!D18</f>
        <v>100</v>
      </c>
      <c r="E27" s="10">
        <f>件数入力!E18</f>
        <v>133</v>
      </c>
      <c r="F27" s="10">
        <f>件数入力!F18</f>
        <v>129</v>
      </c>
      <c r="G27" s="10">
        <f>件数入力!G18</f>
        <v>142</v>
      </c>
      <c r="H27" s="10">
        <f>件数入力!H18</f>
        <v>168</v>
      </c>
      <c r="I27" s="10">
        <f>件数入力!I18</f>
        <v>139</v>
      </c>
      <c r="J27" s="10">
        <f>件数入力!J18</f>
        <v>105</v>
      </c>
      <c r="K27" s="10">
        <f>件数入力!K18</f>
        <v>136</v>
      </c>
      <c r="L27" s="10">
        <f>件数入力!L18</f>
        <v>165</v>
      </c>
      <c r="M27" s="10">
        <f>件数入力!M18</f>
        <v>104</v>
      </c>
      <c r="N27" s="10">
        <f>件数入力!N18</f>
        <v>112</v>
      </c>
      <c r="O27" s="10">
        <f>件数入力!O18</f>
        <v>156</v>
      </c>
      <c r="P27" s="10">
        <f>件数入力!P18</f>
        <v>153</v>
      </c>
      <c r="Q27" s="10">
        <f>件数入力!Q18</f>
        <v>127</v>
      </c>
      <c r="R27" s="10">
        <f>件数入力!R18</f>
        <v>147</v>
      </c>
      <c r="S27" s="10">
        <f>件数入力!S18</f>
        <v>118</v>
      </c>
      <c r="T27" s="10">
        <f>件数入力!T18</f>
        <v>126</v>
      </c>
      <c r="U27" s="10">
        <f>件数入力!U18</f>
        <v>152</v>
      </c>
      <c r="V27" s="10">
        <f>件数入力!V18</f>
        <v>119</v>
      </c>
    </row>
    <row r="28" spans="1:22" ht="15.75">
      <c r="A28" s="2"/>
      <c r="B28" s="11" t="s">
        <v>18</v>
      </c>
      <c r="C28" s="11" t="s">
        <v>14</v>
      </c>
      <c r="D28" s="10">
        <f t="shared" ref="D28:V28" si="11">D26-D27</f>
        <v>0</v>
      </c>
      <c r="E28" s="10">
        <f t="shared" si="11"/>
        <v>0</v>
      </c>
      <c r="F28" s="10">
        <f t="shared" si="11"/>
        <v>36</v>
      </c>
      <c r="G28" s="10">
        <f t="shared" si="11"/>
        <v>71</v>
      </c>
      <c r="H28" s="10">
        <f t="shared" si="11"/>
        <v>18</v>
      </c>
      <c r="I28" s="10">
        <f t="shared" si="11"/>
        <v>15</v>
      </c>
      <c r="J28" s="10">
        <f t="shared" si="11"/>
        <v>86</v>
      </c>
      <c r="K28" s="10">
        <f t="shared" si="11"/>
        <v>142</v>
      </c>
      <c r="L28" s="10">
        <f t="shared" si="11"/>
        <v>84</v>
      </c>
      <c r="M28" s="10">
        <f t="shared" si="11"/>
        <v>88</v>
      </c>
      <c r="N28" s="10">
        <f t="shared" si="11"/>
        <v>120</v>
      </c>
      <c r="O28" s="10">
        <f t="shared" si="11"/>
        <v>65</v>
      </c>
      <c r="P28" s="10">
        <f t="shared" si="11"/>
        <v>20</v>
      </c>
      <c r="Q28" s="10">
        <f t="shared" si="11"/>
        <v>54</v>
      </c>
      <c r="R28" s="10">
        <f t="shared" si="11"/>
        <v>104</v>
      </c>
      <c r="S28" s="10">
        <f t="shared" si="11"/>
        <v>175</v>
      </c>
      <c r="T28" s="10">
        <f t="shared" si="11"/>
        <v>181</v>
      </c>
      <c r="U28" s="10">
        <f t="shared" si="11"/>
        <v>147</v>
      </c>
      <c r="V28" s="10">
        <f t="shared" si="11"/>
        <v>180</v>
      </c>
    </row>
    <row r="29" spans="1:22" ht="15.75">
      <c r="A29" s="4" t="s">
        <v>22</v>
      </c>
      <c r="B29" s="4" t="s">
        <v>13</v>
      </c>
      <c r="C29" s="4" t="s">
        <v>14</v>
      </c>
      <c r="D29" s="10">
        <f>件数入力!$D$28</f>
        <v>0</v>
      </c>
      <c r="E29" s="10">
        <f t="shared" ref="E29:V29" si="12">D33</f>
        <v>0</v>
      </c>
      <c r="F29" s="10">
        <f t="shared" si="12"/>
        <v>0</v>
      </c>
      <c r="G29" s="10">
        <f t="shared" si="12"/>
        <v>0</v>
      </c>
      <c r="H29" s="10">
        <f t="shared" si="12"/>
        <v>0</v>
      </c>
      <c r="I29" s="10">
        <f t="shared" si="12"/>
        <v>0</v>
      </c>
      <c r="J29" s="10">
        <f t="shared" si="12"/>
        <v>0</v>
      </c>
      <c r="K29" s="10">
        <f t="shared" si="12"/>
        <v>78</v>
      </c>
      <c r="L29" s="10">
        <f t="shared" si="12"/>
        <v>101</v>
      </c>
      <c r="M29" s="10">
        <f t="shared" si="12"/>
        <v>117</v>
      </c>
      <c r="N29" s="10">
        <f t="shared" si="12"/>
        <v>71</v>
      </c>
      <c r="O29" s="10">
        <f t="shared" si="12"/>
        <v>139</v>
      </c>
      <c r="P29" s="10">
        <f t="shared" si="12"/>
        <v>109</v>
      </c>
      <c r="Q29" s="10">
        <f t="shared" si="12"/>
        <v>154</v>
      </c>
      <c r="R29" s="10">
        <f t="shared" si="12"/>
        <v>169</v>
      </c>
      <c r="S29" s="10">
        <f t="shared" si="12"/>
        <v>109</v>
      </c>
      <c r="T29" s="10">
        <f t="shared" si="12"/>
        <v>166</v>
      </c>
      <c r="U29" s="10">
        <f t="shared" si="12"/>
        <v>117</v>
      </c>
      <c r="V29" s="10">
        <f t="shared" si="12"/>
        <v>144</v>
      </c>
    </row>
    <row r="30" spans="1:22" ht="15.75">
      <c r="A30" s="2"/>
      <c r="B30" s="11" t="s">
        <v>15</v>
      </c>
      <c r="C30" s="11" t="s">
        <v>14</v>
      </c>
      <c r="D30" s="10">
        <f>件数入力!D10</f>
        <v>126</v>
      </c>
      <c r="E30" s="10">
        <f>件数入力!E10</f>
        <v>187</v>
      </c>
      <c r="F30" s="10">
        <f>件数入力!F10</f>
        <v>165</v>
      </c>
      <c r="G30" s="10">
        <f>件数入力!G10</f>
        <v>106</v>
      </c>
      <c r="H30" s="10">
        <f>件数入力!H10</f>
        <v>117</v>
      </c>
      <c r="I30" s="10">
        <f>件数入力!I10</f>
        <v>125</v>
      </c>
      <c r="J30" s="10">
        <f>件数入力!J10</f>
        <v>195</v>
      </c>
      <c r="K30" s="10">
        <f>件数入力!K10</f>
        <v>181</v>
      </c>
      <c r="L30" s="10">
        <f>件数入力!L10</f>
        <v>146</v>
      </c>
      <c r="M30" s="10">
        <f>件数入力!M10</f>
        <v>138</v>
      </c>
      <c r="N30" s="10">
        <f>件数入力!N10</f>
        <v>184</v>
      </c>
      <c r="O30" s="10">
        <f>件数入力!O10</f>
        <v>105</v>
      </c>
      <c r="P30" s="10">
        <f>件数入力!P10</f>
        <v>182</v>
      </c>
      <c r="Q30" s="10">
        <f>件数入力!Q10</f>
        <v>122</v>
      </c>
      <c r="R30" s="10">
        <f>件数入力!R10</f>
        <v>108</v>
      </c>
      <c r="S30" s="10">
        <f>件数入力!S10</f>
        <v>157</v>
      </c>
      <c r="T30" s="10">
        <f>件数入力!T10</f>
        <v>130</v>
      </c>
      <c r="U30" s="10">
        <f>件数入力!U10</f>
        <v>200</v>
      </c>
      <c r="V30" s="10">
        <f>件数入力!V10</f>
        <v>195</v>
      </c>
    </row>
    <row r="31" spans="1:22" ht="15.75">
      <c r="A31" s="2"/>
      <c r="B31" s="11" t="s">
        <v>16</v>
      </c>
      <c r="C31" s="11" t="s">
        <v>14</v>
      </c>
      <c r="D31" s="12">
        <f t="shared" ref="D31:V31" si="13">D29+D30</f>
        <v>126</v>
      </c>
      <c r="E31" s="12">
        <f t="shared" si="13"/>
        <v>187</v>
      </c>
      <c r="F31" s="12">
        <f t="shared" si="13"/>
        <v>165</v>
      </c>
      <c r="G31" s="12">
        <f t="shared" si="13"/>
        <v>106</v>
      </c>
      <c r="H31" s="12">
        <f t="shared" si="13"/>
        <v>117</v>
      </c>
      <c r="I31" s="12">
        <f t="shared" si="13"/>
        <v>125</v>
      </c>
      <c r="J31" s="12">
        <f t="shared" si="13"/>
        <v>195</v>
      </c>
      <c r="K31" s="12">
        <f t="shared" si="13"/>
        <v>259</v>
      </c>
      <c r="L31" s="12">
        <f t="shared" si="13"/>
        <v>247</v>
      </c>
      <c r="M31" s="12">
        <f t="shared" si="13"/>
        <v>255</v>
      </c>
      <c r="N31" s="12">
        <f t="shared" si="13"/>
        <v>255</v>
      </c>
      <c r="O31" s="12">
        <f t="shared" si="13"/>
        <v>244</v>
      </c>
      <c r="P31" s="12">
        <f t="shared" si="13"/>
        <v>291</v>
      </c>
      <c r="Q31" s="12">
        <f t="shared" si="13"/>
        <v>276</v>
      </c>
      <c r="R31" s="12">
        <f t="shared" si="13"/>
        <v>277</v>
      </c>
      <c r="S31" s="12">
        <f t="shared" si="13"/>
        <v>266</v>
      </c>
      <c r="T31" s="12">
        <f t="shared" si="13"/>
        <v>296</v>
      </c>
      <c r="U31" s="12">
        <f t="shared" si="13"/>
        <v>317</v>
      </c>
      <c r="V31" s="12">
        <f t="shared" si="13"/>
        <v>339</v>
      </c>
    </row>
    <row r="32" spans="1:22" ht="15.75">
      <c r="A32" s="2"/>
      <c r="B32" s="11" t="s">
        <v>17</v>
      </c>
      <c r="C32" s="11" t="s">
        <v>14</v>
      </c>
      <c r="D32" s="10">
        <f>件数入力!D19</f>
        <v>126</v>
      </c>
      <c r="E32" s="10">
        <f>件数入力!E19</f>
        <v>187</v>
      </c>
      <c r="F32" s="10">
        <f>件数入力!F19</f>
        <v>165</v>
      </c>
      <c r="G32" s="10">
        <f>件数入力!G19</f>
        <v>106</v>
      </c>
      <c r="H32" s="10">
        <f>件数入力!H19</f>
        <v>117</v>
      </c>
      <c r="I32" s="10">
        <f>件数入力!I19</f>
        <v>125</v>
      </c>
      <c r="J32" s="10">
        <f>件数入力!J19</f>
        <v>117</v>
      </c>
      <c r="K32" s="10">
        <f>件数入力!K19</f>
        <v>158</v>
      </c>
      <c r="L32" s="10">
        <f>件数入力!L19</f>
        <v>130</v>
      </c>
      <c r="M32" s="10">
        <f>件数入力!M19</f>
        <v>184</v>
      </c>
      <c r="N32" s="10">
        <f>件数入力!N19</f>
        <v>116</v>
      </c>
      <c r="O32" s="10">
        <f>件数入力!O19</f>
        <v>135</v>
      </c>
      <c r="P32" s="10">
        <f>件数入力!P19</f>
        <v>137</v>
      </c>
      <c r="Q32" s="10">
        <f>件数入力!Q19</f>
        <v>107</v>
      </c>
      <c r="R32" s="10">
        <f>件数入力!R19</f>
        <v>168</v>
      </c>
      <c r="S32" s="10">
        <f>件数入力!S19</f>
        <v>100</v>
      </c>
      <c r="T32" s="10">
        <f>件数入力!T19</f>
        <v>179</v>
      </c>
      <c r="U32" s="10">
        <f>件数入力!U19</f>
        <v>173</v>
      </c>
      <c r="V32" s="10">
        <f>件数入力!V19</f>
        <v>123</v>
      </c>
    </row>
    <row r="33" spans="1:22" ht="15.75">
      <c r="A33" s="2"/>
      <c r="B33" s="11" t="s">
        <v>18</v>
      </c>
      <c r="C33" s="11" t="s">
        <v>14</v>
      </c>
      <c r="D33" s="10">
        <f t="shared" ref="D33:V33" si="14">D31-D32</f>
        <v>0</v>
      </c>
      <c r="E33" s="10">
        <f t="shared" si="14"/>
        <v>0</v>
      </c>
      <c r="F33" s="10">
        <f t="shared" si="14"/>
        <v>0</v>
      </c>
      <c r="G33" s="10">
        <f t="shared" si="14"/>
        <v>0</v>
      </c>
      <c r="H33" s="10">
        <f t="shared" si="14"/>
        <v>0</v>
      </c>
      <c r="I33" s="10">
        <f t="shared" si="14"/>
        <v>0</v>
      </c>
      <c r="J33" s="10">
        <f t="shared" si="14"/>
        <v>78</v>
      </c>
      <c r="K33" s="10">
        <f t="shared" si="14"/>
        <v>101</v>
      </c>
      <c r="L33" s="10">
        <f t="shared" si="14"/>
        <v>117</v>
      </c>
      <c r="M33" s="10">
        <f t="shared" si="14"/>
        <v>71</v>
      </c>
      <c r="N33" s="10">
        <f t="shared" si="14"/>
        <v>139</v>
      </c>
      <c r="O33" s="10">
        <f t="shared" si="14"/>
        <v>109</v>
      </c>
      <c r="P33" s="10">
        <f t="shared" si="14"/>
        <v>154</v>
      </c>
      <c r="Q33" s="10">
        <f t="shared" si="14"/>
        <v>169</v>
      </c>
      <c r="R33" s="10">
        <f t="shared" si="14"/>
        <v>109</v>
      </c>
      <c r="S33" s="10">
        <f t="shared" si="14"/>
        <v>166</v>
      </c>
      <c r="T33" s="10">
        <f t="shared" si="14"/>
        <v>117</v>
      </c>
      <c r="U33" s="10">
        <f t="shared" si="14"/>
        <v>144</v>
      </c>
      <c r="V33" s="10">
        <f t="shared" si="14"/>
        <v>216</v>
      </c>
    </row>
    <row r="34" spans="1:22" ht="15.75">
      <c r="A34" s="4" t="s">
        <v>23</v>
      </c>
      <c r="B34" s="4" t="s">
        <v>13</v>
      </c>
      <c r="C34" s="4" t="s">
        <v>14</v>
      </c>
      <c r="D34" s="10">
        <f>件数入力!$D$29</f>
        <v>0</v>
      </c>
      <c r="E34" s="10">
        <f t="shared" ref="E34:V34" si="15">D38</f>
        <v>55</v>
      </c>
      <c r="F34" s="10">
        <f t="shared" si="15"/>
        <v>55</v>
      </c>
      <c r="G34" s="10">
        <f t="shared" si="15"/>
        <v>39</v>
      </c>
      <c r="H34" s="10">
        <f t="shared" si="15"/>
        <v>49</v>
      </c>
      <c r="I34" s="10">
        <f t="shared" si="15"/>
        <v>21</v>
      </c>
      <c r="J34" s="10">
        <f t="shared" si="15"/>
        <v>57</v>
      </c>
      <c r="K34" s="10">
        <f t="shared" si="15"/>
        <v>91</v>
      </c>
      <c r="L34" s="10">
        <f t="shared" si="15"/>
        <v>151</v>
      </c>
      <c r="M34" s="10">
        <f t="shared" si="15"/>
        <v>93</v>
      </c>
      <c r="N34" s="10">
        <f t="shared" si="15"/>
        <v>91</v>
      </c>
      <c r="O34" s="10">
        <f t="shared" si="15"/>
        <v>145</v>
      </c>
      <c r="P34" s="10">
        <f t="shared" si="15"/>
        <v>168</v>
      </c>
      <c r="Q34" s="10">
        <f t="shared" si="15"/>
        <v>165</v>
      </c>
      <c r="R34" s="10">
        <f t="shared" si="15"/>
        <v>148</v>
      </c>
      <c r="S34" s="10">
        <f t="shared" si="15"/>
        <v>141</v>
      </c>
      <c r="T34" s="10">
        <f t="shared" si="15"/>
        <v>170</v>
      </c>
      <c r="U34" s="10">
        <f t="shared" si="15"/>
        <v>223</v>
      </c>
      <c r="V34" s="10">
        <f t="shared" si="15"/>
        <v>187</v>
      </c>
    </row>
    <row r="35" spans="1:22" ht="15.75">
      <c r="A35" s="2"/>
      <c r="B35" s="11" t="s">
        <v>15</v>
      </c>
      <c r="C35" s="11" t="s">
        <v>14</v>
      </c>
      <c r="D35" s="10">
        <f>件数入力!D11</f>
        <v>189</v>
      </c>
      <c r="E35" s="10">
        <f>件数入力!E11</f>
        <v>159</v>
      </c>
      <c r="F35" s="10">
        <f>件数入力!F11</f>
        <v>108</v>
      </c>
      <c r="G35" s="10">
        <f>件数入力!G11</f>
        <v>131</v>
      </c>
      <c r="H35" s="10">
        <f>件数入力!H11</f>
        <v>131</v>
      </c>
      <c r="I35" s="10">
        <f>件数入力!I11</f>
        <v>177</v>
      </c>
      <c r="J35" s="10">
        <f>件数入力!J11</f>
        <v>183</v>
      </c>
      <c r="K35" s="10">
        <f>件数入力!K11</f>
        <v>194</v>
      </c>
      <c r="L35" s="10">
        <f>件数入力!L11</f>
        <v>102</v>
      </c>
      <c r="M35" s="10">
        <f>件数入力!M11</f>
        <v>194</v>
      </c>
      <c r="N35" s="10">
        <f>件数入力!N11</f>
        <v>159</v>
      </c>
      <c r="O35" s="10">
        <f>件数入力!O11</f>
        <v>176</v>
      </c>
      <c r="P35" s="10">
        <f>件数入力!P11</f>
        <v>191</v>
      </c>
      <c r="Q35" s="10">
        <f>件数入力!Q11</f>
        <v>175</v>
      </c>
      <c r="R35" s="10">
        <f>件数入力!R11</f>
        <v>186</v>
      </c>
      <c r="S35" s="10">
        <f>件数入力!S11</f>
        <v>189</v>
      </c>
      <c r="T35" s="10">
        <f>件数入力!T11</f>
        <v>177</v>
      </c>
      <c r="U35" s="10">
        <f>件数入力!U11</f>
        <v>162</v>
      </c>
      <c r="V35" s="10">
        <f>件数入力!V11</f>
        <v>159</v>
      </c>
    </row>
    <row r="36" spans="1:22" ht="15.75">
      <c r="A36" s="2"/>
      <c r="B36" s="11" t="s">
        <v>16</v>
      </c>
      <c r="C36" s="11" t="s">
        <v>14</v>
      </c>
      <c r="D36" s="12">
        <f t="shared" ref="D36:V36" si="16">D34+D35</f>
        <v>189</v>
      </c>
      <c r="E36" s="12">
        <f t="shared" si="16"/>
        <v>214</v>
      </c>
      <c r="F36" s="12">
        <f t="shared" si="16"/>
        <v>163</v>
      </c>
      <c r="G36" s="12">
        <f t="shared" si="16"/>
        <v>170</v>
      </c>
      <c r="H36" s="12">
        <f t="shared" si="16"/>
        <v>180</v>
      </c>
      <c r="I36" s="12">
        <f t="shared" si="16"/>
        <v>198</v>
      </c>
      <c r="J36" s="12">
        <f t="shared" si="16"/>
        <v>240</v>
      </c>
      <c r="K36" s="12">
        <f t="shared" si="16"/>
        <v>285</v>
      </c>
      <c r="L36" s="12">
        <f t="shared" si="16"/>
        <v>253</v>
      </c>
      <c r="M36" s="12">
        <f t="shared" si="16"/>
        <v>287</v>
      </c>
      <c r="N36" s="12">
        <f t="shared" si="16"/>
        <v>250</v>
      </c>
      <c r="O36" s="12">
        <f t="shared" si="16"/>
        <v>321</v>
      </c>
      <c r="P36" s="12">
        <f t="shared" si="16"/>
        <v>359</v>
      </c>
      <c r="Q36" s="12">
        <f t="shared" si="16"/>
        <v>340</v>
      </c>
      <c r="R36" s="12">
        <f t="shared" si="16"/>
        <v>334</v>
      </c>
      <c r="S36" s="12">
        <f t="shared" si="16"/>
        <v>330</v>
      </c>
      <c r="T36" s="12">
        <f t="shared" si="16"/>
        <v>347</v>
      </c>
      <c r="U36" s="12">
        <f t="shared" si="16"/>
        <v>385</v>
      </c>
      <c r="V36" s="12">
        <f t="shared" si="16"/>
        <v>346</v>
      </c>
    </row>
    <row r="37" spans="1:22" ht="15.75">
      <c r="A37" s="2"/>
      <c r="B37" s="11" t="s">
        <v>17</v>
      </c>
      <c r="C37" s="11" t="s">
        <v>14</v>
      </c>
      <c r="D37" s="10">
        <f>件数入力!D20</f>
        <v>134</v>
      </c>
      <c r="E37" s="10">
        <f>件数入力!E20</f>
        <v>159</v>
      </c>
      <c r="F37" s="10">
        <f>件数入力!F20</f>
        <v>124</v>
      </c>
      <c r="G37" s="10">
        <f>件数入力!G20</f>
        <v>121</v>
      </c>
      <c r="H37" s="10">
        <f>件数入力!H20</f>
        <v>159</v>
      </c>
      <c r="I37" s="10">
        <f>件数入力!I20</f>
        <v>141</v>
      </c>
      <c r="J37" s="10">
        <f>件数入力!J20</f>
        <v>149</v>
      </c>
      <c r="K37" s="10">
        <f>件数入力!K20</f>
        <v>134</v>
      </c>
      <c r="L37" s="10">
        <f>件数入力!L20</f>
        <v>160</v>
      </c>
      <c r="M37" s="10">
        <f>件数入力!M20</f>
        <v>196</v>
      </c>
      <c r="N37" s="10">
        <f>件数入力!N20</f>
        <v>105</v>
      </c>
      <c r="O37" s="10">
        <f>件数入力!O20</f>
        <v>153</v>
      </c>
      <c r="P37" s="10">
        <f>件数入力!P20</f>
        <v>194</v>
      </c>
      <c r="Q37" s="10">
        <f>件数入力!Q20</f>
        <v>192</v>
      </c>
      <c r="R37" s="10">
        <f>件数入力!R20</f>
        <v>193</v>
      </c>
      <c r="S37" s="10">
        <f>件数入力!S20</f>
        <v>160</v>
      </c>
      <c r="T37" s="10">
        <f>件数入力!T20</f>
        <v>124</v>
      </c>
      <c r="U37" s="10">
        <f>件数入力!U20</f>
        <v>198</v>
      </c>
      <c r="V37" s="10">
        <f>件数入力!V20</f>
        <v>180</v>
      </c>
    </row>
    <row r="38" spans="1:22" ht="15.75">
      <c r="A38" s="2"/>
      <c r="B38" s="11" t="s">
        <v>18</v>
      </c>
      <c r="C38" s="11" t="s">
        <v>14</v>
      </c>
      <c r="D38" s="10">
        <f t="shared" ref="D38:V38" si="17">D36-D37</f>
        <v>55</v>
      </c>
      <c r="E38" s="10">
        <f t="shared" si="17"/>
        <v>55</v>
      </c>
      <c r="F38" s="10">
        <f t="shared" si="17"/>
        <v>39</v>
      </c>
      <c r="G38" s="10">
        <f t="shared" si="17"/>
        <v>49</v>
      </c>
      <c r="H38" s="10">
        <f t="shared" si="17"/>
        <v>21</v>
      </c>
      <c r="I38" s="10">
        <f t="shared" si="17"/>
        <v>57</v>
      </c>
      <c r="J38" s="10">
        <f t="shared" si="17"/>
        <v>91</v>
      </c>
      <c r="K38" s="10">
        <f t="shared" si="17"/>
        <v>151</v>
      </c>
      <c r="L38" s="10">
        <f t="shared" si="17"/>
        <v>93</v>
      </c>
      <c r="M38" s="10">
        <f t="shared" si="17"/>
        <v>91</v>
      </c>
      <c r="N38" s="10">
        <f t="shared" si="17"/>
        <v>145</v>
      </c>
      <c r="O38" s="10">
        <f t="shared" si="17"/>
        <v>168</v>
      </c>
      <c r="P38" s="10">
        <f t="shared" si="17"/>
        <v>165</v>
      </c>
      <c r="Q38" s="10">
        <f t="shared" si="17"/>
        <v>148</v>
      </c>
      <c r="R38" s="10">
        <f t="shared" si="17"/>
        <v>141</v>
      </c>
      <c r="S38" s="10">
        <f t="shared" si="17"/>
        <v>170</v>
      </c>
      <c r="T38" s="10">
        <f t="shared" si="17"/>
        <v>223</v>
      </c>
      <c r="U38" s="10">
        <f t="shared" si="17"/>
        <v>187</v>
      </c>
      <c r="V38" s="10">
        <f t="shared" si="17"/>
        <v>166</v>
      </c>
    </row>
    <row r="39" spans="1:22" ht="15.75">
      <c r="A39" s="4" t="s">
        <v>24</v>
      </c>
      <c r="B39" s="4" t="s">
        <v>13</v>
      </c>
      <c r="C39" s="4" t="s">
        <v>14</v>
      </c>
      <c r="D39" s="12">
        <f t="shared" ref="D39:V39" si="18">D9+D14+D19+D24+D29+D34</f>
        <v>0</v>
      </c>
      <c r="E39" s="12">
        <f t="shared" si="18"/>
        <v>166</v>
      </c>
      <c r="F39" s="12">
        <f t="shared" si="18"/>
        <v>183</v>
      </c>
      <c r="G39" s="12">
        <f t="shared" si="18"/>
        <v>153</v>
      </c>
      <c r="H39" s="12">
        <f t="shared" si="18"/>
        <v>163</v>
      </c>
      <c r="I39" s="12">
        <f t="shared" si="18"/>
        <v>151</v>
      </c>
      <c r="J39" s="12">
        <f t="shared" si="18"/>
        <v>222</v>
      </c>
      <c r="K39" s="12">
        <f t="shared" si="18"/>
        <v>506</v>
      </c>
      <c r="L39" s="12">
        <f t="shared" si="18"/>
        <v>598</v>
      </c>
      <c r="M39" s="12">
        <f t="shared" si="18"/>
        <v>405</v>
      </c>
      <c r="N39" s="12">
        <f t="shared" si="18"/>
        <v>481</v>
      </c>
      <c r="O39" s="12">
        <f t="shared" si="18"/>
        <v>583</v>
      </c>
      <c r="P39" s="12">
        <f t="shared" si="18"/>
        <v>526</v>
      </c>
      <c r="Q39" s="12">
        <f t="shared" si="18"/>
        <v>554</v>
      </c>
      <c r="R39" s="12">
        <f t="shared" si="18"/>
        <v>489</v>
      </c>
      <c r="S39" s="12">
        <f t="shared" si="18"/>
        <v>428</v>
      </c>
      <c r="T39" s="12">
        <f t="shared" si="18"/>
        <v>627</v>
      </c>
      <c r="U39" s="12">
        <f t="shared" si="18"/>
        <v>596</v>
      </c>
      <c r="V39" s="12">
        <f t="shared" si="18"/>
        <v>550</v>
      </c>
    </row>
    <row r="40" spans="1:22" ht="15.75">
      <c r="A40" s="2"/>
      <c r="B40" s="4" t="s">
        <v>15</v>
      </c>
      <c r="C40" s="4" t="s">
        <v>14</v>
      </c>
      <c r="D40" s="12">
        <f t="shared" ref="D40:V40" si="19">D10+D15+D20+D25+D30+D35</f>
        <v>852</v>
      </c>
      <c r="E40" s="12">
        <f t="shared" si="19"/>
        <v>936</v>
      </c>
      <c r="F40" s="12">
        <f t="shared" si="19"/>
        <v>783</v>
      </c>
      <c r="G40" s="12">
        <f t="shared" si="19"/>
        <v>822</v>
      </c>
      <c r="H40" s="12">
        <f t="shared" si="19"/>
        <v>808</v>
      </c>
      <c r="I40" s="12">
        <f t="shared" si="19"/>
        <v>963</v>
      </c>
      <c r="J40" s="12">
        <f t="shared" si="19"/>
        <v>997</v>
      </c>
      <c r="K40" s="12">
        <f t="shared" si="19"/>
        <v>966</v>
      </c>
      <c r="L40" s="12">
        <f t="shared" si="19"/>
        <v>756</v>
      </c>
      <c r="M40" s="12">
        <f t="shared" si="19"/>
        <v>934</v>
      </c>
      <c r="N40" s="12">
        <f t="shared" si="19"/>
        <v>875</v>
      </c>
      <c r="O40" s="12">
        <f t="shared" si="19"/>
        <v>826</v>
      </c>
      <c r="P40" s="12">
        <f t="shared" si="19"/>
        <v>950</v>
      </c>
      <c r="Q40" s="12">
        <f t="shared" si="19"/>
        <v>813</v>
      </c>
      <c r="R40" s="12">
        <f t="shared" si="19"/>
        <v>853</v>
      </c>
      <c r="S40" s="12">
        <f t="shared" si="19"/>
        <v>1032</v>
      </c>
      <c r="T40" s="12">
        <f t="shared" si="19"/>
        <v>795</v>
      </c>
      <c r="U40" s="12">
        <f t="shared" si="19"/>
        <v>991</v>
      </c>
      <c r="V40" s="12">
        <f t="shared" si="19"/>
        <v>914</v>
      </c>
    </row>
    <row r="41" spans="1:22" ht="15.75">
      <c r="A41" s="2"/>
      <c r="B41" s="4" t="s">
        <v>16</v>
      </c>
      <c r="C41" s="4" t="s">
        <v>14</v>
      </c>
      <c r="D41" s="12">
        <f t="shared" ref="D41:V41" si="20">D11+D16+D21+D26+D31+D36</f>
        <v>852</v>
      </c>
      <c r="E41" s="12">
        <f t="shared" si="20"/>
        <v>1102</v>
      </c>
      <c r="F41" s="12">
        <f t="shared" si="20"/>
        <v>966</v>
      </c>
      <c r="G41" s="12">
        <f t="shared" si="20"/>
        <v>975</v>
      </c>
      <c r="H41" s="12">
        <f t="shared" si="20"/>
        <v>971</v>
      </c>
      <c r="I41" s="12">
        <f t="shared" si="20"/>
        <v>1114</v>
      </c>
      <c r="J41" s="12">
        <f t="shared" si="20"/>
        <v>1219</v>
      </c>
      <c r="K41" s="12">
        <f t="shared" si="20"/>
        <v>1472</v>
      </c>
      <c r="L41" s="12">
        <f t="shared" si="20"/>
        <v>1354</v>
      </c>
      <c r="M41" s="12">
        <f t="shared" si="20"/>
        <v>1339</v>
      </c>
      <c r="N41" s="12">
        <f t="shared" si="20"/>
        <v>1356</v>
      </c>
      <c r="O41" s="12">
        <f t="shared" si="20"/>
        <v>1409</v>
      </c>
      <c r="P41" s="12">
        <f t="shared" si="20"/>
        <v>1476</v>
      </c>
      <c r="Q41" s="12">
        <f t="shared" si="20"/>
        <v>1367</v>
      </c>
      <c r="R41" s="12">
        <f t="shared" si="20"/>
        <v>1342</v>
      </c>
      <c r="S41" s="12">
        <f t="shared" si="20"/>
        <v>1460</v>
      </c>
      <c r="T41" s="12">
        <f t="shared" si="20"/>
        <v>1422</v>
      </c>
      <c r="U41" s="12">
        <f t="shared" si="20"/>
        <v>1587</v>
      </c>
      <c r="V41" s="12">
        <f t="shared" si="20"/>
        <v>1464</v>
      </c>
    </row>
    <row r="42" spans="1:22" ht="15.75">
      <c r="A42" s="2"/>
      <c r="B42" s="4" t="s">
        <v>17</v>
      </c>
      <c r="C42" s="4" t="s">
        <v>14</v>
      </c>
      <c r="D42" s="12">
        <f t="shared" ref="D42:V42" si="21">D12+D17+D22+D27+D32+D37</f>
        <v>686</v>
      </c>
      <c r="E42" s="12">
        <f t="shared" si="21"/>
        <v>919</v>
      </c>
      <c r="F42" s="12">
        <f t="shared" si="21"/>
        <v>813</v>
      </c>
      <c r="G42" s="12">
        <f t="shared" si="21"/>
        <v>812</v>
      </c>
      <c r="H42" s="12">
        <f t="shared" si="21"/>
        <v>820</v>
      </c>
      <c r="I42" s="12">
        <f t="shared" si="21"/>
        <v>892</v>
      </c>
      <c r="J42" s="12">
        <f t="shared" si="21"/>
        <v>713</v>
      </c>
      <c r="K42" s="12">
        <f t="shared" si="21"/>
        <v>874</v>
      </c>
      <c r="L42" s="12">
        <f t="shared" si="21"/>
        <v>949</v>
      </c>
      <c r="M42" s="12">
        <f t="shared" si="21"/>
        <v>858</v>
      </c>
      <c r="N42" s="12">
        <f t="shared" si="21"/>
        <v>773</v>
      </c>
      <c r="O42" s="12">
        <f t="shared" si="21"/>
        <v>883</v>
      </c>
      <c r="P42" s="12">
        <f t="shared" si="21"/>
        <v>922</v>
      </c>
      <c r="Q42" s="12">
        <f t="shared" si="21"/>
        <v>878</v>
      </c>
      <c r="R42" s="12">
        <f t="shared" si="21"/>
        <v>914</v>
      </c>
      <c r="S42" s="12">
        <f t="shared" si="21"/>
        <v>833</v>
      </c>
      <c r="T42" s="12">
        <f t="shared" si="21"/>
        <v>826</v>
      </c>
      <c r="U42" s="12">
        <f t="shared" si="21"/>
        <v>1037</v>
      </c>
      <c r="V42" s="12">
        <f t="shared" si="21"/>
        <v>767</v>
      </c>
    </row>
    <row r="43" spans="1:22" ht="15.75">
      <c r="A43" s="2"/>
      <c r="B43" s="4" t="s">
        <v>18</v>
      </c>
      <c r="C43" s="4" t="s">
        <v>14</v>
      </c>
      <c r="D43" s="12">
        <f t="shared" ref="D43:V43" si="22">D13+D18+D23+D28+D33+D38</f>
        <v>166</v>
      </c>
      <c r="E43" s="12">
        <f t="shared" si="22"/>
        <v>183</v>
      </c>
      <c r="F43" s="12">
        <f t="shared" si="22"/>
        <v>153</v>
      </c>
      <c r="G43" s="12">
        <f t="shared" si="22"/>
        <v>163</v>
      </c>
      <c r="H43" s="12">
        <f t="shared" si="22"/>
        <v>151</v>
      </c>
      <c r="I43" s="12">
        <f t="shared" si="22"/>
        <v>222</v>
      </c>
      <c r="J43" s="12">
        <f t="shared" si="22"/>
        <v>506</v>
      </c>
      <c r="K43" s="12">
        <f t="shared" si="22"/>
        <v>598</v>
      </c>
      <c r="L43" s="12">
        <f t="shared" si="22"/>
        <v>405</v>
      </c>
      <c r="M43" s="12">
        <f t="shared" si="22"/>
        <v>481</v>
      </c>
      <c r="N43" s="12">
        <f t="shared" si="22"/>
        <v>583</v>
      </c>
      <c r="O43" s="12">
        <f t="shared" si="22"/>
        <v>526</v>
      </c>
      <c r="P43" s="12">
        <f t="shared" si="22"/>
        <v>554</v>
      </c>
      <c r="Q43" s="12">
        <f t="shared" si="22"/>
        <v>489</v>
      </c>
      <c r="R43" s="12">
        <f t="shared" si="22"/>
        <v>428</v>
      </c>
      <c r="S43" s="12">
        <f t="shared" si="22"/>
        <v>627</v>
      </c>
      <c r="T43" s="12">
        <f t="shared" si="22"/>
        <v>596</v>
      </c>
      <c r="U43" s="12">
        <f t="shared" si="22"/>
        <v>550</v>
      </c>
      <c r="V43" s="12">
        <f t="shared" si="22"/>
        <v>697</v>
      </c>
    </row>
    <row r="44" spans="1:22" ht="15.7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spans="1:22" ht="15.75">
      <c r="A45" s="8" t="s">
        <v>25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</row>
    <row r="46" spans="1:22" ht="15.75">
      <c r="A46" s="13" t="s">
        <v>26</v>
      </c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</row>
    <row r="47" spans="1:22" ht="15.75">
      <c r="A47" s="2"/>
      <c r="B47" s="11" t="s">
        <v>12</v>
      </c>
      <c r="C47" s="11" t="s">
        <v>27</v>
      </c>
      <c r="D47" s="15">
        <f>D10*設定!$B$25/60/設定!$B$7</f>
        <v>7.1354166666666663E-2</v>
      </c>
      <c r="E47" s="15">
        <f>E10*設定!$B$25/60/設定!$B$7</f>
        <v>8.1250000000000003E-2</v>
      </c>
      <c r="F47" s="15">
        <f>F10*設定!$B$25/60/設定!$B$7</f>
        <v>6.1979166666666662E-2</v>
      </c>
      <c r="G47" s="15">
        <f>G10*設定!$B$25/60/設定!$B$7</f>
        <v>5.7812500000000003E-2</v>
      </c>
      <c r="H47" s="15">
        <f>H10*設定!$B$25/60/設定!$B$7</f>
        <v>6.6145833333333334E-2</v>
      </c>
      <c r="I47" s="15">
        <f>I10*設定!$B$25/60/設定!$B$7</f>
        <v>0.10416666666666667</v>
      </c>
      <c r="J47" s="15">
        <f>J10*設定!$B$25/60/設定!$B$7</f>
        <v>9.8958333333333343E-2</v>
      </c>
      <c r="K47" s="15">
        <f>K10*設定!$B$25/60/設定!$B$7</f>
        <v>7.9166666666666663E-2</v>
      </c>
      <c r="L47" s="15">
        <f>L10*設定!$B$25/60/設定!$B$7</f>
        <v>8.9583333333333334E-2</v>
      </c>
      <c r="M47" s="15">
        <f>M10*設定!$B$25/60/設定!$B$7</f>
        <v>8.2812499999999997E-2</v>
      </c>
      <c r="N47" s="15">
        <f>N10*設定!$B$25/60/設定!$B$7</f>
        <v>7.8645833333333331E-2</v>
      </c>
      <c r="O47" s="15">
        <f>O10*設定!$B$25/60/設定!$B$7</f>
        <v>6.6666666666666666E-2</v>
      </c>
      <c r="P47" s="15">
        <f>P10*設定!$B$25/60/設定!$B$7</f>
        <v>7.0833333333333331E-2</v>
      </c>
      <c r="Q47" s="15">
        <f>Q10*設定!$B$25/60/設定!$B$7</f>
        <v>5.5729166666666663E-2</v>
      </c>
      <c r="R47" s="15">
        <f>R10*設定!$B$25/60/設定!$B$7</f>
        <v>5.7812500000000003E-2</v>
      </c>
      <c r="S47" s="15">
        <f>S10*設定!$B$25/60/設定!$B$7</f>
        <v>7.1354166666666663E-2</v>
      </c>
      <c r="T47" s="15">
        <f>T10*設定!$B$25/60/設定!$B$7</f>
        <v>7.8645833333333331E-2</v>
      </c>
      <c r="U47" s="15">
        <f>U10*設定!$B$25/60/設定!$B$7</f>
        <v>8.2812499999999997E-2</v>
      </c>
      <c r="V47" s="15">
        <f>V10*設定!$B$25/60/設定!$B$7</f>
        <v>5.5729166666666663E-2</v>
      </c>
    </row>
    <row r="48" spans="1:22" ht="15.75">
      <c r="A48" s="2"/>
      <c r="B48" s="11" t="s">
        <v>19</v>
      </c>
      <c r="C48" s="11" t="s">
        <v>27</v>
      </c>
      <c r="D48" s="15">
        <f>D15*設定!$B$26/60/設定!$B$7</f>
        <v>0.30208333333333337</v>
      </c>
      <c r="E48" s="15">
        <f>E15*設定!$B$26/60/設定!$B$7</f>
        <v>0.40833333333333333</v>
      </c>
      <c r="F48" s="15">
        <f>F15*設定!$B$26/60/設定!$B$7</f>
        <v>0.22500000000000001</v>
      </c>
      <c r="G48" s="15">
        <f>G15*設定!$B$26/60/設定!$B$7</f>
        <v>0.36249999999999999</v>
      </c>
      <c r="H48" s="15">
        <f>H15*設定!$B$26/60/設定!$B$7</f>
        <v>0.36875000000000002</v>
      </c>
      <c r="I48" s="15">
        <f>I15*設定!$B$26/60/設定!$B$7</f>
        <v>0.29166666666666663</v>
      </c>
      <c r="J48" s="15">
        <f>J15*設定!$B$26/60/設定!$B$7</f>
        <v>0.3</v>
      </c>
      <c r="K48" s="15">
        <f>K15*設定!$B$26/60/設定!$B$7</f>
        <v>0.22916666666666666</v>
      </c>
      <c r="L48" s="15">
        <f>L15*設定!$B$26/60/設定!$B$7</f>
        <v>0.23958333333333334</v>
      </c>
      <c r="M48" s="15">
        <f>M15*設定!$B$26/60/設定!$B$7</f>
        <v>0.28541666666666665</v>
      </c>
      <c r="N48" s="15">
        <f>N15*設定!$B$26/60/設定!$B$7</f>
        <v>0.27500000000000002</v>
      </c>
      <c r="O48" s="15">
        <f>O15*設定!$B$26/60/設定!$B$7</f>
        <v>0.25208333333333333</v>
      </c>
      <c r="P48" s="15">
        <f>P15*設定!$B$26/60/設定!$B$7</f>
        <v>0.27916666666666667</v>
      </c>
      <c r="Q48" s="15">
        <f>Q15*設定!$B$26/60/設定!$B$7</f>
        <v>0.25833333333333336</v>
      </c>
      <c r="R48" s="15">
        <f>R15*設定!$B$26/60/設定!$B$7</f>
        <v>0.23541666666666666</v>
      </c>
      <c r="S48" s="15">
        <f>S15*設定!$B$26/60/設定!$B$7</f>
        <v>0.34791666666666665</v>
      </c>
      <c r="T48" s="15">
        <f>T15*設定!$B$26/60/設定!$B$7</f>
        <v>0.21458333333333335</v>
      </c>
      <c r="U48" s="15">
        <f>U15*設定!$B$26/60/設定!$B$7</f>
        <v>0.34583333333333333</v>
      </c>
      <c r="V48" s="15">
        <f>V15*設定!$B$26/60/設定!$B$7</f>
        <v>0.39374999999999999</v>
      </c>
    </row>
    <row r="49" spans="1:22" ht="15.75">
      <c r="A49" s="2"/>
      <c r="B49" s="11" t="s">
        <v>20</v>
      </c>
      <c r="C49" s="11" t="s">
        <v>27</v>
      </c>
      <c r="D49" s="15">
        <f>D20*設定!$B$27/60/設定!$B$7</f>
        <v>0.2421875</v>
      </c>
      <c r="E49" s="15">
        <f>E20*設定!$B$27/60/設定!$B$7</f>
        <v>0.1640625</v>
      </c>
      <c r="F49" s="15">
        <f>F20*設定!$B$27/60/設定!$B$7</f>
        <v>0.18437500000000001</v>
      </c>
      <c r="G49" s="15">
        <f>G20*設定!$B$27/60/設定!$B$7</f>
        <v>0.19218750000000001</v>
      </c>
      <c r="H49" s="15">
        <f>H20*設定!$B$27/60/設定!$B$7</f>
        <v>0.22031249999999999</v>
      </c>
      <c r="I49" s="15">
        <f>I20*設定!$B$27/60/設定!$B$7</f>
        <v>0.2890625</v>
      </c>
      <c r="J49" s="15">
        <f>J20*設定!$B$27/60/設定!$B$7</f>
        <v>0.17031250000000001</v>
      </c>
      <c r="K49" s="15">
        <f>K20*設定!$B$27/60/設定!$B$7</f>
        <v>0.21406249999999999</v>
      </c>
      <c r="L49" s="15">
        <f>L20*設定!$B$27/60/設定!$B$7</f>
        <v>0.17812500000000001</v>
      </c>
      <c r="M49" s="15">
        <f>M20*設定!$B$27/60/設定!$B$7</f>
        <v>0.30937500000000001</v>
      </c>
      <c r="N49" s="15">
        <f>N20*設定!$B$27/60/設定!$B$7</f>
        <v>0.1640625</v>
      </c>
      <c r="O49" s="15">
        <f>O20*設定!$B$27/60/設定!$B$7</f>
        <v>0.3046875</v>
      </c>
      <c r="P49" s="15">
        <f>P20*設定!$B$27/60/設定!$B$7</f>
        <v>0.31093749999999998</v>
      </c>
      <c r="Q49" s="15">
        <f>Q20*設定!$B$27/60/設定!$B$7</f>
        <v>0.19375000000000001</v>
      </c>
      <c r="R49" s="15">
        <f>R20*設定!$B$27/60/設定!$B$7</f>
        <v>0.21562500000000001</v>
      </c>
      <c r="S49" s="15">
        <f>S20*設定!$B$27/60/設定!$B$7</f>
        <v>0.30156250000000001</v>
      </c>
      <c r="T49" s="15">
        <f>T20*設定!$B$27/60/設定!$B$7</f>
        <v>0.15937499999999999</v>
      </c>
      <c r="U49" s="15">
        <f>U20*設定!$B$27/60/設定!$B$7</f>
        <v>0.29062500000000002</v>
      </c>
      <c r="V49" s="15">
        <f>V20*設定!$B$27/60/設定!$B$7</f>
        <v>0.17499999999999999</v>
      </c>
    </row>
    <row r="50" spans="1:22" ht="15.75">
      <c r="A50" s="2"/>
      <c r="B50" s="11" t="s">
        <v>21</v>
      </c>
      <c r="C50" s="11" t="s">
        <v>27</v>
      </c>
      <c r="D50" s="15">
        <f>D25*設定!$B$28/60/設定!$B$7</f>
        <v>0.15625</v>
      </c>
      <c r="E50" s="15">
        <f>E25*設定!$B$28/60/設定!$B$7</f>
        <v>0.20781250000000001</v>
      </c>
      <c r="F50" s="15">
        <f>F25*設定!$B$28/60/設定!$B$7</f>
        <v>0.2578125</v>
      </c>
      <c r="G50" s="15">
        <f>G25*設定!$B$28/60/設定!$B$7</f>
        <v>0.27656249999999999</v>
      </c>
      <c r="H50" s="15">
        <f>H25*設定!$B$28/60/設定!$B$7</f>
        <v>0.1796875</v>
      </c>
      <c r="I50" s="15">
        <f>I25*設定!$B$28/60/設定!$B$7</f>
        <v>0.21249999999999999</v>
      </c>
      <c r="J50" s="15">
        <f>J25*設定!$B$28/60/設定!$B$7</f>
        <v>0.27500000000000002</v>
      </c>
      <c r="K50" s="15">
        <f>K25*設定!$B$28/60/設定!$B$7</f>
        <v>0.3</v>
      </c>
      <c r="L50" s="15">
        <f>L25*設定!$B$28/60/設定!$B$7</f>
        <v>0.16718749999999999</v>
      </c>
      <c r="M50" s="15">
        <f>M25*設定!$B$28/60/設定!$B$7</f>
        <v>0.16875000000000001</v>
      </c>
      <c r="N50" s="15">
        <f>N25*設定!$B$28/60/設定!$B$7</f>
        <v>0.22500000000000001</v>
      </c>
      <c r="O50" s="15">
        <f>O25*設定!$B$28/60/設定!$B$7</f>
        <v>0.15781249999999999</v>
      </c>
      <c r="P50" s="15">
        <f>P25*設定!$B$28/60/設定!$B$7</f>
        <v>0.16875000000000001</v>
      </c>
      <c r="Q50" s="15">
        <f>Q25*設定!$B$28/60/設定!$B$7</f>
        <v>0.25156250000000002</v>
      </c>
      <c r="R50" s="15">
        <f>R25*設定!$B$28/60/設定!$B$7</f>
        <v>0.30781249999999999</v>
      </c>
      <c r="S50" s="15">
        <f>S25*設定!$B$28/60/設定!$B$7</f>
        <v>0.29531249999999998</v>
      </c>
      <c r="T50" s="15">
        <f>T25*設定!$B$28/60/設定!$B$7</f>
        <v>0.20624999999999999</v>
      </c>
      <c r="U50" s="15">
        <f>U25*設定!$B$28/60/設定!$B$7</f>
        <v>0.18437500000000001</v>
      </c>
      <c r="V50" s="15">
        <f>V25*設定!$B$28/60/設定!$B$7</f>
        <v>0.23749999999999999</v>
      </c>
    </row>
    <row r="51" spans="1:22" ht="15.75">
      <c r="A51" s="2"/>
      <c r="B51" s="11" t="s">
        <v>22</v>
      </c>
      <c r="C51" s="11" t="s">
        <v>27</v>
      </c>
      <c r="D51" s="15">
        <f>D30*設定!$B$29/60/設定!$B$7</f>
        <v>0.19687499999999999</v>
      </c>
      <c r="E51" s="15">
        <f>E30*設定!$B$29/60/設定!$B$7</f>
        <v>0.29218749999999999</v>
      </c>
      <c r="F51" s="15">
        <f>F30*設定!$B$29/60/設定!$B$7</f>
        <v>0.2578125</v>
      </c>
      <c r="G51" s="15">
        <f>G30*設定!$B$29/60/設定!$B$7</f>
        <v>0.16562499999999999</v>
      </c>
      <c r="H51" s="15">
        <f>H30*設定!$B$29/60/設定!$B$7</f>
        <v>0.18281249999999999</v>
      </c>
      <c r="I51" s="15">
        <f>I30*設定!$B$29/60/設定!$B$7</f>
        <v>0.1953125</v>
      </c>
      <c r="J51" s="15">
        <f>J30*設定!$B$29/60/設定!$B$7</f>
        <v>0.3046875</v>
      </c>
      <c r="K51" s="15">
        <f>K30*設定!$B$29/60/設定!$B$7</f>
        <v>0.28281250000000002</v>
      </c>
      <c r="L51" s="15">
        <f>L30*設定!$B$29/60/設定!$B$7</f>
        <v>0.22812499999999999</v>
      </c>
      <c r="M51" s="15">
        <f>M30*設定!$B$29/60/設定!$B$7</f>
        <v>0.21562500000000001</v>
      </c>
      <c r="N51" s="15">
        <f>N30*設定!$B$29/60/設定!$B$7</f>
        <v>0.28749999999999998</v>
      </c>
      <c r="O51" s="15">
        <f>O30*設定!$B$29/60/設定!$B$7</f>
        <v>0.1640625</v>
      </c>
      <c r="P51" s="15">
        <f>P30*設定!$B$29/60/設定!$B$7</f>
        <v>0.28437499999999999</v>
      </c>
      <c r="Q51" s="15">
        <f>Q30*設定!$B$29/60/設定!$B$7</f>
        <v>0.19062499999999999</v>
      </c>
      <c r="R51" s="15">
        <f>R30*設定!$B$29/60/設定!$B$7</f>
        <v>0.16875000000000001</v>
      </c>
      <c r="S51" s="15">
        <f>S30*設定!$B$29/60/設定!$B$7</f>
        <v>0.24531249999999999</v>
      </c>
      <c r="T51" s="15">
        <f>T30*設定!$B$29/60/設定!$B$7</f>
        <v>0.203125</v>
      </c>
      <c r="U51" s="15">
        <f>U30*設定!$B$29/60/設定!$B$7</f>
        <v>0.3125</v>
      </c>
      <c r="V51" s="15">
        <f>V30*設定!$B$29/60/設定!$B$7</f>
        <v>0.3046875</v>
      </c>
    </row>
    <row r="52" spans="1:22" ht="15.75">
      <c r="A52" s="2"/>
      <c r="B52" s="11" t="s">
        <v>23</v>
      </c>
      <c r="C52" s="11" t="s">
        <v>27</v>
      </c>
      <c r="D52" s="15">
        <f>D35*設定!$B$30/60/設定!$B$7</f>
        <v>0.19687499999999999</v>
      </c>
      <c r="E52" s="15">
        <f>E35*設定!$B$30/60/設定!$B$7</f>
        <v>0.16562499999999999</v>
      </c>
      <c r="F52" s="15">
        <f>F35*設定!$B$30/60/設定!$B$7</f>
        <v>0.1125</v>
      </c>
      <c r="G52" s="15">
        <f>G35*設定!$B$30/60/設定!$B$7</f>
        <v>0.13645833333333332</v>
      </c>
      <c r="H52" s="15">
        <f>H35*設定!$B$30/60/設定!$B$7</f>
        <v>0.13645833333333332</v>
      </c>
      <c r="I52" s="15">
        <f>I35*設定!$B$30/60/設定!$B$7</f>
        <v>0.18437500000000001</v>
      </c>
      <c r="J52" s="15">
        <f>J35*設定!$B$30/60/設定!$B$7</f>
        <v>0.19062499999999999</v>
      </c>
      <c r="K52" s="15">
        <f>K35*設定!$B$30/60/設定!$B$7</f>
        <v>0.20208333333333334</v>
      </c>
      <c r="L52" s="15">
        <f>L35*設定!$B$30/60/設定!$B$7</f>
        <v>0.10625</v>
      </c>
      <c r="M52" s="15">
        <f>M35*設定!$B$30/60/設定!$B$7</f>
        <v>0.20208333333333334</v>
      </c>
      <c r="N52" s="15">
        <f>N35*設定!$B$30/60/設定!$B$7</f>
        <v>0.16562499999999999</v>
      </c>
      <c r="O52" s="15">
        <f>O35*設定!$B$30/60/設定!$B$7</f>
        <v>0.18333333333333332</v>
      </c>
      <c r="P52" s="15">
        <f>P35*設定!$B$30/60/設定!$B$7</f>
        <v>0.19895833333333332</v>
      </c>
      <c r="Q52" s="15">
        <f>Q35*設定!$B$30/60/設定!$B$7</f>
        <v>0.18229166666666669</v>
      </c>
      <c r="R52" s="15">
        <f>R35*設定!$B$30/60/設定!$B$7</f>
        <v>0.19375000000000001</v>
      </c>
      <c r="S52" s="15">
        <f>S35*設定!$B$30/60/設定!$B$7</f>
        <v>0.19687499999999999</v>
      </c>
      <c r="T52" s="15">
        <f>T35*設定!$B$30/60/設定!$B$7</f>
        <v>0.18437500000000001</v>
      </c>
      <c r="U52" s="15">
        <f>U35*設定!$B$30/60/設定!$B$7</f>
        <v>0.16875000000000001</v>
      </c>
      <c r="V52" s="15">
        <f>V35*設定!$B$30/60/設定!$B$7</f>
        <v>0.16562499999999999</v>
      </c>
    </row>
    <row r="53" spans="1:22" ht="15.75">
      <c r="A53" s="2"/>
      <c r="B53" s="4" t="s">
        <v>24</v>
      </c>
      <c r="C53" s="4" t="s">
        <v>27</v>
      </c>
      <c r="D53" s="16">
        <f t="shared" ref="D53:V53" si="23">SUM(D47:D52)</f>
        <v>1.1656250000000001</v>
      </c>
      <c r="E53" s="16">
        <f t="shared" si="23"/>
        <v>1.3192708333333332</v>
      </c>
      <c r="F53" s="16">
        <f t="shared" si="23"/>
        <v>1.0994791666666668</v>
      </c>
      <c r="G53" s="16">
        <f t="shared" si="23"/>
        <v>1.1911458333333333</v>
      </c>
      <c r="H53" s="16">
        <f t="shared" si="23"/>
        <v>1.1541666666666668</v>
      </c>
      <c r="I53" s="16">
        <f t="shared" si="23"/>
        <v>1.2770833333333333</v>
      </c>
      <c r="J53" s="16">
        <f t="shared" si="23"/>
        <v>1.3395833333333333</v>
      </c>
      <c r="K53" s="16">
        <f t="shared" si="23"/>
        <v>1.307291666666667</v>
      </c>
      <c r="L53" s="16">
        <f t="shared" si="23"/>
        <v>1.0088541666666668</v>
      </c>
      <c r="M53" s="16">
        <f t="shared" si="23"/>
        <v>1.2640625000000001</v>
      </c>
      <c r="N53" s="16">
        <f t="shared" si="23"/>
        <v>1.1958333333333333</v>
      </c>
      <c r="O53" s="16">
        <f t="shared" si="23"/>
        <v>1.1286458333333333</v>
      </c>
      <c r="P53" s="16">
        <f t="shared" si="23"/>
        <v>1.3130208333333333</v>
      </c>
      <c r="Q53" s="16">
        <f t="shared" si="23"/>
        <v>1.1322916666666667</v>
      </c>
      <c r="R53" s="16">
        <f t="shared" si="23"/>
        <v>1.1791666666666667</v>
      </c>
      <c r="S53" s="16">
        <f t="shared" si="23"/>
        <v>1.4583333333333333</v>
      </c>
      <c r="T53" s="16">
        <f t="shared" si="23"/>
        <v>1.0463541666666667</v>
      </c>
      <c r="U53" s="16">
        <f t="shared" si="23"/>
        <v>1.3848958333333332</v>
      </c>
      <c r="V53" s="16">
        <f t="shared" si="23"/>
        <v>1.3322916666666667</v>
      </c>
    </row>
    <row r="54" spans="1:22" ht="15.75">
      <c r="A54" s="13" t="s">
        <v>28</v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</row>
    <row r="55" spans="1:22" ht="15.75">
      <c r="A55" s="2"/>
      <c r="B55" s="11" t="s">
        <v>12</v>
      </c>
      <c r="C55" s="11" t="s">
        <v>27</v>
      </c>
      <c r="D55" s="15">
        <f>D12*設定!$B$25/60/設定!$B$7</f>
        <v>5.46875E-2</v>
      </c>
      <c r="E55" s="15">
        <f>E12*設定!$B$25/60/設定!$B$7</f>
        <v>6.7708333333333343E-2</v>
      </c>
      <c r="F55" s="15">
        <f>F12*設定!$B$25/60/設定!$B$7</f>
        <v>7.03125E-2</v>
      </c>
      <c r="G55" s="15">
        <f>G12*設定!$B$25/60/設定!$B$7</f>
        <v>7.9687499999999994E-2</v>
      </c>
      <c r="H55" s="15">
        <f>H12*設定!$B$25/60/設定!$B$7</f>
        <v>6.6145833333333334E-2</v>
      </c>
      <c r="I55" s="15">
        <f>I12*設定!$B$25/60/設定!$B$7</f>
        <v>9.6875000000000003E-2</v>
      </c>
      <c r="J55" s="15">
        <f>J12*設定!$B$25/60/設定!$B$7</f>
        <v>6.6145833333333334E-2</v>
      </c>
      <c r="K55" s="15">
        <f>K12*設定!$B$25/60/設定!$B$7</f>
        <v>5.9895833333333336E-2</v>
      </c>
      <c r="L55" s="15">
        <f>L12*設定!$B$25/60/設定!$B$7</f>
        <v>0.1015625</v>
      </c>
      <c r="M55" s="15">
        <f>M12*設定!$B$25/60/設定!$B$7</f>
        <v>5.3645833333333337E-2</v>
      </c>
      <c r="N55" s="15">
        <f>N12*設定!$B$25/60/設定!$B$7</f>
        <v>7.604166666666666E-2</v>
      </c>
      <c r="O55" s="15">
        <f>O12*設定!$B$25/60/設定!$B$7</f>
        <v>6.7708333333333343E-2</v>
      </c>
      <c r="P55" s="15">
        <f>P12*設定!$B$25/60/設定!$B$7</f>
        <v>8.1770833333333334E-2</v>
      </c>
      <c r="Q55" s="15">
        <f>Q12*設定!$B$25/60/設定!$B$7</f>
        <v>6.458333333333334E-2</v>
      </c>
      <c r="R55" s="15">
        <f>R12*設定!$B$25/60/設定!$B$7</f>
        <v>8.8541666666666657E-2</v>
      </c>
      <c r="S55" s="15">
        <f>S12*設定!$B$25/60/設定!$B$7</f>
        <v>9.583333333333334E-2</v>
      </c>
      <c r="T55" s="15">
        <f>T12*設定!$B$25/60/設定!$B$7</f>
        <v>8.1770833333333334E-2</v>
      </c>
      <c r="U55" s="15">
        <f>U12*設定!$B$25/60/設定!$B$7</f>
        <v>8.2812499999999997E-2</v>
      </c>
      <c r="V55" s="15">
        <f>V12*設定!$B$25/60/設定!$B$7</f>
        <v>5.260416666666666E-2</v>
      </c>
    </row>
    <row r="56" spans="1:22" ht="15.75">
      <c r="A56" s="2"/>
      <c r="B56" s="11" t="s">
        <v>19</v>
      </c>
      <c r="C56" s="11" t="s">
        <v>27</v>
      </c>
      <c r="D56" s="15">
        <f>D17*設定!$B$26/60/設定!$B$7</f>
        <v>0.22708333333333336</v>
      </c>
      <c r="E56" s="15">
        <f>E17*設定!$B$26/60/設定!$B$7</f>
        <v>0.33750000000000002</v>
      </c>
      <c r="F56" s="15">
        <f>F17*設定!$B$26/60/設定!$B$7</f>
        <v>0.29583333333333334</v>
      </c>
      <c r="G56" s="15">
        <f>G17*設定!$B$26/60/設定!$B$7</f>
        <v>0.34791666666666665</v>
      </c>
      <c r="H56" s="15">
        <f>H17*設定!$B$26/60/設定!$B$7</f>
        <v>0.22500000000000001</v>
      </c>
      <c r="I56" s="15">
        <f>I17*設定!$B$26/60/設定!$B$7</f>
        <v>0.24166666666666664</v>
      </c>
      <c r="J56" s="15">
        <f>J17*設定!$B$26/60/設定!$B$7</f>
        <v>0.22083333333333335</v>
      </c>
      <c r="K56" s="15">
        <f>K17*設定!$B$26/60/設定!$B$7</f>
        <v>0.40416666666666667</v>
      </c>
      <c r="L56" s="15">
        <f>L17*設定!$B$26/60/設定!$B$7</f>
        <v>0.38541666666666663</v>
      </c>
      <c r="M56" s="15">
        <f>M17*設定!$B$26/60/設定!$B$7</f>
        <v>0.26041666666666663</v>
      </c>
      <c r="N56" s="15">
        <f>N17*設定!$B$26/60/設定!$B$7</f>
        <v>0.34166666666666667</v>
      </c>
      <c r="O56" s="15">
        <f>O17*設定!$B$26/60/設定!$B$7</f>
        <v>0.22916666666666666</v>
      </c>
      <c r="P56" s="15">
        <f>P17*設定!$B$26/60/設定!$B$7</f>
        <v>0.20833333333333334</v>
      </c>
      <c r="Q56" s="15">
        <f>Q17*設定!$B$26/60/設定!$B$7</f>
        <v>0.35208333333333336</v>
      </c>
      <c r="R56" s="15">
        <f>R17*設定!$B$26/60/設定!$B$7</f>
        <v>0.21249999999999999</v>
      </c>
      <c r="S56" s="15">
        <f>S17*設定!$B$26/60/設定!$B$7</f>
        <v>0.32083333333333336</v>
      </c>
      <c r="T56" s="15">
        <f>T17*設定!$B$26/60/設定!$B$7</f>
        <v>0.22708333333333336</v>
      </c>
      <c r="U56" s="15">
        <f>U17*設定!$B$26/60/設定!$B$7</f>
        <v>0.38333333333333336</v>
      </c>
      <c r="V56" s="15">
        <f>V17*設定!$B$26/60/設定!$B$7</f>
        <v>0.22916666666666666</v>
      </c>
    </row>
    <row r="57" spans="1:22" ht="15.75">
      <c r="A57" s="2"/>
      <c r="B57" s="11" t="s">
        <v>20</v>
      </c>
      <c r="C57" s="11" t="s">
        <v>27</v>
      </c>
      <c r="D57" s="15">
        <f>D22*設定!$B$27/60/設定!$B$7</f>
        <v>0.17499999999999999</v>
      </c>
      <c r="E57" s="15">
        <f>E22*設定!$B$27/60/設定!$B$7</f>
        <v>0.23125000000000001</v>
      </c>
      <c r="F57" s="15">
        <f>F22*設定!$B$27/60/設定!$B$7</f>
        <v>0.18437500000000001</v>
      </c>
      <c r="G57" s="15">
        <f>G22*設定!$B$27/60/設定!$B$7</f>
        <v>0.19218750000000001</v>
      </c>
      <c r="H57" s="15">
        <f>H22*設定!$B$27/60/設定!$B$7</f>
        <v>0.22031249999999999</v>
      </c>
      <c r="I57" s="15">
        <f>I22*設定!$B$27/60/設定!$B$7</f>
        <v>0.2890625</v>
      </c>
      <c r="J57" s="15">
        <f>J22*設定!$B$27/60/設定!$B$7</f>
        <v>0.17031250000000001</v>
      </c>
      <c r="K57" s="15">
        <f>K22*設定!$B$27/60/設定!$B$7</f>
        <v>0.21406249999999999</v>
      </c>
      <c r="L57" s="15">
        <f>L22*設定!$B$27/60/設定!$B$7</f>
        <v>0.17812500000000001</v>
      </c>
      <c r="M57" s="15">
        <f>M22*設定!$B$27/60/設定!$B$7</f>
        <v>0.22812499999999999</v>
      </c>
      <c r="N57" s="15">
        <f>N22*設定!$B$27/60/設定!$B$7</f>
        <v>0.203125</v>
      </c>
      <c r="O57" s="15">
        <f>O22*設定!$B$27/60/設定!$B$7</f>
        <v>0.31093749999999998</v>
      </c>
      <c r="P57" s="15">
        <f>P22*設定!$B$27/60/設定!$B$7</f>
        <v>0.28281250000000002</v>
      </c>
      <c r="Q57" s="15">
        <f>Q22*設定!$B$27/60/設定!$B$7</f>
        <v>0.24843750000000001</v>
      </c>
      <c r="R57" s="15">
        <f>R22*設定!$B$27/60/設定!$B$7</f>
        <v>0.20937500000000001</v>
      </c>
      <c r="S57" s="15">
        <f>S22*設定!$B$27/60/設定!$B$7</f>
        <v>0.18281249999999999</v>
      </c>
      <c r="T57" s="15">
        <f>T22*設定!$B$27/60/設定!$B$7</f>
        <v>0.20468749999999999</v>
      </c>
      <c r="U57" s="15">
        <f>U22*設定!$B$27/60/設定!$B$7</f>
        <v>0.26718750000000002</v>
      </c>
      <c r="V57" s="15">
        <f>V22*設定!$B$27/60/設定!$B$7</f>
        <v>0.20937500000000001</v>
      </c>
    </row>
    <row r="58" spans="1:22" ht="15.75">
      <c r="A58" s="2"/>
      <c r="B58" s="11" t="s">
        <v>21</v>
      </c>
      <c r="C58" s="11" t="s">
        <v>27</v>
      </c>
      <c r="D58" s="15">
        <f>D27*設定!$B$28/60/設定!$B$7</f>
        <v>0.15625</v>
      </c>
      <c r="E58" s="15">
        <f>E27*設定!$B$28/60/設定!$B$7</f>
        <v>0.20781250000000001</v>
      </c>
      <c r="F58" s="15">
        <f>F27*設定!$B$28/60/設定!$B$7</f>
        <v>0.20156250000000001</v>
      </c>
      <c r="G58" s="15">
        <f>G27*設定!$B$28/60/設定!$B$7</f>
        <v>0.22187499999999999</v>
      </c>
      <c r="H58" s="15">
        <f>H27*設定!$B$28/60/設定!$B$7</f>
        <v>0.26250000000000001</v>
      </c>
      <c r="I58" s="15">
        <f>I27*設定!$B$28/60/設定!$B$7</f>
        <v>0.21718750000000001</v>
      </c>
      <c r="J58" s="15">
        <f>J27*設定!$B$28/60/設定!$B$7</f>
        <v>0.1640625</v>
      </c>
      <c r="K58" s="15">
        <f>K27*設定!$B$28/60/設定!$B$7</f>
        <v>0.21249999999999999</v>
      </c>
      <c r="L58" s="15">
        <f>L27*設定!$B$28/60/設定!$B$7</f>
        <v>0.2578125</v>
      </c>
      <c r="M58" s="15">
        <f>M27*設定!$B$28/60/設定!$B$7</f>
        <v>0.16250000000000001</v>
      </c>
      <c r="N58" s="15">
        <f>N27*設定!$B$28/60/設定!$B$7</f>
        <v>0.17499999999999999</v>
      </c>
      <c r="O58" s="15">
        <f>O27*設定!$B$28/60/設定!$B$7</f>
        <v>0.24374999999999999</v>
      </c>
      <c r="P58" s="15">
        <f>P27*設定!$B$28/60/設定!$B$7</f>
        <v>0.23906250000000001</v>
      </c>
      <c r="Q58" s="15">
        <f>Q27*設定!$B$28/60/設定!$B$7</f>
        <v>0.19843749999999999</v>
      </c>
      <c r="R58" s="15">
        <f>R27*設定!$B$28/60/設定!$B$7</f>
        <v>0.22968749999999999</v>
      </c>
      <c r="S58" s="15">
        <f>S27*設定!$B$28/60/設定!$B$7</f>
        <v>0.18437500000000001</v>
      </c>
      <c r="T58" s="15">
        <f>T27*設定!$B$28/60/設定!$B$7</f>
        <v>0.19687499999999999</v>
      </c>
      <c r="U58" s="15">
        <f>U27*設定!$B$28/60/設定!$B$7</f>
        <v>0.23749999999999999</v>
      </c>
      <c r="V58" s="15">
        <f>V27*設定!$B$28/60/設定!$B$7</f>
        <v>0.18593750000000001</v>
      </c>
    </row>
    <row r="59" spans="1:22" ht="15.75">
      <c r="A59" s="2"/>
      <c r="B59" s="11" t="s">
        <v>22</v>
      </c>
      <c r="C59" s="11" t="s">
        <v>27</v>
      </c>
      <c r="D59" s="15">
        <f>D32*設定!$B$29/60/設定!$B$7</f>
        <v>0.19687499999999999</v>
      </c>
      <c r="E59" s="15">
        <f>E32*設定!$B$29/60/設定!$B$7</f>
        <v>0.29218749999999999</v>
      </c>
      <c r="F59" s="15">
        <f>F32*設定!$B$29/60/設定!$B$7</f>
        <v>0.2578125</v>
      </c>
      <c r="G59" s="15">
        <f>G32*設定!$B$29/60/設定!$B$7</f>
        <v>0.16562499999999999</v>
      </c>
      <c r="H59" s="15">
        <f>H32*設定!$B$29/60/設定!$B$7</f>
        <v>0.18281249999999999</v>
      </c>
      <c r="I59" s="15">
        <f>I32*設定!$B$29/60/設定!$B$7</f>
        <v>0.1953125</v>
      </c>
      <c r="J59" s="15">
        <f>J32*設定!$B$29/60/設定!$B$7</f>
        <v>0.18281249999999999</v>
      </c>
      <c r="K59" s="15">
        <f>K32*設定!$B$29/60/設定!$B$7</f>
        <v>0.24687500000000001</v>
      </c>
      <c r="L59" s="15">
        <f>L32*設定!$B$29/60/設定!$B$7</f>
        <v>0.203125</v>
      </c>
      <c r="M59" s="15">
        <f>M32*設定!$B$29/60/設定!$B$7</f>
        <v>0.28749999999999998</v>
      </c>
      <c r="N59" s="15">
        <f>N32*設定!$B$29/60/設定!$B$7</f>
        <v>0.18124999999999999</v>
      </c>
      <c r="O59" s="15">
        <f>O32*設定!$B$29/60/設定!$B$7</f>
        <v>0.2109375</v>
      </c>
      <c r="P59" s="15">
        <f>P32*設定!$B$29/60/設定!$B$7</f>
        <v>0.21406249999999999</v>
      </c>
      <c r="Q59" s="15">
        <f>Q32*設定!$B$29/60/設定!$B$7</f>
        <v>0.16718749999999999</v>
      </c>
      <c r="R59" s="15">
        <f>R32*設定!$B$29/60/設定!$B$7</f>
        <v>0.26250000000000001</v>
      </c>
      <c r="S59" s="15">
        <f>S32*設定!$B$29/60/設定!$B$7</f>
        <v>0.15625</v>
      </c>
      <c r="T59" s="15">
        <f>T32*設定!$B$29/60/設定!$B$7</f>
        <v>0.27968749999999998</v>
      </c>
      <c r="U59" s="15">
        <f>U32*設定!$B$29/60/設定!$B$7</f>
        <v>0.27031250000000001</v>
      </c>
      <c r="V59" s="15">
        <f>V32*設定!$B$29/60/設定!$B$7</f>
        <v>0.19218750000000001</v>
      </c>
    </row>
    <row r="60" spans="1:22" ht="15.75">
      <c r="A60" s="2"/>
      <c r="B60" s="11" t="s">
        <v>23</v>
      </c>
      <c r="C60" s="11" t="s">
        <v>27</v>
      </c>
      <c r="D60" s="15">
        <f>D37*設定!$B$30/60/設定!$B$7</f>
        <v>0.13958333333333334</v>
      </c>
      <c r="E60" s="15">
        <f>E37*設定!$B$30/60/設定!$B$7</f>
        <v>0.16562499999999999</v>
      </c>
      <c r="F60" s="15">
        <f>F37*設定!$B$30/60/設定!$B$7</f>
        <v>0.12916666666666668</v>
      </c>
      <c r="G60" s="15">
        <f>G37*設定!$B$30/60/設定!$B$7</f>
        <v>0.12604166666666666</v>
      </c>
      <c r="H60" s="15">
        <f>H37*設定!$B$30/60/設定!$B$7</f>
        <v>0.16562499999999999</v>
      </c>
      <c r="I60" s="15">
        <f>I37*設定!$B$30/60/設定!$B$7</f>
        <v>0.14687500000000001</v>
      </c>
      <c r="J60" s="15">
        <f>J37*設定!$B$30/60/設定!$B$7</f>
        <v>0.15520833333333334</v>
      </c>
      <c r="K60" s="15">
        <f>K37*設定!$B$30/60/設定!$B$7</f>
        <v>0.13958333333333334</v>
      </c>
      <c r="L60" s="15">
        <f>L37*設定!$B$30/60/設定!$B$7</f>
        <v>0.16666666666666669</v>
      </c>
      <c r="M60" s="15">
        <f>M37*設定!$B$30/60/設定!$B$7</f>
        <v>0.20416666666666666</v>
      </c>
      <c r="N60" s="15">
        <f>N37*設定!$B$30/60/設定!$B$7</f>
        <v>0.109375</v>
      </c>
      <c r="O60" s="15">
        <f>O37*設定!$B$30/60/設定!$B$7</f>
        <v>0.15937499999999999</v>
      </c>
      <c r="P60" s="15">
        <f>P37*設定!$B$30/60/設定!$B$7</f>
        <v>0.20208333333333334</v>
      </c>
      <c r="Q60" s="15">
        <f>Q37*設定!$B$30/60/設定!$B$7</f>
        <v>0.2</v>
      </c>
      <c r="R60" s="15">
        <f>R37*設定!$B$30/60/設定!$B$7</f>
        <v>0.20104166666666665</v>
      </c>
      <c r="S60" s="15">
        <f>S37*設定!$B$30/60/設定!$B$7</f>
        <v>0.16666666666666669</v>
      </c>
      <c r="T60" s="15">
        <f>T37*設定!$B$30/60/設定!$B$7</f>
        <v>0.12916666666666668</v>
      </c>
      <c r="U60" s="15">
        <f>U37*設定!$B$30/60/設定!$B$7</f>
        <v>0.20624999999999999</v>
      </c>
      <c r="V60" s="15">
        <f>V37*設定!$B$30/60/設定!$B$7</f>
        <v>0.1875</v>
      </c>
    </row>
    <row r="61" spans="1:22" ht="15.75">
      <c r="A61" s="2"/>
      <c r="B61" s="4" t="s">
        <v>24</v>
      </c>
      <c r="C61" s="4" t="s">
        <v>27</v>
      </c>
      <c r="D61" s="16">
        <f t="shared" ref="D61:V61" si="24">SUM(D55:D60)</f>
        <v>0.94947916666666665</v>
      </c>
      <c r="E61" s="16">
        <f t="shared" si="24"/>
        <v>1.3020833333333333</v>
      </c>
      <c r="F61" s="16">
        <f t="shared" si="24"/>
        <v>1.1390624999999999</v>
      </c>
      <c r="G61" s="16">
        <f t="shared" si="24"/>
        <v>1.1333333333333333</v>
      </c>
      <c r="H61" s="16">
        <f t="shared" si="24"/>
        <v>1.1223958333333333</v>
      </c>
      <c r="I61" s="16">
        <f t="shared" si="24"/>
        <v>1.1869791666666667</v>
      </c>
      <c r="J61" s="16">
        <f t="shared" si="24"/>
        <v>0.95937500000000009</v>
      </c>
      <c r="K61" s="16">
        <f t="shared" si="24"/>
        <v>1.2770833333333333</v>
      </c>
      <c r="L61" s="16">
        <f t="shared" si="24"/>
        <v>1.2927083333333333</v>
      </c>
      <c r="M61" s="16">
        <f t="shared" si="24"/>
        <v>1.1963541666666666</v>
      </c>
      <c r="N61" s="16">
        <f t="shared" si="24"/>
        <v>1.0864583333333333</v>
      </c>
      <c r="O61" s="16">
        <f t="shared" si="24"/>
        <v>1.221875</v>
      </c>
      <c r="P61" s="16">
        <f t="shared" si="24"/>
        <v>1.2281250000000001</v>
      </c>
      <c r="Q61" s="16">
        <f t="shared" si="24"/>
        <v>1.2307291666666667</v>
      </c>
      <c r="R61" s="16">
        <f t="shared" si="24"/>
        <v>1.2036458333333331</v>
      </c>
      <c r="S61" s="16">
        <f t="shared" si="24"/>
        <v>1.1067708333333335</v>
      </c>
      <c r="T61" s="16">
        <f t="shared" si="24"/>
        <v>1.1192708333333334</v>
      </c>
      <c r="U61" s="16">
        <f t="shared" si="24"/>
        <v>1.4473958333333334</v>
      </c>
      <c r="V61" s="16">
        <f t="shared" si="24"/>
        <v>1.0567708333333332</v>
      </c>
    </row>
    <row r="62" spans="1:22" ht="15.75">
      <c r="A62" s="13" t="s">
        <v>29</v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</row>
    <row r="63" spans="1:22" ht="15.75">
      <c r="A63" s="2"/>
      <c r="B63" s="11" t="s">
        <v>12</v>
      </c>
      <c r="C63" s="11" t="s">
        <v>27</v>
      </c>
      <c r="D63" s="15">
        <f>D11*設定!$B$25/60/設定!$B$7</f>
        <v>7.1354166666666663E-2</v>
      </c>
      <c r="E63" s="15">
        <f>E11*設定!$B$25/60/設定!$B$7</f>
        <v>9.7916666666666666E-2</v>
      </c>
      <c r="F63" s="15">
        <f>F11*設定!$B$25/60/設定!$B$7</f>
        <v>9.2187500000000006E-2</v>
      </c>
      <c r="G63" s="15">
        <f>G11*設定!$B$25/60/設定!$B$7</f>
        <v>7.9687499999999994E-2</v>
      </c>
      <c r="H63" s="15">
        <f>H11*設定!$B$25/60/設定!$B$7</f>
        <v>6.6145833333333334E-2</v>
      </c>
      <c r="I63" s="15">
        <f>I11*設定!$B$25/60/設定!$B$7</f>
        <v>0.10416666666666667</v>
      </c>
      <c r="J63" s="15">
        <f>J11*設定!$B$25/60/設定!$B$7</f>
        <v>0.10625</v>
      </c>
      <c r="K63" s="15">
        <f>K11*設定!$B$25/60/設定!$B$7</f>
        <v>0.11927083333333333</v>
      </c>
      <c r="L63" s="15">
        <f>L11*設定!$B$25/60/設定!$B$7</f>
        <v>0.14895833333333333</v>
      </c>
      <c r="M63" s="15">
        <f>M11*設定!$B$25/60/設定!$B$7</f>
        <v>0.13020833333333331</v>
      </c>
      <c r="N63" s="15">
        <f>N11*設定!$B$25/60/設定!$B$7</f>
        <v>0.15520833333333334</v>
      </c>
      <c r="O63" s="15">
        <f>O11*設定!$B$25/60/設定!$B$7</f>
        <v>0.14583333333333331</v>
      </c>
      <c r="P63" s="15">
        <f>P11*設定!$B$25/60/設定!$B$7</f>
        <v>0.14895833333333333</v>
      </c>
      <c r="Q63" s="15">
        <f>Q11*設定!$B$25/60/設定!$B$7</f>
        <v>0.12291666666666667</v>
      </c>
      <c r="R63" s="15">
        <f>R11*設定!$B$25/60/設定!$B$7</f>
        <v>0.11614583333333332</v>
      </c>
      <c r="S63" s="15">
        <f>S11*設定!$B$25/60/設定!$B$7</f>
        <v>9.8958333333333343E-2</v>
      </c>
      <c r="T63" s="15">
        <f>T11*設定!$B$25/60/設定!$B$7</f>
        <v>8.1770833333333334E-2</v>
      </c>
      <c r="U63" s="15">
        <f>U11*設定!$B$25/60/設定!$B$7</f>
        <v>8.2812499999999997E-2</v>
      </c>
      <c r="V63" s="15">
        <f>V11*設定!$B$25/60/設定!$B$7</f>
        <v>5.5729166666666663E-2</v>
      </c>
    </row>
    <row r="64" spans="1:22" ht="15.75">
      <c r="A64" s="2"/>
      <c r="B64" s="11" t="s">
        <v>19</v>
      </c>
      <c r="C64" s="11" t="s">
        <v>27</v>
      </c>
      <c r="D64" s="15">
        <f>D16*設定!$B$26/60/設定!$B$7</f>
        <v>0.30208333333333337</v>
      </c>
      <c r="E64" s="15">
        <f>E16*設定!$B$26/60/設定!$B$7</f>
        <v>0.48333333333333328</v>
      </c>
      <c r="F64" s="15">
        <f>F16*設定!$B$26/60/設定!$B$7</f>
        <v>0.37083333333333335</v>
      </c>
      <c r="G64" s="15">
        <f>G16*設定!$B$26/60/設定!$B$7</f>
        <v>0.4375</v>
      </c>
      <c r="H64" s="15">
        <f>H16*設定!$B$26/60/設定!$B$7</f>
        <v>0.45833333333333331</v>
      </c>
      <c r="I64" s="15">
        <f>I16*設定!$B$26/60/設定!$B$7</f>
        <v>0.52500000000000002</v>
      </c>
      <c r="J64" s="15">
        <f>J16*設定!$B$26/60/設定!$B$7</f>
        <v>0.58333333333333326</v>
      </c>
      <c r="K64" s="15">
        <f>K16*設定!$B$26/60/設定!$B$7</f>
        <v>0.59166666666666667</v>
      </c>
      <c r="L64" s="15">
        <f>L16*設定!$B$26/60/設定!$B$7</f>
        <v>0.42708333333333331</v>
      </c>
      <c r="M64" s="15">
        <f>M16*設定!$B$26/60/設定!$B$7</f>
        <v>0.32708333333333334</v>
      </c>
      <c r="N64" s="15">
        <f>N16*設定!$B$26/60/設定!$B$7</f>
        <v>0.34166666666666667</v>
      </c>
      <c r="O64" s="15">
        <f>O16*設定!$B$26/60/設定!$B$7</f>
        <v>0.25208333333333333</v>
      </c>
      <c r="P64" s="15">
        <f>P16*設定!$B$26/60/設定!$B$7</f>
        <v>0.30208333333333337</v>
      </c>
      <c r="Q64" s="15">
        <f>Q16*設定!$B$26/60/設定!$B$7</f>
        <v>0.35208333333333336</v>
      </c>
      <c r="R64" s="15">
        <f>R16*設定!$B$26/60/設定!$B$7</f>
        <v>0.23541666666666666</v>
      </c>
      <c r="S64" s="15">
        <f>S16*設定!$B$26/60/設定!$B$7</f>
        <v>0.37083333333333335</v>
      </c>
      <c r="T64" s="15">
        <f>T16*設定!$B$26/60/設定!$B$7</f>
        <v>0.26458333333333334</v>
      </c>
      <c r="U64" s="15">
        <f>U16*設定!$B$26/60/設定!$B$7</f>
        <v>0.38333333333333336</v>
      </c>
      <c r="V64" s="15">
        <f>V16*設定!$B$26/60/設定!$B$7</f>
        <v>0.39374999999999999</v>
      </c>
    </row>
    <row r="65" spans="1:22" ht="15.75">
      <c r="A65" s="2"/>
      <c r="B65" s="11" t="s">
        <v>20</v>
      </c>
      <c r="C65" s="11" t="s">
        <v>27</v>
      </c>
      <c r="D65" s="15">
        <f>D21*設定!$B$27/60/設定!$B$7</f>
        <v>0.2421875</v>
      </c>
      <c r="E65" s="15">
        <f>E21*設定!$B$27/60/設定!$B$7</f>
        <v>0.23125000000000001</v>
      </c>
      <c r="F65" s="15">
        <f>F21*設定!$B$27/60/設定!$B$7</f>
        <v>0.18437500000000001</v>
      </c>
      <c r="G65" s="15">
        <f>G21*設定!$B$27/60/設定!$B$7</f>
        <v>0.19218750000000001</v>
      </c>
      <c r="H65" s="15">
        <f>H21*設定!$B$27/60/設定!$B$7</f>
        <v>0.22031249999999999</v>
      </c>
      <c r="I65" s="15">
        <f>I21*設定!$B$27/60/設定!$B$7</f>
        <v>0.2890625</v>
      </c>
      <c r="J65" s="15">
        <f>J21*設定!$B$27/60/設定!$B$7</f>
        <v>0.17031250000000001</v>
      </c>
      <c r="K65" s="15">
        <f>K21*設定!$B$27/60/設定!$B$7</f>
        <v>0.21406249999999999</v>
      </c>
      <c r="L65" s="15">
        <f>L21*設定!$B$27/60/設定!$B$7</f>
        <v>0.17812500000000001</v>
      </c>
      <c r="M65" s="15">
        <f>M21*設定!$B$27/60/設定!$B$7</f>
        <v>0.30937500000000001</v>
      </c>
      <c r="N65" s="15">
        <f>N21*設定!$B$27/60/設定!$B$7</f>
        <v>0.24531249999999999</v>
      </c>
      <c r="O65" s="15">
        <f>O21*設定!$B$27/60/設定!$B$7</f>
        <v>0.34687499999999999</v>
      </c>
      <c r="P65" s="15">
        <f>P21*設定!$B$27/60/設定!$B$7</f>
        <v>0.34687499999999999</v>
      </c>
      <c r="Q65" s="15">
        <f>Q21*設定!$B$27/60/設定!$B$7</f>
        <v>0.2578125</v>
      </c>
      <c r="R65" s="15">
        <f>R21*設定!$B$27/60/設定!$B$7</f>
        <v>0.22500000000000001</v>
      </c>
      <c r="S65" s="15">
        <f>S21*設定!$B$27/60/設定!$B$7</f>
        <v>0.31718750000000001</v>
      </c>
      <c r="T65" s="15">
        <f>T21*設定!$B$27/60/設定!$B$7</f>
        <v>0.29375000000000001</v>
      </c>
      <c r="U65" s="15">
        <f>U21*設定!$B$27/60/設定!$B$7</f>
        <v>0.37968750000000001</v>
      </c>
      <c r="V65" s="15">
        <f>V21*設定!$B$27/60/設定!$B$7</f>
        <v>0.28749999999999998</v>
      </c>
    </row>
    <row r="66" spans="1:22" ht="15.75">
      <c r="A66" s="2"/>
      <c r="B66" s="11" t="s">
        <v>21</v>
      </c>
      <c r="C66" s="11" t="s">
        <v>27</v>
      </c>
      <c r="D66" s="15">
        <f>D26*設定!$B$28/60/設定!$B$7</f>
        <v>0.15625</v>
      </c>
      <c r="E66" s="15">
        <f>E26*設定!$B$28/60/設定!$B$7</f>
        <v>0.20781250000000001</v>
      </c>
      <c r="F66" s="15">
        <f>F26*設定!$B$28/60/設定!$B$7</f>
        <v>0.2578125</v>
      </c>
      <c r="G66" s="15">
        <f>G26*設定!$B$28/60/設定!$B$7</f>
        <v>0.33281250000000001</v>
      </c>
      <c r="H66" s="15">
        <f>H26*設定!$B$28/60/設定!$B$7</f>
        <v>0.29062500000000002</v>
      </c>
      <c r="I66" s="15">
        <f>I26*設定!$B$28/60/設定!$B$7</f>
        <v>0.24062500000000001</v>
      </c>
      <c r="J66" s="15">
        <f>J26*設定!$B$28/60/設定!$B$7</f>
        <v>0.29843750000000002</v>
      </c>
      <c r="K66" s="15">
        <f>K26*設定!$B$28/60/設定!$B$7</f>
        <v>0.43437500000000001</v>
      </c>
      <c r="L66" s="15">
        <f>L26*設定!$B$28/60/設定!$B$7</f>
        <v>0.38906249999999998</v>
      </c>
      <c r="M66" s="15">
        <f>M26*設定!$B$28/60/設定!$B$7</f>
        <v>0.3</v>
      </c>
      <c r="N66" s="15">
        <f>N26*設定!$B$28/60/設定!$B$7</f>
        <v>0.36249999999999999</v>
      </c>
      <c r="O66" s="15">
        <f>O26*設定!$B$28/60/設定!$B$7</f>
        <v>0.34531250000000002</v>
      </c>
      <c r="P66" s="15">
        <f>P26*設定!$B$28/60/設定!$B$7</f>
        <v>0.27031250000000001</v>
      </c>
      <c r="Q66" s="15">
        <f>Q26*設定!$B$28/60/設定!$B$7</f>
        <v>0.28281250000000002</v>
      </c>
      <c r="R66" s="15">
        <f>R26*設定!$B$28/60/設定!$B$7</f>
        <v>0.39218750000000002</v>
      </c>
      <c r="S66" s="15">
        <f>S26*設定!$B$28/60/設定!$B$7</f>
        <v>0.45781250000000001</v>
      </c>
      <c r="T66" s="15">
        <f>T26*設定!$B$28/60/設定!$B$7</f>
        <v>0.47968749999999999</v>
      </c>
      <c r="U66" s="15">
        <f>U26*設定!$B$28/60/設定!$B$7</f>
        <v>0.46718749999999998</v>
      </c>
      <c r="V66" s="15">
        <f>V26*設定!$B$28/60/設定!$B$7</f>
        <v>0.46718749999999998</v>
      </c>
    </row>
    <row r="67" spans="1:22" ht="15.75">
      <c r="A67" s="2"/>
      <c r="B67" s="11" t="s">
        <v>22</v>
      </c>
      <c r="C67" s="11" t="s">
        <v>27</v>
      </c>
      <c r="D67" s="15">
        <f>D31*設定!$B$29/60/設定!$B$7</f>
        <v>0.19687499999999999</v>
      </c>
      <c r="E67" s="15">
        <f>E31*設定!$B$29/60/設定!$B$7</f>
        <v>0.29218749999999999</v>
      </c>
      <c r="F67" s="15">
        <f>F31*設定!$B$29/60/設定!$B$7</f>
        <v>0.2578125</v>
      </c>
      <c r="G67" s="15">
        <f>G31*設定!$B$29/60/設定!$B$7</f>
        <v>0.16562499999999999</v>
      </c>
      <c r="H67" s="15">
        <f>H31*設定!$B$29/60/設定!$B$7</f>
        <v>0.18281249999999999</v>
      </c>
      <c r="I67" s="15">
        <f>I31*設定!$B$29/60/設定!$B$7</f>
        <v>0.1953125</v>
      </c>
      <c r="J67" s="15">
        <f>J31*設定!$B$29/60/設定!$B$7</f>
        <v>0.3046875</v>
      </c>
      <c r="K67" s="15">
        <f>K31*設定!$B$29/60/設定!$B$7</f>
        <v>0.40468749999999998</v>
      </c>
      <c r="L67" s="15">
        <f>L31*設定!$B$29/60/設定!$B$7</f>
        <v>0.38593749999999999</v>
      </c>
      <c r="M67" s="15">
        <f>M31*設定!$B$29/60/設定!$B$7</f>
        <v>0.3984375</v>
      </c>
      <c r="N67" s="15">
        <f>N31*設定!$B$29/60/設定!$B$7</f>
        <v>0.3984375</v>
      </c>
      <c r="O67" s="15">
        <f>O31*設定!$B$29/60/設定!$B$7</f>
        <v>0.38124999999999998</v>
      </c>
      <c r="P67" s="15">
        <f>P31*設定!$B$29/60/設定!$B$7</f>
        <v>0.45468750000000002</v>
      </c>
      <c r="Q67" s="15">
        <f>Q31*設定!$B$29/60/設定!$B$7</f>
        <v>0.43125000000000002</v>
      </c>
      <c r="R67" s="15">
        <f>R31*設定!$B$29/60/設定!$B$7</f>
        <v>0.43281249999999999</v>
      </c>
      <c r="S67" s="15">
        <f>S31*設定!$B$29/60/設定!$B$7</f>
        <v>0.41562500000000002</v>
      </c>
      <c r="T67" s="15">
        <f>T31*設定!$B$29/60/設定!$B$7</f>
        <v>0.46250000000000002</v>
      </c>
      <c r="U67" s="15">
        <f>U31*設定!$B$29/60/設定!$B$7</f>
        <v>0.49531249999999999</v>
      </c>
      <c r="V67" s="15">
        <f>V31*設定!$B$29/60/設定!$B$7</f>
        <v>0.52968749999999998</v>
      </c>
    </row>
    <row r="68" spans="1:22" ht="15.75">
      <c r="A68" s="2"/>
      <c r="B68" s="11" t="s">
        <v>23</v>
      </c>
      <c r="C68" s="11" t="s">
        <v>27</v>
      </c>
      <c r="D68" s="15">
        <f>D36*設定!$B$30/60/設定!$B$7</f>
        <v>0.19687499999999999</v>
      </c>
      <c r="E68" s="15">
        <f>E36*設定!$B$30/60/設定!$B$7</f>
        <v>0.22291666666666665</v>
      </c>
      <c r="F68" s="15">
        <f>F36*設定!$B$30/60/設定!$B$7</f>
        <v>0.16979166666666667</v>
      </c>
      <c r="G68" s="15">
        <f>G36*設定!$B$30/60/設定!$B$7</f>
        <v>0.17708333333333331</v>
      </c>
      <c r="H68" s="15">
        <f>H36*設定!$B$30/60/設定!$B$7</f>
        <v>0.1875</v>
      </c>
      <c r="I68" s="15">
        <f>I36*設定!$B$30/60/設定!$B$7</f>
        <v>0.20624999999999999</v>
      </c>
      <c r="J68" s="15">
        <f>J36*設定!$B$30/60/設定!$B$7</f>
        <v>0.25</v>
      </c>
      <c r="K68" s="15">
        <f>K36*設定!$B$30/60/設定!$B$7</f>
        <v>0.296875</v>
      </c>
      <c r="L68" s="15">
        <f>L36*設定!$B$30/60/設定!$B$7</f>
        <v>0.26354166666666667</v>
      </c>
      <c r="M68" s="15">
        <f>M36*設定!$B$30/60/設定!$B$7</f>
        <v>0.29895833333333333</v>
      </c>
      <c r="N68" s="15">
        <f>N36*設定!$B$30/60/設定!$B$7</f>
        <v>0.26041666666666663</v>
      </c>
      <c r="O68" s="15">
        <f>O36*設定!$B$30/60/設定!$B$7</f>
        <v>0.33437499999999998</v>
      </c>
      <c r="P68" s="15">
        <f>P36*設定!$B$30/60/設定!$B$7</f>
        <v>0.37395833333333334</v>
      </c>
      <c r="Q68" s="15">
        <f>Q36*設定!$B$30/60/設定!$B$7</f>
        <v>0.35416666666666663</v>
      </c>
      <c r="R68" s="15">
        <f>R36*設定!$B$30/60/設定!$B$7</f>
        <v>0.34791666666666665</v>
      </c>
      <c r="S68" s="15">
        <f>S36*設定!$B$30/60/設定!$B$7</f>
        <v>0.34375</v>
      </c>
      <c r="T68" s="15">
        <f>T36*設定!$B$30/60/設定!$B$7</f>
        <v>0.36145833333333333</v>
      </c>
      <c r="U68" s="15">
        <f>U36*設定!$B$30/60/設定!$B$7</f>
        <v>0.40104166666666669</v>
      </c>
      <c r="V68" s="15">
        <f>V36*設定!$B$30/60/設定!$B$7</f>
        <v>0.36041666666666666</v>
      </c>
    </row>
    <row r="69" spans="1:22" ht="15.75">
      <c r="A69" s="2"/>
      <c r="B69" s="4" t="s">
        <v>24</v>
      </c>
      <c r="C69" s="4" t="s">
        <v>27</v>
      </c>
      <c r="D69" s="17">
        <f t="shared" ref="D69:V69" si="25">SUM(D63:D68)</f>
        <v>1.1656250000000001</v>
      </c>
      <c r="E69" s="17">
        <f t="shared" si="25"/>
        <v>1.5354166666666667</v>
      </c>
      <c r="F69" s="17">
        <f t="shared" si="25"/>
        <v>1.3328125000000002</v>
      </c>
      <c r="G69" s="17">
        <f t="shared" si="25"/>
        <v>1.3848958333333332</v>
      </c>
      <c r="H69" s="17">
        <f t="shared" si="25"/>
        <v>1.4057291666666667</v>
      </c>
      <c r="I69" s="17">
        <f t="shared" si="25"/>
        <v>1.5604166666666668</v>
      </c>
      <c r="J69" s="17">
        <f t="shared" si="25"/>
        <v>1.7130208333333332</v>
      </c>
      <c r="K69" s="17">
        <f t="shared" si="25"/>
        <v>2.0609375000000001</v>
      </c>
      <c r="L69" s="17">
        <f t="shared" si="25"/>
        <v>1.7927083333333331</v>
      </c>
      <c r="M69" s="17">
        <f t="shared" si="25"/>
        <v>1.7640625000000001</v>
      </c>
      <c r="N69" s="17">
        <f t="shared" si="25"/>
        <v>1.7635416666666668</v>
      </c>
      <c r="O69" s="17">
        <f t="shared" si="25"/>
        <v>1.8057291666666666</v>
      </c>
      <c r="P69" s="17">
        <f t="shared" si="25"/>
        <v>1.8968750000000001</v>
      </c>
      <c r="Q69" s="17">
        <f t="shared" si="25"/>
        <v>1.8010416666666664</v>
      </c>
      <c r="R69" s="17">
        <f t="shared" si="25"/>
        <v>1.7494791666666667</v>
      </c>
      <c r="S69" s="17">
        <f t="shared" si="25"/>
        <v>2.0041666666666669</v>
      </c>
      <c r="T69" s="17">
        <f t="shared" si="25"/>
        <v>1.9437500000000001</v>
      </c>
      <c r="U69" s="17">
        <f t="shared" si="25"/>
        <v>2.2093750000000001</v>
      </c>
      <c r="V69" s="17">
        <f t="shared" si="25"/>
        <v>2.0942708333333333</v>
      </c>
    </row>
    <row r="70" spans="1:22" ht="15.75">
      <c r="A70" s="13" t="s">
        <v>30</v>
      </c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</row>
    <row r="71" spans="1:22" ht="15.75">
      <c r="A71" s="2"/>
      <c r="B71" s="11" t="s">
        <v>12</v>
      </c>
      <c r="C71" s="11" t="s">
        <v>27</v>
      </c>
      <c r="D71" s="15">
        <f>D13*設定!$B$25/60/設定!$B$7</f>
        <v>1.6666666666666666E-2</v>
      </c>
      <c r="E71" s="15">
        <f>E13*設定!$B$25/60/設定!$B$7</f>
        <v>3.020833333333333E-2</v>
      </c>
      <c r="F71" s="15">
        <f>F13*設定!$B$25/60/設定!$B$7</f>
        <v>2.1874999999999999E-2</v>
      </c>
      <c r="G71" s="15">
        <f>G13*設定!$B$25/60/設定!$B$7</f>
        <v>0</v>
      </c>
      <c r="H71" s="15">
        <f>H13*設定!$B$25/60/設定!$B$7</f>
        <v>0</v>
      </c>
      <c r="I71" s="15">
        <f>I13*設定!$B$25/60/設定!$B$7</f>
        <v>7.2916666666666668E-3</v>
      </c>
      <c r="J71" s="15">
        <f>J13*設定!$B$25/60/設定!$B$7</f>
        <v>4.010416666666667E-2</v>
      </c>
      <c r="K71" s="15">
        <f>K13*設定!$B$25/60/設定!$B$7</f>
        <v>5.9374999999999997E-2</v>
      </c>
      <c r="L71" s="15">
        <f>L13*設定!$B$25/60/設定!$B$7</f>
        <v>4.7395833333333331E-2</v>
      </c>
      <c r="M71" s="15">
        <f>M13*設定!$B$25/60/設定!$B$7</f>
        <v>7.6562500000000006E-2</v>
      </c>
      <c r="N71" s="15">
        <f>N13*設定!$B$25/60/設定!$B$7</f>
        <v>7.9166666666666663E-2</v>
      </c>
      <c r="O71" s="15">
        <f>O13*設定!$B$25/60/設定!$B$7</f>
        <v>7.8125E-2</v>
      </c>
      <c r="P71" s="15">
        <f>P13*設定!$B$25/60/設定!$B$7</f>
        <v>6.7187499999999997E-2</v>
      </c>
      <c r="Q71" s="15">
        <f>Q13*設定!$B$25/60/設定!$B$7</f>
        <v>5.8333333333333334E-2</v>
      </c>
      <c r="R71" s="15">
        <f>R13*設定!$B$25/60/設定!$B$7</f>
        <v>2.7604166666666669E-2</v>
      </c>
      <c r="S71" s="15">
        <f>S13*設定!$B$25/60/設定!$B$7</f>
        <v>3.1250000000000002E-3</v>
      </c>
      <c r="T71" s="15">
        <f>T13*設定!$B$25/60/設定!$B$7</f>
        <v>0</v>
      </c>
      <c r="U71" s="15">
        <f>U13*設定!$B$25/60/設定!$B$7</f>
        <v>0</v>
      </c>
      <c r="V71" s="15">
        <f>V13*設定!$B$25/60/設定!$B$7</f>
        <v>3.1250000000000002E-3</v>
      </c>
    </row>
    <row r="72" spans="1:22" ht="15.75">
      <c r="A72" s="2"/>
      <c r="B72" s="11" t="s">
        <v>19</v>
      </c>
      <c r="C72" s="11" t="s">
        <v>27</v>
      </c>
      <c r="D72" s="15">
        <f>D18*設定!$B$26/60/設定!$B$7</f>
        <v>7.4999999999999997E-2</v>
      </c>
      <c r="E72" s="15">
        <f>E18*設定!$B$26/60/設定!$B$7</f>
        <v>0.14583333333333331</v>
      </c>
      <c r="F72" s="15">
        <f>F18*設定!$B$26/60/設定!$B$7</f>
        <v>7.4999999999999997E-2</v>
      </c>
      <c r="G72" s="15">
        <f>G18*設定!$B$26/60/設定!$B$7</f>
        <v>8.9583333333333334E-2</v>
      </c>
      <c r="H72" s="15">
        <f>H18*設定!$B$26/60/設定!$B$7</f>
        <v>0.23333333333333334</v>
      </c>
      <c r="I72" s="15">
        <f>I18*設定!$B$26/60/設定!$B$7</f>
        <v>0.28333333333333333</v>
      </c>
      <c r="J72" s="15">
        <f>J18*設定!$B$26/60/設定!$B$7</f>
        <v>0.36249999999999999</v>
      </c>
      <c r="K72" s="15">
        <f>K18*設定!$B$26/60/設定!$B$7</f>
        <v>0.1875</v>
      </c>
      <c r="L72" s="15">
        <f>L18*設定!$B$26/60/設定!$B$7</f>
        <v>4.1666666666666671E-2</v>
      </c>
      <c r="M72" s="15">
        <f>M18*設定!$B$26/60/設定!$B$7</f>
        <v>6.6666666666666666E-2</v>
      </c>
      <c r="N72" s="15">
        <f>N18*設定!$B$26/60/設定!$B$7</f>
        <v>0</v>
      </c>
      <c r="O72" s="15">
        <f>O18*設定!$B$26/60/設定!$B$7</f>
        <v>2.2916666666666665E-2</v>
      </c>
      <c r="P72" s="15">
        <f>P18*設定!$B$26/60/設定!$B$7</f>
        <v>9.375E-2</v>
      </c>
      <c r="Q72" s="15">
        <f>Q18*設定!$B$26/60/設定!$B$7</f>
        <v>0</v>
      </c>
      <c r="R72" s="15">
        <f>R18*設定!$B$26/60/設定!$B$7</f>
        <v>2.2916666666666665E-2</v>
      </c>
      <c r="S72" s="15">
        <f>S18*設定!$B$26/60/設定!$B$7</f>
        <v>0.05</v>
      </c>
      <c r="T72" s="15">
        <f>T18*設定!$B$26/60/設定!$B$7</f>
        <v>3.7499999999999999E-2</v>
      </c>
      <c r="U72" s="15">
        <f>U18*設定!$B$26/60/設定!$B$7</f>
        <v>0</v>
      </c>
      <c r="V72" s="15">
        <f>V18*設定!$B$26/60/設定!$B$7</f>
        <v>0.16458333333333333</v>
      </c>
    </row>
    <row r="73" spans="1:22" ht="15.75">
      <c r="A73" s="2"/>
      <c r="B73" s="11" t="s">
        <v>20</v>
      </c>
      <c r="C73" s="11" t="s">
        <v>27</v>
      </c>
      <c r="D73" s="15">
        <f>D23*設定!$B$27/60/設定!$B$7</f>
        <v>6.7187499999999997E-2</v>
      </c>
      <c r="E73" s="15">
        <f>E23*設定!$B$27/60/設定!$B$7</f>
        <v>0</v>
      </c>
      <c r="F73" s="15">
        <f>F23*設定!$B$27/60/設定!$B$7</f>
        <v>0</v>
      </c>
      <c r="G73" s="15">
        <f>G23*設定!$B$27/60/設定!$B$7</f>
        <v>0</v>
      </c>
      <c r="H73" s="15">
        <f>H23*設定!$B$27/60/設定!$B$7</f>
        <v>0</v>
      </c>
      <c r="I73" s="15">
        <f>I23*設定!$B$27/60/設定!$B$7</f>
        <v>0</v>
      </c>
      <c r="J73" s="15">
        <f>J23*設定!$B$27/60/設定!$B$7</f>
        <v>0</v>
      </c>
      <c r="K73" s="15">
        <f>K23*設定!$B$27/60/設定!$B$7</f>
        <v>0</v>
      </c>
      <c r="L73" s="15">
        <f>L23*設定!$B$27/60/設定!$B$7</f>
        <v>0</v>
      </c>
      <c r="M73" s="15">
        <f>M23*設定!$B$27/60/設定!$B$7</f>
        <v>8.1250000000000003E-2</v>
      </c>
      <c r="N73" s="15">
        <f>N23*設定!$B$27/60/設定!$B$7</f>
        <v>4.2187500000000003E-2</v>
      </c>
      <c r="O73" s="15">
        <f>O23*設定!$B$27/60/設定!$B$7</f>
        <v>3.5937499999999997E-2</v>
      </c>
      <c r="P73" s="15">
        <f>P23*設定!$B$27/60/設定!$B$7</f>
        <v>6.4062499999999994E-2</v>
      </c>
      <c r="Q73" s="15">
        <f>Q23*設定!$B$27/60/設定!$B$7</f>
        <v>9.3749999999999997E-3</v>
      </c>
      <c r="R73" s="15">
        <f>R23*設定!$B$27/60/設定!$B$7</f>
        <v>1.5625E-2</v>
      </c>
      <c r="S73" s="15">
        <f>S23*設定!$B$27/60/設定!$B$7</f>
        <v>0.13437499999999999</v>
      </c>
      <c r="T73" s="15">
        <f>T23*設定!$B$27/60/設定!$B$7</f>
        <v>8.9062500000000003E-2</v>
      </c>
      <c r="U73" s="15">
        <f>U23*設定!$B$27/60/設定!$B$7</f>
        <v>0.1125</v>
      </c>
      <c r="V73" s="15">
        <f>V23*設定!$B$27/60/設定!$B$7</f>
        <v>7.8125E-2</v>
      </c>
    </row>
    <row r="74" spans="1:22" ht="15.75">
      <c r="A74" s="2"/>
      <c r="B74" s="11" t="s">
        <v>21</v>
      </c>
      <c r="C74" s="11" t="s">
        <v>27</v>
      </c>
      <c r="D74" s="15">
        <f>D28*設定!$B$28/60/設定!$B$7</f>
        <v>0</v>
      </c>
      <c r="E74" s="15">
        <f>E28*設定!$B$28/60/設定!$B$7</f>
        <v>0</v>
      </c>
      <c r="F74" s="15">
        <f>F28*設定!$B$28/60/設定!$B$7</f>
        <v>5.6250000000000001E-2</v>
      </c>
      <c r="G74" s="15">
        <f>G28*設定!$B$28/60/設定!$B$7</f>
        <v>0.11093749999999999</v>
      </c>
      <c r="H74" s="15">
        <f>H28*設定!$B$28/60/設定!$B$7</f>
        <v>2.8125000000000001E-2</v>
      </c>
      <c r="I74" s="15">
        <f>I28*設定!$B$28/60/設定!$B$7</f>
        <v>2.34375E-2</v>
      </c>
      <c r="J74" s="15">
        <f>J28*設定!$B$28/60/設定!$B$7</f>
        <v>0.13437499999999999</v>
      </c>
      <c r="K74" s="15">
        <f>K28*設定!$B$28/60/設定!$B$7</f>
        <v>0.22187499999999999</v>
      </c>
      <c r="L74" s="15">
        <f>L28*設定!$B$28/60/設定!$B$7</f>
        <v>0.13125000000000001</v>
      </c>
      <c r="M74" s="15">
        <f>M28*設定!$B$28/60/設定!$B$7</f>
        <v>0.13750000000000001</v>
      </c>
      <c r="N74" s="15">
        <f>N28*設定!$B$28/60/設定!$B$7</f>
        <v>0.1875</v>
      </c>
      <c r="O74" s="15">
        <f>O28*設定!$B$28/60/設定!$B$7</f>
        <v>0.1015625</v>
      </c>
      <c r="P74" s="15">
        <f>P28*設定!$B$28/60/設定!$B$7</f>
        <v>3.125E-2</v>
      </c>
      <c r="Q74" s="15">
        <f>Q28*設定!$B$28/60/設定!$B$7</f>
        <v>8.4375000000000006E-2</v>
      </c>
      <c r="R74" s="15">
        <f>R28*設定!$B$28/60/設定!$B$7</f>
        <v>0.16250000000000001</v>
      </c>
      <c r="S74" s="15">
        <f>S28*設定!$B$28/60/設定!$B$7</f>
        <v>0.2734375</v>
      </c>
      <c r="T74" s="15">
        <f>T28*設定!$B$28/60/設定!$B$7</f>
        <v>0.28281250000000002</v>
      </c>
      <c r="U74" s="15">
        <f>U28*設定!$B$28/60/設定!$B$7</f>
        <v>0.22968749999999999</v>
      </c>
      <c r="V74" s="15">
        <f>V28*設定!$B$28/60/設定!$B$7</f>
        <v>0.28125</v>
      </c>
    </row>
    <row r="75" spans="1:22" ht="15.75">
      <c r="A75" s="2"/>
      <c r="B75" s="11" t="s">
        <v>22</v>
      </c>
      <c r="C75" s="11" t="s">
        <v>27</v>
      </c>
      <c r="D75" s="15">
        <f>D33*設定!$B$29/60/設定!$B$7</f>
        <v>0</v>
      </c>
      <c r="E75" s="15">
        <f>E33*設定!$B$29/60/設定!$B$7</f>
        <v>0</v>
      </c>
      <c r="F75" s="15">
        <f>F33*設定!$B$29/60/設定!$B$7</f>
        <v>0</v>
      </c>
      <c r="G75" s="15">
        <f>G33*設定!$B$29/60/設定!$B$7</f>
        <v>0</v>
      </c>
      <c r="H75" s="15">
        <f>H33*設定!$B$29/60/設定!$B$7</f>
        <v>0</v>
      </c>
      <c r="I75" s="15">
        <f>I33*設定!$B$29/60/設定!$B$7</f>
        <v>0</v>
      </c>
      <c r="J75" s="15">
        <f>J33*設定!$B$29/60/設定!$B$7</f>
        <v>0.121875</v>
      </c>
      <c r="K75" s="15">
        <f>K33*設定!$B$29/60/設定!$B$7</f>
        <v>0.15781249999999999</v>
      </c>
      <c r="L75" s="15">
        <f>L33*設定!$B$29/60/設定!$B$7</f>
        <v>0.18281249999999999</v>
      </c>
      <c r="M75" s="15">
        <f>M33*設定!$B$29/60/設定!$B$7</f>
        <v>0.11093749999999999</v>
      </c>
      <c r="N75" s="15">
        <f>N33*設定!$B$29/60/設定!$B$7</f>
        <v>0.21718750000000001</v>
      </c>
      <c r="O75" s="15">
        <f>O33*設定!$B$29/60/設定!$B$7</f>
        <v>0.17031250000000001</v>
      </c>
      <c r="P75" s="15">
        <f>P33*設定!$B$29/60/設定!$B$7</f>
        <v>0.24062500000000001</v>
      </c>
      <c r="Q75" s="15">
        <f>Q33*設定!$B$29/60/設定!$B$7</f>
        <v>0.26406249999999998</v>
      </c>
      <c r="R75" s="15">
        <f>R33*設定!$B$29/60/設定!$B$7</f>
        <v>0.17031250000000001</v>
      </c>
      <c r="S75" s="15">
        <f>S33*設定!$B$29/60/設定!$B$7</f>
        <v>0.25937500000000002</v>
      </c>
      <c r="T75" s="15">
        <f>T33*設定!$B$29/60/設定!$B$7</f>
        <v>0.18281249999999999</v>
      </c>
      <c r="U75" s="15">
        <f>U33*設定!$B$29/60/設定!$B$7</f>
        <v>0.22500000000000001</v>
      </c>
      <c r="V75" s="15">
        <f>V33*設定!$B$29/60/設定!$B$7</f>
        <v>0.33750000000000002</v>
      </c>
    </row>
    <row r="76" spans="1:22" ht="15.75">
      <c r="A76" s="2"/>
      <c r="B76" s="11" t="s">
        <v>23</v>
      </c>
      <c r="C76" s="11" t="s">
        <v>27</v>
      </c>
      <c r="D76" s="15">
        <f>D38*設定!$B$30/60/設定!$B$7</f>
        <v>5.7291666666666664E-2</v>
      </c>
      <c r="E76" s="15">
        <f>E38*設定!$B$30/60/設定!$B$7</f>
        <v>5.7291666666666664E-2</v>
      </c>
      <c r="F76" s="15">
        <f>F38*設定!$B$30/60/設定!$B$7</f>
        <v>4.0625000000000001E-2</v>
      </c>
      <c r="G76" s="15">
        <f>G38*設定!$B$30/60/設定!$B$7</f>
        <v>5.1041666666666666E-2</v>
      </c>
      <c r="H76" s="15">
        <f>H38*設定!$B$30/60/設定!$B$7</f>
        <v>2.1874999999999999E-2</v>
      </c>
      <c r="I76" s="15">
        <f>I38*設定!$B$30/60/設定!$B$7</f>
        <v>5.9374999999999997E-2</v>
      </c>
      <c r="J76" s="15">
        <f>J38*設定!$B$30/60/設定!$B$7</f>
        <v>9.4791666666666663E-2</v>
      </c>
      <c r="K76" s="15">
        <f>K38*設定!$B$30/60/設定!$B$7</f>
        <v>0.15729166666666666</v>
      </c>
      <c r="L76" s="15">
        <f>L38*設定!$B$30/60/設定!$B$7</f>
        <v>9.6875000000000003E-2</v>
      </c>
      <c r="M76" s="15">
        <f>M38*設定!$B$30/60/設定!$B$7</f>
        <v>9.4791666666666663E-2</v>
      </c>
      <c r="N76" s="15">
        <f>N38*設定!$B$30/60/設定!$B$7</f>
        <v>0.15104166666666669</v>
      </c>
      <c r="O76" s="15">
        <f>O38*設定!$B$30/60/設定!$B$7</f>
        <v>0.17499999999999999</v>
      </c>
      <c r="P76" s="15">
        <f>P38*設定!$B$30/60/設定!$B$7</f>
        <v>0.171875</v>
      </c>
      <c r="Q76" s="15">
        <f>Q38*設定!$B$30/60/設定!$B$7</f>
        <v>0.15416666666666667</v>
      </c>
      <c r="R76" s="15">
        <f>R38*設定!$B$30/60/設定!$B$7</f>
        <v>0.14687500000000001</v>
      </c>
      <c r="S76" s="15">
        <f>S38*設定!$B$30/60/設定!$B$7</f>
        <v>0.17708333333333331</v>
      </c>
      <c r="T76" s="15">
        <f>T38*設定!$B$30/60/設定!$B$7</f>
        <v>0.23229166666666665</v>
      </c>
      <c r="U76" s="15">
        <f>U38*設定!$B$30/60/設定!$B$7</f>
        <v>0.19479166666666667</v>
      </c>
      <c r="V76" s="15">
        <f>V38*設定!$B$30/60/設定!$B$7</f>
        <v>0.17291666666666666</v>
      </c>
    </row>
    <row r="77" spans="1:22" ht="15.75">
      <c r="A77" s="2"/>
      <c r="B77" s="4" t="s">
        <v>24</v>
      </c>
      <c r="C77" s="4" t="s">
        <v>27</v>
      </c>
      <c r="D77" s="17">
        <f t="shared" ref="D77:V77" si="26">SUM(D71:D76)</f>
        <v>0.21614583333333331</v>
      </c>
      <c r="E77" s="17">
        <f t="shared" si="26"/>
        <v>0.23333333333333331</v>
      </c>
      <c r="F77" s="17">
        <f t="shared" si="26"/>
        <v>0.19374999999999998</v>
      </c>
      <c r="G77" s="17">
        <f t="shared" si="26"/>
        <v>0.25156249999999997</v>
      </c>
      <c r="H77" s="17">
        <f t="shared" si="26"/>
        <v>0.28333333333333333</v>
      </c>
      <c r="I77" s="17">
        <f t="shared" si="26"/>
        <v>0.37343749999999998</v>
      </c>
      <c r="J77" s="17">
        <f t="shared" si="26"/>
        <v>0.75364583333333335</v>
      </c>
      <c r="K77" s="17">
        <f t="shared" si="26"/>
        <v>0.78385416666666674</v>
      </c>
      <c r="L77" s="17">
        <f t="shared" si="26"/>
        <v>0.5</v>
      </c>
      <c r="M77" s="17">
        <f t="shared" si="26"/>
        <v>0.56770833333333326</v>
      </c>
      <c r="N77" s="17">
        <f t="shared" si="26"/>
        <v>0.67708333333333326</v>
      </c>
      <c r="O77" s="17">
        <f t="shared" si="26"/>
        <v>0.58385416666666656</v>
      </c>
      <c r="P77" s="17">
        <f t="shared" si="26"/>
        <v>0.66874999999999996</v>
      </c>
      <c r="Q77" s="17">
        <f t="shared" si="26"/>
        <v>0.5703125</v>
      </c>
      <c r="R77" s="17">
        <f t="shared" si="26"/>
        <v>0.54583333333333328</v>
      </c>
      <c r="S77" s="17">
        <f t="shared" si="26"/>
        <v>0.89739583333333339</v>
      </c>
      <c r="T77" s="17">
        <f t="shared" si="26"/>
        <v>0.82447916666666676</v>
      </c>
      <c r="U77" s="17">
        <f t="shared" si="26"/>
        <v>0.76197916666666665</v>
      </c>
      <c r="V77" s="17">
        <f t="shared" si="26"/>
        <v>1.0375000000000001</v>
      </c>
    </row>
    <row r="78" spans="1:22" ht="15.7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spans="1:22" ht="15.75">
      <c r="A79" s="8" t="s">
        <v>31</v>
      </c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</row>
    <row r="80" spans="1:22" ht="15.75">
      <c r="A80" s="13" t="s">
        <v>32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</row>
    <row r="81" spans="1:22" ht="15.75">
      <c r="A81" s="2"/>
      <c r="B81" s="11" t="s">
        <v>12</v>
      </c>
      <c r="C81" s="11" t="s">
        <v>27</v>
      </c>
      <c r="D81" s="15">
        <f>D10*設定!$C$25/60/設定!$B$7</f>
        <v>4.2812499999999996E-2</v>
      </c>
      <c r="E81" s="15">
        <f>E10*設定!$C$25/60/設定!$B$7</f>
        <v>4.8750000000000002E-2</v>
      </c>
      <c r="F81" s="15">
        <f>F10*設定!$C$25/60/設定!$B$7</f>
        <v>3.7187499999999998E-2</v>
      </c>
      <c r="G81" s="15">
        <f>G10*設定!$C$25/60/設定!$B$7</f>
        <v>3.4687499999999996E-2</v>
      </c>
      <c r="H81" s="15">
        <f>H10*設定!$C$25/60/設定!$B$7</f>
        <v>3.9687500000000001E-2</v>
      </c>
      <c r="I81" s="15">
        <f>I10*設定!$C$25/60/設定!$B$7</f>
        <v>6.25E-2</v>
      </c>
      <c r="J81" s="15">
        <f>J10*設定!$C$25/60/設定!$B$7</f>
        <v>5.9374999999999997E-2</v>
      </c>
      <c r="K81" s="15">
        <f>K10*設定!$C$25/60/設定!$B$7</f>
        <v>4.7500000000000001E-2</v>
      </c>
      <c r="L81" s="15">
        <f>L10*設定!$C$25/60/設定!$B$7</f>
        <v>5.3749999999999999E-2</v>
      </c>
      <c r="M81" s="15">
        <f>M10*設定!$C$25/60/設定!$B$7</f>
        <v>4.9687500000000002E-2</v>
      </c>
      <c r="N81" s="15">
        <f>N10*設定!$C$25/60/設定!$B$7</f>
        <v>4.71875E-2</v>
      </c>
      <c r="O81" s="15">
        <f>O10*設定!$C$25/60/設定!$B$7</f>
        <v>0.04</v>
      </c>
      <c r="P81" s="15">
        <f>P10*設定!$C$25/60/設定!$B$7</f>
        <v>4.2499999999999996E-2</v>
      </c>
      <c r="Q81" s="15">
        <f>Q10*設定!$C$25/60/設定!$B$7</f>
        <v>3.3437499999999995E-2</v>
      </c>
      <c r="R81" s="15">
        <f>R10*設定!$C$25/60/設定!$B$7</f>
        <v>3.4687499999999996E-2</v>
      </c>
      <c r="S81" s="15">
        <f>S10*設定!$C$25/60/設定!$B$7</f>
        <v>4.2812499999999996E-2</v>
      </c>
      <c r="T81" s="15">
        <f>T10*設定!$C$25/60/設定!$B$7</f>
        <v>4.71875E-2</v>
      </c>
      <c r="U81" s="15">
        <f>U10*設定!$C$25/60/設定!$B$7</f>
        <v>4.9687500000000002E-2</v>
      </c>
      <c r="V81" s="15">
        <f>V10*設定!$C$25/60/設定!$B$7</f>
        <v>3.3437499999999995E-2</v>
      </c>
    </row>
    <row r="82" spans="1:22" ht="15.75">
      <c r="A82" s="2"/>
      <c r="B82" s="11" t="s">
        <v>19</v>
      </c>
      <c r="C82" s="11" t="s">
        <v>27</v>
      </c>
      <c r="D82" s="15">
        <f>D15*設定!$C$26/60/設定!$B$7</f>
        <v>0.15104166666666669</v>
      </c>
      <c r="E82" s="15">
        <f>E15*設定!$C$26/60/設定!$B$7</f>
        <v>0.20416666666666666</v>
      </c>
      <c r="F82" s="15">
        <f>F15*設定!$C$26/60/設定!$B$7</f>
        <v>0.1125</v>
      </c>
      <c r="G82" s="15">
        <f>G15*設定!$C$26/60/設定!$B$7</f>
        <v>0.18124999999999999</v>
      </c>
      <c r="H82" s="15">
        <f>H15*設定!$C$26/60/設定!$B$7</f>
        <v>0.18437500000000001</v>
      </c>
      <c r="I82" s="15">
        <f>I15*設定!$C$26/60/設定!$B$7</f>
        <v>0.14583333333333331</v>
      </c>
      <c r="J82" s="15">
        <f>J15*設定!$C$26/60/設定!$B$7</f>
        <v>0.15</v>
      </c>
      <c r="K82" s="15">
        <f>K15*設定!$C$26/60/設定!$B$7</f>
        <v>0.11458333333333333</v>
      </c>
      <c r="L82" s="15">
        <f>L15*設定!$C$26/60/設定!$B$7</f>
        <v>0.11979166666666667</v>
      </c>
      <c r="M82" s="15">
        <f>M15*設定!$C$26/60/設定!$B$7</f>
        <v>0.14270833333333333</v>
      </c>
      <c r="N82" s="15">
        <f>N15*設定!$C$26/60/設定!$B$7</f>
        <v>0.13750000000000001</v>
      </c>
      <c r="O82" s="15">
        <f>O15*設定!$C$26/60/設定!$B$7</f>
        <v>0.12604166666666666</v>
      </c>
      <c r="P82" s="15">
        <f>P15*設定!$C$26/60/設定!$B$7</f>
        <v>0.13958333333333334</v>
      </c>
      <c r="Q82" s="15">
        <f>Q15*設定!$C$26/60/設定!$B$7</f>
        <v>0.12916666666666668</v>
      </c>
      <c r="R82" s="15">
        <f>R15*設定!$C$26/60/設定!$B$7</f>
        <v>0.11770833333333333</v>
      </c>
      <c r="S82" s="15">
        <f>S15*設定!$C$26/60/設定!$B$7</f>
        <v>0.17395833333333333</v>
      </c>
      <c r="T82" s="15">
        <f>T15*設定!$C$26/60/設定!$B$7</f>
        <v>0.10729166666666667</v>
      </c>
      <c r="U82" s="15">
        <f>U15*設定!$C$26/60/設定!$B$7</f>
        <v>0.17291666666666666</v>
      </c>
      <c r="V82" s="15">
        <f>V15*設定!$C$26/60/設定!$B$7</f>
        <v>0.19687499999999999</v>
      </c>
    </row>
    <row r="83" spans="1:22" ht="15.75">
      <c r="A83" s="2"/>
      <c r="B83" s="11" t="s">
        <v>20</v>
      </c>
      <c r="C83" s="11" t="s">
        <v>27</v>
      </c>
      <c r="D83" s="15">
        <f>D20*設定!$C$27/60/設定!$B$7</f>
        <v>0.12916666666666668</v>
      </c>
      <c r="E83" s="15">
        <f>E20*設定!$C$27/60/設定!$B$7</f>
        <v>8.7499999999999994E-2</v>
      </c>
      <c r="F83" s="15">
        <f>F20*設定!$C$27/60/設定!$B$7</f>
        <v>9.8333333333333328E-2</v>
      </c>
      <c r="G83" s="15">
        <f>G20*設定!$C$27/60/設定!$B$7</f>
        <v>0.10249999999999999</v>
      </c>
      <c r="H83" s="15">
        <f>H20*設定!$C$27/60/設定!$B$7</f>
        <v>0.11750000000000001</v>
      </c>
      <c r="I83" s="15">
        <f>I20*設定!$C$27/60/設定!$B$7</f>
        <v>0.15416666666666667</v>
      </c>
      <c r="J83" s="15">
        <f>J20*設定!$C$27/60/設定!$B$7</f>
        <v>9.0833333333333335E-2</v>
      </c>
      <c r="K83" s="15">
        <f>K20*設定!$C$27/60/設定!$B$7</f>
        <v>0.11416666666666667</v>
      </c>
      <c r="L83" s="15">
        <f>L20*設定!$C$27/60/設定!$B$7</f>
        <v>9.5000000000000001E-2</v>
      </c>
      <c r="M83" s="15">
        <f>M20*設定!$C$27/60/設定!$B$7</f>
        <v>0.16499999999999998</v>
      </c>
      <c r="N83" s="15">
        <f>N20*設定!$C$27/60/設定!$B$7</f>
        <v>8.7499999999999994E-2</v>
      </c>
      <c r="O83" s="15">
        <f>O20*設定!$C$27/60/設定!$B$7</f>
        <v>0.16250000000000001</v>
      </c>
      <c r="P83" s="15">
        <f>P20*設定!$C$27/60/設定!$B$7</f>
        <v>0.16583333333333333</v>
      </c>
      <c r="Q83" s="15">
        <f>Q20*設定!$C$27/60/設定!$B$7</f>
        <v>0.10333333333333335</v>
      </c>
      <c r="R83" s="15">
        <f>R20*設定!$C$27/60/設定!$B$7</f>
        <v>0.11499999999999999</v>
      </c>
      <c r="S83" s="15">
        <f>S20*設定!$C$27/60/設定!$B$7</f>
        <v>0.16083333333333333</v>
      </c>
      <c r="T83" s="15">
        <f>T20*設定!$C$27/60/設定!$B$7</f>
        <v>8.4999999999999992E-2</v>
      </c>
      <c r="U83" s="15">
        <f>U20*設定!$C$27/60/設定!$B$7</f>
        <v>0.155</v>
      </c>
      <c r="V83" s="15">
        <f>V20*設定!$C$27/60/設定!$B$7</f>
        <v>9.3333333333333338E-2</v>
      </c>
    </row>
    <row r="84" spans="1:22" ht="15.75">
      <c r="A84" s="2"/>
      <c r="B84" s="11" t="s">
        <v>21</v>
      </c>
      <c r="C84" s="11" t="s">
        <v>27</v>
      </c>
      <c r="D84" s="15">
        <f>D25*設定!$C$28/60/設定!$B$7</f>
        <v>8.3333333333333343E-2</v>
      </c>
      <c r="E84" s="15">
        <f>E25*設定!$C$28/60/設定!$B$7</f>
        <v>0.11083333333333334</v>
      </c>
      <c r="F84" s="15">
        <f>F25*設定!$C$28/60/設定!$B$7</f>
        <v>0.13750000000000001</v>
      </c>
      <c r="G84" s="15">
        <f>G25*設定!$C$28/60/設定!$B$7</f>
        <v>0.14750000000000002</v>
      </c>
      <c r="H84" s="15">
        <f>H25*設定!$C$28/60/設定!$B$7</f>
        <v>9.583333333333334E-2</v>
      </c>
      <c r="I84" s="15">
        <f>I25*設定!$C$28/60/設定!$B$7</f>
        <v>0.11333333333333333</v>
      </c>
      <c r="J84" s="15">
        <f>J25*設定!$C$28/60/設定!$B$7</f>
        <v>0.14666666666666667</v>
      </c>
      <c r="K84" s="15">
        <f>K25*設定!$C$28/60/設定!$B$7</f>
        <v>0.16</v>
      </c>
      <c r="L84" s="15">
        <f>L25*設定!$C$28/60/設定!$B$7</f>
        <v>8.9166666666666672E-2</v>
      </c>
      <c r="M84" s="15">
        <f>M25*設定!$C$28/60/設定!$B$7</f>
        <v>0.09</v>
      </c>
      <c r="N84" s="15">
        <f>N25*設定!$C$28/60/設定!$B$7</f>
        <v>0.12</v>
      </c>
      <c r="O84" s="15">
        <f>O25*設定!$C$28/60/設定!$B$7</f>
        <v>8.4166666666666667E-2</v>
      </c>
      <c r="P84" s="15">
        <f>P25*設定!$C$28/60/設定!$B$7</f>
        <v>0.09</v>
      </c>
      <c r="Q84" s="15">
        <f>Q25*設定!$C$28/60/設定!$B$7</f>
        <v>0.13416666666666666</v>
      </c>
      <c r="R84" s="15">
        <f>R25*設定!$C$28/60/設定!$B$7</f>
        <v>0.16416666666666666</v>
      </c>
      <c r="S84" s="15">
        <f>S25*設定!$C$28/60/設定!$B$7</f>
        <v>0.1575</v>
      </c>
      <c r="T84" s="15">
        <f>T25*設定!$C$28/60/設定!$B$7</f>
        <v>0.11000000000000001</v>
      </c>
      <c r="U84" s="15">
        <f>U25*設定!$C$28/60/設定!$B$7</f>
        <v>9.8333333333333328E-2</v>
      </c>
      <c r="V84" s="15">
        <f>V25*設定!$C$28/60/設定!$B$7</f>
        <v>0.12666666666666665</v>
      </c>
    </row>
    <row r="85" spans="1:22" ht="15.75">
      <c r="A85" s="2"/>
      <c r="B85" s="11" t="s">
        <v>22</v>
      </c>
      <c r="C85" s="11" t="s">
        <v>27</v>
      </c>
      <c r="D85" s="15">
        <f>D30*設定!$C$29/60/設定!$B$7</f>
        <v>0.10500000000000001</v>
      </c>
      <c r="E85" s="15">
        <f>E30*設定!$C$29/60/設定!$B$7</f>
        <v>0.15583333333333332</v>
      </c>
      <c r="F85" s="15">
        <f>F30*設定!$C$29/60/設定!$B$7</f>
        <v>0.13750000000000001</v>
      </c>
      <c r="G85" s="15">
        <f>G30*設定!$C$29/60/設定!$B$7</f>
        <v>8.8333333333333333E-2</v>
      </c>
      <c r="H85" s="15">
        <f>H30*設定!$C$29/60/設定!$B$7</f>
        <v>9.7500000000000003E-2</v>
      </c>
      <c r="I85" s="15">
        <f>I30*設定!$C$29/60/設定!$B$7</f>
        <v>0.10416666666666667</v>
      </c>
      <c r="J85" s="15">
        <f>J30*設定!$C$29/60/設定!$B$7</f>
        <v>0.16250000000000001</v>
      </c>
      <c r="K85" s="15">
        <f>K30*設定!$C$29/60/設定!$B$7</f>
        <v>0.15083333333333332</v>
      </c>
      <c r="L85" s="15">
        <f>L30*設定!$C$29/60/設定!$B$7</f>
        <v>0.12166666666666666</v>
      </c>
      <c r="M85" s="15">
        <f>M30*設定!$C$29/60/設定!$B$7</f>
        <v>0.11499999999999999</v>
      </c>
      <c r="N85" s="15">
        <f>N30*設定!$C$29/60/設定!$B$7</f>
        <v>0.15333333333333335</v>
      </c>
      <c r="O85" s="15">
        <f>O30*設定!$C$29/60/設定!$B$7</f>
        <v>8.7499999999999994E-2</v>
      </c>
      <c r="P85" s="15">
        <f>P30*設定!$C$29/60/設定!$B$7</f>
        <v>0.15166666666666667</v>
      </c>
      <c r="Q85" s="15">
        <f>Q30*設定!$C$29/60/設定!$B$7</f>
        <v>0.10166666666666666</v>
      </c>
      <c r="R85" s="15">
        <f>R30*設定!$C$29/60/設定!$B$7</f>
        <v>0.09</v>
      </c>
      <c r="S85" s="15">
        <f>S30*設定!$C$29/60/設定!$B$7</f>
        <v>0.13083333333333333</v>
      </c>
      <c r="T85" s="15">
        <f>T30*設定!$C$29/60/設定!$B$7</f>
        <v>0.10833333333333332</v>
      </c>
      <c r="U85" s="15">
        <f>U30*設定!$C$29/60/設定!$B$7</f>
        <v>0.16666666666666669</v>
      </c>
      <c r="V85" s="15">
        <f>V30*設定!$C$29/60/設定!$B$7</f>
        <v>0.16250000000000001</v>
      </c>
    </row>
    <row r="86" spans="1:22" ht="15.75">
      <c r="A86" s="2"/>
      <c r="B86" s="11" t="s">
        <v>23</v>
      </c>
      <c r="C86" s="11" t="s">
        <v>27</v>
      </c>
      <c r="D86" s="15">
        <f>D35*設定!$C$30/60/設定!$B$7</f>
        <v>9.8437499999999997E-2</v>
      </c>
      <c r="E86" s="15">
        <f>E35*設定!$C$30/60/設定!$B$7</f>
        <v>8.2812499999999997E-2</v>
      </c>
      <c r="F86" s="15">
        <f>F35*設定!$C$30/60/設定!$B$7</f>
        <v>5.6250000000000001E-2</v>
      </c>
      <c r="G86" s="15">
        <f>G35*設定!$C$30/60/設定!$B$7</f>
        <v>6.822916666666666E-2</v>
      </c>
      <c r="H86" s="15">
        <f>H35*設定!$C$30/60/設定!$B$7</f>
        <v>6.822916666666666E-2</v>
      </c>
      <c r="I86" s="15">
        <f>I35*設定!$C$30/60/設定!$B$7</f>
        <v>9.2187500000000006E-2</v>
      </c>
      <c r="J86" s="15">
        <f>J35*設定!$C$30/60/設定!$B$7</f>
        <v>9.5312499999999994E-2</v>
      </c>
      <c r="K86" s="15">
        <f>K35*設定!$C$30/60/設定!$B$7</f>
        <v>0.10104166666666667</v>
      </c>
      <c r="L86" s="15">
        <f>L35*設定!$C$30/60/設定!$B$7</f>
        <v>5.3124999999999999E-2</v>
      </c>
      <c r="M86" s="15">
        <f>M35*設定!$C$30/60/設定!$B$7</f>
        <v>0.10104166666666667</v>
      </c>
      <c r="N86" s="15">
        <f>N35*設定!$C$30/60/設定!$B$7</f>
        <v>8.2812499999999997E-2</v>
      </c>
      <c r="O86" s="15">
        <f>O35*設定!$C$30/60/設定!$B$7</f>
        <v>9.166666666666666E-2</v>
      </c>
      <c r="P86" s="15">
        <f>P35*設定!$C$30/60/設定!$B$7</f>
        <v>9.947916666666666E-2</v>
      </c>
      <c r="Q86" s="15">
        <f>Q35*設定!$C$30/60/設定!$B$7</f>
        <v>9.1145833333333343E-2</v>
      </c>
      <c r="R86" s="15">
        <f>R35*設定!$C$30/60/設定!$B$7</f>
        <v>9.6875000000000003E-2</v>
      </c>
      <c r="S86" s="15">
        <f>S35*設定!$C$30/60/設定!$B$7</f>
        <v>9.8437499999999997E-2</v>
      </c>
      <c r="T86" s="15">
        <f>T35*設定!$C$30/60/設定!$B$7</f>
        <v>9.2187500000000006E-2</v>
      </c>
      <c r="U86" s="15">
        <f>U35*設定!$C$30/60/設定!$B$7</f>
        <v>8.4375000000000006E-2</v>
      </c>
      <c r="V86" s="15">
        <f>V35*設定!$C$30/60/設定!$B$7</f>
        <v>8.2812499999999997E-2</v>
      </c>
    </row>
    <row r="87" spans="1:22" ht="15.75">
      <c r="A87" s="2"/>
      <c r="B87" s="4" t="s">
        <v>24</v>
      </c>
      <c r="C87" s="4" t="s">
        <v>27</v>
      </c>
      <c r="D87" s="16">
        <f t="shared" ref="D87:V87" si="27">SUM(D81:D86)</f>
        <v>0.60979166666666662</v>
      </c>
      <c r="E87" s="16">
        <f t="shared" si="27"/>
        <v>0.68989583333333337</v>
      </c>
      <c r="F87" s="16">
        <f t="shared" si="27"/>
        <v>0.57927083333333329</v>
      </c>
      <c r="G87" s="16">
        <f t="shared" si="27"/>
        <v>0.62250000000000005</v>
      </c>
      <c r="H87" s="16">
        <f t="shared" si="27"/>
        <v>0.60312500000000002</v>
      </c>
      <c r="I87" s="16">
        <f t="shared" si="27"/>
        <v>0.67218749999999994</v>
      </c>
      <c r="J87" s="16">
        <f t="shared" si="27"/>
        <v>0.70468750000000002</v>
      </c>
      <c r="K87" s="16">
        <f t="shared" si="27"/>
        <v>0.6881250000000001</v>
      </c>
      <c r="L87" s="16">
        <f t="shared" si="27"/>
        <v>0.53249999999999997</v>
      </c>
      <c r="M87" s="16">
        <f t="shared" si="27"/>
        <v>0.66343750000000001</v>
      </c>
      <c r="N87" s="16">
        <f t="shared" si="27"/>
        <v>0.6283333333333333</v>
      </c>
      <c r="O87" s="16">
        <f t="shared" si="27"/>
        <v>0.59187500000000004</v>
      </c>
      <c r="P87" s="16">
        <f t="shared" si="27"/>
        <v>0.68906250000000002</v>
      </c>
      <c r="Q87" s="16">
        <f t="shared" si="27"/>
        <v>0.59291666666666665</v>
      </c>
      <c r="R87" s="16">
        <f t="shared" si="27"/>
        <v>0.61843749999999997</v>
      </c>
      <c r="S87" s="16">
        <f t="shared" si="27"/>
        <v>0.76437499999999992</v>
      </c>
      <c r="T87" s="16">
        <f t="shared" si="27"/>
        <v>0.55000000000000004</v>
      </c>
      <c r="U87" s="16">
        <f t="shared" si="27"/>
        <v>0.72697916666666662</v>
      </c>
      <c r="V87" s="16">
        <f t="shared" si="27"/>
        <v>0.69562499999999994</v>
      </c>
    </row>
    <row r="88" spans="1:22" ht="15.75">
      <c r="A88" s="13" t="s">
        <v>33</v>
      </c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</row>
    <row r="89" spans="1:22" ht="15.75">
      <c r="A89" s="2"/>
      <c r="B89" s="11" t="s">
        <v>12</v>
      </c>
      <c r="C89" s="11" t="s">
        <v>27</v>
      </c>
      <c r="D89" s="15">
        <f>D12*設定!$C$25/60/設定!$B$7</f>
        <v>3.2812500000000001E-2</v>
      </c>
      <c r="E89" s="15">
        <f>E12*設定!$C$25/60/設定!$B$7</f>
        <v>4.0625000000000001E-2</v>
      </c>
      <c r="F89" s="15">
        <f>F12*設定!$C$25/60/設定!$B$7</f>
        <v>4.2187500000000003E-2</v>
      </c>
      <c r="G89" s="15">
        <f>G12*設定!$C$25/60/設定!$B$7</f>
        <v>4.7812500000000001E-2</v>
      </c>
      <c r="H89" s="15">
        <f>H12*設定!$C$25/60/設定!$B$7</f>
        <v>3.9687500000000001E-2</v>
      </c>
      <c r="I89" s="15">
        <f>I12*設定!$C$25/60/設定!$B$7</f>
        <v>5.8125000000000003E-2</v>
      </c>
      <c r="J89" s="15">
        <f>J12*設定!$C$25/60/設定!$B$7</f>
        <v>3.9687500000000001E-2</v>
      </c>
      <c r="K89" s="15">
        <f>K12*設定!$C$25/60/設定!$B$7</f>
        <v>3.5937499999999997E-2</v>
      </c>
      <c r="L89" s="15">
        <f>L12*設定!$C$25/60/設定!$B$7</f>
        <v>6.0937499999999999E-2</v>
      </c>
      <c r="M89" s="15">
        <f>M12*設定!$C$25/60/設定!$B$7</f>
        <v>3.2187500000000001E-2</v>
      </c>
      <c r="N89" s="15">
        <f>N12*設定!$C$25/60/設定!$B$7</f>
        <v>4.5624999999999999E-2</v>
      </c>
      <c r="O89" s="15">
        <f>O12*設定!$C$25/60/設定!$B$7</f>
        <v>4.0625000000000001E-2</v>
      </c>
      <c r="P89" s="15">
        <f>P12*設定!$C$25/60/設定!$B$7</f>
        <v>4.9062499999999995E-2</v>
      </c>
      <c r="Q89" s="15">
        <f>Q12*設定!$C$25/60/設定!$B$7</f>
        <v>3.875E-2</v>
      </c>
      <c r="R89" s="15">
        <f>R12*設定!$C$25/60/設定!$B$7</f>
        <v>5.3124999999999999E-2</v>
      </c>
      <c r="S89" s="15">
        <f>S12*設定!$C$25/60/設定!$B$7</f>
        <v>5.7499999999999996E-2</v>
      </c>
      <c r="T89" s="15">
        <f>T12*設定!$C$25/60/設定!$B$7</f>
        <v>4.9062499999999995E-2</v>
      </c>
      <c r="U89" s="15">
        <f>U12*設定!$C$25/60/設定!$B$7</f>
        <v>4.9687500000000002E-2</v>
      </c>
      <c r="V89" s="15">
        <f>V12*設定!$C$25/60/設定!$B$7</f>
        <v>3.15625E-2</v>
      </c>
    </row>
    <row r="90" spans="1:22" ht="15.75">
      <c r="A90" s="2"/>
      <c r="B90" s="11" t="s">
        <v>19</v>
      </c>
      <c r="C90" s="11" t="s">
        <v>27</v>
      </c>
      <c r="D90" s="15">
        <f>D17*設定!$C$26/60/設定!$B$7</f>
        <v>0.11354166666666668</v>
      </c>
      <c r="E90" s="15">
        <f>E17*設定!$C$26/60/設定!$B$7</f>
        <v>0.16875000000000001</v>
      </c>
      <c r="F90" s="15">
        <f>F17*設定!$C$26/60/設定!$B$7</f>
        <v>0.14791666666666667</v>
      </c>
      <c r="G90" s="15">
        <f>G17*設定!$C$26/60/設定!$B$7</f>
        <v>0.17395833333333333</v>
      </c>
      <c r="H90" s="15">
        <f>H17*設定!$C$26/60/設定!$B$7</f>
        <v>0.1125</v>
      </c>
      <c r="I90" s="15">
        <f>I17*設定!$C$26/60/設定!$B$7</f>
        <v>0.12083333333333332</v>
      </c>
      <c r="J90" s="15">
        <f>J17*設定!$C$26/60/設定!$B$7</f>
        <v>0.11041666666666668</v>
      </c>
      <c r="K90" s="15">
        <f>K17*設定!$C$26/60/設定!$B$7</f>
        <v>0.20208333333333334</v>
      </c>
      <c r="L90" s="15">
        <f>L17*設定!$C$26/60/設定!$B$7</f>
        <v>0.19270833333333331</v>
      </c>
      <c r="M90" s="15">
        <f>M17*設定!$C$26/60/設定!$B$7</f>
        <v>0.13020833333333331</v>
      </c>
      <c r="N90" s="15">
        <f>N17*設定!$C$26/60/設定!$B$7</f>
        <v>0.17083333333333334</v>
      </c>
      <c r="O90" s="15">
        <f>O17*設定!$C$26/60/設定!$B$7</f>
        <v>0.11458333333333333</v>
      </c>
      <c r="P90" s="15">
        <f>P17*設定!$C$26/60/設定!$B$7</f>
        <v>0.10416666666666667</v>
      </c>
      <c r="Q90" s="15">
        <f>Q17*設定!$C$26/60/設定!$B$7</f>
        <v>0.17604166666666668</v>
      </c>
      <c r="R90" s="15">
        <f>R17*設定!$C$26/60/設定!$B$7</f>
        <v>0.10625</v>
      </c>
      <c r="S90" s="15">
        <f>S17*設定!$C$26/60/設定!$B$7</f>
        <v>0.16041666666666668</v>
      </c>
      <c r="T90" s="15">
        <f>T17*設定!$C$26/60/設定!$B$7</f>
        <v>0.11354166666666668</v>
      </c>
      <c r="U90" s="15">
        <f>U17*設定!$C$26/60/設定!$B$7</f>
        <v>0.19166666666666668</v>
      </c>
      <c r="V90" s="15">
        <f>V17*設定!$C$26/60/設定!$B$7</f>
        <v>0.11458333333333333</v>
      </c>
    </row>
    <row r="91" spans="1:22" ht="15.75">
      <c r="A91" s="2"/>
      <c r="B91" s="11" t="s">
        <v>20</v>
      </c>
      <c r="C91" s="11" t="s">
        <v>27</v>
      </c>
      <c r="D91" s="15">
        <f>D22*設定!$C$27/60/設定!$B$7</f>
        <v>9.3333333333333338E-2</v>
      </c>
      <c r="E91" s="15">
        <f>E22*設定!$C$27/60/設定!$B$7</f>
        <v>0.12333333333333334</v>
      </c>
      <c r="F91" s="15">
        <f>F22*設定!$C$27/60/設定!$B$7</f>
        <v>9.8333333333333328E-2</v>
      </c>
      <c r="G91" s="15">
        <f>G22*設定!$C$27/60/設定!$B$7</f>
        <v>0.10249999999999999</v>
      </c>
      <c r="H91" s="15">
        <f>H22*設定!$C$27/60/設定!$B$7</f>
        <v>0.11750000000000001</v>
      </c>
      <c r="I91" s="15">
        <f>I22*設定!$C$27/60/設定!$B$7</f>
        <v>0.15416666666666667</v>
      </c>
      <c r="J91" s="15">
        <f>J22*設定!$C$27/60/設定!$B$7</f>
        <v>9.0833333333333335E-2</v>
      </c>
      <c r="K91" s="15">
        <f>K22*設定!$C$27/60/設定!$B$7</f>
        <v>0.11416666666666667</v>
      </c>
      <c r="L91" s="15">
        <f>L22*設定!$C$27/60/設定!$B$7</f>
        <v>9.5000000000000001E-2</v>
      </c>
      <c r="M91" s="15">
        <f>M22*設定!$C$27/60/設定!$B$7</f>
        <v>0.12166666666666666</v>
      </c>
      <c r="N91" s="15">
        <f>N22*設定!$C$27/60/設定!$B$7</f>
        <v>0.10833333333333332</v>
      </c>
      <c r="O91" s="15">
        <f>O22*設定!$C$27/60/設定!$B$7</f>
        <v>0.16583333333333333</v>
      </c>
      <c r="P91" s="15">
        <f>P22*設定!$C$27/60/設定!$B$7</f>
        <v>0.15083333333333332</v>
      </c>
      <c r="Q91" s="15">
        <f>Q22*設定!$C$27/60/設定!$B$7</f>
        <v>0.13250000000000001</v>
      </c>
      <c r="R91" s="15">
        <f>R22*設定!$C$27/60/設定!$B$7</f>
        <v>0.11166666666666666</v>
      </c>
      <c r="S91" s="15">
        <f>S22*設定!$C$27/60/設定!$B$7</f>
        <v>9.7500000000000003E-2</v>
      </c>
      <c r="T91" s="15">
        <f>T22*設定!$C$27/60/設定!$B$7</f>
        <v>0.10916666666666666</v>
      </c>
      <c r="U91" s="15">
        <f>U22*設定!$C$27/60/設定!$B$7</f>
        <v>0.14250000000000002</v>
      </c>
      <c r="V91" s="15">
        <f>V22*設定!$C$27/60/設定!$B$7</f>
        <v>0.11166666666666666</v>
      </c>
    </row>
    <row r="92" spans="1:22" ht="15.75">
      <c r="A92" s="2"/>
      <c r="B92" s="11" t="s">
        <v>21</v>
      </c>
      <c r="C92" s="11" t="s">
        <v>27</v>
      </c>
      <c r="D92" s="15">
        <f>D27*設定!$C$28/60/設定!$B$7</f>
        <v>8.3333333333333343E-2</v>
      </c>
      <c r="E92" s="15">
        <f>E27*設定!$C$28/60/設定!$B$7</f>
        <v>0.11083333333333334</v>
      </c>
      <c r="F92" s="15">
        <f>F27*設定!$C$28/60/設定!$B$7</f>
        <v>0.1075</v>
      </c>
      <c r="G92" s="15">
        <f>G27*設定!$C$28/60/設定!$B$7</f>
        <v>0.11833333333333333</v>
      </c>
      <c r="H92" s="15">
        <f>H27*設定!$C$28/60/設定!$B$7</f>
        <v>0.13999999999999999</v>
      </c>
      <c r="I92" s="15">
        <f>I27*設定!$C$28/60/設定!$B$7</f>
        <v>0.11583333333333334</v>
      </c>
      <c r="J92" s="15">
        <f>J27*設定!$C$28/60/設定!$B$7</f>
        <v>8.7499999999999994E-2</v>
      </c>
      <c r="K92" s="15">
        <f>K27*設定!$C$28/60/設定!$B$7</f>
        <v>0.11333333333333333</v>
      </c>
      <c r="L92" s="15">
        <f>L27*設定!$C$28/60/設定!$B$7</f>
        <v>0.13750000000000001</v>
      </c>
      <c r="M92" s="15">
        <f>M27*設定!$C$28/60/設定!$B$7</f>
        <v>8.666666666666667E-2</v>
      </c>
      <c r="N92" s="15">
        <f>N27*設定!$C$28/60/設定!$B$7</f>
        <v>9.3333333333333338E-2</v>
      </c>
      <c r="O92" s="15">
        <f>O27*設定!$C$28/60/設定!$B$7</f>
        <v>0.13</v>
      </c>
      <c r="P92" s="15">
        <f>P27*設定!$C$28/60/設定!$B$7</f>
        <v>0.1275</v>
      </c>
      <c r="Q92" s="15">
        <f>Q27*設定!$C$28/60/設定!$B$7</f>
        <v>0.10583333333333333</v>
      </c>
      <c r="R92" s="15">
        <f>R27*設定!$C$28/60/設定!$B$7</f>
        <v>0.12250000000000001</v>
      </c>
      <c r="S92" s="15">
        <f>S27*設定!$C$28/60/設定!$B$7</f>
        <v>9.8333333333333328E-2</v>
      </c>
      <c r="T92" s="15">
        <f>T27*設定!$C$28/60/設定!$B$7</f>
        <v>0.10500000000000001</v>
      </c>
      <c r="U92" s="15">
        <f>U27*設定!$C$28/60/設定!$B$7</f>
        <v>0.12666666666666665</v>
      </c>
      <c r="V92" s="15">
        <f>V27*設定!$C$28/60/設定!$B$7</f>
        <v>9.9166666666666667E-2</v>
      </c>
    </row>
    <row r="93" spans="1:22" ht="15.75">
      <c r="A93" s="2"/>
      <c r="B93" s="11" t="s">
        <v>22</v>
      </c>
      <c r="C93" s="11" t="s">
        <v>27</v>
      </c>
      <c r="D93" s="15">
        <f>D32*設定!$C$29/60/設定!$B$7</f>
        <v>0.10500000000000001</v>
      </c>
      <c r="E93" s="15">
        <f>E32*設定!$C$29/60/設定!$B$7</f>
        <v>0.15583333333333332</v>
      </c>
      <c r="F93" s="15">
        <f>F32*設定!$C$29/60/設定!$B$7</f>
        <v>0.13750000000000001</v>
      </c>
      <c r="G93" s="15">
        <f>G32*設定!$C$29/60/設定!$B$7</f>
        <v>8.8333333333333333E-2</v>
      </c>
      <c r="H93" s="15">
        <f>H32*設定!$C$29/60/設定!$B$7</f>
        <v>9.7500000000000003E-2</v>
      </c>
      <c r="I93" s="15">
        <f>I32*設定!$C$29/60/設定!$B$7</f>
        <v>0.10416666666666667</v>
      </c>
      <c r="J93" s="15">
        <f>J32*設定!$C$29/60/設定!$B$7</f>
        <v>9.7500000000000003E-2</v>
      </c>
      <c r="K93" s="15">
        <f>K32*設定!$C$29/60/設定!$B$7</f>
        <v>0.13166666666666665</v>
      </c>
      <c r="L93" s="15">
        <f>L32*設定!$C$29/60/設定!$B$7</f>
        <v>0.10833333333333332</v>
      </c>
      <c r="M93" s="15">
        <f>M32*設定!$C$29/60/設定!$B$7</f>
        <v>0.15333333333333335</v>
      </c>
      <c r="N93" s="15">
        <f>N32*設定!$C$29/60/設定!$B$7</f>
        <v>9.6666666666666665E-2</v>
      </c>
      <c r="O93" s="15">
        <f>O32*設定!$C$29/60/設定!$B$7</f>
        <v>0.1125</v>
      </c>
      <c r="P93" s="15">
        <f>P32*設定!$C$29/60/設定!$B$7</f>
        <v>0.11416666666666667</v>
      </c>
      <c r="Q93" s="15">
        <f>Q32*設定!$C$29/60/設定!$B$7</f>
        <v>8.9166666666666672E-2</v>
      </c>
      <c r="R93" s="15">
        <f>R32*設定!$C$29/60/設定!$B$7</f>
        <v>0.13999999999999999</v>
      </c>
      <c r="S93" s="15">
        <f>S32*設定!$C$29/60/設定!$B$7</f>
        <v>8.3333333333333343E-2</v>
      </c>
      <c r="T93" s="15">
        <f>T32*設定!$C$29/60/設定!$B$7</f>
        <v>0.14916666666666667</v>
      </c>
      <c r="U93" s="15">
        <f>U32*設定!$C$29/60/設定!$B$7</f>
        <v>0.14416666666666667</v>
      </c>
      <c r="V93" s="15">
        <f>V32*設定!$C$29/60/設定!$B$7</f>
        <v>0.10249999999999999</v>
      </c>
    </row>
    <row r="94" spans="1:22" ht="15.75">
      <c r="A94" s="2"/>
      <c r="B94" s="11" t="s">
        <v>23</v>
      </c>
      <c r="C94" s="11" t="s">
        <v>27</v>
      </c>
      <c r="D94" s="15">
        <f>D37*設定!$C$30/60/設定!$B$7</f>
        <v>6.9791666666666669E-2</v>
      </c>
      <c r="E94" s="15">
        <f>E37*設定!$C$30/60/設定!$B$7</f>
        <v>8.2812499999999997E-2</v>
      </c>
      <c r="F94" s="15">
        <f>F37*設定!$C$30/60/設定!$B$7</f>
        <v>6.458333333333334E-2</v>
      </c>
      <c r="G94" s="15">
        <f>G37*設定!$C$30/60/設定!$B$7</f>
        <v>6.3020833333333331E-2</v>
      </c>
      <c r="H94" s="15">
        <f>H37*設定!$C$30/60/設定!$B$7</f>
        <v>8.2812499999999997E-2</v>
      </c>
      <c r="I94" s="15">
        <f>I37*設定!$C$30/60/設定!$B$7</f>
        <v>7.3437500000000003E-2</v>
      </c>
      <c r="J94" s="15">
        <f>J37*設定!$C$30/60/設定!$B$7</f>
        <v>7.7604166666666669E-2</v>
      </c>
      <c r="K94" s="15">
        <f>K37*設定!$C$30/60/設定!$B$7</f>
        <v>6.9791666666666669E-2</v>
      </c>
      <c r="L94" s="15">
        <f>L37*設定!$C$30/60/設定!$B$7</f>
        <v>8.3333333333333343E-2</v>
      </c>
      <c r="M94" s="15">
        <f>M37*設定!$C$30/60/設定!$B$7</f>
        <v>0.10208333333333333</v>
      </c>
      <c r="N94" s="15">
        <f>N37*設定!$C$30/60/設定!$B$7</f>
        <v>5.46875E-2</v>
      </c>
      <c r="O94" s="15">
        <f>O37*設定!$C$30/60/設定!$B$7</f>
        <v>7.9687499999999994E-2</v>
      </c>
      <c r="P94" s="15">
        <f>P37*設定!$C$30/60/設定!$B$7</f>
        <v>0.10104166666666667</v>
      </c>
      <c r="Q94" s="15">
        <f>Q37*設定!$C$30/60/設定!$B$7</f>
        <v>0.1</v>
      </c>
      <c r="R94" s="15">
        <f>R37*設定!$C$30/60/設定!$B$7</f>
        <v>0.10052083333333332</v>
      </c>
      <c r="S94" s="15">
        <f>S37*設定!$C$30/60/設定!$B$7</f>
        <v>8.3333333333333343E-2</v>
      </c>
      <c r="T94" s="15">
        <f>T37*設定!$C$30/60/設定!$B$7</f>
        <v>6.458333333333334E-2</v>
      </c>
      <c r="U94" s="15">
        <f>U37*設定!$C$30/60/設定!$B$7</f>
        <v>0.10312499999999999</v>
      </c>
      <c r="V94" s="15">
        <f>V37*設定!$C$30/60/設定!$B$7</f>
        <v>9.375E-2</v>
      </c>
    </row>
    <row r="95" spans="1:22" ht="15.75">
      <c r="A95" s="2"/>
      <c r="B95" s="4" t="s">
        <v>24</v>
      </c>
      <c r="C95" s="4" t="s">
        <v>27</v>
      </c>
      <c r="D95" s="16">
        <f t="shared" ref="D95:V95" si="28">SUM(D89:D94)</f>
        <v>0.49781249999999999</v>
      </c>
      <c r="E95" s="16">
        <f t="shared" si="28"/>
        <v>0.68218749999999995</v>
      </c>
      <c r="F95" s="16">
        <f t="shared" si="28"/>
        <v>0.59802083333333333</v>
      </c>
      <c r="G95" s="16">
        <f t="shared" si="28"/>
        <v>0.59395833333333337</v>
      </c>
      <c r="H95" s="16">
        <f t="shared" si="28"/>
        <v>0.59</v>
      </c>
      <c r="I95" s="16">
        <f t="shared" si="28"/>
        <v>0.62656250000000002</v>
      </c>
      <c r="J95" s="16">
        <f t="shared" si="28"/>
        <v>0.50354166666666678</v>
      </c>
      <c r="K95" s="16">
        <f t="shared" si="28"/>
        <v>0.66697916666666668</v>
      </c>
      <c r="L95" s="16">
        <f t="shared" si="28"/>
        <v>0.67781250000000004</v>
      </c>
      <c r="M95" s="16">
        <f t="shared" si="28"/>
        <v>0.62614583333333329</v>
      </c>
      <c r="N95" s="16">
        <f t="shared" si="28"/>
        <v>0.56947916666666665</v>
      </c>
      <c r="O95" s="16">
        <f t="shared" si="28"/>
        <v>0.64322916666666674</v>
      </c>
      <c r="P95" s="16">
        <f t="shared" si="28"/>
        <v>0.64677083333333341</v>
      </c>
      <c r="Q95" s="16">
        <f t="shared" si="28"/>
        <v>0.64229166666666659</v>
      </c>
      <c r="R95" s="16">
        <f t="shared" si="28"/>
        <v>0.63406249999999986</v>
      </c>
      <c r="S95" s="16">
        <f t="shared" si="28"/>
        <v>0.58041666666666669</v>
      </c>
      <c r="T95" s="16">
        <f t="shared" si="28"/>
        <v>0.59052083333333327</v>
      </c>
      <c r="U95" s="16">
        <f t="shared" si="28"/>
        <v>0.7578125</v>
      </c>
      <c r="V95" s="16">
        <f t="shared" si="28"/>
        <v>0.55322916666666666</v>
      </c>
    </row>
    <row r="96" spans="1:22" ht="15.75">
      <c r="A96" s="13" t="s">
        <v>34</v>
      </c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</row>
    <row r="97" spans="1:22" ht="15.75">
      <c r="A97" s="2"/>
      <c r="B97" s="11" t="s">
        <v>12</v>
      </c>
      <c r="C97" s="11" t="s">
        <v>27</v>
      </c>
      <c r="D97" s="15">
        <f>D11*設定!$C$25/60/設定!$B$7</f>
        <v>4.2812499999999996E-2</v>
      </c>
      <c r="E97" s="15">
        <f>E11*設定!$C$25/60/設定!$B$7</f>
        <v>5.8750000000000004E-2</v>
      </c>
      <c r="F97" s="15">
        <f>F11*設定!$C$25/60/設定!$B$7</f>
        <v>5.5312500000000001E-2</v>
      </c>
      <c r="G97" s="15">
        <f>G11*設定!$C$25/60/設定!$B$7</f>
        <v>4.7812500000000001E-2</v>
      </c>
      <c r="H97" s="15">
        <f>H11*設定!$C$25/60/設定!$B$7</f>
        <v>3.9687500000000001E-2</v>
      </c>
      <c r="I97" s="15">
        <f>I11*設定!$C$25/60/設定!$B$7</f>
        <v>6.25E-2</v>
      </c>
      <c r="J97" s="15">
        <f>J11*設定!$C$25/60/設定!$B$7</f>
        <v>6.3750000000000001E-2</v>
      </c>
      <c r="K97" s="15">
        <f>K11*設定!$C$25/60/設定!$B$7</f>
        <v>7.1562500000000001E-2</v>
      </c>
      <c r="L97" s="15">
        <f>L11*設定!$C$25/60/設定!$B$7</f>
        <v>8.937500000000001E-2</v>
      </c>
      <c r="M97" s="15">
        <f>M11*設定!$C$25/60/設定!$B$7</f>
        <v>7.8125E-2</v>
      </c>
      <c r="N97" s="15">
        <f>N11*設定!$C$25/60/設定!$B$7</f>
        <v>9.3124999999999999E-2</v>
      </c>
      <c r="O97" s="15">
        <f>O11*設定!$C$25/60/設定!$B$7</f>
        <v>8.7499999999999994E-2</v>
      </c>
      <c r="P97" s="15">
        <f>P11*設定!$C$25/60/設定!$B$7</f>
        <v>8.937500000000001E-2</v>
      </c>
      <c r="Q97" s="15">
        <f>Q11*設定!$C$25/60/設定!$B$7</f>
        <v>7.375000000000001E-2</v>
      </c>
      <c r="R97" s="15">
        <f>R11*設定!$C$25/60/設定!$B$7</f>
        <v>6.9687499999999999E-2</v>
      </c>
      <c r="S97" s="15">
        <f>S11*設定!$C$25/60/設定!$B$7</f>
        <v>5.9374999999999997E-2</v>
      </c>
      <c r="T97" s="15">
        <f>T11*設定!$C$25/60/設定!$B$7</f>
        <v>4.9062499999999995E-2</v>
      </c>
      <c r="U97" s="15">
        <f>U11*設定!$C$25/60/設定!$B$7</f>
        <v>4.9687500000000002E-2</v>
      </c>
      <c r="V97" s="15">
        <f>V11*設定!$C$25/60/設定!$B$7</f>
        <v>3.3437499999999995E-2</v>
      </c>
    </row>
    <row r="98" spans="1:22" ht="15.75">
      <c r="A98" s="2"/>
      <c r="B98" s="11" t="s">
        <v>19</v>
      </c>
      <c r="C98" s="11" t="s">
        <v>27</v>
      </c>
      <c r="D98" s="15">
        <f>D16*設定!$C$26/60/設定!$B$7</f>
        <v>0.15104166666666669</v>
      </c>
      <c r="E98" s="15">
        <f>E16*設定!$C$26/60/設定!$B$7</f>
        <v>0.24166666666666664</v>
      </c>
      <c r="F98" s="15">
        <f>F16*設定!$C$26/60/設定!$B$7</f>
        <v>0.18541666666666667</v>
      </c>
      <c r="G98" s="15">
        <f>G16*設定!$C$26/60/設定!$B$7</f>
        <v>0.21875</v>
      </c>
      <c r="H98" s="15">
        <f>H16*設定!$C$26/60/設定!$B$7</f>
        <v>0.22916666666666666</v>
      </c>
      <c r="I98" s="15">
        <f>I16*設定!$C$26/60/設定!$B$7</f>
        <v>0.26250000000000001</v>
      </c>
      <c r="J98" s="15">
        <f>J16*設定!$C$26/60/設定!$B$7</f>
        <v>0.29166666666666663</v>
      </c>
      <c r="K98" s="15">
        <f>K16*設定!$C$26/60/設定!$B$7</f>
        <v>0.29583333333333334</v>
      </c>
      <c r="L98" s="15">
        <f>L16*設定!$C$26/60/設定!$B$7</f>
        <v>0.21354166666666666</v>
      </c>
      <c r="M98" s="15">
        <f>M16*設定!$C$26/60/設定!$B$7</f>
        <v>0.16354166666666667</v>
      </c>
      <c r="N98" s="15">
        <f>N16*設定!$C$26/60/設定!$B$7</f>
        <v>0.17083333333333334</v>
      </c>
      <c r="O98" s="15">
        <f>O16*設定!$C$26/60/設定!$B$7</f>
        <v>0.12604166666666666</v>
      </c>
      <c r="P98" s="15">
        <f>P16*設定!$C$26/60/設定!$B$7</f>
        <v>0.15104166666666669</v>
      </c>
      <c r="Q98" s="15">
        <f>Q16*設定!$C$26/60/設定!$B$7</f>
        <v>0.17604166666666668</v>
      </c>
      <c r="R98" s="15">
        <f>R16*設定!$C$26/60/設定!$B$7</f>
        <v>0.11770833333333333</v>
      </c>
      <c r="S98" s="15">
        <f>S16*設定!$C$26/60/設定!$B$7</f>
        <v>0.18541666666666667</v>
      </c>
      <c r="T98" s="15">
        <f>T16*設定!$C$26/60/設定!$B$7</f>
        <v>0.13229166666666667</v>
      </c>
      <c r="U98" s="15">
        <f>U16*設定!$C$26/60/設定!$B$7</f>
        <v>0.19166666666666668</v>
      </c>
      <c r="V98" s="15">
        <f>V16*設定!$C$26/60/設定!$B$7</f>
        <v>0.19687499999999999</v>
      </c>
    </row>
    <row r="99" spans="1:22" ht="15.75">
      <c r="A99" s="2"/>
      <c r="B99" s="11" t="s">
        <v>20</v>
      </c>
      <c r="C99" s="11" t="s">
        <v>27</v>
      </c>
      <c r="D99" s="15">
        <f>D21*設定!$C$27/60/設定!$B$7</f>
        <v>0.12916666666666668</v>
      </c>
      <c r="E99" s="15">
        <f>E21*設定!$C$27/60/設定!$B$7</f>
        <v>0.12333333333333334</v>
      </c>
      <c r="F99" s="15">
        <f>F21*設定!$C$27/60/設定!$B$7</f>
        <v>9.8333333333333328E-2</v>
      </c>
      <c r="G99" s="15">
        <f>G21*設定!$C$27/60/設定!$B$7</f>
        <v>0.10249999999999999</v>
      </c>
      <c r="H99" s="15">
        <f>H21*設定!$C$27/60/設定!$B$7</f>
        <v>0.11750000000000001</v>
      </c>
      <c r="I99" s="15">
        <f>I21*設定!$C$27/60/設定!$B$7</f>
        <v>0.15416666666666667</v>
      </c>
      <c r="J99" s="15">
        <f>J21*設定!$C$27/60/設定!$B$7</f>
        <v>9.0833333333333335E-2</v>
      </c>
      <c r="K99" s="15">
        <f>K21*設定!$C$27/60/設定!$B$7</f>
        <v>0.11416666666666667</v>
      </c>
      <c r="L99" s="15">
        <f>L21*設定!$C$27/60/設定!$B$7</f>
        <v>9.5000000000000001E-2</v>
      </c>
      <c r="M99" s="15">
        <f>M21*設定!$C$27/60/設定!$B$7</f>
        <v>0.16499999999999998</v>
      </c>
      <c r="N99" s="15">
        <f>N21*設定!$C$27/60/設定!$B$7</f>
        <v>0.13083333333333333</v>
      </c>
      <c r="O99" s="15">
        <f>O21*設定!$C$27/60/設定!$B$7</f>
        <v>0.185</v>
      </c>
      <c r="P99" s="15">
        <f>P21*設定!$C$27/60/設定!$B$7</f>
        <v>0.185</v>
      </c>
      <c r="Q99" s="15">
        <f>Q21*設定!$C$27/60/設定!$B$7</f>
        <v>0.13750000000000001</v>
      </c>
      <c r="R99" s="15">
        <f>R21*設定!$C$27/60/設定!$B$7</f>
        <v>0.12</v>
      </c>
      <c r="S99" s="15">
        <f>S21*設定!$C$27/60/設定!$B$7</f>
        <v>0.16916666666666666</v>
      </c>
      <c r="T99" s="15">
        <f>T21*設定!$C$27/60/設定!$B$7</f>
        <v>0.15666666666666668</v>
      </c>
      <c r="U99" s="15">
        <f>U21*設定!$C$27/60/設定!$B$7</f>
        <v>0.20249999999999999</v>
      </c>
      <c r="V99" s="15">
        <f>V21*設定!$C$27/60/設定!$B$7</f>
        <v>0.15333333333333335</v>
      </c>
    </row>
    <row r="100" spans="1:22" ht="15.75">
      <c r="A100" s="2"/>
      <c r="B100" s="11" t="s">
        <v>21</v>
      </c>
      <c r="C100" s="11" t="s">
        <v>27</v>
      </c>
      <c r="D100" s="15">
        <f>D26*設定!$C$28/60/設定!$B$7</f>
        <v>8.3333333333333343E-2</v>
      </c>
      <c r="E100" s="15">
        <f>E26*設定!$C$28/60/設定!$B$7</f>
        <v>0.11083333333333334</v>
      </c>
      <c r="F100" s="15">
        <f>F26*設定!$C$28/60/設定!$B$7</f>
        <v>0.13750000000000001</v>
      </c>
      <c r="G100" s="15">
        <f>G26*設定!$C$28/60/設定!$B$7</f>
        <v>0.17749999999999999</v>
      </c>
      <c r="H100" s="15">
        <f>H26*設定!$C$28/60/設定!$B$7</f>
        <v>0.155</v>
      </c>
      <c r="I100" s="15">
        <f>I26*設定!$C$28/60/設定!$B$7</f>
        <v>0.12833333333333335</v>
      </c>
      <c r="J100" s="15">
        <f>J26*設定!$C$28/60/設定!$B$7</f>
        <v>0.15916666666666665</v>
      </c>
      <c r="K100" s="15">
        <f>K26*設定!$C$28/60/設定!$B$7</f>
        <v>0.23166666666666669</v>
      </c>
      <c r="L100" s="15">
        <f>L26*設定!$C$28/60/設定!$B$7</f>
        <v>0.20750000000000002</v>
      </c>
      <c r="M100" s="15">
        <f>M26*設定!$C$28/60/設定!$B$7</f>
        <v>0.16</v>
      </c>
      <c r="N100" s="15">
        <f>N26*設定!$C$28/60/設定!$B$7</f>
        <v>0.19333333333333333</v>
      </c>
      <c r="O100" s="15">
        <f>O26*設定!$C$28/60/設定!$B$7</f>
        <v>0.18416666666666665</v>
      </c>
      <c r="P100" s="15">
        <f>P26*設定!$C$28/60/設定!$B$7</f>
        <v>0.14416666666666667</v>
      </c>
      <c r="Q100" s="15">
        <f>Q26*設定!$C$28/60/設定!$B$7</f>
        <v>0.15083333333333332</v>
      </c>
      <c r="R100" s="15">
        <f>R26*設定!$C$28/60/設定!$B$7</f>
        <v>0.20916666666666667</v>
      </c>
      <c r="S100" s="15">
        <f>S26*設定!$C$28/60/設定!$B$7</f>
        <v>0.2441666666666667</v>
      </c>
      <c r="T100" s="15">
        <f>T26*設定!$C$28/60/設定!$B$7</f>
        <v>0.2558333333333333</v>
      </c>
      <c r="U100" s="15">
        <f>U26*設定!$C$28/60/設定!$B$7</f>
        <v>0.24916666666666668</v>
      </c>
      <c r="V100" s="15">
        <f>V26*設定!$C$28/60/設定!$B$7</f>
        <v>0.24916666666666668</v>
      </c>
    </row>
    <row r="101" spans="1:22" ht="15.75">
      <c r="A101" s="2"/>
      <c r="B101" s="11" t="s">
        <v>22</v>
      </c>
      <c r="C101" s="11" t="s">
        <v>27</v>
      </c>
      <c r="D101" s="15">
        <f>D31*設定!$C$29/60/設定!$B$7</f>
        <v>0.10500000000000001</v>
      </c>
      <c r="E101" s="15">
        <f>E31*設定!$C$29/60/設定!$B$7</f>
        <v>0.15583333333333332</v>
      </c>
      <c r="F101" s="15">
        <f>F31*設定!$C$29/60/設定!$B$7</f>
        <v>0.13750000000000001</v>
      </c>
      <c r="G101" s="15">
        <f>G31*設定!$C$29/60/設定!$B$7</f>
        <v>8.8333333333333333E-2</v>
      </c>
      <c r="H101" s="15">
        <f>H31*設定!$C$29/60/設定!$B$7</f>
        <v>9.7500000000000003E-2</v>
      </c>
      <c r="I101" s="15">
        <f>I31*設定!$C$29/60/設定!$B$7</f>
        <v>0.10416666666666667</v>
      </c>
      <c r="J101" s="15">
        <f>J31*設定!$C$29/60/設定!$B$7</f>
        <v>0.16250000000000001</v>
      </c>
      <c r="K101" s="15">
        <f>K31*設定!$C$29/60/設定!$B$7</f>
        <v>0.21583333333333332</v>
      </c>
      <c r="L101" s="15">
        <f>L31*設定!$C$29/60/設定!$B$7</f>
        <v>0.20583333333333331</v>
      </c>
      <c r="M101" s="15">
        <f>M31*設定!$C$29/60/設定!$B$7</f>
        <v>0.21249999999999999</v>
      </c>
      <c r="N101" s="15">
        <f>N31*設定!$C$29/60/設定!$B$7</f>
        <v>0.21249999999999999</v>
      </c>
      <c r="O101" s="15">
        <f>O31*設定!$C$29/60/設定!$B$7</f>
        <v>0.20333333333333331</v>
      </c>
      <c r="P101" s="15">
        <f>P31*設定!$C$29/60/設定!$B$7</f>
        <v>0.24249999999999999</v>
      </c>
      <c r="Q101" s="15">
        <f>Q31*設定!$C$29/60/設定!$B$7</f>
        <v>0.22999999999999998</v>
      </c>
      <c r="R101" s="15">
        <f>R31*設定!$C$29/60/設定!$B$7</f>
        <v>0.23083333333333331</v>
      </c>
      <c r="S101" s="15">
        <f>S31*設定!$C$29/60/設定!$B$7</f>
        <v>0.22166666666666668</v>
      </c>
      <c r="T101" s="15">
        <f>T31*設定!$C$29/60/設定!$B$7</f>
        <v>0.24666666666666667</v>
      </c>
      <c r="U101" s="15">
        <f>U31*設定!$C$29/60/設定!$B$7</f>
        <v>0.26416666666666666</v>
      </c>
      <c r="V101" s="15">
        <f>V31*設定!$C$29/60/設定!$B$7</f>
        <v>0.28250000000000003</v>
      </c>
    </row>
    <row r="102" spans="1:22" ht="15.75">
      <c r="A102" s="2"/>
      <c r="B102" s="11" t="s">
        <v>23</v>
      </c>
      <c r="C102" s="11" t="s">
        <v>27</v>
      </c>
      <c r="D102" s="15">
        <f>D36*設定!$C$30/60/設定!$B$7</f>
        <v>9.8437499999999997E-2</v>
      </c>
      <c r="E102" s="15">
        <f>E36*設定!$C$30/60/設定!$B$7</f>
        <v>0.11145833333333333</v>
      </c>
      <c r="F102" s="15">
        <f>F36*設定!$C$30/60/設定!$B$7</f>
        <v>8.4895833333333337E-2</v>
      </c>
      <c r="G102" s="15">
        <f>G36*設定!$C$30/60/設定!$B$7</f>
        <v>8.8541666666666657E-2</v>
      </c>
      <c r="H102" s="15">
        <f>H36*設定!$C$30/60/設定!$B$7</f>
        <v>9.375E-2</v>
      </c>
      <c r="I102" s="15">
        <f>I36*設定!$C$30/60/設定!$B$7</f>
        <v>0.10312499999999999</v>
      </c>
      <c r="J102" s="15">
        <f>J36*設定!$C$30/60/設定!$B$7</f>
        <v>0.125</v>
      </c>
      <c r="K102" s="15">
        <f>K36*設定!$C$30/60/設定!$B$7</f>
        <v>0.1484375</v>
      </c>
      <c r="L102" s="15">
        <f>L36*設定!$C$30/60/設定!$B$7</f>
        <v>0.13177083333333334</v>
      </c>
      <c r="M102" s="15">
        <f>M36*設定!$C$30/60/設定!$B$7</f>
        <v>0.14947916666666666</v>
      </c>
      <c r="N102" s="15">
        <f>N36*設定!$C$30/60/設定!$B$7</f>
        <v>0.13020833333333331</v>
      </c>
      <c r="O102" s="15">
        <f>O36*設定!$C$30/60/設定!$B$7</f>
        <v>0.16718749999999999</v>
      </c>
      <c r="P102" s="15">
        <f>P36*設定!$C$30/60/設定!$B$7</f>
        <v>0.18697916666666667</v>
      </c>
      <c r="Q102" s="15">
        <f>Q36*設定!$C$30/60/設定!$B$7</f>
        <v>0.17708333333333331</v>
      </c>
      <c r="R102" s="15">
        <f>R36*設定!$C$30/60/設定!$B$7</f>
        <v>0.17395833333333333</v>
      </c>
      <c r="S102" s="15">
        <f>S36*設定!$C$30/60/設定!$B$7</f>
        <v>0.171875</v>
      </c>
      <c r="T102" s="15">
        <f>T36*設定!$C$30/60/設定!$B$7</f>
        <v>0.18072916666666666</v>
      </c>
      <c r="U102" s="15">
        <f>U36*設定!$C$30/60/設定!$B$7</f>
        <v>0.20052083333333334</v>
      </c>
      <c r="V102" s="15">
        <f>V36*設定!$C$30/60/設定!$B$7</f>
        <v>0.18020833333333333</v>
      </c>
    </row>
    <row r="103" spans="1:22" ht="15.75">
      <c r="A103" s="2"/>
      <c r="B103" s="4" t="s">
        <v>24</v>
      </c>
      <c r="C103" s="4" t="s">
        <v>27</v>
      </c>
      <c r="D103" s="17">
        <f t="shared" ref="D103:V103" si="29">SUM(D97:D102)</f>
        <v>0.60979166666666662</v>
      </c>
      <c r="E103" s="17">
        <f t="shared" si="29"/>
        <v>0.801875</v>
      </c>
      <c r="F103" s="17">
        <f t="shared" si="29"/>
        <v>0.69895833333333335</v>
      </c>
      <c r="G103" s="17">
        <f t="shared" si="29"/>
        <v>0.72343749999999996</v>
      </c>
      <c r="H103" s="17">
        <f t="shared" si="29"/>
        <v>0.73260416666666672</v>
      </c>
      <c r="I103" s="17">
        <f t="shared" si="29"/>
        <v>0.81479166666666669</v>
      </c>
      <c r="J103" s="17">
        <f t="shared" si="29"/>
        <v>0.89291666666666658</v>
      </c>
      <c r="K103" s="17">
        <f t="shared" si="29"/>
        <v>1.0775000000000001</v>
      </c>
      <c r="L103" s="17">
        <f t="shared" si="29"/>
        <v>0.94302083333333342</v>
      </c>
      <c r="M103" s="17">
        <f t="shared" si="29"/>
        <v>0.92864583333333339</v>
      </c>
      <c r="N103" s="17">
        <f t="shared" si="29"/>
        <v>0.9308333333333334</v>
      </c>
      <c r="O103" s="17">
        <f t="shared" si="29"/>
        <v>0.95322916666666679</v>
      </c>
      <c r="P103" s="17">
        <f t="shared" si="29"/>
        <v>0.99906249999999996</v>
      </c>
      <c r="Q103" s="17">
        <f t="shared" si="29"/>
        <v>0.94520833333333321</v>
      </c>
      <c r="R103" s="17">
        <f t="shared" si="29"/>
        <v>0.9213541666666667</v>
      </c>
      <c r="S103" s="17">
        <f t="shared" si="29"/>
        <v>1.0516666666666667</v>
      </c>
      <c r="T103" s="17">
        <f t="shared" si="29"/>
        <v>1.02125</v>
      </c>
      <c r="U103" s="17">
        <f t="shared" si="29"/>
        <v>1.1577083333333333</v>
      </c>
      <c r="V103" s="17">
        <f t="shared" si="29"/>
        <v>1.0955208333333333</v>
      </c>
    </row>
    <row r="104" spans="1:22" ht="15.75">
      <c r="A104" s="13" t="s">
        <v>35</v>
      </c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</row>
    <row r="105" spans="1:22" ht="15.75">
      <c r="A105" s="2"/>
      <c r="B105" s="11" t="s">
        <v>12</v>
      </c>
      <c r="C105" s="11" t="s">
        <v>27</v>
      </c>
      <c r="D105" s="15">
        <f>D13*設定!$C$25/60/設定!$B$7</f>
        <v>0.01</v>
      </c>
      <c r="E105" s="15">
        <f>E13*設定!$C$25/60/設定!$B$7</f>
        <v>1.8124999999999999E-2</v>
      </c>
      <c r="F105" s="15">
        <f>F13*設定!$C$25/60/設定!$B$7</f>
        <v>1.3125000000000001E-2</v>
      </c>
      <c r="G105" s="15">
        <f>G13*設定!$C$25/60/設定!$B$7</f>
        <v>0</v>
      </c>
      <c r="H105" s="15">
        <f>H13*設定!$C$25/60/設定!$B$7</f>
        <v>0</v>
      </c>
      <c r="I105" s="15">
        <f>I13*設定!$C$25/60/設定!$B$7</f>
        <v>4.3749999999999995E-3</v>
      </c>
      <c r="J105" s="15">
        <f>J13*設定!$C$25/60/設定!$B$7</f>
        <v>2.4062500000000001E-2</v>
      </c>
      <c r="K105" s="15">
        <f>K13*設定!$C$25/60/設定!$B$7</f>
        <v>3.5625000000000004E-2</v>
      </c>
      <c r="L105" s="15">
        <f>L13*設定!$C$25/60/設定!$B$7</f>
        <v>2.8437499999999998E-2</v>
      </c>
      <c r="M105" s="15">
        <f>M13*設定!$C$25/60/設定!$B$7</f>
        <v>4.5937499999999999E-2</v>
      </c>
      <c r="N105" s="15">
        <f>N13*設定!$C$25/60/設定!$B$7</f>
        <v>4.7500000000000001E-2</v>
      </c>
      <c r="O105" s="15">
        <f>O13*設定!$C$25/60/設定!$B$7</f>
        <v>4.6875E-2</v>
      </c>
      <c r="P105" s="15">
        <f>P13*設定!$C$25/60/設定!$B$7</f>
        <v>4.0312500000000001E-2</v>
      </c>
      <c r="Q105" s="15">
        <f>Q13*設定!$C$25/60/設定!$B$7</f>
        <v>3.4999999999999996E-2</v>
      </c>
      <c r="R105" s="15">
        <f>R13*設定!$C$25/60/設定!$B$7</f>
        <v>1.6562500000000001E-2</v>
      </c>
      <c r="S105" s="15">
        <f>S13*設定!$C$25/60/設定!$B$7</f>
        <v>1.8749999999999999E-3</v>
      </c>
      <c r="T105" s="15">
        <f>T13*設定!$C$25/60/設定!$B$7</f>
        <v>0</v>
      </c>
      <c r="U105" s="15">
        <f>U13*設定!$C$25/60/設定!$B$7</f>
        <v>0</v>
      </c>
      <c r="V105" s="15">
        <f>V13*設定!$C$25/60/設定!$B$7</f>
        <v>1.8749999999999999E-3</v>
      </c>
    </row>
    <row r="106" spans="1:22" ht="15.75">
      <c r="A106" s="2"/>
      <c r="B106" s="11" t="s">
        <v>19</v>
      </c>
      <c r="C106" s="11" t="s">
        <v>27</v>
      </c>
      <c r="D106" s="15">
        <f>D18*設定!$C$26/60/設定!$B$7</f>
        <v>3.7499999999999999E-2</v>
      </c>
      <c r="E106" s="15">
        <f>E18*設定!$C$26/60/設定!$B$7</f>
        <v>7.2916666666666657E-2</v>
      </c>
      <c r="F106" s="15">
        <f>F18*設定!$C$26/60/設定!$B$7</f>
        <v>3.7499999999999999E-2</v>
      </c>
      <c r="G106" s="15">
        <f>G18*設定!$C$26/60/設定!$B$7</f>
        <v>4.4791666666666667E-2</v>
      </c>
      <c r="H106" s="15">
        <f>H18*設定!$C$26/60/設定!$B$7</f>
        <v>0.11666666666666667</v>
      </c>
      <c r="I106" s="15">
        <f>I18*設定!$C$26/60/設定!$B$7</f>
        <v>0.14166666666666666</v>
      </c>
      <c r="J106" s="15">
        <f>J18*設定!$C$26/60/設定!$B$7</f>
        <v>0.18124999999999999</v>
      </c>
      <c r="K106" s="15">
        <f>K18*設定!$C$26/60/設定!$B$7</f>
        <v>9.375E-2</v>
      </c>
      <c r="L106" s="15">
        <f>L18*設定!$C$26/60/設定!$B$7</f>
        <v>2.0833333333333336E-2</v>
      </c>
      <c r="M106" s="15">
        <f>M18*設定!$C$26/60/設定!$B$7</f>
        <v>3.3333333333333333E-2</v>
      </c>
      <c r="N106" s="15">
        <f>N18*設定!$C$26/60/設定!$B$7</f>
        <v>0</v>
      </c>
      <c r="O106" s="15">
        <f>O18*設定!$C$26/60/設定!$B$7</f>
        <v>1.1458333333333333E-2</v>
      </c>
      <c r="P106" s="15">
        <f>P18*設定!$C$26/60/設定!$B$7</f>
        <v>4.6875E-2</v>
      </c>
      <c r="Q106" s="15">
        <f>Q18*設定!$C$26/60/設定!$B$7</f>
        <v>0</v>
      </c>
      <c r="R106" s="15">
        <f>R18*設定!$C$26/60/設定!$B$7</f>
        <v>1.1458333333333333E-2</v>
      </c>
      <c r="S106" s="15">
        <f>S18*設定!$C$26/60/設定!$B$7</f>
        <v>2.5000000000000001E-2</v>
      </c>
      <c r="T106" s="15">
        <f>T18*設定!$C$26/60/設定!$B$7</f>
        <v>1.8749999999999999E-2</v>
      </c>
      <c r="U106" s="15">
        <f>U18*設定!$C$26/60/設定!$B$7</f>
        <v>0</v>
      </c>
      <c r="V106" s="15">
        <f>V18*設定!$C$26/60/設定!$B$7</f>
        <v>8.2291666666666666E-2</v>
      </c>
    </row>
    <row r="107" spans="1:22" ht="15.75">
      <c r="A107" s="2"/>
      <c r="B107" s="11" t="s">
        <v>20</v>
      </c>
      <c r="C107" s="11" t="s">
        <v>27</v>
      </c>
      <c r="D107" s="15">
        <f>D23*設定!$C$27/60/設定!$B$7</f>
        <v>3.5833333333333335E-2</v>
      </c>
      <c r="E107" s="15">
        <f>E23*設定!$C$27/60/設定!$B$7</f>
        <v>0</v>
      </c>
      <c r="F107" s="15">
        <f>F23*設定!$C$27/60/設定!$B$7</f>
        <v>0</v>
      </c>
      <c r="G107" s="15">
        <f>G23*設定!$C$27/60/設定!$B$7</f>
        <v>0</v>
      </c>
      <c r="H107" s="15">
        <f>H23*設定!$C$27/60/設定!$B$7</f>
        <v>0</v>
      </c>
      <c r="I107" s="15">
        <f>I23*設定!$C$27/60/設定!$B$7</f>
        <v>0</v>
      </c>
      <c r="J107" s="15">
        <f>J23*設定!$C$27/60/設定!$B$7</f>
        <v>0</v>
      </c>
      <c r="K107" s="15">
        <f>K23*設定!$C$27/60/設定!$B$7</f>
        <v>0</v>
      </c>
      <c r="L107" s="15">
        <f>L23*設定!$C$27/60/設定!$B$7</f>
        <v>0</v>
      </c>
      <c r="M107" s="15">
        <f>M23*設定!$C$27/60/設定!$B$7</f>
        <v>4.3333333333333335E-2</v>
      </c>
      <c r="N107" s="15">
        <f>N23*設定!$C$27/60/設定!$B$7</f>
        <v>2.2499999999999999E-2</v>
      </c>
      <c r="O107" s="15">
        <f>O23*設定!$C$27/60/設定!$B$7</f>
        <v>1.9166666666666669E-2</v>
      </c>
      <c r="P107" s="15">
        <f>P23*設定!$C$27/60/設定!$B$7</f>
        <v>3.4166666666666665E-2</v>
      </c>
      <c r="Q107" s="15">
        <f>Q23*設定!$C$27/60/設定!$B$7</f>
        <v>5.0000000000000001E-3</v>
      </c>
      <c r="R107" s="15">
        <f>R23*設定!$C$27/60/設定!$B$7</f>
        <v>8.3333333333333332E-3</v>
      </c>
      <c r="S107" s="15">
        <f>S23*設定!$C$27/60/設定!$B$7</f>
        <v>7.166666666666667E-2</v>
      </c>
      <c r="T107" s="15">
        <f>T23*設定!$C$27/60/設定!$B$7</f>
        <v>4.7500000000000001E-2</v>
      </c>
      <c r="U107" s="15">
        <f>U23*設定!$C$27/60/設定!$B$7</f>
        <v>0.06</v>
      </c>
      <c r="V107" s="15">
        <f>V23*設定!$C$27/60/設定!$B$7</f>
        <v>4.1666666666666671E-2</v>
      </c>
    </row>
    <row r="108" spans="1:22" ht="15.75">
      <c r="A108" s="2"/>
      <c r="B108" s="11" t="s">
        <v>21</v>
      </c>
      <c r="C108" s="11" t="s">
        <v>27</v>
      </c>
      <c r="D108" s="15">
        <f>D28*設定!$C$28/60/設定!$B$7</f>
        <v>0</v>
      </c>
      <c r="E108" s="15">
        <f>E28*設定!$C$28/60/設定!$B$7</f>
        <v>0</v>
      </c>
      <c r="F108" s="15">
        <f>F28*設定!$C$28/60/設定!$B$7</f>
        <v>0.03</v>
      </c>
      <c r="G108" s="15">
        <f>G28*設定!$C$28/60/設定!$B$7</f>
        <v>5.9166666666666666E-2</v>
      </c>
      <c r="H108" s="15">
        <f>H28*設定!$C$28/60/設定!$B$7</f>
        <v>1.4999999999999999E-2</v>
      </c>
      <c r="I108" s="15">
        <f>I28*設定!$C$28/60/設定!$B$7</f>
        <v>1.2500000000000001E-2</v>
      </c>
      <c r="J108" s="15">
        <f>J28*設定!$C$28/60/設定!$B$7</f>
        <v>7.166666666666667E-2</v>
      </c>
      <c r="K108" s="15">
        <f>K28*設定!$C$28/60/設定!$B$7</f>
        <v>0.11833333333333333</v>
      </c>
      <c r="L108" s="15">
        <f>L28*設定!$C$28/60/設定!$B$7</f>
        <v>6.9999999999999993E-2</v>
      </c>
      <c r="M108" s="15">
        <f>M28*設定!$C$28/60/設定!$B$7</f>
        <v>7.3333333333333334E-2</v>
      </c>
      <c r="N108" s="15">
        <f>N28*設定!$C$28/60/設定!$B$7</f>
        <v>0.1</v>
      </c>
      <c r="O108" s="15">
        <f>O28*設定!$C$28/60/設定!$B$7</f>
        <v>5.4166666666666662E-2</v>
      </c>
      <c r="P108" s="15">
        <f>P28*設定!$C$28/60/設定!$B$7</f>
        <v>1.6666666666666666E-2</v>
      </c>
      <c r="Q108" s="15">
        <f>Q28*設定!$C$28/60/設定!$B$7</f>
        <v>4.4999999999999998E-2</v>
      </c>
      <c r="R108" s="15">
        <f>R28*設定!$C$28/60/設定!$B$7</f>
        <v>8.666666666666667E-2</v>
      </c>
      <c r="S108" s="15">
        <f>S28*設定!$C$28/60/設定!$B$7</f>
        <v>0.14583333333333331</v>
      </c>
      <c r="T108" s="15">
        <f>T28*設定!$C$28/60/設定!$B$7</f>
        <v>0.15083333333333332</v>
      </c>
      <c r="U108" s="15">
        <f>U28*設定!$C$28/60/設定!$B$7</f>
        <v>0.12250000000000001</v>
      </c>
      <c r="V108" s="15">
        <f>V28*設定!$C$28/60/設定!$B$7</f>
        <v>0.15</v>
      </c>
    </row>
    <row r="109" spans="1:22" ht="15.75">
      <c r="A109" s="2"/>
      <c r="B109" s="11" t="s">
        <v>22</v>
      </c>
      <c r="C109" s="11" t="s">
        <v>27</v>
      </c>
      <c r="D109" s="15">
        <f>D33*設定!$C$29/60/設定!$B$7</f>
        <v>0</v>
      </c>
      <c r="E109" s="15">
        <f>E33*設定!$C$29/60/設定!$B$7</f>
        <v>0</v>
      </c>
      <c r="F109" s="15">
        <f>F33*設定!$C$29/60/設定!$B$7</f>
        <v>0</v>
      </c>
      <c r="G109" s="15">
        <f>G33*設定!$C$29/60/設定!$B$7</f>
        <v>0</v>
      </c>
      <c r="H109" s="15">
        <f>H33*設定!$C$29/60/設定!$B$7</f>
        <v>0</v>
      </c>
      <c r="I109" s="15">
        <f>I33*設定!$C$29/60/設定!$B$7</f>
        <v>0</v>
      </c>
      <c r="J109" s="15">
        <f>J33*設定!$C$29/60/設定!$B$7</f>
        <v>6.5000000000000002E-2</v>
      </c>
      <c r="K109" s="15">
        <f>K33*設定!$C$29/60/設定!$B$7</f>
        <v>8.4166666666666667E-2</v>
      </c>
      <c r="L109" s="15">
        <f>L33*設定!$C$29/60/設定!$B$7</f>
        <v>9.7500000000000003E-2</v>
      </c>
      <c r="M109" s="15">
        <f>M33*設定!$C$29/60/設定!$B$7</f>
        <v>5.9166666666666666E-2</v>
      </c>
      <c r="N109" s="15">
        <f>N33*設定!$C$29/60/設定!$B$7</f>
        <v>0.11583333333333334</v>
      </c>
      <c r="O109" s="15">
        <f>O33*設定!$C$29/60/設定!$B$7</f>
        <v>9.0833333333333335E-2</v>
      </c>
      <c r="P109" s="15">
        <f>P33*設定!$C$29/60/設定!$B$7</f>
        <v>0.12833333333333335</v>
      </c>
      <c r="Q109" s="15">
        <f>Q33*設定!$C$29/60/設定!$B$7</f>
        <v>0.14083333333333334</v>
      </c>
      <c r="R109" s="15">
        <f>R33*設定!$C$29/60/設定!$B$7</f>
        <v>9.0833333333333335E-2</v>
      </c>
      <c r="S109" s="15">
        <f>S33*設定!$C$29/60/設定!$B$7</f>
        <v>0.13833333333333334</v>
      </c>
      <c r="T109" s="15">
        <f>T33*設定!$C$29/60/設定!$B$7</f>
        <v>9.7500000000000003E-2</v>
      </c>
      <c r="U109" s="15">
        <f>U33*設定!$C$29/60/設定!$B$7</f>
        <v>0.12</v>
      </c>
      <c r="V109" s="15">
        <f>V33*設定!$C$29/60/設定!$B$7</f>
        <v>0.18</v>
      </c>
    </row>
    <row r="110" spans="1:22" ht="15.75">
      <c r="A110" s="2"/>
      <c r="B110" s="11" t="s">
        <v>23</v>
      </c>
      <c r="C110" s="11" t="s">
        <v>27</v>
      </c>
      <c r="D110" s="15">
        <f>D38*設定!$C$30/60/設定!$B$7</f>
        <v>2.8645833333333332E-2</v>
      </c>
      <c r="E110" s="15">
        <f>E38*設定!$C$30/60/設定!$B$7</f>
        <v>2.8645833333333332E-2</v>
      </c>
      <c r="F110" s="15">
        <f>F38*設定!$C$30/60/設定!$B$7</f>
        <v>2.0312500000000001E-2</v>
      </c>
      <c r="G110" s="15">
        <f>G38*設定!$C$30/60/設定!$B$7</f>
        <v>2.5520833333333333E-2</v>
      </c>
      <c r="H110" s="15">
        <f>H38*設定!$C$30/60/設定!$B$7</f>
        <v>1.0937499999999999E-2</v>
      </c>
      <c r="I110" s="15">
        <f>I38*設定!$C$30/60/設定!$B$7</f>
        <v>2.9687499999999999E-2</v>
      </c>
      <c r="J110" s="15">
        <f>J38*設定!$C$30/60/設定!$B$7</f>
        <v>4.7395833333333331E-2</v>
      </c>
      <c r="K110" s="15">
        <f>K38*設定!$C$30/60/設定!$B$7</f>
        <v>7.8645833333333331E-2</v>
      </c>
      <c r="L110" s="15">
        <f>L38*設定!$C$30/60/設定!$B$7</f>
        <v>4.8437500000000001E-2</v>
      </c>
      <c r="M110" s="15">
        <f>M38*設定!$C$30/60/設定!$B$7</f>
        <v>4.7395833333333331E-2</v>
      </c>
      <c r="N110" s="15">
        <f>N38*設定!$C$30/60/設定!$B$7</f>
        <v>7.5520833333333343E-2</v>
      </c>
      <c r="O110" s="15">
        <f>O38*設定!$C$30/60/設定!$B$7</f>
        <v>8.7499999999999994E-2</v>
      </c>
      <c r="P110" s="15">
        <f>P38*設定!$C$30/60/設定!$B$7</f>
        <v>8.59375E-2</v>
      </c>
      <c r="Q110" s="15">
        <f>Q38*設定!$C$30/60/設定!$B$7</f>
        <v>7.7083333333333337E-2</v>
      </c>
      <c r="R110" s="15">
        <f>R38*設定!$C$30/60/設定!$B$7</f>
        <v>7.3437500000000003E-2</v>
      </c>
      <c r="S110" s="15">
        <f>S38*設定!$C$30/60/設定!$B$7</f>
        <v>8.8541666666666657E-2</v>
      </c>
      <c r="T110" s="15">
        <f>T38*設定!$C$30/60/設定!$B$7</f>
        <v>0.11614583333333332</v>
      </c>
      <c r="U110" s="15">
        <f>U38*設定!$C$30/60/設定!$B$7</f>
        <v>9.7395833333333334E-2</v>
      </c>
      <c r="V110" s="15">
        <f>V38*設定!$C$30/60/設定!$B$7</f>
        <v>8.6458333333333331E-2</v>
      </c>
    </row>
    <row r="111" spans="1:22" ht="15.75">
      <c r="A111" s="2"/>
      <c r="B111" s="4" t="s">
        <v>24</v>
      </c>
      <c r="C111" s="4" t="s">
        <v>27</v>
      </c>
      <c r="D111" s="17">
        <f t="shared" ref="D111:V111" si="30">SUM(D105:D110)</f>
        <v>0.11197916666666667</v>
      </c>
      <c r="E111" s="17">
        <f t="shared" si="30"/>
        <v>0.11968749999999999</v>
      </c>
      <c r="F111" s="17">
        <f t="shared" si="30"/>
        <v>0.1009375</v>
      </c>
      <c r="G111" s="17">
        <f t="shared" si="30"/>
        <v>0.12947916666666667</v>
      </c>
      <c r="H111" s="17">
        <f t="shared" si="30"/>
        <v>0.14260416666666664</v>
      </c>
      <c r="I111" s="17">
        <f t="shared" si="30"/>
        <v>0.18822916666666667</v>
      </c>
      <c r="J111" s="17">
        <f t="shared" si="30"/>
        <v>0.38937500000000003</v>
      </c>
      <c r="K111" s="17">
        <f t="shared" si="30"/>
        <v>0.41052083333333333</v>
      </c>
      <c r="L111" s="17">
        <f t="shared" si="30"/>
        <v>0.26520833333333332</v>
      </c>
      <c r="M111" s="17">
        <f t="shared" si="30"/>
        <v>0.30249999999999999</v>
      </c>
      <c r="N111" s="17">
        <f t="shared" si="30"/>
        <v>0.36135416666666675</v>
      </c>
      <c r="O111" s="17">
        <f t="shared" si="30"/>
        <v>0.30999999999999994</v>
      </c>
      <c r="P111" s="17">
        <f t="shared" si="30"/>
        <v>0.35229166666666667</v>
      </c>
      <c r="Q111" s="17">
        <f t="shared" si="30"/>
        <v>0.30291666666666667</v>
      </c>
      <c r="R111" s="17">
        <f t="shared" si="30"/>
        <v>0.28729166666666667</v>
      </c>
      <c r="S111" s="17">
        <f t="shared" si="30"/>
        <v>0.47124999999999995</v>
      </c>
      <c r="T111" s="17">
        <f t="shared" si="30"/>
        <v>0.43072916666666666</v>
      </c>
      <c r="U111" s="17">
        <f t="shared" si="30"/>
        <v>0.39989583333333334</v>
      </c>
      <c r="V111" s="17">
        <f t="shared" si="30"/>
        <v>0.54229166666666673</v>
      </c>
    </row>
    <row r="112" spans="1:22" ht="15.7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</row>
    <row r="113" spans="1:22" ht="15.75">
      <c r="A113" s="8" t="s">
        <v>36</v>
      </c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</row>
    <row r="114" spans="1:22" ht="15.75">
      <c r="A114" s="11" t="s">
        <v>37</v>
      </c>
      <c r="B114" s="11" t="s">
        <v>38</v>
      </c>
      <c r="C114" s="11" t="s">
        <v>39</v>
      </c>
      <c r="D114" s="18">
        <f>SUMPRODUCT((計算!$A$11:$A$30="OP")*(計算!D$11:D$30&gt;0))</f>
        <v>10</v>
      </c>
      <c r="E114" s="18">
        <f>SUMPRODUCT((計算!$A$11:$A$30="OP")*(計算!E$11:E$30&gt;0))</f>
        <v>10</v>
      </c>
      <c r="F114" s="18">
        <f>SUMPRODUCT((計算!$A$11:$A$30="OP")*(計算!F$11:F$30&gt;0))</f>
        <v>10</v>
      </c>
      <c r="G114" s="18">
        <f>SUMPRODUCT((計算!$A$11:$A$30="OP")*(計算!G$11:G$30&gt;0))</f>
        <v>10</v>
      </c>
      <c r="H114" s="18">
        <f>SUMPRODUCT((計算!$A$11:$A$30="OP")*(計算!H$11:H$30&gt;0))</f>
        <v>10</v>
      </c>
      <c r="I114" s="18">
        <f>SUMPRODUCT((計算!$A$11:$A$30="OP")*(計算!I$11:I$30&gt;0))</f>
        <v>10</v>
      </c>
      <c r="J114" s="18">
        <f>SUMPRODUCT((計算!$A$11:$A$30="OP")*(計算!J$11:J$30&gt;0))</f>
        <v>10</v>
      </c>
      <c r="K114" s="18">
        <f>SUMPRODUCT((計算!$A$11:$A$30="OP")*(計算!K$11:K$30&gt;0))</f>
        <v>10</v>
      </c>
      <c r="L114" s="18">
        <f>SUMPRODUCT((計算!$A$11:$A$30="OP")*(計算!L$11:L$30&gt;0))</f>
        <v>10</v>
      </c>
      <c r="M114" s="18">
        <f>SUMPRODUCT((計算!$A$11:$A$30="OP")*(計算!M$11:M$30&gt;0))</f>
        <v>10</v>
      </c>
      <c r="N114" s="18">
        <f>SUMPRODUCT((計算!$A$11:$A$30="OP")*(計算!N$11:N$30&gt;0))</f>
        <v>10</v>
      </c>
      <c r="O114" s="18">
        <f>SUMPRODUCT((計算!$A$11:$A$30="OP")*(計算!O$11:O$30&gt;0))</f>
        <v>10</v>
      </c>
      <c r="P114" s="18">
        <f>SUMPRODUCT((計算!$A$11:$A$30="OP")*(計算!P$11:P$30&gt;0))</f>
        <v>10</v>
      </c>
      <c r="Q114" s="18">
        <f>SUMPRODUCT((計算!$A$11:$A$30="OP")*(計算!Q$11:Q$30&gt;0))</f>
        <v>10</v>
      </c>
      <c r="R114" s="18">
        <f>SUMPRODUCT((計算!$A$11:$A$30="OP")*(計算!R$11:R$30&gt;0))</f>
        <v>10</v>
      </c>
      <c r="S114" s="18">
        <f>SUMPRODUCT((計算!$A$11:$A$30="OP")*(計算!S$11:S$30&gt;0))</f>
        <v>10</v>
      </c>
      <c r="T114" s="18">
        <f>SUMPRODUCT((計算!$A$11:$A$30="OP")*(計算!T$11:T$30&gt;0))</f>
        <v>10</v>
      </c>
      <c r="U114" s="18">
        <f>SUMPRODUCT((計算!$A$11:$A$30="OP")*(計算!U$11:U$30&gt;0))</f>
        <v>10</v>
      </c>
      <c r="V114" s="18">
        <f>SUMPRODUCT((計算!$A$11:$A$30="OP")*(計算!V$11:V$30&gt;0))</f>
        <v>10</v>
      </c>
    </row>
    <row r="115" spans="1:22" ht="15.75">
      <c r="A115" s="2"/>
      <c r="B115" s="4" t="s">
        <v>40</v>
      </c>
      <c r="C115" s="4" t="s">
        <v>27</v>
      </c>
      <c r="D115" s="16">
        <f>メンバー!D95</f>
        <v>4.8024999999999993</v>
      </c>
      <c r="E115" s="16">
        <f>メンバー!E95</f>
        <v>4.1649999999999991</v>
      </c>
      <c r="F115" s="16">
        <f>メンバー!F95</f>
        <v>5.0574999999999992</v>
      </c>
      <c r="G115" s="16">
        <f>メンバー!G95</f>
        <v>5.0149999999999997</v>
      </c>
      <c r="H115" s="16">
        <f>メンバー!H95</f>
        <v>4.6324999999999994</v>
      </c>
      <c r="I115" s="16">
        <f>メンバー!I95</f>
        <v>3.5043124999999997</v>
      </c>
      <c r="J115" s="16">
        <f>メンバー!J95</f>
        <v>3.8605</v>
      </c>
      <c r="K115" s="16">
        <f>メンバー!K95</f>
        <v>1.8199999999999998</v>
      </c>
      <c r="L115" s="16">
        <f>メンバー!L95</f>
        <v>1.92</v>
      </c>
      <c r="M115" s="16">
        <f>メンバー!M95</f>
        <v>4.5315312499999996</v>
      </c>
      <c r="N115" s="16">
        <f>メンバー!N95</f>
        <v>2.4529749999999999</v>
      </c>
      <c r="O115" s="16">
        <f>メンバー!O95</f>
        <v>5.2704999999999993</v>
      </c>
      <c r="P115" s="16">
        <f>メンバー!P95</f>
        <v>5.0659374999999995</v>
      </c>
      <c r="Q115" s="16">
        <f>メンバー!Q95</f>
        <v>4.3549999999999995</v>
      </c>
      <c r="R115" s="16">
        <f>メンバー!R95</f>
        <v>5.2704999999999993</v>
      </c>
      <c r="S115" s="16">
        <f>メンバー!S95</f>
        <v>4.9957499999999992</v>
      </c>
      <c r="T115" s="16">
        <f>メンバー!T95</f>
        <v>5.0692812499999995</v>
      </c>
      <c r="U115" s="16">
        <f>メンバー!U95</f>
        <v>4.7727499999999994</v>
      </c>
      <c r="V115" s="16">
        <f>メンバー!V95</f>
        <v>4.7847187499999997</v>
      </c>
    </row>
    <row r="116" spans="1:22" ht="15.75">
      <c r="A116" s="2"/>
      <c r="B116" s="4" t="s">
        <v>41</v>
      </c>
      <c r="C116" s="4" t="s">
        <v>27</v>
      </c>
      <c r="D116" s="16">
        <f>メンバー!D122</f>
        <v>4.8024999999999993</v>
      </c>
      <c r="E116" s="16">
        <f>メンバー!E122</f>
        <v>4.1649999999999991</v>
      </c>
      <c r="F116" s="16">
        <f>メンバー!F122</f>
        <v>5.0574999999999992</v>
      </c>
      <c r="G116" s="16">
        <f>メンバー!G122</f>
        <v>5.0149999999999997</v>
      </c>
      <c r="H116" s="16">
        <f>メンバー!H122</f>
        <v>4.6324999999999994</v>
      </c>
      <c r="I116" s="16">
        <f>メンバー!I122</f>
        <v>3.5043124999999997</v>
      </c>
      <c r="J116" s="16">
        <f>メンバー!J122</f>
        <v>3.8605</v>
      </c>
      <c r="K116" s="16">
        <f>メンバー!K122</f>
        <v>1.8199999999999998</v>
      </c>
      <c r="L116" s="16">
        <f>メンバー!L122</f>
        <v>1.92</v>
      </c>
      <c r="M116" s="16">
        <f>メンバー!M122</f>
        <v>4.5315312499999996</v>
      </c>
      <c r="N116" s="16">
        <f>メンバー!N122</f>
        <v>2.4529749999999999</v>
      </c>
      <c r="O116" s="16">
        <f>メンバー!O122</f>
        <v>5.2704999999999993</v>
      </c>
      <c r="P116" s="16">
        <f>メンバー!P122</f>
        <v>5.0659374999999995</v>
      </c>
      <c r="Q116" s="16">
        <f>メンバー!Q122</f>
        <v>4.3549999999999995</v>
      </c>
      <c r="R116" s="16">
        <f>メンバー!R122</f>
        <v>5.2704999999999993</v>
      </c>
      <c r="S116" s="16">
        <f>メンバー!S122</f>
        <v>4.9957499999999992</v>
      </c>
      <c r="T116" s="16">
        <f>メンバー!T122</f>
        <v>5.0692812499999995</v>
      </c>
      <c r="U116" s="16">
        <f>メンバー!U122</f>
        <v>4.7727499999999994</v>
      </c>
      <c r="V116" s="16">
        <f>メンバー!V122</f>
        <v>4.7847187499999997</v>
      </c>
    </row>
    <row r="117" spans="1:22" ht="15.7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spans="1:22" ht="15.75">
      <c r="A118" s="11" t="s">
        <v>42</v>
      </c>
      <c r="B118" s="11" t="s">
        <v>38</v>
      </c>
      <c r="C118" s="11" t="s">
        <v>39</v>
      </c>
      <c r="D118" s="18">
        <f>SUMPRODUCT((計算!$A$11:$A$30="SV")*(計算!D$11:D$30&gt;0))</f>
        <v>4</v>
      </c>
      <c r="E118" s="18">
        <f>SUMPRODUCT((計算!$A$11:$A$30="SV")*(計算!E$11:E$30&gt;0))</f>
        <v>4</v>
      </c>
      <c r="F118" s="18">
        <f>SUMPRODUCT((計算!$A$11:$A$30="SV")*(計算!F$11:F$30&gt;0))</f>
        <v>4</v>
      </c>
      <c r="G118" s="18">
        <f>SUMPRODUCT((計算!$A$11:$A$30="SV")*(計算!G$11:G$30&gt;0))</f>
        <v>4</v>
      </c>
      <c r="H118" s="18">
        <f>SUMPRODUCT((計算!$A$11:$A$30="SV")*(計算!H$11:H$30&gt;0))</f>
        <v>4</v>
      </c>
      <c r="I118" s="18">
        <f>SUMPRODUCT((計算!$A$11:$A$30="SV")*(計算!I$11:I$30&gt;0))</f>
        <v>4</v>
      </c>
      <c r="J118" s="18">
        <f>SUMPRODUCT((計算!$A$11:$A$30="SV")*(計算!J$11:J$30&gt;0))</f>
        <v>4</v>
      </c>
      <c r="K118" s="18">
        <f>SUMPRODUCT((計算!$A$11:$A$30="SV")*(計算!K$11:K$30&gt;0))</f>
        <v>4</v>
      </c>
      <c r="L118" s="18">
        <f>SUMPRODUCT((計算!$A$11:$A$30="SV")*(計算!L$11:L$30&gt;0))</f>
        <v>4</v>
      </c>
      <c r="M118" s="18">
        <f>SUMPRODUCT((計算!$A$11:$A$30="SV")*(計算!M$11:M$30&gt;0))</f>
        <v>4</v>
      </c>
      <c r="N118" s="18">
        <f>SUMPRODUCT((計算!$A$11:$A$30="SV")*(計算!N$11:N$30&gt;0))</f>
        <v>4</v>
      </c>
      <c r="O118" s="18">
        <f>SUMPRODUCT((計算!$A$11:$A$30="SV")*(計算!O$11:O$30&gt;0))</f>
        <v>4</v>
      </c>
      <c r="P118" s="18">
        <f>SUMPRODUCT((計算!$A$11:$A$30="SV")*(計算!P$11:P$30&gt;0))</f>
        <v>4</v>
      </c>
      <c r="Q118" s="18">
        <f>SUMPRODUCT((計算!$A$11:$A$30="SV")*(計算!Q$11:Q$30&gt;0))</f>
        <v>4</v>
      </c>
      <c r="R118" s="18">
        <f>SUMPRODUCT((計算!$A$11:$A$30="SV")*(計算!R$11:R$30&gt;0))</f>
        <v>4</v>
      </c>
      <c r="S118" s="18">
        <f>SUMPRODUCT((計算!$A$11:$A$30="SV")*(計算!S$11:S$30&gt;0))</f>
        <v>4</v>
      </c>
      <c r="T118" s="18">
        <f>SUMPRODUCT((計算!$A$11:$A$30="SV")*(計算!T$11:T$30&gt;0))</f>
        <v>4</v>
      </c>
      <c r="U118" s="18">
        <f>SUMPRODUCT((計算!$A$11:$A$30="SV")*(計算!U$11:U$30&gt;0))</f>
        <v>4</v>
      </c>
      <c r="V118" s="18">
        <f>SUMPRODUCT((計算!$A$11:$A$30="SV")*(計算!V$11:V$30&gt;0))</f>
        <v>4</v>
      </c>
    </row>
    <row r="119" spans="1:22" ht="15.75">
      <c r="A119" s="2"/>
      <c r="B119" s="4" t="s">
        <v>40</v>
      </c>
      <c r="C119" s="4" t="s">
        <v>27</v>
      </c>
      <c r="D119" s="16">
        <f>メンバー!D96</f>
        <v>2.8696874999999995</v>
      </c>
      <c r="E119" s="16">
        <f>メンバー!E96</f>
        <v>2.4665624999999998</v>
      </c>
      <c r="F119" s="16">
        <f>メンバー!F96</f>
        <v>3.0093750000000004</v>
      </c>
      <c r="G119" s="16">
        <f>メンバー!G96</f>
        <v>2.9934374999999998</v>
      </c>
      <c r="H119" s="16">
        <f>メンバー!H96</f>
        <v>2.73</v>
      </c>
      <c r="I119" s="16">
        <f>メンバー!I96</f>
        <v>2.5050000000000003</v>
      </c>
      <c r="J119" s="16">
        <f>メンバー!J96</f>
        <v>2.7749999999999999</v>
      </c>
      <c r="K119" s="16">
        <f>メンバー!K96</f>
        <v>2.5050000000000003</v>
      </c>
      <c r="L119" s="16">
        <f>メンバー!L96</f>
        <v>2.64</v>
      </c>
      <c r="M119" s="16">
        <f>メンバー!M96</f>
        <v>2.5050000000000003</v>
      </c>
      <c r="N119" s="16">
        <f>メンバー!N96</f>
        <v>1.4219999999999997</v>
      </c>
      <c r="O119" s="16">
        <f>メンバー!O96</f>
        <v>2.8950000000000005</v>
      </c>
      <c r="P119" s="16">
        <f>メンバー!P96</f>
        <v>2.7749999999999999</v>
      </c>
      <c r="Q119" s="16">
        <f>メンバー!Q96</f>
        <v>2.3850000000000002</v>
      </c>
      <c r="R119" s="16">
        <f>メンバー!R96</f>
        <v>2.8950000000000005</v>
      </c>
      <c r="S119" s="16">
        <f>メンバー!S96</f>
        <v>2.7749999999999999</v>
      </c>
      <c r="T119" s="16">
        <f>メンバー!T96</f>
        <v>2.79</v>
      </c>
      <c r="U119" s="16">
        <f>メンバー!U96</f>
        <v>2.625</v>
      </c>
      <c r="V119" s="16">
        <f>メンバー!V96</f>
        <v>2.64</v>
      </c>
    </row>
    <row r="120" spans="1:22" ht="15.75">
      <c r="A120" s="2"/>
      <c r="B120" s="4" t="s">
        <v>41</v>
      </c>
      <c r="C120" s="4" t="s">
        <v>27</v>
      </c>
      <c r="D120" s="16">
        <f>メンバー!D123</f>
        <v>2.8696874999999995</v>
      </c>
      <c r="E120" s="16">
        <f>メンバー!E123</f>
        <v>2.4665624999999998</v>
      </c>
      <c r="F120" s="16">
        <f>メンバー!F123</f>
        <v>3.0093750000000004</v>
      </c>
      <c r="G120" s="16">
        <f>メンバー!G123</f>
        <v>2.9934374999999998</v>
      </c>
      <c r="H120" s="16">
        <f>メンバー!H123</f>
        <v>2.73</v>
      </c>
      <c r="I120" s="16">
        <f>メンバー!I123</f>
        <v>2.5050000000000003</v>
      </c>
      <c r="J120" s="16">
        <f>メンバー!J123</f>
        <v>2.7749999999999999</v>
      </c>
      <c r="K120" s="16">
        <f>メンバー!K123</f>
        <v>2.5050000000000003</v>
      </c>
      <c r="L120" s="16">
        <f>メンバー!L123</f>
        <v>2.64</v>
      </c>
      <c r="M120" s="16">
        <f>メンバー!M123</f>
        <v>2.5050000000000003</v>
      </c>
      <c r="N120" s="16">
        <f>メンバー!N123</f>
        <v>1.4219999999999997</v>
      </c>
      <c r="O120" s="16">
        <f>メンバー!O123</f>
        <v>2.8950000000000005</v>
      </c>
      <c r="P120" s="16">
        <f>メンバー!P123</f>
        <v>2.7749999999999999</v>
      </c>
      <c r="Q120" s="16">
        <f>メンバー!Q123</f>
        <v>2.3850000000000002</v>
      </c>
      <c r="R120" s="16">
        <f>メンバー!R123</f>
        <v>2.8950000000000005</v>
      </c>
      <c r="S120" s="16">
        <f>メンバー!S123</f>
        <v>2.7749999999999999</v>
      </c>
      <c r="T120" s="16">
        <f>メンバー!T123</f>
        <v>2.79</v>
      </c>
      <c r="U120" s="16">
        <f>メンバー!U123</f>
        <v>2.625</v>
      </c>
      <c r="V120" s="16">
        <f>メンバー!V123</f>
        <v>2.64</v>
      </c>
    </row>
    <row r="121" spans="1:22" ht="15.7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spans="1:22" ht="15.75">
      <c r="A122" s="8" t="s">
        <v>43</v>
      </c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</row>
    <row r="123" spans="1:22" ht="15.75">
      <c r="A123" s="4" t="s">
        <v>37</v>
      </c>
      <c r="B123" s="4" t="s">
        <v>44</v>
      </c>
      <c r="C123" s="4" t="s">
        <v>27</v>
      </c>
      <c r="D123" s="19">
        <f t="shared" ref="D123:V123" si="31">D53-D115</f>
        <v>-3.636874999999999</v>
      </c>
      <c r="E123" s="19">
        <f t="shared" si="31"/>
        <v>-2.8457291666666658</v>
      </c>
      <c r="F123" s="19">
        <f t="shared" si="31"/>
        <v>-3.9580208333333324</v>
      </c>
      <c r="G123" s="19">
        <f t="shared" si="31"/>
        <v>-3.8238541666666661</v>
      </c>
      <c r="H123" s="19">
        <f t="shared" si="31"/>
        <v>-3.4783333333333326</v>
      </c>
      <c r="I123" s="19">
        <f t="shared" si="31"/>
        <v>-2.2272291666666666</v>
      </c>
      <c r="J123" s="19">
        <f t="shared" si="31"/>
        <v>-2.5209166666666665</v>
      </c>
      <c r="K123" s="19">
        <f t="shared" si="31"/>
        <v>-0.51270833333333288</v>
      </c>
      <c r="L123" s="19">
        <f t="shared" si="31"/>
        <v>-0.9111458333333331</v>
      </c>
      <c r="M123" s="19">
        <f t="shared" si="31"/>
        <v>-3.2674687499999995</v>
      </c>
      <c r="N123" s="19">
        <f t="shared" si="31"/>
        <v>-1.2571416666666666</v>
      </c>
      <c r="O123" s="19">
        <f t="shared" si="31"/>
        <v>-4.1418541666666657</v>
      </c>
      <c r="P123" s="19">
        <f t="shared" si="31"/>
        <v>-3.7529166666666662</v>
      </c>
      <c r="Q123" s="19">
        <f t="shared" si="31"/>
        <v>-3.2227083333333328</v>
      </c>
      <c r="R123" s="19">
        <f t="shared" si="31"/>
        <v>-4.091333333333333</v>
      </c>
      <c r="S123" s="19">
        <f t="shared" si="31"/>
        <v>-3.5374166666666662</v>
      </c>
      <c r="T123" s="19">
        <f t="shared" si="31"/>
        <v>-4.0229270833333324</v>
      </c>
      <c r="U123" s="19">
        <f t="shared" si="31"/>
        <v>-3.3878541666666662</v>
      </c>
      <c r="V123" s="19">
        <f t="shared" si="31"/>
        <v>-3.4524270833333333</v>
      </c>
    </row>
    <row r="124" spans="1:22" ht="15.75">
      <c r="A124" s="2"/>
      <c r="B124" s="4" t="s">
        <v>45</v>
      </c>
      <c r="C124" s="4" t="s">
        <v>27</v>
      </c>
      <c r="D124" s="19">
        <f t="shared" ref="D124:V124" si="32">D53-D116</f>
        <v>-3.636874999999999</v>
      </c>
      <c r="E124" s="19">
        <f t="shared" si="32"/>
        <v>-2.8457291666666658</v>
      </c>
      <c r="F124" s="19">
        <f t="shared" si="32"/>
        <v>-3.9580208333333324</v>
      </c>
      <c r="G124" s="19">
        <f t="shared" si="32"/>
        <v>-3.8238541666666661</v>
      </c>
      <c r="H124" s="19">
        <f t="shared" si="32"/>
        <v>-3.4783333333333326</v>
      </c>
      <c r="I124" s="19">
        <f t="shared" si="32"/>
        <v>-2.2272291666666666</v>
      </c>
      <c r="J124" s="19">
        <f t="shared" si="32"/>
        <v>-2.5209166666666665</v>
      </c>
      <c r="K124" s="19">
        <f t="shared" si="32"/>
        <v>-0.51270833333333288</v>
      </c>
      <c r="L124" s="19">
        <f t="shared" si="32"/>
        <v>-0.9111458333333331</v>
      </c>
      <c r="M124" s="19">
        <f t="shared" si="32"/>
        <v>-3.2674687499999995</v>
      </c>
      <c r="N124" s="19">
        <f t="shared" si="32"/>
        <v>-1.2571416666666666</v>
      </c>
      <c r="O124" s="19">
        <f t="shared" si="32"/>
        <v>-4.1418541666666657</v>
      </c>
      <c r="P124" s="19">
        <f t="shared" si="32"/>
        <v>-3.7529166666666662</v>
      </c>
      <c r="Q124" s="19">
        <f t="shared" si="32"/>
        <v>-3.2227083333333328</v>
      </c>
      <c r="R124" s="19">
        <f t="shared" si="32"/>
        <v>-4.091333333333333</v>
      </c>
      <c r="S124" s="19">
        <f t="shared" si="32"/>
        <v>-3.5374166666666662</v>
      </c>
      <c r="T124" s="19">
        <f t="shared" si="32"/>
        <v>-4.0229270833333324</v>
      </c>
      <c r="U124" s="19">
        <f t="shared" si="32"/>
        <v>-3.3878541666666662</v>
      </c>
      <c r="V124" s="19">
        <f t="shared" si="32"/>
        <v>-3.4524270833333333</v>
      </c>
    </row>
    <row r="125" spans="1:22" ht="15.75">
      <c r="A125" s="2"/>
      <c r="B125" s="11" t="s">
        <v>46</v>
      </c>
      <c r="C125" s="11" t="s">
        <v>47</v>
      </c>
      <c r="D125" s="20">
        <f t="shared" ref="D125:V125" si="33">IF(D116=0,"-",D53/D116)</f>
        <v>0.24271212909942744</v>
      </c>
      <c r="E125" s="20">
        <f t="shared" si="33"/>
        <v>0.31675170068027214</v>
      </c>
      <c r="F125" s="20">
        <f t="shared" si="33"/>
        <v>0.21739578184214869</v>
      </c>
      <c r="G125" s="20">
        <f t="shared" si="33"/>
        <v>0.23751661681621802</v>
      </c>
      <c r="H125" s="20">
        <f t="shared" si="33"/>
        <v>0.2491455297715417</v>
      </c>
      <c r="I125" s="20">
        <f t="shared" si="33"/>
        <v>0.36443192019357107</v>
      </c>
      <c r="J125" s="20">
        <f t="shared" si="33"/>
        <v>0.34699736648966023</v>
      </c>
      <c r="K125" s="20">
        <f t="shared" si="33"/>
        <v>0.71829212454212477</v>
      </c>
      <c r="L125" s="20">
        <f t="shared" si="33"/>
        <v>0.52544487847222232</v>
      </c>
      <c r="M125" s="20">
        <f t="shared" si="33"/>
        <v>0.27894820321497293</v>
      </c>
      <c r="N125" s="20">
        <f t="shared" si="33"/>
        <v>0.48750326983900505</v>
      </c>
      <c r="O125" s="20">
        <f t="shared" si="33"/>
        <v>0.21414397748474215</v>
      </c>
      <c r="P125" s="20">
        <f t="shared" si="33"/>
        <v>0.25918614932247652</v>
      </c>
      <c r="Q125" s="20">
        <f t="shared" si="33"/>
        <v>0.25999808649062384</v>
      </c>
      <c r="R125" s="20">
        <f t="shared" si="33"/>
        <v>0.22372956392499133</v>
      </c>
      <c r="S125" s="20">
        <f t="shared" si="33"/>
        <v>0.29191479424177219</v>
      </c>
      <c r="T125" s="20">
        <f t="shared" si="33"/>
        <v>0.20641075431880343</v>
      </c>
      <c r="U125" s="20">
        <f t="shared" si="33"/>
        <v>0.2901672690447506</v>
      </c>
      <c r="V125" s="20">
        <f t="shared" si="33"/>
        <v>0.27844722673964206</v>
      </c>
    </row>
    <row r="126" spans="1:22" ht="15.75">
      <c r="A126" s="2"/>
      <c r="B126" s="11" t="s">
        <v>48</v>
      </c>
      <c r="C126" s="11" t="s">
        <v>47</v>
      </c>
      <c r="D126" s="20">
        <f t="shared" ref="D126:V126" si="34">IF(D116=0,"-",D61/D116)</f>
        <v>0.19770518826999828</v>
      </c>
      <c r="E126" s="20">
        <f t="shared" si="34"/>
        <v>0.31262505002000807</v>
      </c>
      <c r="F126" s="20">
        <f t="shared" si="34"/>
        <v>0.22522244191794366</v>
      </c>
      <c r="G126" s="20">
        <f t="shared" si="34"/>
        <v>0.22598870056497175</v>
      </c>
      <c r="H126" s="20">
        <f t="shared" si="34"/>
        <v>0.24228728188523116</v>
      </c>
      <c r="I126" s="20">
        <f t="shared" si="34"/>
        <v>0.33871955388301322</v>
      </c>
      <c r="J126" s="20">
        <f t="shared" si="34"/>
        <v>0.2485105556275094</v>
      </c>
      <c r="K126" s="20">
        <f t="shared" si="34"/>
        <v>0.70169413919413925</v>
      </c>
      <c r="L126" s="20">
        <f t="shared" si="34"/>
        <v>0.67328559027777779</v>
      </c>
      <c r="M126" s="20">
        <f t="shared" si="34"/>
        <v>0.26400660188907815</v>
      </c>
      <c r="N126" s="20">
        <f t="shared" si="34"/>
        <v>0.44291455613421798</v>
      </c>
      <c r="O126" s="20">
        <f t="shared" si="34"/>
        <v>0.23183284318375869</v>
      </c>
      <c r="P126" s="20">
        <f t="shared" si="34"/>
        <v>0.24242798100055524</v>
      </c>
      <c r="Q126" s="20">
        <f t="shared" si="34"/>
        <v>0.28260141599693839</v>
      </c>
      <c r="R126" s="20">
        <f t="shared" si="34"/>
        <v>0.22837412642696769</v>
      </c>
      <c r="S126" s="20">
        <f t="shared" si="34"/>
        <v>0.22154247777277358</v>
      </c>
      <c r="T126" s="20">
        <f t="shared" si="34"/>
        <v>0.22079477901000927</v>
      </c>
      <c r="U126" s="20">
        <f t="shared" si="34"/>
        <v>0.30326244478200903</v>
      </c>
      <c r="V126" s="20">
        <f t="shared" si="34"/>
        <v>0.22086373067034154</v>
      </c>
    </row>
    <row r="127" spans="1:22" ht="15.75">
      <c r="A127" s="2"/>
      <c r="B127" s="11" t="s">
        <v>49</v>
      </c>
      <c r="C127" s="11" t="s">
        <v>27</v>
      </c>
      <c r="D127" s="15">
        <f t="shared" ref="D127:V127" si="35">D77</f>
        <v>0.21614583333333331</v>
      </c>
      <c r="E127" s="15">
        <f t="shared" si="35"/>
        <v>0.23333333333333331</v>
      </c>
      <c r="F127" s="15">
        <f t="shared" si="35"/>
        <v>0.19374999999999998</v>
      </c>
      <c r="G127" s="15">
        <f t="shared" si="35"/>
        <v>0.25156249999999997</v>
      </c>
      <c r="H127" s="15">
        <f t="shared" si="35"/>
        <v>0.28333333333333333</v>
      </c>
      <c r="I127" s="15">
        <f t="shared" si="35"/>
        <v>0.37343749999999998</v>
      </c>
      <c r="J127" s="15">
        <f t="shared" si="35"/>
        <v>0.75364583333333335</v>
      </c>
      <c r="K127" s="15">
        <f t="shared" si="35"/>
        <v>0.78385416666666674</v>
      </c>
      <c r="L127" s="15">
        <f t="shared" si="35"/>
        <v>0.5</v>
      </c>
      <c r="M127" s="15">
        <f t="shared" si="35"/>
        <v>0.56770833333333326</v>
      </c>
      <c r="N127" s="15">
        <f t="shared" si="35"/>
        <v>0.67708333333333326</v>
      </c>
      <c r="O127" s="15">
        <f t="shared" si="35"/>
        <v>0.58385416666666656</v>
      </c>
      <c r="P127" s="15">
        <f t="shared" si="35"/>
        <v>0.66874999999999996</v>
      </c>
      <c r="Q127" s="15">
        <f t="shared" si="35"/>
        <v>0.5703125</v>
      </c>
      <c r="R127" s="15">
        <f t="shared" si="35"/>
        <v>0.54583333333333328</v>
      </c>
      <c r="S127" s="15">
        <f t="shared" si="35"/>
        <v>0.89739583333333339</v>
      </c>
      <c r="T127" s="15">
        <f t="shared" si="35"/>
        <v>0.82447916666666676</v>
      </c>
      <c r="U127" s="15">
        <f t="shared" si="35"/>
        <v>0.76197916666666665</v>
      </c>
      <c r="V127" s="15">
        <f t="shared" si="35"/>
        <v>1.0375000000000001</v>
      </c>
    </row>
    <row r="128" spans="1:22" ht="15.7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spans="1:22" ht="15.75">
      <c r="A129" s="4" t="s">
        <v>42</v>
      </c>
      <c r="B129" s="4" t="s">
        <v>44</v>
      </c>
      <c r="C129" s="4" t="s">
        <v>27</v>
      </c>
      <c r="D129" s="19">
        <f t="shared" ref="D129:V129" si="36">D87-D119</f>
        <v>-2.2598958333333328</v>
      </c>
      <c r="E129" s="19">
        <f t="shared" si="36"/>
        <v>-1.7766666666666664</v>
      </c>
      <c r="F129" s="19">
        <f t="shared" si="36"/>
        <v>-2.4301041666666672</v>
      </c>
      <c r="G129" s="19">
        <f t="shared" si="36"/>
        <v>-2.3709374999999997</v>
      </c>
      <c r="H129" s="19">
        <f t="shared" si="36"/>
        <v>-2.1268750000000001</v>
      </c>
      <c r="I129" s="19">
        <f t="shared" si="36"/>
        <v>-1.8328125000000004</v>
      </c>
      <c r="J129" s="19">
        <f t="shared" si="36"/>
        <v>-2.0703125</v>
      </c>
      <c r="K129" s="19">
        <f t="shared" si="36"/>
        <v>-1.8168750000000002</v>
      </c>
      <c r="L129" s="19">
        <f t="shared" si="36"/>
        <v>-2.1074999999999999</v>
      </c>
      <c r="M129" s="19">
        <f t="shared" si="36"/>
        <v>-1.8415625000000002</v>
      </c>
      <c r="N129" s="19">
        <f t="shared" si="36"/>
        <v>-0.79366666666666641</v>
      </c>
      <c r="O129" s="19">
        <f t="shared" si="36"/>
        <v>-2.3031250000000005</v>
      </c>
      <c r="P129" s="19">
        <f t="shared" si="36"/>
        <v>-2.0859375</v>
      </c>
      <c r="Q129" s="19">
        <f t="shared" si="36"/>
        <v>-1.7920833333333337</v>
      </c>
      <c r="R129" s="19">
        <f t="shared" si="36"/>
        <v>-2.2765625000000007</v>
      </c>
      <c r="S129" s="19">
        <f t="shared" si="36"/>
        <v>-2.0106250000000001</v>
      </c>
      <c r="T129" s="19">
        <f t="shared" si="36"/>
        <v>-2.2400000000000002</v>
      </c>
      <c r="U129" s="19">
        <f t="shared" si="36"/>
        <v>-1.8980208333333333</v>
      </c>
      <c r="V129" s="19">
        <f t="shared" si="36"/>
        <v>-1.9443750000000002</v>
      </c>
    </row>
    <row r="130" spans="1:22" ht="15.75">
      <c r="A130" s="2"/>
      <c r="B130" s="4" t="s">
        <v>45</v>
      </c>
      <c r="C130" s="4" t="s">
        <v>27</v>
      </c>
      <c r="D130" s="19">
        <f t="shared" ref="D130:V130" si="37">D87-D120</f>
        <v>-2.2598958333333328</v>
      </c>
      <c r="E130" s="19">
        <f t="shared" si="37"/>
        <v>-1.7766666666666664</v>
      </c>
      <c r="F130" s="19">
        <f t="shared" si="37"/>
        <v>-2.4301041666666672</v>
      </c>
      <c r="G130" s="19">
        <f t="shared" si="37"/>
        <v>-2.3709374999999997</v>
      </c>
      <c r="H130" s="19">
        <f t="shared" si="37"/>
        <v>-2.1268750000000001</v>
      </c>
      <c r="I130" s="19">
        <f t="shared" si="37"/>
        <v>-1.8328125000000004</v>
      </c>
      <c r="J130" s="19">
        <f t="shared" si="37"/>
        <v>-2.0703125</v>
      </c>
      <c r="K130" s="19">
        <f t="shared" si="37"/>
        <v>-1.8168750000000002</v>
      </c>
      <c r="L130" s="19">
        <f t="shared" si="37"/>
        <v>-2.1074999999999999</v>
      </c>
      <c r="M130" s="19">
        <f t="shared" si="37"/>
        <v>-1.8415625000000002</v>
      </c>
      <c r="N130" s="19">
        <f t="shared" si="37"/>
        <v>-0.79366666666666641</v>
      </c>
      <c r="O130" s="19">
        <f t="shared" si="37"/>
        <v>-2.3031250000000005</v>
      </c>
      <c r="P130" s="19">
        <f t="shared" si="37"/>
        <v>-2.0859375</v>
      </c>
      <c r="Q130" s="19">
        <f t="shared" si="37"/>
        <v>-1.7920833333333337</v>
      </c>
      <c r="R130" s="19">
        <f t="shared" si="37"/>
        <v>-2.2765625000000007</v>
      </c>
      <c r="S130" s="19">
        <f t="shared" si="37"/>
        <v>-2.0106250000000001</v>
      </c>
      <c r="T130" s="19">
        <f t="shared" si="37"/>
        <v>-2.2400000000000002</v>
      </c>
      <c r="U130" s="19">
        <f t="shared" si="37"/>
        <v>-1.8980208333333333</v>
      </c>
      <c r="V130" s="19">
        <f t="shared" si="37"/>
        <v>-1.9443750000000002</v>
      </c>
    </row>
    <row r="131" spans="1:22" ht="15.75">
      <c r="A131" s="2"/>
      <c r="B131" s="11" t="s">
        <v>46</v>
      </c>
      <c r="C131" s="11" t="s">
        <v>47</v>
      </c>
      <c r="D131" s="20">
        <f t="shared" ref="D131:V131" si="38">IF(D120=0,"-",D87/D120)</f>
        <v>0.21249410141928929</v>
      </c>
      <c r="E131" s="20">
        <f t="shared" si="38"/>
        <v>0.2796993116263356</v>
      </c>
      <c r="F131" s="20">
        <f t="shared" si="38"/>
        <v>0.19248875043267563</v>
      </c>
      <c r="G131" s="20">
        <f t="shared" si="38"/>
        <v>0.20795490134669592</v>
      </c>
      <c r="H131" s="20">
        <f t="shared" si="38"/>
        <v>0.22092490842490844</v>
      </c>
      <c r="I131" s="20">
        <f t="shared" si="38"/>
        <v>0.26833832335329333</v>
      </c>
      <c r="J131" s="20">
        <f t="shared" si="38"/>
        <v>0.25394144144144148</v>
      </c>
      <c r="K131" s="20">
        <f t="shared" si="38"/>
        <v>0.27470059880239522</v>
      </c>
      <c r="L131" s="20">
        <f t="shared" si="38"/>
        <v>0.20170454545454544</v>
      </c>
      <c r="M131" s="20">
        <f t="shared" si="38"/>
        <v>0.26484530938123751</v>
      </c>
      <c r="N131" s="20">
        <f t="shared" si="38"/>
        <v>0.44186591654946095</v>
      </c>
      <c r="O131" s="20">
        <f t="shared" si="38"/>
        <v>0.204447322970639</v>
      </c>
      <c r="P131" s="20">
        <f t="shared" si="38"/>
        <v>0.24831081081081083</v>
      </c>
      <c r="Q131" s="20">
        <f t="shared" si="38"/>
        <v>0.24860237596086648</v>
      </c>
      <c r="R131" s="20">
        <f t="shared" si="38"/>
        <v>0.21362262521588943</v>
      </c>
      <c r="S131" s="20">
        <f t="shared" si="38"/>
        <v>0.27545045045045041</v>
      </c>
      <c r="T131" s="20">
        <f t="shared" si="38"/>
        <v>0.1971326164874552</v>
      </c>
      <c r="U131" s="20">
        <f t="shared" si="38"/>
        <v>0.27694444444444444</v>
      </c>
      <c r="V131" s="20">
        <f t="shared" si="38"/>
        <v>0.26349431818181812</v>
      </c>
    </row>
    <row r="132" spans="1:22" ht="15.75">
      <c r="A132" s="2"/>
      <c r="B132" s="11" t="s">
        <v>48</v>
      </c>
      <c r="C132" s="11" t="s">
        <v>47</v>
      </c>
      <c r="D132" s="20">
        <f t="shared" ref="D132:V132" si="39">IF(D120=0,"-",D95/D120)</f>
        <v>0.17347272133289776</v>
      </c>
      <c r="E132" s="20">
        <f t="shared" si="39"/>
        <v>0.27657417965285697</v>
      </c>
      <c r="F132" s="20">
        <f t="shared" si="39"/>
        <v>0.19871928002769121</v>
      </c>
      <c r="G132" s="20">
        <f t="shared" si="39"/>
        <v>0.19842015520061249</v>
      </c>
      <c r="H132" s="20">
        <f t="shared" si="39"/>
        <v>0.2161172161172161</v>
      </c>
      <c r="I132" s="20">
        <f t="shared" si="39"/>
        <v>0.25012475049900196</v>
      </c>
      <c r="J132" s="20">
        <f t="shared" si="39"/>
        <v>0.1814564564564565</v>
      </c>
      <c r="K132" s="20">
        <f t="shared" si="39"/>
        <v>0.26625914836992676</v>
      </c>
      <c r="L132" s="20">
        <f t="shared" si="39"/>
        <v>0.25674715909090912</v>
      </c>
      <c r="M132" s="20">
        <f t="shared" si="39"/>
        <v>0.24995841650033263</v>
      </c>
      <c r="N132" s="20">
        <f t="shared" si="39"/>
        <v>0.40047761368963908</v>
      </c>
      <c r="O132" s="20">
        <f t="shared" si="39"/>
        <v>0.22218624064478987</v>
      </c>
      <c r="P132" s="20">
        <f t="shared" si="39"/>
        <v>0.2330705705705706</v>
      </c>
      <c r="Q132" s="20">
        <f t="shared" si="39"/>
        <v>0.26930468204053104</v>
      </c>
      <c r="R132" s="20">
        <f t="shared" si="39"/>
        <v>0.21901986183074257</v>
      </c>
      <c r="S132" s="20">
        <f t="shared" si="39"/>
        <v>0.20915915915915917</v>
      </c>
      <c r="T132" s="20">
        <f t="shared" si="39"/>
        <v>0.21165621266427714</v>
      </c>
      <c r="U132" s="20">
        <f t="shared" si="39"/>
        <v>0.28869047619047616</v>
      </c>
      <c r="V132" s="20">
        <f t="shared" si="39"/>
        <v>0.20955650252525251</v>
      </c>
    </row>
    <row r="133" spans="1:22" ht="15.75">
      <c r="A133" s="2"/>
      <c r="B133" s="11" t="s">
        <v>49</v>
      </c>
      <c r="C133" s="11" t="s">
        <v>27</v>
      </c>
      <c r="D133" s="15">
        <f t="shared" ref="D133:V133" si="40">D111</f>
        <v>0.11197916666666667</v>
      </c>
      <c r="E133" s="15">
        <f t="shared" si="40"/>
        <v>0.11968749999999999</v>
      </c>
      <c r="F133" s="15">
        <f t="shared" si="40"/>
        <v>0.1009375</v>
      </c>
      <c r="G133" s="15">
        <f t="shared" si="40"/>
        <v>0.12947916666666667</v>
      </c>
      <c r="H133" s="15">
        <f t="shared" si="40"/>
        <v>0.14260416666666664</v>
      </c>
      <c r="I133" s="15">
        <f t="shared" si="40"/>
        <v>0.18822916666666667</v>
      </c>
      <c r="J133" s="15">
        <f t="shared" si="40"/>
        <v>0.38937500000000003</v>
      </c>
      <c r="K133" s="15">
        <f t="shared" si="40"/>
        <v>0.41052083333333333</v>
      </c>
      <c r="L133" s="15">
        <f t="shared" si="40"/>
        <v>0.26520833333333332</v>
      </c>
      <c r="M133" s="15">
        <f t="shared" si="40"/>
        <v>0.30249999999999999</v>
      </c>
      <c r="N133" s="15">
        <f t="shared" si="40"/>
        <v>0.36135416666666675</v>
      </c>
      <c r="O133" s="15">
        <f t="shared" si="40"/>
        <v>0.30999999999999994</v>
      </c>
      <c r="P133" s="15">
        <f t="shared" si="40"/>
        <v>0.35229166666666667</v>
      </c>
      <c r="Q133" s="15">
        <f t="shared" si="40"/>
        <v>0.30291666666666667</v>
      </c>
      <c r="R133" s="15">
        <f t="shared" si="40"/>
        <v>0.28729166666666667</v>
      </c>
      <c r="S133" s="15">
        <f t="shared" si="40"/>
        <v>0.47124999999999995</v>
      </c>
      <c r="T133" s="15">
        <f t="shared" si="40"/>
        <v>0.43072916666666666</v>
      </c>
      <c r="U133" s="15">
        <f t="shared" si="40"/>
        <v>0.39989583333333334</v>
      </c>
      <c r="V133" s="15">
        <f t="shared" si="40"/>
        <v>0.54229166666666673</v>
      </c>
    </row>
    <row r="134" spans="1:22" ht="15.7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spans="1:22" ht="15.7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spans="1:22" ht="15.75">
      <c r="A136" s="4" t="s">
        <v>50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spans="1:22" ht="15.75">
      <c r="A137" s="11" t="s">
        <v>51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spans="1:22" ht="15.75">
      <c r="A138" s="11" t="s">
        <v>52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spans="1:22" ht="15.75">
      <c r="A139" s="11" t="s">
        <v>53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spans="1:22" ht="15.75">
      <c r="A140" s="11" t="s">
        <v>54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</sheetData>
  <phoneticPr fontId="9"/>
  <conditionalFormatting sqref="D123:V124">
    <cfRule type="cellIs" dxfId="3" priority="1" operator="greaterThan">
      <formula>0</formula>
    </cfRule>
  </conditionalFormatting>
  <conditionalFormatting sqref="D129:V130">
    <cfRule type="cellIs" dxfId="2" priority="3" operator="greaterThan">
      <formula>0</formula>
    </cfRule>
  </conditionalFormatting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9"/>
  <sheetViews>
    <sheetView workbookViewId="0">
      <pane xSplit="3" ySplit="3" topLeftCell="D4" activePane="bottomRight" state="frozen"/>
      <selection pane="topRight"/>
      <selection pane="bottomLeft"/>
      <selection pane="bottomRight" activeCell="D14" sqref="D14"/>
    </sheetView>
  </sheetViews>
  <sheetFormatPr defaultRowHeight="13.5"/>
  <cols>
    <col min="1" max="1" width="14" customWidth="1"/>
    <col min="2" max="3" width="2" customWidth="1"/>
    <col min="4" max="22" width="10.5" customWidth="1"/>
  </cols>
  <sheetData>
    <row r="1" spans="1:22" ht="19.5">
      <c r="A1" s="1" t="s">
        <v>55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1:22" ht="15.75">
      <c r="A2" s="2" t="s">
        <v>56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ht="15.7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ht="15.75">
      <c r="A4" s="8" t="s">
        <v>57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</row>
    <row r="5" spans="1:22" ht="15.75">
      <c r="A5" s="21" t="s">
        <v>58</v>
      </c>
      <c r="B5" s="2"/>
      <c r="C5" s="2"/>
      <c r="D5" s="5">
        <f>月次!D$4</f>
        <v>46113</v>
      </c>
      <c r="E5" s="5">
        <f>月次!E$4</f>
        <v>46143</v>
      </c>
      <c r="F5" s="5">
        <f>月次!F$4</f>
        <v>46174</v>
      </c>
      <c r="G5" s="5">
        <f>月次!G$4</f>
        <v>46204</v>
      </c>
      <c r="H5" s="5">
        <f>月次!H$4</f>
        <v>46235</v>
      </c>
      <c r="I5" s="5">
        <f>月次!I$4</f>
        <v>46266</v>
      </c>
      <c r="J5" s="5">
        <f>月次!J$4</f>
        <v>46296</v>
      </c>
      <c r="K5" s="5">
        <f>月次!K$4</f>
        <v>46327</v>
      </c>
      <c r="L5" s="5">
        <f>月次!L$4</f>
        <v>46357</v>
      </c>
      <c r="M5" s="5">
        <f>月次!M$4</f>
        <v>46388</v>
      </c>
      <c r="N5" s="5">
        <f>月次!N$4</f>
        <v>46419</v>
      </c>
      <c r="O5" s="5">
        <f>月次!O$4</f>
        <v>46447</v>
      </c>
      <c r="P5" s="5">
        <f>月次!P$4</f>
        <v>46478</v>
      </c>
      <c r="Q5" s="5">
        <f>月次!Q$4</f>
        <v>46508</v>
      </c>
      <c r="R5" s="5">
        <f>月次!R$4</f>
        <v>46539</v>
      </c>
      <c r="S5" s="5">
        <f>月次!S$4</f>
        <v>46569</v>
      </c>
      <c r="T5" s="5">
        <f>月次!T$4</f>
        <v>46600</v>
      </c>
      <c r="U5" s="5">
        <f>月次!U$4</f>
        <v>46631</v>
      </c>
      <c r="V5" s="5">
        <f>月次!V$4</f>
        <v>46661</v>
      </c>
    </row>
    <row r="6" spans="1:22" ht="15.75">
      <c r="A6" s="22" t="s">
        <v>12</v>
      </c>
      <c r="B6" s="2"/>
      <c r="C6" s="2"/>
      <c r="D6" s="23">
        <v>137</v>
      </c>
      <c r="E6" s="23">
        <v>156</v>
      </c>
      <c r="F6" s="23">
        <v>119</v>
      </c>
      <c r="G6" s="23">
        <v>111</v>
      </c>
      <c r="H6" s="23">
        <v>127</v>
      </c>
      <c r="I6" s="23">
        <v>200</v>
      </c>
      <c r="J6" s="23">
        <v>190</v>
      </c>
      <c r="K6" s="23">
        <v>152</v>
      </c>
      <c r="L6" s="23">
        <v>172</v>
      </c>
      <c r="M6" s="23">
        <v>159</v>
      </c>
      <c r="N6" s="23">
        <v>151</v>
      </c>
      <c r="O6" s="23">
        <v>128</v>
      </c>
      <c r="P6" s="23">
        <v>136</v>
      </c>
      <c r="Q6" s="23">
        <v>107</v>
      </c>
      <c r="R6" s="23">
        <v>111</v>
      </c>
      <c r="S6" s="23">
        <v>137</v>
      </c>
      <c r="T6" s="23">
        <v>151</v>
      </c>
      <c r="U6" s="23">
        <v>159</v>
      </c>
      <c r="V6" s="23">
        <v>107</v>
      </c>
    </row>
    <row r="7" spans="1:22" ht="15.75">
      <c r="A7" s="22" t="s">
        <v>19</v>
      </c>
      <c r="B7" s="2"/>
      <c r="C7" s="2"/>
      <c r="D7" s="23">
        <v>145</v>
      </c>
      <c r="E7" s="23">
        <v>196</v>
      </c>
      <c r="F7" s="23">
        <v>108</v>
      </c>
      <c r="G7" s="23">
        <v>174</v>
      </c>
      <c r="H7" s="23">
        <v>177</v>
      </c>
      <c r="I7" s="23">
        <v>140</v>
      </c>
      <c r="J7" s="23">
        <v>144</v>
      </c>
      <c r="K7" s="23">
        <v>110</v>
      </c>
      <c r="L7" s="23">
        <v>115</v>
      </c>
      <c r="M7" s="23">
        <v>137</v>
      </c>
      <c r="N7" s="23">
        <v>132</v>
      </c>
      <c r="O7" s="23">
        <v>121</v>
      </c>
      <c r="P7" s="23">
        <v>134</v>
      </c>
      <c r="Q7" s="23">
        <v>124</v>
      </c>
      <c r="R7" s="23">
        <v>113</v>
      </c>
      <c r="S7" s="23">
        <v>167</v>
      </c>
      <c r="T7" s="23">
        <v>103</v>
      </c>
      <c r="U7" s="23">
        <v>166</v>
      </c>
      <c r="V7" s="23">
        <v>189</v>
      </c>
    </row>
    <row r="8" spans="1:22" ht="15.75">
      <c r="A8" s="22" t="s">
        <v>20</v>
      </c>
      <c r="B8" s="2"/>
      <c r="C8" s="2"/>
      <c r="D8" s="23">
        <v>155</v>
      </c>
      <c r="E8" s="23">
        <v>105</v>
      </c>
      <c r="F8" s="23">
        <v>118</v>
      </c>
      <c r="G8" s="23">
        <v>123</v>
      </c>
      <c r="H8" s="23">
        <v>141</v>
      </c>
      <c r="I8" s="23">
        <v>185</v>
      </c>
      <c r="J8" s="23">
        <v>109</v>
      </c>
      <c r="K8" s="23">
        <v>137</v>
      </c>
      <c r="L8" s="23">
        <v>114</v>
      </c>
      <c r="M8" s="23">
        <v>198</v>
      </c>
      <c r="N8" s="23">
        <v>105</v>
      </c>
      <c r="O8" s="23">
        <v>195</v>
      </c>
      <c r="P8" s="23">
        <v>199</v>
      </c>
      <c r="Q8" s="23">
        <v>124</v>
      </c>
      <c r="R8" s="23">
        <v>138</v>
      </c>
      <c r="S8" s="23">
        <v>193</v>
      </c>
      <c r="T8" s="23">
        <v>102</v>
      </c>
      <c r="U8" s="23">
        <v>186</v>
      </c>
      <c r="V8" s="23">
        <v>112</v>
      </c>
    </row>
    <row r="9" spans="1:22" ht="15.75">
      <c r="A9" s="22" t="s">
        <v>21</v>
      </c>
      <c r="B9" s="2"/>
      <c r="C9" s="2"/>
      <c r="D9" s="23">
        <v>100</v>
      </c>
      <c r="E9" s="23">
        <v>133</v>
      </c>
      <c r="F9" s="23">
        <v>165</v>
      </c>
      <c r="G9" s="23">
        <v>177</v>
      </c>
      <c r="H9" s="23">
        <v>115</v>
      </c>
      <c r="I9" s="23">
        <v>136</v>
      </c>
      <c r="J9" s="23">
        <v>176</v>
      </c>
      <c r="K9" s="23">
        <v>192</v>
      </c>
      <c r="L9" s="23">
        <v>107</v>
      </c>
      <c r="M9" s="23">
        <v>108</v>
      </c>
      <c r="N9" s="23">
        <v>144</v>
      </c>
      <c r="O9" s="23">
        <v>101</v>
      </c>
      <c r="P9" s="23">
        <v>108</v>
      </c>
      <c r="Q9" s="23">
        <v>161</v>
      </c>
      <c r="R9" s="23">
        <v>197</v>
      </c>
      <c r="S9" s="23">
        <v>189</v>
      </c>
      <c r="T9" s="23">
        <v>132</v>
      </c>
      <c r="U9" s="23">
        <v>118</v>
      </c>
      <c r="V9" s="23">
        <v>152</v>
      </c>
    </row>
    <row r="10" spans="1:22" ht="15.75">
      <c r="A10" s="22" t="s">
        <v>22</v>
      </c>
      <c r="B10" s="2"/>
      <c r="C10" s="2"/>
      <c r="D10" s="23">
        <v>126</v>
      </c>
      <c r="E10" s="23">
        <v>187</v>
      </c>
      <c r="F10" s="23">
        <v>165</v>
      </c>
      <c r="G10" s="23">
        <v>106</v>
      </c>
      <c r="H10" s="23">
        <v>117</v>
      </c>
      <c r="I10" s="23">
        <v>125</v>
      </c>
      <c r="J10" s="23">
        <v>195</v>
      </c>
      <c r="K10" s="23">
        <v>181</v>
      </c>
      <c r="L10" s="23">
        <v>146</v>
      </c>
      <c r="M10" s="23">
        <v>138</v>
      </c>
      <c r="N10" s="23">
        <v>184</v>
      </c>
      <c r="O10" s="23">
        <v>105</v>
      </c>
      <c r="P10" s="23">
        <v>182</v>
      </c>
      <c r="Q10" s="23">
        <v>122</v>
      </c>
      <c r="R10" s="23">
        <v>108</v>
      </c>
      <c r="S10" s="23">
        <v>157</v>
      </c>
      <c r="T10" s="23">
        <v>130</v>
      </c>
      <c r="U10" s="23">
        <v>200</v>
      </c>
      <c r="V10" s="23">
        <v>195</v>
      </c>
    </row>
    <row r="11" spans="1:22" ht="15.75">
      <c r="A11" s="22" t="s">
        <v>23</v>
      </c>
      <c r="B11" s="2"/>
      <c r="C11" s="2"/>
      <c r="D11" s="23">
        <v>189</v>
      </c>
      <c r="E11" s="23">
        <v>159</v>
      </c>
      <c r="F11" s="23">
        <v>108</v>
      </c>
      <c r="G11" s="23">
        <v>131</v>
      </c>
      <c r="H11" s="23">
        <v>131</v>
      </c>
      <c r="I11" s="23">
        <v>177</v>
      </c>
      <c r="J11" s="23">
        <v>183</v>
      </c>
      <c r="K11" s="23">
        <v>194</v>
      </c>
      <c r="L11" s="23">
        <v>102</v>
      </c>
      <c r="M11" s="23">
        <v>194</v>
      </c>
      <c r="N11" s="23">
        <v>159</v>
      </c>
      <c r="O11" s="23">
        <v>176</v>
      </c>
      <c r="P11" s="23">
        <v>191</v>
      </c>
      <c r="Q11" s="23">
        <v>175</v>
      </c>
      <c r="R11" s="23">
        <v>186</v>
      </c>
      <c r="S11" s="23">
        <v>189</v>
      </c>
      <c r="T11" s="23">
        <v>177</v>
      </c>
      <c r="U11" s="23">
        <v>162</v>
      </c>
      <c r="V11" s="23">
        <v>159</v>
      </c>
    </row>
    <row r="12" spans="1:22" ht="15.7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22" ht="15.75">
      <c r="A13" s="8" t="s">
        <v>59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</row>
    <row r="14" spans="1:22" ht="15.75">
      <c r="A14" s="21" t="s">
        <v>58</v>
      </c>
      <c r="B14" s="2"/>
      <c r="C14" s="2"/>
      <c r="D14" s="5">
        <f>月次!D$4</f>
        <v>46113</v>
      </c>
      <c r="E14" s="5">
        <f>月次!E$4</f>
        <v>46143</v>
      </c>
      <c r="F14" s="5">
        <f>月次!F$4</f>
        <v>46174</v>
      </c>
      <c r="G14" s="5">
        <f>月次!G$4</f>
        <v>46204</v>
      </c>
      <c r="H14" s="5">
        <f>月次!H$4</f>
        <v>46235</v>
      </c>
      <c r="I14" s="5">
        <f>月次!I$4</f>
        <v>46266</v>
      </c>
      <c r="J14" s="5">
        <f>月次!J$4</f>
        <v>46296</v>
      </c>
      <c r="K14" s="5">
        <f>月次!K$4</f>
        <v>46327</v>
      </c>
      <c r="L14" s="5">
        <f>月次!L$4</f>
        <v>46357</v>
      </c>
      <c r="M14" s="5">
        <f>月次!M$4</f>
        <v>46388</v>
      </c>
      <c r="N14" s="5">
        <f>月次!N$4</f>
        <v>46419</v>
      </c>
      <c r="O14" s="5">
        <f>月次!O$4</f>
        <v>46447</v>
      </c>
      <c r="P14" s="5">
        <f>月次!P$4</f>
        <v>46478</v>
      </c>
      <c r="Q14" s="5">
        <f>月次!Q$4</f>
        <v>46508</v>
      </c>
      <c r="R14" s="5">
        <f>月次!R$4</f>
        <v>46539</v>
      </c>
      <c r="S14" s="5">
        <f>月次!S$4</f>
        <v>46569</v>
      </c>
      <c r="T14" s="5">
        <f>月次!T$4</f>
        <v>46600</v>
      </c>
      <c r="U14" s="5">
        <f>月次!U$4</f>
        <v>46631</v>
      </c>
      <c r="V14" s="5">
        <f>月次!V$4</f>
        <v>46661</v>
      </c>
    </row>
    <row r="15" spans="1:22" ht="15.75">
      <c r="A15" s="22" t="s">
        <v>12</v>
      </c>
      <c r="B15" s="2"/>
      <c r="C15" s="2"/>
      <c r="D15" s="23">
        <v>105</v>
      </c>
      <c r="E15" s="23">
        <v>130</v>
      </c>
      <c r="F15" s="23">
        <v>135</v>
      </c>
      <c r="G15" s="23">
        <v>153</v>
      </c>
      <c r="H15" s="23">
        <v>127</v>
      </c>
      <c r="I15" s="23">
        <v>186</v>
      </c>
      <c r="J15" s="23">
        <v>127</v>
      </c>
      <c r="K15" s="23">
        <v>115</v>
      </c>
      <c r="L15" s="23">
        <v>195</v>
      </c>
      <c r="M15" s="23">
        <v>103</v>
      </c>
      <c r="N15" s="23">
        <v>146</v>
      </c>
      <c r="O15" s="23">
        <v>130</v>
      </c>
      <c r="P15" s="23">
        <v>157</v>
      </c>
      <c r="Q15" s="23">
        <v>124</v>
      </c>
      <c r="R15" s="23">
        <v>170</v>
      </c>
      <c r="S15" s="23">
        <v>184</v>
      </c>
      <c r="T15" s="23">
        <v>157</v>
      </c>
      <c r="U15" s="23">
        <v>159</v>
      </c>
      <c r="V15" s="23">
        <v>101</v>
      </c>
    </row>
    <row r="16" spans="1:22" ht="15.75">
      <c r="A16" s="22" t="s">
        <v>19</v>
      </c>
      <c r="B16" s="2"/>
      <c r="C16" s="2"/>
      <c r="D16" s="23">
        <v>109</v>
      </c>
      <c r="E16" s="23">
        <v>162</v>
      </c>
      <c r="F16" s="23">
        <v>142</v>
      </c>
      <c r="G16" s="23">
        <v>167</v>
      </c>
      <c r="H16" s="23">
        <v>108</v>
      </c>
      <c r="I16" s="23">
        <v>116</v>
      </c>
      <c r="J16" s="23">
        <v>106</v>
      </c>
      <c r="K16" s="23">
        <v>194</v>
      </c>
      <c r="L16" s="23">
        <v>185</v>
      </c>
      <c r="M16" s="23">
        <v>125</v>
      </c>
      <c r="N16" s="23">
        <v>164</v>
      </c>
      <c r="O16" s="23">
        <v>110</v>
      </c>
      <c r="P16" s="23">
        <v>100</v>
      </c>
      <c r="Q16" s="23">
        <v>169</v>
      </c>
      <c r="R16" s="23">
        <v>102</v>
      </c>
      <c r="S16" s="23">
        <v>154</v>
      </c>
      <c r="T16" s="23">
        <v>109</v>
      </c>
      <c r="U16" s="23">
        <v>184</v>
      </c>
      <c r="V16" s="23">
        <v>110</v>
      </c>
    </row>
    <row r="17" spans="1:22" ht="15.75">
      <c r="A17" s="22" t="s">
        <v>20</v>
      </c>
      <c r="B17" s="2"/>
      <c r="C17" s="2"/>
      <c r="D17" s="23">
        <v>112</v>
      </c>
      <c r="E17" s="23">
        <v>148</v>
      </c>
      <c r="F17" s="23">
        <v>118</v>
      </c>
      <c r="G17" s="23">
        <v>123</v>
      </c>
      <c r="H17" s="23">
        <v>141</v>
      </c>
      <c r="I17" s="23">
        <v>185</v>
      </c>
      <c r="J17" s="23">
        <v>109</v>
      </c>
      <c r="K17" s="23">
        <v>137</v>
      </c>
      <c r="L17" s="23">
        <v>114</v>
      </c>
      <c r="M17" s="23">
        <v>146</v>
      </c>
      <c r="N17" s="23">
        <v>130</v>
      </c>
      <c r="O17" s="23">
        <v>199</v>
      </c>
      <c r="P17" s="23">
        <v>181</v>
      </c>
      <c r="Q17" s="23">
        <v>159</v>
      </c>
      <c r="R17" s="23">
        <v>134</v>
      </c>
      <c r="S17" s="23">
        <v>117</v>
      </c>
      <c r="T17" s="23">
        <v>131</v>
      </c>
      <c r="U17" s="23">
        <v>171</v>
      </c>
      <c r="V17" s="23">
        <v>134</v>
      </c>
    </row>
    <row r="18" spans="1:22" ht="15.75">
      <c r="A18" s="22" t="s">
        <v>21</v>
      </c>
      <c r="B18" s="2"/>
      <c r="C18" s="2"/>
      <c r="D18" s="23">
        <v>100</v>
      </c>
      <c r="E18" s="23">
        <v>133</v>
      </c>
      <c r="F18" s="23">
        <v>129</v>
      </c>
      <c r="G18" s="23">
        <v>142</v>
      </c>
      <c r="H18" s="23">
        <v>168</v>
      </c>
      <c r="I18" s="23">
        <v>139</v>
      </c>
      <c r="J18" s="23">
        <v>105</v>
      </c>
      <c r="K18" s="23">
        <v>136</v>
      </c>
      <c r="L18" s="23">
        <v>165</v>
      </c>
      <c r="M18" s="23">
        <v>104</v>
      </c>
      <c r="N18" s="23">
        <v>112</v>
      </c>
      <c r="O18" s="23">
        <v>156</v>
      </c>
      <c r="P18" s="23">
        <v>153</v>
      </c>
      <c r="Q18" s="23">
        <v>127</v>
      </c>
      <c r="R18" s="23">
        <v>147</v>
      </c>
      <c r="S18" s="23">
        <v>118</v>
      </c>
      <c r="T18" s="23">
        <v>126</v>
      </c>
      <c r="U18" s="23">
        <v>152</v>
      </c>
      <c r="V18" s="23">
        <v>119</v>
      </c>
    </row>
    <row r="19" spans="1:22" ht="15.75">
      <c r="A19" s="22" t="s">
        <v>22</v>
      </c>
      <c r="B19" s="2"/>
      <c r="C19" s="2"/>
      <c r="D19" s="23">
        <v>126</v>
      </c>
      <c r="E19" s="23">
        <v>187</v>
      </c>
      <c r="F19" s="23">
        <v>165</v>
      </c>
      <c r="G19" s="23">
        <v>106</v>
      </c>
      <c r="H19" s="23">
        <v>117</v>
      </c>
      <c r="I19" s="23">
        <v>125</v>
      </c>
      <c r="J19" s="23">
        <v>117</v>
      </c>
      <c r="K19" s="23">
        <v>158</v>
      </c>
      <c r="L19" s="23">
        <v>130</v>
      </c>
      <c r="M19" s="23">
        <v>184</v>
      </c>
      <c r="N19" s="23">
        <v>116</v>
      </c>
      <c r="O19" s="23">
        <v>135</v>
      </c>
      <c r="P19" s="23">
        <v>137</v>
      </c>
      <c r="Q19" s="23">
        <v>107</v>
      </c>
      <c r="R19" s="23">
        <v>168</v>
      </c>
      <c r="S19" s="23">
        <v>100</v>
      </c>
      <c r="T19" s="23">
        <v>179</v>
      </c>
      <c r="U19" s="23">
        <v>173</v>
      </c>
      <c r="V19" s="23">
        <v>123</v>
      </c>
    </row>
    <row r="20" spans="1:22" ht="15.75">
      <c r="A20" s="22" t="s">
        <v>23</v>
      </c>
      <c r="B20" s="2"/>
      <c r="C20" s="2"/>
      <c r="D20" s="23">
        <v>134</v>
      </c>
      <c r="E20" s="23">
        <v>159</v>
      </c>
      <c r="F20" s="23">
        <v>124</v>
      </c>
      <c r="G20" s="23">
        <v>121</v>
      </c>
      <c r="H20" s="23">
        <v>159</v>
      </c>
      <c r="I20" s="23">
        <v>141</v>
      </c>
      <c r="J20" s="23">
        <v>149</v>
      </c>
      <c r="K20" s="23">
        <v>134</v>
      </c>
      <c r="L20" s="23">
        <v>160</v>
      </c>
      <c r="M20" s="23">
        <v>196</v>
      </c>
      <c r="N20" s="23">
        <v>105</v>
      </c>
      <c r="O20" s="23">
        <v>153</v>
      </c>
      <c r="P20" s="23">
        <v>194</v>
      </c>
      <c r="Q20" s="23">
        <v>192</v>
      </c>
      <c r="R20" s="23">
        <v>193</v>
      </c>
      <c r="S20" s="23">
        <v>160</v>
      </c>
      <c r="T20" s="23">
        <v>124</v>
      </c>
      <c r="U20" s="23">
        <v>198</v>
      </c>
      <c r="V20" s="23">
        <v>180</v>
      </c>
    </row>
    <row r="21" spans="1:22" ht="15.7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 ht="15.75">
      <c r="A22" s="8" t="s">
        <v>60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</row>
    <row r="23" spans="1:22" ht="15.75">
      <c r="A23" s="4" t="s">
        <v>58</v>
      </c>
      <c r="B23" s="2"/>
      <c r="C23" s="2"/>
      <c r="D23" s="4" t="s">
        <v>61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2" ht="15.75">
      <c r="A24" s="22" t="s">
        <v>12</v>
      </c>
      <c r="B24" s="2"/>
      <c r="C24" s="2"/>
      <c r="D24" s="23">
        <v>0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spans="1:22" ht="15.75">
      <c r="A25" s="22" t="s">
        <v>19</v>
      </c>
      <c r="B25" s="2"/>
      <c r="C25" s="2"/>
      <c r="D25" s="23">
        <v>0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spans="1:22" ht="15.75">
      <c r="A26" s="22" t="s">
        <v>20</v>
      </c>
      <c r="B26" s="2"/>
      <c r="C26" s="2"/>
      <c r="D26" s="23">
        <v>0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spans="1:22" ht="15.75">
      <c r="A27" s="22" t="s">
        <v>21</v>
      </c>
      <c r="B27" s="2"/>
      <c r="C27" s="2"/>
      <c r="D27" s="23">
        <v>0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spans="1:22" ht="15.75">
      <c r="A28" s="22" t="s">
        <v>22</v>
      </c>
      <c r="B28" s="2"/>
      <c r="C28" s="2"/>
      <c r="D28" s="23">
        <v>0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spans="1:22" ht="15.75">
      <c r="A29" s="22" t="s">
        <v>23</v>
      </c>
      <c r="B29" s="2"/>
      <c r="C29" s="2"/>
      <c r="D29" s="23">
        <v>0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</sheetData>
  <phoneticPr fontId="9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24"/>
  <sheetViews>
    <sheetView workbookViewId="0">
      <pane xSplit="2" ySplit="5" topLeftCell="E6" activePane="bottomRight" state="frozen"/>
      <selection pane="topRight"/>
      <selection pane="bottomLeft"/>
      <selection pane="bottomRight" activeCell="F84" sqref="F84:H84"/>
    </sheetView>
  </sheetViews>
  <sheetFormatPr defaultRowHeight="13.5"/>
  <cols>
    <col min="1" max="1" width="6" customWidth="1"/>
    <col min="2" max="2" width="12" customWidth="1"/>
    <col min="3" max="9" width="10.5" customWidth="1"/>
    <col min="10" max="10" width="10.375" bestFit="1" customWidth="1"/>
    <col min="11" max="22" width="10.5" customWidth="1"/>
  </cols>
  <sheetData>
    <row r="1" spans="1:22" ht="19.5">
      <c r="A1" s="1" t="s">
        <v>62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1:22" ht="15.75">
      <c r="A2" s="2" t="s">
        <v>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ht="15.75">
      <c r="A3" s="3" t="s">
        <v>64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ht="15.75">
      <c r="A4" s="8" t="s">
        <v>65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</row>
    <row r="5" spans="1:22" ht="15.75">
      <c r="A5" s="24" t="s">
        <v>66</v>
      </c>
      <c r="B5" s="24" t="s">
        <v>67</v>
      </c>
      <c r="C5" s="24" t="s">
        <v>68</v>
      </c>
      <c r="D5" s="24" t="s">
        <v>69</v>
      </c>
      <c r="E5" s="24" t="s">
        <v>70</v>
      </c>
      <c r="F5" s="24" t="s">
        <v>71</v>
      </c>
      <c r="G5" s="24" t="s">
        <v>72</v>
      </c>
      <c r="H5" s="24" t="s">
        <v>73</v>
      </c>
      <c r="I5" s="24" t="s">
        <v>74</v>
      </c>
      <c r="J5" s="24" t="s">
        <v>75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22" ht="15.75">
      <c r="A6" s="7" t="s">
        <v>37</v>
      </c>
      <c r="B6" s="25" t="s">
        <v>139</v>
      </c>
      <c r="C6" s="26">
        <v>7</v>
      </c>
      <c r="D6" s="26">
        <v>0</v>
      </c>
      <c r="E6" s="26">
        <v>7</v>
      </c>
      <c r="F6" s="26">
        <v>0</v>
      </c>
      <c r="G6" s="26">
        <v>7</v>
      </c>
      <c r="H6" s="27"/>
      <c r="I6" s="27"/>
      <c r="J6" s="25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22" ht="15.75">
      <c r="A7" s="7" t="s">
        <v>37</v>
      </c>
      <c r="B7" s="25" t="s">
        <v>140</v>
      </c>
      <c r="C7" s="26">
        <v>8</v>
      </c>
      <c r="D7" s="26">
        <v>8</v>
      </c>
      <c r="E7" s="26">
        <v>8</v>
      </c>
      <c r="F7" s="26">
        <v>8</v>
      </c>
      <c r="G7" s="26">
        <v>8</v>
      </c>
      <c r="H7" s="27"/>
      <c r="I7" s="27"/>
      <c r="J7" s="25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ht="15.75">
      <c r="A8" s="7" t="s">
        <v>37</v>
      </c>
      <c r="B8" s="25" t="s">
        <v>141</v>
      </c>
      <c r="C8" s="26">
        <v>6.5</v>
      </c>
      <c r="D8" s="26">
        <v>6.5</v>
      </c>
      <c r="E8" s="26">
        <v>6.5</v>
      </c>
      <c r="F8" s="26">
        <v>6.5</v>
      </c>
      <c r="G8" s="26">
        <v>0</v>
      </c>
      <c r="H8" s="27"/>
      <c r="I8" s="27"/>
      <c r="J8" s="25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ht="15.75">
      <c r="A9" s="7" t="s">
        <v>37</v>
      </c>
      <c r="B9" s="25" t="s">
        <v>142</v>
      </c>
      <c r="C9" s="26">
        <v>8</v>
      </c>
      <c r="D9" s="26">
        <v>8</v>
      </c>
      <c r="E9" s="26">
        <v>8</v>
      </c>
      <c r="F9" s="26">
        <v>8</v>
      </c>
      <c r="G9" s="26">
        <v>8</v>
      </c>
      <c r="H9" s="27"/>
      <c r="I9" s="27"/>
      <c r="J9" s="25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22" ht="15.75">
      <c r="A10" s="7" t="s">
        <v>37</v>
      </c>
      <c r="B10" s="25" t="s">
        <v>143</v>
      </c>
      <c r="C10" s="26">
        <v>8</v>
      </c>
      <c r="D10" s="26">
        <v>8</v>
      </c>
      <c r="E10" s="26">
        <v>8</v>
      </c>
      <c r="F10" s="26">
        <v>8</v>
      </c>
      <c r="G10" s="26">
        <v>8</v>
      </c>
      <c r="H10" s="27"/>
      <c r="I10" s="27"/>
      <c r="J10" s="25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2" ht="15.75">
      <c r="A11" s="7" t="s">
        <v>37</v>
      </c>
      <c r="B11" s="25" t="s">
        <v>144</v>
      </c>
      <c r="C11" s="26">
        <v>8</v>
      </c>
      <c r="D11" s="26">
        <v>0</v>
      </c>
      <c r="E11" s="26">
        <v>8</v>
      </c>
      <c r="F11" s="26">
        <v>8</v>
      </c>
      <c r="G11" s="26">
        <v>8</v>
      </c>
      <c r="H11" s="27"/>
      <c r="I11" s="27"/>
      <c r="J11" s="25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22" ht="15.75">
      <c r="A12" s="7" t="s">
        <v>37</v>
      </c>
      <c r="B12" s="25" t="s">
        <v>145</v>
      </c>
      <c r="C12" s="26">
        <v>8</v>
      </c>
      <c r="D12" s="26">
        <v>8</v>
      </c>
      <c r="E12" s="26">
        <v>8</v>
      </c>
      <c r="F12" s="26">
        <v>8</v>
      </c>
      <c r="G12" s="26">
        <v>8</v>
      </c>
      <c r="H12" s="27"/>
      <c r="I12" s="27"/>
      <c r="J12" s="25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22" ht="15.75">
      <c r="A13" s="7" t="s">
        <v>37</v>
      </c>
      <c r="B13" s="25" t="s">
        <v>146</v>
      </c>
      <c r="C13" s="26">
        <v>8</v>
      </c>
      <c r="D13" s="26">
        <v>8</v>
      </c>
      <c r="E13" s="26">
        <v>8</v>
      </c>
      <c r="F13" s="26">
        <v>0</v>
      </c>
      <c r="G13" s="26">
        <v>8</v>
      </c>
      <c r="H13" s="27"/>
      <c r="I13" s="27"/>
      <c r="J13" s="25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22" ht="15.75">
      <c r="A14" s="7" t="s">
        <v>37</v>
      </c>
      <c r="B14" s="25" t="s">
        <v>147</v>
      </c>
      <c r="C14" s="26">
        <v>8</v>
      </c>
      <c r="D14" s="26">
        <v>8</v>
      </c>
      <c r="E14" s="26">
        <v>0</v>
      </c>
      <c r="F14" s="26">
        <v>8</v>
      </c>
      <c r="G14" s="26">
        <v>8</v>
      </c>
      <c r="H14" s="27"/>
      <c r="I14" s="27"/>
      <c r="J14" s="25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22" ht="15.75">
      <c r="A15" s="7" t="s">
        <v>37</v>
      </c>
      <c r="B15" s="25" t="s">
        <v>148</v>
      </c>
      <c r="C15" s="26">
        <v>8</v>
      </c>
      <c r="D15" s="26">
        <v>8</v>
      </c>
      <c r="E15" s="26">
        <v>8</v>
      </c>
      <c r="F15" s="26">
        <v>8</v>
      </c>
      <c r="G15" s="26">
        <v>8</v>
      </c>
      <c r="H15" s="27"/>
      <c r="I15" s="27"/>
      <c r="J15" s="25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1:22" ht="15.75">
      <c r="A16" s="7" t="s">
        <v>42</v>
      </c>
      <c r="B16" s="25" t="s">
        <v>149</v>
      </c>
      <c r="C16" s="26">
        <v>7</v>
      </c>
      <c r="D16" s="26">
        <v>7</v>
      </c>
      <c r="E16" s="26">
        <v>4</v>
      </c>
      <c r="F16" s="26">
        <v>7</v>
      </c>
      <c r="G16" s="26">
        <v>7</v>
      </c>
      <c r="H16" s="27"/>
      <c r="I16" s="27"/>
      <c r="J16" s="25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1:22" ht="15.75">
      <c r="A17" s="7" t="s">
        <v>42</v>
      </c>
      <c r="B17" s="25" t="s">
        <v>150</v>
      </c>
      <c r="C17" s="26">
        <v>8</v>
      </c>
      <c r="D17" s="26">
        <v>8</v>
      </c>
      <c r="E17" s="26">
        <v>8</v>
      </c>
      <c r="F17" s="26">
        <v>8</v>
      </c>
      <c r="G17" s="26">
        <v>8</v>
      </c>
      <c r="H17" s="27"/>
      <c r="I17" s="27"/>
      <c r="J17" s="25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spans="1:22" ht="15.75">
      <c r="A18" s="7" t="s">
        <v>42</v>
      </c>
      <c r="B18" s="25" t="s">
        <v>151</v>
      </c>
      <c r="C18" s="26">
        <v>8</v>
      </c>
      <c r="D18" s="26">
        <v>8</v>
      </c>
      <c r="E18" s="26">
        <v>8</v>
      </c>
      <c r="F18" s="26">
        <v>8</v>
      </c>
      <c r="G18" s="26">
        <v>8</v>
      </c>
      <c r="H18" s="27"/>
      <c r="I18" s="27"/>
      <c r="J18" s="25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2" ht="15.75">
      <c r="A19" s="7" t="s">
        <v>42</v>
      </c>
      <c r="B19" s="25" t="s">
        <v>152</v>
      </c>
      <c r="C19" s="26">
        <v>8</v>
      </c>
      <c r="D19" s="26">
        <v>8</v>
      </c>
      <c r="E19" s="26">
        <v>8</v>
      </c>
      <c r="F19" s="26">
        <v>8</v>
      </c>
      <c r="G19" s="26">
        <v>8</v>
      </c>
      <c r="H19" s="27"/>
      <c r="I19" s="27"/>
      <c r="J19" s="25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spans="1:22" ht="15.75">
      <c r="A20" s="7"/>
      <c r="B20" s="25"/>
      <c r="C20" s="26"/>
      <c r="D20" s="26"/>
      <c r="E20" s="26"/>
      <c r="F20" s="26"/>
      <c r="G20" s="26"/>
      <c r="H20" s="27"/>
      <c r="I20" s="27"/>
      <c r="J20" s="25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spans="1:22" ht="15.75">
      <c r="A21" s="7"/>
      <c r="B21" s="25"/>
      <c r="C21" s="26"/>
      <c r="D21" s="26"/>
      <c r="E21" s="26"/>
      <c r="F21" s="26"/>
      <c r="G21" s="26"/>
      <c r="H21" s="27"/>
      <c r="I21" s="27"/>
      <c r="J21" s="25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 ht="15.75">
      <c r="A22" s="7"/>
      <c r="B22" s="25"/>
      <c r="C22" s="26"/>
      <c r="D22" s="26"/>
      <c r="E22" s="26"/>
      <c r="F22" s="26"/>
      <c r="G22" s="26"/>
      <c r="H22" s="27"/>
      <c r="I22" s="27"/>
      <c r="J22" s="25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spans="1:22" ht="15.75">
      <c r="A23" s="7"/>
      <c r="B23" s="25"/>
      <c r="C23" s="26"/>
      <c r="D23" s="26"/>
      <c r="E23" s="26"/>
      <c r="F23" s="26"/>
      <c r="G23" s="26"/>
      <c r="H23" s="27"/>
      <c r="I23" s="27"/>
      <c r="J23" s="25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2" ht="15.75">
      <c r="A24" s="7"/>
      <c r="B24" s="25"/>
      <c r="C24" s="26"/>
      <c r="D24" s="26"/>
      <c r="E24" s="26"/>
      <c r="F24" s="26"/>
      <c r="G24" s="26"/>
      <c r="H24" s="27"/>
      <c r="I24" s="27"/>
      <c r="J24" s="25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spans="1:22" ht="15.75">
      <c r="A25" s="7"/>
      <c r="B25" s="25"/>
      <c r="C25" s="26"/>
      <c r="D25" s="26"/>
      <c r="E25" s="26"/>
      <c r="F25" s="26"/>
      <c r="G25" s="26"/>
      <c r="H25" s="27"/>
      <c r="I25" s="27"/>
      <c r="J25" s="25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spans="1:22" ht="15.7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spans="1:22" ht="15.75">
      <c r="A27" s="28" t="s">
        <v>76</v>
      </c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</row>
    <row r="28" spans="1:22" ht="15.75">
      <c r="A28" s="30" t="s">
        <v>66</v>
      </c>
      <c r="B28" s="30" t="s">
        <v>67</v>
      </c>
      <c r="C28" s="11"/>
      <c r="D28" s="5">
        <f>月次!D$4</f>
        <v>46113</v>
      </c>
      <c r="E28" s="5">
        <f>月次!E$4</f>
        <v>46143</v>
      </c>
      <c r="F28" s="5">
        <f>月次!F$4</f>
        <v>46174</v>
      </c>
      <c r="G28" s="5">
        <f>月次!G$4</f>
        <v>46204</v>
      </c>
      <c r="H28" s="5">
        <f>月次!H$4</f>
        <v>46235</v>
      </c>
      <c r="I28" s="5">
        <f>月次!I$4</f>
        <v>46266</v>
      </c>
      <c r="J28" s="5">
        <f>月次!J$4</f>
        <v>46296</v>
      </c>
      <c r="K28" s="5">
        <f>月次!K$4</f>
        <v>46327</v>
      </c>
      <c r="L28" s="5">
        <f>月次!L$4</f>
        <v>46357</v>
      </c>
      <c r="M28" s="5">
        <f>月次!M$4</f>
        <v>46388</v>
      </c>
      <c r="N28" s="5">
        <f>月次!N$4</f>
        <v>46419</v>
      </c>
      <c r="O28" s="5">
        <f>月次!O$4</f>
        <v>46447</v>
      </c>
      <c r="P28" s="5">
        <f>月次!P$4</f>
        <v>46478</v>
      </c>
      <c r="Q28" s="5">
        <f>月次!Q$4</f>
        <v>46508</v>
      </c>
      <c r="R28" s="5">
        <f>月次!R$4</f>
        <v>46539</v>
      </c>
      <c r="S28" s="5">
        <f>月次!S$4</f>
        <v>46569</v>
      </c>
      <c r="T28" s="5">
        <f>月次!T$4</f>
        <v>46600</v>
      </c>
      <c r="U28" s="5">
        <f>月次!U$4</f>
        <v>46631</v>
      </c>
      <c r="V28" s="5">
        <f>月次!V$4</f>
        <v>46661</v>
      </c>
    </row>
    <row r="29" spans="1:22" ht="15.75">
      <c r="A29" s="31" t="str">
        <f t="shared" ref="A29:A48" si="0">IF($A6="","",$A6)</f>
        <v>OP</v>
      </c>
      <c r="B29" s="31" t="str">
        <f t="shared" ref="B29:B48" si="1">IF($B6="","",$B6)</f>
        <v>藤本</v>
      </c>
      <c r="C29" s="2"/>
      <c r="D29" s="32"/>
      <c r="E29" s="32"/>
      <c r="F29" s="32"/>
      <c r="G29" s="32"/>
      <c r="H29" s="32"/>
      <c r="I29" s="32">
        <v>0.5</v>
      </c>
      <c r="J29" s="32">
        <v>0.5</v>
      </c>
      <c r="K29" s="39">
        <v>0</v>
      </c>
      <c r="L29" s="39">
        <v>0</v>
      </c>
      <c r="M29" s="32">
        <v>0.69</v>
      </c>
      <c r="N29" s="39">
        <v>0.34</v>
      </c>
      <c r="O29" s="32">
        <v>0.69</v>
      </c>
      <c r="P29" s="32">
        <v>0.69</v>
      </c>
      <c r="Q29" s="32">
        <v>0.69</v>
      </c>
      <c r="R29" s="32">
        <v>0.69</v>
      </c>
      <c r="S29" s="32">
        <v>0.69</v>
      </c>
      <c r="T29" s="32">
        <v>0.69</v>
      </c>
      <c r="U29" s="32">
        <v>0.69</v>
      </c>
      <c r="V29" s="32">
        <v>0.69</v>
      </c>
    </row>
    <row r="30" spans="1:22" ht="15.75">
      <c r="A30" s="31" t="str">
        <f t="shared" si="0"/>
        <v>OP</v>
      </c>
      <c r="B30" s="31" t="str">
        <f t="shared" si="1"/>
        <v>穂満</v>
      </c>
      <c r="C30" s="2"/>
      <c r="D30" s="32"/>
      <c r="E30" s="32"/>
      <c r="F30" s="32"/>
      <c r="G30" s="32"/>
      <c r="H30" s="32"/>
      <c r="I30" s="32">
        <v>0.5</v>
      </c>
      <c r="J30" s="32">
        <v>0.5</v>
      </c>
      <c r="K30" s="39">
        <v>0</v>
      </c>
      <c r="L30" s="39">
        <v>0</v>
      </c>
      <c r="M30" s="32">
        <v>0.69</v>
      </c>
      <c r="N30" s="39">
        <v>0.34</v>
      </c>
      <c r="O30" s="32">
        <v>0.69</v>
      </c>
      <c r="P30" s="32">
        <v>0.69</v>
      </c>
      <c r="Q30" s="32">
        <v>0.69</v>
      </c>
      <c r="R30" s="32">
        <v>0.69</v>
      </c>
      <c r="S30" s="32">
        <v>0.69</v>
      </c>
      <c r="T30" s="32">
        <v>0.69</v>
      </c>
      <c r="U30" s="32">
        <v>0.69</v>
      </c>
      <c r="V30" s="32">
        <v>0.69</v>
      </c>
    </row>
    <row r="31" spans="1:22" ht="15.75">
      <c r="A31" s="31" t="str">
        <f t="shared" si="0"/>
        <v>OP</v>
      </c>
      <c r="B31" s="31" t="str">
        <f t="shared" si="1"/>
        <v>八木</v>
      </c>
      <c r="C31" s="2"/>
      <c r="D31" s="32"/>
      <c r="E31" s="32"/>
      <c r="F31" s="32"/>
      <c r="G31" s="32"/>
      <c r="H31" s="32"/>
      <c r="I31" s="32">
        <v>0.5</v>
      </c>
      <c r="J31" s="32">
        <v>0.5</v>
      </c>
      <c r="K31" s="39">
        <v>0</v>
      </c>
      <c r="L31" s="39">
        <v>0</v>
      </c>
      <c r="M31" s="32">
        <v>0.69</v>
      </c>
      <c r="N31" s="39">
        <v>0.34</v>
      </c>
      <c r="O31" s="32">
        <v>0.69</v>
      </c>
      <c r="P31" s="32">
        <v>0.69</v>
      </c>
      <c r="Q31" s="32">
        <v>0.69</v>
      </c>
      <c r="R31" s="32">
        <v>0.69</v>
      </c>
      <c r="S31" s="32">
        <v>0.69</v>
      </c>
      <c r="T31" s="32">
        <v>0.69</v>
      </c>
      <c r="U31" s="32">
        <v>0.69</v>
      </c>
      <c r="V31" s="32">
        <v>0.69</v>
      </c>
    </row>
    <row r="32" spans="1:22" ht="15.75">
      <c r="A32" s="31" t="str">
        <f t="shared" si="0"/>
        <v>OP</v>
      </c>
      <c r="B32" s="31" t="str">
        <f t="shared" si="1"/>
        <v>大迫</v>
      </c>
      <c r="C32" s="2"/>
      <c r="D32" s="32"/>
      <c r="E32" s="32"/>
      <c r="F32" s="32"/>
      <c r="G32" s="32"/>
      <c r="H32" s="32"/>
      <c r="I32" s="32">
        <v>0.5</v>
      </c>
      <c r="J32" s="32">
        <v>0.5</v>
      </c>
      <c r="K32" s="39">
        <v>0</v>
      </c>
      <c r="L32" s="39">
        <v>0</v>
      </c>
      <c r="M32" s="32">
        <v>0.69</v>
      </c>
      <c r="N32" s="39">
        <v>0.34</v>
      </c>
      <c r="O32" s="32">
        <v>0.69</v>
      </c>
      <c r="P32" s="32">
        <v>0.69</v>
      </c>
      <c r="Q32" s="32">
        <v>0.69</v>
      </c>
      <c r="R32" s="32">
        <v>0.69</v>
      </c>
      <c r="S32" s="32">
        <v>0.69</v>
      </c>
      <c r="T32" s="32">
        <v>0.69</v>
      </c>
      <c r="U32" s="32">
        <v>0.69</v>
      </c>
      <c r="V32" s="32">
        <v>0.69</v>
      </c>
    </row>
    <row r="33" spans="1:22" ht="15.75">
      <c r="A33" s="31" t="str">
        <f t="shared" si="0"/>
        <v>OP</v>
      </c>
      <c r="B33" s="31" t="str">
        <f t="shared" si="1"/>
        <v>大場</v>
      </c>
      <c r="C33" s="2"/>
      <c r="D33" s="32">
        <v>0.85</v>
      </c>
      <c r="E33" s="32">
        <v>0.85</v>
      </c>
      <c r="F33" s="32">
        <v>0.85</v>
      </c>
      <c r="G33" s="32">
        <v>0.85</v>
      </c>
      <c r="H33" s="32">
        <v>0.85</v>
      </c>
      <c r="I33" s="39">
        <v>0.1</v>
      </c>
      <c r="J33" s="39">
        <v>0.1</v>
      </c>
      <c r="K33" s="39">
        <v>0.1</v>
      </c>
      <c r="L33" s="39">
        <v>0.1</v>
      </c>
      <c r="M33" s="39">
        <v>0.1</v>
      </c>
      <c r="N33" s="39">
        <v>0.1</v>
      </c>
      <c r="O33" s="39">
        <v>0.1</v>
      </c>
      <c r="P33" s="39">
        <v>0.1</v>
      </c>
      <c r="Q33" s="39">
        <v>0.1</v>
      </c>
      <c r="R33" s="39">
        <v>0.1</v>
      </c>
      <c r="S33" s="39">
        <v>0.1</v>
      </c>
      <c r="T33" s="39">
        <v>0.1</v>
      </c>
      <c r="U33" s="39">
        <v>0.1</v>
      </c>
      <c r="V33" s="39">
        <v>0.1</v>
      </c>
    </row>
    <row r="34" spans="1:22" ht="15.75">
      <c r="A34" s="31" t="str">
        <f t="shared" si="0"/>
        <v>OP</v>
      </c>
      <c r="B34" s="31" t="str">
        <f t="shared" si="1"/>
        <v>島</v>
      </c>
      <c r="C34" s="2"/>
      <c r="D34" s="32">
        <v>0.85</v>
      </c>
      <c r="E34" s="32">
        <v>0.85</v>
      </c>
      <c r="F34" s="32">
        <v>0.85</v>
      </c>
      <c r="G34" s="32">
        <v>0.85</v>
      </c>
      <c r="H34" s="32">
        <v>0.85</v>
      </c>
      <c r="I34" s="32">
        <v>0.42</v>
      </c>
      <c r="J34" s="32">
        <v>0.42</v>
      </c>
      <c r="K34" s="32">
        <v>0.3</v>
      </c>
      <c r="L34" s="32">
        <v>0.3</v>
      </c>
      <c r="M34" s="32">
        <v>0.69</v>
      </c>
      <c r="N34" s="39">
        <v>0.41399999999999998</v>
      </c>
      <c r="O34" s="32">
        <v>0.69</v>
      </c>
      <c r="P34" s="32">
        <v>0.69</v>
      </c>
      <c r="Q34" s="32">
        <v>0.69</v>
      </c>
      <c r="R34" s="32">
        <v>0.69</v>
      </c>
      <c r="S34" s="32">
        <v>0.69</v>
      </c>
      <c r="T34" s="32">
        <v>0.69</v>
      </c>
      <c r="U34" s="32">
        <v>0.69</v>
      </c>
      <c r="V34" s="32">
        <v>0.69</v>
      </c>
    </row>
    <row r="35" spans="1:22" ht="15.75">
      <c r="A35" s="31" t="str">
        <f t="shared" si="0"/>
        <v>OP</v>
      </c>
      <c r="B35" s="31" t="str">
        <f t="shared" si="1"/>
        <v>三浦</v>
      </c>
      <c r="C35" s="2"/>
      <c r="D35" s="32">
        <v>0.85</v>
      </c>
      <c r="E35" s="32">
        <v>0.85</v>
      </c>
      <c r="F35" s="32">
        <v>0.85</v>
      </c>
      <c r="G35" s="32">
        <v>0.85</v>
      </c>
      <c r="H35" s="32">
        <v>0.85</v>
      </c>
      <c r="I35" s="32">
        <v>0.42</v>
      </c>
      <c r="J35" s="32">
        <v>0.42</v>
      </c>
      <c r="K35" s="32">
        <v>0.3</v>
      </c>
      <c r="L35" s="32">
        <v>0.3</v>
      </c>
      <c r="M35" s="32">
        <v>0.69</v>
      </c>
      <c r="N35" s="39">
        <v>0.41399999999999998</v>
      </c>
      <c r="O35" s="32">
        <v>0.69</v>
      </c>
      <c r="P35" s="32">
        <v>0.69</v>
      </c>
      <c r="Q35" s="32">
        <v>0.69</v>
      </c>
      <c r="R35" s="32">
        <v>0.69</v>
      </c>
      <c r="S35" s="32">
        <v>0.69</v>
      </c>
      <c r="T35" s="32">
        <v>0.69</v>
      </c>
      <c r="U35" s="32">
        <v>0.69</v>
      </c>
      <c r="V35" s="32">
        <v>0.69</v>
      </c>
    </row>
    <row r="36" spans="1:22" ht="15.75">
      <c r="A36" s="31" t="str">
        <f t="shared" si="0"/>
        <v>OP</v>
      </c>
      <c r="B36" s="31" t="str">
        <f t="shared" si="1"/>
        <v>伊藤</v>
      </c>
      <c r="C36" s="2"/>
      <c r="D36" s="32">
        <v>0.85</v>
      </c>
      <c r="E36" s="32">
        <v>0.85</v>
      </c>
      <c r="F36" s="32">
        <v>0.85</v>
      </c>
      <c r="G36" s="32">
        <v>0.85</v>
      </c>
      <c r="H36" s="32">
        <v>0.85</v>
      </c>
      <c r="I36" s="32">
        <v>0.8</v>
      </c>
      <c r="J36" s="32">
        <v>0.8</v>
      </c>
      <c r="K36" s="32">
        <v>0.8</v>
      </c>
      <c r="L36" s="32">
        <v>0.8</v>
      </c>
      <c r="M36" s="32">
        <v>0.8</v>
      </c>
      <c r="N36" s="39">
        <v>0.48</v>
      </c>
      <c r="O36" s="32">
        <v>0.8</v>
      </c>
      <c r="P36" s="32">
        <v>0.8</v>
      </c>
      <c r="Q36" s="32">
        <v>0.8</v>
      </c>
      <c r="R36" s="32">
        <v>0.8</v>
      </c>
      <c r="S36" s="32">
        <v>0.8</v>
      </c>
      <c r="T36" s="32">
        <v>0.8</v>
      </c>
      <c r="U36" s="32">
        <v>0.8</v>
      </c>
      <c r="V36" s="32">
        <v>0.8</v>
      </c>
    </row>
    <row r="37" spans="1:22" ht="15.75">
      <c r="A37" s="31" t="str">
        <f t="shared" si="0"/>
        <v>OP</v>
      </c>
      <c r="B37" s="31" t="str">
        <f t="shared" si="1"/>
        <v>兼田</v>
      </c>
      <c r="C37" s="2"/>
      <c r="D37" s="32">
        <v>0.85</v>
      </c>
      <c r="E37" s="32">
        <v>0.85</v>
      </c>
      <c r="F37" s="32">
        <v>0.85</v>
      </c>
      <c r="G37" s="32">
        <v>0.85</v>
      </c>
      <c r="H37" s="32">
        <v>0.85</v>
      </c>
      <c r="I37" s="32">
        <v>0.8</v>
      </c>
      <c r="J37" s="32">
        <v>0.8</v>
      </c>
      <c r="K37" s="32">
        <v>0.8</v>
      </c>
      <c r="L37" s="32">
        <v>0.8</v>
      </c>
      <c r="M37" s="32">
        <v>0.8</v>
      </c>
      <c r="N37" s="39">
        <v>0.48</v>
      </c>
      <c r="O37" s="32">
        <v>0.8</v>
      </c>
      <c r="P37" s="32">
        <v>0.8</v>
      </c>
      <c r="Q37" s="32">
        <v>0.8</v>
      </c>
      <c r="R37" s="32">
        <v>0.8</v>
      </c>
      <c r="S37" s="32">
        <v>0.8</v>
      </c>
      <c r="T37" s="32">
        <v>0.8</v>
      </c>
      <c r="U37" s="32">
        <v>0.8</v>
      </c>
      <c r="V37" s="32">
        <v>0.8</v>
      </c>
    </row>
    <row r="38" spans="1:22" ht="15.75">
      <c r="A38" s="31" t="str">
        <f t="shared" si="0"/>
        <v>OP</v>
      </c>
      <c r="B38" s="31" t="str">
        <f t="shared" si="1"/>
        <v>植田</v>
      </c>
      <c r="C38" s="2"/>
      <c r="D38" s="32">
        <v>0.85</v>
      </c>
      <c r="E38" s="32">
        <v>0.85</v>
      </c>
      <c r="F38" s="32">
        <v>0.85</v>
      </c>
      <c r="G38" s="32">
        <v>0.85</v>
      </c>
      <c r="H38" s="32">
        <v>0.85</v>
      </c>
      <c r="I38" s="32"/>
      <c r="J38" s="32"/>
      <c r="K38" s="32"/>
      <c r="L38" s="32"/>
      <c r="M38" s="32"/>
      <c r="N38" s="39"/>
      <c r="O38" s="32"/>
      <c r="P38" s="32"/>
      <c r="Q38" s="32"/>
      <c r="R38" s="32"/>
      <c r="S38" s="32"/>
      <c r="T38" s="32"/>
      <c r="U38" s="32"/>
      <c r="V38" s="32"/>
    </row>
    <row r="39" spans="1:22" ht="15.75">
      <c r="A39" s="31" t="str">
        <f t="shared" si="0"/>
        <v>SV</v>
      </c>
      <c r="B39" s="31" t="str">
        <f t="shared" si="1"/>
        <v>小野</v>
      </c>
      <c r="C39" s="2"/>
      <c r="D39" s="32">
        <v>0.85</v>
      </c>
      <c r="E39" s="32">
        <v>0.85</v>
      </c>
      <c r="F39" s="32">
        <v>0.85</v>
      </c>
      <c r="G39" s="32">
        <v>0.85</v>
      </c>
      <c r="H39" s="32">
        <v>0.85</v>
      </c>
      <c r="I39" s="32">
        <v>0.8</v>
      </c>
      <c r="J39" s="32">
        <v>0.8</v>
      </c>
      <c r="K39" s="32">
        <v>0.8</v>
      </c>
      <c r="L39" s="32">
        <v>0.8</v>
      </c>
      <c r="M39" s="32">
        <v>0.8</v>
      </c>
      <c r="N39" s="39">
        <v>0.48</v>
      </c>
      <c r="O39" s="32">
        <v>0.8</v>
      </c>
      <c r="P39" s="32">
        <v>0.8</v>
      </c>
      <c r="Q39" s="32">
        <v>0.8</v>
      </c>
      <c r="R39" s="32">
        <v>0.8</v>
      </c>
      <c r="S39" s="32">
        <v>0.8</v>
      </c>
      <c r="T39" s="32">
        <v>0.8</v>
      </c>
      <c r="U39" s="32">
        <v>0.8</v>
      </c>
      <c r="V39" s="32">
        <v>0.8</v>
      </c>
    </row>
    <row r="40" spans="1:22" ht="15.75">
      <c r="A40" s="31" t="str">
        <f t="shared" si="0"/>
        <v>SV</v>
      </c>
      <c r="B40" s="31" t="str">
        <f t="shared" si="1"/>
        <v>栗城</v>
      </c>
      <c r="C40" s="2"/>
      <c r="D40" s="32">
        <v>0.85</v>
      </c>
      <c r="E40" s="32">
        <v>0.85</v>
      </c>
      <c r="F40" s="32">
        <v>0.85</v>
      </c>
      <c r="G40" s="32">
        <v>0.85</v>
      </c>
      <c r="H40" s="32">
        <v>0.85</v>
      </c>
      <c r="I40" s="32">
        <v>0.8</v>
      </c>
      <c r="J40" s="32">
        <v>0.8</v>
      </c>
      <c r="K40" s="32">
        <v>0.8</v>
      </c>
      <c r="L40" s="32">
        <v>0.8</v>
      </c>
      <c r="M40" s="32">
        <v>0.8</v>
      </c>
      <c r="N40" s="39">
        <v>0.48</v>
      </c>
      <c r="O40" s="32">
        <v>0.8</v>
      </c>
      <c r="P40" s="32">
        <v>0.8</v>
      </c>
      <c r="Q40" s="32">
        <v>0.8</v>
      </c>
      <c r="R40" s="32">
        <v>0.8</v>
      </c>
      <c r="S40" s="32">
        <v>0.8</v>
      </c>
      <c r="T40" s="32">
        <v>0.8</v>
      </c>
      <c r="U40" s="32">
        <v>0.8</v>
      </c>
      <c r="V40" s="32">
        <v>0.8</v>
      </c>
    </row>
    <row r="41" spans="1:22" ht="15.75">
      <c r="A41" s="31" t="str">
        <f t="shared" si="0"/>
        <v>SV</v>
      </c>
      <c r="B41" s="31" t="str">
        <f t="shared" si="1"/>
        <v>田中</v>
      </c>
      <c r="C41" s="2"/>
      <c r="D41" s="32">
        <v>0.6</v>
      </c>
      <c r="E41" s="32">
        <v>0.6</v>
      </c>
      <c r="F41" s="32">
        <v>0.6</v>
      </c>
      <c r="G41" s="32">
        <v>0.6</v>
      </c>
      <c r="H41" s="32">
        <v>0.6</v>
      </c>
      <c r="I41" s="32">
        <v>0.6</v>
      </c>
      <c r="J41" s="32">
        <v>0.6</v>
      </c>
      <c r="K41" s="32">
        <v>0.6</v>
      </c>
      <c r="L41" s="32">
        <v>0.6</v>
      </c>
      <c r="M41" s="32">
        <v>0.6</v>
      </c>
      <c r="N41" s="39">
        <v>0.36</v>
      </c>
      <c r="O41" s="32">
        <v>0.6</v>
      </c>
      <c r="P41" s="32">
        <v>0.6</v>
      </c>
      <c r="Q41" s="32">
        <v>0.6</v>
      </c>
      <c r="R41" s="32">
        <v>0.6</v>
      </c>
      <c r="S41" s="32">
        <v>0.6</v>
      </c>
      <c r="T41" s="32">
        <v>0.6</v>
      </c>
      <c r="U41" s="32">
        <v>0.6</v>
      </c>
      <c r="V41" s="32">
        <v>0.6</v>
      </c>
    </row>
    <row r="42" spans="1:22" ht="15.75">
      <c r="A42" s="31" t="str">
        <f t="shared" si="0"/>
        <v>SV</v>
      </c>
      <c r="B42" s="31" t="str">
        <f t="shared" si="1"/>
        <v>西村</v>
      </c>
      <c r="C42" s="2"/>
      <c r="D42" s="32">
        <v>0.6</v>
      </c>
      <c r="E42" s="32">
        <v>0.6</v>
      </c>
      <c r="F42" s="32">
        <v>0.6</v>
      </c>
      <c r="G42" s="32">
        <v>0.6</v>
      </c>
      <c r="H42" s="32">
        <v>0.6</v>
      </c>
      <c r="I42" s="32">
        <v>0.6</v>
      </c>
      <c r="J42" s="32">
        <v>0.6</v>
      </c>
      <c r="K42" s="32">
        <v>0.6</v>
      </c>
      <c r="L42" s="32">
        <v>0.6</v>
      </c>
      <c r="M42" s="32">
        <v>0.6</v>
      </c>
      <c r="N42" s="39">
        <v>0.36</v>
      </c>
      <c r="O42" s="32">
        <v>0.6</v>
      </c>
      <c r="P42" s="32">
        <v>0.6</v>
      </c>
      <c r="Q42" s="32">
        <v>0.6</v>
      </c>
      <c r="R42" s="32">
        <v>0.6</v>
      </c>
      <c r="S42" s="32">
        <v>0.6</v>
      </c>
      <c r="T42" s="32">
        <v>0.6</v>
      </c>
      <c r="U42" s="32">
        <v>0.6</v>
      </c>
      <c r="V42" s="32">
        <v>0.6</v>
      </c>
    </row>
    <row r="43" spans="1:22" ht="15.75">
      <c r="A43" s="31" t="str">
        <f t="shared" si="0"/>
        <v/>
      </c>
      <c r="B43" s="31" t="str">
        <f t="shared" si="1"/>
        <v/>
      </c>
      <c r="C43" s="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</row>
    <row r="44" spans="1:22" ht="15.75">
      <c r="A44" s="31" t="str">
        <f t="shared" si="0"/>
        <v/>
      </c>
      <c r="B44" s="31" t="str">
        <f t="shared" si="1"/>
        <v/>
      </c>
      <c r="C44" s="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</row>
    <row r="45" spans="1:22" ht="15.75">
      <c r="A45" s="31" t="str">
        <f t="shared" si="0"/>
        <v/>
      </c>
      <c r="B45" s="31" t="str">
        <f t="shared" si="1"/>
        <v/>
      </c>
      <c r="C45" s="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</row>
    <row r="46" spans="1:22" ht="15.75">
      <c r="A46" s="31" t="str">
        <f t="shared" si="0"/>
        <v/>
      </c>
      <c r="B46" s="31" t="str">
        <f t="shared" si="1"/>
        <v/>
      </c>
      <c r="C46" s="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</row>
    <row r="47" spans="1:22" ht="15.75">
      <c r="A47" s="31" t="str">
        <f t="shared" si="0"/>
        <v/>
      </c>
      <c r="B47" s="31" t="str">
        <f t="shared" si="1"/>
        <v/>
      </c>
      <c r="C47" s="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</row>
    <row r="48" spans="1:22" ht="15.75">
      <c r="A48" s="31" t="str">
        <f t="shared" si="0"/>
        <v/>
      </c>
      <c r="B48" s="31" t="str">
        <f t="shared" si="1"/>
        <v/>
      </c>
      <c r="C48" s="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</row>
    <row r="49" spans="1:22" ht="15.7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spans="1:22" ht="15.75">
      <c r="A50" s="28" t="s">
        <v>81</v>
      </c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</row>
    <row r="51" spans="1:22" ht="15.75">
      <c r="A51" s="30" t="s">
        <v>66</v>
      </c>
      <c r="B51" s="30" t="s">
        <v>67</v>
      </c>
      <c r="C51" s="11"/>
      <c r="D51" s="5">
        <f>月次!D$4</f>
        <v>46113</v>
      </c>
      <c r="E51" s="5">
        <f>月次!E$4</f>
        <v>46143</v>
      </c>
      <c r="F51" s="5">
        <f>月次!F$4</f>
        <v>46174</v>
      </c>
      <c r="G51" s="5">
        <f>月次!G$4</f>
        <v>46204</v>
      </c>
      <c r="H51" s="5">
        <f>月次!H$4</f>
        <v>46235</v>
      </c>
      <c r="I51" s="5">
        <f>月次!I$4</f>
        <v>46266</v>
      </c>
      <c r="J51" s="5">
        <f>月次!J$4</f>
        <v>46296</v>
      </c>
      <c r="K51" s="5">
        <f>月次!K$4</f>
        <v>46327</v>
      </c>
      <c r="L51" s="5">
        <f>月次!L$4</f>
        <v>46357</v>
      </c>
      <c r="M51" s="5">
        <f>月次!M$4</f>
        <v>46388</v>
      </c>
      <c r="N51" s="5">
        <f>月次!N$4</f>
        <v>46419</v>
      </c>
      <c r="O51" s="5">
        <f>月次!O$4</f>
        <v>46447</v>
      </c>
      <c r="P51" s="5">
        <f>月次!P$4</f>
        <v>46478</v>
      </c>
      <c r="Q51" s="5">
        <f>月次!Q$4</f>
        <v>46508</v>
      </c>
      <c r="R51" s="5">
        <f>月次!R$4</f>
        <v>46539</v>
      </c>
      <c r="S51" s="5">
        <f>月次!S$4</f>
        <v>46569</v>
      </c>
      <c r="T51" s="5">
        <f>月次!T$4</f>
        <v>46600</v>
      </c>
      <c r="U51" s="5">
        <f>月次!U$4</f>
        <v>46631</v>
      </c>
      <c r="V51" s="5">
        <f>月次!V$4</f>
        <v>46661</v>
      </c>
    </row>
    <row r="52" spans="1:22" ht="15.75">
      <c r="A52" s="31" t="str">
        <f t="shared" ref="A52:A71" si="2">IF($A6="","",$A6)</f>
        <v>OP</v>
      </c>
      <c r="B52" s="31" t="str">
        <f t="shared" ref="B52:B71" si="3">IF($B6="","",$B6)</f>
        <v>藤本</v>
      </c>
      <c r="C52" s="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</row>
    <row r="53" spans="1:22" ht="15.75">
      <c r="A53" s="31" t="str">
        <f t="shared" si="2"/>
        <v>OP</v>
      </c>
      <c r="B53" s="31" t="str">
        <f t="shared" si="3"/>
        <v>穂満</v>
      </c>
      <c r="C53" s="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</row>
    <row r="54" spans="1:22" ht="15.75">
      <c r="A54" s="31" t="str">
        <f t="shared" si="2"/>
        <v>OP</v>
      </c>
      <c r="B54" s="31" t="str">
        <f t="shared" si="3"/>
        <v>八木</v>
      </c>
      <c r="C54" s="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</row>
    <row r="55" spans="1:22" ht="15.75">
      <c r="A55" s="31" t="str">
        <f t="shared" si="2"/>
        <v>OP</v>
      </c>
      <c r="B55" s="31" t="str">
        <f t="shared" si="3"/>
        <v>大迫</v>
      </c>
      <c r="C55" s="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</row>
    <row r="56" spans="1:22" ht="15.75">
      <c r="A56" s="31" t="str">
        <f t="shared" si="2"/>
        <v>OP</v>
      </c>
      <c r="B56" s="31" t="str">
        <f t="shared" si="3"/>
        <v>大場</v>
      </c>
      <c r="C56" s="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</row>
    <row r="57" spans="1:22" ht="15.75">
      <c r="A57" s="31" t="str">
        <f t="shared" si="2"/>
        <v>OP</v>
      </c>
      <c r="B57" s="31" t="str">
        <f t="shared" si="3"/>
        <v>島</v>
      </c>
      <c r="C57" s="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</row>
    <row r="58" spans="1:22" ht="15.75">
      <c r="A58" s="31" t="str">
        <f t="shared" si="2"/>
        <v>OP</v>
      </c>
      <c r="B58" s="31" t="str">
        <f t="shared" si="3"/>
        <v>三浦</v>
      </c>
      <c r="C58" s="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</row>
    <row r="59" spans="1:22" ht="15.75">
      <c r="A59" s="31" t="str">
        <f t="shared" si="2"/>
        <v>OP</v>
      </c>
      <c r="B59" s="31" t="str">
        <f t="shared" si="3"/>
        <v>伊藤</v>
      </c>
      <c r="C59" s="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</row>
    <row r="60" spans="1:22" ht="15.75">
      <c r="A60" s="31" t="str">
        <f t="shared" si="2"/>
        <v>OP</v>
      </c>
      <c r="B60" s="31" t="str">
        <f t="shared" si="3"/>
        <v>兼田</v>
      </c>
      <c r="C60" s="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</row>
    <row r="61" spans="1:22" ht="15.75">
      <c r="A61" s="31" t="str">
        <f t="shared" si="2"/>
        <v>OP</v>
      </c>
      <c r="B61" s="31" t="str">
        <f t="shared" si="3"/>
        <v>植田</v>
      </c>
      <c r="C61" s="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</row>
    <row r="62" spans="1:22" ht="15.75">
      <c r="A62" s="31" t="str">
        <f t="shared" si="2"/>
        <v>SV</v>
      </c>
      <c r="B62" s="31" t="str">
        <f t="shared" si="3"/>
        <v>小野</v>
      </c>
      <c r="C62" s="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</row>
    <row r="63" spans="1:22" ht="15.75">
      <c r="A63" s="31" t="str">
        <f t="shared" si="2"/>
        <v>SV</v>
      </c>
      <c r="B63" s="31" t="str">
        <f t="shared" si="3"/>
        <v>栗城</v>
      </c>
      <c r="C63" s="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</row>
    <row r="64" spans="1:22" ht="15.75">
      <c r="A64" s="31" t="str">
        <f t="shared" si="2"/>
        <v>SV</v>
      </c>
      <c r="B64" s="31" t="str">
        <f t="shared" si="3"/>
        <v>田中</v>
      </c>
      <c r="C64" s="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</row>
    <row r="65" spans="1:22" ht="15.75">
      <c r="A65" s="31" t="str">
        <f t="shared" si="2"/>
        <v>SV</v>
      </c>
      <c r="B65" s="31" t="str">
        <f t="shared" si="3"/>
        <v>西村</v>
      </c>
      <c r="C65" s="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</row>
    <row r="66" spans="1:22" ht="15.75">
      <c r="A66" s="31" t="str">
        <f t="shared" si="2"/>
        <v/>
      </c>
      <c r="B66" s="31" t="str">
        <f t="shared" si="3"/>
        <v/>
      </c>
      <c r="C66" s="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</row>
    <row r="67" spans="1:22" ht="15.75">
      <c r="A67" s="31" t="str">
        <f t="shared" si="2"/>
        <v/>
      </c>
      <c r="B67" s="31" t="str">
        <f t="shared" si="3"/>
        <v/>
      </c>
      <c r="C67" s="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</row>
    <row r="68" spans="1:22" ht="15.75">
      <c r="A68" s="31" t="str">
        <f t="shared" si="2"/>
        <v/>
      </c>
      <c r="B68" s="31" t="str">
        <f t="shared" si="3"/>
        <v/>
      </c>
      <c r="C68" s="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</row>
    <row r="69" spans="1:22" ht="15.75">
      <c r="A69" s="31" t="str">
        <f t="shared" si="2"/>
        <v/>
      </c>
      <c r="B69" s="31" t="str">
        <f t="shared" si="3"/>
        <v/>
      </c>
      <c r="C69" s="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</row>
    <row r="70" spans="1:22" ht="15.75">
      <c r="A70" s="31" t="str">
        <f t="shared" si="2"/>
        <v/>
      </c>
      <c r="B70" s="31" t="str">
        <f t="shared" si="3"/>
        <v/>
      </c>
      <c r="C70" s="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</row>
    <row r="71" spans="1:22" ht="15.75">
      <c r="A71" s="31" t="str">
        <f t="shared" si="2"/>
        <v/>
      </c>
      <c r="B71" s="31" t="str">
        <f t="shared" si="3"/>
        <v/>
      </c>
      <c r="C71" s="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</row>
    <row r="72" spans="1:22" ht="15.7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spans="1:22" ht="15.75">
      <c r="A73" s="8" t="s">
        <v>82</v>
      </c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</row>
    <row r="74" spans="1:22" ht="15.75">
      <c r="A74" s="30" t="s">
        <v>66</v>
      </c>
      <c r="B74" s="30" t="s">
        <v>67</v>
      </c>
      <c r="C74" s="2"/>
      <c r="D74" s="5">
        <f>月次!D$4</f>
        <v>46113</v>
      </c>
      <c r="E74" s="5">
        <f>月次!E$4</f>
        <v>46143</v>
      </c>
      <c r="F74" s="5">
        <f>月次!F$4</f>
        <v>46174</v>
      </c>
      <c r="G74" s="5">
        <f>月次!G$4</f>
        <v>46204</v>
      </c>
      <c r="H74" s="5">
        <f>月次!H$4</f>
        <v>46235</v>
      </c>
      <c r="I74" s="5">
        <f>月次!I$4</f>
        <v>46266</v>
      </c>
      <c r="J74" s="5">
        <f>月次!J$4</f>
        <v>46296</v>
      </c>
      <c r="K74" s="5">
        <f>月次!K$4</f>
        <v>46327</v>
      </c>
      <c r="L74" s="5">
        <f>月次!L$4</f>
        <v>46357</v>
      </c>
      <c r="M74" s="5">
        <f>月次!M$4</f>
        <v>46388</v>
      </c>
      <c r="N74" s="5">
        <f>月次!N$4</f>
        <v>46419</v>
      </c>
      <c r="O74" s="5">
        <f>月次!O$4</f>
        <v>46447</v>
      </c>
      <c r="P74" s="5">
        <f>月次!P$4</f>
        <v>46478</v>
      </c>
      <c r="Q74" s="5">
        <f>月次!Q$4</f>
        <v>46508</v>
      </c>
      <c r="R74" s="5">
        <f>月次!R$4</f>
        <v>46539</v>
      </c>
      <c r="S74" s="5">
        <f>月次!S$4</f>
        <v>46569</v>
      </c>
      <c r="T74" s="5">
        <f>月次!T$4</f>
        <v>46600</v>
      </c>
      <c r="U74" s="5">
        <f>月次!U$4</f>
        <v>46631</v>
      </c>
      <c r="V74" s="5">
        <f>月次!V$4</f>
        <v>46661</v>
      </c>
    </row>
    <row r="75" spans="1:22" ht="15.75">
      <c r="A75" s="31" t="str">
        <f t="shared" ref="A75:A94" si="4">IF($A6="","",$A6)</f>
        <v>OP</v>
      </c>
      <c r="B75" s="31" t="str">
        <f t="shared" ref="B75:B94" si="5">IF($B6="","",$B6)</f>
        <v>藤本</v>
      </c>
      <c r="C75" s="2"/>
      <c r="D75" s="33">
        <f>計算!D11*計算!D33/設定!$B$7</f>
        <v>0</v>
      </c>
      <c r="E75" s="33">
        <f>計算!E11*計算!E33/設定!$B$7</f>
        <v>0</v>
      </c>
      <c r="F75" s="33">
        <f>計算!F11*計算!F33/設定!$B$7</f>
        <v>0</v>
      </c>
      <c r="G75" s="33">
        <f>計算!G11*計算!G33/設定!$B$7</f>
        <v>0</v>
      </c>
      <c r="H75" s="33">
        <f>計算!H11*計算!H33/設定!$B$7</f>
        <v>0</v>
      </c>
      <c r="I75" s="33">
        <f>計算!I11*計算!I33/設定!$B$7</f>
        <v>0.24062500000000001</v>
      </c>
      <c r="J75" s="33">
        <f>計算!J11*計算!J33/設定!$B$7</f>
        <v>0.26250000000000001</v>
      </c>
      <c r="K75" s="33">
        <f>計算!K11*計算!K33/設定!$B$7</f>
        <v>0</v>
      </c>
      <c r="L75" s="33">
        <f>計算!L11*計算!L33/設定!$B$7</f>
        <v>0</v>
      </c>
      <c r="M75" s="33">
        <f>計算!M11*計算!M33/設定!$B$7</f>
        <v>0.33206249999999998</v>
      </c>
      <c r="N75" s="33">
        <f>計算!N11*計算!N33/設定!$B$7</f>
        <v>0.17850000000000002</v>
      </c>
      <c r="O75" s="33">
        <f>計算!O11*計算!O33/設定!$B$7</f>
        <v>0.39243749999999994</v>
      </c>
      <c r="P75" s="33">
        <f>計算!P11*計算!P33/設定!$B$7</f>
        <v>0.39243749999999994</v>
      </c>
      <c r="Q75" s="33">
        <f>計算!Q11*計算!Q33/設定!$B$7</f>
        <v>0.33206249999999998</v>
      </c>
      <c r="R75" s="33">
        <f>計算!R11*計算!R33/設定!$B$7</f>
        <v>0.39243749999999994</v>
      </c>
      <c r="S75" s="33">
        <f>計算!S11*計算!S33/設定!$B$7</f>
        <v>0.36224999999999996</v>
      </c>
      <c r="T75" s="33">
        <f>計算!T11*計算!T33/設定!$B$7</f>
        <v>0.36224999999999996</v>
      </c>
      <c r="U75" s="33">
        <f>計算!U11*計算!U33/設定!$B$7</f>
        <v>0.36224999999999996</v>
      </c>
      <c r="V75" s="33">
        <f>計算!V11*計算!V33/設定!$B$7</f>
        <v>0.36224999999999996</v>
      </c>
    </row>
    <row r="76" spans="1:22" ht="15.75">
      <c r="A76" s="31" t="str">
        <f t="shared" si="4"/>
        <v>OP</v>
      </c>
      <c r="B76" s="31" t="str">
        <f t="shared" si="5"/>
        <v>穂満</v>
      </c>
      <c r="C76" s="2"/>
      <c r="D76" s="33">
        <f>計算!D12*計算!D34/設定!$B$7</f>
        <v>0</v>
      </c>
      <c r="E76" s="33">
        <f>計算!E12*計算!E34/設定!$B$7</f>
        <v>0</v>
      </c>
      <c r="F76" s="33">
        <f>計算!F12*計算!F34/設定!$B$7</f>
        <v>0</v>
      </c>
      <c r="G76" s="33">
        <f>計算!G12*計算!G34/設定!$B$7</f>
        <v>0</v>
      </c>
      <c r="H76" s="33">
        <f>計算!H12*計算!H34/設定!$B$7</f>
        <v>0</v>
      </c>
      <c r="I76" s="33">
        <f>計算!I12*計算!I34/設定!$B$7</f>
        <v>0.47499999999999998</v>
      </c>
      <c r="J76" s="33">
        <f>計算!J12*計算!J34/設定!$B$7</f>
        <v>0.52500000000000002</v>
      </c>
      <c r="K76" s="33">
        <f>計算!K12*計算!K34/設定!$B$7</f>
        <v>0</v>
      </c>
      <c r="L76" s="33">
        <f>計算!L12*計算!L34/設定!$B$7</f>
        <v>0</v>
      </c>
      <c r="M76" s="33">
        <f>計算!M12*計算!M34/設定!$B$7</f>
        <v>0.65549999999999997</v>
      </c>
      <c r="N76" s="33">
        <f>計算!N12*計算!N34/設定!$B$7</f>
        <v>0.30599999999999999</v>
      </c>
      <c r="O76" s="33">
        <f>計算!O12*計算!O34/設定!$B$7</f>
        <v>0.75900000000000001</v>
      </c>
      <c r="P76" s="33">
        <f>計算!P12*計算!P34/設定!$B$7</f>
        <v>0.72449999999999992</v>
      </c>
      <c r="Q76" s="33">
        <f>計算!Q12*計算!Q34/設定!$B$7</f>
        <v>0.62099999999999989</v>
      </c>
      <c r="R76" s="33">
        <f>計算!R12*計算!R34/設定!$B$7</f>
        <v>0.75900000000000001</v>
      </c>
      <c r="S76" s="33">
        <f>計算!S12*計算!S34/設定!$B$7</f>
        <v>0.72449999999999992</v>
      </c>
      <c r="T76" s="33">
        <f>計算!T12*計算!T34/設定!$B$7</f>
        <v>0.72449999999999992</v>
      </c>
      <c r="U76" s="33">
        <f>計算!U12*計算!U34/設定!$B$7</f>
        <v>0.69</v>
      </c>
      <c r="V76" s="33">
        <f>計算!V12*計算!V34/設定!$B$7</f>
        <v>0.69</v>
      </c>
    </row>
    <row r="77" spans="1:22" ht="15.75">
      <c r="A77" s="31" t="str">
        <f t="shared" si="4"/>
        <v>OP</v>
      </c>
      <c r="B77" s="31" t="str">
        <f t="shared" si="5"/>
        <v>八木</v>
      </c>
      <c r="C77" s="2"/>
      <c r="D77" s="33">
        <f>計算!D13*計算!D35/設定!$B$7</f>
        <v>0</v>
      </c>
      <c r="E77" s="33">
        <f>計算!E13*計算!E35/設定!$B$7</f>
        <v>0</v>
      </c>
      <c r="F77" s="33">
        <f>計算!F13*計算!F35/設定!$B$7</f>
        <v>0</v>
      </c>
      <c r="G77" s="33">
        <f>計算!G13*計算!G35/設定!$B$7</f>
        <v>0</v>
      </c>
      <c r="H77" s="33">
        <f>計算!H13*計算!H35/設定!$B$7</f>
        <v>0</v>
      </c>
      <c r="I77" s="33">
        <f>計算!I13*計算!I35/設定!$B$7</f>
        <v>0.3046875</v>
      </c>
      <c r="J77" s="33">
        <f>計算!J13*計算!J35/設定!$B$7</f>
        <v>0.32500000000000001</v>
      </c>
      <c r="K77" s="33">
        <f>計算!K13*計算!K35/設定!$B$7</f>
        <v>0</v>
      </c>
      <c r="L77" s="33">
        <f>計算!L13*計算!L35/設定!$B$7</f>
        <v>0</v>
      </c>
      <c r="M77" s="33">
        <f>計算!M13*計算!M35/設定!$B$7</f>
        <v>0.42046874999999995</v>
      </c>
      <c r="N77" s="33">
        <f>計算!N13*計算!N35/設定!$B$7</f>
        <v>0.19337500000000002</v>
      </c>
      <c r="O77" s="33">
        <f>計算!O13*計算!O35/設定!$B$7</f>
        <v>0.50456249999999991</v>
      </c>
      <c r="P77" s="33">
        <f>計算!P13*計算!P35/設定!$B$7</f>
        <v>0.44849999999999995</v>
      </c>
      <c r="Q77" s="33">
        <f>計算!Q13*計算!Q35/設定!$B$7</f>
        <v>0.39243749999999994</v>
      </c>
      <c r="R77" s="33">
        <f>計算!R13*計算!R35/設定!$B$7</f>
        <v>0.50456249999999991</v>
      </c>
      <c r="S77" s="33">
        <f>計算!S13*計算!S35/設定!$B$7</f>
        <v>0.44849999999999995</v>
      </c>
      <c r="T77" s="33">
        <f>計算!T13*計算!T35/設定!$B$7</f>
        <v>0.47653124999999996</v>
      </c>
      <c r="U77" s="33">
        <f>計算!U13*計算!U35/設定!$B$7</f>
        <v>0.44849999999999995</v>
      </c>
      <c r="V77" s="33">
        <f>計算!V13*計算!V35/設定!$B$7</f>
        <v>0.42046874999999995</v>
      </c>
    </row>
    <row r="78" spans="1:22" ht="15.75">
      <c r="A78" s="31" t="str">
        <f t="shared" si="4"/>
        <v>OP</v>
      </c>
      <c r="B78" s="31" t="str">
        <f t="shared" si="5"/>
        <v>大迫</v>
      </c>
      <c r="C78" s="2"/>
      <c r="D78" s="33">
        <f>計算!D14*計算!D36/設定!$B$7</f>
        <v>0</v>
      </c>
      <c r="E78" s="33">
        <f>計算!E14*計算!E36/設定!$B$7</f>
        <v>0</v>
      </c>
      <c r="F78" s="33">
        <f>計算!F14*計算!F36/設定!$B$7</f>
        <v>0</v>
      </c>
      <c r="G78" s="33">
        <f>計算!G14*計算!G36/設定!$B$7</f>
        <v>0</v>
      </c>
      <c r="H78" s="33">
        <f>計算!H14*計算!H36/設定!$B$7</f>
        <v>0</v>
      </c>
      <c r="I78" s="33">
        <f>計算!I14*計算!I36/設定!$B$7</f>
        <v>0.47499999999999998</v>
      </c>
      <c r="J78" s="33">
        <f>計算!J14*計算!J36/設定!$B$7</f>
        <v>0.52500000000000002</v>
      </c>
      <c r="K78" s="33">
        <f>計算!K14*計算!K36/設定!$B$7</f>
        <v>0</v>
      </c>
      <c r="L78" s="33">
        <f>計算!L14*計算!L36/設定!$B$7</f>
        <v>0</v>
      </c>
      <c r="M78" s="33">
        <f>計算!M14*計算!M36/設定!$B$7</f>
        <v>0.65549999999999997</v>
      </c>
      <c r="N78" s="33">
        <f>計算!N14*計算!N36/設定!$B$7</f>
        <v>0.30599999999999999</v>
      </c>
      <c r="O78" s="33">
        <f>計算!O14*計算!O36/設定!$B$7</f>
        <v>0.75900000000000001</v>
      </c>
      <c r="P78" s="33">
        <f>計算!P14*計算!P36/設定!$B$7</f>
        <v>0.72449999999999992</v>
      </c>
      <c r="Q78" s="33">
        <f>計算!Q14*計算!Q36/設定!$B$7</f>
        <v>0.62099999999999989</v>
      </c>
      <c r="R78" s="33">
        <f>計算!R14*計算!R36/設定!$B$7</f>
        <v>0.75900000000000001</v>
      </c>
      <c r="S78" s="33">
        <f>計算!S14*計算!S36/設定!$B$7</f>
        <v>0.72449999999999992</v>
      </c>
      <c r="T78" s="33">
        <f>計算!T14*計算!T36/設定!$B$7</f>
        <v>0.72449999999999992</v>
      </c>
      <c r="U78" s="33">
        <f>計算!U14*計算!U36/設定!$B$7</f>
        <v>0.69</v>
      </c>
      <c r="V78" s="33">
        <f>計算!V14*計算!V36/設定!$B$7</f>
        <v>0.69</v>
      </c>
    </row>
    <row r="79" spans="1:22" ht="15.75">
      <c r="A79" s="31" t="str">
        <f t="shared" si="4"/>
        <v>OP</v>
      </c>
      <c r="B79" s="31" t="str">
        <f t="shared" si="5"/>
        <v>大場</v>
      </c>
      <c r="C79" s="2"/>
      <c r="D79" s="33">
        <f>計算!D15*計算!D37/設定!$B$7</f>
        <v>0.89249999999999985</v>
      </c>
      <c r="E79" s="33">
        <f>計算!E15*計算!E37/設定!$B$7</f>
        <v>0.7649999999999999</v>
      </c>
      <c r="F79" s="33">
        <f>計算!F15*計算!F37/設定!$B$7</f>
        <v>0.93499999999999994</v>
      </c>
      <c r="G79" s="33">
        <f>計算!G15*計算!G37/設定!$B$7</f>
        <v>0.93499999999999994</v>
      </c>
      <c r="H79" s="33">
        <f>計算!H15*計算!H37/設定!$B$7</f>
        <v>0.85</v>
      </c>
      <c r="I79" s="33">
        <f>計算!I15*計算!I37/設定!$B$7</f>
        <v>9.5000000000000001E-2</v>
      </c>
      <c r="J79" s="33">
        <f>計算!J15*計算!J37/設定!$B$7</f>
        <v>0.10500000000000001</v>
      </c>
      <c r="K79" s="33">
        <f>計算!K15*計算!K37/設定!$B$7</f>
        <v>9.5000000000000001E-2</v>
      </c>
      <c r="L79" s="33">
        <f>計算!L15*計算!L37/設定!$B$7</f>
        <v>0.1</v>
      </c>
      <c r="M79" s="33">
        <f>計算!M15*計算!M37/設定!$B$7</f>
        <v>9.5000000000000001E-2</v>
      </c>
      <c r="N79" s="33">
        <f>計算!N15*計算!N37/設定!$B$7</f>
        <v>0.09</v>
      </c>
      <c r="O79" s="33">
        <f>計算!O15*計算!O37/設定!$B$7</f>
        <v>0.11000000000000001</v>
      </c>
      <c r="P79" s="33">
        <f>計算!P15*計算!P37/設定!$B$7</f>
        <v>0.10500000000000001</v>
      </c>
      <c r="Q79" s="33">
        <f>計算!Q15*計算!Q37/設定!$B$7</f>
        <v>0.09</v>
      </c>
      <c r="R79" s="33">
        <f>計算!R15*計算!R37/設定!$B$7</f>
        <v>0.11000000000000001</v>
      </c>
      <c r="S79" s="33">
        <f>計算!S15*計算!S37/設定!$B$7</f>
        <v>0.10500000000000001</v>
      </c>
      <c r="T79" s="33">
        <f>計算!T15*計算!T37/設定!$B$7</f>
        <v>0.10500000000000001</v>
      </c>
      <c r="U79" s="33">
        <f>計算!U15*計算!U37/設定!$B$7</f>
        <v>0.1</v>
      </c>
      <c r="V79" s="33">
        <f>計算!V15*計算!V37/設定!$B$7</f>
        <v>0.1</v>
      </c>
    </row>
    <row r="80" spans="1:22" ht="15.75">
      <c r="A80" s="31" t="str">
        <f t="shared" si="4"/>
        <v>OP</v>
      </c>
      <c r="B80" s="31" t="str">
        <f t="shared" si="5"/>
        <v>島</v>
      </c>
      <c r="C80" s="2"/>
      <c r="D80" s="33">
        <f>計算!D16*計算!D38/設定!$B$7</f>
        <v>0.72249999999999992</v>
      </c>
      <c r="E80" s="33">
        <f>計算!E16*計算!E38/設定!$B$7</f>
        <v>0.63749999999999996</v>
      </c>
      <c r="F80" s="33">
        <f>計算!F16*計算!F38/設定!$B$7</f>
        <v>0.72249999999999992</v>
      </c>
      <c r="G80" s="33">
        <f>計算!G16*計算!G38/設定!$B$7</f>
        <v>0.7649999999999999</v>
      </c>
      <c r="H80" s="33">
        <f>計算!H16*計算!H38/設定!$B$7</f>
        <v>0.72249999999999992</v>
      </c>
      <c r="I80" s="33">
        <f>計算!I16*計算!I38/設定!$B$7</f>
        <v>0.315</v>
      </c>
      <c r="J80" s="33">
        <f>計算!J16*計算!J38/設定!$B$7</f>
        <v>0.35699999999999998</v>
      </c>
      <c r="K80" s="33">
        <f>計算!K16*計算!K38/設定!$B$7</f>
        <v>0.24</v>
      </c>
      <c r="L80" s="33">
        <f>計算!L16*計算!L38/設定!$B$7</f>
        <v>0.24</v>
      </c>
      <c r="M80" s="33">
        <f>計算!M16*計算!M38/設定!$B$7</f>
        <v>0.51749999999999996</v>
      </c>
      <c r="N80" s="33">
        <f>計算!N16*計算!N38/設定!$B$7</f>
        <v>0.3105</v>
      </c>
      <c r="O80" s="33">
        <f>計算!O16*計算!O38/設定!$B$7</f>
        <v>0.58649999999999991</v>
      </c>
      <c r="P80" s="33">
        <f>計算!P16*計算!P38/設定!$B$7</f>
        <v>0.58649999999999991</v>
      </c>
      <c r="Q80" s="33">
        <f>計算!Q16*計算!Q38/設定!$B$7</f>
        <v>0.51749999999999996</v>
      </c>
      <c r="R80" s="33">
        <f>計算!R16*計算!R38/設定!$B$7</f>
        <v>0.58649999999999991</v>
      </c>
      <c r="S80" s="33">
        <f>計算!S16*計算!S38/設定!$B$7</f>
        <v>0.58649999999999991</v>
      </c>
      <c r="T80" s="33">
        <f>計算!T16*計算!T38/設定!$B$7</f>
        <v>0.55199999999999994</v>
      </c>
      <c r="U80" s="33">
        <f>計算!U16*計算!U38/設定!$B$7</f>
        <v>0.55199999999999994</v>
      </c>
      <c r="V80" s="33">
        <f>計算!V16*計算!V38/設定!$B$7</f>
        <v>0.55199999999999994</v>
      </c>
    </row>
    <row r="81" spans="1:22" ht="15.75">
      <c r="A81" s="31" t="str">
        <f t="shared" si="4"/>
        <v>OP</v>
      </c>
      <c r="B81" s="31" t="str">
        <f t="shared" si="5"/>
        <v>三浦</v>
      </c>
      <c r="C81" s="2"/>
      <c r="D81" s="33">
        <f>計算!D17*計算!D39/設定!$B$7</f>
        <v>0.89249999999999985</v>
      </c>
      <c r="E81" s="33">
        <f>計算!E17*計算!E39/設定!$B$7</f>
        <v>0.7649999999999999</v>
      </c>
      <c r="F81" s="33">
        <f>計算!F17*計算!F39/設定!$B$7</f>
        <v>0.93499999999999994</v>
      </c>
      <c r="G81" s="33">
        <f>計算!G17*計算!G39/設定!$B$7</f>
        <v>0.93499999999999994</v>
      </c>
      <c r="H81" s="33">
        <f>計算!H17*計算!H39/設定!$B$7</f>
        <v>0.85</v>
      </c>
      <c r="I81" s="33">
        <f>計算!I17*計算!I39/設定!$B$7</f>
        <v>0.39899999999999997</v>
      </c>
      <c r="J81" s="33">
        <f>計算!J17*計算!J39/設定!$B$7</f>
        <v>0.441</v>
      </c>
      <c r="K81" s="33">
        <f>計算!K17*計算!K39/設定!$B$7</f>
        <v>0.28500000000000003</v>
      </c>
      <c r="L81" s="33">
        <f>計算!L17*計算!L39/設定!$B$7</f>
        <v>0.3</v>
      </c>
      <c r="M81" s="33">
        <f>計算!M17*計算!M39/設定!$B$7</f>
        <v>0.65549999999999997</v>
      </c>
      <c r="N81" s="33">
        <f>計算!N17*計算!N39/設定!$B$7</f>
        <v>0.37259999999999999</v>
      </c>
      <c r="O81" s="33">
        <f>計算!O17*計算!O39/設定!$B$7</f>
        <v>0.75900000000000001</v>
      </c>
      <c r="P81" s="33">
        <f>計算!P17*計算!P39/設定!$B$7</f>
        <v>0.72449999999999992</v>
      </c>
      <c r="Q81" s="33">
        <f>計算!Q17*計算!Q39/設定!$B$7</f>
        <v>0.62099999999999989</v>
      </c>
      <c r="R81" s="33">
        <f>計算!R17*計算!R39/設定!$B$7</f>
        <v>0.75900000000000001</v>
      </c>
      <c r="S81" s="33">
        <f>計算!S17*計算!S39/設定!$B$7</f>
        <v>0.72449999999999992</v>
      </c>
      <c r="T81" s="33">
        <f>計算!T17*計算!T39/設定!$B$7</f>
        <v>0.72449999999999992</v>
      </c>
      <c r="U81" s="33">
        <f>計算!U17*計算!U39/設定!$B$7</f>
        <v>0.69</v>
      </c>
      <c r="V81" s="33">
        <f>計算!V17*計算!V39/設定!$B$7</f>
        <v>0.69</v>
      </c>
    </row>
    <row r="82" spans="1:22" ht="15.75">
      <c r="A82" s="31" t="str">
        <f t="shared" si="4"/>
        <v>OP</v>
      </c>
      <c r="B82" s="31" t="str">
        <f t="shared" si="5"/>
        <v>伊藤</v>
      </c>
      <c r="C82" s="2"/>
      <c r="D82" s="33">
        <f>計算!D18*計算!D40/設定!$B$7</f>
        <v>0.67999999999999994</v>
      </c>
      <c r="E82" s="33">
        <f>計算!E18*計算!E40/設定!$B$7</f>
        <v>0.59499999999999997</v>
      </c>
      <c r="F82" s="33">
        <f>計算!F18*計算!F40/設定!$B$7</f>
        <v>0.7649999999999999</v>
      </c>
      <c r="G82" s="33">
        <f>計算!G18*計算!G40/設定!$B$7</f>
        <v>0.72249999999999992</v>
      </c>
      <c r="H82" s="33">
        <f>計算!H18*計算!H40/設定!$B$7</f>
        <v>0.67999999999999994</v>
      </c>
      <c r="I82" s="33">
        <f>計算!I18*計算!I40/設定!$B$7</f>
        <v>0.6</v>
      </c>
      <c r="J82" s="33">
        <f>計算!J18*計算!J40/設定!$B$7</f>
        <v>0.64</v>
      </c>
      <c r="K82" s="33">
        <f>計算!K18*計算!K40/設定!$B$7</f>
        <v>0.6</v>
      </c>
      <c r="L82" s="33">
        <f>計算!L18*計算!L40/設定!$B$7</f>
        <v>0.64</v>
      </c>
      <c r="M82" s="33">
        <f>計算!M18*計算!M40/設定!$B$7</f>
        <v>0.6</v>
      </c>
      <c r="N82" s="33">
        <f>計算!N18*計算!N40/設定!$B$7</f>
        <v>0.36</v>
      </c>
      <c r="O82" s="33">
        <f>計算!O18*計算!O40/設定!$B$7</f>
        <v>0.72</v>
      </c>
      <c r="P82" s="33">
        <f>計算!P18*計算!P40/設定!$B$7</f>
        <v>0.68</v>
      </c>
      <c r="Q82" s="33">
        <f>計算!Q18*計算!Q40/設定!$B$7</f>
        <v>0.56000000000000005</v>
      </c>
      <c r="R82" s="33">
        <f>計算!R18*計算!R40/設定!$B$7</f>
        <v>0.72</v>
      </c>
      <c r="S82" s="33">
        <f>計算!S18*計算!S40/設定!$B$7</f>
        <v>0.64</v>
      </c>
      <c r="T82" s="33">
        <f>計算!T18*計算!T40/設定!$B$7</f>
        <v>0.68</v>
      </c>
      <c r="U82" s="33">
        <f>計算!U18*計算!U40/設定!$B$7</f>
        <v>0.64</v>
      </c>
      <c r="V82" s="33">
        <f>計算!V18*計算!V40/設定!$B$7</f>
        <v>0.64</v>
      </c>
    </row>
    <row r="83" spans="1:22" ht="15.75">
      <c r="A83" s="31" t="str">
        <f t="shared" si="4"/>
        <v>OP</v>
      </c>
      <c r="B83" s="31" t="str">
        <f t="shared" si="5"/>
        <v>兼田</v>
      </c>
      <c r="C83" s="2"/>
      <c r="D83" s="33">
        <f>計算!D19*計算!D41/設定!$B$7</f>
        <v>0.72249999999999992</v>
      </c>
      <c r="E83" s="33">
        <f>計算!E19*計算!E41/設定!$B$7</f>
        <v>0.63749999999999996</v>
      </c>
      <c r="F83" s="33">
        <f>計算!F19*計算!F41/設定!$B$7</f>
        <v>0.7649999999999999</v>
      </c>
      <c r="G83" s="33">
        <f>計算!G19*計算!G41/設定!$B$7</f>
        <v>0.72249999999999992</v>
      </c>
      <c r="H83" s="33">
        <f>計算!H19*計算!H41/設定!$B$7</f>
        <v>0.67999999999999994</v>
      </c>
      <c r="I83" s="33">
        <f>計算!I19*計算!I41/設定!$B$7</f>
        <v>0.6</v>
      </c>
      <c r="J83" s="33">
        <f>計算!J19*計算!J41/設定!$B$7</f>
        <v>0.68</v>
      </c>
      <c r="K83" s="33">
        <f>計算!K19*計算!K41/設定!$B$7</f>
        <v>0.6</v>
      </c>
      <c r="L83" s="33">
        <f>計算!L19*計算!L41/設定!$B$7</f>
        <v>0.64</v>
      </c>
      <c r="M83" s="33">
        <f>計算!M19*計算!M41/設定!$B$7</f>
        <v>0.6</v>
      </c>
      <c r="N83" s="33">
        <f>計算!N19*計算!N41/設定!$B$7</f>
        <v>0.33599999999999997</v>
      </c>
      <c r="O83" s="33">
        <f>計算!O19*計算!O41/設定!$B$7</f>
        <v>0.68</v>
      </c>
      <c r="P83" s="33">
        <f>計算!P19*計算!P41/設定!$B$7</f>
        <v>0.68</v>
      </c>
      <c r="Q83" s="33">
        <f>計算!Q19*計算!Q41/設定!$B$7</f>
        <v>0.6</v>
      </c>
      <c r="R83" s="33">
        <f>計算!R19*計算!R41/設定!$B$7</f>
        <v>0.68</v>
      </c>
      <c r="S83" s="33">
        <f>計算!S19*計算!S41/設定!$B$7</f>
        <v>0.68</v>
      </c>
      <c r="T83" s="33">
        <f>計算!T19*計算!T41/設定!$B$7</f>
        <v>0.72</v>
      </c>
      <c r="U83" s="33">
        <f>計算!U19*計算!U41/設定!$B$7</f>
        <v>0.6</v>
      </c>
      <c r="V83" s="33">
        <f>計算!V19*計算!V41/設定!$B$7</f>
        <v>0.64</v>
      </c>
    </row>
    <row r="84" spans="1:22" ht="15.75">
      <c r="A84" s="31" t="str">
        <f t="shared" si="4"/>
        <v>OP</v>
      </c>
      <c r="B84" s="31" t="str">
        <f t="shared" si="5"/>
        <v>植田</v>
      </c>
      <c r="C84" s="2"/>
      <c r="D84" s="33">
        <f>計算!D20*計算!D42/設定!$B$7</f>
        <v>0.89249999999999985</v>
      </c>
      <c r="E84" s="33">
        <f>計算!E20*計算!E42/設定!$B$7</f>
        <v>0.7649999999999999</v>
      </c>
      <c r="F84" s="33">
        <f>計算!F20*計算!F42/設定!$B$7</f>
        <v>0.93499999999999994</v>
      </c>
      <c r="G84" s="33">
        <f>計算!G20*計算!G42/設定!$B$7</f>
        <v>0.93499999999999994</v>
      </c>
      <c r="H84" s="33">
        <f>計算!H20*計算!H42/設定!$B$7</f>
        <v>0.85</v>
      </c>
      <c r="I84" s="33">
        <f>計算!I20*計算!I42/設定!$B$7</f>
        <v>0</v>
      </c>
      <c r="J84" s="33">
        <f>計算!J20*計算!J42/設定!$B$7</f>
        <v>0</v>
      </c>
      <c r="K84" s="33">
        <f>計算!K20*計算!K42/設定!$B$7</f>
        <v>0</v>
      </c>
      <c r="L84" s="33">
        <f>計算!L20*計算!L42/設定!$B$7</f>
        <v>0</v>
      </c>
      <c r="M84" s="33">
        <f>計算!M20*計算!M42/設定!$B$7</f>
        <v>0</v>
      </c>
      <c r="N84" s="33">
        <f>計算!N20*計算!N42/設定!$B$7</f>
        <v>0</v>
      </c>
      <c r="O84" s="33">
        <f>計算!O20*計算!O42/設定!$B$7</f>
        <v>0</v>
      </c>
      <c r="P84" s="33">
        <f>計算!P20*計算!P42/設定!$B$7</f>
        <v>0</v>
      </c>
      <c r="Q84" s="33">
        <f>計算!Q20*計算!Q42/設定!$B$7</f>
        <v>0</v>
      </c>
      <c r="R84" s="33">
        <f>計算!R20*計算!R42/設定!$B$7</f>
        <v>0</v>
      </c>
      <c r="S84" s="33">
        <f>計算!S20*計算!S42/設定!$B$7</f>
        <v>0</v>
      </c>
      <c r="T84" s="33">
        <f>計算!T20*計算!T42/設定!$B$7</f>
        <v>0</v>
      </c>
      <c r="U84" s="33">
        <f>計算!U20*計算!U42/設定!$B$7</f>
        <v>0</v>
      </c>
      <c r="V84" s="33">
        <f>計算!V20*計算!V42/設定!$B$7</f>
        <v>0</v>
      </c>
    </row>
    <row r="85" spans="1:22" ht="15.75">
      <c r="A85" s="31" t="str">
        <f t="shared" si="4"/>
        <v>SV</v>
      </c>
      <c r="B85" s="31" t="str">
        <f t="shared" si="5"/>
        <v>小野</v>
      </c>
      <c r="C85" s="2"/>
      <c r="D85" s="33">
        <f>計算!D21*計算!D43/設定!$B$7</f>
        <v>0.71718749999999998</v>
      </c>
      <c r="E85" s="33">
        <f>計算!E21*計算!E43/設定!$B$7</f>
        <v>0.62156250000000002</v>
      </c>
      <c r="F85" s="33">
        <f>計算!F21*計算!F43/設定!$B$7</f>
        <v>0.75437500000000002</v>
      </c>
      <c r="G85" s="33">
        <f>計算!G21*計算!G43/設定!$B$7</f>
        <v>0.73843749999999997</v>
      </c>
      <c r="H85" s="33">
        <f>計算!H21*計算!H43/設定!$B$7</f>
        <v>0.67999999999999994</v>
      </c>
      <c r="I85" s="33">
        <f>計算!I21*計算!I43/設定!$B$7</f>
        <v>0.60500000000000009</v>
      </c>
      <c r="J85" s="33">
        <f>計算!J21*計算!J43/設定!$B$7</f>
        <v>0.67500000000000004</v>
      </c>
      <c r="K85" s="33">
        <f>計算!K21*計算!K43/設定!$B$7</f>
        <v>0.60500000000000009</v>
      </c>
      <c r="L85" s="33">
        <f>計算!L21*計算!L43/設定!$B$7</f>
        <v>0.64</v>
      </c>
      <c r="M85" s="33">
        <f>計算!M21*計算!M43/設定!$B$7</f>
        <v>0.60500000000000009</v>
      </c>
      <c r="N85" s="33">
        <f>計算!N21*計算!N43/設定!$B$7</f>
        <v>0.34199999999999997</v>
      </c>
      <c r="O85" s="33">
        <f>計算!O21*計算!O43/設定!$B$7</f>
        <v>0.69500000000000006</v>
      </c>
      <c r="P85" s="33">
        <f>計算!P21*計算!P43/設定!$B$7</f>
        <v>0.67500000000000004</v>
      </c>
      <c r="Q85" s="33">
        <f>計算!Q21*計算!Q43/設定!$B$7</f>
        <v>0.58500000000000008</v>
      </c>
      <c r="R85" s="33">
        <f>計算!R21*計算!R43/設定!$B$7</f>
        <v>0.69500000000000006</v>
      </c>
      <c r="S85" s="33">
        <f>計算!S21*計算!S43/設定!$B$7</f>
        <v>0.67500000000000004</v>
      </c>
      <c r="T85" s="33">
        <f>計算!T21*計算!T43/設定!$B$7</f>
        <v>0.69000000000000006</v>
      </c>
      <c r="U85" s="33">
        <f>計算!U21*計算!U43/設定!$B$7</f>
        <v>0.625</v>
      </c>
      <c r="V85" s="33">
        <f>計算!V21*計算!V43/設定!$B$7</f>
        <v>0.64</v>
      </c>
    </row>
    <row r="86" spans="1:22" ht="15.75">
      <c r="A86" s="31" t="str">
        <f t="shared" si="4"/>
        <v>SV</v>
      </c>
      <c r="B86" s="31" t="str">
        <f t="shared" si="5"/>
        <v>栗城</v>
      </c>
      <c r="C86" s="2"/>
      <c r="D86" s="33">
        <f>計算!D22*計算!D44/設定!$B$7</f>
        <v>0.89249999999999985</v>
      </c>
      <c r="E86" s="33">
        <f>計算!E22*計算!E44/設定!$B$7</f>
        <v>0.7649999999999999</v>
      </c>
      <c r="F86" s="33">
        <f>計算!F22*計算!F44/設定!$B$7</f>
        <v>0.93499999999999994</v>
      </c>
      <c r="G86" s="33">
        <f>計算!G22*計算!G44/設定!$B$7</f>
        <v>0.93499999999999994</v>
      </c>
      <c r="H86" s="33">
        <f>計算!H22*計算!H44/設定!$B$7</f>
        <v>0.85</v>
      </c>
      <c r="I86" s="33">
        <f>計算!I22*計算!I44/設定!$B$7</f>
        <v>0.76</v>
      </c>
      <c r="J86" s="33">
        <f>計算!J22*計算!J44/設定!$B$7</f>
        <v>0.84000000000000008</v>
      </c>
      <c r="K86" s="33">
        <f>計算!K22*計算!K44/設定!$B$7</f>
        <v>0.76</v>
      </c>
      <c r="L86" s="33">
        <f>計算!L22*計算!L44/設定!$B$7</f>
        <v>0.8</v>
      </c>
      <c r="M86" s="33">
        <f>計算!M22*計算!M44/設定!$B$7</f>
        <v>0.76</v>
      </c>
      <c r="N86" s="33">
        <f>計算!N22*計算!N44/設定!$B$7</f>
        <v>0.43200000000000005</v>
      </c>
      <c r="O86" s="33">
        <f>計算!O22*計算!O44/設定!$B$7</f>
        <v>0.88000000000000012</v>
      </c>
      <c r="P86" s="33">
        <f>計算!P22*計算!P44/設定!$B$7</f>
        <v>0.84000000000000008</v>
      </c>
      <c r="Q86" s="33">
        <f>計算!Q22*計算!Q44/設定!$B$7</f>
        <v>0.72</v>
      </c>
      <c r="R86" s="33">
        <f>計算!R22*計算!R44/設定!$B$7</f>
        <v>0.88000000000000012</v>
      </c>
      <c r="S86" s="33">
        <f>計算!S22*計算!S44/設定!$B$7</f>
        <v>0.84000000000000008</v>
      </c>
      <c r="T86" s="33">
        <f>計算!T22*計算!T44/設定!$B$7</f>
        <v>0.84000000000000008</v>
      </c>
      <c r="U86" s="33">
        <f>計算!U22*計算!U44/設定!$B$7</f>
        <v>0.8</v>
      </c>
      <c r="V86" s="33">
        <f>計算!V22*計算!V44/設定!$B$7</f>
        <v>0.8</v>
      </c>
    </row>
    <row r="87" spans="1:22" ht="15.75">
      <c r="A87" s="31" t="str">
        <f t="shared" si="4"/>
        <v>SV</v>
      </c>
      <c r="B87" s="31" t="str">
        <f t="shared" si="5"/>
        <v>田中</v>
      </c>
      <c r="C87" s="2"/>
      <c r="D87" s="33">
        <f>計算!D23*計算!D45/設定!$B$7</f>
        <v>0.63</v>
      </c>
      <c r="E87" s="33">
        <f>計算!E23*計算!E45/設定!$B$7</f>
        <v>0.53999999999999992</v>
      </c>
      <c r="F87" s="33">
        <f>計算!F23*計算!F45/設定!$B$7</f>
        <v>0.65999999999999992</v>
      </c>
      <c r="G87" s="33">
        <f>計算!G23*計算!G45/設定!$B$7</f>
        <v>0.65999999999999992</v>
      </c>
      <c r="H87" s="33">
        <f>計算!H23*計算!H45/設定!$B$7</f>
        <v>0.6</v>
      </c>
      <c r="I87" s="33">
        <f>計算!I23*計算!I45/設定!$B$7</f>
        <v>0.57000000000000006</v>
      </c>
      <c r="J87" s="33">
        <f>計算!J23*計算!J45/設定!$B$7</f>
        <v>0.63</v>
      </c>
      <c r="K87" s="33">
        <f>計算!K23*計算!K45/設定!$B$7</f>
        <v>0.57000000000000006</v>
      </c>
      <c r="L87" s="33">
        <f>計算!L23*計算!L45/設定!$B$7</f>
        <v>0.6</v>
      </c>
      <c r="M87" s="33">
        <f>計算!M23*計算!M45/設定!$B$7</f>
        <v>0.57000000000000006</v>
      </c>
      <c r="N87" s="33">
        <f>計算!N23*計算!N45/設定!$B$7</f>
        <v>0.32399999999999995</v>
      </c>
      <c r="O87" s="33">
        <f>計算!O23*計算!O45/設定!$B$7</f>
        <v>0.65999999999999992</v>
      </c>
      <c r="P87" s="33">
        <f>計算!P23*計算!P45/設定!$B$7</f>
        <v>0.63</v>
      </c>
      <c r="Q87" s="33">
        <f>計算!Q23*計算!Q45/設定!$B$7</f>
        <v>0.53999999999999992</v>
      </c>
      <c r="R87" s="33">
        <f>計算!R23*計算!R45/設定!$B$7</f>
        <v>0.65999999999999992</v>
      </c>
      <c r="S87" s="33">
        <f>計算!S23*計算!S45/設定!$B$7</f>
        <v>0.63</v>
      </c>
      <c r="T87" s="33">
        <f>計算!T23*計算!T45/設定!$B$7</f>
        <v>0.63</v>
      </c>
      <c r="U87" s="33">
        <f>計算!U23*計算!U45/設定!$B$7</f>
        <v>0.6</v>
      </c>
      <c r="V87" s="33">
        <f>計算!V23*計算!V45/設定!$B$7</f>
        <v>0.6</v>
      </c>
    </row>
    <row r="88" spans="1:22" ht="15.75">
      <c r="A88" s="31" t="str">
        <f t="shared" si="4"/>
        <v>SV</v>
      </c>
      <c r="B88" s="31" t="str">
        <f t="shared" si="5"/>
        <v>西村</v>
      </c>
      <c r="C88" s="2"/>
      <c r="D88" s="33">
        <f>計算!D24*計算!D46/設定!$B$7</f>
        <v>0.63</v>
      </c>
      <c r="E88" s="33">
        <f>計算!E24*計算!E46/設定!$B$7</f>
        <v>0.53999999999999992</v>
      </c>
      <c r="F88" s="33">
        <f>計算!F24*計算!F46/設定!$B$7</f>
        <v>0.65999999999999992</v>
      </c>
      <c r="G88" s="33">
        <f>計算!G24*計算!G46/設定!$B$7</f>
        <v>0.65999999999999992</v>
      </c>
      <c r="H88" s="33">
        <f>計算!H24*計算!H46/設定!$B$7</f>
        <v>0.6</v>
      </c>
      <c r="I88" s="33">
        <f>計算!I24*計算!I46/設定!$B$7</f>
        <v>0.57000000000000006</v>
      </c>
      <c r="J88" s="33">
        <f>計算!J24*計算!J46/設定!$B$7</f>
        <v>0.63</v>
      </c>
      <c r="K88" s="33">
        <f>計算!K24*計算!K46/設定!$B$7</f>
        <v>0.57000000000000006</v>
      </c>
      <c r="L88" s="33">
        <f>計算!L24*計算!L46/設定!$B$7</f>
        <v>0.6</v>
      </c>
      <c r="M88" s="33">
        <f>計算!M24*計算!M46/設定!$B$7</f>
        <v>0.57000000000000006</v>
      </c>
      <c r="N88" s="33">
        <f>計算!N24*計算!N46/設定!$B$7</f>
        <v>0.32399999999999995</v>
      </c>
      <c r="O88" s="33">
        <f>計算!O24*計算!O46/設定!$B$7</f>
        <v>0.65999999999999992</v>
      </c>
      <c r="P88" s="33">
        <f>計算!P24*計算!P46/設定!$B$7</f>
        <v>0.63</v>
      </c>
      <c r="Q88" s="33">
        <f>計算!Q24*計算!Q46/設定!$B$7</f>
        <v>0.53999999999999992</v>
      </c>
      <c r="R88" s="33">
        <f>計算!R24*計算!R46/設定!$B$7</f>
        <v>0.65999999999999992</v>
      </c>
      <c r="S88" s="33">
        <f>計算!S24*計算!S46/設定!$B$7</f>
        <v>0.63</v>
      </c>
      <c r="T88" s="33">
        <f>計算!T24*計算!T46/設定!$B$7</f>
        <v>0.63</v>
      </c>
      <c r="U88" s="33">
        <f>計算!U24*計算!U46/設定!$B$7</f>
        <v>0.6</v>
      </c>
      <c r="V88" s="33">
        <f>計算!V24*計算!V46/設定!$B$7</f>
        <v>0.6</v>
      </c>
    </row>
    <row r="89" spans="1:22" ht="15.75">
      <c r="A89" s="31" t="str">
        <f t="shared" si="4"/>
        <v/>
      </c>
      <c r="B89" s="31" t="str">
        <f t="shared" si="5"/>
        <v/>
      </c>
      <c r="C89" s="2"/>
      <c r="D89" s="33">
        <f>計算!D25*計算!D47/設定!$B$7</f>
        <v>0</v>
      </c>
      <c r="E89" s="33">
        <f>計算!E25*計算!E47/設定!$B$7</f>
        <v>0</v>
      </c>
      <c r="F89" s="33">
        <f>計算!F25*計算!F47/設定!$B$7</f>
        <v>0</v>
      </c>
      <c r="G89" s="33">
        <f>計算!G25*計算!G47/設定!$B$7</f>
        <v>0</v>
      </c>
      <c r="H89" s="33">
        <f>計算!H25*計算!H47/設定!$B$7</f>
        <v>0</v>
      </c>
      <c r="I89" s="33">
        <f>計算!I25*計算!I47/設定!$B$7</f>
        <v>0</v>
      </c>
      <c r="J89" s="33">
        <f>計算!J25*計算!J47/設定!$B$7</f>
        <v>0</v>
      </c>
      <c r="K89" s="33">
        <f>計算!K25*計算!K47/設定!$B$7</f>
        <v>0</v>
      </c>
      <c r="L89" s="33">
        <f>計算!L25*計算!L47/設定!$B$7</f>
        <v>0</v>
      </c>
      <c r="M89" s="33">
        <f>計算!M25*計算!M47/設定!$B$7</f>
        <v>0</v>
      </c>
      <c r="N89" s="33">
        <f>計算!N25*計算!N47/設定!$B$7</f>
        <v>0</v>
      </c>
      <c r="O89" s="33">
        <f>計算!O25*計算!O47/設定!$B$7</f>
        <v>0</v>
      </c>
      <c r="P89" s="33">
        <f>計算!P25*計算!P47/設定!$B$7</f>
        <v>0</v>
      </c>
      <c r="Q89" s="33">
        <f>計算!Q25*計算!Q47/設定!$B$7</f>
        <v>0</v>
      </c>
      <c r="R89" s="33">
        <f>計算!R25*計算!R47/設定!$B$7</f>
        <v>0</v>
      </c>
      <c r="S89" s="33">
        <f>計算!S25*計算!S47/設定!$B$7</f>
        <v>0</v>
      </c>
      <c r="T89" s="33">
        <f>計算!T25*計算!T47/設定!$B$7</f>
        <v>0</v>
      </c>
      <c r="U89" s="33">
        <f>計算!U25*計算!U47/設定!$B$7</f>
        <v>0</v>
      </c>
      <c r="V89" s="33">
        <f>計算!V25*計算!V47/設定!$B$7</f>
        <v>0</v>
      </c>
    </row>
    <row r="90" spans="1:22" ht="15.75">
      <c r="A90" s="31" t="str">
        <f t="shared" si="4"/>
        <v/>
      </c>
      <c r="B90" s="31" t="str">
        <f t="shared" si="5"/>
        <v/>
      </c>
      <c r="C90" s="2"/>
      <c r="D90" s="33">
        <f>計算!D26*計算!D48/設定!$B$7</f>
        <v>0</v>
      </c>
      <c r="E90" s="33">
        <f>計算!E26*計算!E48/設定!$B$7</f>
        <v>0</v>
      </c>
      <c r="F90" s="33">
        <f>計算!F26*計算!F48/設定!$B$7</f>
        <v>0</v>
      </c>
      <c r="G90" s="33">
        <f>計算!G26*計算!G48/設定!$B$7</f>
        <v>0</v>
      </c>
      <c r="H90" s="33">
        <f>計算!H26*計算!H48/設定!$B$7</f>
        <v>0</v>
      </c>
      <c r="I90" s="33">
        <f>計算!I26*計算!I48/設定!$B$7</f>
        <v>0</v>
      </c>
      <c r="J90" s="33">
        <f>計算!J26*計算!J48/設定!$B$7</f>
        <v>0</v>
      </c>
      <c r="K90" s="33">
        <f>計算!K26*計算!K48/設定!$B$7</f>
        <v>0</v>
      </c>
      <c r="L90" s="33">
        <f>計算!L26*計算!L48/設定!$B$7</f>
        <v>0</v>
      </c>
      <c r="M90" s="33">
        <f>計算!M26*計算!M48/設定!$B$7</f>
        <v>0</v>
      </c>
      <c r="N90" s="33">
        <f>計算!N26*計算!N48/設定!$B$7</f>
        <v>0</v>
      </c>
      <c r="O90" s="33">
        <f>計算!O26*計算!O48/設定!$B$7</f>
        <v>0</v>
      </c>
      <c r="P90" s="33">
        <f>計算!P26*計算!P48/設定!$B$7</f>
        <v>0</v>
      </c>
      <c r="Q90" s="33">
        <f>計算!Q26*計算!Q48/設定!$B$7</f>
        <v>0</v>
      </c>
      <c r="R90" s="33">
        <f>計算!R26*計算!R48/設定!$B$7</f>
        <v>0</v>
      </c>
      <c r="S90" s="33">
        <f>計算!S26*計算!S48/設定!$B$7</f>
        <v>0</v>
      </c>
      <c r="T90" s="33">
        <f>計算!T26*計算!T48/設定!$B$7</f>
        <v>0</v>
      </c>
      <c r="U90" s="33">
        <f>計算!U26*計算!U48/設定!$B$7</f>
        <v>0</v>
      </c>
      <c r="V90" s="33">
        <f>計算!V26*計算!V48/設定!$B$7</f>
        <v>0</v>
      </c>
    </row>
    <row r="91" spans="1:22" ht="15.75">
      <c r="A91" s="31" t="str">
        <f t="shared" si="4"/>
        <v/>
      </c>
      <c r="B91" s="31" t="str">
        <f t="shared" si="5"/>
        <v/>
      </c>
      <c r="C91" s="2"/>
      <c r="D91" s="33">
        <f>計算!D27*計算!D49/設定!$B$7</f>
        <v>0</v>
      </c>
      <c r="E91" s="33">
        <f>計算!E27*計算!E49/設定!$B$7</f>
        <v>0</v>
      </c>
      <c r="F91" s="33">
        <f>計算!F27*計算!F49/設定!$B$7</f>
        <v>0</v>
      </c>
      <c r="G91" s="33">
        <f>計算!G27*計算!G49/設定!$B$7</f>
        <v>0</v>
      </c>
      <c r="H91" s="33">
        <f>計算!H27*計算!H49/設定!$B$7</f>
        <v>0</v>
      </c>
      <c r="I91" s="33">
        <f>計算!I27*計算!I49/設定!$B$7</f>
        <v>0</v>
      </c>
      <c r="J91" s="33">
        <f>計算!J27*計算!J49/設定!$B$7</f>
        <v>0</v>
      </c>
      <c r="K91" s="33">
        <f>計算!K27*計算!K49/設定!$B$7</f>
        <v>0</v>
      </c>
      <c r="L91" s="33">
        <f>計算!L27*計算!L49/設定!$B$7</f>
        <v>0</v>
      </c>
      <c r="M91" s="33">
        <f>計算!M27*計算!M49/設定!$B$7</f>
        <v>0</v>
      </c>
      <c r="N91" s="33">
        <f>計算!N27*計算!N49/設定!$B$7</f>
        <v>0</v>
      </c>
      <c r="O91" s="33">
        <f>計算!O27*計算!O49/設定!$B$7</f>
        <v>0</v>
      </c>
      <c r="P91" s="33">
        <f>計算!P27*計算!P49/設定!$B$7</f>
        <v>0</v>
      </c>
      <c r="Q91" s="33">
        <f>計算!Q27*計算!Q49/設定!$B$7</f>
        <v>0</v>
      </c>
      <c r="R91" s="33">
        <f>計算!R27*計算!R49/設定!$B$7</f>
        <v>0</v>
      </c>
      <c r="S91" s="33">
        <f>計算!S27*計算!S49/設定!$B$7</f>
        <v>0</v>
      </c>
      <c r="T91" s="33">
        <f>計算!T27*計算!T49/設定!$B$7</f>
        <v>0</v>
      </c>
      <c r="U91" s="33">
        <f>計算!U27*計算!U49/設定!$B$7</f>
        <v>0</v>
      </c>
      <c r="V91" s="33">
        <f>計算!V27*計算!V49/設定!$B$7</f>
        <v>0</v>
      </c>
    </row>
    <row r="92" spans="1:22" ht="15.75">
      <c r="A92" s="31" t="str">
        <f t="shared" si="4"/>
        <v/>
      </c>
      <c r="B92" s="31" t="str">
        <f t="shared" si="5"/>
        <v/>
      </c>
      <c r="C92" s="2"/>
      <c r="D92" s="33">
        <f>計算!D28*計算!D50/設定!$B$7</f>
        <v>0</v>
      </c>
      <c r="E92" s="33">
        <f>計算!E28*計算!E50/設定!$B$7</f>
        <v>0</v>
      </c>
      <c r="F92" s="33">
        <f>計算!F28*計算!F50/設定!$B$7</f>
        <v>0</v>
      </c>
      <c r="G92" s="33">
        <f>計算!G28*計算!G50/設定!$B$7</f>
        <v>0</v>
      </c>
      <c r="H92" s="33">
        <f>計算!H28*計算!H50/設定!$B$7</f>
        <v>0</v>
      </c>
      <c r="I92" s="33">
        <f>計算!I28*計算!I50/設定!$B$7</f>
        <v>0</v>
      </c>
      <c r="J92" s="33">
        <f>計算!J28*計算!J50/設定!$B$7</f>
        <v>0</v>
      </c>
      <c r="K92" s="33">
        <f>計算!K28*計算!K50/設定!$B$7</f>
        <v>0</v>
      </c>
      <c r="L92" s="33">
        <f>計算!L28*計算!L50/設定!$B$7</f>
        <v>0</v>
      </c>
      <c r="M92" s="33">
        <f>計算!M28*計算!M50/設定!$B$7</f>
        <v>0</v>
      </c>
      <c r="N92" s="33">
        <f>計算!N28*計算!N50/設定!$B$7</f>
        <v>0</v>
      </c>
      <c r="O92" s="33">
        <f>計算!O28*計算!O50/設定!$B$7</f>
        <v>0</v>
      </c>
      <c r="P92" s="33">
        <f>計算!P28*計算!P50/設定!$B$7</f>
        <v>0</v>
      </c>
      <c r="Q92" s="33">
        <f>計算!Q28*計算!Q50/設定!$B$7</f>
        <v>0</v>
      </c>
      <c r="R92" s="33">
        <f>計算!R28*計算!R50/設定!$B$7</f>
        <v>0</v>
      </c>
      <c r="S92" s="33">
        <f>計算!S28*計算!S50/設定!$B$7</f>
        <v>0</v>
      </c>
      <c r="T92" s="33">
        <f>計算!T28*計算!T50/設定!$B$7</f>
        <v>0</v>
      </c>
      <c r="U92" s="33">
        <f>計算!U28*計算!U50/設定!$B$7</f>
        <v>0</v>
      </c>
      <c r="V92" s="33">
        <f>計算!V28*計算!V50/設定!$B$7</f>
        <v>0</v>
      </c>
    </row>
    <row r="93" spans="1:22" ht="15.75">
      <c r="A93" s="31" t="str">
        <f t="shared" si="4"/>
        <v/>
      </c>
      <c r="B93" s="31" t="str">
        <f t="shared" si="5"/>
        <v/>
      </c>
      <c r="C93" s="2"/>
      <c r="D93" s="33">
        <f>計算!D29*計算!D51/設定!$B$7</f>
        <v>0</v>
      </c>
      <c r="E93" s="33">
        <f>計算!E29*計算!E51/設定!$B$7</f>
        <v>0</v>
      </c>
      <c r="F93" s="33">
        <f>計算!F29*計算!F51/設定!$B$7</f>
        <v>0</v>
      </c>
      <c r="G93" s="33">
        <f>計算!G29*計算!G51/設定!$B$7</f>
        <v>0</v>
      </c>
      <c r="H93" s="33">
        <f>計算!H29*計算!H51/設定!$B$7</f>
        <v>0</v>
      </c>
      <c r="I93" s="33">
        <f>計算!I29*計算!I51/設定!$B$7</f>
        <v>0</v>
      </c>
      <c r="J93" s="33">
        <f>計算!J29*計算!J51/設定!$B$7</f>
        <v>0</v>
      </c>
      <c r="K93" s="33">
        <f>計算!K29*計算!K51/設定!$B$7</f>
        <v>0</v>
      </c>
      <c r="L93" s="33">
        <f>計算!L29*計算!L51/設定!$B$7</f>
        <v>0</v>
      </c>
      <c r="M93" s="33">
        <f>計算!M29*計算!M51/設定!$B$7</f>
        <v>0</v>
      </c>
      <c r="N93" s="33">
        <f>計算!N29*計算!N51/設定!$B$7</f>
        <v>0</v>
      </c>
      <c r="O93" s="33">
        <f>計算!O29*計算!O51/設定!$B$7</f>
        <v>0</v>
      </c>
      <c r="P93" s="33">
        <f>計算!P29*計算!P51/設定!$B$7</f>
        <v>0</v>
      </c>
      <c r="Q93" s="33">
        <f>計算!Q29*計算!Q51/設定!$B$7</f>
        <v>0</v>
      </c>
      <c r="R93" s="33">
        <f>計算!R29*計算!R51/設定!$B$7</f>
        <v>0</v>
      </c>
      <c r="S93" s="33">
        <f>計算!S29*計算!S51/設定!$B$7</f>
        <v>0</v>
      </c>
      <c r="T93" s="33">
        <f>計算!T29*計算!T51/設定!$B$7</f>
        <v>0</v>
      </c>
      <c r="U93" s="33">
        <f>計算!U29*計算!U51/設定!$B$7</f>
        <v>0</v>
      </c>
      <c r="V93" s="33">
        <f>計算!V29*計算!V51/設定!$B$7</f>
        <v>0</v>
      </c>
    </row>
    <row r="94" spans="1:22" ht="15.75">
      <c r="A94" s="31" t="str">
        <f t="shared" si="4"/>
        <v/>
      </c>
      <c r="B94" s="31" t="str">
        <f t="shared" si="5"/>
        <v/>
      </c>
      <c r="C94" s="2"/>
      <c r="D94" s="33">
        <f>計算!D30*計算!D52/設定!$B$7</f>
        <v>0</v>
      </c>
      <c r="E94" s="33">
        <f>計算!E30*計算!E52/設定!$B$7</f>
        <v>0</v>
      </c>
      <c r="F94" s="33">
        <f>計算!F30*計算!F52/設定!$B$7</f>
        <v>0</v>
      </c>
      <c r="G94" s="33">
        <f>計算!G30*計算!G52/設定!$B$7</f>
        <v>0</v>
      </c>
      <c r="H94" s="33">
        <f>計算!H30*計算!H52/設定!$B$7</f>
        <v>0</v>
      </c>
      <c r="I94" s="33">
        <f>計算!I30*計算!I52/設定!$B$7</f>
        <v>0</v>
      </c>
      <c r="J94" s="33">
        <f>計算!J30*計算!J52/設定!$B$7</f>
        <v>0</v>
      </c>
      <c r="K94" s="33">
        <f>計算!K30*計算!K52/設定!$B$7</f>
        <v>0</v>
      </c>
      <c r="L94" s="33">
        <f>計算!L30*計算!L52/設定!$B$7</f>
        <v>0</v>
      </c>
      <c r="M94" s="33">
        <f>計算!M30*計算!M52/設定!$B$7</f>
        <v>0</v>
      </c>
      <c r="N94" s="33">
        <f>計算!N30*計算!N52/設定!$B$7</f>
        <v>0</v>
      </c>
      <c r="O94" s="33">
        <f>計算!O30*計算!O52/設定!$B$7</f>
        <v>0</v>
      </c>
      <c r="P94" s="33">
        <f>計算!P30*計算!P52/設定!$B$7</f>
        <v>0</v>
      </c>
      <c r="Q94" s="33">
        <f>計算!Q30*計算!Q52/設定!$B$7</f>
        <v>0</v>
      </c>
      <c r="R94" s="33">
        <f>計算!R30*計算!R52/設定!$B$7</f>
        <v>0</v>
      </c>
      <c r="S94" s="33">
        <f>計算!S30*計算!S52/設定!$B$7</f>
        <v>0</v>
      </c>
      <c r="T94" s="33">
        <f>計算!T30*計算!T52/設定!$B$7</f>
        <v>0</v>
      </c>
      <c r="U94" s="33">
        <f>計算!U30*計算!U52/設定!$B$7</f>
        <v>0</v>
      </c>
      <c r="V94" s="33">
        <f>計算!V30*計算!V52/設定!$B$7</f>
        <v>0</v>
      </c>
    </row>
    <row r="95" spans="1:22" ht="15.75">
      <c r="A95" s="2"/>
      <c r="B95" s="4" t="s">
        <v>83</v>
      </c>
      <c r="C95" s="2"/>
      <c r="D95" s="16">
        <f t="shared" ref="D95:V95" si="6">SUMIFS(D75:D94,$A$75:$A$94,"OP")</f>
        <v>4.8024999999999993</v>
      </c>
      <c r="E95" s="16">
        <f t="shared" si="6"/>
        <v>4.1649999999999991</v>
      </c>
      <c r="F95" s="16">
        <f t="shared" si="6"/>
        <v>5.0574999999999992</v>
      </c>
      <c r="G95" s="16">
        <f t="shared" si="6"/>
        <v>5.0149999999999997</v>
      </c>
      <c r="H95" s="16">
        <f t="shared" si="6"/>
        <v>4.6324999999999994</v>
      </c>
      <c r="I95" s="16">
        <f t="shared" si="6"/>
        <v>3.5043124999999997</v>
      </c>
      <c r="J95" s="16">
        <f t="shared" si="6"/>
        <v>3.8605</v>
      </c>
      <c r="K95" s="16">
        <f t="shared" si="6"/>
        <v>1.8199999999999998</v>
      </c>
      <c r="L95" s="16">
        <f t="shared" si="6"/>
        <v>1.92</v>
      </c>
      <c r="M95" s="16">
        <f t="shared" si="6"/>
        <v>4.5315312499999996</v>
      </c>
      <c r="N95" s="16">
        <f t="shared" si="6"/>
        <v>2.4529749999999999</v>
      </c>
      <c r="O95" s="16">
        <f t="shared" si="6"/>
        <v>5.2704999999999993</v>
      </c>
      <c r="P95" s="16">
        <f t="shared" si="6"/>
        <v>5.0659374999999995</v>
      </c>
      <c r="Q95" s="16">
        <f t="shared" si="6"/>
        <v>4.3549999999999995</v>
      </c>
      <c r="R95" s="16">
        <f t="shared" si="6"/>
        <v>5.2704999999999993</v>
      </c>
      <c r="S95" s="16">
        <f t="shared" si="6"/>
        <v>4.9957499999999992</v>
      </c>
      <c r="T95" s="16">
        <f t="shared" si="6"/>
        <v>5.0692812499999995</v>
      </c>
      <c r="U95" s="16">
        <f t="shared" si="6"/>
        <v>4.7727499999999994</v>
      </c>
      <c r="V95" s="16">
        <f t="shared" si="6"/>
        <v>4.7847187499999997</v>
      </c>
    </row>
    <row r="96" spans="1:22" ht="15.75">
      <c r="A96" s="2"/>
      <c r="B96" s="4" t="s">
        <v>84</v>
      </c>
      <c r="C96" s="2"/>
      <c r="D96" s="16">
        <f t="shared" ref="D96:V96" si="7">SUMIFS(D75:D94,$A$75:$A$94,"SV")</f>
        <v>2.8696874999999995</v>
      </c>
      <c r="E96" s="16">
        <f t="shared" si="7"/>
        <v>2.4665624999999998</v>
      </c>
      <c r="F96" s="16">
        <f t="shared" si="7"/>
        <v>3.0093750000000004</v>
      </c>
      <c r="G96" s="16">
        <f t="shared" si="7"/>
        <v>2.9934374999999998</v>
      </c>
      <c r="H96" s="16">
        <f t="shared" si="7"/>
        <v>2.73</v>
      </c>
      <c r="I96" s="16">
        <f t="shared" si="7"/>
        <v>2.5050000000000003</v>
      </c>
      <c r="J96" s="16">
        <f t="shared" si="7"/>
        <v>2.7749999999999999</v>
      </c>
      <c r="K96" s="16">
        <f t="shared" si="7"/>
        <v>2.5050000000000003</v>
      </c>
      <c r="L96" s="16">
        <f t="shared" si="7"/>
        <v>2.64</v>
      </c>
      <c r="M96" s="16">
        <f t="shared" si="7"/>
        <v>2.5050000000000003</v>
      </c>
      <c r="N96" s="16">
        <f t="shared" si="7"/>
        <v>1.4219999999999997</v>
      </c>
      <c r="O96" s="16">
        <f t="shared" si="7"/>
        <v>2.8950000000000005</v>
      </c>
      <c r="P96" s="16">
        <f t="shared" si="7"/>
        <v>2.7749999999999999</v>
      </c>
      <c r="Q96" s="16">
        <f t="shared" si="7"/>
        <v>2.3850000000000002</v>
      </c>
      <c r="R96" s="16">
        <f t="shared" si="7"/>
        <v>2.8950000000000005</v>
      </c>
      <c r="S96" s="16">
        <f t="shared" si="7"/>
        <v>2.7749999999999999</v>
      </c>
      <c r="T96" s="16">
        <f t="shared" si="7"/>
        <v>2.79</v>
      </c>
      <c r="U96" s="16">
        <f t="shared" si="7"/>
        <v>2.625</v>
      </c>
      <c r="V96" s="16">
        <f t="shared" si="7"/>
        <v>2.64</v>
      </c>
    </row>
    <row r="97" spans="1:22" ht="15.75">
      <c r="A97" s="2"/>
      <c r="B97" s="4" t="s">
        <v>85</v>
      </c>
      <c r="C97" s="2"/>
      <c r="D97" s="16">
        <f t="shared" ref="D97:V97" si="8">SUM(D75:D94)</f>
        <v>7.6721874999999988</v>
      </c>
      <c r="E97" s="16">
        <f t="shared" si="8"/>
        <v>6.6315624999999985</v>
      </c>
      <c r="F97" s="16">
        <f t="shared" si="8"/>
        <v>8.0668749999999978</v>
      </c>
      <c r="G97" s="16">
        <f t="shared" si="8"/>
        <v>8.0084374999999994</v>
      </c>
      <c r="H97" s="16">
        <f t="shared" si="8"/>
        <v>7.362499999999998</v>
      </c>
      <c r="I97" s="16">
        <f t="shared" si="8"/>
        <v>6.0093125000000001</v>
      </c>
      <c r="J97" s="16">
        <f t="shared" si="8"/>
        <v>6.6354999999999995</v>
      </c>
      <c r="K97" s="16">
        <f t="shared" si="8"/>
        <v>4.3250000000000002</v>
      </c>
      <c r="L97" s="16">
        <f t="shared" si="8"/>
        <v>4.5600000000000005</v>
      </c>
      <c r="M97" s="16">
        <f t="shared" si="8"/>
        <v>7.0365312500000003</v>
      </c>
      <c r="N97" s="16">
        <f t="shared" si="8"/>
        <v>3.8749749999999996</v>
      </c>
      <c r="O97" s="16">
        <f t="shared" si="8"/>
        <v>8.1654999999999998</v>
      </c>
      <c r="P97" s="16">
        <f t="shared" si="8"/>
        <v>7.840937499999999</v>
      </c>
      <c r="Q97" s="16">
        <f t="shared" si="8"/>
        <v>6.7399999999999993</v>
      </c>
      <c r="R97" s="16">
        <f t="shared" si="8"/>
        <v>8.1654999999999998</v>
      </c>
      <c r="S97" s="16">
        <f t="shared" si="8"/>
        <v>7.7707499999999987</v>
      </c>
      <c r="T97" s="16">
        <f t="shared" si="8"/>
        <v>7.8592812499999996</v>
      </c>
      <c r="U97" s="16">
        <f t="shared" si="8"/>
        <v>7.3977499999999985</v>
      </c>
      <c r="V97" s="16">
        <f t="shared" si="8"/>
        <v>7.4247187499999985</v>
      </c>
    </row>
    <row r="98" spans="1:22" ht="15.7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spans="1:22" ht="15.7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spans="1:22" ht="15.75">
      <c r="A100" s="8" t="s">
        <v>86</v>
      </c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</row>
    <row r="101" spans="1:22" ht="15.75">
      <c r="A101" s="30" t="s">
        <v>66</v>
      </c>
      <c r="B101" s="30" t="s">
        <v>67</v>
      </c>
      <c r="C101" s="2"/>
      <c r="D101" s="5">
        <f>月次!D$4</f>
        <v>46113</v>
      </c>
      <c r="E101" s="5">
        <f>月次!E$4</f>
        <v>46143</v>
      </c>
      <c r="F101" s="5">
        <f>月次!F$4</f>
        <v>46174</v>
      </c>
      <c r="G101" s="5">
        <f>月次!G$4</f>
        <v>46204</v>
      </c>
      <c r="H101" s="5">
        <f>月次!H$4</f>
        <v>46235</v>
      </c>
      <c r="I101" s="5">
        <f>月次!I$4</f>
        <v>46266</v>
      </c>
      <c r="J101" s="5">
        <f>月次!J$4</f>
        <v>46296</v>
      </c>
      <c r="K101" s="5">
        <f>月次!K$4</f>
        <v>46327</v>
      </c>
      <c r="L101" s="5">
        <f>月次!L$4</f>
        <v>46357</v>
      </c>
      <c r="M101" s="5">
        <f>月次!M$4</f>
        <v>46388</v>
      </c>
      <c r="N101" s="5">
        <f>月次!N$4</f>
        <v>46419</v>
      </c>
      <c r="O101" s="5">
        <f>月次!O$4</f>
        <v>46447</v>
      </c>
      <c r="P101" s="5">
        <f>月次!P$4</f>
        <v>46478</v>
      </c>
      <c r="Q101" s="5">
        <f>月次!Q$4</f>
        <v>46508</v>
      </c>
      <c r="R101" s="5">
        <f>月次!R$4</f>
        <v>46539</v>
      </c>
      <c r="S101" s="5">
        <f>月次!S$4</f>
        <v>46569</v>
      </c>
      <c r="T101" s="5">
        <f>月次!T$4</f>
        <v>46600</v>
      </c>
      <c r="U101" s="5">
        <f>月次!U$4</f>
        <v>46631</v>
      </c>
      <c r="V101" s="5">
        <f>月次!V$4</f>
        <v>46661</v>
      </c>
    </row>
    <row r="102" spans="1:22" ht="15.75">
      <c r="A102" s="31" t="str">
        <f t="shared" ref="A102:A121" si="9">IF($A6="","",$A6)</f>
        <v>OP</v>
      </c>
      <c r="B102" s="31" t="str">
        <f t="shared" ref="B102:B121" si="10">IF($B6="","",$B6)</f>
        <v>藤本</v>
      </c>
      <c r="C102" s="2"/>
      <c r="D102" s="33">
        <f>計算!D11*計算!D55/設定!$B$7</f>
        <v>0</v>
      </c>
      <c r="E102" s="33">
        <f>計算!E11*計算!E55/設定!$B$7</f>
        <v>0</v>
      </c>
      <c r="F102" s="33">
        <f>計算!F11*計算!F55/設定!$B$7</f>
        <v>0</v>
      </c>
      <c r="G102" s="33">
        <f>計算!G11*計算!G55/設定!$B$7</f>
        <v>0</v>
      </c>
      <c r="H102" s="33">
        <f>計算!H11*計算!H55/設定!$B$7</f>
        <v>0</v>
      </c>
      <c r="I102" s="33">
        <f>計算!I11*計算!I55/設定!$B$7</f>
        <v>0.24062500000000001</v>
      </c>
      <c r="J102" s="33">
        <f>計算!J11*計算!J55/設定!$B$7</f>
        <v>0.26250000000000001</v>
      </c>
      <c r="K102" s="33">
        <f>計算!K11*計算!K55/設定!$B$7</f>
        <v>0</v>
      </c>
      <c r="L102" s="33">
        <f>計算!L11*計算!L55/設定!$B$7</f>
        <v>0</v>
      </c>
      <c r="M102" s="33">
        <f>計算!M11*計算!M55/設定!$B$7</f>
        <v>0.33206249999999998</v>
      </c>
      <c r="N102" s="33">
        <f>計算!N11*計算!N55/設定!$B$7</f>
        <v>0.17850000000000002</v>
      </c>
      <c r="O102" s="33">
        <f>計算!O11*計算!O55/設定!$B$7</f>
        <v>0.39243749999999994</v>
      </c>
      <c r="P102" s="33">
        <f>計算!P11*計算!P55/設定!$B$7</f>
        <v>0.39243749999999994</v>
      </c>
      <c r="Q102" s="33">
        <f>計算!Q11*計算!Q55/設定!$B$7</f>
        <v>0.33206249999999998</v>
      </c>
      <c r="R102" s="33">
        <f>計算!R11*計算!R55/設定!$B$7</f>
        <v>0.39243749999999994</v>
      </c>
      <c r="S102" s="33">
        <f>計算!S11*計算!S55/設定!$B$7</f>
        <v>0.36224999999999996</v>
      </c>
      <c r="T102" s="33">
        <f>計算!T11*計算!T55/設定!$B$7</f>
        <v>0.36224999999999996</v>
      </c>
      <c r="U102" s="33">
        <f>計算!U11*計算!U55/設定!$B$7</f>
        <v>0.36224999999999996</v>
      </c>
      <c r="V102" s="33">
        <f>計算!V11*計算!V55/設定!$B$7</f>
        <v>0.36224999999999996</v>
      </c>
    </row>
    <row r="103" spans="1:22" ht="15.75">
      <c r="A103" s="31" t="str">
        <f t="shared" si="9"/>
        <v>OP</v>
      </c>
      <c r="B103" s="31" t="str">
        <f t="shared" si="10"/>
        <v>穂満</v>
      </c>
      <c r="C103" s="2"/>
      <c r="D103" s="33">
        <f>計算!D12*計算!D56/設定!$B$7</f>
        <v>0</v>
      </c>
      <c r="E103" s="33">
        <f>計算!E12*計算!E56/設定!$B$7</f>
        <v>0</v>
      </c>
      <c r="F103" s="33">
        <f>計算!F12*計算!F56/設定!$B$7</f>
        <v>0</v>
      </c>
      <c r="G103" s="33">
        <f>計算!G12*計算!G56/設定!$B$7</f>
        <v>0</v>
      </c>
      <c r="H103" s="33">
        <f>計算!H12*計算!H56/設定!$B$7</f>
        <v>0</v>
      </c>
      <c r="I103" s="33">
        <f>計算!I12*計算!I56/設定!$B$7</f>
        <v>0.47499999999999998</v>
      </c>
      <c r="J103" s="33">
        <f>計算!J12*計算!J56/設定!$B$7</f>
        <v>0.52500000000000002</v>
      </c>
      <c r="K103" s="33">
        <f>計算!K12*計算!K56/設定!$B$7</f>
        <v>0</v>
      </c>
      <c r="L103" s="33">
        <f>計算!L12*計算!L56/設定!$B$7</f>
        <v>0</v>
      </c>
      <c r="M103" s="33">
        <f>計算!M12*計算!M56/設定!$B$7</f>
        <v>0.65549999999999997</v>
      </c>
      <c r="N103" s="33">
        <f>計算!N12*計算!N56/設定!$B$7</f>
        <v>0.30599999999999999</v>
      </c>
      <c r="O103" s="33">
        <f>計算!O12*計算!O56/設定!$B$7</f>
        <v>0.75900000000000001</v>
      </c>
      <c r="P103" s="33">
        <f>計算!P12*計算!P56/設定!$B$7</f>
        <v>0.72449999999999992</v>
      </c>
      <c r="Q103" s="33">
        <f>計算!Q12*計算!Q56/設定!$B$7</f>
        <v>0.62099999999999989</v>
      </c>
      <c r="R103" s="33">
        <f>計算!R12*計算!R56/設定!$B$7</f>
        <v>0.75900000000000001</v>
      </c>
      <c r="S103" s="33">
        <f>計算!S12*計算!S56/設定!$B$7</f>
        <v>0.72449999999999992</v>
      </c>
      <c r="T103" s="33">
        <f>計算!T12*計算!T56/設定!$B$7</f>
        <v>0.72449999999999992</v>
      </c>
      <c r="U103" s="33">
        <f>計算!U12*計算!U56/設定!$B$7</f>
        <v>0.69</v>
      </c>
      <c r="V103" s="33">
        <f>計算!V12*計算!V56/設定!$B$7</f>
        <v>0.69</v>
      </c>
    </row>
    <row r="104" spans="1:22" ht="15.75">
      <c r="A104" s="31" t="str">
        <f t="shared" si="9"/>
        <v>OP</v>
      </c>
      <c r="B104" s="31" t="str">
        <f t="shared" si="10"/>
        <v>八木</v>
      </c>
      <c r="C104" s="2"/>
      <c r="D104" s="33">
        <f>計算!D13*計算!D57/設定!$B$7</f>
        <v>0</v>
      </c>
      <c r="E104" s="33">
        <f>計算!E13*計算!E57/設定!$B$7</f>
        <v>0</v>
      </c>
      <c r="F104" s="33">
        <f>計算!F13*計算!F57/設定!$B$7</f>
        <v>0</v>
      </c>
      <c r="G104" s="33">
        <f>計算!G13*計算!G57/設定!$B$7</f>
        <v>0</v>
      </c>
      <c r="H104" s="33">
        <f>計算!H13*計算!H57/設定!$B$7</f>
        <v>0</v>
      </c>
      <c r="I104" s="33">
        <f>計算!I13*計算!I57/設定!$B$7</f>
        <v>0.3046875</v>
      </c>
      <c r="J104" s="33">
        <f>計算!J13*計算!J57/設定!$B$7</f>
        <v>0.32500000000000001</v>
      </c>
      <c r="K104" s="33">
        <f>計算!K13*計算!K57/設定!$B$7</f>
        <v>0</v>
      </c>
      <c r="L104" s="33">
        <f>計算!L13*計算!L57/設定!$B$7</f>
        <v>0</v>
      </c>
      <c r="M104" s="33">
        <f>計算!M13*計算!M57/設定!$B$7</f>
        <v>0.42046874999999995</v>
      </c>
      <c r="N104" s="33">
        <f>計算!N13*計算!N57/設定!$B$7</f>
        <v>0.19337500000000002</v>
      </c>
      <c r="O104" s="33">
        <f>計算!O13*計算!O57/設定!$B$7</f>
        <v>0.50456249999999991</v>
      </c>
      <c r="P104" s="33">
        <f>計算!P13*計算!P57/設定!$B$7</f>
        <v>0.44849999999999995</v>
      </c>
      <c r="Q104" s="33">
        <f>計算!Q13*計算!Q57/設定!$B$7</f>
        <v>0.39243749999999994</v>
      </c>
      <c r="R104" s="33">
        <f>計算!R13*計算!R57/設定!$B$7</f>
        <v>0.50456249999999991</v>
      </c>
      <c r="S104" s="33">
        <f>計算!S13*計算!S57/設定!$B$7</f>
        <v>0.44849999999999995</v>
      </c>
      <c r="T104" s="33">
        <f>計算!T13*計算!T57/設定!$B$7</f>
        <v>0.47653124999999996</v>
      </c>
      <c r="U104" s="33">
        <f>計算!U13*計算!U57/設定!$B$7</f>
        <v>0.44849999999999995</v>
      </c>
      <c r="V104" s="33">
        <f>計算!V13*計算!V57/設定!$B$7</f>
        <v>0.42046874999999995</v>
      </c>
    </row>
    <row r="105" spans="1:22" ht="15.75">
      <c r="A105" s="31" t="str">
        <f t="shared" si="9"/>
        <v>OP</v>
      </c>
      <c r="B105" s="31" t="str">
        <f t="shared" si="10"/>
        <v>大迫</v>
      </c>
      <c r="C105" s="2"/>
      <c r="D105" s="33">
        <f>計算!D14*計算!D58/設定!$B$7</f>
        <v>0</v>
      </c>
      <c r="E105" s="33">
        <f>計算!E14*計算!E58/設定!$B$7</f>
        <v>0</v>
      </c>
      <c r="F105" s="33">
        <f>計算!F14*計算!F58/設定!$B$7</f>
        <v>0</v>
      </c>
      <c r="G105" s="33">
        <f>計算!G14*計算!G58/設定!$B$7</f>
        <v>0</v>
      </c>
      <c r="H105" s="33">
        <f>計算!H14*計算!H58/設定!$B$7</f>
        <v>0</v>
      </c>
      <c r="I105" s="33">
        <f>計算!I14*計算!I58/設定!$B$7</f>
        <v>0.47499999999999998</v>
      </c>
      <c r="J105" s="33">
        <f>計算!J14*計算!J58/設定!$B$7</f>
        <v>0.52500000000000002</v>
      </c>
      <c r="K105" s="33">
        <f>計算!K14*計算!K58/設定!$B$7</f>
        <v>0</v>
      </c>
      <c r="L105" s="33">
        <f>計算!L14*計算!L58/設定!$B$7</f>
        <v>0</v>
      </c>
      <c r="M105" s="33">
        <f>計算!M14*計算!M58/設定!$B$7</f>
        <v>0.65549999999999997</v>
      </c>
      <c r="N105" s="33">
        <f>計算!N14*計算!N58/設定!$B$7</f>
        <v>0.30599999999999999</v>
      </c>
      <c r="O105" s="33">
        <f>計算!O14*計算!O58/設定!$B$7</f>
        <v>0.75900000000000001</v>
      </c>
      <c r="P105" s="33">
        <f>計算!P14*計算!P58/設定!$B$7</f>
        <v>0.72449999999999992</v>
      </c>
      <c r="Q105" s="33">
        <f>計算!Q14*計算!Q58/設定!$B$7</f>
        <v>0.62099999999999989</v>
      </c>
      <c r="R105" s="33">
        <f>計算!R14*計算!R58/設定!$B$7</f>
        <v>0.75900000000000001</v>
      </c>
      <c r="S105" s="33">
        <f>計算!S14*計算!S58/設定!$B$7</f>
        <v>0.72449999999999992</v>
      </c>
      <c r="T105" s="33">
        <f>計算!T14*計算!T58/設定!$B$7</f>
        <v>0.72449999999999992</v>
      </c>
      <c r="U105" s="33">
        <f>計算!U14*計算!U58/設定!$B$7</f>
        <v>0.69</v>
      </c>
      <c r="V105" s="33">
        <f>計算!V14*計算!V58/設定!$B$7</f>
        <v>0.69</v>
      </c>
    </row>
    <row r="106" spans="1:22" ht="15.75">
      <c r="A106" s="31" t="str">
        <f t="shared" si="9"/>
        <v>OP</v>
      </c>
      <c r="B106" s="31" t="str">
        <f t="shared" si="10"/>
        <v>大場</v>
      </c>
      <c r="C106" s="2"/>
      <c r="D106" s="33">
        <f>計算!D15*計算!D59/設定!$B$7</f>
        <v>0.89249999999999985</v>
      </c>
      <c r="E106" s="33">
        <f>計算!E15*計算!E59/設定!$B$7</f>
        <v>0.7649999999999999</v>
      </c>
      <c r="F106" s="33">
        <f>計算!F15*計算!F59/設定!$B$7</f>
        <v>0.93499999999999994</v>
      </c>
      <c r="G106" s="33">
        <f>計算!G15*計算!G59/設定!$B$7</f>
        <v>0.93499999999999994</v>
      </c>
      <c r="H106" s="33">
        <f>計算!H15*計算!H59/設定!$B$7</f>
        <v>0.85</v>
      </c>
      <c r="I106" s="33">
        <f>計算!I15*計算!I59/設定!$B$7</f>
        <v>9.5000000000000001E-2</v>
      </c>
      <c r="J106" s="33">
        <f>計算!J15*計算!J59/設定!$B$7</f>
        <v>0.10500000000000001</v>
      </c>
      <c r="K106" s="33">
        <f>計算!K15*計算!K59/設定!$B$7</f>
        <v>9.5000000000000001E-2</v>
      </c>
      <c r="L106" s="33">
        <f>計算!L15*計算!L59/設定!$B$7</f>
        <v>0.1</v>
      </c>
      <c r="M106" s="33">
        <f>計算!M15*計算!M59/設定!$B$7</f>
        <v>9.5000000000000001E-2</v>
      </c>
      <c r="N106" s="33">
        <f>計算!N15*計算!N59/設定!$B$7</f>
        <v>0.09</v>
      </c>
      <c r="O106" s="33">
        <f>計算!O15*計算!O59/設定!$B$7</f>
        <v>0.11000000000000001</v>
      </c>
      <c r="P106" s="33">
        <f>計算!P15*計算!P59/設定!$B$7</f>
        <v>0.10500000000000001</v>
      </c>
      <c r="Q106" s="33">
        <f>計算!Q15*計算!Q59/設定!$B$7</f>
        <v>0.09</v>
      </c>
      <c r="R106" s="33">
        <f>計算!R15*計算!R59/設定!$B$7</f>
        <v>0.11000000000000001</v>
      </c>
      <c r="S106" s="33">
        <f>計算!S15*計算!S59/設定!$B$7</f>
        <v>0.10500000000000001</v>
      </c>
      <c r="T106" s="33">
        <f>計算!T15*計算!T59/設定!$B$7</f>
        <v>0.10500000000000001</v>
      </c>
      <c r="U106" s="33">
        <f>計算!U15*計算!U59/設定!$B$7</f>
        <v>0.1</v>
      </c>
      <c r="V106" s="33">
        <f>計算!V15*計算!V59/設定!$B$7</f>
        <v>0.1</v>
      </c>
    </row>
    <row r="107" spans="1:22" ht="15.75">
      <c r="A107" s="31" t="str">
        <f t="shared" si="9"/>
        <v>OP</v>
      </c>
      <c r="B107" s="31" t="str">
        <f t="shared" si="10"/>
        <v>島</v>
      </c>
      <c r="C107" s="2"/>
      <c r="D107" s="33">
        <f>計算!D16*計算!D60/設定!$B$7</f>
        <v>0.72249999999999992</v>
      </c>
      <c r="E107" s="33">
        <f>計算!E16*計算!E60/設定!$B$7</f>
        <v>0.63749999999999996</v>
      </c>
      <c r="F107" s="33">
        <f>計算!F16*計算!F60/設定!$B$7</f>
        <v>0.72249999999999992</v>
      </c>
      <c r="G107" s="33">
        <f>計算!G16*計算!G60/設定!$B$7</f>
        <v>0.7649999999999999</v>
      </c>
      <c r="H107" s="33">
        <f>計算!H16*計算!H60/設定!$B$7</f>
        <v>0.72249999999999992</v>
      </c>
      <c r="I107" s="33">
        <f>計算!I16*計算!I60/設定!$B$7</f>
        <v>0.315</v>
      </c>
      <c r="J107" s="33">
        <f>計算!J16*計算!J60/設定!$B$7</f>
        <v>0.35699999999999998</v>
      </c>
      <c r="K107" s="33">
        <f>計算!K16*計算!K60/設定!$B$7</f>
        <v>0.24</v>
      </c>
      <c r="L107" s="33">
        <f>計算!L16*計算!L60/設定!$B$7</f>
        <v>0.24</v>
      </c>
      <c r="M107" s="33">
        <f>計算!M16*計算!M60/設定!$B$7</f>
        <v>0.51749999999999996</v>
      </c>
      <c r="N107" s="33">
        <f>計算!N16*計算!N60/設定!$B$7</f>
        <v>0.3105</v>
      </c>
      <c r="O107" s="33">
        <f>計算!O16*計算!O60/設定!$B$7</f>
        <v>0.58649999999999991</v>
      </c>
      <c r="P107" s="33">
        <f>計算!P16*計算!P60/設定!$B$7</f>
        <v>0.58649999999999991</v>
      </c>
      <c r="Q107" s="33">
        <f>計算!Q16*計算!Q60/設定!$B$7</f>
        <v>0.51749999999999996</v>
      </c>
      <c r="R107" s="33">
        <f>計算!R16*計算!R60/設定!$B$7</f>
        <v>0.58649999999999991</v>
      </c>
      <c r="S107" s="33">
        <f>計算!S16*計算!S60/設定!$B$7</f>
        <v>0.58649999999999991</v>
      </c>
      <c r="T107" s="33">
        <f>計算!T16*計算!T60/設定!$B$7</f>
        <v>0.55199999999999994</v>
      </c>
      <c r="U107" s="33">
        <f>計算!U16*計算!U60/設定!$B$7</f>
        <v>0.55199999999999994</v>
      </c>
      <c r="V107" s="33">
        <f>計算!V16*計算!V60/設定!$B$7</f>
        <v>0.55199999999999994</v>
      </c>
    </row>
    <row r="108" spans="1:22" ht="15.75">
      <c r="A108" s="31" t="str">
        <f t="shared" si="9"/>
        <v>OP</v>
      </c>
      <c r="B108" s="31" t="str">
        <f t="shared" si="10"/>
        <v>三浦</v>
      </c>
      <c r="C108" s="2"/>
      <c r="D108" s="33">
        <f>計算!D17*計算!D61/設定!$B$7</f>
        <v>0.89249999999999985</v>
      </c>
      <c r="E108" s="33">
        <f>計算!E17*計算!E61/設定!$B$7</f>
        <v>0.7649999999999999</v>
      </c>
      <c r="F108" s="33">
        <f>計算!F17*計算!F61/設定!$B$7</f>
        <v>0.93499999999999994</v>
      </c>
      <c r="G108" s="33">
        <f>計算!G17*計算!G61/設定!$B$7</f>
        <v>0.93499999999999994</v>
      </c>
      <c r="H108" s="33">
        <f>計算!H17*計算!H61/設定!$B$7</f>
        <v>0.85</v>
      </c>
      <c r="I108" s="33">
        <f>計算!I17*計算!I61/設定!$B$7</f>
        <v>0.39899999999999997</v>
      </c>
      <c r="J108" s="33">
        <f>計算!J17*計算!J61/設定!$B$7</f>
        <v>0.441</v>
      </c>
      <c r="K108" s="33">
        <f>計算!K17*計算!K61/設定!$B$7</f>
        <v>0.28500000000000003</v>
      </c>
      <c r="L108" s="33">
        <f>計算!L17*計算!L61/設定!$B$7</f>
        <v>0.3</v>
      </c>
      <c r="M108" s="33">
        <f>計算!M17*計算!M61/設定!$B$7</f>
        <v>0.65549999999999997</v>
      </c>
      <c r="N108" s="33">
        <f>計算!N17*計算!N61/設定!$B$7</f>
        <v>0.37259999999999999</v>
      </c>
      <c r="O108" s="33">
        <f>計算!O17*計算!O61/設定!$B$7</f>
        <v>0.75900000000000001</v>
      </c>
      <c r="P108" s="33">
        <f>計算!P17*計算!P61/設定!$B$7</f>
        <v>0.72449999999999992</v>
      </c>
      <c r="Q108" s="33">
        <f>計算!Q17*計算!Q61/設定!$B$7</f>
        <v>0.62099999999999989</v>
      </c>
      <c r="R108" s="33">
        <f>計算!R17*計算!R61/設定!$B$7</f>
        <v>0.75900000000000001</v>
      </c>
      <c r="S108" s="33">
        <f>計算!S17*計算!S61/設定!$B$7</f>
        <v>0.72449999999999992</v>
      </c>
      <c r="T108" s="33">
        <f>計算!T17*計算!T61/設定!$B$7</f>
        <v>0.72449999999999992</v>
      </c>
      <c r="U108" s="33">
        <f>計算!U17*計算!U61/設定!$B$7</f>
        <v>0.69</v>
      </c>
      <c r="V108" s="33">
        <f>計算!V17*計算!V61/設定!$B$7</f>
        <v>0.69</v>
      </c>
    </row>
    <row r="109" spans="1:22" ht="15.75">
      <c r="A109" s="31" t="str">
        <f t="shared" si="9"/>
        <v>OP</v>
      </c>
      <c r="B109" s="31" t="str">
        <f t="shared" si="10"/>
        <v>伊藤</v>
      </c>
      <c r="C109" s="2"/>
      <c r="D109" s="33">
        <f>計算!D18*計算!D62/設定!$B$7</f>
        <v>0.67999999999999994</v>
      </c>
      <c r="E109" s="33">
        <f>計算!E18*計算!E62/設定!$B$7</f>
        <v>0.59499999999999997</v>
      </c>
      <c r="F109" s="33">
        <f>計算!F18*計算!F62/設定!$B$7</f>
        <v>0.7649999999999999</v>
      </c>
      <c r="G109" s="33">
        <f>計算!G18*計算!G62/設定!$B$7</f>
        <v>0.72249999999999992</v>
      </c>
      <c r="H109" s="33">
        <f>計算!H18*計算!H62/設定!$B$7</f>
        <v>0.67999999999999994</v>
      </c>
      <c r="I109" s="33">
        <f>計算!I18*計算!I62/設定!$B$7</f>
        <v>0.6</v>
      </c>
      <c r="J109" s="33">
        <f>計算!J18*計算!J62/設定!$B$7</f>
        <v>0.64</v>
      </c>
      <c r="K109" s="33">
        <f>計算!K18*計算!K62/設定!$B$7</f>
        <v>0.6</v>
      </c>
      <c r="L109" s="33">
        <f>計算!L18*計算!L62/設定!$B$7</f>
        <v>0.64</v>
      </c>
      <c r="M109" s="33">
        <f>計算!M18*計算!M62/設定!$B$7</f>
        <v>0.6</v>
      </c>
      <c r="N109" s="33">
        <f>計算!N18*計算!N62/設定!$B$7</f>
        <v>0.36</v>
      </c>
      <c r="O109" s="33">
        <f>計算!O18*計算!O62/設定!$B$7</f>
        <v>0.72</v>
      </c>
      <c r="P109" s="33">
        <f>計算!P18*計算!P62/設定!$B$7</f>
        <v>0.68</v>
      </c>
      <c r="Q109" s="33">
        <f>計算!Q18*計算!Q62/設定!$B$7</f>
        <v>0.56000000000000005</v>
      </c>
      <c r="R109" s="33">
        <f>計算!R18*計算!R62/設定!$B$7</f>
        <v>0.72</v>
      </c>
      <c r="S109" s="33">
        <f>計算!S18*計算!S62/設定!$B$7</f>
        <v>0.64</v>
      </c>
      <c r="T109" s="33">
        <f>計算!T18*計算!T62/設定!$B$7</f>
        <v>0.68</v>
      </c>
      <c r="U109" s="33">
        <f>計算!U18*計算!U62/設定!$B$7</f>
        <v>0.64</v>
      </c>
      <c r="V109" s="33">
        <f>計算!V18*計算!V62/設定!$B$7</f>
        <v>0.64</v>
      </c>
    </row>
    <row r="110" spans="1:22" ht="15.75">
      <c r="A110" s="31" t="str">
        <f t="shared" si="9"/>
        <v>OP</v>
      </c>
      <c r="B110" s="31" t="str">
        <f t="shared" si="10"/>
        <v>兼田</v>
      </c>
      <c r="C110" s="2"/>
      <c r="D110" s="33">
        <f>計算!D19*計算!D63/設定!$B$7</f>
        <v>0.72249999999999992</v>
      </c>
      <c r="E110" s="33">
        <f>計算!E19*計算!E63/設定!$B$7</f>
        <v>0.63749999999999996</v>
      </c>
      <c r="F110" s="33">
        <f>計算!F19*計算!F63/設定!$B$7</f>
        <v>0.7649999999999999</v>
      </c>
      <c r="G110" s="33">
        <f>計算!G19*計算!G63/設定!$B$7</f>
        <v>0.72249999999999992</v>
      </c>
      <c r="H110" s="33">
        <f>計算!H19*計算!H63/設定!$B$7</f>
        <v>0.67999999999999994</v>
      </c>
      <c r="I110" s="33">
        <f>計算!I19*計算!I63/設定!$B$7</f>
        <v>0.6</v>
      </c>
      <c r="J110" s="33">
        <f>計算!J19*計算!J63/設定!$B$7</f>
        <v>0.68</v>
      </c>
      <c r="K110" s="33">
        <f>計算!K19*計算!K63/設定!$B$7</f>
        <v>0.6</v>
      </c>
      <c r="L110" s="33">
        <f>計算!L19*計算!L63/設定!$B$7</f>
        <v>0.64</v>
      </c>
      <c r="M110" s="33">
        <f>計算!M19*計算!M63/設定!$B$7</f>
        <v>0.6</v>
      </c>
      <c r="N110" s="33">
        <f>計算!N19*計算!N63/設定!$B$7</f>
        <v>0.33599999999999997</v>
      </c>
      <c r="O110" s="33">
        <f>計算!O19*計算!O63/設定!$B$7</f>
        <v>0.68</v>
      </c>
      <c r="P110" s="33">
        <f>計算!P19*計算!P63/設定!$B$7</f>
        <v>0.68</v>
      </c>
      <c r="Q110" s="33">
        <f>計算!Q19*計算!Q63/設定!$B$7</f>
        <v>0.6</v>
      </c>
      <c r="R110" s="33">
        <f>計算!R19*計算!R63/設定!$B$7</f>
        <v>0.68</v>
      </c>
      <c r="S110" s="33">
        <f>計算!S19*計算!S63/設定!$B$7</f>
        <v>0.68</v>
      </c>
      <c r="T110" s="33">
        <f>計算!T19*計算!T63/設定!$B$7</f>
        <v>0.72</v>
      </c>
      <c r="U110" s="33">
        <f>計算!U19*計算!U63/設定!$B$7</f>
        <v>0.6</v>
      </c>
      <c r="V110" s="33">
        <f>計算!V19*計算!V63/設定!$B$7</f>
        <v>0.64</v>
      </c>
    </row>
    <row r="111" spans="1:22" ht="15.75">
      <c r="A111" s="31" t="str">
        <f t="shared" si="9"/>
        <v>OP</v>
      </c>
      <c r="B111" s="31" t="str">
        <f t="shared" si="10"/>
        <v>植田</v>
      </c>
      <c r="C111" s="2"/>
      <c r="D111" s="33">
        <f>計算!D20*計算!D64/設定!$B$7</f>
        <v>0.89249999999999985</v>
      </c>
      <c r="E111" s="33">
        <f>計算!E20*計算!E64/設定!$B$7</f>
        <v>0.7649999999999999</v>
      </c>
      <c r="F111" s="33">
        <f>計算!F20*計算!F64/設定!$B$7</f>
        <v>0.93499999999999994</v>
      </c>
      <c r="G111" s="33">
        <f>計算!G20*計算!G64/設定!$B$7</f>
        <v>0.93499999999999994</v>
      </c>
      <c r="H111" s="33">
        <f>計算!H20*計算!H64/設定!$B$7</f>
        <v>0.85</v>
      </c>
      <c r="I111" s="33">
        <f>計算!I20*計算!I64/設定!$B$7</f>
        <v>0</v>
      </c>
      <c r="J111" s="33">
        <f>計算!J20*計算!J64/設定!$B$7</f>
        <v>0</v>
      </c>
      <c r="K111" s="33">
        <f>計算!K20*計算!K64/設定!$B$7</f>
        <v>0</v>
      </c>
      <c r="L111" s="33">
        <f>計算!L20*計算!L64/設定!$B$7</f>
        <v>0</v>
      </c>
      <c r="M111" s="33">
        <f>計算!M20*計算!M64/設定!$B$7</f>
        <v>0</v>
      </c>
      <c r="N111" s="33">
        <f>計算!N20*計算!N64/設定!$B$7</f>
        <v>0</v>
      </c>
      <c r="O111" s="33">
        <f>計算!O20*計算!O64/設定!$B$7</f>
        <v>0</v>
      </c>
      <c r="P111" s="33">
        <f>計算!P20*計算!P64/設定!$B$7</f>
        <v>0</v>
      </c>
      <c r="Q111" s="33">
        <f>計算!Q20*計算!Q64/設定!$B$7</f>
        <v>0</v>
      </c>
      <c r="R111" s="33">
        <f>計算!R20*計算!R64/設定!$B$7</f>
        <v>0</v>
      </c>
      <c r="S111" s="33">
        <f>計算!S20*計算!S64/設定!$B$7</f>
        <v>0</v>
      </c>
      <c r="T111" s="33">
        <f>計算!T20*計算!T64/設定!$B$7</f>
        <v>0</v>
      </c>
      <c r="U111" s="33">
        <f>計算!U20*計算!U64/設定!$B$7</f>
        <v>0</v>
      </c>
      <c r="V111" s="33">
        <f>計算!V20*計算!V64/設定!$B$7</f>
        <v>0</v>
      </c>
    </row>
    <row r="112" spans="1:22" ht="15.75">
      <c r="A112" s="31" t="str">
        <f t="shared" si="9"/>
        <v>SV</v>
      </c>
      <c r="B112" s="31" t="str">
        <f t="shared" si="10"/>
        <v>小野</v>
      </c>
      <c r="C112" s="2"/>
      <c r="D112" s="33">
        <f>計算!D21*計算!D65/設定!$B$7</f>
        <v>0.71718749999999998</v>
      </c>
      <c r="E112" s="33">
        <f>計算!E21*計算!E65/設定!$B$7</f>
        <v>0.62156250000000002</v>
      </c>
      <c r="F112" s="33">
        <f>計算!F21*計算!F65/設定!$B$7</f>
        <v>0.75437500000000002</v>
      </c>
      <c r="G112" s="33">
        <f>計算!G21*計算!G65/設定!$B$7</f>
        <v>0.73843749999999997</v>
      </c>
      <c r="H112" s="33">
        <f>計算!H21*計算!H65/設定!$B$7</f>
        <v>0.67999999999999994</v>
      </c>
      <c r="I112" s="33">
        <f>計算!I21*計算!I65/設定!$B$7</f>
        <v>0.60500000000000009</v>
      </c>
      <c r="J112" s="33">
        <f>計算!J21*計算!J65/設定!$B$7</f>
        <v>0.67500000000000004</v>
      </c>
      <c r="K112" s="33">
        <f>計算!K21*計算!K65/設定!$B$7</f>
        <v>0.60500000000000009</v>
      </c>
      <c r="L112" s="33">
        <f>計算!L21*計算!L65/設定!$B$7</f>
        <v>0.64</v>
      </c>
      <c r="M112" s="33">
        <f>計算!M21*計算!M65/設定!$B$7</f>
        <v>0.60500000000000009</v>
      </c>
      <c r="N112" s="33">
        <f>計算!N21*計算!N65/設定!$B$7</f>
        <v>0.34199999999999997</v>
      </c>
      <c r="O112" s="33">
        <f>計算!O21*計算!O65/設定!$B$7</f>
        <v>0.69500000000000006</v>
      </c>
      <c r="P112" s="33">
        <f>計算!P21*計算!P65/設定!$B$7</f>
        <v>0.67500000000000004</v>
      </c>
      <c r="Q112" s="33">
        <f>計算!Q21*計算!Q65/設定!$B$7</f>
        <v>0.58500000000000008</v>
      </c>
      <c r="R112" s="33">
        <f>計算!R21*計算!R65/設定!$B$7</f>
        <v>0.69500000000000006</v>
      </c>
      <c r="S112" s="33">
        <f>計算!S21*計算!S65/設定!$B$7</f>
        <v>0.67500000000000004</v>
      </c>
      <c r="T112" s="33">
        <f>計算!T21*計算!T65/設定!$B$7</f>
        <v>0.69000000000000006</v>
      </c>
      <c r="U112" s="33">
        <f>計算!U21*計算!U65/設定!$B$7</f>
        <v>0.625</v>
      </c>
      <c r="V112" s="33">
        <f>計算!V21*計算!V65/設定!$B$7</f>
        <v>0.64</v>
      </c>
    </row>
    <row r="113" spans="1:22" ht="15.75">
      <c r="A113" s="31" t="str">
        <f t="shared" si="9"/>
        <v>SV</v>
      </c>
      <c r="B113" s="31" t="str">
        <f t="shared" si="10"/>
        <v>栗城</v>
      </c>
      <c r="C113" s="2"/>
      <c r="D113" s="33">
        <f>計算!D22*計算!D66/設定!$B$7</f>
        <v>0.89249999999999985</v>
      </c>
      <c r="E113" s="33">
        <f>計算!E22*計算!E66/設定!$B$7</f>
        <v>0.7649999999999999</v>
      </c>
      <c r="F113" s="33">
        <f>計算!F22*計算!F66/設定!$B$7</f>
        <v>0.93499999999999994</v>
      </c>
      <c r="G113" s="33">
        <f>計算!G22*計算!G66/設定!$B$7</f>
        <v>0.93499999999999994</v>
      </c>
      <c r="H113" s="33">
        <f>計算!H22*計算!H66/設定!$B$7</f>
        <v>0.85</v>
      </c>
      <c r="I113" s="33">
        <f>計算!I22*計算!I66/設定!$B$7</f>
        <v>0.76</v>
      </c>
      <c r="J113" s="33">
        <f>計算!J22*計算!J66/設定!$B$7</f>
        <v>0.84000000000000008</v>
      </c>
      <c r="K113" s="33">
        <f>計算!K22*計算!K66/設定!$B$7</f>
        <v>0.76</v>
      </c>
      <c r="L113" s="33">
        <f>計算!L22*計算!L66/設定!$B$7</f>
        <v>0.8</v>
      </c>
      <c r="M113" s="33">
        <f>計算!M22*計算!M66/設定!$B$7</f>
        <v>0.76</v>
      </c>
      <c r="N113" s="33">
        <f>計算!N22*計算!N66/設定!$B$7</f>
        <v>0.43200000000000005</v>
      </c>
      <c r="O113" s="33">
        <f>計算!O22*計算!O66/設定!$B$7</f>
        <v>0.88000000000000012</v>
      </c>
      <c r="P113" s="33">
        <f>計算!P22*計算!P66/設定!$B$7</f>
        <v>0.84000000000000008</v>
      </c>
      <c r="Q113" s="33">
        <f>計算!Q22*計算!Q66/設定!$B$7</f>
        <v>0.72</v>
      </c>
      <c r="R113" s="33">
        <f>計算!R22*計算!R66/設定!$B$7</f>
        <v>0.88000000000000012</v>
      </c>
      <c r="S113" s="33">
        <f>計算!S22*計算!S66/設定!$B$7</f>
        <v>0.84000000000000008</v>
      </c>
      <c r="T113" s="33">
        <f>計算!T22*計算!T66/設定!$B$7</f>
        <v>0.84000000000000008</v>
      </c>
      <c r="U113" s="33">
        <f>計算!U22*計算!U66/設定!$B$7</f>
        <v>0.8</v>
      </c>
      <c r="V113" s="33">
        <f>計算!V22*計算!V66/設定!$B$7</f>
        <v>0.8</v>
      </c>
    </row>
    <row r="114" spans="1:22" ht="15.75">
      <c r="A114" s="31" t="str">
        <f t="shared" si="9"/>
        <v>SV</v>
      </c>
      <c r="B114" s="31" t="str">
        <f t="shared" si="10"/>
        <v>田中</v>
      </c>
      <c r="C114" s="2"/>
      <c r="D114" s="33">
        <f>計算!D23*計算!D67/設定!$B$7</f>
        <v>0.63</v>
      </c>
      <c r="E114" s="33">
        <f>計算!E23*計算!E67/設定!$B$7</f>
        <v>0.53999999999999992</v>
      </c>
      <c r="F114" s="33">
        <f>計算!F23*計算!F67/設定!$B$7</f>
        <v>0.65999999999999992</v>
      </c>
      <c r="G114" s="33">
        <f>計算!G23*計算!G67/設定!$B$7</f>
        <v>0.65999999999999992</v>
      </c>
      <c r="H114" s="33">
        <f>計算!H23*計算!H67/設定!$B$7</f>
        <v>0.6</v>
      </c>
      <c r="I114" s="33">
        <f>計算!I23*計算!I67/設定!$B$7</f>
        <v>0.57000000000000006</v>
      </c>
      <c r="J114" s="33">
        <f>計算!J23*計算!J67/設定!$B$7</f>
        <v>0.63</v>
      </c>
      <c r="K114" s="33">
        <f>計算!K23*計算!K67/設定!$B$7</f>
        <v>0.57000000000000006</v>
      </c>
      <c r="L114" s="33">
        <f>計算!L23*計算!L67/設定!$B$7</f>
        <v>0.6</v>
      </c>
      <c r="M114" s="33">
        <f>計算!M23*計算!M67/設定!$B$7</f>
        <v>0.57000000000000006</v>
      </c>
      <c r="N114" s="33">
        <f>計算!N23*計算!N67/設定!$B$7</f>
        <v>0.32399999999999995</v>
      </c>
      <c r="O114" s="33">
        <f>計算!O23*計算!O67/設定!$B$7</f>
        <v>0.65999999999999992</v>
      </c>
      <c r="P114" s="33">
        <f>計算!P23*計算!P67/設定!$B$7</f>
        <v>0.63</v>
      </c>
      <c r="Q114" s="33">
        <f>計算!Q23*計算!Q67/設定!$B$7</f>
        <v>0.53999999999999992</v>
      </c>
      <c r="R114" s="33">
        <f>計算!R23*計算!R67/設定!$B$7</f>
        <v>0.65999999999999992</v>
      </c>
      <c r="S114" s="33">
        <f>計算!S23*計算!S67/設定!$B$7</f>
        <v>0.63</v>
      </c>
      <c r="T114" s="33">
        <f>計算!T23*計算!T67/設定!$B$7</f>
        <v>0.63</v>
      </c>
      <c r="U114" s="33">
        <f>計算!U23*計算!U67/設定!$B$7</f>
        <v>0.6</v>
      </c>
      <c r="V114" s="33">
        <f>計算!V23*計算!V67/設定!$B$7</f>
        <v>0.6</v>
      </c>
    </row>
    <row r="115" spans="1:22" ht="15.75">
      <c r="A115" s="31" t="str">
        <f t="shared" si="9"/>
        <v>SV</v>
      </c>
      <c r="B115" s="31" t="str">
        <f t="shared" si="10"/>
        <v>西村</v>
      </c>
      <c r="C115" s="2"/>
      <c r="D115" s="33">
        <f>計算!D24*計算!D68/設定!$B$7</f>
        <v>0.63</v>
      </c>
      <c r="E115" s="33">
        <f>計算!E24*計算!E68/設定!$B$7</f>
        <v>0.53999999999999992</v>
      </c>
      <c r="F115" s="33">
        <f>計算!F24*計算!F68/設定!$B$7</f>
        <v>0.65999999999999992</v>
      </c>
      <c r="G115" s="33">
        <f>計算!G24*計算!G68/設定!$B$7</f>
        <v>0.65999999999999992</v>
      </c>
      <c r="H115" s="33">
        <f>計算!H24*計算!H68/設定!$B$7</f>
        <v>0.6</v>
      </c>
      <c r="I115" s="33">
        <f>計算!I24*計算!I68/設定!$B$7</f>
        <v>0.57000000000000006</v>
      </c>
      <c r="J115" s="33">
        <f>計算!J24*計算!J68/設定!$B$7</f>
        <v>0.63</v>
      </c>
      <c r="K115" s="33">
        <f>計算!K24*計算!K68/設定!$B$7</f>
        <v>0.57000000000000006</v>
      </c>
      <c r="L115" s="33">
        <f>計算!L24*計算!L68/設定!$B$7</f>
        <v>0.6</v>
      </c>
      <c r="M115" s="33">
        <f>計算!M24*計算!M68/設定!$B$7</f>
        <v>0.57000000000000006</v>
      </c>
      <c r="N115" s="33">
        <f>計算!N24*計算!N68/設定!$B$7</f>
        <v>0.32399999999999995</v>
      </c>
      <c r="O115" s="33">
        <f>計算!O24*計算!O68/設定!$B$7</f>
        <v>0.65999999999999992</v>
      </c>
      <c r="P115" s="33">
        <f>計算!P24*計算!P68/設定!$B$7</f>
        <v>0.63</v>
      </c>
      <c r="Q115" s="33">
        <f>計算!Q24*計算!Q68/設定!$B$7</f>
        <v>0.53999999999999992</v>
      </c>
      <c r="R115" s="33">
        <f>計算!R24*計算!R68/設定!$B$7</f>
        <v>0.65999999999999992</v>
      </c>
      <c r="S115" s="33">
        <f>計算!S24*計算!S68/設定!$B$7</f>
        <v>0.63</v>
      </c>
      <c r="T115" s="33">
        <f>計算!T24*計算!T68/設定!$B$7</f>
        <v>0.63</v>
      </c>
      <c r="U115" s="33">
        <f>計算!U24*計算!U68/設定!$B$7</f>
        <v>0.6</v>
      </c>
      <c r="V115" s="33">
        <f>計算!V24*計算!V68/設定!$B$7</f>
        <v>0.6</v>
      </c>
    </row>
    <row r="116" spans="1:22" ht="15.75">
      <c r="A116" s="31" t="str">
        <f t="shared" si="9"/>
        <v/>
      </c>
      <c r="B116" s="31" t="str">
        <f t="shared" si="10"/>
        <v/>
      </c>
      <c r="C116" s="2"/>
      <c r="D116" s="33">
        <f>計算!D25*計算!D69/設定!$B$7</f>
        <v>0</v>
      </c>
      <c r="E116" s="33">
        <f>計算!E25*計算!E69/設定!$B$7</f>
        <v>0</v>
      </c>
      <c r="F116" s="33">
        <f>計算!F25*計算!F69/設定!$B$7</f>
        <v>0</v>
      </c>
      <c r="G116" s="33">
        <f>計算!G25*計算!G69/設定!$B$7</f>
        <v>0</v>
      </c>
      <c r="H116" s="33">
        <f>計算!H25*計算!H69/設定!$B$7</f>
        <v>0</v>
      </c>
      <c r="I116" s="33">
        <f>計算!I25*計算!I69/設定!$B$7</f>
        <v>0</v>
      </c>
      <c r="J116" s="33">
        <f>計算!J25*計算!J69/設定!$B$7</f>
        <v>0</v>
      </c>
      <c r="K116" s="33">
        <f>計算!K25*計算!K69/設定!$B$7</f>
        <v>0</v>
      </c>
      <c r="L116" s="33">
        <f>計算!L25*計算!L69/設定!$B$7</f>
        <v>0</v>
      </c>
      <c r="M116" s="33">
        <f>計算!M25*計算!M69/設定!$B$7</f>
        <v>0</v>
      </c>
      <c r="N116" s="33">
        <f>計算!N25*計算!N69/設定!$B$7</f>
        <v>0</v>
      </c>
      <c r="O116" s="33">
        <f>計算!O25*計算!O69/設定!$B$7</f>
        <v>0</v>
      </c>
      <c r="P116" s="33">
        <f>計算!P25*計算!P69/設定!$B$7</f>
        <v>0</v>
      </c>
      <c r="Q116" s="33">
        <f>計算!Q25*計算!Q69/設定!$B$7</f>
        <v>0</v>
      </c>
      <c r="R116" s="33">
        <f>計算!R25*計算!R69/設定!$B$7</f>
        <v>0</v>
      </c>
      <c r="S116" s="33">
        <f>計算!S25*計算!S69/設定!$B$7</f>
        <v>0</v>
      </c>
      <c r="T116" s="33">
        <f>計算!T25*計算!T69/設定!$B$7</f>
        <v>0</v>
      </c>
      <c r="U116" s="33">
        <f>計算!U25*計算!U69/設定!$B$7</f>
        <v>0</v>
      </c>
      <c r="V116" s="33">
        <f>計算!V25*計算!V69/設定!$B$7</f>
        <v>0</v>
      </c>
    </row>
    <row r="117" spans="1:22" ht="15.75">
      <c r="A117" s="31" t="str">
        <f t="shared" si="9"/>
        <v/>
      </c>
      <c r="B117" s="31" t="str">
        <f t="shared" si="10"/>
        <v/>
      </c>
      <c r="C117" s="2"/>
      <c r="D117" s="33">
        <f>計算!D26*計算!D70/設定!$B$7</f>
        <v>0</v>
      </c>
      <c r="E117" s="33">
        <f>計算!E26*計算!E70/設定!$B$7</f>
        <v>0</v>
      </c>
      <c r="F117" s="33">
        <f>計算!F26*計算!F70/設定!$B$7</f>
        <v>0</v>
      </c>
      <c r="G117" s="33">
        <f>計算!G26*計算!G70/設定!$B$7</f>
        <v>0</v>
      </c>
      <c r="H117" s="33">
        <f>計算!H26*計算!H70/設定!$B$7</f>
        <v>0</v>
      </c>
      <c r="I117" s="33">
        <f>計算!I26*計算!I70/設定!$B$7</f>
        <v>0</v>
      </c>
      <c r="J117" s="33">
        <f>計算!J26*計算!J70/設定!$B$7</f>
        <v>0</v>
      </c>
      <c r="K117" s="33">
        <f>計算!K26*計算!K70/設定!$B$7</f>
        <v>0</v>
      </c>
      <c r="L117" s="33">
        <f>計算!L26*計算!L70/設定!$B$7</f>
        <v>0</v>
      </c>
      <c r="M117" s="33">
        <f>計算!M26*計算!M70/設定!$B$7</f>
        <v>0</v>
      </c>
      <c r="N117" s="33">
        <f>計算!N26*計算!N70/設定!$B$7</f>
        <v>0</v>
      </c>
      <c r="O117" s="33">
        <f>計算!O26*計算!O70/設定!$B$7</f>
        <v>0</v>
      </c>
      <c r="P117" s="33">
        <f>計算!P26*計算!P70/設定!$B$7</f>
        <v>0</v>
      </c>
      <c r="Q117" s="33">
        <f>計算!Q26*計算!Q70/設定!$B$7</f>
        <v>0</v>
      </c>
      <c r="R117" s="33">
        <f>計算!R26*計算!R70/設定!$B$7</f>
        <v>0</v>
      </c>
      <c r="S117" s="33">
        <f>計算!S26*計算!S70/設定!$B$7</f>
        <v>0</v>
      </c>
      <c r="T117" s="33">
        <f>計算!T26*計算!T70/設定!$B$7</f>
        <v>0</v>
      </c>
      <c r="U117" s="33">
        <f>計算!U26*計算!U70/設定!$B$7</f>
        <v>0</v>
      </c>
      <c r="V117" s="33">
        <f>計算!V26*計算!V70/設定!$B$7</f>
        <v>0</v>
      </c>
    </row>
    <row r="118" spans="1:22" ht="15.75">
      <c r="A118" s="31" t="str">
        <f t="shared" si="9"/>
        <v/>
      </c>
      <c r="B118" s="31" t="str">
        <f t="shared" si="10"/>
        <v/>
      </c>
      <c r="C118" s="2"/>
      <c r="D118" s="33">
        <f>計算!D27*計算!D71/設定!$B$7</f>
        <v>0</v>
      </c>
      <c r="E118" s="33">
        <f>計算!E27*計算!E71/設定!$B$7</f>
        <v>0</v>
      </c>
      <c r="F118" s="33">
        <f>計算!F27*計算!F71/設定!$B$7</f>
        <v>0</v>
      </c>
      <c r="G118" s="33">
        <f>計算!G27*計算!G71/設定!$B$7</f>
        <v>0</v>
      </c>
      <c r="H118" s="33">
        <f>計算!H27*計算!H71/設定!$B$7</f>
        <v>0</v>
      </c>
      <c r="I118" s="33">
        <f>計算!I27*計算!I71/設定!$B$7</f>
        <v>0</v>
      </c>
      <c r="J118" s="33">
        <f>計算!J27*計算!J71/設定!$B$7</f>
        <v>0</v>
      </c>
      <c r="K118" s="33">
        <f>計算!K27*計算!K71/設定!$B$7</f>
        <v>0</v>
      </c>
      <c r="L118" s="33">
        <f>計算!L27*計算!L71/設定!$B$7</f>
        <v>0</v>
      </c>
      <c r="M118" s="33">
        <f>計算!M27*計算!M71/設定!$B$7</f>
        <v>0</v>
      </c>
      <c r="N118" s="33">
        <f>計算!N27*計算!N71/設定!$B$7</f>
        <v>0</v>
      </c>
      <c r="O118" s="33">
        <f>計算!O27*計算!O71/設定!$B$7</f>
        <v>0</v>
      </c>
      <c r="P118" s="33">
        <f>計算!P27*計算!P71/設定!$B$7</f>
        <v>0</v>
      </c>
      <c r="Q118" s="33">
        <f>計算!Q27*計算!Q71/設定!$B$7</f>
        <v>0</v>
      </c>
      <c r="R118" s="33">
        <f>計算!R27*計算!R71/設定!$B$7</f>
        <v>0</v>
      </c>
      <c r="S118" s="33">
        <f>計算!S27*計算!S71/設定!$B$7</f>
        <v>0</v>
      </c>
      <c r="T118" s="33">
        <f>計算!T27*計算!T71/設定!$B$7</f>
        <v>0</v>
      </c>
      <c r="U118" s="33">
        <f>計算!U27*計算!U71/設定!$B$7</f>
        <v>0</v>
      </c>
      <c r="V118" s="33">
        <f>計算!V27*計算!V71/設定!$B$7</f>
        <v>0</v>
      </c>
    </row>
    <row r="119" spans="1:22" ht="15.75">
      <c r="A119" s="31" t="str">
        <f t="shared" si="9"/>
        <v/>
      </c>
      <c r="B119" s="31" t="str">
        <f t="shared" si="10"/>
        <v/>
      </c>
      <c r="C119" s="2"/>
      <c r="D119" s="33">
        <f>計算!D28*計算!D72/設定!$B$7</f>
        <v>0</v>
      </c>
      <c r="E119" s="33">
        <f>計算!E28*計算!E72/設定!$B$7</f>
        <v>0</v>
      </c>
      <c r="F119" s="33">
        <f>計算!F28*計算!F72/設定!$B$7</f>
        <v>0</v>
      </c>
      <c r="G119" s="33">
        <f>計算!G28*計算!G72/設定!$B$7</f>
        <v>0</v>
      </c>
      <c r="H119" s="33">
        <f>計算!H28*計算!H72/設定!$B$7</f>
        <v>0</v>
      </c>
      <c r="I119" s="33">
        <f>計算!I28*計算!I72/設定!$B$7</f>
        <v>0</v>
      </c>
      <c r="J119" s="33">
        <f>計算!J28*計算!J72/設定!$B$7</f>
        <v>0</v>
      </c>
      <c r="K119" s="33">
        <f>計算!K28*計算!K72/設定!$B$7</f>
        <v>0</v>
      </c>
      <c r="L119" s="33">
        <f>計算!L28*計算!L72/設定!$B$7</f>
        <v>0</v>
      </c>
      <c r="M119" s="33">
        <f>計算!M28*計算!M72/設定!$B$7</f>
        <v>0</v>
      </c>
      <c r="N119" s="33">
        <f>計算!N28*計算!N72/設定!$B$7</f>
        <v>0</v>
      </c>
      <c r="O119" s="33">
        <f>計算!O28*計算!O72/設定!$B$7</f>
        <v>0</v>
      </c>
      <c r="P119" s="33">
        <f>計算!P28*計算!P72/設定!$B$7</f>
        <v>0</v>
      </c>
      <c r="Q119" s="33">
        <f>計算!Q28*計算!Q72/設定!$B$7</f>
        <v>0</v>
      </c>
      <c r="R119" s="33">
        <f>計算!R28*計算!R72/設定!$B$7</f>
        <v>0</v>
      </c>
      <c r="S119" s="33">
        <f>計算!S28*計算!S72/設定!$B$7</f>
        <v>0</v>
      </c>
      <c r="T119" s="33">
        <f>計算!T28*計算!T72/設定!$B$7</f>
        <v>0</v>
      </c>
      <c r="U119" s="33">
        <f>計算!U28*計算!U72/設定!$B$7</f>
        <v>0</v>
      </c>
      <c r="V119" s="33">
        <f>計算!V28*計算!V72/設定!$B$7</f>
        <v>0</v>
      </c>
    </row>
    <row r="120" spans="1:22" ht="15.75">
      <c r="A120" s="31" t="str">
        <f t="shared" si="9"/>
        <v/>
      </c>
      <c r="B120" s="31" t="str">
        <f t="shared" si="10"/>
        <v/>
      </c>
      <c r="C120" s="2"/>
      <c r="D120" s="33">
        <f>計算!D29*計算!D73/設定!$B$7</f>
        <v>0</v>
      </c>
      <c r="E120" s="33">
        <f>計算!E29*計算!E73/設定!$B$7</f>
        <v>0</v>
      </c>
      <c r="F120" s="33">
        <f>計算!F29*計算!F73/設定!$B$7</f>
        <v>0</v>
      </c>
      <c r="G120" s="33">
        <f>計算!G29*計算!G73/設定!$B$7</f>
        <v>0</v>
      </c>
      <c r="H120" s="33">
        <f>計算!H29*計算!H73/設定!$B$7</f>
        <v>0</v>
      </c>
      <c r="I120" s="33">
        <f>計算!I29*計算!I73/設定!$B$7</f>
        <v>0</v>
      </c>
      <c r="J120" s="33">
        <f>計算!J29*計算!J73/設定!$B$7</f>
        <v>0</v>
      </c>
      <c r="K120" s="33">
        <f>計算!K29*計算!K73/設定!$B$7</f>
        <v>0</v>
      </c>
      <c r="L120" s="33">
        <f>計算!L29*計算!L73/設定!$B$7</f>
        <v>0</v>
      </c>
      <c r="M120" s="33">
        <f>計算!M29*計算!M73/設定!$B$7</f>
        <v>0</v>
      </c>
      <c r="N120" s="33">
        <f>計算!N29*計算!N73/設定!$B$7</f>
        <v>0</v>
      </c>
      <c r="O120" s="33">
        <f>計算!O29*計算!O73/設定!$B$7</f>
        <v>0</v>
      </c>
      <c r="P120" s="33">
        <f>計算!P29*計算!P73/設定!$B$7</f>
        <v>0</v>
      </c>
      <c r="Q120" s="33">
        <f>計算!Q29*計算!Q73/設定!$B$7</f>
        <v>0</v>
      </c>
      <c r="R120" s="33">
        <f>計算!R29*計算!R73/設定!$B$7</f>
        <v>0</v>
      </c>
      <c r="S120" s="33">
        <f>計算!S29*計算!S73/設定!$B$7</f>
        <v>0</v>
      </c>
      <c r="T120" s="33">
        <f>計算!T29*計算!T73/設定!$B$7</f>
        <v>0</v>
      </c>
      <c r="U120" s="33">
        <f>計算!U29*計算!U73/設定!$B$7</f>
        <v>0</v>
      </c>
      <c r="V120" s="33">
        <f>計算!V29*計算!V73/設定!$B$7</f>
        <v>0</v>
      </c>
    </row>
    <row r="121" spans="1:22" ht="15.75">
      <c r="A121" s="31" t="str">
        <f t="shared" si="9"/>
        <v/>
      </c>
      <c r="B121" s="31" t="str">
        <f t="shared" si="10"/>
        <v/>
      </c>
      <c r="C121" s="2"/>
      <c r="D121" s="33">
        <f>計算!D30*計算!D74/設定!$B$7</f>
        <v>0</v>
      </c>
      <c r="E121" s="33">
        <f>計算!E30*計算!E74/設定!$B$7</f>
        <v>0</v>
      </c>
      <c r="F121" s="33">
        <f>計算!F30*計算!F74/設定!$B$7</f>
        <v>0</v>
      </c>
      <c r="G121" s="33">
        <f>計算!G30*計算!G74/設定!$B$7</f>
        <v>0</v>
      </c>
      <c r="H121" s="33">
        <f>計算!H30*計算!H74/設定!$B$7</f>
        <v>0</v>
      </c>
      <c r="I121" s="33">
        <f>計算!I30*計算!I74/設定!$B$7</f>
        <v>0</v>
      </c>
      <c r="J121" s="33">
        <f>計算!J30*計算!J74/設定!$B$7</f>
        <v>0</v>
      </c>
      <c r="K121" s="33">
        <f>計算!K30*計算!K74/設定!$B$7</f>
        <v>0</v>
      </c>
      <c r="L121" s="33">
        <f>計算!L30*計算!L74/設定!$B$7</f>
        <v>0</v>
      </c>
      <c r="M121" s="33">
        <f>計算!M30*計算!M74/設定!$B$7</f>
        <v>0</v>
      </c>
      <c r="N121" s="33">
        <f>計算!N30*計算!N74/設定!$B$7</f>
        <v>0</v>
      </c>
      <c r="O121" s="33">
        <f>計算!O30*計算!O74/設定!$B$7</f>
        <v>0</v>
      </c>
      <c r="P121" s="33">
        <f>計算!P30*計算!P74/設定!$B$7</f>
        <v>0</v>
      </c>
      <c r="Q121" s="33">
        <f>計算!Q30*計算!Q74/設定!$B$7</f>
        <v>0</v>
      </c>
      <c r="R121" s="33">
        <f>計算!R30*計算!R74/設定!$B$7</f>
        <v>0</v>
      </c>
      <c r="S121" s="33">
        <f>計算!S30*計算!S74/設定!$B$7</f>
        <v>0</v>
      </c>
      <c r="T121" s="33">
        <f>計算!T30*計算!T74/設定!$B$7</f>
        <v>0</v>
      </c>
      <c r="U121" s="33">
        <f>計算!U30*計算!U74/設定!$B$7</f>
        <v>0</v>
      </c>
      <c r="V121" s="33">
        <f>計算!V30*計算!V74/設定!$B$7</f>
        <v>0</v>
      </c>
    </row>
    <row r="122" spans="1:22" ht="15.75">
      <c r="A122" s="2"/>
      <c r="B122" s="4" t="s">
        <v>83</v>
      </c>
      <c r="C122" s="2"/>
      <c r="D122" s="16">
        <f t="shared" ref="D122:V122" si="11">SUMIFS(D102:D121,$A$102:$A$121,"OP")</f>
        <v>4.8024999999999993</v>
      </c>
      <c r="E122" s="16">
        <f t="shared" si="11"/>
        <v>4.1649999999999991</v>
      </c>
      <c r="F122" s="16">
        <f t="shared" si="11"/>
        <v>5.0574999999999992</v>
      </c>
      <c r="G122" s="16">
        <f t="shared" si="11"/>
        <v>5.0149999999999997</v>
      </c>
      <c r="H122" s="16">
        <f t="shared" si="11"/>
        <v>4.6324999999999994</v>
      </c>
      <c r="I122" s="16">
        <f t="shared" si="11"/>
        <v>3.5043124999999997</v>
      </c>
      <c r="J122" s="16">
        <f t="shared" si="11"/>
        <v>3.8605</v>
      </c>
      <c r="K122" s="16">
        <f t="shared" si="11"/>
        <v>1.8199999999999998</v>
      </c>
      <c r="L122" s="16">
        <f t="shared" si="11"/>
        <v>1.92</v>
      </c>
      <c r="M122" s="16">
        <f t="shared" si="11"/>
        <v>4.5315312499999996</v>
      </c>
      <c r="N122" s="16">
        <f t="shared" si="11"/>
        <v>2.4529749999999999</v>
      </c>
      <c r="O122" s="16">
        <f t="shared" si="11"/>
        <v>5.2704999999999993</v>
      </c>
      <c r="P122" s="16">
        <f t="shared" si="11"/>
        <v>5.0659374999999995</v>
      </c>
      <c r="Q122" s="16">
        <f t="shared" si="11"/>
        <v>4.3549999999999995</v>
      </c>
      <c r="R122" s="16">
        <f t="shared" si="11"/>
        <v>5.2704999999999993</v>
      </c>
      <c r="S122" s="16">
        <f t="shared" si="11"/>
        <v>4.9957499999999992</v>
      </c>
      <c r="T122" s="16">
        <f t="shared" si="11"/>
        <v>5.0692812499999995</v>
      </c>
      <c r="U122" s="16">
        <f t="shared" si="11"/>
        <v>4.7727499999999994</v>
      </c>
      <c r="V122" s="16">
        <f t="shared" si="11"/>
        <v>4.7847187499999997</v>
      </c>
    </row>
    <row r="123" spans="1:22" ht="15.75">
      <c r="A123" s="2"/>
      <c r="B123" s="4" t="s">
        <v>84</v>
      </c>
      <c r="C123" s="2"/>
      <c r="D123" s="16">
        <f t="shared" ref="D123:V123" si="12">SUMIFS(D102:D121,$A$102:$A$121,"SV")</f>
        <v>2.8696874999999995</v>
      </c>
      <c r="E123" s="16">
        <f t="shared" si="12"/>
        <v>2.4665624999999998</v>
      </c>
      <c r="F123" s="16">
        <f t="shared" si="12"/>
        <v>3.0093750000000004</v>
      </c>
      <c r="G123" s="16">
        <f t="shared" si="12"/>
        <v>2.9934374999999998</v>
      </c>
      <c r="H123" s="16">
        <f t="shared" si="12"/>
        <v>2.73</v>
      </c>
      <c r="I123" s="16">
        <f t="shared" si="12"/>
        <v>2.5050000000000003</v>
      </c>
      <c r="J123" s="16">
        <f t="shared" si="12"/>
        <v>2.7749999999999999</v>
      </c>
      <c r="K123" s="16">
        <f t="shared" si="12"/>
        <v>2.5050000000000003</v>
      </c>
      <c r="L123" s="16">
        <f t="shared" si="12"/>
        <v>2.64</v>
      </c>
      <c r="M123" s="16">
        <f t="shared" si="12"/>
        <v>2.5050000000000003</v>
      </c>
      <c r="N123" s="16">
        <f t="shared" si="12"/>
        <v>1.4219999999999997</v>
      </c>
      <c r="O123" s="16">
        <f t="shared" si="12"/>
        <v>2.8950000000000005</v>
      </c>
      <c r="P123" s="16">
        <f t="shared" si="12"/>
        <v>2.7749999999999999</v>
      </c>
      <c r="Q123" s="16">
        <f t="shared" si="12"/>
        <v>2.3850000000000002</v>
      </c>
      <c r="R123" s="16">
        <f t="shared" si="12"/>
        <v>2.8950000000000005</v>
      </c>
      <c r="S123" s="16">
        <f t="shared" si="12"/>
        <v>2.7749999999999999</v>
      </c>
      <c r="T123" s="16">
        <f t="shared" si="12"/>
        <v>2.79</v>
      </c>
      <c r="U123" s="16">
        <f t="shared" si="12"/>
        <v>2.625</v>
      </c>
      <c r="V123" s="16">
        <f t="shared" si="12"/>
        <v>2.64</v>
      </c>
    </row>
    <row r="124" spans="1:22" ht="15.75">
      <c r="A124" s="2"/>
      <c r="B124" s="4" t="s">
        <v>85</v>
      </c>
      <c r="C124" s="2"/>
      <c r="D124" s="16">
        <f t="shared" ref="D124:V124" si="13">SUM(D102:D121)</f>
        <v>7.6721874999999988</v>
      </c>
      <c r="E124" s="16">
        <f t="shared" si="13"/>
        <v>6.6315624999999985</v>
      </c>
      <c r="F124" s="16">
        <f t="shared" si="13"/>
        <v>8.0668749999999978</v>
      </c>
      <c r="G124" s="16">
        <f t="shared" si="13"/>
        <v>8.0084374999999994</v>
      </c>
      <c r="H124" s="16">
        <f t="shared" si="13"/>
        <v>7.362499999999998</v>
      </c>
      <c r="I124" s="16">
        <f t="shared" si="13"/>
        <v>6.0093125000000001</v>
      </c>
      <c r="J124" s="16">
        <f t="shared" si="13"/>
        <v>6.6354999999999995</v>
      </c>
      <c r="K124" s="16">
        <f t="shared" si="13"/>
        <v>4.3250000000000002</v>
      </c>
      <c r="L124" s="16">
        <f t="shared" si="13"/>
        <v>4.5600000000000005</v>
      </c>
      <c r="M124" s="16">
        <f t="shared" si="13"/>
        <v>7.0365312500000003</v>
      </c>
      <c r="N124" s="16">
        <f t="shared" si="13"/>
        <v>3.8749749999999996</v>
      </c>
      <c r="O124" s="16">
        <f t="shared" si="13"/>
        <v>8.1654999999999998</v>
      </c>
      <c r="P124" s="16">
        <f t="shared" si="13"/>
        <v>7.840937499999999</v>
      </c>
      <c r="Q124" s="16">
        <f t="shared" si="13"/>
        <v>6.7399999999999993</v>
      </c>
      <c r="R124" s="16">
        <f t="shared" si="13"/>
        <v>8.1654999999999998</v>
      </c>
      <c r="S124" s="16">
        <f t="shared" si="13"/>
        <v>7.7707499999999987</v>
      </c>
      <c r="T124" s="16">
        <f t="shared" si="13"/>
        <v>7.8592812499999996</v>
      </c>
      <c r="U124" s="16">
        <f t="shared" si="13"/>
        <v>7.3977499999999985</v>
      </c>
      <c r="V124" s="16">
        <f t="shared" si="13"/>
        <v>7.4247187499999985</v>
      </c>
    </row>
  </sheetData>
  <phoneticPr fontId="9"/>
  <dataValidations count="1">
    <dataValidation type="list" allowBlank="1" sqref="A6:A25" xr:uid="{00000000-0002-0000-0200-000000000000}">
      <formula1>"OP,SV"</formula1>
    </dataValidation>
  </dataValidations>
  <pageMargins left="0.75" right="0.75" top="1" bottom="1" header="0.5" footer="0.5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000000-000E-0000-0200-000001000000}">
            <xm:f>AND(D29&lt;&gt;"",NOT(ISNUMBER(D29)),ISNA(MATCH(TRIM(D29),設定!$A$11:$A$20,0)))</xm:f>
            <x14:dxf>
              <fill>
                <patternFill patternType="solid">
                  <fgColor rgb="FFF8CBAD"/>
                </patternFill>
              </fill>
            </x14:dxf>
          </x14:cfRule>
          <xm:sqref>D29:V48</xm:sqref>
        </x14:conditionalFormatting>
        <x14:conditionalFormatting xmlns:xm="http://schemas.microsoft.com/office/excel/2006/main">
          <x14:cfRule type="expression" priority="2" id="{00000000-000E-0000-0200-000002000000}">
            <xm:f>AND(D52&lt;&gt;"",NOT(ISNUMBER(D52)),ISNA(MATCH(TRIM(D52),設定!$A$11:$A$20,0)))</xm:f>
            <x14:dxf>
              <fill>
                <patternFill patternType="solid">
                  <fgColor rgb="FFF8CBAD"/>
                </patternFill>
              </fill>
            </x14:dxf>
          </x14:cfRule>
          <xm:sqref>D52:V71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3"/>
  <sheetViews>
    <sheetView workbookViewId="0">
      <selection activeCell="B1" sqref="B1"/>
    </sheetView>
  </sheetViews>
  <sheetFormatPr defaultRowHeight="13.5"/>
  <cols>
    <col min="1" max="1" width="26" customWidth="1"/>
    <col min="2" max="2" width="16" customWidth="1"/>
    <col min="3" max="3" width="30" customWidth="1"/>
  </cols>
  <sheetData>
    <row r="1" spans="1:3" ht="19.5">
      <c r="A1" s="1" t="s">
        <v>87</v>
      </c>
      <c r="B1" s="2"/>
      <c r="C1" s="2"/>
    </row>
    <row r="2" spans="1:3" ht="15.75">
      <c r="A2" s="2" t="s">
        <v>88</v>
      </c>
      <c r="B2" s="2"/>
      <c r="C2" s="2"/>
    </row>
    <row r="3" spans="1:3" ht="15.75">
      <c r="A3" s="2"/>
      <c r="B3" s="2"/>
      <c r="C3" s="2"/>
    </row>
    <row r="4" spans="1:3" ht="15.75">
      <c r="A4" s="4" t="s">
        <v>89</v>
      </c>
      <c r="B4" s="2"/>
      <c r="C4" s="2"/>
    </row>
    <row r="5" spans="1:3" ht="15.75">
      <c r="A5" s="2" t="s">
        <v>90</v>
      </c>
      <c r="B5" s="25">
        <v>8</v>
      </c>
      <c r="C5" s="2"/>
    </row>
    <row r="6" spans="1:3" ht="15.75">
      <c r="A6" s="2" t="s">
        <v>91</v>
      </c>
      <c r="B6" s="25">
        <v>20</v>
      </c>
      <c r="C6" s="2"/>
    </row>
    <row r="7" spans="1:3" ht="15.75">
      <c r="A7" s="2" t="s">
        <v>92</v>
      </c>
      <c r="B7" s="34">
        <f>B5*B6</f>
        <v>160</v>
      </c>
      <c r="C7" s="2" t="s">
        <v>93</v>
      </c>
    </row>
    <row r="8" spans="1:3" ht="15.75">
      <c r="A8" s="2"/>
      <c r="B8" s="2"/>
      <c r="C8" s="2"/>
    </row>
    <row r="9" spans="1:3" ht="15.75">
      <c r="A9" s="4" t="s">
        <v>94</v>
      </c>
      <c r="B9" s="2"/>
      <c r="C9" s="2"/>
    </row>
    <row r="10" spans="1:3" ht="15.75">
      <c r="A10" s="30" t="s">
        <v>95</v>
      </c>
      <c r="B10" s="30" t="s">
        <v>96</v>
      </c>
      <c r="C10" s="30" t="s">
        <v>97</v>
      </c>
    </row>
    <row r="11" spans="1:3" ht="15.75">
      <c r="A11" s="7" t="s">
        <v>77</v>
      </c>
      <c r="B11" s="35">
        <v>0.6</v>
      </c>
      <c r="C11" s="25" t="s">
        <v>98</v>
      </c>
    </row>
    <row r="12" spans="1:3" ht="15.75">
      <c r="A12" s="7" t="s">
        <v>78</v>
      </c>
      <c r="B12" s="35">
        <v>0.3</v>
      </c>
      <c r="C12" s="25" t="s">
        <v>99</v>
      </c>
    </row>
    <row r="13" spans="1:3" ht="15.75">
      <c r="A13" s="7" t="s">
        <v>79</v>
      </c>
      <c r="B13" s="35">
        <v>0</v>
      </c>
      <c r="C13" s="25" t="s">
        <v>100</v>
      </c>
    </row>
    <row r="14" spans="1:3" ht="15.75">
      <c r="A14" s="7" t="s">
        <v>80</v>
      </c>
      <c r="B14" s="35">
        <v>0.1</v>
      </c>
      <c r="C14" s="25" t="s">
        <v>101</v>
      </c>
    </row>
    <row r="15" spans="1:3" ht="15.75">
      <c r="A15" s="7" t="s">
        <v>102</v>
      </c>
      <c r="B15" s="35">
        <v>1</v>
      </c>
      <c r="C15" s="25" t="s">
        <v>103</v>
      </c>
    </row>
    <row r="16" spans="1:3" ht="15.75">
      <c r="A16" s="7"/>
      <c r="B16" s="35"/>
      <c r="C16" s="25"/>
    </row>
    <row r="17" spans="1:3" ht="15.75">
      <c r="A17" s="7"/>
      <c r="B17" s="35"/>
      <c r="C17" s="25"/>
    </row>
    <row r="18" spans="1:3" ht="15.75">
      <c r="A18" s="7"/>
      <c r="B18" s="35"/>
      <c r="C18" s="25"/>
    </row>
    <row r="19" spans="1:3" ht="15.75">
      <c r="A19" s="7"/>
      <c r="B19" s="35"/>
      <c r="C19" s="25"/>
    </row>
    <row r="20" spans="1:3" ht="15.75">
      <c r="A20" s="7"/>
      <c r="B20" s="35"/>
      <c r="C20" s="25"/>
    </row>
    <row r="21" spans="1:3" ht="15.75">
      <c r="A21" s="2" t="s">
        <v>104</v>
      </c>
      <c r="B21" s="2"/>
      <c r="C21" s="2"/>
    </row>
    <row r="22" spans="1:3" ht="15.75">
      <c r="A22" s="2"/>
      <c r="B22" s="2"/>
      <c r="C22" s="2"/>
    </row>
    <row r="23" spans="1:3" ht="15.75">
      <c r="A23" s="4" t="s">
        <v>105</v>
      </c>
      <c r="B23" s="2"/>
      <c r="C23" s="2"/>
    </row>
    <row r="24" spans="1:3" ht="15.75">
      <c r="A24" s="30" t="s">
        <v>58</v>
      </c>
      <c r="B24" s="30" t="s">
        <v>106</v>
      </c>
      <c r="C24" s="30" t="s">
        <v>107</v>
      </c>
    </row>
    <row r="25" spans="1:3" ht="15.75">
      <c r="A25" s="22" t="s">
        <v>12</v>
      </c>
      <c r="B25" s="25">
        <v>5</v>
      </c>
      <c r="C25" s="25">
        <v>3</v>
      </c>
    </row>
    <row r="26" spans="1:3" ht="15.75">
      <c r="A26" s="22" t="s">
        <v>19</v>
      </c>
      <c r="B26" s="25">
        <v>20</v>
      </c>
      <c r="C26" s="25">
        <v>10</v>
      </c>
    </row>
    <row r="27" spans="1:3" ht="15.75">
      <c r="A27" s="22" t="s">
        <v>20</v>
      </c>
      <c r="B27" s="25">
        <v>15</v>
      </c>
      <c r="C27" s="25">
        <v>8</v>
      </c>
    </row>
    <row r="28" spans="1:3" ht="15.75">
      <c r="A28" s="22" t="s">
        <v>21</v>
      </c>
      <c r="B28" s="25">
        <v>15</v>
      </c>
      <c r="C28" s="25">
        <v>8</v>
      </c>
    </row>
    <row r="29" spans="1:3" ht="15.75">
      <c r="A29" s="22" t="s">
        <v>22</v>
      </c>
      <c r="B29" s="25">
        <v>15</v>
      </c>
      <c r="C29" s="25">
        <v>8</v>
      </c>
    </row>
    <row r="30" spans="1:3" ht="15.75">
      <c r="A30" s="22" t="s">
        <v>23</v>
      </c>
      <c r="B30" s="25">
        <v>10</v>
      </c>
      <c r="C30" s="25">
        <v>5</v>
      </c>
    </row>
    <row r="31" spans="1:3" ht="15.75">
      <c r="A31" s="2"/>
      <c r="B31" s="2"/>
      <c r="C31" s="2"/>
    </row>
    <row r="32" spans="1:3" ht="15.75">
      <c r="A32" s="4" t="s">
        <v>108</v>
      </c>
      <c r="B32" s="2"/>
      <c r="C32" s="2"/>
    </row>
    <row r="33" spans="1:3" ht="15.75">
      <c r="A33" s="30" t="s">
        <v>109</v>
      </c>
      <c r="B33" s="30" t="s">
        <v>110</v>
      </c>
      <c r="C33" s="2"/>
    </row>
    <row r="34" spans="1:3" ht="15.75">
      <c r="A34" s="36">
        <v>46141</v>
      </c>
      <c r="B34" s="25" t="s">
        <v>111</v>
      </c>
      <c r="C34" s="2"/>
    </row>
    <row r="35" spans="1:3" ht="15.75">
      <c r="A35" s="36">
        <v>46146</v>
      </c>
      <c r="B35" s="25" t="s">
        <v>112</v>
      </c>
      <c r="C35" s="2"/>
    </row>
    <row r="36" spans="1:3" ht="15.75">
      <c r="A36" s="36">
        <v>46147</v>
      </c>
      <c r="B36" s="25" t="s">
        <v>113</v>
      </c>
      <c r="C36" s="2"/>
    </row>
    <row r="37" spans="1:3" ht="15.75">
      <c r="A37" s="36">
        <v>46148</v>
      </c>
      <c r="B37" s="25" t="s">
        <v>114</v>
      </c>
      <c r="C37" s="2"/>
    </row>
    <row r="38" spans="1:3" ht="15.75">
      <c r="A38" s="36">
        <v>46223</v>
      </c>
      <c r="B38" s="25" t="s">
        <v>115</v>
      </c>
      <c r="C38" s="2"/>
    </row>
    <row r="39" spans="1:3" ht="15.75">
      <c r="A39" s="36">
        <v>46245</v>
      </c>
      <c r="B39" s="25" t="s">
        <v>116</v>
      </c>
      <c r="C39" s="2"/>
    </row>
    <row r="40" spans="1:3" ht="15.75">
      <c r="A40" s="36">
        <v>46286</v>
      </c>
      <c r="B40" s="25" t="s">
        <v>117</v>
      </c>
      <c r="C40" s="2"/>
    </row>
    <row r="41" spans="1:3" ht="15.75">
      <c r="A41" s="36">
        <v>46287</v>
      </c>
      <c r="B41" s="25" t="s">
        <v>118</v>
      </c>
      <c r="C41" s="2"/>
    </row>
    <row r="42" spans="1:3" ht="15.75">
      <c r="A42" s="36">
        <v>46288</v>
      </c>
      <c r="B42" s="25" t="s">
        <v>119</v>
      </c>
      <c r="C42" s="2"/>
    </row>
    <row r="43" spans="1:3" ht="15.75">
      <c r="A43" s="36">
        <v>46307</v>
      </c>
      <c r="B43" s="25" t="s">
        <v>120</v>
      </c>
      <c r="C43" s="2"/>
    </row>
    <row r="44" spans="1:3" ht="15.75">
      <c r="A44" s="36">
        <v>46329</v>
      </c>
      <c r="B44" s="25" t="s">
        <v>121</v>
      </c>
      <c r="C44" s="2"/>
    </row>
    <row r="45" spans="1:3" ht="15.75">
      <c r="A45" s="36">
        <v>46349</v>
      </c>
      <c r="B45" s="25" t="s">
        <v>122</v>
      </c>
      <c r="C45" s="2"/>
    </row>
    <row r="46" spans="1:3" ht="15.75">
      <c r="A46" s="36">
        <v>46385</v>
      </c>
      <c r="B46" s="25" t="s">
        <v>123</v>
      </c>
      <c r="C46" s="2"/>
    </row>
    <row r="47" spans="1:3" ht="15.75">
      <c r="A47" s="36">
        <v>46386</v>
      </c>
      <c r="B47" s="25" t="s">
        <v>123</v>
      </c>
      <c r="C47" s="2"/>
    </row>
    <row r="48" spans="1:3" ht="15.75">
      <c r="A48" s="36">
        <v>46387</v>
      </c>
      <c r="B48" s="25" t="s">
        <v>123</v>
      </c>
      <c r="C48" s="2"/>
    </row>
    <row r="49" spans="1:3" ht="15.75">
      <c r="A49" s="36">
        <v>46388</v>
      </c>
      <c r="B49" s="25" t="s">
        <v>124</v>
      </c>
      <c r="C49" s="2"/>
    </row>
    <row r="50" spans="1:3" ht="15.75">
      <c r="A50" s="36">
        <v>46398</v>
      </c>
      <c r="B50" s="25" t="s">
        <v>125</v>
      </c>
      <c r="C50" s="2"/>
    </row>
    <row r="51" spans="1:3" ht="15.75">
      <c r="A51" s="36">
        <v>46429</v>
      </c>
      <c r="B51" s="25" t="s">
        <v>126</v>
      </c>
      <c r="C51" s="2"/>
    </row>
    <row r="52" spans="1:3" ht="15.75">
      <c r="A52" s="36">
        <v>46441</v>
      </c>
      <c r="B52" s="25" t="s">
        <v>127</v>
      </c>
      <c r="C52" s="2"/>
    </row>
    <row r="53" spans="1:3" ht="15.75">
      <c r="A53" s="36">
        <v>46468</v>
      </c>
      <c r="B53" s="25" t="s">
        <v>128</v>
      </c>
      <c r="C53" s="2"/>
    </row>
    <row r="54" spans="1:3" ht="15.75">
      <c r="A54" s="36">
        <v>46506</v>
      </c>
      <c r="B54" s="25" t="s">
        <v>111</v>
      </c>
      <c r="C54" s="2"/>
    </row>
    <row r="55" spans="1:3" ht="15.75">
      <c r="A55" s="36">
        <v>46510</v>
      </c>
      <c r="B55" s="25" t="s">
        <v>129</v>
      </c>
      <c r="C55" s="2"/>
    </row>
    <row r="56" spans="1:3" ht="15.75">
      <c r="A56" s="36">
        <v>46511</v>
      </c>
      <c r="B56" s="25" t="s">
        <v>112</v>
      </c>
      <c r="C56" s="2"/>
    </row>
    <row r="57" spans="1:3" ht="15.75">
      <c r="A57" s="36">
        <v>46512</v>
      </c>
      <c r="B57" s="25" t="s">
        <v>113</v>
      </c>
      <c r="C57" s="2"/>
    </row>
    <row r="58" spans="1:3" ht="15.75">
      <c r="A58" s="36">
        <v>46587</v>
      </c>
      <c r="B58" s="25" t="s">
        <v>115</v>
      </c>
      <c r="C58" s="2"/>
    </row>
    <row r="59" spans="1:3" ht="15.75">
      <c r="A59" s="36">
        <v>46610</v>
      </c>
      <c r="B59" s="25" t="s">
        <v>116</v>
      </c>
      <c r="C59" s="2"/>
    </row>
    <row r="60" spans="1:3" ht="15.75">
      <c r="A60" s="36">
        <v>46650</v>
      </c>
      <c r="B60" s="25" t="s">
        <v>117</v>
      </c>
      <c r="C60" s="2"/>
    </row>
    <row r="61" spans="1:3" ht="15.75">
      <c r="A61" s="36">
        <v>46653</v>
      </c>
      <c r="B61" s="25" t="s">
        <v>119</v>
      </c>
      <c r="C61" s="2"/>
    </row>
    <row r="62" spans="1:3" ht="15.75">
      <c r="A62" s="36">
        <v>46671</v>
      </c>
      <c r="B62" s="25" t="s">
        <v>120</v>
      </c>
      <c r="C62" s="2"/>
    </row>
    <row r="63" spans="1:3" ht="15.75">
      <c r="A63" s="36"/>
      <c r="B63" s="25"/>
      <c r="C63" s="2"/>
    </row>
    <row r="64" spans="1:3" ht="15.75">
      <c r="A64" s="36"/>
      <c r="B64" s="25"/>
      <c r="C64" s="2"/>
    </row>
    <row r="65" spans="1:3" ht="15.75">
      <c r="A65" s="36"/>
      <c r="B65" s="25"/>
      <c r="C65" s="2"/>
    </row>
    <row r="66" spans="1:3" ht="15.75">
      <c r="A66" s="36"/>
      <c r="B66" s="25"/>
      <c r="C66" s="2"/>
    </row>
    <row r="67" spans="1:3" ht="15.75">
      <c r="A67" s="36"/>
      <c r="B67" s="25"/>
      <c r="C67" s="2"/>
    </row>
    <row r="68" spans="1:3" ht="15.75">
      <c r="A68" s="36"/>
      <c r="B68" s="25"/>
      <c r="C68" s="2"/>
    </row>
    <row r="69" spans="1:3" ht="15.75">
      <c r="A69" s="36"/>
      <c r="B69" s="25"/>
      <c r="C69" s="2"/>
    </row>
    <row r="70" spans="1:3" ht="15.75">
      <c r="A70" s="36"/>
      <c r="B70" s="25"/>
      <c r="C70" s="2"/>
    </row>
    <row r="71" spans="1:3" ht="15.75">
      <c r="A71" s="36"/>
      <c r="B71" s="25"/>
      <c r="C71" s="2"/>
    </row>
    <row r="72" spans="1:3" ht="15.75">
      <c r="A72" s="36"/>
      <c r="B72" s="25"/>
      <c r="C72" s="2"/>
    </row>
    <row r="73" spans="1:3" ht="15.75">
      <c r="A73" s="36"/>
      <c r="B73" s="25"/>
      <c r="C73" s="2"/>
    </row>
    <row r="74" spans="1:3" ht="15.75">
      <c r="A74" s="36"/>
      <c r="B74" s="25"/>
      <c r="C74" s="2"/>
    </row>
    <row r="75" spans="1:3" ht="15.75">
      <c r="A75" s="36"/>
      <c r="B75" s="25"/>
      <c r="C75" s="2"/>
    </row>
    <row r="76" spans="1:3" ht="15.75">
      <c r="A76" s="36"/>
      <c r="B76" s="25"/>
      <c r="C76" s="2"/>
    </row>
    <row r="77" spans="1:3" ht="15.75">
      <c r="A77" s="36"/>
      <c r="B77" s="25"/>
      <c r="C77" s="2"/>
    </row>
    <row r="78" spans="1:3" ht="15.75">
      <c r="A78" s="36"/>
      <c r="B78" s="25"/>
      <c r="C78" s="2"/>
    </row>
    <row r="79" spans="1:3" ht="15.75">
      <c r="A79" s="36"/>
      <c r="B79" s="25"/>
      <c r="C79" s="2"/>
    </row>
    <row r="80" spans="1:3" ht="15.75">
      <c r="A80" s="36"/>
      <c r="B80" s="25"/>
      <c r="C80" s="2"/>
    </row>
    <row r="81" spans="1:3" ht="15.75">
      <c r="A81" s="36"/>
      <c r="B81" s="25"/>
      <c r="C81" s="2"/>
    </row>
    <row r="82" spans="1:3" ht="15.75">
      <c r="A82" s="36"/>
      <c r="B82" s="25"/>
      <c r="C82" s="2"/>
    </row>
    <row r="83" spans="1:3" ht="15.75">
      <c r="A83" s="36"/>
      <c r="B83" s="25"/>
      <c r="C83" s="2"/>
    </row>
  </sheetData>
  <phoneticPr fontId="9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74"/>
  <sheetViews>
    <sheetView workbookViewId="0">
      <pane xSplit="3" ySplit="3" topLeftCell="D4" activePane="bottomRight" state="frozen"/>
      <selection pane="topRight"/>
      <selection pane="bottomLeft"/>
      <selection pane="bottomRight"/>
    </sheetView>
  </sheetViews>
  <sheetFormatPr defaultRowHeight="13.5"/>
  <cols>
    <col min="1" max="2" width="12" customWidth="1"/>
    <col min="4" max="22" width="10.5" customWidth="1"/>
  </cols>
  <sheetData>
    <row r="1" spans="1:22" ht="19.5">
      <c r="A1" s="1" t="s">
        <v>130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1:22" ht="15.7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ht="15.75">
      <c r="A3" s="4" t="s">
        <v>3</v>
      </c>
      <c r="B3" s="2"/>
      <c r="C3" s="2"/>
      <c r="D3" s="5">
        <f>月次!D$4</f>
        <v>46113</v>
      </c>
      <c r="E3" s="5">
        <f>月次!E$4</f>
        <v>46143</v>
      </c>
      <c r="F3" s="5">
        <f>月次!F$4</f>
        <v>46174</v>
      </c>
      <c r="G3" s="5">
        <f>月次!G$4</f>
        <v>46204</v>
      </c>
      <c r="H3" s="5">
        <f>月次!H$4</f>
        <v>46235</v>
      </c>
      <c r="I3" s="5">
        <f>月次!I$4</f>
        <v>46266</v>
      </c>
      <c r="J3" s="5">
        <f>月次!J$4</f>
        <v>46296</v>
      </c>
      <c r="K3" s="5">
        <f>月次!K$4</f>
        <v>46327</v>
      </c>
      <c r="L3" s="5">
        <f>月次!L$4</f>
        <v>46357</v>
      </c>
      <c r="M3" s="5">
        <f>月次!M$4</f>
        <v>46388</v>
      </c>
      <c r="N3" s="5">
        <f>月次!N$4</f>
        <v>46419</v>
      </c>
      <c r="O3" s="5">
        <f>月次!O$4</f>
        <v>46447</v>
      </c>
      <c r="P3" s="5">
        <f>月次!P$4</f>
        <v>46478</v>
      </c>
      <c r="Q3" s="5">
        <f>月次!Q$4</f>
        <v>46508</v>
      </c>
      <c r="R3" s="5">
        <f>月次!R$4</f>
        <v>46539</v>
      </c>
      <c r="S3" s="5">
        <f>月次!S$4</f>
        <v>46569</v>
      </c>
      <c r="T3" s="5">
        <f>月次!T$4</f>
        <v>46600</v>
      </c>
      <c r="U3" s="5">
        <f>月次!U$4</f>
        <v>46631</v>
      </c>
      <c r="V3" s="5">
        <f>月次!V$4</f>
        <v>46661</v>
      </c>
    </row>
    <row r="4" spans="1:22" ht="15.75">
      <c r="A4" s="4" t="s">
        <v>131</v>
      </c>
      <c r="B4" s="2"/>
      <c r="C4" s="2"/>
      <c r="D4" s="6">
        <f>NETWORKDAYS.INTL(D$3,EOMONTH(D$3,0),"0111111",設定!$A$34:$A$83)</f>
        <v>4</v>
      </c>
      <c r="E4" s="6">
        <f>NETWORKDAYS.INTL(E$3,EOMONTH(E$3,0),"0111111",設定!$A$34:$A$83)</f>
        <v>3</v>
      </c>
      <c r="F4" s="6">
        <f>NETWORKDAYS.INTL(F$3,EOMONTH(F$3,0),"0111111",設定!$A$34:$A$83)</f>
        <v>5</v>
      </c>
      <c r="G4" s="6">
        <f>NETWORKDAYS.INTL(G$3,EOMONTH(G$3,0),"0111111",設定!$A$34:$A$83)</f>
        <v>3</v>
      </c>
      <c r="H4" s="6">
        <f>NETWORKDAYS.INTL(H$3,EOMONTH(H$3,0),"0111111",設定!$A$34:$A$83)</f>
        <v>5</v>
      </c>
      <c r="I4" s="6">
        <f>NETWORKDAYS.INTL(I$3,EOMONTH(I$3,0),"0111111",設定!$A$34:$A$83)</f>
        <v>3</v>
      </c>
      <c r="J4" s="6">
        <f>NETWORKDAYS.INTL(J$3,EOMONTH(J$3,0),"0111111",設定!$A$34:$A$83)</f>
        <v>3</v>
      </c>
      <c r="K4" s="6">
        <f>NETWORKDAYS.INTL(K$3,EOMONTH(K$3,0),"0111111",設定!$A$34:$A$83)</f>
        <v>4</v>
      </c>
      <c r="L4" s="6">
        <f>NETWORKDAYS.INTL(L$3,EOMONTH(L$3,0),"0111111",設定!$A$34:$A$83)</f>
        <v>4</v>
      </c>
      <c r="M4" s="6">
        <f>NETWORKDAYS.INTL(M$3,EOMONTH(M$3,0),"0111111",設定!$A$34:$A$83)</f>
        <v>3</v>
      </c>
      <c r="N4" s="6">
        <f>NETWORKDAYS.INTL(N$3,EOMONTH(N$3,0),"0111111",設定!$A$34:$A$83)</f>
        <v>4</v>
      </c>
      <c r="O4" s="6">
        <f>NETWORKDAYS.INTL(O$3,EOMONTH(O$3,0),"0111111",設定!$A$34:$A$83)</f>
        <v>4</v>
      </c>
      <c r="P4" s="6">
        <f>NETWORKDAYS.INTL(P$3,EOMONTH(P$3,0),"0111111",設定!$A$34:$A$83)</f>
        <v>4</v>
      </c>
      <c r="Q4" s="6">
        <f>NETWORKDAYS.INTL(Q$3,EOMONTH(Q$3,0),"0111111",設定!$A$34:$A$83)</f>
        <v>4</v>
      </c>
      <c r="R4" s="6">
        <f>NETWORKDAYS.INTL(R$3,EOMONTH(R$3,0),"0111111",設定!$A$34:$A$83)</f>
        <v>4</v>
      </c>
      <c r="S4" s="6">
        <f>NETWORKDAYS.INTL(S$3,EOMONTH(S$3,0),"0111111",設定!$A$34:$A$83)</f>
        <v>3</v>
      </c>
      <c r="T4" s="6">
        <f>NETWORKDAYS.INTL(T$3,EOMONTH(T$3,0),"0111111",設定!$A$34:$A$83)</f>
        <v>5</v>
      </c>
      <c r="U4" s="6">
        <f>NETWORKDAYS.INTL(U$3,EOMONTH(U$3,0),"0111111",設定!$A$34:$A$83)</f>
        <v>3</v>
      </c>
      <c r="V4" s="6">
        <f>NETWORKDAYS.INTL(V$3,EOMONTH(V$3,0),"0111111",設定!$A$34:$A$83)</f>
        <v>3</v>
      </c>
    </row>
    <row r="5" spans="1:22" ht="15.75">
      <c r="A5" s="4" t="s">
        <v>132</v>
      </c>
      <c r="B5" s="2"/>
      <c r="C5" s="2"/>
      <c r="D5" s="6">
        <f>NETWORKDAYS.INTL(D$3,EOMONTH(D$3,0),"1011111",設定!$A$34:$A$83)</f>
        <v>4</v>
      </c>
      <c r="E5" s="6">
        <f>NETWORKDAYS.INTL(E$3,EOMONTH(E$3,0),"1011111",設定!$A$34:$A$83)</f>
        <v>3</v>
      </c>
      <c r="F5" s="6">
        <f>NETWORKDAYS.INTL(F$3,EOMONTH(F$3,0),"1011111",設定!$A$34:$A$83)</f>
        <v>5</v>
      </c>
      <c r="G5" s="6">
        <f>NETWORKDAYS.INTL(G$3,EOMONTH(G$3,0),"1011111",設定!$A$34:$A$83)</f>
        <v>4</v>
      </c>
      <c r="H5" s="6">
        <f>NETWORKDAYS.INTL(H$3,EOMONTH(H$3,0),"1011111",設定!$A$34:$A$83)</f>
        <v>3</v>
      </c>
      <c r="I5" s="6">
        <f>NETWORKDAYS.INTL(I$3,EOMONTH(I$3,0),"1011111",設定!$A$34:$A$83)</f>
        <v>4</v>
      </c>
      <c r="J5" s="6">
        <f>NETWORKDAYS.INTL(J$3,EOMONTH(J$3,0),"1011111",設定!$A$34:$A$83)</f>
        <v>4</v>
      </c>
      <c r="K5" s="6">
        <f>NETWORKDAYS.INTL(K$3,EOMONTH(K$3,0),"1011111",設定!$A$34:$A$83)</f>
        <v>3</v>
      </c>
      <c r="L5" s="6">
        <f>NETWORKDAYS.INTL(L$3,EOMONTH(L$3,0),"1011111",設定!$A$34:$A$83)</f>
        <v>4</v>
      </c>
      <c r="M5" s="6">
        <f>NETWORKDAYS.INTL(M$3,EOMONTH(M$3,0),"1011111",設定!$A$34:$A$83)</f>
        <v>4</v>
      </c>
      <c r="N5" s="6">
        <f>NETWORKDAYS.INTL(N$3,EOMONTH(N$3,0),"1011111",設定!$A$34:$A$83)</f>
        <v>3</v>
      </c>
      <c r="O5" s="6">
        <f>NETWORKDAYS.INTL(O$3,EOMONTH(O$3,0),"1011111",設定!$A$34:$A$83)</f>
        <v>5</v>
      </c>
      <c r="P5" s="6">
        <f>NETWORKDAYS.INTL(P$3,EOMONTH(P$3,0),"1011111",設定!$A$34:$A$83)</f>
        <v>4</v>
      </c>
      <c r="Q5" s="6">
        <f>NETWORKDAYS.INTL(Q$3,EOMONTH(Q$3,0),"1011111",設定!$A$34:$A$83)</f>
        <v>3</v>
      </c>
      <c r="R5" s="6">
        <f>NETWORKDAYS.INTL(R$3,EOMONTH(R$3,0),"1011111",設定!$A$34:$A$83)</f>
        <v>5</v>
      </c>
      <c r="S5" s="6">
        <f>NETWORKDAYS.INTL(S$3,EOMONTH(S$3,0),"1011111",設定!$A$34:$A$83)</f>
        <v>4</v>
      </c>
      <c r="T5" s="6">
        <f>NETWORKDAYS.INTL(T$3,EOMONTH(T$3,0),"1011111",設定!$A$34:$A$83)</f>
        <v>5</v>
      </c>
      <c r="U5" s="6">
        <f>NETWORKDAYS.INTL(U$3,EOMONTH(U$3,0),"1011111",設定!$A$34:$A$83)</f>
        <v>4</v>
      </c>
      <c r="V5" s="6">
        <f>NETWORKDAYS.INTL(V$3,EOMONTH(V$3,0),"1011111",設定!$A$34:$A$83)</f>
        <v>4</v>
      </c>
    </row>
    <row r="6" spans="1:22" ht="15.75">
      <c r="A6" s="4" t="s">
        <v>133</v>
      </c>
      <c r="B6" s="2"/>
      <c r="C6" s="2"/>
      <c r="D6" s="6">
        <f>NETWORKDAYS.INTL(D$3,EOMONTH(D$3,0),"1101111",設定!$A$34:$A$83)</f>
        <v>4</v>
      </c>
      <c r="E6" s="6">
        <f>NETWORKDAYS.INTL(E$3,EOMONTH(E$3,0),"1101111",設定!$A$34:$A$83)</f>
        <v>3</v>
      </c>
      <c r="F6" s="6">
        <f>NETWORKDAYS.INTL(F$3,EOMONTH(F$3,0),"1101111",設定!$A$34:$A$83)</f>
        <v>4</v>
      </c>
      <c r="G6" s="6">
        <f>NETWORKDAYS.INTL(G$3,EOMONTH(G$3,0),"1101111",設定!$A$34:$A$83)</f>
        <v>5</v>
      </c>
      <c r="H6" s="6">
        <f>NETWORKDAYS.INTL(H$3,EOMONTH(H$3,0),"1101111",設定!$A$34:$A$83)</f>
        <v>4</v>
      </c>
      <c r="I6" s="6">
        <f>NETWORKDAYS.INTL(I$3,EOMONTH(I$3,0),"1101111",設定!$A$34:$A$83)</f>
        <v>4</v>
      </c>
      <c r="J6" s="6">
        <f>NETWORKDAYS.INTL(J$3,EOMONTH(J$3,0),"1101111",設定!$A$34:$A$83)</f>
        <v>4</v>
      </c>
      <c r="K6" s="6">
        <f>NETWORKDAYS.INTL(K$3,EOMONTH(K$3,0),"1101111",設定!$A$34:$A$83)</f>
        <v>4</v>
      </c>
      <c r="L6" s="6">
        <f>NETWORKDAYS.INTL(L$3,EOMONTH(L$3,0),"1101111",設定!$A$34:$A$83)</f>
        <v>4</v>
      </c>
      <c r="M6" s="6">
        <f>NETWORKDAYS.INTL(M$3,EOMONTH(M$3,0),"1101111",設定!$A$34:$A$83)</f>
        <v>4</v>
      </c>
      <c r="N6" s="6">
        <f>NETWORKDAYS.INTL(N$3,EOMONTH(N$3,0),"1101111",設定!$A$34:$A$83)</f>
        <v>4</v>
      </c>
      <c r="O6" s="6">
        <f>NETWORKDAYS.INTL(O$3,EOMONTH(O$3,0),"1101111",設定!$A$34:$A$83)</f>
        <v>5</v>
      </c>
      <c r="P6" s="6">
        <f>NETWORKDAYS.INTL(P$3,EOMONTH(P$3,0),"1101111",設定!$A$34:$A$83)</f>
        <v>4</v>
      </c>
      <c r="Q6" s="6">
        <f>NETWORKDAYS.INTL(Q$3,EOMONTH(Q$3,0),"1101111",設定!$A$34:$A$83)</f>
        <v>3</v>
      </c>
      <c r="R6" s="6">
        <f>NETWORKDAYS.INTL(R$3,EOMONTH(R$3,0),"1101111",設定!$A$34:$A$83)</f>
        <v>5</v>
      </c>
      <c r="S6" s="6">
        <f>NETWORKDAYS.INTL(S$3,EOMONTH(S$3,0),"1101111",設定!$A$34:$A$83)</f>
        <v>4</v>
      </c>
      <c r="T6" s="6">
        <f>NETWORKDAYS.INTL(T$3,EOMONTH(T$3,0),"1101111",設定!$A$34:$A$83)</f>
        <v>3</v>
      </c>
      <c r="U6" s="6">
        <f>NETWORKDAYS.INTL(U$3,EOMONTH(U$3,0),"1101111",設定!$A$34:$A$83)</f>
        <v>5</v>
      </c>
      <c r="V6" s="6">
        <f>NETWORKDAYS.INTL(V$3,EOMONTH(V$3,0),"1101111",設定!$A$34:$A$83)</f>
        <v>4</v>
      </c>
    </row>
    <row r="7" spans="1:22" ht="15.75">
      <c r="A7" s="4" t="s">
        <v>134</v>
      </c>
      <c r="B7" s="2"/>
      <c r="C7" s="2"/>
      <c r="D7" s="6">
        <f>NETWORKDAYS.INTL(D$3,EOMONTH(D$3,0),"1110111",設定!$A$34:$A$83)</f>
        <v>5</v>
      </c>
      <c r="E7" s="6">
        <f>NETWORKDAYS.INTL(E$3,EOMONTH(E$3,0),"1110111",設定!$A$34:$A$83)</f>
        <v>4</v>
      </c>
      <c r="F7" s="6">
        <f>NETWORKDAYS.INTL(F$3,EOMONTH(F$3,0),"1110111",設定!$A$34:$A$83)</f>
        <v>4</v>
      </c>
      <c r="G7" s="6">
        <f>NETWORKDAYS.INTL(G$3,EOMONTH(G$3,0),"1110111",設定!$A$34:$A$83)</f>
        <v>5</v>
      </c>
      <c r="H7" s="6">
        <f>NETWORKDAYS.INTL(H$3,EOMONTH(H$3,0),"1110111",設定!$A$34:$A$83)</f>
        <v>4</v>
      </c>
      <c r="I7" s="6">
        <f>NETWORKDAYS.INTL(I$3,EOMONTH(I$3,0),"1110111",設定!$A$34:$A$83)</f>
        <v>4</v>
      </c>
      <c r="J7" s="6">
        <f>NETWORKDAYS.INTL(J$3,EOMONTH(J$3,0),"1110111",設定!$A$34:$A$83)</f>
        <v>5</v>
      </c>
      <c r="K7" s="6">
        <f>NETWORKDAYS.INTL(K$3,EOMONTH(K$3,0),"1110111",設定!$A$34:$A$83)</f>
        <v>4</v>
      </c>
      <c r="L7" s="6">
        <f>NETWORKDAYS.INTL(L$3,EOMONTH(L$3,0),"1110111",設定!$A$34:$A$83)</f>
        <v>4</v>
      </c>
      <c r="M7" s="6">
        <f>NETWORKDAYS.INTL(M$3,EOMONTH(M$3,0),"1110111",設定!$A$34:$A$83)</f>
        <v>4</v>
      </c>
      <c r="N7" s="6">
        <f>NETWORKDAYS.INTL(N$3,EOMONTH(N$3,0),"1110111",設定!$A$34:$A$83)</f>
        <v>3</v>
      </c>
      <c r="O7" s="6">
        <f>NETWORKDAYS.INTL(O$3,EOMONTH(O$3,0),"1110111",設定!$A$34:$A$83)</f>
        <v>4</v>
      </c>
      <c r="P7" s="6">
        <f>NETWORKDAYS.INTL(P$3,EOMONTH(P$3,0),"1110111",設定!$A$34:$A$83)</f>
        <v>4</v>
      </c>
      <c r="Q7" s="6">
        <f>NETWORKDAYS.INTL(Q$3,EOMONTH(Q$3,0),"1110111",設定!$A$34:$A$83)</f>
        <v>4</v>
      </c>
      <c r="R7" s="6">
        <f>NETWORKDAYS.INTL(R$3,EOMONTH(R$3,0),"1110111",設定!$A$34:$A$83)</f>
        <v>4</v>
      </c>
      <c r="S7" s="6">
        <f>NETWORKDAYS.INTL(S$3,EOMONTH(S$3,0),"1110111",設定!$A$34:$A$83)</f>
        <v>5</v>
      </c>
      <c r="T7" s="6">
        <f>NETWORKDAYS.INTL(T$3,EOMONTH(T$3,0),"1110111",設定!$A$34:$A$83)</f>
        <v>4</v>
      </c>
      <c r="U7" s="6">
        <f>NETWORKDAYS.INTL(U$3,EOMONTH(U$3,0),"1110111",設定!$A$34:$A$83)</f>
        <v>4</v>
      </c>
      <c r="V7" s="6">
        <f>NETWORKDAYS.INTL(V$3,EOMONTH(V$3,0),"1110111",設定!$A$34:$A$83)</f>
        <v>4</v>
      </c>
    </row>
    <row r="8" spans="1:22" ht="15.75">
      <c r="A8" s="4" t="s">
        <v>135</v>
      </c>
      <c r="B8" s="2"/>
      <c r="C8" s="2"/>
      <c r="D8" s="6">
        <f>NETWORKDAYS.INTL(D$3,EOMONTH(D$3,0),"1111011",設定!$A$34:$A$83)</f>
        <v>4</v>
      </c>
      <c r="E8" s="6">
        <f>NETWORKDAYS.INTL(E$3,EOMONTH(E$3,0),"1111011",設定!$A$34:$A$83)</f>
        <v>5</v>
      </c>
      <c r="F8" s="6">
        <f>NETWORKDAYS.INTL(F$3,EOMONTH(F$3,0),"1111011",設定!$A$34:$A$83)</f>
        <v>4</v>
      </c>
      <c r="G8" s="6">
        <f>NETWORKDAYS.INTL(G$3,EOMONTH(G$3,0),"1111011",設定!$A$34:$A$83)</f>
        <v>5</v>
      </c>
      <c r="H8" s="6">
        <f>NETWORKDAYS.INTL(H$3,EOMONTH(H$3,0),"1111011",設定!$A$34:$A$83)</f>
        <v>4</v>
      </c>
      <c r="I8" s="6">
        <f>NETWORKDAYS.INTL(I$3,EOMONTH(I$3,0),"1111011",設定!$A$34:$A$83)</f>
        <v>4</v>
      </c>
      <c r="J8" s="6">
        <f>NETWORKDAYS.INTL(J$3,EOMONTH(J$3,0),"1111011",設定!$A$34:$A$83)</f>
        <v>5</v>
      </c>
      <c r="K8" s="6">
        <f>NETWORKDAYS.INTL(K$3,EOMONTH(K$3,0),"1111011",設定!$A$34:$A$83)</f>
        <v>4</v>
      </c>
      <c r="L8" s="6">
        <f>NETWORKDAYS.INTL(L$3,EOMONTH(L$3,0),"1111011",設定!$A$34:$A$83)</f>
        <v>4</v>
      </c>
      <c r="M8" s="6">
        <f>NETWORKDAYS.INTL(M$3,EOMONTH(M$3,0),"1111011",設定!$A$34:$A$83)</f>
        <v>4</v>
      </c>
      <c r="N8" s="6">
        <f>NETWORKDAYS.INTL(N$3,EOMONTH(N$3,0),"1111011",設定!$A$34:$A$83)</f>
        <v>4</v>
      </c>
      <c r="O8" s="6">
        <f>NETWORKDAYS.INTL(O$3,EOMONTH(O$3,0),"1111011",設定!$A$34:$A$83)</f>
        <v>4</v>
      </c>
      <c r="P8" s="6">
        <f>NETWORKDAYS.INTL(P$3,EOMONTH(P$3,0),"1111011",設定!$A$34:$A$83)</f>
        <v>5</v>
      </c>
      <c r="Q8" s="6">
        <f>NETWORKDAYS.INTL(Q$3,EOMONTH(Q$3,0),"1111011",設定!$A$34:$A$83)</f>
        <v>4</v>
      </c>
      <c r="R8" s="6">
        <f>NETWORKDAYS.INTL(R$3,EOMONTH(R$3,0),"1111011",設定!$A$34:$A$83)</f>
        <v>4</v>
      </c>
      <c r="S8" s="6">
        <f>NETWORKDAYS.INTL(S$3,EOMONTH(S$3,0),"1111011",設定!$A$34:$A$83)</f>
        <v>5</v>
      </c>
      <c r="T8" s="6">
        <f>NETWORKDAYS.INTL(T$3,EOMONTH(T$3,0),"1111011",設定!$A$34:$A$83)</f>
        <v>4</v>
      </c>
      <c r="U8" s="6">
        <f>NETWORKDAYS.INTL(U$3,EOMONTH(U$3,0),"1111011",設定!$A$34:$A$83)</f>
        <v>4</v>
      </c>
      <c r="V8" s="6">
        <f>NETWORKDAYS.INTL(V$3,EOMONTH(V$3,0),"1111011",設定!$A$34:$A$83)</f>
        <v>5</v>
      </c>
    </row>
    <row r="9" spans="1:22" ht="15.7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22" ht="15.75">
      <c r="A10" s="8" t="s">
        <v>136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</row>
    <row r="11" spans="1:22" ht="15.75">
      <c r="A11" s="37" t="str">
        <f>IF(メンバー!$A6="","",メンバー!$A6)</f>
        <v>OP</v>
      </c>
      <c r="B11" s="37" t="str">
        <f>IF(メンバー!$B6="","",メンバー!$B6)</f>
        <v>藤本</v>
      </c>
      <c r="C11" s="2"/>
      <c r="D11" s="38">
        <f>IF(AND(メンバー!$B6&lt;&gt;"",OR(メンバー!$H6="",D$3&gt;=メンバー!$H6),OR(メンバー!$I6="",D$3&lt;=メンバー!$I6)),N(メンバー!$C6)*D$4+N(メンバー!$D6)*D$5+N(メンバー!$E6)*D$6+N(メンバー!$F6)*D$7+N(メンバー!$G6)*D$8,0)</f>
        <v>84</v>
      </c>
      <c r="E11" s="38">
        <f>IF(AND(メンバー!$B6&lt;&gt;"",OR(メンバー!$H6="",E$3&gt;=メンバー!$H6),OR(メンバー!$I6="",E$3&lt;=メンバー!$I6)),N(メンバー!$C6)*E$4+N(メンバー!$D6)*E$5+N(メンバー!$E6)*E$6+N(メンバー!$F6)*E$7+N(メンバー!$G6)*E$8,0)</f>
        <v>77</v>
      </c>
      <c r="F11" s="38">
        <f>IF(AND(メンバー!$B6&lt;&gt;"",OR(メンバー!$H6="",F$3&gt;=メンバー!$H6),OR(メンバー!$I6="",F$3&lt;=メンバー!$I6)),N(メンバー!$C6)*F$4+N(メンバー!$D6)*F$5+N(メンバー!$E6)*F$6+N(メンバー!$F6)*F$7+N(メンバー!$G6)*F$8,0)</f>
        <v>91</v>
      </c>
      <c r="G11" s="38">
        <f>IF(AND(メンバー!$B6&lt;&gt;"",OR(メンバー!$H6="",G$3&gt;=メンバー!$H6),OR(メンバー!$I6="",G$3&lt;=メンバー!$I6)),N(メンバー!$C6)*G$4+N(メンバー!$D6)*G$5+N(メンバー!$E6)*G$6+N(メンバー!$F6)*G$7+N(メンバー!$G6)*G$8,0)</f>
        <v>91</v>
      </c>
      <c r="H11" s="38">
        <f>IF(AND(メンバー!$B6&lt;&gt;"",OR(メンバー!$H6="",H$3&gt;=メンバー!$H6),OR(メンバー!$I6="",H$3&lt;=メンバー!$I6)),N(メンバー!$C6)*H$4+N(メンバー!$D6)*H$5+N(メンバー!$E6)*H$6+N(メンバー!$F6)*H$7+N(メンバー!$G6)*H$8,0)</f>
        <v>91</v>
      </c>
      <c r="I11" s="38">
        <f>IF(AND(メンバー!$B6&lt;&gt;"",OR(メンバー!$H6="",I$3&gt;=メンバー!$H6),OR(メンバー!$I6="",I$3&lt;=メンバー!$I6)),N(メンバー!$C6)*I$4+N(メンバー!$D6)*I$5+N(メンバー!$E6)*I$6+N(メンバー!$F6)*I$7+N(メンバー!$G6)*I$8,0)</f>
        <v>77</v>
      </c>
      <c r="J11" s="38">
        <f>IF(AND(メンバー!$B6&lt;&gt;"",OR(メンバー!$H6="",J$3&gt;=メンバー!$H6),OR(メンバー!$I6="",J$3&lt;=メンバー!$I6)),N(メンバー!$C6)*J$4+N(メンバー!$D6)*J$5+N(メンバー!$E6)*J$6+N(メンバー!$F6)*J$7+N(メンバー!$G6)*J$8,0)</f>
        <v>84</v>
      </c>
      <c r="K11" s="38">
        <f>IF(AND(メンバー!$B6&lt;&gt;"",OR(メンバー!$H6="",K$3&gt;=メンバー!$H6),OR(メンバー!$I6="",K$3&lt;=メンバー!$I6)),N(メンバー!$C6)*K$4+N(メンバー!$D6)*K$5+N(メンバー!$E6)*K$6+N(メンバー!$F6)*K$7+N(メンバー!$G6)*K$8,0)</f>
        <v>84</v>
      </c>
      <c r="L11" s="38">
        <f>IF(AND(メンバー!$B6&lt;&gt;"",OR(メンバー!$H6="",L$3&gt;=メンバー!$H6),OR(メンバー!$I6="",L$3&lt;=メンバー!$I6)),N(メンバー!$C6)*L$4+N(メンバー!$D6)*L$5+N(メンバー!$E6)*L$6+N(メンバー!$F6)*L$7+N(メンバー!$G6)*L$8,0)</f>
        <v>84</v>
      </c>
      <c r="M11" s="38">
        <f>IF(AND(メンバー!$B6&lt;&gt;"",OR(メンバー!$H6="",M$3&gt;=メンバー!$H6),OR(メンバー!$I6="",M$3&lt;=メンバー!$I6)),N(メンバー!$C6)*M$4+N(メンバー!$D6)*M$5+N(メンバー!$E6)*M$6+N(メンバー!$F6)*M$7+N(メンバー!$G6)*M$8,0)</f>
        <v>77</v>
      </c>
      <c r="N11" s="38">
        <f>IF(AND(メンバー!$B6&lt;&gt;"",OR(メンバー!$H6="",N$3&gt;=メンバー!$H6),OR(メンバー!$I6="",N$3&lt;=メンバー!$I6)),N(メンバー!$C6)*N$4+N(メンバー!$D6)*N$5+N(メンバー!$E6)*N$6+N(メンバー!$F6)*N$7+N(メンバー!$G6)*N$8,0)</f>
        <v>84</v>
      </c>
      <c r="O11" s="38">
        <f>IF(AND(メンバー!$B6&lt;&gt;"",OR(メンバー!$H6="",O$3&gt;=メンバー!$H6),OR(メンバー!$I6="",O$3&lt;=メンバー!$I6)),N(メンバー!$C6)*O$4+N(メンバー!$D6)*O$5+N(メンバー!$E6)*O$6+N(メンバー!$F6)*O$7+N(メンバー!$G6)*O$8,0)</f>
        <v>91</v>
      </c>
      <c r="P11" s="38">
        <f>IF(AND(メンバー!$B6&lt;&gt;"",OR(メンバー!$H6="",P$3&gt;=メンバー!$H6),OR(メンバー!$I6="",P$3&lt;=メンバー!$I6)),N(メンバー!$C6)*P$4+N(メンバー!$D6)*P$5+N(メンバー!$E6)*P$6+N(メンバー!$F6)*P$7+N(メンバー!$G6)*P$8,0)</f>
        <v>91</v>
      </c>
      <c r="Q11" s="38">
        <f>IF(AND(メンバー!$B6&lt;&gt;"",OR(メンバー!$H6="",Q$3&gt;=メンバー!$H6),OR(メンバー!$I6="",Q$3&lt;=メンバー!$I6)),N(メンバー!$C6)*Q$4+N(メンバー!$D6)*Q$5+N(メンバー!$E6)*Q$6+N(メンバー!$F6)*Q$7+N(メンバー!$G6)*Q$8,0)</f>
        <v>77</v>
      </c>
      <c r="R11" s="38">
        <f>IF(AND(メンバー!$B6&lt;&gt;"",OR(メンバー!$H6="",R$3&gt;=メンバー!$H6),OR(メンバー!$I6="",R$3&lt;=メンバー!$I6)),N(メンバー!$C6)*R$4+N(メンバー!$D6)*R$5+N(メンバー!$E6)*R$6+N(メンバー!$F6)*R$7+N(メンバー!$G6)*R$8,0)</f>
        <v>91</v>
      </c>
      <c r="S11" s="38">
        <f>IF(AND(メンバー!$B6&lt;&gt;"",OR(メンバー!$H6="",S$3&gt;=メンバー!$H6),OR(メンバー!$I6="",S$3&lt;=メンバー!$I6)),N(メンバー!$C6)*S$4+N(メンバー!$D6)*S$5+N(メンバー!$E6)*S$6+N(メンバー!$F6)*S$7+N(メンバー!$G6)*S$8,0)</f>
        <v>84</v>
      </c>
      <c r="T11" s="38">
        <f>IF(AND(メンバー!$B6&lt;&gt;"",OR(メンバー!$H6="",T$3&gt;=メンバー!$H6),OR(メンバー!$I6="",T$3&lt;=メンバー!$I6)),N(メンバー!$C6)*T$4+N(メンバー!$D6)*T$5+N(メンバー!$E6)*T$6+N(メンバー!$F6)*T$7+N(メンバー!$G6)*T$8,0)</f>
        <v>84</v>
      </c>
      <c r="U11" s="38">
        <f>IF(AND(メンバー!$B6&lt;&gt;"",OR(メンバー!$H6="",U$3&gt;=メンバー!$H6),OR(メンバー!$I6="",U$3&lt;=メンバー!$I6)),N(メンバー!$C6)*U$4+N(メンバー!$D6)*U$5+N(メンバー!$E6)*U$6+N(メンバー!$F6)*U$7+N(メンバー!$G6)*U$8,0)</f>
        <v>84</v>
      </c>
      <c r="V11" s="38">
        <f>IF(AND(メンバー!$B6&lt;&gt;"",OR(メンバー!$H6="",V$3&gt;=メンバー!$H6),OR(メンバー!$I6="",V$3&lt;=メンバー!$I6)),N(メンバー!$C6)*V$4+N(メンバー!$D6)*V$5+N(メンバー!$E6)*V$6+N(メンバー!$F6)*V$7+N(メンバー!$G6)*V$8,0)</f>
        <v>84</v>
      </c>
    </row>
    <row r="12" spans="1:22" ht="15.75">
      <c r="A12" s="37" t="str">
        <f>IF(メンバー!$A7="","",メンバー!$A7)</f>
        <v>OP</v>
      </c>
      <c r="B12" s="37" t="str">
        <f>IF(メンバー!$B7="","",メンバー!$B7)</f>
        <v>穂満</v>
      </c>
      <c r="C12" s="2"/>
      <c r="D12" s="38">
        <f>IF(AND(メンバー!$B7&lt;&gt;"",OR(メンバー!$H7="",D$3&gt;=メンバー!$H7),OR(メンバー!$I7="",D$3&lt;=メンバー!$I7)),N(メンバー!$C7)*D$4+N(メンバー!$D7)*D$5+N(メンバー!$E7)*D$6+N(メンバー!$F7)*D$7+N(メンバー!$G7)*D$8,0)</f>
        <v>168</v>
      </c>
      <c r="E12" s="38">
        <f>IF(AND(メンバー!$B7&lt;&gt;"",OR(メンバー!$H7="",E$3&gt;=メンバー!$H7),OR(メンバー!$I7="",E$3&lt;=メンバー!$I7)),N(メンバー!$C7)*E$4+N(メンバー!$D7)*E$5+N(メンバー!$E7)*E$6+N(メンバー!$F7)*E$7+N(メンバー!$G7)*E$8,0)</f>
        <v>144</v>
      </c>
      <c r="F12" s="38">
        <f>IF(AND(メンバー!$B7&lt;&gt;"",OR(メンバー!$H7="",F$3&gt;=メンバー!$H7),OR(メンバー!$I7="",F$3&lt;=メンバー!$I7)),N(メンバー!$C7)*F$4+N(メンバー!$D7)*F$5+N(メンバー!$E7)*F$6+N(メンバー!$F7)*F$7+N(メンバー!$G7)*F$8,0)</f>
        <v>176</v>
      </c>
      <c r="G12" s="38">
        <f>IF(AND(メンバー!$B7&lt;&gt;"",OR(メンバー!$H7="",G$3&gt;=メンバー!$H7),OR(メンバー!$I7="",G$3&lt;=メンバー!$I7)),N(メンバー!$C7)*G$4+N(メンバー!$D7)*G$5+N(メンバー!$E7)*G$6+N(メンバー!$F7)*G$7+N(メンバー!$G7)*G$8,0)</f>
        <v>176</v>
      </c>
      <c r="H12" s="38">
        <f>IF(AND(メンバー!$B7&lt;&gt;"",OR(メンバー!$H7="",H$3&gt;=メンバー!$H7),OR(メンバー!$I7="",H$3&lt;=メンバー!$I7)),N(メンバー!$C7)*H$4+N(メンバー!$D7)*H$5+N(メンバー!$E7)*H$6+N(メンバー!$F7)*H$7+N(メンバー!$G7)*H$8,0)</f>
        <v>160</v>
      </c>
      <c r="I12" s="38">
        <f>IF(AND(メンバー!$B7&lt;&gt;"",OR(メンバー!$H7="",I$3&gt;=メンバー!$H7),OR(メンバー!$I7="",I$3&lt;=メンバー!$I7)),N(メンバー!$C7)*I$4+N(メンバー!$D7)*I$5+N(メンバー!$E7)*I$6+N(メンバー!$F7)*I$7+N(メンバー!$G7)*I$8,0)</f>
        <v>152</v>
      </c>
      <c r="J12" s="38">
        <f>IF(AND(メンバー!$B7&lt;&gt;"",OR(メンバー!$H7="",J$3&gt;=メンバー!$H7),OR(メンバー!$I7="",J$3&lt;=メンバー!$I7)),N(メンバー!$C7)*J$4+N(メンバー!$D7)*J$5+N(メンバー!$E7)*J$6+N(メンバー!$F7)*J$7+N(メンバー!$G7)*J$8,0)</f>
        <v>168</v>
      </c>
      <c r="K12" s="38">
        <f>IF(AND(メンバー!$B7&lt;&gt;"",OR(メンバー!$H7="",K$3&gt;=メンバー!$H7),OR(メンバー!$I7="",K$3&lt;=メンバー!$I7)),N(メンバー!$C7)*K$4+N(メンバー!$D7)*K$5+N(メンバー!$E7)*K$6+N(メンバー!$F7)*K$7+N(メンバー!$G7)*K$8,0)</f>
        <v>152</v>
      </c>
      <c r="L12" s="38">
        <f>IF(AND(メンバー!$B7&lt;&gt;"",OR(メンバー!$H7="",L$3&gt;=メンバー!$H7),OR(メンバー!$I7="",L$3&lt;=メンバー!$I7)),N(メンバー!$C7)*L$4+N(メンバー!$D7)*L$5+N(メンバー!$E7)*L$6+N(メンバー!$F7)*L$7+N(メンバー!$G7)*L$8,0)</f>
        <v>160</v>
      </c>
      <c r="M12" s="38">
        <f>IF(AND(メンバー!$B7&lt;&gt;"",OR(メンバー!$H7="",M$3&gt;=メンバー!$H7),OR(メンバー!$I7="",M$3&lt;=メンバー!$I7)),N(メンバー!$C7)*M$4+N(メンバー!$D7)*M$5+N(メンバー!$E7)*M$6+N(メンバー!$F7)*M$7+N(メンバー!$G7)*M$8,0)</f>
        <v>152</v>
      </c>
      <c r="N12" s="38">
        <f>IF(AND(メンバー!$B7&lt;&gt;"",OR(メンバー!$H7="",N$3&gt;=メンバー!$H7),OR(メンバー!$I7="",N$3&lt;=メンバー!$I7)),N(メンバー!$C7)*N$4+N(メンバー!$D7)*N$5+N(メンバー!$E7)*N$6+N(メンバー!$F7)*N$7+N(メンバー!$G7)*N$8,0)</f>
        <v>144</v>
      </c>
      <c r="O12" s="38">
        <f>IF(AND(メンバー!$B7&lt;&gt;"",OR(メンバー!$H7="",O$3&gt;=メンバー!$H7),OR(メンバー!$I7="",O$3&lt;=メンバー!$I7)),N(メンバー!$C7)*O$4+N(メンバー!$D7)*O$5+N(メンバー!$E7)*O$6+N(メンバー!$F7)*O$7+N(メンバー!$G7)*O$8,0)</f>
        <v>176</v>
      </c>
      <c r="P12" s="38">
        <f>IF(AND(メンバー!$B7&lt;&gt;"",OR(メンバー!$H7="",P$3&gt;=メンバー!$H7),OR(メンバー!$I7="",P$3&lt;=メンバー!$I7)),N(メンバー!$C7)*P$4+N(メンバー!$D7)*P$5+N(メンバー!$E7)*P$6+N(メンバー!$F7)*P$7+N(メンバー!$G7)*P$8,0)</f>
        <v>168</v>
      </c>
      <c r="Q12" s="38">
        <f>IF(AND(メンバー!$B7&lt;&gt;"",OR(メンバー!$H7="",Q$3&gt;=メンバー!$H7),OR(メンバー!$I7="",Q$3&lt;=メンバー!$I7)),N(メンバー!$C7)*Q$4+N(メンバー!$D7)*Q$5+N(メンバー!$E7)*Q$6+N(メンバー!$F7)*Q$7+N(メンバー!$G7)*Q$8,0)</f>
        <v>144</v>
      </c>
      <c r="R12" s="38">
        <f>IF(AND(メンバー!$B7&lt;&gt;"",OR(メンバー!$H7="",R$3&gt;=メンバー!$H7),OR(メンバー!$I7="",R$3&lt;=メンバー!$I7)),N(メンバー!$C7)*R$4+N(メンバー!$D7)*R$5+N(メンバー!$E7)*R$6+N(メンバー!$F7)*R$7+N(メンバー!$G7)*R$8,0)</f>
        <v>176</v>
      </c>
      <c r="S12" s="38">
        <f>IF(AND(メンバー!$B7&lt;&gt;"",OR(メンバー!$H7="",S$3&gt;=メンバー!$H7),OR(メンバー!$I7="",S$3&lt;=メンバー!$I7)),N(メンバー!$C7)*S$4+N(メンバー!$D7)*S$5+N(メンバー!$E7)*S$6+N(メンバー!$F7)*S$7+N(メンバー!$G7)*S$8,0)</f>
        <v>168</v>
      </c>
      <c r="T12" s="38">
        <f>IF(AND(メンバー!$B7&lt;&gt;"",OR(メンバー!$H7="",T$3&gt;=メンバー!$H7),OR(メンバー!$I7="",T$3&lt;=メンバー!$I7)),N(メンバー!$C7)*T$4+N(メンバー!$D7)*T$5+N(メンバー!$E7)*T$6+N(メンバー!$F7)*T$7+N(メンバー!$G7)*T$8,0)</f>
        <v>168</v>
      </c>
      <c r="U12" s="38">
        <f>IF(AND(メンバー!$B7&lt;&gt;"",OR(メンバー!$H7="",U$3&gt;=メンバー!$H7),OR(メンバー!$I7="",U$3&lt;=メンバー!$I7)),N(メンバー!$C7)*U$4+N(メンバー!$D7)*U$5+N(メンバー!$E7)*U$6+N(メンバー!$F7)*U$7+N(メンバー!$G7)*U$8,0)</f>
        <v>160</v>
      </c>
      <c r="V12" s="38">
        <f>IF(AND(メンバー!$B7&lt;&gt;"",OR(メンバー!$H7="",V$3&gt;=メンバー!$H7),OR(メンバー!$I7="",V$3&lt;=メンバー!$I7)),N(メンバー!$C7)*V$4+N(メンバー!$D7)*V$5+N(メンバー!$E7)*V$6+N(メンバー!$F7)*V$7+N(メンバー!$G7)*V$8,0)</f>
        <v>160</v>
      </c>
    </row>
    <row r="13" spans="1:22" ht="15.75">
      <c r="A13" s="37" t="str">
        <f>IF(メンバー!$A8="","",メンバー!$A8)</f>
        <v>OP</v>
      </c>
      <c r="B13" s="37" t="str">
        <f>IF(メンバー!$B8="","",メンバー!$B8)</f>
        <v>八木</v>
      </c>
      <c r="C13" s="2"/>
      <c r="D13" s="38">
        <f>IF(AND(メンバー!$B8&lt;&gt;"",OR(メンバー!$H8="",D$3&gt;=メンバー!$H8),OR(メンバー!$I8="",D$3&lt;=メンバー!$I8)),N(メンバー!$C8)*D$4+N(メンバー!$D8)*D$5+N(メンバー!$E8)*D$6+N(メンバー!$F8)*D$7+N(メンバー!$G8)*D$8,0)</f>
        <v>110.5</v>
      </c>
      <c r="E13" s="38">
        <f>IF(AND(メンバー!$B8&lt;&gt;"",OR(メンバー!$H8="",E$3&gt;=メンバー!$H8),OR(メンバー!$I8="",E$3&lt;=メンバー!$I8)),N(メンバー!$C8)*E$4+N(メンバー!$D8)*E$5+N(メンバー!$E8)*E$6+N(メンバー!$F8)*E$7+N(メンバー!$G8)*E$8,0)</f>
        <v>84.5</v>
      </c>
      <c r="F13" s="38">
        <f>IF(AND(メンバー!$B8&lt;&gt;"",OR(メンバー!$H8="",F$3&gt;=メンバー!$H8),OR(メンバー!$I8="",F$3&lt;=メンバー!$I8)),N(メンバー!$C8)*F$4+N(メンバー!$D8)*F$5+N(メンバー!$E8)*F$6+N(メンバー!$F8)*F$7+N(メンバー!$G8)*F$8,0)</f>
        <v>117</v>
      </c>
      <c r="G13" s="38">
        <f>IF(AND(メンバー!$B8&lt;&gt;"",OR(メンバー!$H8="",G$3&gt;=メンバー!$H8),OR(メンバー!$I8="",G$3&lt;=メンバー!$I8)),N(メンバー!$C8)*G$4+N(メンバー!$D8)*G$5+N(メンバー!$E8)*G$6+N(メンバー!$F8)*G$7+N(メンバー!$G8)*G$8,0)</f>
        <v>110.5</v>
      </c>
      <c r="H13" s="38">
        <f>IF(AND(メンバー!$B8&lt;&gt;"",OR(メンバー!$H8="",H$3&gt;=メンバー!$H8),OR(メンバー!$I8="",H$3&lt;=メンバー!$I8)),N(メンバー!$C8)*H$4+N(メンバー!$D8)*H$5+N(メンバー!$E8)*H$6+N(メンバー!$F8)*H$7+N(メンバー!$G8)*H$8,0)</f>
        <v>104</v>
      </c>
      <c r="I13" s="38">
        <f>IF(AND(メンバー!$B8&lt;&gt;"",OR(メンバー!$H8="",I$3&gt;=メンバー!$H8),OR(メンバー!$I8="",I$3&lt;=メンバー!$I8)),N(メンバー!$C8)*I$4+N(メンバー!$D8)*I$5+N(メンバー!$E8)*I$6+N(メンバー!$F8)*I$7+N(メンバー!$G8)*I$8,0)</f>
        <v>97.5</v>
      </c>
      <c r="J13" s="38">
        <f>IF(AND(メンバー!$B8&lt;&gt;"",OR(メンバー!$H8="",J$3&gt;=メンバー!$H8),OR(メンバー!$I8="",J$3&lt;=メンバー!$I8)),N(メンバー!$C8)*J$4+N(メンバー!$D8)*J$5+N(メンバー!$E8)*J$6+N(メンバー!$F8)*J$7+N(メンバー!$G8)*J$8,0)</f>
        <v>104</v>
      </c>
      <c r="K13" s="38">
        <f>IF(AND(メンバー!$B8&lt;&gt;"",OR(メンバー!$H8="",K$3&gt;=メンバー!$H8),OR(メンバー!$I8="",K$3&lt;=メンバー!$I8)),N(メンバー!$C8)*K$4+N(メンバー!$D8)*K$5+N(メンバー!$E8)*K$6+N(メンバー!$F8)*K$7+N(メンバー!$G8)*K$8,0)</f>
        <v>97.5</v>
      </c>
      <c r="L13" s="38">
        <f>IF(AND(メンバー!$B8&lt;&gt;"",OR(メンバー!$H8="",L$3&gt;=メンバー!$H8),OR(メンバー!$I8="",L$3&lt;=メンバー!$I8)),N(メンバー!$C8)*L$4+N(メンバー!$D8)*L$5+N(メンバー!$E8)*L$6+N(メンバー!$F8)*L$7+N(メンバー!$G8)*L$8,0)</f>
        <v>104</v>
      </c>
      <c r="M13" s="38">
        <f>IF(AND(メンバー!$B8&lt;&gt;"",OR(メンバー!$H8="",M$3&gt;=メンバー!$H8),OR(メンバー!$I8="",M$3&lt;=メンバー!$I8)),N(メンバー!$C8)*M$4+N(メンバー!$D8)*M$5+N(メンバー!$E8)*M$6+N(メンバー!$F8)*M$7+N(メンバー!$G8)*M$8,0)</f>
        <v>97.5</v>
      </c>
      <c r="N13" s="38">
        <f>IF(AND(メンバー!$B8&lt;&gt;"",OR(メンバー!$H8="",N$3&gt;=メンバー!$H8),OR(メンバー!$I8="",N$3&lt;=メンバー!$I8)),N(メンバー!$C8)*N$4+N(メンバー!$D8)*N$5+N(メンバー!$E8)*N$6+N(メンバー!$F8)*N$7+N(メンバー!$G8)*N$8,0)</f>
        <v>91</v>
      </c>
      <c r="O13" s="38">
        <f>IF(AND(メンバー!$B8&lt;&gt;"",OR(メンバー!$H8="",O$3&gt;=メンバー!$H8),OR(メンバー!$I8="",O$3&lt;=メンバー!$I8)),N(メンバー!$C8)*O$4+N(メンバー!$D8)*O$5+N(メンバー!$E8)*O$6+N(メンバー!$F8)*O$7+N(メンバー!$G8)*O$8,0)</f>
        <v>117</v>
      </c>
      <c r="P13" s="38">
        <f>IF(AND(メンバー!$B8&lt;&gt;"",OR(メンバー!$H8="",P$3&gt;=メンバー!$H8),OR(メンバー!$I8="",P$3&lt;=メンバー!$I8)),N(メンバー!$C8)*P$4+N(メンバー!$D8)*P$5+N(メンバー!$E8)*P$6+N(メンバー!$F8)*P$7+N(メンバー!$G8)*P$8,0)</f>
        <v>104</v>
      </c>
      <c r="Q13" s="38">
        <f>IF(AND(メンバー!$B8&lt;&gt;"",OR(メンバー!$H8="",Q$3&gt;=メンバー!$H8),OR(メンバー!$I8="",Q$3&lt;=メンバー!$I8)),N(メンバー!$C8)*Q$4+N(メンバー!$D8)*Q$5+N(メンバー!$E8)*Q$6+N(メンバー!$F8)*Q$7+N(メンバー!$G8)*Q$8,0)</f>
        <v>91</v>
      </c>
      <c r="R13" s="38">
        <f>IF(AND(メンバー!$B8&lt;&gt;"",OR(メンバー!$H8="",R$3&gt;=メンバー!$H8),OR(メンバー!$I8="",R$3&lt;=メンバー!$I8)),N(メンバー!$C8)*R$4+N(メンバー!$D8)*R$5+N(メンバー!$E8)*R$6+N(メンバー!$F8)*R$7+N(メンバー!$G8)*R$8,0)</f>
        <v>117</v>
      </c>
      <c r="S13" s="38">
        <f>IF(AND(メンバー!$B8&lt;&gt;"",OR(メンバー!$H8="",S$3&gt;=メンバー!$H8),OR(メンバー!$I8="",S$3&lt;=メンバー!$I8)),N(メンバー!$C8)*S$4+N(メンバー!$D8)*S$5+N(メンバー!$E8)*S$6+N(メンバー!$F8)*S$7+N(メンバー!$G8)*S$8,0)</f>
        <v>104</v>
      </c>
      <c r="T13" s="38">
        <f>IF(AND(メンバー!$B8&lt;&gt;"",OR(メンバー!$H8="",T$3&gt;=メンバー!$H8),OR(メンバー!$I8="",T$3&lt;=メンバー!$I8)),N(メンバー!$C8)*T$4+N(メンバー!$D8)*T$5+N(メンバー!$E8)*T$6+N(メンバー!$F8)*T$7+N(メンバー!$G8)*T$8,0)</f>
        <v>110.5</v>
      </c>
      <c r="U13" s="38">
        <f>IF(AND(メンバー!$B8&lt;&gt;"",OR(メンバー!$H8="",U$3&gt;=メンバー!$H8),OR(メンバー!$I8="",U$3&lt;=メンバー!$I8)),N(メンバー!$C8)*U$4+N(メンバー!$D8)*U$5+N(メンバー!$E8)*U$6+N(メンバー!$F8)*U$7+N(メンバー!$G8)*U$8,0)</f>
        <v>104</v>
      </c>
      <c r="V13" s="38">
        <f>IF(AND(メンバー!$B8&lt;&gt;"",OR(メンバー!$H8="",V$3&gt;=メンバー!$H8),OR(メンバー!$I8="",V$3&lt;=メンバー!$I8)),N(メンバー!$C8)*V$4+N(メンバー!$D8)*V$5+N(メンバー!$E8)*V$6+N(メンバー!$F8)*V$7+N(メンバー!$G8)*V$8,0)</f>
        <v>97.5</v>
      </c>
    </row>
    <row r="14" spans="1:22" ht="15.75">
      <c r="A14" s="37" t="str">
        <f>IF(メンバー!$A9="","",メンバー!$A9)</f>
        <v>OP</v>
      </c>
      <c r="B14" s="37" t="str">
        <f>IF(メンバー!$B9="","",メンバー!$B9)</f>
        <v>大迫</v>
      </c>
      <c r="C14" s="2"/>
      <c r="D14" s="38">
        <f>IF(AND(メンバー!$B9&lt;&gt;"",OR(メンバー!$H9="",D$3&gt;=メンバー!$H9),OR(メンバー!$I9="",D$3&lt;=メンバー!$I9)),N(メンバー!$C9)*D$4+N(メンバー!$D9)*D$5+N(メンバー!$E9)*D$6+N(メンバー!$F9)*D$7+N(メンバー!$G9)*D$8,0)</f>
        <v>168</v>
      </c>
      <c r="E14" s="38">
        <f>IF(AND(メンバー!$B9&lt;&gt;"",OR(メンバー!$H9="",E$3&gt;=メンバー!$H9),OR(メンバー!$I9="",E$3&lt;=メンバー!$I9)),N(メンバー!$C9)*E$4+N(メンバー!$D9)*E$5+N(メンバー!$E9)*E$6+N(メンバー!$F9)*E$7+N(メンバー!$G9)*E$8,0)</f>
        <v>144</v>
      </c>
      <c r="F14" s="38">
        <f>IF(AND(メンバー!$B9&lt;&gt;"",OR(メンバー!$H9="",F$3&gt;=メンバー!$H9),OR(メンバー!$I9="",F$3&lt;=メンバー!$I9)),N(メンバー!$C9)*F$4+N(メンバー!$D9)*F$5+N(メンバー!$E9)*F$6+N(メンバー!$F9)*F$7+N(メンバー!$G9)*F$8,0)</f>
        <v>176</v>
      </c>
      <c r="G14" s="38">
        <f>IF(AND(メンバー!$B9&lt;&gt;"",OR(メンバー!$H9="",G$3&gt;=メンバー!$H9),OR(メンバー!$I9="",G$3&lt;=メンバー!$I9)),N(メンバー!$C9)*G$4+N(メンバー!$D9)*G$5+N(メンバー!$E9)*G$6+N(メンバー!$F9)*G$7+N(メンバー!$G9)*G$8,0)</f>
        <v>176</v>
      </c>
      <c r="H14" s="38">
        <f>IF(AND(メンバー!$B9&lt;&gt;"",OR(メンバー!$H9="",H$3&gt;=メンバー!$H9),OR(メンバー!$I9="",H$3&lt;=メンバー!$I9)),N(メンバー!$C9)*H$4+N(メンバー!$D9)*H$5+N(メンバー!$E9)*H$6+N(メンバー!$F9)*H$7+N(メンバー!$G9)*H$8,0)</f>
        <v>160</v>
      </c>
      <c r="I14" s="38">
        <f>IF(AND(メンバー!$B9&lt;&gt;"",OR(メンバー!$H9="",I$3&gt;=メンバー!$H9),OR(メンバー!$I9="",I$3&lt;=メンバー!$I9)),N(メンバー!$C9)*I$4+N(メンバー!$D9)*I$5+N(メンバー!$E9)*I$6+N(メンバー!$F9)*I$7+N(メンバー!$G9)*I$8,0)</f>
        <v>152</v>
      </c>
      <c r="J14" s="38">
        <f>IF(AND(メンバー!$B9&lt;&gt;"",OR(メンバー!$H9="",J$3&gt;=メンバー!$H9),OR(メンバー!$I9="",J$3&lt;=メンバー!$I9)),N(メンバー!$C9)*J$4+N(メンバー!$D9)*J$5+N(メンバー!$E9)*J$6+N(メンバー!$F9)*J$7+N(メンバー!$G9)*J$8,0)</f>
        <v>168</v>
      </c>
      <c r="K14" s="38">
        <f>IF(AND(メンバー!$B9&lt;&gt;"",OR(メンバー!$H9="",K$3&gt;=メンバー!$H9),OR(メンバー!$I9="",K$3&lt;=メンバー!$I9)),N(メンバー!$C9)*K$4+N(メンバー!$D9)*K$5+N(メンバー!$E9)*K$6+N(メンバー!$F9)*K$7+N(メンバー!$G9)*K$8,0)</f>
        <v>152</v>
      </c>
      <c r="L14" s="38">
        <f>IF(AND(メンバー!$B9&lt;&gt;"",OR(メンバー!$H9="",L$3&gt;=メンバー!$H9),OR(メンバー!$I9="",L$3&lt;=メンバー!$I9)),N(メンバー!$C9)*L$4+N(メンバー!$D9)*L$5+N(メンバー!$E9)*L$6+N(メンバー!$F9)*L$7+N(メンバー!$G9)*L$8,0)</f>
        <v>160</v>
      </c>
      <c r="M14" s="38">
        <f>IF(AND(メンバー!$B9&lt;&gt;"",OR(メンバー!$H9="",M$3&gt;=メンバー!$H9),OR(メンバー!$I9="",M$3&lt;=メンバー!$I9)),N(メンバー!$C9)*M$4+N(メンバー!$D9)*M$5+N(メンバー!$E9)*M$6+N(メンバー!$F9)*M$7+N(メンバー!$G9)*M$8,0)</f>
        <v>152</v>
      </c>
      <c r="N14" s="38">
        <f>IF(AND(メンバー!$B9&lt;&gt;"",OR(メンバー!$H9="",N$3&gt;=メンバー!$H9),OR(メンバー!$I9="",N$3&lt;=メンバー!$I9)),N(メンバー!$C9)*N$4+N(メンバー!$D9)*N$5+N(メンバー!$E9)*N$6+N(メンバー!$F9)*N$7+N(メンバー!$G9)*N$8,0)</f>
        <v>144</v>
      </c>
      <c r="O14" s="38">
        <f>IF(AND(メンバー!$B9&lt;&gt;"",OR(メンバー!$H9="",O$3&gt;=メンバー!$H9),OR(メンバー!$I9="",O$3&lt;=メンバー!$I9)),N(メンバー!$C9)*O$4+N(メンバー!$D9)*O$5+N(メンバー!$E9)*O$6+N(メンバー!$F9)*O$7+N(メンバー!$G9)*O$8,0)</f>
        <v>176</v>
      </c>
      <c r="P14" s="38">
        <f>IF(AND(メンバー!$B9&lt;&gt;"",OR(メンバー!$H9="",P$3&gt;=メンバー!$H9),OR(メンバー!$I9="",P$3&lt;=メンバー!$I9)),N(メンバー!$C9)*P$4+N(メンバー!$D9)*P$5+N(メンバー!$E9)*P$6+N(メンバー!$F9)*P$7+N(メンバー!$G9)*P$8,0)</f>
        <v>168</v>
      </c>
      <c r="Q14" s="38">
        <f>IF(AND(メンバー!$B9&lt;&gt;"",OR(メンバー!$H9="",Q$3&gt;=メンバー!$H9),OR(メンバー!$I9="",Q$3&lt;=メンバー!$I9)),N(メンバー!$C9)*Q$4+N(メンバー!$D9)*Q$5+N(メンバー!$E9)*Q$6+N(メンバー!$F9)*Q$7+N(メンバー!$G9)*Q$8,0)</f>
        <v>144</v>
      </c>
      <c r="R14" s="38">
        <f>IF(AND(メンバー!$B9&lt;&gt;"",OR(メンバー!$H9="",R$3&gt;=メンバー!$H9),OR(メンバー!$I9="",R$3&lt;=メンバー!$I9)),N(メンバー!$C9)*R$4+N(メンバー!$D9)*R$5+N(メンバー!$E9)*R$6+N(メンバー!$F9)*R$7+N(メンバー!$G9)*R$8,0)</f>
        <v>176</v>
      </c>
      <c r="S14" s="38">
        <f>IF(AND(メンバー!$B9&lt;&gt;"",OR(メンバー!$H9="",S$3&gt;=メンバー!$H9),OR(メンバー!$I9="",S$3&lt;=メンバー!$I9)),N(メンバー!$C9)*S$4+N(メンバー!$D9)*S$5+N(メンバー!$E9)*S$6+N(メンバー!$F9)*S$7+N(メンバー!$G9)*S$8,0)</f>
        <v>168</v>
      </c>
      <c r="T14" s="38">
        <f>IF(AND(メンバー!$B9&lt;&gt;"",OR(メンバー!$H9="",T$3&gt;=メンバー!$H9),OR(メンバー!$I9="",T$3&lt;=メンバー!$I9)),N(メンバー!$C9)*T$4+N(メンバー!$D9)*T$5+N(メンバー!$E9)*T$6+N(メンバー!$F9)*T$7+N(メンバー!$G9)*T$8,0)</f>
        <v>168</v>
      </c>
      <c r="U14" s="38">
        <f>IF(AND(メンバー!$B9&lt;&gt;"",OR(メンバー!$H9="",U$3&gt;=メンバー!$H9),OR(メンバー!$I9="",U$3&lt;=メンバー!$I9)),N(メンバー!$C9)*U$4+N(メンバー!$D9)*U$5+N(メンバー!$E9)*U$6+N(メンバー!$F9)*U$7+N(メンバー!$G9)*U$8,0)</f>
        <v>160</v>
      </c>
      <c r="V14" s="38">
        <f>IF(AND(メンバー!$B9&lt;&gt;"",OR(メンバー!$H9="",V$3&gt;=メンバー!$H9),OR(メンバー!$I9="",V$3&lt;=メンバー!$I9)),N(メンバー!$C9)*V$4+N(メンバー!$D9)*V$5+N(メンバー!$E9)*V$6+N(メンバー!$F9)*V$7+N(メンバー!$G9)*V$8,0)</f>
        <v>160</v>
      </c>
    </row>
    <row r="15" spans="1:22" ht="15.75">
      <c r="A15" s="37" t="str">
        <f>IF(メンバー!$A10="","",メンバー!$A10)</f>
        <v>OP</v>
      </c>
      <c r="B15" s="37" t="str">
        <f>IF(メンバー!$B10="","",メンバー!$B10)</f>
        <v>大場</v>
      </c>
      <c r="C15" s="2"/>
      <c r="D15" s="38">
        <f>IF(AND(メンバー!$B10&lt;&gt;"",OR(メンバー!$H10="",D$3&gt;=メンバー!$H10),OR(メンバー!$I10="",D$3&lt;=メンバー!$I10)),N(メンバー!$C10)*D$4+N(メンバー!$D10)*D$5+N(メンバー!$E10)*D$6+N(メンバー!$F10)*D$7+N(メンバー!$G10)*D$8,0)</f>
        <v>168</v>
      </c>
      <c r="E15" s="38">
        <f>IF(AND(メンバー!$B10&lt;&gt;"",OR(メンバー!$H10="",E$3&gt;=メンバー!$H10),OR(メンバー!$I10="",E$3&lt;=メンバー!$I10)),N(メンバー!$C10)*E$4+N(メンバー!$D10)*E$5+N(メンバー!$E10)*E$6+N(メンバー!$F10)*E$7+N(メンバー!$G10)*E$8,0)</f>
        <v>144</v>
      </c>
      <c r="F15" s="38">
        <f>IF(AND(メンバー!$B10&lt;&gt;"",OR(メンバー!$H10="",F$3&gt;=メンバー!$H10),OR(メンバー!$I10="",F$3&lt;=メンバー!$I10)),N(メンバー!$C10)*F$4+N(メンバー!$D10)*F$5+N(メンバー!$E10)*F$6+N(メンバー!$F10)*F$7+N(メンバー!$G10)*F$8,0)</f>
        <v>176</v>
      </c>
      <c r="G15" s="38">
        <f>IF(AND(メンバー!$B10&lt;&gt;"",OR(メンバー!$H10="",G$3&gt;=メンバー!$H10),OR(メンバー!$I10="",G$3&lt;=メンバー!$I10)),N(メンバー!$C10)*G$4+N(メンバー!$D10)*G$5+N(メンバー!$E10)*G$6+N(メンバー!$F10)*G$7+N(メンバー!$G10)*G$8,0)</f>
        <v>176</v>
      </c>
      <c r="H15" s="38">
        <f>IF(AND(メンバー!$B10&lt;&gt;"",OR(メンバー!$H10="",H$3&gt;=メンバー!$H10),OR(メンバー!$I10="",H$3&lt;=メンバー!$I10)),N(メンバー!$C10)*H$4+N(メンバー!$D10)*H$5+N(メンバー!$E10)*H$6+N(メンバー!$F10)*H$7+N(メンバー!$G10)*H$8,0)</f>
        <v>160</v>
      </c>
      <c r="I15" s="38">
        <f>IF(AND(メンバー!$B10&lt;&gt;"",OR(メンバー!$H10="",I$3&gt;=メンバー!$H10),OR(メンバー!$I10="",I$3&lt;=メンバー!$I10)),N(メンバー!$C10)*I$4+N(メンバー!$D10)*I$5+N(メンバー!$E10)*I$6+N(メンバー!$F10)*I$7+N(メンバー!$G10)*I$8,0)</f>
        <v>152</v>
      </c>
      <c r="J15" s="38">
        <f>IF(AND(メンバー!$B10&lt;&gt;"",OR(メンバー!$H10="",J$3&gt;=メンバー!$H10),OR(メンバー!$I10="",J$3&lt;=メンバー!$I10)),N(メンバー!$C10)*J$4+N(メンバー!$D10)*J$5+N(メンバー!$E10)*J$6+N(メンバー!$F10)*J$7+N(メンバー!$G10)*J$8,0)</f>
        <v>168</v>
      </c>
      <c r="K15" s="38">
        <f>IF(AND(メンバー!$B10&lt;&gt;"",OR(メンバー!$H10="",K$3&gt;=メンバー!$H10),OR(メンバー!$I10="",K$3&lt;=メンバー!$I10)),N(メンバー!$C10)*K$4+N(メンバー!$D10)*K$5+N(メンバー!$E10)*K$6+N(メンバー!$F10)*K$7+N(メンバー!$G10)*K$8,0)</f>
        <v>152</v>
      </c>
      <c r="L15" s="38">
        <f>IF(AND(メンバー!$B10&lt;&gt;"",OR(メンバー!$H10="",L$3&gt;=メンバー!$H10),OR(メンバー!$I10="",L$3&lt;=メンバー!$I10)),N(メンバー!$C10)*L$4+N(メンバー!$D10)*L$5+N(メンバー!$E10)*L$6+N(メンバー!$F10)*L$7+N(メンバー!$G10)*L$8,0)</f>
        <v>160</v>
      </c>
      <c r="M15" s="38">
        <f>IF(AND(メンバー!$B10&lt;&gt;"",OR(メンバー!$H10="",M$3&gt;=メンバー!$H10),OR(メンバー!$I10="",M$3&lt;=メンバー!$I10)),N(メンバー!$C10)*M$4+N(メンバー!$D10)*M$5+N(メンバー!$E10)*M$6+N(メンバー!$F10)*M$7+N(メンバー!$G10)*M$8,0)</f>
        <v>152</v>
      </c>
      <c r="N15" s="38">
        <f>IF(AND(メンバー!$B10&lt;&gt;"",OR(メンバー!$H10="",N$3&gt;=メンバー!$H10),OR(メンバー!$I10="",N$3&lt;=メンバー!$I10)),N(メンバー!$C10)*N$4+N(メンバー!$D10)*N$5+N(メンバー!$E10)*N$6+N(メンバー!$F10)*N$7+N(メンバー!$G10)*N$8,0)</f>
        <v>144</v>
      </c>
      <c r="O15" s="38">
        <f>IF(AND(メンバー!$B10&lt;&gt;"",OR(メンバー!$H10="",O$3&gt;=メンバー!$H10),OR(メンバー!$I10="",O$3&lt;=メンバー!$I10)),N(メンバー!$C10)*O$4+N(メンバー!$D10)*O$5+N(メンバー!$E10)*O$6+N(メンバー!$F10)*O$7+N(メンバー!$G10)*O$8,0)</f>
        <v>176</v>
      </c>
      <c r="P15" s="38">
        <f>IF(AND(メンバー!$B10&lt;&gt;"",OR(メンバー!$H10="",P$3&gt;=メンバー!$H10),OR(メンバー!$I10="",P$3&lt;=メンバー!$I10)),N(メンバー!$C10)*P$4+N(メンバー!$D10)*P$5+N(メンバー!$E10)*P$6+N(メンバー!$F10)*P$7+N(メンバー!$G10)*P$8,0)</f>
        <v>168</v>
      </c>
      <c r="Q15" s="38">
        <f>IF(AND(メンバー!$B10&lt;&gt;"",OR(メンバー!$H10="",Q$3&gt;=メンバー!$H10),OR(メンバー!$I10="",Q$3&lt;=メンバー!$I10)),N(メンバー!$C10)*Q$4+N(メンバー!$D10)*Q$5+N(メンバー!$E10)*Q$6+N(メンバー!$F10)*Q$7+N(メンバー!$G10)*Q$8,0)</f>
        <v>144</v>
      </c>
      <c r="R15" s="38">
        <f>IF(AND(メンバー!$B10&lt;&gt;"",OR(メンバー!$H10="",R$3&gt;=メンバー!$H10),OR(メンバー!$I10="",R$3&lt;=メンバー!$I10)),N(メンバー!$C10)*R$4+N(メンバー!$D10)*R$5+N(メンバー!$E10)*R$6+N(メンバー!$F10)*R$7+N(メンバー!$G10)*R$8,0)</f>
        <v>176</v>
      </c>
      <c r="S15" s="38">
        <f>IF(AND(メンバー!$B10&lt;&gt;"",OR(メンバー!$H10="",S$3&gt;=メンバー!$H10),OR(メンバー!$I10="",S$3&lt;=メンバー!$I10)),N(メンバー!$C10)*S$4+N(メンバー!$D10)*S$5+N(メンバー!$E10)*S$6+N(メンバー!$F10)*S$7+N(メンバー!$G10)*S$8,0)</f>
        <v>168</v>
      </c>
      <c r="T15" s="38">
        <f>IF(AND(メンバー!$B10&lt;&gt;"",OR(メンバー!$H10="",T$3&gt;=メンバー!$H10),OR(メンバー!$I10="",T$3&lt;=メンバー!$I10)),N(メンバー!$C10)*T$4+N(メンバー!$D10)*T$5+N(メンバー!$E10)*T$6+N(メンバー!$F10)*T$7+N(メンバー!$G10)*T$8,0)</f>
        <v>168</v>
      </c>
      <c r="U15" s="38">
        <f>IF(AND(メンバー!$B10&lt;&gt;"",OR(メンバー!$H10="",U$3&gt;=メンバー!$H10),OR(メンバー!$I10="",U$3&lt;=メンバー!$I10)),N(メンバー!$C10)*U$4+N(メンバー!$D10)*U$5+N(メンバー!$E10)*U$6+N(メンバー!$F10)*U$7+N(メンバー!$G10)*U$8,0)</f>
        <v>160</v>
      </c>
      <c r="V15" s="38">
        <f>IF(AND(メンバー!$B10&lt;&gt;"",OR(メンバー!$H10="",V$3&gt;=メンバー!$H10),OR(メンバー!$I10="",V$3&lt;=メンバー!$I10)),N(メンバー!$C10)*V$4+N(メンバー!$D10)*V$5+N(メンバー!$E10)*V$6+N(メンバー!$F10)*V$7+N(メンバー!$G10)*V$8,0)</f>
        <v>160</v>
      </c>
    </row>
    <row r="16" spans="1:22" ht="15.75">
      <c r="A16" s="37" t="str">
        <f>IF(メンバー!$A11="","",メンバー!$A11)</f>
        <v>OP</v>
      </c>
      <c r="B16" s="37" t="str">
        <f>IF(メンバー!$B11="","",メンバー!$B11)</f>
        <v>島</v>
      </c>
      <c r="C16" s="2"/>
      <c r="D16" s="38">
        <f>IF(AND(メンバー!$B11&lt;&gt;"",OR(メンバー!$H11="",D$3&gt;=メンバー!$H11),OR(メンバー!$I11="",D$3&lt;=メンバー!$I11)),N(メンバー!$C11)*D$4+N(メンバー!$D11)*D$5+N(メンバー!$E11)*D$6+N(メンバー!$F11)*D$7+N(メンバー!$G11)*D$8,0)</f>
        <v>136</v>
      </c>
      <c r="E16" s="38">
        <f>IF(AND(メンバー!$B11&lt;&gt;"",OR(メンバー!$H11="",E$3&gt;=メンバー!$H11),OR(メンバー!$I11="",E$3&lt;=メンバー!$I11)),N(メンバー!$C11)*E$4+N(メンバー!$D11)*E$5+N(メンバー!$E11)*E$6+N(メンバー!$F11)*E$7+N(メンバー!$G11)*E$8,0)</f>
        <v>120</v>
      </c>
      <c r="F16" s="38">
        <f>IF(AND(メンバー!$B11&lt;&gt;"",OR(メンバー!$H11="",F$3&gt;=メンバー!$H11),OR(メンバー!$I11="",F$3&lt;=メンバー!$I11)),N(メンバー!$C11)*F$4+N(メンバー!$D11)*F$5+N(メンバー!$E11)*F$6+N(メンバー!$F11)*F$7+N(メンバー!$G11)*F$8,0)</f>
        <v>136</v>
      </c>
      <c r="G16" s="38">
        <f>IF(AND(メンバー!$B11&lt;&gt;"",OR(メンバー!$H11="",G$3&gt;=メンバー!$H11),OR(メンバー!$I11="",G$3&lt;=メンバー!$I11)),N(メンバー!$C11)*G$4+N(メンバー!$D11)*G$5+N(メンバー!$E11)*G$6+N(メンバー!$F11)*G$7+N(メンバー!$G11)*G$8,0)</f>
        <v>144</v>
      </c>
      <c r="H16" s="38">
        <f>IF(AND(メンバー!$B11&lt;&gt;"",OR(メンバー!$H11="",H$3&gt;=メンバー!$H11),OR(メンバー!$I11="",H$3&lt;=メンバー!$I11)),N(メンバー!$C11)*H$4+N(メンバー!$D11)*H$5+N(メンバー!$E11)*H$6+N(メンバー!$F11)*H$7+N(メンバー!$G11)*H$8,0)</f>
        <v>136</v>
      </c>
      <c r="I16" s="38">
        <f>IF(AND(メンバー!$B11&lt;&gt;"",OR(メンバー!$H11="",I$3&gt;=メンバー!$H11),OR(メンバー!$I11="",I$3&lt;=メンバー!$I11)),N(メンバー!$C11)*I$4+N(メンバー!$D11)*I$5+N(メンバー!$E11)*I$6+N(メンバー!$F11)*I$7+N(メンバー!$G11)*I$8,0)</f>
        <v>120</v>
      </c>
      <c r="J16" s="38">
        <f>IF(AND(メンバー!$B11&lt;&gt;"",OR(メンバー!$H11="",J$3&gt;=メンバー!$H11),OR(メンバー!$I11="",J$3&lt;=メンバー!$I11)),N(メンバー!$C11)*J$4+N(メンバー!$D11)*J$5+N(メンバー!$E11)*J$6+N(メンバー!$F11)*J$7+N(メンバー!$G11)*J$8,0)</f>
        <v>136</v>
      </c>
      <c r="K16" s="38">
        <f>IF(AND(メンバー!$B11&lt;&gt;"",OR(メンバー!$H11="",K$3&gt;=メンバー!$H11),OR(メンバー!$I11="",K$3&lt;=メンバー!$I11)),N(メンバー!$C11)*K$4+N(メンバー!$D11)*K$5+N(メンバー!$E11)*K$6+N(メンバー!$F11)*K$7+N(メンバー!$G11)*K$8,0)</f>
        <v>128</v>
      </c>
      <c r="L16" s="38">
        <f>IF(AND(メンバー!$B11&lt;&gt;"",OR(メンバー!$H11="",L$3&gt;=メンバー!$H11),OR(メンバー!$I11="",L$3&lt;=メンバー!$I11)),N(メンバー!$C11)*L$4+N(メンバー!$D11)*L$5+N(メンバー!$E11)*L$6+N(メンバー!$F11)*L$7+N(メンバー!$G11)*L$8,0)</f>
        <v>128</v>
      </c>
      <c r="M16" s="38">
        <f>IF(AND(メンバー!$B11&lt;&gt;"",OR(メンバー!$H11="",M$3&gt;=メンバー!$H11),OR(メンバー!$I11="",M$3&lt;=メンバー!$I11)),N(メンバー!$C11)*M$4+N(メンバー!$D11)*M$5+N(メンバー!$E11)*M$6+N(メンバー!$F11)*M$7+N(メンバー!$G11)*M$8,0)</f>
        <v>120</v>
      </c>
      <c r="N16" s="38">
        <f>IF(AND(メンバー!$B11&lt;&gt;"",OR(メンバー!$H11="",N$3&gt;=メンバー!$H11),OR(メンバー!$I11="",N$3&lt;=メンバー!$I11)),N(メンバー!$C11)*N$4+N(メンバー!$D11)*N$5+N(メンバー!$E11)*N$6+N(メンバー!$F11)*N$7+N(メンバー!$G11)*N$8,0)</f>
        <v>120</v>
      </c>
      <c r="O16" s="38">
        <f>IF(AND(メンバー!$B11&lt;&gt;"",OR(メンバー!$H11="",O$3&gt;=メンバー!$H11),OR(メンバー!$I11="",O$3&lt;=メンバー!$I11)),N(メンバー!$C11)*O$4+N(メンバー!$D11)*O$5+N(メンバー!$E11)*O$6+N(メンバー!$F11)*O$7+N(メンバー!$G11)*O$8,0)</f>
        <v>136</v>
      </c>
      <c r="P16" s="38">
        <f>IF(AND(メンバー!$B11&lt;&gt;"",OR(メンバー!$H11="",P$3&gt;=メンバー!$H11),OR(メンバー!$I11="",P$3&lt;=メンバー!$I11)),N(メンバー!$C11)*P$4+N(メンバー!$D11)*P$5+N(メンバー!$E11)*P$6+N(メンバー!$F11)*P$7+N(メンバー!$G11)*P$8,0)</f>
        <v>136</v>
      </c>
      <c r="Q16" s="38">
        <f>IF(AND(メンバー!$B11&lt;&gt;"",OR(メンバー!$H11="",Q$3&gt;=メンバー!$H11),OR(メンバー!$I11="",Q$3&lt;=メンバー!$I11)),N(メンバー!$C11)*Q$4+N(メンバー!$D11)*Q$5+N(メンバー!$E11)*Q$6+N(メンバー!$F11)*Q$7+N(メンバー!$G11)*Q$8,0)</f>
        <v>120</v>
      </c>
      <c r="R16" s="38">
        <f>IF(AND(メンバー!$B11&lt;&gt;"",OR(メンバー!$H11="",R$3&gt;=メンバー!$H11),OR(メンバー!$I11="",R$3&lt;=メンバー!$I11)),N(メンバー!$C11)*R$4+N(メンバー!$D11)*R$5+N(メンバー!$E11)*R$6+N(メンバー!$F11)*R$7+N(メンバー!$G11)*R$8,0)</f>
        <v>136</v>
      </c>
      <c r="S16" s="38">
        <f>IF(AND(メンバー!$B11&lt;&gt;"",OR(メンバー!$H11="",S$3&gt;=メンバー!$H11),OR(メンバー!$I11="",S$3&lt;=メンバー!$I11)),N(メンバー!$C11)*S$4+N(メンバー!$D11)*S$5+N(メンバー!$E11)*S$6+N(メンバー!$F11)*S$7+N(メンバー!$G11)*S$8,0)</f>
        <v>136</v>
      </c>
      <c r="T16" s="38">
        <f>IF(AND(メンバー!$B11&lt;&gt;"",OR(メンバー!$H11="",T$3&gt;=メンバー!$H11),OR(メンバー!$I11="",T$3&lt;=メンバー!$I11)),N(メンバー!$C11)*T$4+N(メンバー!$D11)*T$5+N(メンバー!$E11)*T$6+N(メンバー!$F11)*T$7+N(メンバー!$G11)*T$8,0)</f>
        <v>128</v>
      </c>
      <c r="U16" s="38">
        <f>IF(AND(メンバー!$B11&lt;&gt;"",OR(メンバー!$H11="",U$3&gt;=メンバー!$H11),OR(メンバー!$I11="",U$3&lt;=メンバー!$I11)),N(メンバー!$C11)*U$4+N(メンバー!$D11)*U$5+N(メンバー!$E11)*U$6+N(メンバー!$F11)*U$7+N(メンバー!$G11)*U$8,0)</f>
        <v>128</v>
      </c>
      <c r="V16" s="38">
        <f>IF(AND(メンバー!$B11&lt;&gt;"",OR(メンバー!$H11="",V$3&gt;=メンバー!$H11),OR(メンバー!$I11="",V$3&lt;=メンバー!$I11)),N(メンバー!$C11)*V$4+N(メンバー!$D11)*V$5+N(メンバー!$E11)*V$6+N(メンバー!$F11)*V$7+N(メンバー!$G11)*V$8,0)</f>
        <v>128</v>
      </c>
    </row>
    <row r="17" spans="1:22" ht="15.75">
      <c r="A17" s="37" t="str">
        <f>IF(メンバー!$A12="","",メンバー!$A12)</f>
        <v>OP</v>
      </c>
      <c r="B17" s="37" t="str">
        <f>IF(メンバー!$B12="","",メンバー!$B12)</f>
        <v>三浦</v>
      </c>
      <c r="C17" s="2"/>
      <c r="D17" s="38">
        <f>IF(AND(メンバー!$B12&lt;&gt;"",OR(メンバー!$H12="",D$3&gt;=メンバー!$H12),OR(メンバー!$I12="",D$3&lt;=メンバー!$I12)),N(メンバー!$C12)*D$4+N(メンバー!$D12)*D$5+N(メンバー!$E12)*D$6+N(メンバー!$F12)*D$7+N(メンバー!$G12)*D$8,0)</f>
        <v>168</v>
      </c>
      <c r="E17" s="38">
        <f>IF(AND(メンバー!$B12&lt;&gt;"",OR(メンバー!$H12="",E$3&gt;=メンバー!$H12),OR(メンバー!$I12="",E$3&lt;=メンバー!$I12)),N(メンバー!$C12)*E$4+N(メンバー!$D12)*E$5+N(メンバー!$E12)*E$6+N(メンバー!$F12)*E$7+N(メンバー!$G12)*E$8,0)</f>
        <v>144</v>
      </c>
      <c r="F17" s="38">
        <f>IF(AND(メンバー!$B12&lt;&gt;"",OR(メンバー!$H12="",F$3&gt;=メンバー!$H12),OR(メンバー!$I12="",F$3&lt;=メンバー!$I12)),N(メンバー!$C12)*F$4+N(メンバー!$D12)*F$5+N(メンバー!$E12)*F$6+N(メンバー!$F12)*F$7+N(メンバー!$G12)*F$8,0)</f>
        <v>176</v>
      </c>
      <c r="G17" s="38">
        <f>IF(AND(メンバー!$B12&lt;&gt;"",OR(メンバー!$H12="",G$3&gt;=メンバー!$H12),OR(メンバー!$I12="",G$3&lt;=メンバー!$I12)),N(メンバー!$C12)*G$4+N(メンバー!$D12)*G$5+N(メンバー!$E12)*G$6+N(メンバー!$F12)*G$7+N(メンバー!$G12)*G$8,0)</f>
        <v>176</v>
      </c>
      <c r="H17" s="38">
        <f>IF(AND(メンバー!$B12&lt;&gt;"",OR(メンバー!$H12="",H$3&gt;=メンバー!$H12),OR(メンバー!$I12="",H$3&lt;=メンバー!$I12)),N(メンバー!$C12)*H$4+N(メンバー!$D12)*H$5+N(メンバー!$E12)*H$6+N(メンバー!$F12)*H$7+N(メンバー!$G12)*H$8,0)</f>
        <v>160</v>
      </c>
      <c r="I17" s="38">
        <f>IF(AND(メンバー!$B12&lt;&gt;"",OR(メンバー!$H12="",I$3&gt;=メンバー!$H12),OR(メンバー!$I12="",I$3&lt;=メンバー!$I12)),N(メンバー!$C12)*I$4+N(メンバー!$D12)*I$5+N(メンバー!$E12)*I$6+N(メンバー!$F12)*I$7+N(メンバー!$G12)*I$8,0)</f>
        <v>152</v>
      </c>
      <c r="J17" s="38">
        <f>IF(AND(メンバー!$B12&lt;&gt;"",OR(メンバー!$H12="",J$3&gt;=メンバー!$H12),OR(メンバー!$I12="",J$3&lt;=メンバー!$I12)),N(メンバー!$C12)*J$4+N(メンバー!$D12)*J$5+N(メンバー!$E12)*J$6+N(メンバー!$F12)*J$7+N(メンバー!$G12)*J$8,0)</f>
        <v>168</v>
      </c>
      <c r="K17" s="38">
        <f>IF(AND(メンバー!$B12&lt;&gt;"",OR(メンバー!$H12="",K$3&gt;=メンバー!$H12),OR(メンバー!$I12="",K$3&lt;=メンバー!$I12)),N(メンバー!$C12)*K$4+N(メンバー!$D12)*K$5+N(メンバー!$E12)*K$6+N(メンバー!$F12)*K$7+N(メンバー!$G12)*K$8,0)</f>
        <v>152</v>
      </c>
      <c r="L17" s="38">
        <f>IF(AND(メンバー!$B12&lt;&gt;"",OR(メンバー!$H12="",L$3&gt;=メンバー!$H12),OR(メンバー!$I12="",L$3&lt;=メンバー!$I12)),N(メンバー!$C12)*L$4+N(メンバー!$D12)*L$5+N(メンバー!$E12)*L$6+N(メンバー!$F12)*L$7+N(メンバー!$G12)*L$8,0)</f>
        <v>160</v>
      </c>
      <c r="M17" s="38">
        <f>IF(AND(メンバー!$B12&lt;&gt;"",OR(メンバー!$H12="",M$3&gt;=メンバー!$H12),OR(メンバー!$I12="",M$3&lt;=メンバー!$I12)),N(メンバー!$C12)*M$4+N(メンバー!$D12)*M$5+N(メンバー!$E12)*M$6+N(メンバー!$F12)*M$7+N(メンバー!$G12)*M$8,0)</f>
        <v>152</v>
      </c>
      <c r="N17" s="38">
        <f>IF(AND(メンバー!$B12&lt;&gt;"",OR(メンバー!$H12="",N$3&gt;=メンバー!$H12),OR(メンバー!$I12="",N$3&lt;=メンバー!$I12)),N(メンバー!$C12)*N$4+N(メンバー!$D12)*N$5+N(メンバー!$E12)*N$6+N(メンバー!$F12)*N$7+N(メンバー!$G12)*N$8,0)</f>
        <v>144</v>
      </c>
      <c r="O17" s="38">
        <f>IF(AND(メンバー!$B12&lt;&gt;"",OR(メンバー!$H12="",O$3&gt;=メンバー!$H12),OR(メンバー!$I12="",O$3&lt;=メンバー!$I12)),N(メンバー!$C12)*O$4+N(メンバー!$D12)*O$5+N(メンバー!$E12)*O$6+N(メンバー!$F12)*O$7+N(メンバー!$G12)*O$8,0)</f>
        <v>176</v>
      </c>
      <c r="P17" s="38">
        <f>IF(AND(メンバー!$B12&lt;&gt;"",OR(メンバー!$H12="",P$3&gt;=メンバー!$H12),OR(メンバー!$I12="",P$3&lt;=メンバー!$I12)),N(メンバー!$C12)*P$4+N(メンバー!$D12)*P$5+N(メンバー!$E12)*P$6+N(メンバー!$F12)*P$7+N(メンバー!$G12)*P$8,0)</f>
        <v>168</v>
      </c>
      <c r="Q17" s="38">
        <f>IF(AND(メンバー!$B12&lt;&gt;"",OR(メンバー!$H12="",Q$3&gt;=メンバー!$H12),OR(メンバー!$I12="",Q$3&lt;=メンバー!$I12)),N(メンバー!$C12)*Q$4+N(メンバー!$D12)*Q$5+N(メンバー!$E12)*Q$6+N(メンバー!$F12)*Q$7+N(メンバー!$G12)*Q$8,0)</f>
        <v>144</v>
      </c>
      <c r="R17" s="38">
        <f>IF(AND(メンバー!$B12&lt;&gt;"",OR(メンバー!$H12="",R$3&gt;=メンバー!$H12),OR(メンバー!$I12="",R$3&lt;=メンバー!$I12)),N(メンバー!$C12)*R$4+N(メンバー!$D12)*R$5+N(メンバー!$E12)*R$6+N(メンバー!$F12)*R$7+N(メンバー!$G12)*R$8,0)</f>
        <v>176</v>
      </c>
      <c r="S17" s="38">
        <f>IF(AND(メンバー!$B12&lt;&gt;"",OR(メンバー!$H12="",S$3&gt;=メンバー!$H12),OR(メンバー!$I12="",S$3&lt;=メンバー!$I12)),N(メンバー!$C12)*S$4+N(メンバー!$D12)*S$5+N(メンバー!$E12)*S$6+N(メンバー!$F12)*S$7+N(メンバー!$G12)*S$8,0)</f>
        <v>168</v>
      </c>
      <c r="T17" s="38">
        <f>IF(AND(メンバー!$B12&lt;&gt;"",OR(メンバー!$H12="",T$3&gt;=メンバー!$H12),OR(メンバー!$I12="",T$3&lt;=メンバー!$I12)),N(メンバー!$C12)*T$4+N(メンバー!$D12)*T$5+N(メンバー!$E12)*T$6+N(メンバー!$F12)*T$7+N(メンバー!$G12)*T$8,0)</f>
        <v>168</v>
      </c>
      <c r="U17" s="38">
        <f>IF(AND(メンバー!$B12&lt;&gt;"",OR(メンバー!$H12="",U$3&gt;=メンバー!$H12),OR(メンバー!$I12="",U$3&lt;=メンバー!$I12)),N(メンバー!$C12)*U$4+N(メンバー!$D12)*U$5+N(メンバー!$E12)*U$6+N(メンバー!$F12)*U$7+N(メンバー!$G12)*U$8,0)</f>
        <v>160</v>
      </c>
      <c r="V17" s="38">
        <f>IF(AND(メンバー!$B12&lt;&gt;"",OR(メンバー!$H12="",V$3&gt;=メンバー!$H12),OR(メンバー!$I12="",V$3&lt;=メンバー!$I12)),N(メンバー!$C12)*V$4+N(メンバー!$D12)*V$5+N(メンバー!$E12)*V$6+N(メンバー!$F12)*V$7+N(メンバー!$G12)*V$8,0)</f>
        <v>160</v>
      </c>
    </row>
    <row r="18" spans="1:22" ht="15.75">
      <c r="A18" s="37" t="str">
        <f>IF(メンバー!$A13="","",メンバー!$A13)</f>
        <v>OP</v>
      </c>
      <c r="B18" s="37" t="str">
        <f>IF(メンバー!$B13="","",メンバー!$B13)</f>
        <v>伊藤</v>
      </c>
      <c r="C18" s="2"/>
      <c r="D18" s="38">
        <f>IF(AND(メンバー!$B13&lt;&gt;"",OR(メンバー!$H13="",D$3&gt;=メンバー!$H13),OR(メンバー!$I13="",D$3&lt;=メンバー!$I13)),N(メンバー!$C13)*D$4+N(メンバー!$D13)*D$5+N(メンバー!$E13)*D$6+N(メンバー!$F13)*D$7+N(メンバー!$G13)*D$8,0)</f>
        <v>128</v>
      </c>
      <c r="E18" s="38">
        <f>IF(AND(メンバー!$B13&lt;&gt;"",OR(メンバー!$H13="",E$3&gt;=メンバー!$H13),OR(メンバー!$I13="",E$3&lt;=メンバー!$I13)),N(メンバー!$C13)*E$4+N(メンバー!$D13)*E$5+N(メンバー!$E13)*E$6+N(メンバー!$F13)*E$7+N(メンバー!$G13)*E$8,0)</f>
        <v>112</v>
      </c>
      <c r="F18" s="38">
        <f>IF(AND(メンバー!$B13&lt;&gt;"",OR(メンバー!$H13="",F$3&gt;=メンバー!$H13),OR(メンバー!$I13="",F$3&lt;=メンバー!$I13)),N(メンバー!$C13)*F$4+N(メンバー!$D13)*F$5+N(メンバー!$E13)*F$6+N(メンバー!$F13)*F$7+N(メンバー!$G13)*F$8,0)</f>
        <v>144</v>
      </c>
      <c r="G18" s="38">
        <f>IF(AND(メンバー!$B13&lt;&gt;"",OR(メンバー!$H13="",G$3&gt;=メンバー!$H13),OR(メンバー!$I13="",G$3&lt;=メンバー!$I13)),N(メンバー!$C13)*G$4+N(メンバー!$D13)*G$5+N(メンバー!$E13)*G$6+N(メンバー!$F13)*G$7+N(メンバー!$G13)*G$8,0)</f>
        <v>136</v>
      </c>
      <c r="H18" s="38">
        <f>IF(AND(メンバー!$B13&lt;&gt;"",OR(メンバー!$H13="",H$3&gt;=メンバー!$H13),OR(メンバー!$I13="",H$3&lt;=メンバー!$I13)),N(メンバー!$C13)*H$4+N(メンバー!$D13)*H$5+N(メンバー!$E13)*H$6+N(メンバー!$F13)*H$7+N(メンバー!$G13)*H$8,0)</f>
        <v>128</v>
      </c>
      <c r="I18" s="38">
        <f>IF(AND(メンバー!$B13&lt;&gt;"",OR(メンバー!$H13="",I$3&gt;=メンバー!$H13),OR(メンバー!$I13="",I$3&lt;=メンバー!$I13)),N(メンバー!$C13)*I$4+N(メンバー!$D13)*I$5+N(メンバー!$E13)*I$6+N(メンバー!$F13)*I$7+N(メンバー!$G13)*I$8,0)</f>
        <v>120</v>
      </c>
      <c r="J18" s="38">
        <f>IF(AND(メンバー!$B13&lt;&gt;"",OR(メンバー!$H13="",J$3&gt;=メンバー!$H13),OR(メンバー!$I13="",J$3&lt;=メンバー!$I13)),N(メンバー!$C13)*J$4+N(メンバー!$D13)*J$5+N(メンバー!$E13)*J$6+N(メンバー!$F13)*J$7+N(メンバー!$G13)*J$8,0)</f>
        <v>128</v>
      </c>
      <c r="K18" s="38">
        <f>IF(AND(メンバー!$B13&lt;&gt;"",OR(メンバー!$H13="",K$3&gt;=メンバー!$H13),OR(メンバー!$I13="",K$3&lt;=メンバー!$I13)),N(メンバー!$C13)*K$4+N(メンバー!$D13)*K$5+N(メンバー!$E13)*K$6+N(メンバー!$F13)*K$7+N(メンバー!$G13)*K$8,0)</f>
        <v>120</v>
      </c>
      <c r="L18" s="38">
        <f>IF(AND(メンバー!$B13&lt;&gt;"",OR(メンバー!$H13="",L$3&gt;=メンバー!$H13),OR(メンバー!$I13="",L$3&lt;=メンバー!$I13)),N(メンバー!$C13)*L$4+N(メンバー!$D13)*L$5+N(メンバー!$E13)*L$6+N(メンバー!$F13)*L$7+N(メンバー!$G13)*L$8,0)</f>
        <v>128</v>
      </c>
      <c r="M18" s="38">
        <f>IF(AND(メンバー!$B13&lt;&gt;"",OR(メンバー!$H13="",M$3&gt;=メンバー!$H13),OR(メンバー!$I13="",M$3&lt;=メンバー!$I13)),N(メンバー!$C13)*M$4+N(メンバー!$D13)*M$5+N(メンバー!$E13)*M$6+N(メンバー!$F13)*M$7+N(メンバー!$G13)*M$8,0)</f>
        <v>120</v>
      </c>
      <c r="N18" s="38">
        <f>IF(AND(メンバー!$B13&lt;&gt;"",OR(メンバー!$H13="",N$3&gt;=メンバー!$H13),OR(メンバー!$I13="",N$3&lt;=メンバー!$I13)),N(メンバー!$C13)*N$4+N(メンバー!$D13)*N$5+N(メンバー!$E13)*N$6+N(メンバー!$F13)*N$7+N(メンバー!$G13)*N$8,0)</f>
        <v>120</v>
      </c>
      <c r="O18" s="38">
        <f>IF(AND(メンバー!$B13&lt;&gt;"",OR(メンバー!$H13="",O$3&gt;=メンバー!$H13),OR(メンバー!$I13="",O$3&lt;=メンバー!$I13)),N(メンバー!$C13)*O$4+N(メンバー!$D13)*O$5+N(メンバー!$E13)*O$6+N(メンバー!$F13)*O$7+N(メンバー!$G13)*O$8,0)</f>
        <v>144</v>
      </c>
      <c r="P18" s="38">
        <f>IF(AND(メンバー!$B13&lt;&gt;"",OR(メンバー!$H13="",P$3&gt;=メンバー!$H13),OR(メンバー!$I13="",P$3&lt;=メンバー!$I13)),N(メンバー!$C13)*P$4+N(メンバー!$D13)*P$5+N(メンバー!$E13)*P$6+N(メンバー!$F13)*P$7+N(メンバー!$G13)*P$8,0)</f>
        <v>136</v>
      </c>
      <c r="Q18" s="38">
        <f>IF(AND(メンバー!$B13&lt;&gt;"",OR(メンバー!$H13="",Q$3&gt;=メンバー!$H13),OR(メンバー!$I13="",Q$3&lt;=メンバー!$I13)),N(メンバー!$C13)*Q$4+N(メンバー!$D13)*Q$5+N(メンバー!$E13)*Q$6+N(メンバー!$F13)*Q$7+N(メンバー!$G13)*Q$8,0)</f>
        <v>112</v>
      </c>
      <c r="R18" s="38">
        <f>IF(AND(メンバー!$B13&lt;&gt;"",OR(メンバー!$H13="",R$3&gt;=メンバー!$H13),OR(メンバー!$I13="",R$3&lt;=メンバー!$I13)),N(メンバー!$C13)*R$4+N(メンバー!$D13)*R$5+N(メンバー!$E13)*R$6+N(メンバー!$F13)*R$7+N(メンバー!$G13)*R$8,0)</f>
        <v>144</v>
      </c>
      <c r="S18" s="38">
        <f>IF(AND(メンバー!$B13&lt;&gt;"",OR(メンバー!$H13="",S$3&gt;=メンバー!$H13),OR(メンバー!$I13="",S$3&lt;=メンバー!$I13)),N(メンバー!$C13)*S$4+N(メンバー!$D13)*S$5+N(メンバー!$E13)*S$6+N(メンバー!$F13)*S$7+N(メンバー!$G13)*S$8,0)</f>
        <v>128</v>
      </c>
      <c r="T18" s="38">
        <f>IF(AND(メンバー!$B13&lt;&gt;"",OR(メンバー!$H13="",T$3&gt;=メンバー!$H13),OR(メンバー!$I13="",T$3&lt;=メンバー!$I13)),N(メンバー!$C13)*T$4+N(メンバー!$D13)*T$5+N(メンバー!$E13)*T$6+N(メンバー!$F13)*T$7+N(メンバー!$G13)*T$8,0)</f>
        <v>136</v>
      </c>
      <c r="U18" s="38">
        <f>IF(AND(メンバー!$B13&lt;&gt;"",OR(メンバー!$H13="",U$3&gt;=メンバー!$H13),OR(メンバー!$I13="",U$3&lt;=メンバー!$I13)),N(メンバー!$C13)*U$4+N(メンバー!$D13)*U$5+N(メンバー!$E13)*U$6+N(メンバー!$F13)*U$7+N(メンバー!$G13)*U$8,0)</f>
        <v>128</v>
      </c>
      <c r="V18" s="38">
        <f>IF(AND(メンバー!$B13&lt;&gt;"",OR(メンバー!$H13="",V$3&gt;=メンバー!$H13),OR(メンバー!$I13="",V$3&lt;=メンバー!$I13)),N(メンバー!$C13)*V$4+N(メンバー!$D13)*V$5+N(メンバー!$E13)*V$6+N(メンバー!$F13)*V$7+N(メンバー!$G13)*V$8,0)</f>
        <v>128</v>
      </c>
    </row>
    <row r="19" spans="1:22" ht="15.75">
      <c r="A19" s="37" t="str">
        <f>IF(メンバー!$A14="","",メンバー!$A14)</f>
        <v>OP</v>
      </c>
      <c r="B19" s="37" t="str">
        <f>IF(メンバー!$B14="","",メンバー!$B14)</f>
        <v>兼田</v>
      </c>
      <c r="C19" s="2"/>
      <c r="D19" s="38">
        <f>IF(AND(メンバー!$B14&lt;&gt;"",OR(メンバー!$H14="",D$3&gt;=メンバー!$H14),OR(メンバー!$I14="",D$3&lt;=メンバー!$I14)),N(メンバー!$C14)*D$4+N(メンバー!$D14)*D$5+N(メンバー!$E14)*D$6+N(メンバー!$F14)*D$7+N(メンバー!$G14)*D$8,0)</f>
        <v>136</v>
      </c>
      <c r="E19" s="38">
        <f>IF(AND(メンバー!$B14&lt;&gt;"",OR(メンバー!$H14="",E$3&gt;=メンバー!$H14),OR(メンバー!$I14="",E$3&lt;=メンバー!$I14)),N(メンバー!$C14)*E$4+N(メンバー!$D14)*E$5+N(メンバー!$E14)*E$6+N(メンバー!$F14)*E$7+N(メンバー!$G14)*E$8,0)</f>
        <v>120</v>
      </c>
      <c r="F19" s="38">
        <f>IF(AND(メンバー!$B14&lt;&gt;"",OR(メンバー!$H14="",F$3&gt;=メンバー!$H14),OR(メンバー!$I14="",F$3&lt;=メンバー!$I14)),N(メンバー!$C14)*F$4+N(メンバー!$D14)*F$5+N(メンバー!$E14)*F$6+N(メンバー!$F14)*F$7+N(メンバー!$G14)*F$8,0)</f>
        <v>144</v>
      </c>
      <c r="G19" s="38">
        <f>IF(AND(メンバー!$B14&lt;&gt;"",OR(メンバー!$H14="",G$3&gt;=メンバー!$H14),OR(メンバー!$I14="",G$3&lt;=メンバー!$I14)),N(メンバー!$C14)*G$4+N(メンバー!$D14)*G$5+N(メンバー!$E14)*G$6+N(メンバー!$F14)*G$7+N(メンバー!$G14)*G$8,0)</f>
        <v>136</v>
      </c>
      <c r="H19" s="38">
        <f>IF(AND(メンバー!$B14&lt;&gt;"",OR(メンバー!$H14="",H$3&gt;=メンバー!$H14),OR(メンバー!$I14="",H$3&lt;=メンバー!$I14)),N(メンバー!$C14)*H$4+N(メンバー!$D14)*H$5+N(メンバー!$E14)*H$6+N(メンバー!$F14)*H$7+N(メンバー!$G14)*H$8,0)</f>
        <v>128</v>
      </c>
      <c r="I19" s="38">
        <f>IF(AND(メンバー!$B14&lt;&gt;"",OR(メンバー!$H14="",I$3&gt;=メンバー!$H14),OR(メンバー!$I14="",I$3&lt;=メンバー!$I14)),N(メンバー!$C14)*I$4+N(メンバー!$D14)*I$5+N(メンバー!$E14)*I$6+N(メンバー!$F14)*I$7+N(メンバー!$G14)*I$8,0)</f>
        <v>120</v>
      </c>
      <c r="J19" s="38">
        <f>IF(AND(メンバー!$B14&lt;&gt;"",OR(メンバー!$H14="",J$3&gt;=メンバー!$H14),OR(メンバー!$I14="",J$3&lt;=メンバー!$I14)),N(メンバー!$C14)*J$4+N(メンバー!$D14)*J$5+N(メンバー!$E14)*J$6+N(メンバー!$F14)*J$7+N(メンバー!$G14)*J$8,0)</f>
        <v>136</v>
      </c>
      <c r="K19" s="38">
        <f>IF(AND(メンバー!$B14&lt;&gt;"",OR(メンバー!$H14="",K$3&gt;=メンバー!$H14),OR(メンバー!$I14="",K$3&lt;=メンバー!$I14)),N(メンバー!$C14)*K$4+N(メンバー!$D14)*K$5+N(メンバー!$E14)*K$6+N(メンバー!$F14)*K$7+N(メンバー!$G14)*K$8,0)</f>
        <v>120</v>
      </c>
      <c r="L19" s="38">
        <f>IF(AND(メンバー!$B14&lt;&gt;"",OR(メンバー!$H14="",L$3&gt;=メンバー!$H14),OR(メンバー!$I14="",L$3&lt;=メンバー!$I14)),N(メンバー!$C14)*L$4+N(メンバー!$D14)*L$5+N(メンバー!$E14)*L$6+N(メンバー!$F14)*L$7+N(メンバー!$G14)*L$8,0)</f>
        <v>128</v>
      </c>
      <c r="M19" s="38">
        <f>IF(AND(メンバー!$B14&lt;&gt;"",OR(メンバー!$H14="",M$3&gt;=メンバー!$H14),OR(メンバー!$I14="",M$3&lt;=メンバー!$I14)),N(メンバー!$C14)*M$4+N(メンバー!$D14)*M$5+N(メンバー!$E14)*M$6+N(メンバー!$F14)*M$7+N(メンバー!$G14)*M$8,0)</f>
        <v>120</v>
      </c>
      <c r="N19" s="38">
        <f>IF(AND(メンバー!$B14&lt;&gt;"",OR(メンバー!$H14="",N$3&gt;=メンバー!$H14),OR(メンバー!$I14="",N$3&lt;=メンバー!$I14)),N(メンバー!$C14)*N$4+N(メンバー!$D14)*N$5+N(メンバー!$E14)*N$6+N(メンバー!$F14)*N$7+N(メンバー!$G14)*N$8,0)</f>
        <v>112</v>
      </c>
      <c r="O19" s="38">
        <f>IF(AND(メンバー!$B14&lt;&gt;"",OR(メンバー!$H14="",O$3&gt;=メンバー!$H14),OR(メンバー!$I14="",O$3&lt;=メンバー!$I14)),N(メンバー!$C14)*O$4+N(メンバー!$D14)*O$5+N(メンバー!$E14)*O$6+N(メンバー!$F14)*O$7+N(メンバー!$G14)*O$8,0)</f>
        <v>136</v>
      </c>
      <c r="P19" s="38">
        <f>IF(AND(メンバー!$B14&lt;&gt;"",OR(メンバー!$H14="",P$3&gt;=メンバー!$H14),OR(メンバー!$I14="",P$3&lt;=メンバー!$I14)),N(メンバー!$C14)*P$4+N(メンバー!$D14)*P$5+N(メンバー!$E14)*P$6+N(メンバー!$F14)*P$7+N(メンバー!$G14)*P$8,0)</f>
        <v>136</v>
      </c>
      <c r="Q19" s="38">
        <f>IF(AND(メンバー!$B14&lt;&gt;"",OR(メンバー!$H14="",Q$3&gt;=メンバー!$H14),OR(メンバー!$I14="",Q$3&lt;=メンバー!$I14)),N(メンバー!$C14)*Q$4+N(メンバー!$D14)*Q$5+N(メンバー!$E14)*Q$6+N(メンバー!$F14)*Q$7+N(メンバー!$G14)*Q$8,0)</f>
        <v>120</v>
      </c>
      <c r="R19" s="38">
        <f>IF(AND(メンバー!$B14&lt;&gt;"",OR(メンバー!$H14="",R$3&gt;=メンバー!$H14),OR(メンバー!$I14="",R$3&lt;=メンバー!$I14)),N(メンバー!$C14)*R$4+N(メンバー!$D14)*R$5+N(メンバー!$E14)*R$6+N(メンバー!$F14)*R$7+N(メンバー!$G14)*R$8,0)</f>
        <v>136</v>
      </c>
      <c r="S19" s="38">
        <f>IF(AND(メンバー!$B14&lt;&gt;"",OR(メンバー!$H14="",S$3&gt;=メンバー!$H14),OR(メンバー!$I14="",S$3&lt;=メンバー!$I14)),N(メンバー!$C14)*S$4+N(メンバー!$D14)*S$5+N(メンバー!$E14)*S$6+N(メンバー!$F14)*S$7+N(メンバー!$G14)*S$8,0)</f>
        <v>136</v>
      </c>
      <c r="T19" s="38">
        <f>IF(AND(メンバー!$B14&lt;&gt;"",OR(メンバー!$H14="",T$3&gt;=メンバー!$H14),OR(メンバー!$I14="",T$3&lt;=メンバー!$I14)),N(メンバー!$C14)*T$4+N(メンバー!$D14)*T$5+N(メンバー!$E14)*T$6+N(メンバー!$F14)*T$7+N(メンバー!$G14)*T$8,0)</f>
        <v>144</v>
      </c>
      <c r="U19" s="38">
        <f>IF(AND(メンバー!$B14&lt;&gt;"",OR(メンバー!$H14="",U$3&gt;=メンバー!$H14),OR(メンバー!$I14="",U$3&lt;=メンバー!$I14)),N(メンバー!$C14)*U$4+N(メンバー!$D14)*U$5+N(メンバー!$E14)*U$6+N(メンバー!$F14)*U$7+N(メンバー!$G14)*U$8,0)</f>
        <v>120</v>
      </c>
      <c r="V19" s="38">
        <f>IF(AND(メンバー!$B14&lt;&gt;"",OR(メンバー!$H14="",V$3&gt;=メンバー!$H14),OR(メンバー!$I14="",V$3&lt;=メンバー!$I14)),N(メンバー!$C14)*V$4+N(メンバー!$D14)*V$5+N(メンバー!$E14)*V$6+N(メンバー!$F14)*V$7+N(メンバー!$G14)*V$8,0)</f>
        <v>128</v>
      </c>
    </row>
    <row r="20" spans="1:22" ht="15.75">
      <c r="A20" s="37" t="str">
        <f>IF(メンバー!$A15="","",メンバー!$A15)</f>
        <v>OP</v>
      </c>
      <c r="B20" s="37" t="str">
        <f>IF(メンバー!$B15="","",メンバー!$B15)</f>
        <v>植田</v>
      </c>
      <c r="C20" s="2"/>
      <c r="D20" s="38">
        <f>IF(AND(メンバー!$B15&lt;&gt;"",OR(メンバー!$H15="",D$3&gt;=メンバー!$H15),OR(メンバー!$I15="",D$3&lt;=メンバー!$I15)),N(メンバー!$C15)*D$4+N(メンバー!$D15)*D$5+N(メンバー!$E15)*D$6+N(メンバー!$F15)*D$7+N(メンバー!$G15)*D$8,0)</f>
        <v>168</v>
      </c>
      <c r="E20" s="38">
        <f>IF(AND(メンバー!$B15&lt;&gt;"",OR(メンバー!$H15="",E$3&gt;=メンバー!$H15),OR(メンバー!$I15="",E$3&lt;=メンバー!$I15)),N(メンバー!$C15)*E$4+N(メンバー!$D15)*E$5+N(メンバー!$E15)*E$6+N(メンバー!$F15)*E$7+N(メンバー!$G15)*E$8,0)</f>
        <v>144</v>
      </c>
      <c r="F20" s="38">
        <f>IF(AND(メンバー!$B15&lt;&gt;"",OR(メンバー!$H15="",F$3&gt;=メンバー!$H15),OR(メンバー!$I15="",F$3&lt;=メンバー!$I15)),N(メンバー!$C15)*F$4+N(メンバー!$D15)*F$5+N(メンバー!$E15)*F$6+N(メンバー!$F15)*F$7+N(メンバー!$G15)*F$8,0)</f>
        <v>176</v>
      </c>
      <c r="G20" s="38">
        <f>IF(AND(メンバー!$B15&lt;&gt;"",OR(メンバー!$H15="",G$3&gt;=メンバー!$H15),OR(メンバー!$I15="",G$3&lt;=メンバー!$I15)),N(メンバー!$C15)*G$4+N(メンバー!$D15)*G$5+N(メンバー!$E15)*G$6+N(メンバー!$F15)*G$7+N(メンバー!$G15)*G$8,0)</f>
        <v>176</v>
      </c>
      <c r="H20" s="38">
        <f>IF(AND(メンバー!$B15&lt;&gt;"",OR(メンバー!$H15="",H$3&gt;=メンバー!$H15),OR(メンバー!$I15="",H$3&lt;=メンバー!$I15)),N(メンバー!$C15)*H$4+N(メンバー!$D15)*H$5+N(メンバー!$E15)*H$6+N(メンバー!$F15)*H$7+N(メンバー!$G15)*H$8,0)</f>
        <v>160</v>
      </c>
      <c r="I20" s="38">
        <f>IF(AND(メンバー!$B15&lt;&gt;"",OR(メンバー!$H15="",I$3&gt;=メンバー!$H15),OR(メンバー!$I15="",I$3&lt;=メンバー!$I15)),N(メンバー!$C15)*I$4+N(メンバー!$D15)*I$5+N(メンバー!$E15)*I$6+N(メンバー!$F15)*I$7+N(メンバー!$G15)*I$8,0)</f>
        <v>152</v>
      </c>
      <c r="J20" s="38">
        <f>IF(AND(メンバー!$B15&lt;&gt;"",OR(メンバー!$H15="",J$3&gt;=メンバー!$H15),OR(メンバー!$I15="",J$3&lt;=メンバー!$I15)),N(メンバー!$C15)*J$4+N(メンバー!$D15)*J$5+N(メンバー!$E15)*J$6+N(メンバー!$F15)*J$7+N(メンバー!$G15)*J$8,0)</f>
        <v>168</v>
      </c>
      <c r="K20" s="38">
        <f>IF(AND(メンバー!$B15&lt;&gt;"",OR(メンバー!$H15="",K$3&gt;=メンバー!$H15),OR(メンバー!$I15="",K$3&lt;=メンバー!$I15)),N(メンバー!$C15)*K$4+N(メンバー!$D15)*K$5+N(メンバー!$E15)*K$6+N(メンバー!$F15)*K$7+N(メンバー!$G15)*K$8,0)</f>
        <v>152</v>
      </c>
      <c r="L20" s="38">
        <f>IF(AND(メンバー!$B15&lt;&gt;"",OR(メンバー!$H15="",L$3&gt;=メンバー!$H15),OR(メンバー!$I15="",L$3&lt;=メンバー!$I15)),N(メンバー!$C15)*L$4+N(メンバー!$D15)*L$5+N(メンバー!$E15)*L$6+N(メンバー!$F15)*L$7+N(メンバー!$G15)*L$8,0)</f>
        <v>160</v>
      </c>
      <c r="M20" s="38">
        <f>IF(AND(メンバー!$B15&lt;&gt;"",OR(メンバー!$H15="",M$3&gt;=メンバー!$H15),OR(メンバー!$I15="",M$3&lt;=メンバー!$I15)),N(メンバー!$C15)*M$4+N(メンバー!$D15)*M$5+N(メンバー!$E15)*M$6+N(メンバー!$F15)*M$7+N(メンバー!$G15)*M$8,0)</f>
        <v>152</v>
      </c>
      <c r="N20" s="38">
        <f>IF(AND(メンバー!$B15&lt;&gt;"",OR(メンバー!$H15="",N$3&gt;=メンバー!$H15),OR(メンバー!$I15="",N$3&lt;=メンバー!$I15)),N(メンバー!$C15)*N$4+N(メンバー!$D15)*N$5+N(メンバー!$E15)*N$6+N(メンバー!$F15)*N$7+N(メンバー!$G15)*N$8,0)</f>
        <v>144</v>
      </c>
      <c r="O20" s="38">
        <f>IF(AND(メンバー!$B15&lt;&gt;"",OR(メンバー!$H15="",O$3&gt;=メンバー!$H15),OR(メンバー!$I15="",O$3&lt;=メンバー!$I15)),N(メンバー!$C15)*O$4+N(メンバー!$D15)*O$5+N(メンバー!$E15)*O$6+N(メンバー!$F15)*O$7+N(メンバー!$G15)*O$8,0)</f>
        <v>176</v>
      </c>
      <c r="P20" s="38">
        <f>IF(AND(メンバー!$B15&lt;&gt;"",OR(メンバー!$H15="",P$3&gt;=メンバー!$H15),OR(メンバー!$I15="",P$3&lt;=メンバー!$I15)),N(メンバー!$C15)*P$4+N(メンバー!$D15)*P$5+N(メンバー!$E15)*P$6+N(メンバー!$F15)*P$7+N(メンバー!$G15)*P$8,0)</f>
        <v>168</v>
      </c>
      <c r="Q20" s="38">
        <f>IF(AND(メンバー!$B15&lt;&gt;"",OR(メンバー!$H15="",Q$3&gt;=メンバー!$H15),OR(メンバー!$I15="",Q$3&lt;=メンバー!$I15)),N(メンバー!$C15)*Q$4+N(メンバー!$D15)*Q$5+N(メンバー!$E15)*Q$6+N(メンバー!$F15)*Q$7+N(メンバー!$G15)*Q$8,0)</f>
        <v>144</v>
      </c>
      <c r="R20" s="38">
        <f>IF(AND(メンバー!$B15&lt;&gt;"",OR(メンバー!$H15="",R$3&gt;=メンバー!$H15),OR(メンバー!$I15="",R$3&lt;=メンバー!$I15)),N(メンバー!$C15)*R$4+N(メンバー!$D15)*R$5+N(メンバー!$E15)*R$6+N(メンバー!$F15)*R$7+N(メンバー!$G15)*R$8,0)</f>
        <v>176</v>
      </c>
      <c r="S20" s="38">
        <f>IF(AND(メンバー!$B15&lt;&gt;"",OR(メンバー!$H15="",S$3&gt;=メンバー!$H15),OR(メンバー!$I15="",S$3&lt;=メンバー!$I15)),N(メンバー!$C15)*S$4+N(メンバー!$D15)*S$5+N(メンバー!$E15)*S$6+N(メンバー!$F15)*S$7+N(メンバー!$G15)*S$8,0)</f>
        <v>168</v>
      </c>
      <c r="T20" s="38">
        <f>IF(AND(メンバー!$B15&lt;&gt;"",OR(メンバー!$H15="",T$3&gt;=メンバー!$H15),OR(メンバー!$I15="",T$3&lt;=メンバー!$I15)),N(メンバー!$C15)*T$4+N(メンバー!$D15)*T$5+N(メンバー!$E15)*T$6+N(メンバー!$F15)*T$7+N(メンバー!$G15)*T$8,0)</f>
        <v>168</v>
      </c>
      <c r="U20" s="38">
        <f>IF(AND(メンバー!$B15&lt;&gt;"",OR(メンバー!$H15="",U$3&gt;=メンバー!$H15),OR(メンバー!$I15="",U$3&lt;=メンバー!$I15)),N(メンバー!$C15)*U$4+N(メンバー!$D15)*U$5+N(メンバー!$E15)*U$6+N(メンバー!$F15)*U$7+N(メンバー!$G15)*U$8,0)</f>
        <v>160</v>
      </c>
      <c r="V20" s="38">
        <f>IF(AND(メンバー!$B15&lt;&gt;"",OR(メンバー!$H15="",V$3&gt;=メンバー!$H15),OR(メンバー!$I15="",V$3&lt;=メンバー!$I15)),N(メンバー!$C15)*V$4+N(メンバー!$D15)*V$5+N(メンバー!$E15)*V$6+N(メンバー!$F15)*V$7+N(メンバー!$G15)*V$8,0)</f>
        <v>160</v>
      </c>
    </row>
    <row r="21" spans="1:22" ht="15.75">
      <c r="A21" s="37" t="str">
        <f>IF(メンバー!$A16="","",メンバー!$A16)</f>
        <v>SV</v>
      </c>
      <c r="B21" s="37" t="str">
        <f>IF(メンバー!$B16="","",メンバー!$B16)</f>
        <v>小野</v>
      </c>
      <c r="C21" s="2"/>
      <c r="D21" s="38">
        <f>IF(AND(メンバー!$B16&lt;&gt;"",OR(メンバー!$H16="",D$3&gt;=メンバー!$H16),OR(メンバー!$I16="",D$3&lt;=メンバー!$I16)),N(メンバー!$C16)*D$4+N(メンバー!$D16)*D$5+N(メンバー!$E16)*D$6+N(メンバー!$F16)*D$7+N(メンバー!$G16)*D$8,0)</f>
        <v>135</v>
      </c>
      <c r="E21" s="38">
        <f>IF(AND(メンバー!$B16&lt;&gt;"",OR(メンバー!$H16="",E$3&gt;=メンバー!$H16),OR(メンバー!$I16="",E$3&lt;=メンバー!$I16)),N(メンバー!$C16)*E$4+N(メンバー!$D16)*E$5+N(メンバー!$E16)*E$6+N(メンバー!$F16)*E$7+N(メンバー!$G16)*E$8,0)</f>
        <v>117</v>
      </c>
      <c r="F21" s="38">
        <f>IF(AND(メンバー!$B16&lt;&gt;"",OR(メンバー!$H16="",F$3&gt;=メンバー!$H16),OR(メンバー!$I16="",F$3&lt;=メンバー!$I16)),N(メンバー!$C16)*F$4+N(メンバー!$D16)*F$5+N(メンバー!$E16)*F$6+N(メンバー!$F16)*F$7+N(メンバー!$G16)*F$8,0)</f>
        <v>142</v>
      </c>
      <c r="G21" s="38">
        <f>IF(AND(メンバー!$B16&lt;&gt;"",OR(メンバー!$H16="",G$3&gt;=メンバー!$H16),OR(メンバー!$I16="",G$3&lt;=メンバー!$I16)),N(メンバー!$C16)*G$4+N(メンバー!$D16)*G$5+N(メンバー!$E16)*G$6+N(メンバー!$F16)*G$7+N(メンバー!$G16)*G$8,0)</f>
        <v>139</v>
      </c>
      <c r="H21" s="38">
        <f>IF(AND(メンバー!$B16&lt;&gt;"",OR(メンバー!$H16="",H$3&gt;=メンバー!$H16),OR(メンバー!$I16="",H$3&lt;=メンバー!$I16)),N(メンバー!$C16)*H$4+N(メンバー!$D16)*H$5+N(メンバー!$E16)*H$6+N(メンバー!$F16)*H$7+N(メンバー!$G16)*H$8,0)</f>
        <v>128</v>
      </c>
      <c r="I21" s="38">
        <f>IF(AND(メンバー!$B16&lt;&gt;"",OR(メンバー!$H16="",I$3&gt;=メンバー!$H16),OR(メンバー!$I16="",I$3&lt;=メンバー!$I16)),N(メンバー!$C16)*I$4+N(メンバー!$D16)*I$5+N(メンバー!$E16)*I$6+N(メンバー!$F16)*I$7+N(メンバー!$G16)*I$8,0)</f>
        <v>121</v>
      </c>
      <c r="J21" s="38">
        <f>IF(AND(メンバー!$B16&lt;&gt;"",OR(メンバー!$H16="",J$3&gt;=メンバー!$H16),OR(メンバー!$I16="",J$3&lt;=メンバー!$I16)),N(メンバー!$C16)*J$4+N(メンバー!$D16)*J$5+N(メンバー!$E16)*J$6+N(メンバー!$F16)*J$7+N(メンバー!$G16)*J$8,0)</f>
        <v>135</v>
      </c>
      <c r="K21" s="38">
        <f>IF(AND(メンバー!$B16&lt;&gt;"",OR(メンバー!$H16="",K$3&gt;=メンバー!$H16),OR(メンバー!$I16="",K$3&lt;=メンバー!$I16)),N(メンバー!$C16)*K$4+N(メンバー!$D16)*K$5+N(メンバー!$E16)*K$6+N(メンバー!$F16)*K$7+N(メンバー!$G16)*K$8,0)</f>
        <v>121</v>
      </c>
      <c r="L21" s="38">
        <f>IF(AND(メンバー!$B16&lt;&gt;"",OR(メンバー!$H16="",L$3&gt;=メンバー!$H16),OR(メンバー!$I16="",L$3&lt;=メンバー!$I16)),N(メンバー!$C16)*L$4+N(メンバー!$D16)*L$5+N(メンバー!$E16)*L$6+N(メンバー!$F16)*L$7+N(メンバー!$G16)*L$8,0)</f>
        <v>128</v>
      </c>
      <c r="M21" s="38">
        <f>IF(AND(メンバー!$B16&lt;&gt;"",OR(メンバー!$H16="",M$3&gt;=メンバー!$H16),OR(メンバー!$I16="",M$3&lt;=メンバー!$I16)),N(メンバー!$C16)*M$4+N(メンバー!$D16)*M$5+N(メンバー!$E16)*M$6+N(メンバー!$F16)*M$7+N(メンバー!$G16)*M$8,0)</f>
        <v>121</v>
      </c>
      <c r="N21" s="38">
        <f>IF(AND(メンバー!$B16&lt;&gt;"",OR(メンバー!$H16="",N$3&gt;=メンバー!$H16),OR(メンバー!$I16="",N$3&lt;=メンバー!$I16)),N(メンバー!$C16)*N$4+N(メンバー!$D16)*N$5+N(メンバー!$E16)*N$6+N(メンバー!$F16)*N$7+N(メンバー!$G16)*N$8,0)</f>
        <v>114</v>
      </c>
      <c r="O21" s="38">
        <f>IF(AND(メンバー!$B16&lt;&gt;"",OR(メンバー!$H16="",O$3&gt;=メンバー!$H16),OR(メンバー!$I16="",O$3&lt;=メンバー!$I16)),N(メンバー!$C16)*O$4+N(メンバー!$D16)*O$5+N(メンバー!$E16)*O$6+N(メンバー!$F16)*O$7+N(メンバー!$G16)*O$8,0)</f>
        <v>139</v>
      </c>
      <c r="P21" s="38">
        <f>IF(AND(メンバー!$B16&lt;&gt;"",OR(メンバー!$H16="",P$3&gt;=メンバー!$H16),OR(メンバー!$I16="",P$3&lt;=メンバー!$I16)),N(メンバー!$C16)*P$4+N(メンバー!$D16)*P$5+N(メンバー!$E16)*P$6+N(メンバー!$F16)*P$7+N(メンバー!$G16)*P$8,0)</f>
        <v>135</v>
      </c>
      <c r="Q21" s="38">
        <f>IF(AND(メンバー!$B16&lt;&gt;"",OR(メンバー!$H16="",Q$3&gt;=メンバー!$H16),OR(メンバー!$I16="",Q$3&lt;=メンバー!$I16)),N(メンバー!$C16)*Q$4+N(メンバー!$D16)*Q$5+N(メンバー!$E16)*Q$6+N(メンバー!$F16)*Q$7+N(メンバー!$G16)*Q$8,0)</f>
        <v>117</v>
      </c>
      <c r="R21" s="38">
        <f>IF(AND(メンバー!$B16&lt;&gt;"",OR(メンバー!$H16="",R$3&gt;=メンバー!$H16),OR(メンバー!$I16="",R$3&lt;=メンバー!$I16)),N(メンバー!$C16)*R$4+N(メンバー!$D16)*R$5+N(メンバー!$E16)*R$6+N(メンバー!$F16)*R$7+N(メンバー!$G16)*R$8,0)</f>
        <v>139</v>
      </c>
      <c r="S21" s="38">
        <f>IF(AND(メンバー!$B16&lt;&gt;"",OR(メンバー!$H16="",S$3&gt;=メンバー!$H16),OR(メンバー!$I16="",S$3&lt;=メンバー!$I16)),N(メンバー!$C16)*S$4+N(メンバー!$D16)*S$5+N(メンバー!$E16)*S$6+N(メンバー!$F16)*S$7+N(メンバー!$G16)*S$8,0)</f>
        <v>135</v>
      </c>
      <c r="T21" s="38">
        <f>IF(AND(メンバー!$B16&lt;&gt;"",OR(メンバー!$H16="",T$3&gt;=メンバー!$H16),OR(メンバー!$I16="",T$3&lt;=メンバー!$I16)),N(メンバー!$C16)*T$4+N(メンバー!$D16)*T$5+N(メンバー!$E16)*T$6+N(メンバー!$F16)*T$7+N(メンバー!$G16)*T$8,0)</f>
        <v>138</v>
      </c>
      <c r="U21" s="38">
        <f>IF(AND(メンバー!$B16&lt;&gt;"",OR(メンバー!$H16="",U$3&gt;=メンバー!$H16),OR(メンバー!$I16="",U$3&lt;=メンバー!$I16)),N(メンバー!$C16)*U$4+N(メンバー!$D16)*U$5+N(メンバー!$E16)*U$6+N(メンバー!$F16)*U$7+N(メンバー!$G16)*U$8,0)</f>
        <v>125</v>
      </c>
      <c r="V21" s="38">
        <f>IF(AND(メンバー!$B16&lt;&gt;"",OR(メンバー!$H16="",V$3&gt;=メンバー!$H16),OR(メンバー!$I16="",V$3&lt;=メンバー!$I16)),N(メンバー!$C16)*V$4+N(メンバー!$D16)*V$5+N(メンバー!$E16)*V$6+N(メンバー!$F16)*V$7+N(メンバー!$G16)*V$8,0)</f>
        <v>128</v>
      </c>
    </row>
    <row r="22" spans="1:22" ht="15.75">
      <c r="A22" s="37" t="str">
        <f>IF(メンバー!$A17="","",メンバー!$A17)</f>
        <v>SV</v>
      </c>
      <c r="B22" s="37" t="str">
        <f>IF(メンバー!$B17="","",メンバー!$B17)</f>
        <v>栗城</v>
      </c>
      <c r="C22" s="2"/>
      <c r="D22" s="38">
        <f>IF(AND(メンバー!$B17&lt;&gt;"",OR(メンバー!$H17="",D$3&gt;=メンバー!$H17),OR(メンバー!$I17="",D$3&lt;=メンバー!$I17)),N(メンバー!$C17)*D$4+N(メンバー!$D17)*D$5+N(メンバー!$E17)*D$6+N(メンバー!$F17)*D$7+N(メンバー!$G17)*D$8,0)</f>
        <v>168</v>
      </c>
      <c r="E22" s="38">
        <f>IF(AND(メンバー!$B17&lt;&gt;"",OR(メンバー!$H17="",E$3&gt;=メンバー!$H17),OR(メンバー!$I17="",E$3&lt;=メンバー!$I17)),N(メンバー!$C17)*E$4+N(メンバー!$D17)*E$5+N(メンバー!$E17)*E$6+N(メンバー!$F17)*E$7+N(メンバー!$G17)*E$8,0)</f>
        <v>144</v>
      </c>
      <c r="F22" s="38">
        <f>IF(AND(メンバー!$B17&lt;&gt;"",OR(メンバー!$H17="",F$3&gt;=メンバー!$H17),OR(メンバー!$I17="",F$3&lt;=メンバー!$I17)),N(メンバー!$C17)*F$4+N(メンバー!$D17)*F$5+N(メンバー!$E17)*F$6+N(メンバー!$F17)*F$7+N(メンバー!$G17)*F$8,0)</f>
        <v>176</v>
      </c>
      <c r="G22" s="38">
        <f>IF(AND(メンバー!$B17&lt;&gt;"",OR(メンバー!$H17="",G$3&gt;=メンバー!$H17),OR(メンバー!$I17="",G$3&lt;=メンバー!$I17)),N(メンバー!$C17)*G$4+N(メンバー!$D17)*G$5+N(メンバー!$E17)*G$6+N(メンバー!$F17)*G$7+N(メンバー!$G17)*G$8,0)</f>
        <v>176</v>
      </c>
      <c r="H22" s="38">
        <f>IF(AND(メンバー!$B17&lt;&gt;"",OR(メンバー!$H17="",H$3&gt;=メンバー!$H17),OR(メンバー!$I17="",H$3&lt;=メンバー!$I17)),N(メンバー!$C17)*H$4+N(メンバー!$D17)*H$5+N(メンバー!$E17)*H$6+N(メンバー!$F17)*H$7+N(メンバー!$G17)*H$8,0)</f>
        <v>160</v>
      </c>
      <c r="I22" s="38">
        <f>IF(AND(メンバー!$B17&lt;&gt;"",OR(メンバー!$H17="",I$3&gt;=メンバー!$H17),OR(メンバー!$I17="",I$3&lt;=メンバー!$I17)),N(メンバー!$C17)*I$4+N(メンバー!$D17)*I$5+N(メンバー!$E17)*I$6+N(メンバー!$F17)*I$7+N(メンバー!$G17)*I$8,0)</f>
        <v>152</v>
      </c>
      <c r="J22" s="38">
        <f>IF(AND(メンバー!$B17&lt;&gt;"",OR(メンバー!$H17="",J$3&gt;=メンバー!$H17),OR(メンバー!$I17="",J$3&lt;=メンバー!$I17)),N(メンバー!$C17)*J$4+N(メンバー!$D17)*J$5+N(メンバー!$E17)*J$6+N(メンバー!$F17)*J$7+N(メンバー!$G17)*J$8,0)</f>
        <v>168</v>
      </c>
      <c r="K22" s="38">
        <f>IF(AND(メンバー!$B17&lt;&gt;"",OR(メンバー!$H17="",K$3&gt;=メンバー!$H17),OR(メンバー!$I17="",K$3&lt;=メンバー!$I17)),N(メンバー!$C17)*K$4+N(メンバー!$D17)*K$5+N(メンバー!$E17)*K$6+N(メンバー!$F17)*K$7+N(メンバー!$G17)*K$8,0)</f>
        <v>152</v>
      </c>
      <c r="L22" s="38">
        <f>IF(AND(メンバー!$B17&lt;&gt;"",OR(メンバー!$H17="",L$3&gt;=メンバー!$H17),OR(メンバー!$I17="",L$3&lt;=メンバー!$I17)),N(メンバー!$C17)*L$4+N(メンバー!$D17)*L$5+N(メンバー!$E17)*L$6+N(メンバー!$F17)*L$7+N(メンバー!$G17)*L$8,0)</f>
        <v>160</v>
      </c>
      <c r="M22" s="38">
        <f>IF(AND(メンバー!$B17&lt;&gt;"",OR(メンバー!$H17="",M$3&gt;=メンバー!$H17),OR(メンバー!$I17="",M$3&lt;=メンバー!$I17)),N(メンバー!$C17)*M$4+N(メンバー!$D17)*M$5+N(メンバー!$E17)*M$6+N(メンバー!$F17)*M$7+N(メンバー!$G17)*M$8,0)</f>
        <v>152</v>
      </c>
      <c r="N22" s="38">
        <f>IF(AND(メンバー!$B17&lt;&gt;"",OR(メンバー!$H17="",N$3&gt;=メンバー!$H17),OR(メンバー!$I17="",N$3&lt;=メンバー!$I17)),N(メンバー!$C17)*N$4+N(メンバー!$D17)*N$5+N(メンバー!$E17)*N$6+N(メンバー!$F17)*N$7+N(メンバー!$G17)*N$8,0)</f>
        <v>144</v>
      </c>
      <c r="O22" s="38">
        <f>IF(AND(メンバー!$B17&lt;&gt;"",OR(メンバー!$H17="",O$3&gt;=メンバー!$H17),OR(メンバー!$I17="",O$3&lt;=メンバー!$I17)),N(メンバー!$C17)*O$4+N(メンバー!$D17)*O$5+N(メンバー!$E17)*O$6+N(メンバー!$F17)*O$7+N(メンバー!$G17)*O$8,0)</f>
        <v>176</v>
      </c>
      <c r="P22" s="38">
        <f>IF(AND(メンバー!$B17&lt;&gt;"",OR(メンバー!$H17="",P$3&gt;=メンバー!$H17),OR(メンバー!$I17="",P$3&lt;=メンバー!$I17)),N(メンバー!$C17)*P$4+N(メンバー!$D17)*P$5+N(メンバー!$E17)*P$6+N(メンバー!$F17)*P$7+N(メンバー!$G17)*P$8,0)</f>
        <v>168</v>
      </c>
      <c r="Q22" s="38">
        <f>IF(AND(メンバー!$B17&lt;&gt;"",OR(メンバー!$H17="",Q$3&gt;=メンバー!$H17),OR(メンバー!$I17="",Q$3&lt;=メンバー!$I17)),N(メンバー!$C17)*Q$4+N(メンバー!$D17)*Q$5+N(メンバー!$E17)*Q$6+N(メンバー!$F17)*Q$7+N(メンバー!$G17)*Q$8,0)</f>
        <v>144</v>
      </c>
      <c r="R22" s="38">
        <f>IF(AND(メンバー!$B17&lt;&gt;"",OR(メンバー!$H17="",R$3&gt;=メンバー!$H17),OR(メンバー!$I17="",R$3&lt;=メンバー!$I17)),N(メンバー!$C17)*R$4+N(メンバー!$D17)*R$5+N(メンバー!$E17)*R$6+N(メンバー!$F17)*R$7+N(メンバー!$G17)*R$8,0)</f>
        <v>176</v>
      </c>
      <c r="S22" s="38">
        <f>IF(AND(メンバー!$B17&lt;&gt;"",OR(メンバー!$H17="",S$3&gt;=メンバー!$H17),OR(メンバー!$I17="",S$3&lt;=メンバー!$I17)),N(メンバー!$C17)*S$4+N(メンバー!$D17)*S$5+N(メンバー!$E17)*S$6+N(メンバー!$F17)*S$7+N(メンバー!$G17)*S$8,0)</f>
        <v>168</v>
      </c>
      <c r="T22" s="38">
        <f>IF(AND(メンバー!$B17&lt;&gt;"",OR(メンバー!$H17="",T$3&gt;=メンバー!$H17),OR(メンバー!$I17="",T$3&lt;=メンバー!$I17)),N(メンバー!$C17)*T$4+N(メンバー!$D17)*T$5+N(メンバー!$E17)*T$6+N(メンバー!$F17)*T$7+N(メンバー!$G17)*T$8,0)</f>
        <v>168</v>
      </c>
      <c r="U22" s="38">
        <f>IF(AND(メンバー!$B17&lt;&gt;"",OR(メンバー!$H17="",U$3&gt;=メンバー!$H17),OR(メンバー!$I17="",U$3&lt;=メンバー!$I17)),N(メンバー!$C17)*U$4+N(メンバー!$D17)*U$5+N(メンバー!$E17)*U$6+N(メンバー!$F17)*U$7+N(メンバー!$G17)*U$8,0)</f>
        <v>160</v>
      </c>
      <c r="V22" s="38">
        <f>IF(AND(メンバー!$B17&lt;&gt;"",OR(メンバー!$H17="",V$3&gt;=メンバー!$H17),OR(メンバー!$I17="",V$3&lt;=メンバー!$I17)),N(メンバー!$C17)*V$4+N(メンバー!$D17)*V$5+N(メンバー!$E17)*V$6+N(メンバー!$F17)*V$7+N(メンバー!$G17)*V$8,0)</f>
        <v>160</v>
      </c>
    </row>
    <row r="23" spans="1:22" ht="15.75">
      <c r="A23" s="37" t="str">
        <f>IF(メンバー!$A18="","",メンバー!$A18)</f>
        <v>SV</v>
      </c>
      <c r="B23" s="37" t="str">
        <f>IF(メンバー!$B18="","",メンバー!$B18)</f>
        <v>田中</v>
      </c>
      <c r="C23" s="2"/>
      <c r="D23" s="38">
        <f>IF(AND(メンバー!$B18&lt;&gt;"",OR(メンバー!$H18="",D$3&gt;=メンバー!$H18),OR(メンバー!$I18="",D$3&lt;=メンバー!$I18)),N(メンバー!$C18)*D$4+N(メンバー!$D18)*D$5+N(メンバー!$E18)*D$6+N(メンバー!$F18)*D$7+N(メンバー!$G18)*D$8,0)</f>
        <v>168</v>
      </c>
      <c r="E23" s="38">
        <f>IF(AND(メンバー!$B18&lt;&gt;"",OR(メンバー!$H18="",E$3&gt;=メンバー!$H18),OR(メンバー!$I18="",E$3&lt;=メンバー!$I18)),N(メンバー!$C18)*E$4+N(メンバー!$D18)*E$5+N(メンバー!$E18)*E$6+N(メンバー!$F18)*E$7+N(メンバー!$G18)*E$8,0)</f>
        <v>144</v>
      </c>
      <c r="F23" s="38">
        <f>IF(AND(メンバー!$B18&lt;&gt;"",OR(メンバー!$H18="",F$3&gt;=メンバー!$H18),OR(メンバー!$I18="",F$3&lt;=メンバー!$I18)),N(メンバー!$C18)*F$4+N(メンバー!$D18)*F$5+N(メンバー!$E18)*F$6+N(メンバー!$F18)*F$7+N(メンバー!$G18)*F$8,0)</f>
        <v>176</v>
      </c>
      <c r="G23" s="38">
        <f>IF(AND(メンバー!$B18&lt;&gt;"",OR(メンバー!$H18="",G$3&gt;=メンバー!$H18),OR(メンバー!$I18="",G$3&lt;=メンバー!$I18)),N(メンバー!$C18)*G$4+N(メンバー!$D18)*G$5+N(メンバー!$E18)*G$6+N(メンバー!$F18)*G$7+N(メンバー!$G18)*G$8,0)</f>
        <v>176</v>
      </c>
      <c r="H23" s="38">
        <f>IF(AND(メンバー!$B18&lt;&gt;"",OR(メンバー!$H18="",H$3&gt;=メンバー!$H18),OR(メンバー!$I18="",H$3&lt;=メンバー!$I18)),N(メンバー!$C18)*H$4+N(メンバー!$D18)*H$5+N(メンバー!$E18)*H$6+N(メンバー!$F18)*H$7+N(メンバー!$G18)*H$8,0)</f>
        <v>160</v>
      </c>
      <c r="I23" s="38">
        <f>IF(AND(メンバー!$B18&lt;&gt;"",OR(メンバー!$H18="",I$3&gt;=メンバー!$H18),OR(メンバー!$I18="",I$3&lt;=メンバー!$I18)),N(メンバー!$C18)*I$4+N(メンバー!$D18)*I$5+N(メンバー!$E18)*I$6+N(メンバー!$F18)*I$7+N(メンバー!$G18)*I$8,0)</f>
        <v>152</v>
      </c>
      <c r="J23" s="38">
        <f>IF(AND(メンバー!$B18&lt;&gt;"",OR(メンバー!$H18="",J$3&gt;=メンバー!$H18),OR(メンバー!$I18="",J$3&lt;=メンバー!$I18)),N(メンバー!$C18)*J$4+N(メンバー!$D18)*J$5+N(メンバー!$E18)*J$6+N(メンバー!$F18)*J$7+N(メンバー!$G18)*J$8,0)</f>
        <v>168</v>
      </c>
      <c r="K23" s="38">
        <f>IF(AND(メンバー!$B18&lt;&gt;"",OR(メンバー!$H18="",K$3&gt;=メンバー!$H18),OR(メンバー!$I18="",K$3&lt;=メンバー!$I18)),N(メンバー!$C18)*K$4+N(メンバー!$D18)*K$5+N(メンバー!$E18)*K$6+N(メンバー!$F18)*K$7+N(メンバー!$G18)*K$8,0)</f>
        <v>152</v>
      </c>
      <c r="L23" s="38">
        <f>IF(AND(メンバー!$B18&lt;&gt;"",OR(メンバー!$H18="",L$3&gt;=メンバー!$H18),OR(メンバー!$I18="",L$3&lt;=メンバー!$I18)),N(メンバー!$C18)*L$4+N(メンバー!$D18)*L$5+N(メンバー!$E18)*L$6+N(メンバー!$F18)*L$7+N(メンバー!$G18)*L$8,0)</f>
        <v>160</v>
      </c>
      <c r="M23" s="38">
        <f>IF(AND(メンバー!$B18&lt;&gt;"",OR(メンバー!$H18="",M$3&gt;=メンバー!$H18),OR(メンバー!$I18="",M$3&lt;=メンバー!$I18)),N(メンバー!$C18)*M$4+N(メンバー!$D18)*M$5+N(メンバー!$E18)*M$6+N(メンバー!$F18)*M$7+N(メンバー!$G18)*M$8,0)</f>
        <v>152</v>
      </c>
      <c r="N23" s="38">
        <f>IF(AND(メンバー!$B18&lt;&gt;"",OR(メンバー!$H18="",N$3&gt;=メンバー!$H18),OR(メンバー!$I18="",N$3&lt;=メンバー!$I18)),N(メンバー!$C18)*N$4+N(メンバー!$D18)*N$5+N(メンバー!$E18)*N$6+N(メンバー!$F18)*N$7+N(メンバー!$G18)*N$8,0)</f>
        <v>144</v>
      </c>
      <c r="O23" s="38">
        <f>IF(AND(メンバー!$B18&lt;&gt;"",OR(メンバー!$H18="",O$3&gt;=メンバー!$H18),OR(メンバー!$I18="",O$3&lt;=メンバー!$I18)),N(メンバー!$C18)*O$4+N(メンバー!$D18)*O$5+N(メンバー!$E18)*O$6+N(メンバー!$F18)*O$7+N(メンバー!$G18)*O$8,0)</f>
        <v>176</v>
      </c>
      <c r="P23" s="38">
        <f>IF(AND(メンバー!$B18&lt;&gt;"",OR(メンバー!$H18="",P$3&gt;=メンバー!$H18),OR(メンバー!$I18="",P$3&lt;=メンバー!$I18)),N(メンバー!$C18)*P$4+N(メンバー!$D18)*P$5+N(メンバー!$E18)*P$6+N(メンバー!$F18)*P$7+N(メンバー!$G18)*P$8,0)</f>
        <v>168</v>
      </c>
      <c r="Q23" s="38">
        <f>IF(AND(メンバー!$B18&lt;&gt;"",OR(メンバー!$H18="",Q$3&gt;=メンバー!$H18),OR(メンバー!$I18="",Q$3&lt;=メンバー!$I18)),N(メンバー!$C18)*Q$4+N(メンバー!$D18)*Q$5+N(メンバー!$E18)*Q$6+N(メンバー!$F18)*Q$7+N(メンバー!$G18)*Q$8,0)</f>
        <v>144</v>
      </c>
      <c r="R23" s="38">
        <f>IF(AND(メンバー!$B18&lt;&gt;"",OR(メンバー!$H18="",R$3&gt;=メンバー!$H18),OR(メンバー!$I18="",R$3&lt;=メンバー!$I18)),N(メンバー!$C18)*R$4+N(メンバー!$D18)*R$5+N(メンバー!$E18)*R$6+N(メンバー!$F18)*R$7+N(メンバー!$G18)*R$8,0)</f>
        <v>176</v>
      </c>
      <c r="S23" s="38">
        <f>IF(AND(メンバー!$B18&lt;&gt;"",OR(メンバー!$H18="",S$3&gt;=メンバー!$H18),OR(メンバー!$I18="",S$3&lt;=メンバー!$I18)),N(メンバー!$C18)*S$4+N(メンバー!$D18)*S$5+N(メンバー!$E18)*S$6+N(メンバー!$F18)*S$7+N(メンバー!$G18)*S$8,0)</f>
        <v>168</v>
      </c>
      <c r="T23" s="38">
        <f>IF(AND(メンバー!$B18&lt;&gt;"",OR(メンバー!$H18="",T$3&gt;=メンバー!$H18),OR(メンバー!$I18="",T$3&lt;=メンバー!$I18)),N(メンバー!$C18)*T$4+N(メンバー!$D18)*T$5+N(メンバー!$E18)*T$6+N(メンバー!$F18)*T$7+N(メンバー!$G18)*T$8,0)</f>
        <v>168</v>
      </c>
      <c r="U23" s="38">
        <f>IF(AND(メンバー!$B18&lt;&gt;"",OR(メンバー!$H18="",U$3&gt;=メンバー!$H18),OR(メンバー!$I18="",U$3&lt;=メンバー!$I18)),N(メンバー!$C18)*U$4+N(メンバー!$D18)*U$5+N(メンバー!$E18)*U$6+N(メンバー!$F18)*U$7+N(メンバー!$G18)*U$8,0)</f>
        <v>160</v>
      </c>
      <c r="V23" s="38">
        <f>IF(AND(メンバー!$B18&lt;&gt;"",OR(メンバー!$H18="",V$3&gt;=メンバー!$H18),OR(メンバー!$I18="",V$3&lt;=メンバー!$I18)),N(メンバー!$C18)*V$4+N(メンバー!$D18)*V$5+N(メンバー!$E18)*V$6+N(メンバー!$F18)*V$7+N(メンバー!$G18)*V$8,0)</f>
        <v>160</v>
      </c>
    </row>
    <row r="24" spans="1:22" ht="15.75">
      <c r="A24" s="37" t="str">
        <f>IF(メンバー!$A19="","",メンバー!$A19)</f>
        <v>SV</v>
      </c>
      <c r="B24" s="37" t="str">
        <f>IF(メンバー!$B19="","",メンバー!$B19)</f>
        <v>西村</v>
      </c>
      <c r="C24" s="2"/>
      <c r="D24" s="38">
        <f>IF(AND(メンバー!$B19&lt;&gt;"",OR(メンバー!$H19="",D$3&gt;=メンバー!$H19),OR(メンバー!$I19="",D$3&lt;=メンバー!$I19)),N(メンバー!$C19)*D$4+N(メンバー!$D19)*D$5+N(メンバー!$E19)*D$6+N(メンバー!$F19)*D$7+N(メンバー!$G19)*D$8,0)</f>
        <v>168</v>
      </c>
      <c r="E24" s="38">
        <f>IF(AND(メンバー!$B19&lt;&gt;"",OR(メンバー!$H19="",E$3&gt;=メンバー!$H19),OR(メンバー!$I19="",E$3&lt;=メンバー!$I19)),N(メンバー!$C19)*E$4+N(メンバー!$D19)*E$5+N(メンバー!$E19)*E$6+N(メンバー!$F19)*E$7+N(メンバー!$G19)*E$8,0)</f>
        <v>144</v>
      </c>
      <c r="F24" s="38">
        <f>IF(AND(メンバー!$B19&lt;&gt;"",OR(メンバー!$H19="",F$3&gt;=メンバー!$H19),OR(メンバー!$I19="",F$3&lt;=メンバー!$I19)),N(メンバー!$C19)*F$4+N(メンバー!$D19)*F$5+N(メンバー!$E19)*F$6+N(メンバー!$F19)*F$7+N(メンバー!$G19)*F$8,0)</f>
        <v>176</v>
      </c>
      <c r="G24" s="38">
        <f>IF(AND(メンバー!$B19&lt;&gt;"",OR(メンバー!$H19="",G$3&gt;=メンバー!$H19),OR(メンバー!$I19="",G$3&lt;=メンバー!$I19)),N(メンバー!$C19)*G$4+N(メンバー!$D19)*G$5+N(メンバー!$E19)*G$6+N(メンバー!$F19)*G$7+N(メンバー!$G19)*G$8,0)</f>
        <v>176</v>
      </c>
      <c r="H24" s="38">
        <f>IF(AND(メンバー!$B19&lt;&gt;"",OR(メンバー!$H19="",H$3&gt;=メンバー!$H19),OR(メンバー!$I19="",H$3&lt;=メンバー!$I19)),N(メンバー!$C19)*H$4+N(メンバー!$D19)*H$5+N(メンバー!$E19)*H$6+N(メンバー!$F19)*H$7+N(メンバー!$G19)*H$8,0)</f>
        <v>160</v>
      </c>
      <c r="I24" s="38">
        <f>IF(AND(メンバー!$B19&lt;&gt;"",OR(メンバー!$H19="",I$3&gt;=メンバー!$H19),OR(メンバー!$I19="",I$3&lt;=メンバー!$I19)),N(メンバー!$C19)*I$4+N(メンバー!$D19)*I$5+N(メンバー!$E19)*I$6+N(メンバー!$F19)*I$7+N(メンバー!$G19)*I$8,0)</f>
        <v>152</v>
      </c>
      <c r="J24" s="38">
        <f>IF(AND(メンバー!$B19&lt;&gt;"",OR(メンバー!$H19="",J$3&gt;=メンバー!$H19),OR(メンバー!$I19="",J$3&lt;=メンバー!$I19)),N(メンバー!$C19)*J$4+N(メンバー!$D19)*J$5+N(メンバー!$E19)*J$6+N(メンバー!$F19)*J$7+N(メンバー!$G19)*J$8,0)</f>
        <v>168</v>
      </c>
      <c r="K24" s="38">
        <f>IF(AND(メンバー!$B19&lt;&gt;"",OR(メンバー!$H19="",K$3&gt;=メンバー!$H19),OR(メンバー!$I19="",K$3&lt;=メンバー!$I19)),N(メンバー!$C19)*K$4+N(メンバー!$D19)*K$5+N(メンバー!$E19)*K$6+N(メンバー!$F19)*K$7+N(メンバー!$G19)*K$8,0)</f>
        <v>152</v>
      </c>
      <c r="L24" s="38">
        <f>IF(AND(メンバー!$B19&lt;&gt;"",OR(メンバー!$H19="",L$3&gt;=メンバー!$H19),OR(メンバー!$I19="",L$3&lt;=メンバー!$I19)),N(メンバー!$C19)*L$4+N(メンバー!$D19)*L$5+N(メンバー!$E19)*L$6+N(メンバー!$F19)*L$7+N(メンバー!$G19)*L$8,0)</f>
        <v>160</v>
      </c>
      <c r="M24" s="38">
        <f>IF(AND(メンバー!$B19&lt;&gt;"",OR(メンバー!$H19="",M$3&gt;=メンバー!$H19),OR(メンバー!$I19="",M$3&lt;=メンバー!$I19)),N(メンバー!$C19)*M$4+N(メンバー!$D19)*M$5+N(メンバー!$E19)*M$6+N(メンバー!$F19)*M$7+N(メンバー!$G19)*M$8,0)</f>
        <v>152</v>
      </c>
      <c r="N24" s="38">
        <f>IF(AND(メンバー!$B19&lt;&gt;"",OR(メンバー!$H19="",N$3&gt;=メンバー!$H19),OR(メンバー!$I19="",N$3&lt;=メンバー!$I19)),N(メンバー!$C19)*N$4+N(メンバー!$D19)*N$5+N(メンバー!$E19)*N$6+N(メンバー!$F19)*N$7+N(メンバー!$G19)*N$8,0)</f>
        <v>144</v>
      </c>
      <c r="O24" s="38">
        <f>IF(AND(メンバー!$B19&lt;&gt;"",OR(メンバー!$H19="",O$3&gt;=メンバー!$H19),OR(メンバー!$I19="",O$3&lt;=メンバー!$I19)),N(メンバー!$C19)*O$4+N(メンバー!$D19)*O$5+N(メンバー!$E19)*O$6+N(メンバー!$F19)*O$7+N(メンバー!$G19)*O$8,0)</f>
        <v>176</v>
      </c>
      <c r="P24" s="38">
        <f>IF(AND(メンバー!$B19&lt;&gt;"",OR(メンバー!$H19="",P$3&gt;=メンバー!$H19),OR(メンバー!$I19="",P$3&lt;=メンバー!$I19)),N(メンバー!$C19)*P$4+N(メンバー!$D19)*P$5+N(メンバー!$E19)*P$6+N(メンバー!$F19)*P$7+N(メンバー!$G19)*P$8,0)</f>
        <v>168</v>
      </c>
      <c r="Q24" s="38">
        <f>IF(AND(メンバー!$B19&lt;&gt;"",OR(メンバー!$H19="",Q$3&gt;=メンバー!$H19),OR(メンバー!$I19="",Q$3&lt;=メンバー!$I19)),N(メンバー!$C19)*Q$4+N(メンバー!$D19)*Q$5+N(メンバー!$E19)*Q$6+N(メンバー!$F19)*Q$7+N(メンバー!$G19)*Q$8,0)</f>
        <v>144</v>
      </c>
      <c r="R24" s="38">
        <f>IF(AND(メンバー!$B19&lt;&gt;"",OR(メンバー!$H19="",R$3&gt;=メンバー!$H19),OR(メンバー!$I19="",R$3&lt;=メンバー!$I19)),N(メンバー!$C19)*R$4+N(メンバー!$D19)*R$5+N(メンバー!$E19)*R$6+N(メンバー!$F19)*R$7+N(メンバー!$G19)*R$8,0)</f>
        <v>176</v>
      </c>
      <c r="S24" s="38">
        <f>IF(AND(メンバー!$B19&lt;&gt;"",OR(メンバー!$H19="",S$3&gt;=メンバー!$H19),OR(メンバー!$I19="",S$3&lt;=メンバー!$I19)),N(メンバー!$C19)*S$4+N(メンバー!$D19)*S$5+N(メンバー!$E19)*S$6+N(メンバー!$F19)*S$7+N(メンバー!$G19)*S$8,0)</f>
        <v>168</v>
      </c>
      <c r="T24" s="38">
        <f>IF(AND(メンバー!$B19&lt;&gt;"",OR(メンバー!$H19="",T$3&gt;=メンバー!$H19),OR(メンバー!$I19="",T$3&lt;=メンバー!$I19)),N(メンバー!$C19)*T$4+N(メンバー!$D19)*T$5+N(メンバー!$E19)*T$6+N(メンバー!$F19)*T$7+N(メンバー!$G19)*T$8,0)</f>
        <v>168</v>
      </c>
      <c r="U24" s="38">
        <f>IF(AND(メンバー!$B19&lt;&gt;"",OR(メンバー!$H19="",U$3&gt;=メンバー!$H19),OR(メンバー!$I19="",U$3&lt;=メンバー!$I19)),N(メンバー!$C19)*U$4+N(メンバー!$D19)*U$5+N(メンバー!$E19)*U$6+N(メンバー!$F19)*U$7+N(メンバー!$G19)*U$8,0)</f>
        <v>160</v>
      </c>
      <c r="V24" s="38">
        <f>IF(AND(メンバー!$B19&lt;&gt;"",OR(メンバー!$H19="",V$3&gt;=メンバー!$H19),OR(メンバー!$I19="",V$3&lt;=メンバー!$I19)),N(メンバー!$C19)*V$4+N(メンバー!$D19)*V$5+N(メンバー!$E19)*V$6+N(メンバー!$F19)*V$7+N(メンバー!$G19)*V$8,0)</f>
        <v>160</v>
      </c>
    </row>
    <row r="25" spans="1:22" ht="15.75">
      <c r="A25" s="37" t="str">
        <f>IF(メンバー!$A20="","",メンバー!$A20)</f>
        <v/>
      </c>
      <c r="B25" s="37" t="str">
        <f>IF(メンバー!$B20="","",メンバー!$B20)</f>
        <v/>
      </c>
      <c r="C25" s="2"/>
      <c r="D25" s="38">
        <f>IF(AND(メンバー!$B20&lt;&gt;"",OR(メンバー!$H20="",D$3&gt;=メンバー!$H20),OR(メンバー!$I20="",D$3&lt;=メンバー!$I20)),N(メンバー!$C20)*D$4+N(メンバー!$D20)*D$5+N(メンバー!$E20)*D$6+N(メンバー!$F20)*D$7+N(メンバー!$G20)*D$8,0)</f>
        <v>0</v>
      </c>
      <c r="E25" s="38">
        <f>IF(AND(メンバー!$B20&lt;&gt;"",OR(メンバー!$H20="",E$3&gt;=メンバー!$H20),OR(メンバー!$I20="",E$3&lt;=メンバー!$I20)),N(メンバー!$C20)*E$4+N(メンバー!$D20)*E$5+N(メンバー!$E20)*E$6+N(メンバー!$F20)*E$7+N(メンバー!$G20)*E$8,0)</f>
        <v>0</v>
      </c>
      <c r="F25" s="38">
        <f>IF(AND(メンバー!$B20&lt;&gt;"",OR(メンバー!$H20="",F$3&gt;=メンバー!$H20),OR(メンバー!$I20="",F$3&lt;=メンバー!$I20)),N(メンバー!$C20)*F$4+N(メンバー!$D20)*F$5+N(メンバー!$E20)*F$6+N(メンバー!$F20)*F$7+N(メンバー!$G20)*F$8,0)</f>
        <v>0</v>
      </c>
      <c r="G25" s="38">
        <f>IF(AND(メンバー!$B20&lt;&gt;"",OR(メンバー!$H20="",G$3&gt;=メンバー!$H20),OR(メンバー!$I20="",G$3&lt;=メンバー!$I20)),N(メンバー!$C20)*G$4+N(メンバー!$D20)*G$5+N(メンバー!$E20)*G$6+N(メンバー!$F20)*G$7+N(メンバー!$G20)*G$8,0)</f>
        <v>0</v>
      </c>
      <c r="H25" s="38">
        <f>IF(AND(メンバー!$B20&lt;&gt;"",OR(メンバー!$H20="",H$3&gt;=メンバー!$H20),OR(メンバー!$I20="",H$3&lt;=メンバー!$I20)),N(メンバー!$C20)*H$4+N(メンバー!$D20)*H$5+N(メンバー!$E20)*H$6+N(メンバー!$F20)*H$7+N(メンバー!$G20)*H$8,0)</f>
        <v>0</v>
      </c>
      <c r="I25" s="38">
        <f>IF(AND(メンバー!$B20&lt;&gt;"",OR(メンバー!$H20="",I$3&gt;=メンバー!$H20),OR(メンバー!$I20="",I$3&lt;=メンバー!$I20)),N(メンバー!$C20)*I$4+N(メンバー!$D20)*I$5+N(メンバー!$E20)*I$6+N(メンバー!$F20)*I$7+N(メンバー!$G20)*I$8,0)</f>
        <v>0</v>
      </c>
      <c r="J25" s="38">
        <f>IF(AND(メンバー!$B20&lt;&gt;"",OR(メンバー!$H20="",J$3&gt;=メンバー!$H20),OR(メンバー!$I20="",J$3&lt;=メンバー!$I20)),N(メンバー!$C20)*J$4+N(メンバー!$D20)*J$5+N(メンバー!$E20)*J$6+N(メンバー!$F20)*J$7+N(メンバー!$G20)*J$8,0)</f>
        <v>0</v>
      </c>
      <c r="K25" s="38">
        <f>IF(AND(メンバー!$B20&lt;&gt;"",OR(メンバー!$H20="",K$3&gt;=メンバー!$H20),OR(メンバー!$I20="",K$3&lt;=メンバー!$I20)),N(メンバー!$C20)*K$4+N(メンバー!$D20)*K$5+N(メンバー!$E20)*K$6+N(メンバー!$F20)*K$7+N(メンバー!$G20)*K$8,0)</f>
        <v>0</v>
      </c>
      <c r="L25" s="38">
        <f>IF(AND(メンバー!$B20&lt;&gt;"",OR(メンバー!$H20="",L$3&gt;=メンバー!$H20),OR(メンバー!$I20="",L$3&lt;=メンバー!$I20)),N(メンバー!$C20)*L$4+N(メンバー!$D20)*L$5+N(メンバー!$E20)*L$6+N(メンバー!$F20)*L$7+N(メンバー!$G20)*L$8,0)</f>
        <v>0</v>
      </c>
      <c r="M25" s="38">
        <f>IF(AND(メンバー!$B20&lt;&gt;"",OR(メンバー!$H20="",M$3&gt;=メンバー!$H20),OR(メンバー!$I20="",M$3&lt;=メンバー!$I20)),N(メンバー!$C20)*M$4+N(メンバー!$D20)*M$5+N(メンバー!$E20)*M$6+N(メンバー!$F20)*M$7+N(メンバー!$G20)*M$8,0)</f>
        <v>0</v>
      </c>
      <c r="N25" s="38">
        <f>IF(AND(メンバー!$B20&lt;&gt;"",OR(メンバー!$H20="",N$3&gt;=メンバー!$H20),OR(メンバー!$I20="",N$3&lt;=メンバー!$I20)),N(メンバー!$C20)*N$4+N(メンバー!$D20)*N$5+N(メンバー!$E20)*N$6+N(メンバー!$F20)*N$7+N(メンバー!$G20)*N$8,0)</f>
        <v>0</v>
      </c>
      <c r="O25" s="38">
        <f>IF(AND(メンバー!$B20&lt;&gt;"",OR(メンバー!$H20="",O$3&gt;=メンバー!$H20),OR(メンバー!$I20="",O$3&lt;=メンバー!$I20)),N(メンバー!$C20)*O$4+N(メンバー!$D20)*O$5+N(メンバー!$E20)*O$6+N(メンバー!$F20)*O$7+N(メンバー!$G20)*O$8,0)</f>
        <v>0</v>
      </c>
      <c r="P25" s="38">
        <f>IF(AND(メンバー!$B20&lt;&gt;"",OR(メンバー!$H20="",P$3&gt;=メンバー!$H20),OR(メンバー!$I20="",P$3&lt;=メンバー!$I20)),N(メンバー!$C20)*P$4+N(メンバー!$D20)*P$5+N(メンバー!$E20)*P$6+N(メンバー!$F20)*P$7+N(メンバー!$G20)*P$8,0)</f>
        <v>0</v>
      </c>
      <c r="Q25" s="38">
        <f>IF(AND(メンバー!$B20&lt;&gt;"",OR(メンバー!$H20="",Q$3&gt;=メンバー!$H20),OR(メンバー!$I20="",Q$3&lt;=メンバー!$I20)),N(メンバー!$C20)*Q$4+N(メンバー!$D20)*Q$5+N(メンバー!$E20)*Q$6+N(メンバー!$F20)*Q$7+N(メンバー!$G20)*Q$8,0)</f>
        <v>0</v>
      </c>
      <c r="R25" s="38">
        <f>IF(AND(メンバー!$B20&lt;&gt;"",OR(メンバー!$H20="",R$3&gt;=メンバー!$H20),OR(メンバー!$I20="",R$3&lt;=メンバー!$I20)),N(メンバー!$C20)*R$4+N(メンバー!$D20)*R$5+N(メンバー!$E20)*R$6+N(メンバー!$F20)*R$7+N(メンバー!$G20)*R$8,0)</f>
        <v>0</v>
      </c>
      <c r="S25" s="38">
        <f>IF(AND(メンバー!$B20&lt;&gt;"",OR(メンバー!$H20="",S$3&gt;=メンバー!$H20),OR(メンバー!$I20="",S$3&lt;=メンバー!$I20)),N(メンバー!$C20)*S$4+N(メンバー!$D20)*S$5+N(メンバー!$E20)*S$6+N(メンバー!$F20)*S$7+N(メンバー!$G20)*S$8,0)</f>
        <v>0</v>
      </c>
      <c r="T25" s="38">
        <f>IF(AND(メンバー!$B20&lt;&gt;"",OR(メンバー!$H20="",T$3&gt;=メンバー!$H20),OR(メンバー!$I20="",T$3&lt;=メンバー!$I20)),N(メンバー!$C20)*T$4+N(メンバー!$D20)*T$5+N(メンバー!$E20)*T$6+N(メンバー!$F20)*T$7+N(メンバー!$G20)*T$8,0)</f>
        <v>0</v>
      </c>
      <c r="U25" s="38">
        <f>IF(AND(メンバー!$B20&lt;&gt;"",OR(メンバー!$H20="",U$3&gt;=メンバー!$H20),OR(メンバー!$I20="",U$3&lt;=メンバー!$I20)),N(メンバー!$C20)*U$4+N(メンバー!$D20)*U$5+N(メンバー!$E20)*U$6+N(メンバー!$F20)*U$7+N(メンバー!$G20)*U$8,0)</f>
        <v>0</v>
      </c>
      <c r="V25" s="38">
        <f>IF(AND(メンバー!$B20&lt;&gt;"",OR(メンバー!$H20="",V$3&gt;=メンバー!$H20),OR(メンバー!$I20="",V$3&lt;=メンバー!$I20)),N(メンバー!$C20)*V$4+N(メンバー!$D20)*V$5+N(メンバー!$E20)*V$6+N(メンバー!$F20)*V$7+N(メンバー!$G20)*V$8,0)</f>
        <v>0</v>
      </c>
    </row>
    <row r="26" spans="1:22" ht="15.75">
      <c r="A26" s="37" t="str">
        <f>IF(メンバー!$A21="","",メンバー!$A21)</f>
        <v/>
      </c>
      <c r="B26" s="37" t="str">
        <f>IF(メンバー!$B21="","",メンバー!$B21)</f>
        <v/>
      </c>
      <c r="C26" s="2"/>
      <c r="D26" s="38">
        <f>IF(AND(メンバー!$B21&lt;&gt;"",OR(メンバー!$H21="",D$3&gt;=メンバー!$H21),OR(メンバー!$I21="",D$3&lt;=メンバー!$I21)),N(メンバー!$C21)*D$4+N(メンバー!$D21)*D$5+N(メンバー!$E21)*D$6+N(メンバー!$F21)*D$7+N(メンバー!$G21)*D$8,0)</f>
        <v>0</v>
      </c>
      <c r="E26" s="38">
        <f>IF(AND(メンバー!$B21&lt;&gt;"",OR(メンバー!$H21="",E$3&gt;=メンバー!$H21),OR(メンバー!$I21="",E$3&lt;=メンバー!$I21)),N(メンバー!$C21)*E$4+N(メンバー!$D21)*E$5+N(メンバー!$E21)*E$6+N(メンバー!$F21)*E$7+N(メンバー!$G21)*E$8,0)</f>
        <v>0</v>
      </c>
      <c r="F26" s="38">
        <f>IF(AND(メンバー!$B21&lt;&gt;"",OR(メンバー!$H21="",F$3&gt;=メンバー!$H21),OR(メンバー!$I21="",F$3&lt;=メンバー!$I21)),N(メンバー!$C21)*F$4+N(メンバー!$D21)*F$5+N(メンバー!$E21)*F$6+N(メンバー!$F21)*F$7+N(メンバー!$G21)*F$8,0)</f>
        <v>0</v>
      </c>
      <c r="G26" s="38">
        <f>IF(AND(メンバー!$B21&lt;&gt;"",OR(メンバー!$H21="",G$3&gt;=メンバー!$H21),OR(メンバー!$I21="",G$3&lt;=メンバー!$I21)),N(メンバー!$C21)*G$4+N(メンバー!$D21)*G$5+N(メンバー!$E21)*G$6+N(メンバー!$F21)*G$7+N(メンバー!$G21)*G$8,0)</f>
        <v>0</v>
      </c>
      <c r="H26" s="38">
        <f>IF(AND(メンバー!$B21&lt;&gt;"",OR(メンバー!$H21="",H$3&gt;=メンバー!$H21),OR(メンバー!$I21="",H$3&lt;=メンバー!$I21)),N(メンバー!$C21)*H$4+N(メンバー!$D21)*H$5+N(メンバー!$E21)*H$6+N(メンバー!$F21)*H$7+N(メンバー!$G21)*H$8,0)</f>
        <v>0</v>
      </c>
      <c r="I26" s="38">
        <f>IF(AND(メンバー!$B21&lt;&gt;"",OR(メンバー!$H21="",I$3&gt;=メンバー!$H21),OR(メンバー!$I21="",I$3&lt;=メンバー!$I21)),N(メンバー!$C21)*I$4+N(メンバー!$D21)*I$5+N(メンバー!$E21)*I$6+N(メンバー!$F21)*I$7+N(メンバー!$G21)*I$8,0)</f>
        <v>0</v>
      </c>
      <c r="J26" s="38">
        <f>IF(AND(メンバー!$B21&lt;&gt;"",OR(メンバー!$H21="",J$3&gt;=メンバー!$H21),OR(メンバー!$I21="",J$3&lt;=メンバー!$I21)),N(メンバー!$C21)*J$4+N(メンバー!$D21)*J$5+N(メンバー!$E21)*J$6+N(メンバー!$F21)*J$7+N(メンバー!$G21)*J$8,0)</f>
        <v>0</v>
      </c>
      <c r="K26" s="38">
        <f>IF(AND(メンバー!$B21&lt;&gt;"",OR(メンバー!$H21="",K$3&gt;=メンバー!$H21),OR(メンバー!$I21="",K$3&lt;=メンバー!$I21)),N(メンバー!$C21)*K$4+N(メンバー!$D21)*K$5+N(メンバー!$E21)*K$6+N(メンバー!$F21)*K$7+N(メンバー!$G21)*K$8,0)</f>
        <v>0</v>
      </c>
      <c r="L26" s="38">
        <f>IF(AND(メンバー!$B21&lt;&gt;"",OR(メンバー!$H21="",L$3&gt;=メンバー!$H21),OR(メンバー!$I21="",L$3&lt;=メンバー!$I21)),N(メンバー!$C21)*L$4+N(メンバー!$D21)*L$5+N(メンバー!$E21)*L$6+N(メンバー!$F21)*L$7+N(メンバー!$G21)*L$8,0)</f>
        <v>0</v>
      </c>
      <c r="M26" s="38">
        <f>IF(AND(メンバー!$B21&lt;&gt;"",OR(メンバー!$H21="",M$3&gt;=メンバー!$H21),OR(メンバー!$I21="",M$3&lt;=メンバー!$I21)),N(メンバー!$C21)*M$4+N(メンバー!$D21)*M$5+N(メンバー!$E21)*M$6+N(メンバー!$F21)*M$7+N(メンバー!$G21)*M$8,0)</f>
        <v>0</v>
      </c>
      <c r="N26" s="38">
        <f>IF(AND(メンバー!$B21&lt;&gt;"",OR(メンバー!$H21="",N$3&gt;=メンバー!$H21),OR(メンバー!$I21="",N$3&lt;=メンバー!$I21)),N(メンバー!$C21)*N$4+N(メンバー!$D21)*N$5+N(メンバー!$E21)*N$6+N(メンバー!$F21)*N$7+N(メンバー!$G21)*N$8,0)</f>
        <v>0</v>
      </c>
      <c r="O26" s="38">
        <f>IF(AND(メンバー!$B21&lt;&gt;"",OR(メンバー!$H21="",O$3&gt;=メンバー!$H21),OR(メンバー!$I21="",O$3&lt;=メンバー!$I21)),N(メンバー!$C21)*O$4+N(メンバー!$D21)*O$5+N(メンバー!$E21)*O$6+N(メンバー!$F21)*O$7+N(メンバー!$G21)*O$8,0)</f>
        <v>0</v>
      </c>
      <c r="P26" s="38">
        <f>IF(AND(メンバー!$B21&lt;&gt;"",OR(メンバー!$H21="",P$3&gt;=メンバー!$H21),OR(メンバー!$I21="",P$3&lt;=メンバー!$I21)),N(メンバー!$C21)*P$4+N(メンバー!$D21)*P$5+N(メンバー!$E21)*P$6+N(メンバー!$F21)*P$7+N(メンバー!$G21)*P$8,0)</f>
        <v>0</v>
      </c>
      <c r="Q26" s="38">
        <f>IF(AND(メンバー!$B21&lt;&gt;"",OR(メンバー!$H21="",Q$3&gt;=メンバー!$H21),OR(メンバー!$I21="",Q$3&lt;=メンバー!$I21)),N(メンバー!$C21)*Q$4+N(メンバー!$D21)*Q$5+N(メンバー!$E21)*Q$6+N(メンバー!$F21)*Q$7+N(メンバー!$G21)*Q$8,0)</f>
        <v>0</v>
      </c>
      <c r="R26" s="38">
        <f>IF(AND(メンバー!$B21&lt;&gt;"",OR(メンバー!$H21="",R$3&gt;=メンバー!$H21),OR(メンバー!$I21="",R$3&lt;=メンバー!$I21)),N(メンバー!$C21)*R$4+N(メンバー!$D21)*R$5+N(メンバー!$E21)*R$6+N(メンバー!$F21)*R$7+N(メンバー!$G21)*R$8,0)</f>
        <v>0</v>
      </c>
      <c r="S26" s="38">
        <f>IF(AND(メンバー!$B21&lt;&gt;"",OR(メンバー!$H21="",S$3&gt;=メンバー!$H21),OR(メンバー!$I21="",S$3&lt;=メンバー!$I21)),N(メンバー!$C21)*S$4+N(メンバー!$D21)*S$5+N(メンバー!$E21)*S$6+N(メンバー!$F21)*S$7+N(メンバー!$G21)*S$8,0)</f>
        <v>0</v>
      </c>
      <c r="T26" s="38">
        <f>IF(AND(メンバー!$B21&lt;&gt;"",OR(メンバー!$H21="",T$3&gt;=メンバー!$H21),OR(メンバー!$I21="",T$3&lt;=メンバー!$I21)),N(メンバー!$C21)*T$4+N(メンバー!$D21)*T$5+N(メンバー!$E21)*T$6+N(メンバー!$F21)*T$7+N(メンバー!$G21)*T$8,0)</f>
        <v>0</v>
      </c>
      <c r="U26" s="38">
        <f>IF(AND(メンバー!$B21&lt;&gt;"",OR(メンバー!$H21="",U$3&gt;=メンバー!$H21),OR(メンバー!$I21="",U$3&lt;=メンバー!$I21)),N(メンバー!$C21)*U$4+N(メンバー!$D21)*U$5+N(メンバー!$E21)*U$6+N(メンバー!$F21)*U$7+N(メンバー!$G21)*U$8,0)</f>
        <v>0</v>
      </c>
      <c r="V26" s="38">
        <f>IF(AND(メンバー!$B21&lt;&gt;"",OR(メンバー!$H21="",V$3&gt;=メンバー!$H21),OR(メンバー!$I21="",V$3&lt;=メンバー!$I21)),N(メンバー!$C21)*V$4+N(メンバー!$D21)*V$5+N(メンバー!$E21)*V$6+N(メンバー!$F21)*V$7+N(メンバー!$G21)*V$8,0)</f>
        <v>0</v>
      </c>
    </row>
    <row r="27" spans="1:22" ht="15.75">
      <c r="A27" s="37" t="str">
        <f>IF(メンバー!$A22="","",メンバー!$A22)</f>
        <v/>
      </c>
      <c r="B27" s="37" t="str">
        <f>IF(メンバー!$B22="","",メンバー!$B22)</f>
        <v/>
      </c>
      <c r="C27" s="2"/>
      <c r="D27" s="38">
        <f>IF(AND(メンバー!$B22&lt;&gt;"",OR(メンバー!$H22="",D$3&gt;=メンバー!$H22),OR(メンバー!$I22="",D$3&lt;=メンバー!$I22)),N(メンバー!$C22)*D$4+N(メンバー!$D22)*D$5+N(メンバー!$E22)*D$6+N(メンバー!$F22)*D$7+N(メンバー!$G22)*D$8,0)</f>
        <v>0</v>
      </c>
      <c r="E27" s="38">
        <f>IF(AND(メンバー!$B22&lt;&gt;"",OR(メンバー!$H22="",E$3&gt;=メンバー!$H22),OR(メンバー!$I22="",E$3&lt;=メンバー!$I22)),N(メンバー!$C22)*E$4+N(メンバー!$D22)*E$5+N(メンバー!$E22)*E$6+N(メンバー!$F22)*E$7+N(メンバー!$G22)*E$8,0)</f>
        <v>0</v>
      </c>
      <c r="F27" s="38">
        <f>IF(AND(メンバー!$B22&lt;&gt;"",OR(メンバー!$H22="",F$3&gt;=メンバー!$H22),OR(メンバー!$I22="",F$3&lt;=メンバー!$I22)),N(メンバー!$C22)*F$4+N(メンバー!$D22)*F$5+N(メンバー!$E22)*F$6+N(メンバー!$F22)*F$7+N(メンバー!$G22)*F$8,0)</f>
        <v>0</v>
      </c>
      <c r="G27" s="38">
        <f>IF(AND(メンバー!$B22&lt;&gt;"",OR(メンバー!$H22="",G$3&gt;=メンバー!$H22),OR(メンバー!$I22="",G$3&lt;=メンバー!$I22)),N(メンバー!$C22)*G$4+N(メンバー!$D22)*G$5+N(メンバー!$E22)*G$6+N(メンバー!$F22)*G$7+N(メンバー!$G22)*G$8,0)</f>
        <v>0</v>
      </c>
      <c r="H27" s="38">
        <f>IF(AND(メンバー!$B22&lt;&gt;"",OR(メンバー!$H22="",H$3&gt;=メンバー!$H22),OR(メンバー!$I22="",H$3&lt;=メンバー!$I22)),N(メンバー!$C22)*H$4+N(メンバー!$D22)*H$5+N(メンバー!$E22)*H$6+N(メンバー!$F22)*H$7+N(メンバー!$G22)*H$8,0)</f>
        <v>0</v>
      </c>
      <c r="I27" s="38">
        <f>IF(AND(メンバー!$B22&lt;&gt;"",OR(メンバー!$H22="",I$3&gt;=メンバー!$H22),OR(メンバー!$I22="",I$3&lt;=メンバー!$I22)),N(メンバー!$C22)*I$4+N(メンバー!$D22)*I$5+N(メンバー!$E22)*I$6+N(メンバー!$F22)*I$7+N(メンバー!$G22)*I$8,0)</f>
        <v>0</v>
      </c>
      <c r="J27" s="38">
        <f>IF(AND(メンバー!$B22&lt;&gt;"",OR(メンバー!$H22="",J$3&gt;=メンバー!$H22),OR(メンバー!$I22="",J$3&lt;=メンバー!$I22)),N(メンバー!$C22)*J$4+N(メンバー!$D22)*J$5+N(メンバー!$E22)*J$6+N(メンバー!$F22)*J$7+N(メンバー!$G22)*J$8,0)</f>
        <v>0</v>
      </c>
      <c r="K27" s="38">
        <f>IF(AND(メンバー!$B22&lt;&gt;"",OR(メンバー!$H22="",K$3&gt;=メンバー!$H22),OR(メンバー!$I22="",K$3&lt;=メンバー!$I22)),N(メンバー!$C22)*K$4+N(メンバー!$D22)*K$5+N(メンバー!$E22)*K$6+N(メンバー!$F22)*K$7+N(メンバー!$G22)*K$8,0)</f>
        <v>0</v>
      </c>
      <c r="L27" s="38">
        <f>IF(AND(メンバー!$B22&lt;&gt;"",OR(メンバー!$H22="",L$3&gt;=メンバー!$H22),OR(メンバー!$I22="",L$3&lt;=メンバー!$I22)),N(メンバー!$C22)*L$4+N(メンバー!$D22)*L$5+N(メンバー!$E22)*L$6+N(メンバー!$F22)*L$7+N(メンバー!$G22)*L$8,0)</f>
        <v>0</v>
      </c>
      <c r="M27" s="38">
        <f>IF(AND(メンバー!$B22&lt;&gt;"",OR(メンバー!$H22="",M$3&gt;=メンバー!$H22),OR(メンバー!$I22="",M$3&lt;=メンバー!$I22)),N(メンバー!$C22)*M$4+N(メンバー!$D22)*M$5+N(メンバー!$E22)*M$6+N(メンバー!$F22)*M$7+N(メンバー!$G22)*M$8,0)</f>
        <v>0</v>
      </c>
      <c r="N27" s="38">
        <f>IF(AND(メンバー!$B22&lt;&gt;"",OR(メンバー!$H22="",N$3&gt;=メンバー!$H22),OR(メンバー!$I22="",N$3&lt;=メンバー!$I22)),N(メンバー!$C22)*N$4+N(メンバー!$D22)*N$5+N(メンバー!$E22)*N$6+N(メンバー!$F22)*N$7+N(メンバー!$G22)*N$8,0)</f>
        <v>0</v>
      </c>
      <c r="O27" s="38">
        <f>IF(AND(メンバー!$B22&lt;&gt;"",OR(メンバー!$H22="",O$3&gt;=メンバー!$H22),OR(メンバー!$I22="",O$3&lt;=メンバー!$I22)),N(メンバー!$C22)*O$4+N(メンバー!$D22)*O$5+N(メンバー!$E22)*O$6+N(メンバー!$F22)*O$7+N(メンバー!$G22)*O$8,0)</f>
        <v>0</v>
      </c>
      <c r="P27" s="38">
        <f>IF(AND(メンバー!$B22&lt;&gt;"",OR(メンバー!$H22="",P$3&gt;=メンバー!$H22),OR(メンバー!$I22="",P$3&lt;=メンバー!$I22)),N(メンバー!$C22)*P$4+N(メンバー!$D22)*P$5+N(メンバー!$E22)*P$6+N(メンバー!$F22)*P$7+N(メンバー!$G22)*P$8,0)</f>
        <v>0</v>
      </c>
      <c r="Q27" s="38">
        <f>IF(AND(メンバー!$B22&lt;&gt;"",OR(メンバー!$H22="",Q$3&gt;=メンバー!$H22),OR(メンバー!$I22="",Q$3&lt;=メンバー!$I22)),N(メンバー!$C22)*Q$4+N(メンバー!$D22)*Q$5+N(メンバー!$E22)*Q$6+N(メンバー!$F22)*Q$7+N(メンバー!$G22)*Q$8,0)</f>
        <v>0</v>
      </c>
      <c r="R27" s="38">
        <f>IF(AND(メンバー!$B22&lt;&gt;"",OR(メンバー!$H22="",R$3&gt;=メンバー!$H22),OR(メンバー!$I22="",R$3&lt;=メンバー!$I22)),N(メンバー!$C22)*R$4+N(メンバー!$D22)*R$5+N(メンバー!$E22)*R$6+N(メンバー!$F22)*R$7+N(メンバー!$G22)*R$8,0)</f>
        <v>0</v>
      </c>
      <c r="S27" s="38">
        <f>IF(AND(メンバー!$B22&lt;&gt;"",OR(メンバー!$H22="",S$3&gt;=メンバー!$H22),OR(メンバー!$I22="",S$3&lt;=メンバー!$I22)),N(メンバー!$C22)*S$4+N(メンバー!$D22)*S$5+N(メンバー!$E22)*S$6+N(メンバー!$F22)*S$7+N(メンバー!$G22)*S$8,0)</f>
        <v>0</v>
      </c>
      <c r="T27" s="38">
        <f>IF(AND(メンバー!$B22&lt;&gt;"",OR(メンバー!$H22="",T$3&gt;=メンバー!$H22),OR(メンバー!$I22="",T$3&lt;=メンバー!$I22)),N(メンバー!$C22)*T$4+N(メンバー!$D22)*T$5+N(メンバー!$E22)*T$6+N(メンバー!$F22)*T$7+N(メンバー!$G22)*T$8,0)</f>
        <v>0</v>
      </c>
      <c r="U27" s="38">
        <f>IF(AND(メンバー!$B22&lt;&gt;"",OR(メンバー!$H22="",U$3&gt;=メンバー!$H22),OR(メンバー!$I22="",U$3&lt;=メンバー!$I22)),N(メンバー!$C22)*U$4+N(メンバー!$D22)*U$5+N(メンバー!$E22)*U$6+N(メンバー!$F22)*U$7+N(メンバー!$G22)*U$8,0)</f>
        <v>0</v>
      </c>
      <c r="V27" s="38">
        <f>IF(AND(メンバー!$B22&lt;&gt;"",OR(メンバー!$H22="",V$3&gt;=メンバー!$H22),OR(メンバー!$I22="",V$3&lt;=メンバー!$I22)),N(メンバー!$C22)*V$4+N(メンバー!$D22)*V$5+N(メンバー!$E22)*V$6+N(メンバー!$F22)*V$7+N(メンバー!$G22)*V$8,0)</f>
        <v>0</v>
      </c>
    </row>
    <row r="28" spans="1:22" ht="15.75">
      <c r="A28" s="37" t="str">
        <f>IF(メンバー!$A23="","",メンバー!$A23)</f>
        <v/>
      </c>
      <c r="B28" s="37" t="str">
        <f>IF(メンバー!$B23="","",メンバー!$B23)</f>
        <v/>
      </c>
      <c r="C28" s="2"/>
      <c r="D28" s="38">
        <f>IF(AND(メンバー!$B23&lt;&gt;"",OR(メンバー!$H23="",D$3&gt;=メンバー!$H23),OR(メンバー!$I23="",D$3&lt;=メンバー!$I23)),N(メンバー!$C23)*D$4+N(メンバー!$D23)*D$5+N(メンバー!$E23)*D$6+N(メンバー!$F23)*D$7+N(メンバー!$G23)*D$8,0)</f>
        <v>0</v>
      </c>
      <c r="E28" s="38">
        <f>IF(AND(メンバー!$B23&lt;&gt;"",OR(メンバー!$H23="",E$3&gt;=メンバー!$H23),OR(メンバー!$I23="",E$3&lt;=メンバー!$I23)),N(メンバー!$C23)*E$4+N(メンバー!$D23)*E$5+N(メンバー!$E23)*E$6+N(メンバー!$F23)*E$7+N(メンバー!$G23)*E$8,0)</f>
        <v>0</v>
      </c>
      <c r="F28" s="38">
        <f>IF(AND(メンバー!$B23&lt;&gt;"",OR(メンバー!$H23="",F$3&gt;=メンバー!$H23),OR(メンバー!$I23="",F$3&lt;=メンバー!$I23)),N(メンバー!$C23)*F$4+N(メンバー!$D23)*F$5+N(メンバー!$E23)*F$6+N(メンバー!$F23)*F$7+N(メンバー!$G23)*F$8,0)</f>
        <v>0</v>
      </c>
      <c r="G28" s="38">
        <f>IF(AND(メンバー!$B23&lt;&gt;"",OR(メンバー!$H23="",G$3&gt;=メンバー!$H23),OR(メンバー!$I23="",G$3&lt;=メンバー!$I23)),N(メンバー!$C23)*G$4+N(メンバー!$D23)*G$5+N(メンバー!$E23)*G$6+N(メンバー!$F23)*G$7+N(メンバー!$G23)*G$8,0)</f>
        <v>0</v>
      </c>
      <c r="H28" s="38">
        <f>IF(AND(メンバー!$B23&lt;&gt;"",OR(メンバー!$H23="",H$3&gt;=メンバー!$H23),OR(メンバー!$I23="",H$3&lt;=メンバー!$I23)),N(メンバー!$C23)*H$4+N(メンバー!$D23)*H$5+N(メンバー!$E23)*H$6+N(メンバー!$F23)*H$7+N(メンバー!$G23)*H$8,0)</f>
        <v>0</v>
      </c>
      <c r="I28" s="38">
        <f>IF(AND(メンバー!$B23&lt;&gt;"",OR(メンバー!$H23="",I$3&gt;=メンバー!$H23),OR(メンバー!$I23="",I$3&lt;=メンバー!$I23)),N(メンバー!$C23)*I$4+N(メンバー!$D23)*I$5+N(メンバー!$E23)*I$6+N(メンバー!$F23)*I$7+N(メンバー!$G23)*I$8,0)</f>
        <v>0</v>
      </c>
      <c r="J28" s="38">
        <f>IF(AND(メンバー!$B23&lt;&gt;"",OR(メンバー!$H23="",J$3&gt;=メンバー!$H23),OR(メンバー!$I23="",J$3&lt;=メンバー!$I23)),N(メンバー!$C23)*J$4+N(メンバー!$D23)*J$5+N(メンバー!$E23)*J$6+N(メンバー!$F23)*J$7+N(メンバー!$G23)*J$8,0)</f>
        <v>0</v>
      </c>
      <c r="K28" s="38">
        <f>IF(AND(メンバー!$B23&lt;&gt;"",OR(メンバー!$H23="",K$3&gt;=メンバー!$H23),OR(メンバー!$I23="",K$3&lt;=メンバー!$I23)),N(メンバー!$C23)*K$4+N(メンバー!$D23)*K$5+N(メンバー!$E23)*K$6+N(メンバー!$F23)*K$7+N(メンバー!$G23)*K$8,0)</f>
        <v>0</v>
      </c>
      <c r="L28" s="38">
        <f>IF(AND(メンバー!$B23&lt;&gt;"",OR(メンバー!$H23="",L$3&gt;=メンバー!$H23),OR(メンバー!$I23="",L$3&lt;=メンバー!$I23)),N(メンバー!$C23)*L$4+N(メンバー!$D23)*L$5+N(メンバー!$E23)*L$6+N(メンバー!$F23)*L$7+N(メンバー!$G23)*L$8,0)</f>
        <v>0</v>
      </c>
      <c r="M28" s="38">
        <f>IF(AND(メンバー!$B23&lt;&gt;"",OR(メンバー!$H23="",M$3&gt;=メンバー!$H23),OR(メンバー!$I23="",M$3&lt;=メンバー!$I23)),N(メンバー!$C23)*M$4+N(メンバー!$D23)*M$5+N(メンバー!$E23)*M$6+N(メンバー!$F23)*M$7+N(メンバー!$G23)*M$8,0)</f>
        <v>0</v>
      </c>
      <c r="N28" s="38">
        <f>IF(AND(メンバー!$B23&lt;&gt;"",OR(メンバー!$H23="",N$3&gt;=メンバー!$H23),OR(メンバー!$I23="",N$3&lt;=メンバー!$I23)),N(メンバー!$C23)*N$4+N(メンバー!$D23)*N$5+N(メンバー!$E23)*N$6+N(メンバー!$F23)*N$7+N(メンバー!$G23)*N$8,0)</f>
        <v>0</v>
      </c>
      <c r="O28" s="38">
        <f>IF(AND(メンバー!$B23&lt;&gt;"",OR(メンバー!$H23="",O$3&gt;=メンバー!$H23),OR(メンバー!$I23="",O$3&lt;=メンバー!$I23)),N(メンバー!$C23)*O$4+N(メンバー!$D23)*O$5+N(メンバー!$E23)*O$6+N(メンバー!$F23)*O$7+N(メンバー!$G23)*O$8,0)</f>
        <v>0</v>
      </c>
      <c r="P28" s="38">
        <f>IF(AND(メンバー!$B23&lt;&gt;"",OR(メンバー!$H23="",P$3&gt;=メンバー!$H23),OR(メンバー!$I23="",P$3&lt;=メンバー!$I23)),N(メンバー!$C23)*P$4+N(メンバー!$D23)*P$5+N(メンバー!$E23)*P$6+N(メンバー!$F23)*P$7+N(メンバー!$G23)*P$8,0)</f>
        <v>0</v>
      </c>
      <c r="Q28" s="38">
        <f>IF(AND(メンバー!$B23&lt;&gt;"",OR(メンバー!$H23="",Q$3&gt;=メンバー!$H23),OR(メンバー!$I23="",Q$3&lt;=メンバー!$I23)),N(メンバー!$C23)*Q$4+N(メンバー!$D23)*Q$5+N(メンバー!$E23)*Q$6+N(メンバー!$F23)*Q$7+N(メンバー!$G23)*Q$8,0)</f>
        <v>0</v>
      </c>
      <c r="R28" s="38">
        <f>IF(AND(メンバー!$B23&lt;&gt;"",OR(メンバー!$H23="",R$3&gt;=メンバー!$H23),OR(メンバー!$I23="",R$3&lt;=メンバー!$I23)),N(メンバー!$C23)*R$4+N(メンバー!$D23)*R$5+N(メンバー!$E23)*R$6+N(メンバー!$F23)*R$7+N(メンバー!$G23)*R$8,0)</f>
        <v>0</v>
      </c>
      <c r="S28" s="38">
        <f>IF(AND(メンバー!$B23&lt;&gt;"",OR(メンバー!$H23="",S$3&gt;=メンバー!$H23),OR(メンバー!$I23="",S$3&lt;=メンバー!$I23)),N(メンバー!$C23)*S$4+N(メンバー!$D23)*S$5+N(メンバー!$E23)*S$6+N(メンバー!$F23)*S$7+N(メンバー!$G23)*S$8,0)</f>
        <v>0</v>
      </c>
      <c r="T28" s="38">
        <f>IF(AND(メンバー!$B23&lt;&gt;"",OR(メンバー!$H23="",T$3&gt;=メンバー!$H23),OR(メンバー!$I23="",T$3&lt;=メンバー!$I23)),N(メンバー!$C23)*T$4+N(メンバー!$D23)*T$5+N(メンバー!$E23)*T$6+N(メンバー!$F23)*T$7+N(メンバー!$G23)*T$8,0)</f>
        <v>0</v>
      </c>
      <c r="U28" s="38">
        <f>IF(AND(メンバー!$B23&lt;&gt;"",OR(メンバー!$H23="",U$3&gt;=メンバー!$H23),OR(メンバー!$I23="",U$3&lt;=メンバー!$I23)),N(メンバー!$C23)*U$4+N(メンバー!$D23)*U$5+N(メンバー!$E23)*U$6+N(メンバー!$F23)*U$7+N(メンバー!$G23)*U$8,0)</f>
        <v>0</v>
      </c>
      <c r="V28" s="38">
        <f>IF(AND(メンバー!$B23&lt;&gt;"",OR(メンバー!$H23="",V$3&gt;=メンバー!$H23),OR(メンバー!$I23="",V$3&lt;=メンバー!$I23)),N(メンバー!$C23)*V$4+N(メンバー!$D23)*V$5+N(メンバー!$E23)*V$6+N(メンバー!$F23)*V$7+N(メンバー!$G23)*V$8,0)</f>
        <v>0</v>
      </c>
    </row>
    <row r="29" spans="1:22" ht="15.75">
      <c r="A29" s="37" t="str">
        <f>IF(メンバー!$A24="","",メンバー!$A24)</f>
        <v/>
      </c>
      <c r="B29" s="37" t="str">
        <f>IF(メンバー!$B24="","",メンバー!$B24)</f>
        <v/>
      </c>
      <c r="C29" s="2"/>
      <c r="D29" s="38">
        <f>IF(AND(メンバー!$B24&lt;&gt;"",OR(メンバー!$H24="",D$3&gt;=メンバー!$H24),OR(メンバー!$I24="",D$3&lt;=メンバー!$I24)),N(メンバー!$C24)*D$4+N(メンバー!$D24)*D$5+N(メンバー!$E24)*D$6+N(メンバー!$F24)*D$7+N(メンバー!$G24)*D$8,0)</f>
        <v>0</v>
      </c>
      <c r="E29" s="38">
        <f>IF(AND(メンバー!$B24&lt;&gt;"",OR(メンバー!$H24="",E$3&gt;=メンバー!$H24),OR(メンバー!$I24="",E$3&lt;=メンバー!$I24)),N(メンバー!$C24)*E$4+N(メンバー!$D24)*E$5+N(メンバー!$E24)*E$6+N(メンバー!$F24)*E$7+N(メンバー!$G24)*E$8,0)</f>
        <v>0</v>
      </c>
      <c r="F29" s="38">
        <f>IF(AND(メンバー!$B24&lt;&gt;"",OR(メンバー!$H24="",F$3&gt;=メンバー!$H24),OR(メンバー!$I24="",F$3&lt;=メンバー!$I24)),N(メンバー!$C24)*F$4+N(メンバー!$D24)*F$5+N(メンバー!$E24)*F$6+N(メンバー!$F24)*F$7+N(メンバー!$G24)*F$8,0)</f>
        <v>0</v>
      </c>
      <c r="G29" s="38">
        <f>IF(AND(メンバー!$B24&lt;&gt;"",OR(メンバー!$H24="",G$3&gt;=メンバー!$H24),OR(メンバー!$I24="",G$3&lt;=メンバー!$I24)),N(メンバー!$C24)*G$4+N(メンバー!$D24)*G$5+N(メンバー!$E24)*G$6+N(メンバー!$F24)*G$7+N(メンバー!$G24)*G$8,0)</f>
        <v>0</v>
      </c>
      <c r="H29" s="38">
        <f>IF(AND(メンバー!$B24&lt;&gt;"",OR(メンバー!$H24="",H$3&gt;=メンバー!$H24),OR(メンバー!$I24="",H$3&lt;=メンバー!$I24)),N(メンバー!$C24)*H$4+N(メンバー!$D24)*H$5+N(メンバー!$E24)*H$6+N(メンバー!$F24)*H$7+N(メンバー!$G24)*H$8,0)</f>
        <v>0</v>
      </c>
      <c r="I29" s="38">
        <f>IF(AND(メンバー!$B24&lt;&gt;"",OR(メンバー!$H24="",I$3&gt;=メンバー!$H24),OR(メンバー!$I24="",I$3&lt;=メンバー!$I24)),N(メンバー!$C24)*I$4+N(メンバー!$D24)*I$5+N(メンバー!$E24)*I$6+N(メンバー!$F24)*I$7+N(メンバー!$G24)*I$8,0)</f>
        <v>0</v>
      </c>
      <c r="J29" s="38">
        <f>IF(AND(メンバー!$B24&lt;&gt;"",OR(メンバー!$H24="",J$3&gt;=メンバー!$H24),OR(メンバー!$I24="",J$3&lt;=メンバー!$I24)),N(メンバー!$C24)*J$4+N(メンバー!$D24)*J$5+N(メンバー!$E24)*J$6+N(メンバー!$F24)*J$7+N(メンバー!$G24)*J$8,0)</f>
        <v>0</v>
      </c>
      <c r="K29" s="38">
        <f>IF(AND(メンバー!$B24&lt;&gt;"",OR(メンバー!$H24="",K$3&gt;=メンバー!$H24),OR(メンバー!$I24="",K$3&lt;=メンバー!$I24)),N(メンバー!$C24)*K$4+N(メンバー!$D24)*K$5+N(メンバー!$E24)*K$6+N(メンバー!$F24)*K$7+N(メンバー!$G24)*K$8,0)</f>
        <v>0</v>
      </c>
      <c r="L29" s="38">
        <f>IF(AND(メンバー!$B24&lt;&gt;"",OR(メンバー!$H24="",L$3&gt;=メンバー!$H24),OR(メンバー!$I24="",L$3&lt;=メンバー!$I24)),N(メンバー!$C24)*L$4+N(メンバー!$D24)*L$5+N(メンバー!$E24)*L$6+N(メンバー!$F24)*L$7+N(メンバー!$G24)*L$8,0)</f>
        <v>0</v>
      </c>
      <c r="M29" s="38">
        <f>IF(AND(メンバー!$B24&lt;&gt;"",OR(メンバー!$H24="",M$3&gt;=メンバー!$H24),OR(メンバー!$I24="",M$3&lt;=メンバー!$I24)),N(メンバー!$C24)*M$4+N(メンバー!$D24)*M$5+N(メンバー!$E24)*M$6+N(メンバー!$F24)*M$7+N(メンバー!$G24)*M$8,0)</f>
        <v>0</v>
      </c>
      <c r="N29" s="38">
        <f>IF(AND(メンバー!$B24&lt;&gt;"",OR(メンバー!$H24="",N$3&gt;=メンバー!$H24),OR(メンバー!$I24="",N$3&lt;=メンバー!$I24)),N(メンバー!$C24)*N$4+N(メンバー!$D24)*N$5+N(メンバー!$E24)*N$6+N(メンバー!$F24)*N$7+N(メンバー!$G24)*N$8,0)</f>
        <v>0</v>
      </c>
      <c r="O29" s="38">
        <f>IF(AND(メンバー!$B24&lt;&gt;"",OR(メンバー!$H24="",O$3&gt;=メンバー!$H24),OR(メンバー!$I24="",O$3&lt;=メンバー!$I24)),N(メンバー!$C24)*O$4+N(メンバー!$D24)*O$5+N(メンバー!$E24)*O$6+N(メンバー!$F24)*O$7+N(メンバー!$G24)*O$8,0)</f>
        <v>0</v>
      </c>
      <c r="P29" s="38">
        <f>IF(AND(メンバー!$B24&lt;&gt;"",OR(メンバー!$H24="",P$3&gt;=メンバー!$H24),OR(メンバー!$I24="",P$3&lt;=メンバー!$I24)),N(メンバー!$C24)*P$4+N(メンバー!$D24)*P$5+N(メンバー!$E24)*P$6+N(メンバー!$F24)*P$7+N(メンバー!$G24)*P$8,0)</f>
        <v>0</v>
      </c>
      <c r="Q29" s="38">
        <f>IF(AND(メンバー!$B24&lt;&gt;"",OR(メンバー!$H24="",Q$3&gt;=メンバー!$H24),OR(メンバー!$I24="",Q$3&lt;=メンバー!$I24)),N(メンバー!$C24)*Q$4+N(メンバー!$D24)*Q$5+N(メンバー!$E24)*Q$6+N(メンバー!$F24)*Q$7+N(メンバー!$G24)*Q$8,0)</f>
        <v>0</v>
      </c>
      <c r="R29" s="38">
        <f>IF(AND(メンバー!$B24&lt;&gt;"",OR(メンバー!$H24="",R$3&gt;=メンバー!$H24),OR(メンバー!$I24="",R$3&lt;=メンバー!$I24)),N(メンバー!$C24)*R$4+N(メンバー!$D24)*R$5+N(メンバー!$E24)*R$6+N(メンバー!$F24)*R$7+N(メンバー!$G24)*R$8,0)</f>
        <v>0</v>
      </c>
      <c r="S29" s="38">
        <f>IF(AND(メンバー!$B24&lt;&gt;"",OR(メンバー!$H24="",S$3&gt;=メンバー!$H24),OR(メンバー!$I24="",S$3&lt;=メンバー!$I24)),N(メンバー!$C24)*S$4+N(メンバー!$D24)*S$5+N(メンバー!$E24)*S$6+N(メンバー!$F24)*S$7+N(メンバー!$G24)*S$8,0)</f>
        <v>0</v>
      </c>
      <c r="T29" s="38">
        <f>IF(AND(メンバー!$B24&lt;&gt;"",OR(メンバー!$H24="",T$3&gt;=メンバー!$H24),OR(メンバー!$I24="",T$3&lt;=メンバー!$I24)),N(メンバー!$C24)*T$4+N(メンバー!$D24)*T$5+N(メンバー!$E24)*T$6+N(メンバー!$F24)*T$7+N(メンバー!$G24)*T$8,0)</f>
        <v>0</v>
      </c>
      <c r="U29" s="38">
        <f>IF(AND(メンバー!$B24&lt;&gt;"",OR(メンバー!$H24="",U$3&gt;=メンバー!$H24),OR(メンバー!$I24="",U$3&lt;=メンバー!$I24)),N(メンバー!$C24)*U$4+N(メンバー!$D24)*U$5+N(メンバー!$E24)*U$6+N(メンバー!$F24)*U$7+N(メンバー!$G24)*U$8,0)</f>
        <v>0</v>
      </c>
      <c r="V29" s="38">
        <f>IF(AND(メンバー!$B24&lt;&gt;"",OR(メンバー!$H24="",V$3&gt;=メンバー!$H24),OR(メンバー!$I24="",V$3&lt;=メンバー!$I24)),N(メンバー!$C24)*V$4+N(メンバー!$D24)*V$5+N(メンバー!$E24)*V$6+N(メンバー!$F24)*V$7+N(メンバー!$G24)*V$8,0)</f>
        <v>0</v>
      </c>
    </row>
    <row r="30" spans="1:22" ht="15.75">
      <c r="A30" s="37" t="str">
        <f>IF(メンバー!$A25="","",メンバー!$A25)</f>
        <v/>
      </c>
      <c r="B30" s="37" t="str">
        <f>IF(メンバー!$B25="","",メンバー!$B25)</f>
        <v/>
      </c>
      <c r="C30" s="2"/>
      <c r="D30" s="38">
        <f>IF(AND(メンバー!$B25&lt;&gt;"",OR(メンバー!$H25="",D$3&gt;=メンバー!$H25),OR(メンバー!$I25="",D$3&lt;=メンバー!$I25)),N(メンバー!$C25)*D$4+N(メンバー!$D25)*D$5+N(メンバー!$E25)*D$6+N(メンバー!$F25)*D$7+N(メンバー!$G25)*D$8,0)</f>
        <v>0</v>
      </c>
      <c r="E30" s="38">
        <f>IF(AND(メンバー!$B25&lt;&gt;"",OR(メンバー!$H25="",E$3&gt;=メンバー!$H25),OR(メンバー!$I25="",E$3&lt;=メンバー!$I25)),N(メンバー!$C25)*E$4+N(メンバー!$D25)*E$5+N(メンバー!$E25)*E$6+N(メンバー!$F25)*E$7+N(メンバー!$G25)*E$8,0)</f>
        <v>0</v>
      </c>
      <c r="F30" s="38">
        <f>IF(AND(メンバー!$B25&lt;&gt;"",OR(メンバー!$H25="",F$3&gt;=メンバー!$H25),OR(メンバー!$I25="",F$3&lt;=メンバー!$I25)),N(メンバー!$C25)*F$4+N(メンバー!$D25)*F$5+N(メンバー!$E25)*F$6+N(メンバー!$F25)*F$7+N(メンバー!$G25)*F$8,0)</f>
        <v>0</v>
      </c>
      <c r="G30" s="38">
        <f>IF(AND(メンバー!$B25&lt;&gt;"",OR(メンバー!$H25="",G$3&gt;=メンバー!$H25),OR(メンバー!$I25="",G$3&lt;=メンバー!$I25)),N(メンバー!$C25)*G$4+N(メンバー!$D25)*G$5+N(メンバー!$E25)*G$6+N(メンバー!$F25)*G$7+N(メンバー!$G25)*G$8,0)</f>
        <v>0</v>
      </c>
      <c r="H30" s="38">
        <f>IF(AND(メンバー!$B25&lt;&gt;"",OR(メンバー!$H25="",H$3&gt;=メンバー!$H25),OR(メンバー!$I25="",H$3&lt;=メンバー!$I25)),N(メンバー!$C25)*H$4+N(メンバー!$D25)*H$5+N(メンバー!$E25)*H$6+N(メンバー!$F25)*H$7+N(メンバー!$G25)*H$8,0)</f>
        <v>0</v>
      </c>
      <c r="I30" s="38">
        <f>IF(AND(メンバー!$B25&lt;&gt;"",OR(メンバー!$H25="",I$3&gt;=メンバー!$H25),OR(メンバー!$I25="",I$3&lt;=メンバー!$I25)),N(メンバー!$C25)*I$4+N(メンバー!$D25)*I$5+N(メンバー!$E25)*I$6+N(メンバー!$F25)*I$7+N(メンバー!$G25)*I$8,0)</f>
        <v>0</v>
      </c>
      <c r="J30" s="38">
        <f>IF(AND(メンバー!$B25&lt;&gt;"",OR(メンバー!$H25="",J$3&gt;=メンバー!$H25),OR(メンバー!$I25="",J$3&lt;=メンバー!$I25)),N(メンバー!$C25)*J$4+N(メンバー!$D25)*J$5+N(メンバー!$E25)*J$6+N(メンバー!$F25)*J$7+N(メンバー!$G25)*J$8,0)</f>
        <v>0</v>
      </c>
      <c r="K30" s="38">
        <f>IF(AND(メンバー!$B25&lt;&gt;"",OR(メンバー!$H25="",K$3&gt;=メンバー!$H25),OR(メンバー!$I25="",K$3&lt;=メンバー!$I25)),N(メンバー!$C25)*K$4+N(メンバー!$D25)*K$5+N(メンバー!$E25)*K$6+N(メンバー!$F25)*K$7+N(メンバー!$G25)*K$8,0)</f>
        <v>0</v>
      </c>
      <c r="L30" s="38">
        <f>IF(AND(メンバー!$B25&lt;&gt;"",OR(メンバー!$H25="",L$3&gt;=メンバー!$H25),OR(メンバー!$I25="",L$3&lt;=メンバー!$I25)),N(メンバー!$C25)*L$4+N(メンバー!$D25)*L$5+N(メンバー!$E25)*L$6+N(メンバー!$F25)*L$7+N(メンバー!$G25)*L$8,0)</f>
        <v>0</v>
      </c>
      <c r="M30" s="38">
        <f>IF(AND(メンバー!$B25&lt;&gt;"",OR(メンバー!$H25="",M$3&gt;=メンバー!$H25),OR(メンバー!$I25="",M$3&lt;=メンバー!$I25)),N(メンバー!$C25)*M$4+N(メンバー!$D25)*M$5+N(メンバー!$E25)*M$6+N(メンバー!$F25)*M$7+N(メンバー!$G25)*M$8,0)</f>
        <v>0</v>
      </c>
      <c r="N30" s="38">
        <f>IF(AND(メンバー!$B25&lt;&gt;"",OR(メンバー!$H25="",N$3&gt;=メンバー!$H25),OR(メンバー!$I25="",N$3&lt;=メンバー!$I25)),N(メンバー!$C25)*N$4+N(メンバー!$D25)*N$5+N(メンバー!$E25)*N$6+N(メンバー!$F25)*N$7+N(メンバー!$G25)*N$8,0)</f>
        <v>0</v>
      </c>
      <c r="O30" s="38">
        <f>IF(AND(メンバー!$B25&lt;&gt;"",OR(メンバー!$H25="",O$3&gt;=メンバー!$H25),OR(メンバー!$I25="",O$3&lt;=メンバー!$I25)),N(メンバー!$C25)*O$4+N(メンバー!$D25)*O$5+N(メンバー!$E25)*O$6+N(メンバー!$F25)*O$7+N(メンバー!$G25)*O$8,0)</f>
        <v>0</v>
      </c>
      <c r="P30" s="38">
        <f>IF(AND(メンバー!$B25&lt;&gt;"",OR(メンバー!$H25="",P$3&gt;=メンバー!$H25),OR(メンバー!$I25="",P$3&lt;=メンバー!$I25)),N(メンバー!$C25)*P$4+N(メンバー!$D25)*P$5+N(メンバー!$E25)*P$6+N(メンバー!$F25)*P$7+N(メンバー!$G25)*P$8,0)</f>
        <v>0</v>
      </c>
      <c r="Q30" s="38">
        <f>IF(AND(メンバー!$B25&lt;&gt;"",OR(メンバー!$H25="",Q$3&gt;=メンバー!$H25),OR(メンバー!$I25="",Q$3&lt;=メンバー!$I25)),N(メンバー!$C25)*Q$4+N(メンバー!$D25)*Q$5+N(メンバー!$E25)*Q$6+N(メンバー!$F25)*Q$7+N(メンバー!$G25)*Q$8,0)</f>
        <v>0</v>
      </c>
      <c r="R30" s="38">
        <f>IF(AND(メンバー!$B25&lt;&gt;"",OR(メンバー!$H25="",R$3&gt;=メンバー!$H25),OR(メンバー!$I25="",R$3&lt;=メンバー!$I25)),N(メンバー!$C25)*R$4+N(メンバー!$D25)*R$5+N(メンバー!$E25)*R$6+N(メンバー!$F25)*R$7+N(メンバー!$G25)*R$8,0)</f>
        <v>0</v>
      </c>
      <c r="S30" s="38">
        <f>IF(AND(メンバー!$B25&lt;&gt;"",OR(メンバー!$H25="",S$3&gt;=メンバー!$H25),OR(メンバー!$I25="",S$3&lt;=メンバー!$I25)),N(メンバー!$C25)*S$4+N(メンバー!$D25)*S$5+N(メンバー!$E25)*S$6+N(メンバー!$F25)*S$7+N(メンバー!$G25)*S$8,0)</f>
        <v>0</v>
      </c>
      <c r="T30" s="38">
        <f>IF(AND(メンバー!$B25&lt;&gt;"",OR(メンバー!$H25="",T$3&gt;=メンバー!$H25),OR(メンバー!$I25="",T$3&lt;=メンバー!$I25)),N(メンバー!$C25)*T$4+N(メンバー!$D25)*T$5+N(メンバー!$E25)*T$6+N(メンバー!$F25)*T$7+N(メンバー!$G25)*T$8,0)</f>
        <v>0</v>
      </c>
      <c r="U30" s="38">
        <f>IF(AND(メンバー!$B25&lt;&gt;"",OR(メンバー!$H25="",U$3&gt;=メンバー!$H25),OR(メンバー!$I25="",U$3&lt;=メンバー!$I25)),N(メンバー!$C25)*U$4+N(メンバー!$D25)*U$5+N(メンバー!$E25)*U$6+N(メンバー!$F25)*U$7+N(メンバー!$G25)*U$8,0)</f>
        <v>0</v>
      </c>
      <c r="V30" s="38">
        <f>IF(AND(メンバー!$B25&lt;&gt;"",OR(メンバー!$H25="",V$3&gt;=メンバー!$H25),OR(メンバー!$I25="",V$3&lt;=メンバー!$I25)),N(メンバー!$C25)*V$4+N(メンバー!$D25)*V$5+N(メンバー!$E25)*V$6+N(メンバー!$F25)*V$7+N(メンバー!$G25)*V$8,0)</f>
        <v>0</v>
      </c>
    </row>
    <row r="31" spans="1:22" ht="15.7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spans="1:22" ht="15.75">
      <c r="A32" s="8" t="s">
        <v>137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</row>
    <row r="33" spans="1:22" ht="15.75">
      <c r="A33" s="37" t="str">
        <f>IF(メンバー!$A6="","",メンバー!$A6)</f>
        <v>OP</v>
      </c>
      <c r="B33" s="37" t="str">
        <f>IF(メンバー!$B6="","",メンバー!$B6)</f>
        <v>藤本</v>
      </c>
      <c r="C33" s="2"/>
      <c r="D33" s="15">
        <f>IF(メンバー!D29="",0,IF(ISNUMBER(メンバー!D29),メンバー!D29,IFERROR(VLOOKUP(TRIM(メンバー!D29),設定!$A$11:$B$20,2,FALSE),0)))</f>
        <v>0</v>
      </c>
      <c r="E33" s="15">
        <f>IF(メンバー!E29="",0,IF(ISNUMBER(メンバー!E29),メンバー!E29,IFERROR(VLOOKUP(TRIM(メンバー!E29),設定!$A$11:$B$20,2,FALSE),0)))</f>
        <v>0</v>
      </c>
      <c r="F33" s="15">
        <f>IF(メンバー!F29="",0,IF(ISNUMBER(メンバー!F29),メンバー!F29,IFERROR(VLOOKUP(TRIM(メンバー!F29),設定!$A$11:$B$20,2,FALSE),0)))</f>
        <v>0</v>
      </c>
      <c r="G33" s="15">
        <f>IF(メンバー!G29="",0,IF(ISNUMBER(メンバー!G29),メンバー!G29,IFERROR(VLOOKUP(TRIM(メンバー!G29),設定!$A$11:$B$20,2,FALSE),0)))</f>
        <v>0</v>
      </c>
      <c r="H33" s="15">
        <f>IF(メンバー!H29="",0,IF(ISNUMBER(メンバー!H29),メンバー!H29,IFERROR(VLOOKUP(TRIM(メンバー!H29),設定!$A$11:$B$20,2,FALSE),0)))</f>
        <v>0</v>
      </c>
      <c r="I33" s="15">
        <f>IF(メンバー!I29="",0,IF(ISNUMBER(メンバー!I29),メンバー!I29,IFERROR(VLOOKUP(TRIM(メンバー!I29),設定!$A$11:$B$20,2,FALSE),0)))</f>
        <v>0.5</v>
      </c>
      <c r="J33" s="15">
        <f>IF(メンバー!J29="",0,IF(ISNUMBER(メンバー!J29),メンバー!J29,IFERROR(VLOOKUP(TRIM(メンバー!J29),設定!$A$11:$B$20,2,FALSE),0)))</f>
        <v>0.5</v>
      </c>
      <c r="K33" s="15">
        <f>IF(メンバー!K29="",0,IF(ISNUMBER(メンバー!K29),メンバー!K29,IFERROR(VLOOKUP(TRIM(メンバー!K29),設定!$A$11:$B$20,2,FALSE),0)))</f>
        <v>0</v>
      </c>
      <c r="L33" s="15">
        <f>IF(メンバー!L29="",0,IF(ISNUMBER(メンバー!L29),メンバー!L29,IFERROR(VLOOKUP(TRIM(メンバー!L29),設定!$A$11:$B$20,2,FALSE),0)))</f>
        <v>0</v>
      </c>
      <c r="M33" s="15">
        <f>IF(メンバー!M29="",0,IF(ISNUMBER(メンバー!M29),メンバー!M29,IFERROR(VLOOKUP(TRIM(メンバー!M29),設定!$A$11:$B$20,2,FALSE),0)))</f>
        <v>0.69</v>
      </c>
      <c r="N33" s="15">
        <f>IF(メンバー!N29="",0,IF(ISNUMBER(メンバー!N29),メンバー!N29,IFERROR(VLOOKUP(TRIM(メンバー!N29),設定!$A$11:$B$20,2,FALSE),0)))</f>
        <v>0.34</v>
      </c>
      <c r="O33" s="15">
        <f>IF(メンバー!O29="",0,IF(ISNUMBER(メンバー!O29),メンバー!O29,IFERROR(VLOOKUP(TRIM(メンバー!O29),設定!$A$11:$B$20,2,FALSE),0)))</f>
        <v>0.69</v>
      </c>
      <c r="P33" s="15">
        <f>IF(メンバー!P29="",0,IF(ISNUMBER(メンバー!P29),メンバー!P29,IFERROR(VLOOKUP(TRIM(メンバー!P29),設定!$A$11:$B$20,2,FALSE),0)))</f>
        <v>0.69</v>
      </c>
      <c r="Q33" s="15">
        <f>IF(メンバー!Q29="",0,IF(ISNUMBER(メンバー!Q29),メンバー!Q29,IFERROR(VLOOKUP(TRIM(メンバー!Q29),設定!$A$11:$B$20,2,FALSE),0)))</f>
        <v>0.69</v>
      </c>
      <c r="R33" s="15">
        <f>IF(メンバー!R29="",0,IF(ISNUMBER(メンバー!R29),メンバー!R29,IFERROR(VLOOKUP(TRIM(メンバー!R29),設定!$A$11:$B$20,2,FALSE),0)))</f>
        <v>0.69</v>
      </c>
      <c r="S33" s="15">
        <f>IF(メンバー!S29="",0,IF(ISNUMBER(メンバー!S29),メンバー!S29,IFERROR(VLOOKUP(TRIM(メンバー!S29),設定!$A$11:$B$20,2,FALSE),0)))</f>
        <v>0.69</v>
      </c>
      <c r="T33" s="15">
        <f>IF(メンバー!T29="",0,IF(ISNUMBER(メンバー!T29),メンバー!T29,IFERROR(VLOOKUP(TRIM(メンバー!T29),設定!$A$11:$B$20,2,FALSE),0)))</f>
        <v>0.69</v>
      </c>
      <c r="U33" s="15">
        <f>IF(メンバー!U29="",0,IF(ISNUMBER(メンバー!U29),メンバー!U29,IFERROR(VLOOKUP(TRIM(メンバー!U29),設定!$A$11:$B$20,2,FALSE),0)))</f>
        <v>0.69</v>
      </c>
      <c r="V33" s="15">
        <f>IF(メンバー!V29="",0,IF(ISNUMBER(メンバー!V29),メンバー!V29,IFERROR(VLOOKUP(TRIM(メンバー!V29),設定!$A$11:$B$20,2,FALSE),0)))</f>
        <v>0.69</v>
      </c>
    </row>
    <row r="34" spans="1:22" ht="15.75">
      <c r="A34" s="37" t="str">
        <f>IF(メンバー!$A7="","",メンバー!$A7)</f>
        <v>OP</v>
      </c>
      <c r="B34" s="37" t="str">
        <f>IF(メンバー!$B7="","",メンバー!$B7)</f>
        <v>穂満</v>
      </c>
      <c r="C34" s="2"/>
      <c r="D34" s="15">
        <f>IF(メンバー!D30="",0,IF(ISNUMBER(メンバー!D30),メンバー!D30,IFERROR(VLOOKUP(TRIM(メンバー!D30),設定!$A$11:$B$20,2,FALSE),0)))</f>
        <v>0</v>
      </c>
      <c r="E34" s="15">
        <f>IF(メンバー!E30="",0,IF(ISNUMBER(メンバー!E30),メンバー!E30,IFERROR(VLOOKUP(TRIM(メンバー!E30),設定!$A$11:$B$20,2,FALSE),0)))</f>
        <v>0</v>
      </c>
      <c r="F34" s="15">
        <f>IF(メンバー!F30="",0,IF(ISNUMBER(メンバー!F30),メンバー!F30,IFERROR(VLOOKUP(TRIM(メンバー!F30),設定!$A$11:$B$20,2,FALSE),0)))</f>
        <v>0</v>
      </c>
      <c r="G34" s="15">
        <f>IF(メンバー!G30="",0,IF(ISNUMBER(メンバー!G30),メンバー!G30,IFERROR(VLOOKUP(TRIM(メンバー!G30),設定!$A$11:$B$20,2,FALSE),0)))</f>
        <v>0</v>
      </c>
      <c r="H34" s="15">
        <f>IF(メンバー!H30="",0,IF(ISNUMBER(メンバー!H30),メンバー!H30,IFERROR(VLOOKUP(TRIM(メンバー!H30),設定!$A$11:$B$20,2,FALSE),0)))</f>
        <v>0</v>
      </c>
      <c r="I34" s="15">
        <f>IF(メンバー!I30="",0,IF(ISNUMBER(メンバー!I30),メンバー!I30,IFERROR(VLOOKUP(TRIM(メンバー!I30),設定!$A$11:$B$20,2,FALSE),0)))</f>
        <v>0.5</v>
      </c>
      <c r="J34" s="15">
        <f>IF(メンバー!J30="",0,IF(ISNUMBER(メンバー!J30),メンバー!J30,IFERROR(VLOOKUP(TRIM(メンバー!J30),設定!$A$11:$B$20,2,FALSE),0)))</f>
        <v>0.5</v>
      </c>
      <c r="K34" s="15">
        <f>IF(メンバー!K30="",0,IF(ISNUMBER(メンバー!K30),メンバー!K30,IFERROR(VLOOKUP(TRIM(メンバー!K30),設定!$A$11:$B$20,2,FALSE),0)))</f>
        <v>0</v>
      </c>
      <c r="L34" s="15">
        <f>IF(メンバー!L30="",0,IF(ISNUMBER(メンバー!L30),メンバー!L30,IFERROR(VLOOKUP(TRIM(メンバー!L30),設定!$A$11:$B$20,2,FALSE),0)))</f>
        <v>0</v>
      </c>
      <c r="M34" s="15">
        <f>IF(メンバー!M30="",0,IF(ISNUMBER(メンバー!M30),メンバー!M30,IFERROR(VLOOKUP(TRIM(メンバー!M30),設定!$A$11:$B$20,2,FALSE),0)))</f>
        <v>0.69</v>
      </c>
      <c r="N34" s="15">
        <f>IF(メンバー!N30="",0,IF(ISNUMBER(メンバー!N30),メンバー!N30,IFERROR(VLOOKUP(TRIM(メンバー!N30),設定!$A$11:$B$20,2,FALSE),0)))</f>
        <v>0.34</v>
      </c>
      <c r="O34" s="15">
        <f>IF(メンバー!O30="",0,IF(ISNUMBER(メンバー!O30),メンバー!O30,IFERROR(VLOOKUP(TRIM(メンバー!O30),設定!$A$11:$B$20,2,FALSE),0)))</f>
        <v>0.69</v>
      </c>
      <c r="P34" s="15">
        <f>IF(メンバー!P30="",0,IF(ISNUMBER(メンバー!P30),メンバー!P30,IFERROR(VLOOKUP(TRIM(メンバー!P30),設定!$A$11:$B$20,2,FALSE),0)))</f>
        <v>0.69</v>
      </c>
      <c r="Q34" s="15">
        <f>IF(メンバー!Q30="",0,IF(ISNUMBER(メンバー!Q30),メンバー!Q30,IFERROR(VLOOKUP(TRIM(メンバー!Q30),設定!$A$11:$B$20,2,FALSE),0)))</f>
        <v>0.69</v>
      </c>
      <c r="R34" s="15">
        <f>IF(メンバー!R30="",0,IF(ISNUMBER(メンバー!R30),メンバー!R30,IFERROR(VLOOKUP(TRIM(メンバー!R30),設定!$A$11:$B$20,2,FALSE),0)))</f>
        <v>0.69</v>
      </c>
      <c r="S34" s="15">
        <f>IF(メンバー!S30="",0,IF(ISNUMBER(メンバー!S30),メンバー!S30,IFERROR(VLOOKUP(TRIM(メンバー!S30),設定!$A$11:$B$20,2,FALSE),0)))</f>
        <v>0.69</v>
      </c>
      <c r="T34" s="15">
        <f>IF(メンバー!T30="",0,IF(ISNUMBER(メンバー!T30),メンバー!T30,IFERROR(VLOOKUP(TRIM(メンバー!T30),設定!$A$11:$B$20,2,FALSE),0)))</f>
        <v>0.69</v>
      </c>
      <c r="U34" s="15">
        <f>IF(メンバー!U30="",0,IF(ISNUMBER(メンバー!U30),メンバー!U30,IFERROR(VLOOKUP(TRIM(メンバー!U30),設定!$A$11:$B$20,2,FALSE),0)))</f>
        <v>0.69</v>
      </c>
      <c r="V34" s="15">
        <f>IF(メンバー!V30="",0,IF(ISNUMBER(メンバー!V30),メンバー!V30,IFERROR(VLOOKUP(TRIM(メンバー!V30),設定!$A$11:$B$20,2,FALSE),0)))</f>
        <v>0.69</v>
      </c>
    </row>
    <row r="35" spans="1:22" ht="15.75">
      <c r="A35" s="37" t="str">
        <f>IF(メンバー!$A8="","",メンバー!$A8)</f>
        <v>OP</v>
      </c>
      <c r="B35" s="37" t="str">
        <f>IF(メンバー!$B8="","",メンバー!$B8)</f>
        <v>八木</v>
      </c>
      <c r="C35" s="2"/>
      <c r="D35" s="15">
        <f>IF(メンバー!D31="",0,IF(ISNUMBER(メンバー!D31),メンバー!D31,IFERROR(VLOOKUP(TRIM(メンバー!D31),設定!$A$11:$B$20,2,FALSE),0)))</f>
        <v>0</v>
      </c>
      <c r="E35" s="15">
        <f>IF(メンバー!E31="",0,IF(ISNUMBER(メンバー!E31),メンバー!E31,IFERROR(VLOOKUP(TRIM(メンバー!E31),設定!$A$11:$B$20,2,FALSE),0)))</f>
        <v>0</v>
      </c>
      <c r="F35" s="15">
        <f>IF(メンバー!F31="",0,IF(ISNUMBER(メンバー!F31),メンバー!F31,IFERROR(VLOOKUP(TRIM(メンバー!F31),設定!$A$11:$B$20,2,FALSE),0)))</f>
        <v>0</v>
      </c>
      <c r="G35" s="15">
        <f>IF(メンバー!G31="",0,IF(ISNUMBER(メンバー!G31),メンバー!G31,IFERROR(VLOOKUP(TRIM(メンバー!G31),設定!$A$11:$B$20,2,FALSE),0)))</f>
        <v>0</v>
      </c>
      <c r="H35" s="15">
        <f>IF(メンバー!H31="",0,IF(ISNUMBER(メンバー!H31),メンバー!H31,IFERROR(VLOOKUP(TRIM(メンバー!H31),設定!$A$11:$B$20,2,FALSE),0)))</f>
        <v>0</v>
      </c>
      <c r="I35" s="15">
        <f>IF(メンバー!I31="",0,IF(ISNUMBER(メンバー!I31),メンバー!I31,IFERROR(VLOOKUP(TRIM(メンバー!I31),設定!$A$11:$B$20,2,FALSE),0)))</f>
        <v>0.5</v>
      </c>
      <c r="J35" s="15">
        <f>IF(メンバー!J31="",0,IF(ISNUMBER(メンバー!J31),メンバー!J31,IFERROR(VLOOKUP(TRIM(メンバー!J31),設定!$A$11:$B$20,2,FALSE),0)))</f>
        <v>0.5</v>
      </c>
      <c r="K35" s="15">
        <f>IF(メンバー!K31="",0,IF(ISNUMBER(メンバー!K31),メンバー!K31,IFERROR(VLOOKUP(TRIM(メンバー!K31),設定!$A$11:$B$20,2,FALSE),0)))</f>
        <v>0</v>
      </c>
      <c r="L35" s="15">
        <f>IF(メンバー!L31="",0,IF(ISNUMBER(メンバー!L31),メンバー!L31,IFERROR(VLOOKUP(TRIM(メンバー!L31),設定!$A$11:$B$20,2,FALSE),0)))</f>
        <v>0</v>
      </c>
      <c r="M35" s="15">
        <f>IF(メンバー!M31="",0,IF(ISNUMBER(メンバー!M31),メンバー!M31,IFERROR(VLOOKUP(TRIM(メンバー!M31),設定!$A$11:$B$20,2,FALSE),0)))</f>
        <v>0.69</v>
      </c>
      <c r="N35" s="15">
        <f>IF(メンバー!N31="",0,IF(ISNUMBER(メンバー!N31),メンバー!N31,IFERROR(VLOOKUP(TRIM(メンバー!N31),設定!$A$11:$B$20,2,FALSE),0)))</f>
        <v>0.34</v>
      </c>
      <c r="O35" s="15">
        <f>IF(メンバー!O31="",0,IF(ISNUMBER(メンバー!O31),メンバー!O31,IFERROR(VLOOKUP(TRIM(メンバー!O31),設定!$A$11:$B$20,2,FALSE),0)))</f>
        <v>0.69</v>
      </c>
      <c r="P35" s="15">
        <f>IF(メンバー!P31="",0,IF(ISNUMBER(メンバー!P31),メンバー!P31,IFERROR(VLOOKUP(TRIM(メンバー!P31),設定!$A$11:$B$20,2,FALSE),0)))</f>
        <v>0.69</v>
      </c>
      <c r="Q35" s="15">
        <f>IF(メンバー!Q31="",0,IF(ISNUMBER(メンバー!Q31),メンバー!Q31,IFERROR(VLOOKUP(TRIM(メンバー!Q31),設定!$A$11:$B$20,2,FALSE),0)))</f>
        <v>0.69</v>
      </c>
      <c r="R35" s="15">
        <f>IF(メンバー!R31="",0,IF(ISNUMBER(メンバー!R31),メンバー!R31,IFERROR(VLOOKUP(TRIM(メンバー!R31),設定!$A$11:$B$20,2,FALSE),0)))</f>
        <v>0.69</v>
      </c>
      <c r="S35" s="15">
        <f>IF(メンバー!S31="",0,IF(ISNUMBER(メンバー!S31),メンバー!S31,IFERROR(VLOOKUP(TRIM(メンバー!S31),設定!$A$11:$B$20,2,FALSE),0)))</f>
        <v>0.69</v>
      </c>
      <c r="T35" s="15">
        <f>IF(メンバー!T31="",0,IF(ISNUMBER(メンバー!T31),メンバー!T31,IFERROR(VLOOKUP(TRIM(メンバー!T31),設定!$A$11:$B$20,2,FALSE),0)))</f>
        <v>0.69</v>
      </c>
      <c r="U35" s="15">
        <f>IF(メンバー!U31="",0,IF(ISNUMBER(メンバー!U31),メンバー!U31,IFERROR(VLOOKUP(TRIM(メンバー!U31),設定!$A$11:$B$20,2,FALSE),0)))</f>
        <v>0.69</v>
      </c>
      <c r="V35" s="15">
        <f>IF(メンバー!V31="",0,IF(ISNUMBER(メンバー!V31),メンバー!V31,IFERROR(VLOOKUP(TRIM(メンバー!V31),設定!$A$11:$B$20,2,FALSE),0)))</f>
        <v>0.69</v>
      </c>
    </row>
    <row r="36" spans="1:22" ht="15.75">
      <c r="A36" s="37" t="str">
        <f>IF(メンバー!$A9="","",メンバー!$A9)</f>
        <v>OP</v>
      </c>
      <c r="B36" s="37" t="str">
        <f>IF(メンバー!$B9="","",メンバー!$B9)</f>
        <v>大迫</v>
      </c>
      <c r="C36" s="2"/>
      <c r="D36" s="15">
        <f>IF(メンバー!D32="",0,IF(ISNUMBER(メンバー!D32),メンバー!D32,IFERROR(VLOOKUP(TRIM(メンバー!D32),設定!$A$11:$B$20,2,FALSE),0)))</f>
        <v>0</v>
      </c>
      <c r="E36" s="15">
        <f>IF(メンバー!E32="",0,IF(ISNUMBER(メンバー!E32),メンバー!E32,IFERROR(VLOOKUP(TRIM(メンバー!E32),設定!$A$11:$B$20,2,FALSE),0)))</f>
        <v>0</v>
      </c>
      <c r="F36" s="15">
        <f>IF(メンバー!F32="",0,IF(ISNUMBER(メンバー!F32),メンバー!F32,IFERROR(VLOOKUP(TRIM(メンバー!F32),設定!$A$11:$B$20,2,FALSE),0)))</f>
        <v>0</v>
      </c>
      <c r="G36" s="15">
        <f>IF(メンバー!G32="",0,IF(ISNUMBER(メンバー!G32),メンバー!G32,IFERROR(VLOOKUP(TRIM(メンバー!G32),設定!$A$11:$B$20,2,FALSE),0)))</f>
        <v>0</v>
      </c>
      <c r="H36" s="15">
        <f>IF(メンバー!H32="",0,IF(ISNUMBER(メンバー!H32),メンバー!H32,IFERROR(VLOOKUP(TRIM(メンバー!H32),設定!$A$11:$B$20,2,FALSE),0)))</f>
        <v>0</v>
      </c>
      <c r="I36" s="15">
        <f>IF(メンバー!I32="",0,IF(ISNUMBER(メンバー!I32),メンバー!I32,IFERROR(VLOOKUP(TRIM(メンバー!I32),設定!$A$11:$B$20,2,FALSE),0)))</f>
        <v>0.5</v>
      </c>
      <c r="J36" s="15">
        <f>IF(メンバー!J32="",0,IF(ISNUMBER(メンバー!J32),メンバー!J32,IFERROR(VLOOKUP(TRIM(メンバー!J32),設定!$A$11:$B$20,2,FALSE),0)))</f>
        <v>0.5</v>
      </c>
      <c r="K36" s="15">
        <f>IF(メンバー!K32="",0,IF(ISNUMBER(メンバー!K32),メンバー!K32,IFERROR(VLOOKUP(TRIM(メンバー!K32),設定!$A$11:$B$20,2,FALSE),0)))</f>
        <v>0</v>
      </c>
      <c r="L36" s="15">
        <f>IF(メンバー!L32="",0,IF(ISNUMBER(メンバー!L32),メンバー!L32,IFERROR(VLOOKUP(TRIM(メンバー!L32),設定!$A$11:$B$20,2,FALSE),0)))</f>
        <v>0</v>
      </c>
      <c r="M36" s="15">
        <f>IF(メンバー!M32="",0,IF(ISNUMBER(メンバー!M32),メンバー!M32,IFERROR(VLOOKUP(TRIM(メンバー!M32),設定!$A$11:$B$20,2,FALSE),0)))</f>
        <v>0.69</v>
      </c>
      <c r="N36" s="15">
        <f>IF(メンバー!N32="",0,IF(ISNUMBER(メンバー!N32),メンバー!N32,IFERROR(VLOOKUP(TRIM(メンバー!N32),設定!$A$11:$B$20,2,FALSE),0)))</f>
        <v>0.34</v>
      </c>
      <c r="O36" s="15">
        <f>IF(メンバー!O32="",0,IF(ISNUMBER(メンバー!O32),メンバー!O32,IFERROR(VLOOKUP(TRIM(メンバー!O32),設定!$A$11:$B$20,2,FALSE),0)))</f>
        <v>0.69</v>
      </c>
      <c r="P36" s="15">
        <f>IF(メンバー!P32="",0,IF(ISNUMBER(メンバー!P32),メンバー!P32,IFERROR(VLOOKUP(TRIM(メンバー!P32),設定!$A$11:$B$20,2,FALSE),0)))</f>
        <v>0.69</v>
      </c>
      <c r="Q36" s="15">
        <f>IF(メンバー!Q32="",0,IF(ISNUMBER(メンバー!Q32),メンバー!Q32,IFERROR(VLOOKUP(TRIM(メンバー!Q32),設定!$A$11:$B$20,2,FALSE),0)))</f>
        <v>0.69</v>
      </c>
      <c r="R36" s="15">
        <f>IF(メンバー!R32="",0,IF(ISNUMBER(メンバー!R32),メンバー!R32,IFERROR(VLOOKUP(TRIM(メンバー!R32),設定!$A$11:$B$20,2,FALSE),0)))</f>
        <v>0.69</v>
      </c>
      <c r="S36" s="15">
        <f>IF(メンバー!S32="",0,IF(ISNUMBER(メンバー!S32),メンバー!S32,IFERROR(VLOOKUP(TRIM(メンバー!S32),設定!$A$11:$B$20,2,FALSE),0)))</f>
        <v>0.69</v>
      </c>
      <c r="T36" s="15">
        <f>IF(メンバー!T32="",0,IF(ISNUMBER(メンバー!T32),メンバー!T32,IFERROR(VLOOKUP(TRIM(メンバー!T32),設定!$A$11:$B$20,2,FALSE),0)))</f>
        <v>0.69</v>
      </c>
      <c r="U36" s="15">
        <f>IF(メンバー!U32="",0,IF(ISNUMBER(メンバー!U32),メンバー!U32,IFERROR(VLOOKUP(TRIM(メンバー!U32),設定!$A$11:$B$20,2,FALSE),0)))</f>
        <v>0.69</v>
      </c>
      <c r="V36" s="15">
        <f>IF(メンバー!V32="",0,IF(ISNUMBER(メンバー!V32),メンバー!V32,IFERROR(VLOOKUP(TRIM(メンバー!V32),設定!$A$11:$B$20,2,FALSE),0)))</f>
        <v>0.69</v>
      </c>
    </row>
    <row r="37" spans="1:22" ht="15.75">
      <c r="A37" s="37" t="str">
        <f>IF(メンバー!$A10="","",メンバー!$A10)</f>
        <v>OP</v>
      </c>
      <c r="B37" s="37" t="str">
        <f>IF(メンバー!$B10="","",メンバー!$B10)</f>
        <v>大場</v>
      </c>
      <c r="C37" s="2"/>
      <c r="D37" s="15">
        <f>IF(メンバー!D33="",0,IF(ISNUMBER(メンバー!D33),メンバー!D33,IFERROR(VLOOKUP(TRIM(メンバー!D33),設定!$A$11:$B$20,2,FALSE),0)))</f>
        <v>0.85</v>
      </c>
      <c r="E37" s="15">
        <f>IF(メンバー!E33="",0,IF(ISNUMBER(メンバー!E33),メンバー!E33,IFERROR(VLOOKUP(TRIM(メンバー!E33),設定!$A$11:$B$20,2,FALSE),0)))</f>
        <v>0.85</v>
      </c>
      <c r="F37" s="15">
        <f>IF(メンバー!F33="",0,IF(ISNUMBER(メンバー!F33),メンバー!F33,IFERROR(VLOOKUP(TRIM(メンバー!F33),設定!$A$11:$B$20,2,FALSE),0)))</f>
        <v>0.85</v>
      </c>
      <c r="G37" s="15">
        <f>IF(メンバー!G33="",0,IF(ISNUMBER(メンバー!G33),メンバー!G33,IFERROR(VLOOKUP(TRIM(メンバー!G33),設定!$A$11:$B$20,2,FALSE),0)))</f>
        <v>0.85</v>
      </c>
      <c r="H37" s="15">
        <f>IF(メンバー!H33="",0,IF(ISNUMBER(メンバー!H33),メンバー!H33,IFERROR(VLOOKUP(TRIM(メンバー!H33),設定!$A$11:$B$20,2,FALSE),0)))</f>
        <v>0.85</v>
      </c>
      <c r="I37" s="15">
        <f>IF(メンバー!I33="",0,IF(ISNUMBER(メンバー!I33),メンバー!I33,IFERROR(VLOOKUP(TRIM(メンバー!I33),設定!$A$11:$B$20,2,FALSE),0)))</f>
        <v>0.1</v>
      </c>
      <c r="J37" s="15">
        <f>IF(メンバー!J33="",0,IF(ISNUMBER(メンバー!J33),メンバー!J33,IFERROR(VLOOKUP(TRIM(メンバー!J33),設定!$A$11:$B$20,2,FALSE),0)))</f>
        <v>0.1</v>
      </c>
      <c r="K37" s="15">
        <f>IF(メンバー!K33="",0,IF(ISNUMBER(メンバー!K33),メンバー!K33,IFERROR(VLOOKUP(TRIM(メンバー!K33),設定!$A$11:$B$20,2,FALSE),0)))</f>
        <v>0.1</v>
      </c>
      <c r="L37" s="15">
        <f>IF(メンバー!L33="",0,IF(ISNUMBER(メンバー!L33),メンバー!L33,IFERROR(VLOOKUP(TRIM(メンバー!L33),設定!$A$11:$B$20,2,FALSE),0)))</f>
        <v>0.1</v>
      </c>
      <c r="M37" s="15">
        <f>IF(メンバー!M33="",0,IF(ISNUMBER(メンバー!M33),メンバー!M33,IFERROR(VLOOKUP(TRIM(メンバー!M33),設定!$A$11:$B$20,2,FALSE),0)))</f>
        <v>0.1</v>
      </c>
      <c r="N37" s="15">
        <f>IF(メンバー!N33="",0,IF(ISNUMBER(メンバー!N33),メンバー!N33,IFERROR(VLOOKUP(TRIM(メンバー!N33),設定!$A$11:$B$20,2,FALSE),0)))</f>
        <v>0.1</v>
      </c>
      <c r="O37" s="15">
        <f>IF(メンバー!O33="",0,IF(ISNUMBER(メンバー!O33),メンバー!O33,IFERROR(VLOOKUP(TRIM(メンバー!O33),設定!$A$11:$B$20,2,FALSE),0)))</f>
        <v>0.1</v>
      </c>
      <c r="P37" s="15">
        <f>IF(メンバー!P33="",0,IF(ISNUMBER(メンバー!P33),メンバー!P33,IFERROR(VLOOKUP(TRIM(メンバー!P33),設定!$A$11:$B$20,2,FALSE),0)))</f>
        <v>0.1</v>
      </c>
      <c r="Q37" s="15">
        <f>IF(メンバー!Q33="",0,IF(ISNUMBER(メンバー!Q33),メンバー!Q33,IFERROR(VLOOKUP(TRIM(メンバー!Q33),設定!$A$11:$B$20,2,FALSE),0)))</f>
        <v>0.1</v>
      </c>
      <c r="R37" s="15">
        <f>IF(メンバー!R33="",0,IF(ISNUMBER(メンバー!R33),メンバー!R33,IFERROR(VLOOKUP(TRIM(メンバー!R33),設定!$A$11:$B$20,2,FALSE),0)))</f>
        <v>0.1</v>
      </c>
      <c r="S37" s="15">
        <f>IF(メンバー!S33="",0,IF(ISNUMBER(メンバー!S33),メンバー!S33,IFERROR(VLOOKUP(TRIM(メンバー!S33),設定!$A$11:$B$20,2,FALSE),0)))</f>
        <v>0.1</v>
      </c>
      <c r="T37" s="15">
        <f>IF(メンバー!T33="",0,IF(ISNUMBER(メンバー!T33),メンバー!T33,IFERROR(VLOOKUP(TRIM(メンバー!T33),設定!$A$11:$B$20,2,FALSE),0)))</f>
        <v>0.1</v>
      </c>
      <c r="U37" s="15">
        <f>IF(メンバー!U33="",0,IF(ISNUMBER(メンバー!U33),メンバー!U33,IFERROR(VLOOKUP(TRIM(メンバー!U33),設定!$A$11:$B$20,2,FALSE),0)))</f>
        <v>0.1</v>
      </c>
      <c r="V37" s="15">
        <f>IF(メンバー!V33="",0,IF(ISNUMBER(メンバー!V33),メンバー!V33,IFERROR(VLOOKUP(TRIM(メンバー!V33),設定!$A$11:$B$20,2,FALSE),0)))</f>
        <v>0.1</v>
      </c>
    </row>
    <row r="38" spans="1:22" ht="15.75">
      <c r="A38" s="37" t="str">
        <f>IF(メンバー!$A11="","",メンバー!$A11)</f>
        <v>OP</v>
      </c>
      <c r="B38" s="37" t="str">
        <f>IF(メンバー!$B11="","",メンバー!$B11)</f>
        <v>島</v>
      </c>
      <c r="C38" s="2"/>
      <c r="D38" s="15">
        <f>IF(メンバー!D34="",0,IF(ISNUMBER(メンバー!D34),メンバー!D34,IFERROR(VLOOKUP(TRIM(メンバー!D34),設定!$A$11:$B$20,2,FALSE),0)))</f>
        <v>0.85</v>
      </c>
      <c r="E38" s="15">
        <f>IF(メンバー!E34="",0,IF(ISNUMBER(メンバー!E34),メンバー!E34,IFERROR(VLOOKUP(TRIM(メンバー!E34),設定!$A$11:$B$20,2,FALSE),0)))</f>
        <v>0.85</v>
      </c>
      <c r="F38" s="15">
        <f>IF(メンバー!F34="",0,IF(ISNUMBER(メンバー!F34),メンバー!F34,IFERROR(VLOOKUP(TRIM(メンバー!F34),設定!$A$11:$B$20,2,FALSE),0)))</f>
        <v>0.85</v>
      </c>
      <c r="G38" s="15">
        <f>IF(メンバー!G34="",0,IF(ISNUMBER(メンバー!G34),メンバー!G34,IFERROR(VLOOKUP(TRIM(メンバー!G34),設定!$A$11:$B$20,2,FALSE),0)))</f>
        <v>0.85</v>
      </c>
      <c r="H38" s="15">
        <f>IF(メンバー!H34="",0,IF(ISNUMBER(メンバー!H34),メンバー!H34,IFERROR(VLOOKUP(TRIM(メンバー!H34),設定!$A$11:$B$20,2,FALSE),0)))</f>
        <v>0.85</v>
      </c>
      <c r="I38" s="15">
        <f>IF(メンバー!I34="",0,IF(ISNUMBER(メンバー!I34),メンバー!I34,IFERROR(VLOOKUP(TRIM(メンバー!I34),設定!$A$11:$B$20,2,FALSE),0)))</f>
        <v>0.42</v>
      </c>
      <c r="J38" s="15">
        <f>IF(メンバー!J34="",0,IF(ISNUMBER(メンバー!J34),メンバー!J34,IFERROR(VLOOKUP(TRIM(メンバー!J34),設定!$A$11:$B$20,2,FALSE),0)))</f>
        <v>0.42</v>
      </c>
      <c r="K38" s="15">
        <f>IF(メンバー!K34="",0,IF(ISNUMBER(メンバー!K34),メンバー!K34,IFERROR(VLOOKUP(TRIM(メンバー!K34),設定!$A$11:$B$20,2,FALSE),0)))</f>
        <v>0.3</v>
      </c>
      <c r="L38" s="15">
        <f>IF(メンバー!L34="",0,IF(ISNUMBER(メンバー!L34),メンバー!L34,IFERROR(VLOOKUP(TRIM(メンバー!L34),設定!$A$11:$B$20,2,FALSE),0)))</f>
        <v>0.3</v>
      </c>
      <c r="M38" s="15">
        <f>IF(メンバー!M34="",0,IF(ISNUMBER(メンバー!M34),メンバー!M34,IFERROR(VLOOKUP(TRIM(メンバー!M34),設定!$A$11:$B$20,2,FALSE),0)))</f>
        <v>0.69</v>
      </c>
      <c r="N38" s="15">
        <f>IF(メンバー!N34="",0,IF(ISNUMBER(メンバー!N34),メンバー!N34,IFERROR(VLOOKUP(TRIM(メンバー!N34),設定!$A$11:$B$20,2,FALSE),0)))</f>
        <v>0.41399999999999998</v>
      </c>
      <c r="O38" s="15">
        <f>IF(メンバー!O34="",0,IF(ISNUMBER(メンバー!O34),メンバー!O34,IFERROR(VLOOKUP(TRIM(メンバー!O34),設定!$A$11:$B$20,2,FALSE),0)))</f>
        <v>0.69</v>
      </c>
      <c r="P38" s="15">
        <f>IF(メンバー!P34="",0,IF(ISNUMBER(メンバー!P34),メンバー!P34,IFERROR(VLOOKUP(TRIM(メンバー!P34),設定!$A$11:$B$20,2,FALSE),0)))</f>
        <v>0.69</v>
      </c>
      <c r="Q38" s="15">
        <f>IF(メンバー!Q34="",0,IF(ISNUMBER(メンバー!Q34),メンバー!Q34,IFERROR(VLOOKUP(TRIM(メンバー!Q34),設定!$A$11:$B$20,2,FALSE),0)))</f>
        <v>0.69</v>
      </c>
      <c r="R38" s="15">
        <f>IF(メンバー!R34="",0,IF(ISNUMBER(メンバー!R34),メンバー!R34,IFERROR(VLOOKUP(TRIM(メンバー!R34),設定!$A$11:$B$20,2,FALSE),0)))</f>
        <v>0.69</v>
      </c>
      <c r="S38" s="15">
        <f>IF(メンバー!S34="",0,IF(ISNUMBER(メンバー!S34),メンバー!S34,IFERROR(VLOOKUP(TRIM(メンバー!S34),設定!$A$11:$B$20,2,FALSE),0)))</f>
        <v>0.69</v>
      </c>
      <c r="T38" s="15">
        <f>IF(メンバー!T34="",0,IF(ISNUMBER(メンバー!T34),メンバー!T34,IFERROR(VLOOKUP(TRIM(メンバー!T34),設定!$A$11:$B$20,2,FALSE),0)))</f>
        <v>0.69</v>
      </c>
      <c r="U38" s="15">
        <f>IF(メンバー!U34="",0,IF(ISNUMBER(メンバー!U34),メンバー!U34,IFERROR(VLOOKUP(TRIM(メンバー!U34),設定!$A$11:$B$20,2,FALSE),0)))</f>
        <v>0.69</v>
      </c>
      <c r="V38" s="15">
        <f>IF(メンバー!V34="",0,IF(ISNUMBER(メンバー!V34),メンバー!V34,IFERROR(VLOOKUP(TRIM(メンバー!V34),設定!$A$11:$B$20,2,FALSE),0)))</f>
        <v>0.69</v>
      </c>
    </row>
    <row r="39" spans="1:22" ht="15.75">
      <c r="A39" s="37" t="str">
        <f>IF(メンバー!$A12="","",メンバー!$A12)</f>
        <v>OP</v>
      </c>
      <c r="B39" s="37" t="str">
        <f>IF(メンバー!$B12="","",メンバー!$B12)</f>
        <v>三浦</v>
      </c>
      <c r="C39" s="2"/>
      <c r="D39" s="15">
        <f>IF(メンバー!D35="",0,IF(ISNUMBER(メンバー!D35),メンバー!D35,IFERROR(VLOOKUP(TRIM(メンバー!D35),設定!$A$11:$B$20,2,FALSE),0)))</f>
        <v>0.85</v>
      </c>
      <c r="E39" s="15">
        <f>IF(メンバー!E35="",0,IF(ISNUMBER(メンバー!E35),メンバー!E35,IFERROR(VLOOKUP(TRIM(メンバー!E35),設定!$A$11:$B$20,2,FALSE),0)))</f>
        <v>0.85</v>
      </c>
      <c r="F39" s="15">
        <f>IF(メンバー!F35="",0,IF(ISNUMBER(メンバー!F35),メンバー!F35,IFERROR(VLOOKUP(TRIM(メンバー!F35),設定!$A$11:$B$20,2,FALSE),0)))</f>
        <v>0.85</v>
      </c>
      <c r="G39" s="15">
        <f>IF(メンバー!G35="",0,IF(ISNUMBER(メンバー!G35),メンバー!G35,IFERROR(VLOOKUP(TRIM(メンバー!G35),設定!$A$11:$B$20,2,FALSE),0)))</f>
        <v>0.85</v>
      </c>
      <c r="H39" s="15">
        <f>IF(メンバー!H35="",0,IF(ISNUMBER(メンバー!H35),メンバー!H35,IFERROR(VLOOKUP(TRIM(メンバー!H35),設定!$A$11:$B$20,2,FALSE),0)))</f>
        <v>0.85</v>
      </c>
      <c r="I39" s="15">
        <f>IF(メンバー!I35="",0,IF(ISNUMBER(メンバー!I35),メンバー!I35,IFERROR(VLOOKUP(TRIM(メンバー!I35),設定!$A$11:$B$20,2,FALSE),0)))</f>
        <v>0.42</v>
      </c>
      <c r="J39" s="15">
        <f>IF(メンバー!J35="",0,IF(ISNUMBER(メンバー!J35),メンバー!J35,IFERROR(VLOOKUP(TRIM(メンバー!J35),設定!$A$11:$B$20,2,FALSE),0)))</f>
        <v>0.42</v>
      </c>
      <c r="K39" s="15">
        <f>IF(メンバー!K35="",0,IF(ISNUMBER(メンバー!K35),メンバー!K35,IFERROR(VLOOKUP(TRIM(メンバー!K35),設定!$A$11:$B$20,2,FALSE),0)))</f>
        <v>0.3</v>
      </c>
      <c r="L39" s="15">
        <f>IF(メンバー!L35="",0,IF(ISNUMBER(メンバー!L35),メンバー!L35,IFERROR(VLOOKUP(TRIM(メンバー!L35),設定!$A$11:$B$20,2,FALSE),0)))</f>
        <v>0.3</v>
      </c>
      <c r="M39" s="15">
        <f>IF(メンバー!M35="",0,IF(ISNUMBER(メンバー!M35),メンバー!M35,IFERROR(VLOOKUP(TRIM(メンバー!M35),設定!$A$11:$B$20,2,FALSE),0)))</f>
        <v>0.69</v>
      </c>
      <c r="N39" s="15">
        <f>IF(メンバー!N35="",0,IF(ISNUMBER(メンバー!N35),メンバー!N35,IFERROR(VLOOKUP(TRIM(メンバー!N35),設定!$A$11:$B$20,2,FALSE),0)))</f>
        <v>0.41399999999999998</v>
      </c>
      <c r="O39" s="15">
        <f>IF(メンバー!O35="",0,IF(ISNUMBER(メンバー!O35),メンバー!O35,IFERROR(VLOOKUP(TRIM(メンバー!O35),設定!$A$11:$B$20,2,FALSE),0)))</f>
        <v>0.69</v>
      </c>
      <c r="P39" s="15">
        <f>IF(メンバー!P35="",0,IF(ISNUMBER(メンバー!P35),メンバー!P35,IFERROR(VLOOKUP(TRIM(メンバー!P35),設定!$A$11:$B$20,2,FALSE),0)))</f>
        <v>0.69</v>
      </c>
      <c r="Q39" s="15">
        <f>IF(メンバー!Q35="",0,IF(ISNUMBER(メンバー!Q35),メンバー!Q35,IFERROR(VLOOKUP(TRIM(メンバー!Q35),設定!$A$11:$B$20,2,FALSE),0)))</f>
        <v>0.69</v>
      </c>
      <c r="R39" s="15">
        <f>IF(メンバー!R35="",0,IF(ISNUMBER(メンバー!R35),メンバー!R35,IFERROR(VLOOKUP(TRIM(メンバー!R35),設定!$A$11:$B$20,2,FALSE),0)))</f>
        <v>0.69</v>
      </c>
      <c r="S39" s="15">
        <f>IF(メンバー!S35="",0,IF(ISNUMBER(メンバー!S35),メンバー!S35,IFERROR(VLOOKUP(TRIM(メンバー!S35),設定!$A$11:$B$20,2,FALSE),0)))</f>
        <v>0.69</v>
      </c>
      <c r="T39" s="15">
        <f>IF(メンバー!T35="",0,IF(ISNUMBER(メンバー!T35),メンバー!T35,IFERROR(VLOOKUP(TRIM(メンバー!T35),設定!$A$11:$B$20,2,FALSE),0)))</f>
        <v>0.69</v>
      </c>
      <c r="U39" s="15">
        <f>IF(メンバー!U35="",0,IF(ISNUMBER(メンバー!U35),メンバー!U35,IFERROR(VLOOKUP(TRIM(メンバー!U35),設定!$A$11:$B$20,2,FALSE),0)))</f>
        <v>0.69</v>
      </c>
      <c r="V39" s="15">
        <f>IF(メンバー!V35="",0,IF(ISNUMBER(メンバー!V35),メンバー!V35,IFERROR(VLOOKUP(TRIM(メンバー!V35),設定!$A$11:$B$20,2,FALSE),0)))</f>
        <v>0.69</v>
      </c>
    </row>
    <row r="40" spans="1:22" ht="15.75">
      <c r="A40" s="37" t="str">
        <f>IF(メンバー!$A13="","",メンバー!$A13)</f>
        <v>OP</v>
      </c>
      <c r="B40" s="37" t="str">
        <f>IF(メンバー!$B13="","",メンバー!$B13)</f>
        <v>伊藤</v>
      </c>
      <c r="C40" s="2"/>
      <c r="D40" s="15">
        <f>IF(メンバー!D36="",0,IF(ISNUMBER(メンバー!D36),メンバー!D36,IFERROR(VLOOKUP(TRIM(メンバー!D36),設定!$A$11:$B$20,2,FALSE),0)))</f>
        <v>0.85</v>
      </c>
      <c r="E40" s="15">
        <f>IF(メンバー!E36="",0,IF(ISNUMBER(メンバー!E36),メンバー!E36,IFERROR(VLOOKUP(TRIM(メンバー!E36),設定!$A$11:$B$20,2,FALSE),0)))</f>
        <v>0.85</v>
      </c>
      <c r="F40" s="15">
        <f>IF(メンバー!F36="",0,IF(ISNUMBER(メンバー!F36),メンバー!F36,IFERROR(VLOOKUP(TRIM(メンバー!F36),設定!$A$11:$B$20,2,FALSE),0)))</f>
        <v>0.85</v>
      </c>
      <c r="G40" s="15">
        <f>IF(メンバー!G36="",0,IF(ISNUMBER(メンバー!G36),メンバー!G36,IFERROR(VLOOKUP(TRIM(メンバー!G36),設定!$A$11:$B$20,2,FALSE),0)))</f>
        <v>0.85</v>
      </c>
      <c r="H40" s="15">
        <f>IF(メンバー!H36="",0,IF(ISNUMBER(メンバー!H36),メンバー!H36,IFERROR(VLOOKUP(TRIM(メンバー!H36),設定!$A$11:$B$20,2,FALSE),0)))</f>
        <v>0.85</v>
      </c>
      <c r="I40" s="15">
        <f>IF(メンバー!I36="",0,IF(ISNUMBER(メンバー!I36),メンバー!I36,IFERROR(VLOOKUP(TRIM(メンバー!I36),設定!$A$11:$B$20,2,FALSE),0)))</f>
        <v>0.8</v>
      </c>
      <c r="J40" s="15">
        <f>IF(メンバー!J36="",0,IF(ISNUMBER(メンバー!J36),メンバー!J36,IFERROR(VLOOKUP(TRIM(メンバー!J36),設定!$A$11:$B$20,2,FALSE),0)))</f>
        <v>0.8</v>
      </c>
      <c r="K40" s="15">
        <f>IF(メンバー!K36="",0,IF(ISNUMBER(メンバー!K36),メンバー!K36,IFERROR(VLOOKUP(TRIM(メンバー!K36),設定!$A$11:$B$20,2,FALSE),0)))</f>
        <v>0.8</v>
      </c>
      <c r="L40" s="15">
        <f>IF(メンバー!L36="",0,IF(ISNUMBER(メンバー!L36),メンバー!L36,IFERROR(VLOOKUP(TRIM(メンバー!L36),設定!$A$11:$B$20,2,FALSE),0)))</f>
        <v>0.8</v>
      </c>
      <c r="M40" s="15">
        <f>IF(メンバー!M36="",0,IF(ISNUMBER(メンバー!M36),メンバー!M36,IFERROR(VLOOKUP(TRIM(メンバー!M36),設定!$A$11:$B$20,2,FALSE),0)))</f>
        <v>0.8</v>
      </c>
      <c r="N40" s="15">
        <f>IF(メンバー!N36="",0,IF(ISNUMBER(メンバー!N36),メンバー!N36,IFERROR(VLOOKUP(TRIM(メンバー!N36),設定!$A$11:$B$20,2,FALSE),0)))</f>
        <v>0.48</v>
      </c>
      <c r="O40" s="15">
        <f>IF(メンバー!O36="",0,IF(ISNUMBER(メンバー!O36),メンバー!O36,IFERROR(VLOOKUP(TRIM(メンバー!O36),設定!$A$11:$B$20,2,FALSE),0)))</f>
        <v>0.8</v>
      </c>
      <c r="P40" s="15">
        <f>IF(メンバー!P36="",0,IF(ISNUMBER(メンバー!P36),メンバー!P36,IFERROR(VLOOKUP(TRIM(メンバー!P36),設定!$A$11:$B$20,2,FALSE),0)))</f>
        <v>0.8</v>
      </c>
      <c r="Q40" s="15">
        <f>IF(メンバー!Q36="",0,IF(ISNUMBER(メンバー!Q36),メンバー!Q36,IFERROR(VLOOKUP(TRIM(メンバー!Q36),設定!$A$11:$B$20,2,FALSE),0)))</f>
        <v>0.8</v>
      </c>
      <c r="R40" s="15">
        <f>IF(メンバー!R36="",0,IF(ISNUMBER(メンバー!R36),メンバー!R36,IFERROR(VLOOKUP(TRIM(メンバー!R36),設定!$A$11:$B$20,2,FALSE),0)))</f>
        <v>0.8</v>
      </c>
      <c r="S40" s="15">
        <f>IF(メンバー!S36="",0,IF(ISNUMBER(メンバー!S36),メンバー!S36,IFERROR(VLOOKUP(TRIM(メンバー!S36),設定!$A$11:$B$20,2,FALSE),0)))</f>
        <v>0.8</v>
      </c>
      <c r="T40" s="15">
        <f>IF(メンバー!T36="",0,IF(ISNUMBER(メンバー!T36),メンバー!T36,IFERROR(VLOOKUP(TRIM(メンバー!T36),設定!$A$11:$B$20,2,FALSE),0)))</f>
        <v>0.8</v>
      </c>
      <c r="U40" s="15">
        <f>IF(メンバー!U36="",0,IF(ISNUMBER(メンバー!U36),メンバー!U36,IFERROR(VLOOKUP(TRIM(メンバー!U36),設定!$A$11:$B$20,2,FALSE),0)))</f>
        <v>0.8</v>
      </c>
      <c r="V40" s="15">
        <f>IF(メンバー!V36="",0,IF(ISNUMBER(メンバー!V36),メンバー!V36,IFERROR(VLOOKUP(TRIM(メンバー!V36),設定!$A$11:$B$20,2,FALSE),0)))</f>
        <v>0.8</v>
      </c>
    </row>
    <row r="41" spans="1:22" ht="15.75">
      <c r="A41" s="37" t="str">
        <f>IF(メンバー!$A14="","",メンバー!$A14)</f>
        <v>OP</v>
      </c>
      <c r="B41" s="37" t="str">
        <f>IF(メンバー!$B14="","",メンバー!$B14)</f>
        <v>兼田</v>
      </c>
      <c r="C41" s="2"/>
      <c r="D41" s="15">
        <f>IF(メンバー!D37="",0,IF(ISNUMBER(メンバー!D37),メンバー!D37,IFERROR(VLOOKUP(TRIM(メンバー!D37),設定!$A$11:$B$20,2,FALSE),0)))</f>
        <v>0.85</v>
      </c>
      <c r="E41" s="15">
        <f>IF(メンバー!E37="",0,IF(ISNUMBER(メンバー!E37),メンバー!E37,IFERROR(VLOOKUP(TRIM(メンバー!E37),設定!$A$11:$B$20,2,FALSE),0)))</f>
        <v>0.85</v>
      </c>
      <c r="F41" s="15">
        <f>IF(メンバー!F37="",0,IF(ISNUMBER(メンバー!F37),メンバー!F37,IFERROR(VLOOKUP(TRIM(メンバー!F37),設定!$A$11:$B$20,2,FALSE),0)))</f>
        <v>0.85</v>
      </c>
      <c r="G41" s="15">
        <f>IF(メンバー!G37="",0,IF(ISNUMBER(メンバー!G37),メンバー!G37,IFERROR(VLOOKUP(TRIM(メンバー!G37),設定!$A$11:$B$20,2,FALSE),0)))</f>
        <v>0.85</v>
      </c>
      <c r="H41" s="15">
        <f>IF(メンバー!H37="",0,IF(ISNUMBER(メンバー!H37),メンバー!H37,IFERROR(VLOOKUP(TRIM(メンバー!H37),設定!$A$11:$B$20,2,FALSE),0)))</f>
        <v>0.85</v>
      </c>
      <c r="I41" s="15">
        <f>IF(メンバー!I37="",0,IF(ISNUMBER(メンバー!I37),メンバー!I37,IFERROR(VLOOKUP(TRIM(メンバー!I37),設定!$A$11:$B$20,2,FALSE),0)))</f>
        <v>0.8</v>
      </c>
      <c r="J41" s="15">
        <f>IF(メンバー!J37="",0,IF(ISNUMBER(メンバー!J37),メンバー!J37,IFERROR(VLOOKUP(TRIM(メンバー!J37),設定!$A$11:$B$20,2,FALSE),0)))</f>
        <v>0.8</v>
      </c>
      <c r="K41" s="15">
        <f>IF(メンバー!K37="",0,IF(ISNUMBER(メンバー!K37),メンバー!K37,IFERROR(VLOOKUP(TRIM(メンバー!K37),設定!$A$11:$B$20,2,FALSE),0)))</f>
        <v>0.8</v>
      </c>
      <c r="L41" s="15">
        <f>IF(メンバー!L37="",0,IF(ISNUMBER(メンバー!L37),メンバー!L37,IFERROR(VLOOKUP(TRIM(メンバー!L37),設定!$A$11:$B$20,2,FALSE),0)))</f>
        <v>0.8</v>
      </c>
      <c r="M41" s="15">
        <f>IF(メンバー!M37="",0,IF(ISNUMBER(メンバー!M37),メンバー!M37,IFERROR(VLOOKUP(TRIM(メンバー!M37),設定!$A$11:$B$20,2,FALSE),0)))</f>
        <v>0.8</v>
      </c>
      <c r="N41" s="15">
        <f>IF(メンバー!N37="",0,IF(ISNUMBER(メンバー!N37),メンバー!N37,IFERROR(VLOOKUP(TRIM(メンバー!N37),設定!$A$11:$B$20,2,FALSE),0)))</f>
        <v>0.48</v>
      </c>
      <c r="O41" s="15">
        <f>IF(メンバー!O37="",0,IF(ISNUMBER(メンバー!O37),メンバー!O37,IFERROR(VLOOKUP(TRIM(メンバー!O37),設定!$A$11:$B$20,2,FALSE),0)))</f>
        <v>0.8</v>
      </c>
      <c r="P41" s="15">
        <f>IF(メンバー!P37="",0,IF(ISNUMBER(メンバー!P37),メンバー!P37,IFERROR(VLOOKUP(TRIM(メンバー!P37),設定!$A$11:$B$20,2,FALSE),0)))</f>
        <v>0.8</v>
      </c>
      <c r="Q41" s="15">
        <f>IF(メンバー!Q37="",0,IF(ISNUMBER(メンバー!Q37),メンバー!Q37,IFERROR(VLOOKUP(TRIM(メンバー!Q37),設定!$A$11:$B$20,2,FALSE),0)))</f>
        <v>0.8</v>
      </c>
      <c r="R41" s="15">
        <f>IF(メンバー!R37="",0,IF(ISNUMBER(メンバー!R37),メンバー!R37,IFERROR(VLOOKUP(TRIM(メンバー!R37),設定!$A$11:$B$20,2,FALSE),0)))</f>
        <v>0.8</v>
      </c>
      <c r="S41" s="15">
        <f>IF(メンバー!S37="",0,IF(ISNUMBER(メンバー!S37),メンバー!S37,IFERROR(VLOOKUP(TRIM(メンバー!S37),設定!$A$11:$B$20,2,FALSE),0)))</f>
        <v>0.8</v>
      </c>
      <c r="T41" s="15">
        <f>IF(メンバー!T37="",0,IF(ISNUMBER(メンバー!T37),メンバー!T37,IFERROR(VLOOKUP(TRIM(メンバー!T37),設定!$A$11:$B$20,2,FALSE),0)))</f>
        <v>0.8</v>
      </c>
      <c r="U41" s="15">
        <f>IF(メンバー!U37="",0,IF(ISNUMBER(メンバー!U37),メンバー!U37,IFERROR(VLOOKUP(TRIM(メンバー!U37),設定!$A$11:$B$20,2,FALSE),0)))</f>
        <v>0.8</v>
      </c>
      <c r="V41" s="15">
        <f>IF(メンバー!V37="",0,IF(ISNUMBER(メンバー!V37),メンバー!V37,IFERROR(VLOOKUP(TRIM(メンバー!V37),設定!$A$11:$B$20,2,FALSE),0)))</f>
        <v>0.8</v>
      </c>
    </row>
    <row r="42" spans="1:22" ht="15.75">
      <c r="A42" s="37" t="str">
        <f>IF(メンバー!$A15="","",メンバー!$A15)</f>
        <v>OP</v>
      </c>
      <c r="B42" s="37" t="str">
        <f>IF(メンバー!$B15="","",メンバー!$B15)</f>
        <v>植田</v>
      </c>
      <c r="C42" s="2"/>
      <c r="D42" s="15">
        <f>IF(メンバー!D38="",0,IF(ISNUMBER(メンバー!D38),メンバー!D38,IFERROR(VLOOKUP(TRIM(メンバー!D38),設定!$A$11:$B$20,2,FALSE),0)))</f>
        <v>0.85</v>
      </c>
      <c r="E42" s="15">
        <f>IF(メンバー!E38="",0,IF(ISNUMBER(メンバー!E38),メンバー!E38,IFERROR(VLOOKUP(TRIM(メンバー!E38),設定!$A$11:$B$20,2,FALSE),0)))</f>
        <v>0.85</v>
      </c>
      <c r="F42" s="15">
        <f>IF(メンバー!F38="",0,IF(ISNUMBER(メンバー!F38),メンバー!F38,IFERROR(VLOOKUP(TRIM(メンバー!F38),設定!$A$11:$B$20,2,FALSE),0)))</f>
        <v>0.85</v>
      </c>
      <c r="G42" s="15">
        <f>IF(メンバー!G38="",0,IF(ISNUMBER(メンバー!G38),メンバー!G38,IFERROR(VLOOKUP(TRIM(メンバー!G38),設定!$A$11:$B$20,2,FALSE),0)))</f>
        <v>0.85</v>
      </c>
      <c r="H42" s="15">
        <f>IF(メンバー!H38="",0,IF(ISNUMBER(メンバー!H38),メンバー!H38,IFERROR(VLOOKUP(TRIM(メンバー!H38),設定!$A$11:$B$20,2,FALSE),0)))</f>
        <v>0.85</v>
      </c>
      <c r="I42" s="15">
        <f>IF(メンバー!I38="",0,IF(ISNUMBER(メンバー!I38),メンバー!I38,IFERROR(VLOOKUP(TRIM(メンバー!I38),設定!$A$11:$B$20,2,FALSE),0)))</f>
        <v>0</v>
      </c>
      <c r="J42" s="15">
        <f>IF(メンバー!J38="",0,IF(ISNUMBER(メンバー!J38),メンバー!J38,IFERROR(VLOOKUP(TRIM(メンバー!J38),設定!$A$11:$B$20,2,FALSE),0)))</f>
        <v>0</v>
      </c>
      <c r="K42" s="15">
        <f>IF(メンバー!K38="",0,IF(ISNUMBER(メンバー!K38),メンバー!K38,IFERROR(VLOOKUP(TRIM(メンバー!K38),設定!$A$11:$B$20,2,FALSE),0)))</f>
        <v>0</v>
      </c>
      <c r="L42" s="15">
        <f>IF(メンバー!L38="",0,IF(ISNUMBER(メンバー!L38),メンバー!L38,IFERROR(VLOOKUP(TRIM(メンバー!L38),設定!$A$11:$B$20,2,FALSE),0)))</f>
        <v>0</v>
      </c>
      <c r="M42" s="15">
        <f>IF(メンバー!M38="",0,IF(ISNUMBER(メンバー!M38),メンバー!M38,IFERROR(VLOOKUP(TRIM(メンバー!M38),設定!$A$11:$B$20,2,FALSE),0)))</f>
        <v>0</v>
      </c>
      <c r="N42" s="15">
        <f>IF(メンバー!N38="",0,IF(ISNUMBER(メンバー!N38),メンバー!N38,IFERROR(VLOOKUP(TRIM(メンバー!N38),設定!$A$11:$B$20,2,FALSE),0)))</f>
        <v>0</v>
      </c>
      <c r="O42" s="15">
        <f>IF(メンバー!O38="",0,IF(ISNUMBER(メンバー!O38),メンバー!O38,IFERROR(VLOOKUP(TRIM(メンバー!O38),設定!$A$11:$B$20,2,FALSE),0)))</f>
        <v>0</v>
      </c>
      <c r="P42" s="15">
        <f>IF(メンバー!P38="",0,IF(ISNUMBER(メンバー!P38),メンバー!P38,IFERROR(VLOOKUP(TRIM(メンバー!P38),設定!$A$11:$B$20,2,FALSE),0)))</f>
        <v>0</v>
      </c>
      <c r="Q42" s="15">
        <f>IF(メンバー!Q38="",0,IF(ISNUMBER(メンバー!Q38),メンバー!Q38,IFERROR(VLOOKUP(TRIM(メンバー!Q38),設定!$A$11:$B$20,2,FALSE),0)))</f>
        <v>0</v>
      </c>
      <c r="R42" s="15">
        <f>IF(メンバー!R38="",0,IF(ISNUMBER(メンバー!R38),メンバー!R38,IFERROR(VLOOKUP(TRIM(メンバー!R38),設定!$A$11:$B$20,2,FALSE),0)))</f>
        <v>0</v>
      </c>
      <c r="S42" s="15">
        <f>IF(メンバー!S38="",0,IF(ISNUMBER(メンバー!S38),メンバー!S38,IFERROR(VLOOKUP(TRIM(メンバー!S38),設定!$A$11:$B$20,2,FALSE),0)))</f>
        <v>0</v>
      </c>
      <c r="T42" s="15">
        <f>IF(メンバー!T38="",0,IF(ISNUMBER(メンバー!T38),メンバー!T38,IFERROR(VLOOKUP(TRIM(メンバー!T38),設定!$A$11:$B$20,2,FALSE),0)))</f>
        <v>0</v>
      </c>
      <c r="U42" s="15">
        <f>IF(メンバー!U38="",0,IF(ISNUMBER(メンバー!U38),メンバー!U38,IFERROR(VLOOKUP(TRIM(メンバー!U38),設定!$A$11:$B$20,2,FALSE),0)))</f>
        <v>0</v>
      </c>
      <c r="V42" s="15">
        <f>IF(メンバー!V38="",0,IF(ISNUMBER(メンバー!V38),メンバー!V38,IFERROR(VLOOKUP(TRIM(メンバー!V38),設定!$A$11:$B$20,2,FALSE),0)))</f>
        <v>0</v>
      </c>
    </row>
    <row r="43" spans="1:22" ht="15.75">
      <c r="A43" s="37" t="str">
        <f>IF(メンバー!$A16="","",メンバー!$A16)</f>
        <v>SV</v>
      </c>
      <c r="B43" s="37" t="str">
        <f>IF(メンバー!$B16="","",メンバー!$B16)</f>
        <v>小野</v>
      </c>
      <c r="C43" s="2"/>
      <c r="D43" s="15">
        <f>IF(メンバー!D39="",0,IF(ISNUMBER(メンバー!D39),メンバー!D39,IFERROR(VLOOKUP(TRIM(メンバー!D39),設定!$A$11:$B$20,2,FALSE),0)))</f>
        <v>0.85</v>
      </c>
      <c r="E43" s="15">
        <f>IF(メンバー!E39="",0,IF(ISNUMBER(メンバー!E39),メンバー!E39,IFERROR(VLOOKUP(TRIM(メンバー!E39),設定!$A$11:$B$20,2,FALSE),0)))</f>
        <v>0.85</v>
      </c>
      <c r="F43" s="15">
        <f>IF(メンバー!F39="",0,IF(ISNUMBER(メンバー!F39),メンバー!F39,IFERROR(VLOOKUP(TRIM(メンバー!F39),設定!$A$11:$B$20,2,FALSE),0)))</f>
        <v>0.85</v>
      </c>
      <c r="G43" s="15">
        <f>IF(メンバー!G39="",0,IF(ISNUMBER(メンバー!G39),メンバー!G39,IFERROR(VLOOKUP(TRIM(メンバー!G39),設定!$A$11:$B$20,2,FALSE),0)))</f>
        <v>0.85</v>
      </c>
      <c r="H43" s="15">
        <f>IF(メンバー!H39="",0,IF(ISNUMBER(メンバー!H39),メンバー!H39,IFERROR(VLOOKUP(TRIM(メンバー!H39),設定!$A$11:$B$20,2,FALSE),0)))</f>
        <v>0.85</v>
      </c>
      <c r="I43" s="15">
        <f>IF(メンバー!I39="",0,IF(ISNUMBER(メンバー!I39),メンバー!I39,IFERROR(VLOOKUP(TRIM(メンバー!I39),設定!$A$11:$B$20,2,FALSE),0)))</f>
        <v>0.8</v>
      </c>
      <c r="J43" s="15">
        <f>IF(メンバー!J39="",0,IF(ISNUMBER(メンバー!J39),メンバー!J39,IFERROR(VLOOKUP(TRIM(メンバー!J39),設定!$A$11:$B$20,2,FALSE),0)))</f>
        <v>0.8</v>
      </c>
      <c r="K43" s="15">
        <f>IF(メンバー!K39="",0,IF(ISNUMBER(メンバー!K39),メンバー!K39,IFERROR(VLOOKUP(TRIM(メンバー!K39),設定!$A$11:$B$20,2,FALSE),0)))</f>
        <v>0.8</v>
      </c>
      <c r="L43" s="15">
        <f>IF(メンバー!L39="",0,IF(ISNUMBER(メンバー!L39),メンバー!L39,IFERROR(VLOOKUP(TRIM(メンバー!L39),設定!$A$11:$B$20,2,FALSE),0)))</f>
        <v>0.8</v>
      </c>
      <c r="M43" s="15">
        <f>IF(メンバー!M39="",0,IF(ISNUMBER(メンバー!M39),メンバー!M39,IFERROR(VLOOKUP(TRIM(メンバー!M39),設定!$A$11:$B$20,2,FALSE),0)))</f>
        <v>0.8</v>
      </c>
      <c r="N43" s="15">
        <f>IF(メンバー!N39="",0,IF(ISNUMBER(メンバー!N39),メンバー!N39,IFERROR(VLOOKUP(TRIM(メンバー!N39),設定!$A$11:$B$20,2,FALSE),0)))</f>
        <v>0.48</v>
      </c>
      <c r="O43" s="15">
        <f>IF(メンバー!O39="",0,IF(ISNUMBER(メンバー!O39),メンバー!O39,IFERROR(VLOOKUP(TRIM(メンバー!O39),設定!$A$11:$B$20,2,FALSE),0)))</f>
        <v>0.8</v>
      </c>
      <c r="P43" s="15">
        <f>IF(メンバー!P39="",0,IF(ISNUMBER(メンバー!P39),メンバー!P39,IFERROR(VLOOKUP(TRIM(メンバー!P39),設定!$A$11:$B$20,2,FALSE),0)))</f>
        <v>0.8</v>
      </c>
      <c r="Q43" s="15">
        <f>IF(メンバー!Q39="",0,IF(ISNUMBER(メンバー!Q39),メンバー!Q39,IFERROR(VLOOKUP(TRIM(メンバー!Q39),設定!$A$11:$B$20,2,FALSE),0)))</f>
        <v>0.8</v>
      </c>
      <c r="R43" s="15">
        <f>IF(メンバー!R39="",0,IF(ISNUMBER(メンバー!R39),メンバー!R39,IFERROR(VLOOKUP(TRIM(メンバー!R39),設定!$A$11:$B$20,2,FALSE),0)))</f>
        <v>0.8</v>
      </c>
      <c r="S43" s="15">
        <f>IF(メンバー!S39="",0,IF(ISNUMBER(メンバー!S39),メンバー!S39,IFERROR(VLOOKUP(TRIM(メンバー!S39),設定!$A$11:$B$20,2,FALSE),0)))</f>
        <v>0.8</v>
      </c>
      <c r="T43" s="15">
        <f>IF(メンバー!T39="",0,IF(ISNUMBER(メンバー!T39),メンバー!T39,IFERROR(VLOOKUP(TRIM(メンバー!T39),設定!$A$11:$B$20,2,FALSE),0)))</f>
        <v>0.8</v>
      </c>
      <c r="U43" s="15">
        <f>IF(メンバー!U39="",0,IF(ISNUMBER(メンバー!U39),メンバー!U39,IFERROR(VLOOKUP(TRIM(メンバー!U39),設定!$A$11:$B$20,2,FALSE),0)))</f>
        <v>0.8</v>
      </c>
      <c r="V43" s="15">
        <f>IF(メンバー!V39="",0,IF(ISNUMBER(メンバー!V39),メンバー!V39,IFERROR(VLOOKUP(TRIM(メンバー!V39),設定!$A$11:$B$20,2,FALSE),0)))</f>
        <v>0.8</v>
      </c>
    </row>
    <row r="44" spans="1:22" ht="15.75">
      <c r="A44" s="37" t="str">
        <f>IF(メンバー!$A17="","",メンバー!$A17)</f>
        <v>SV</v>
      </c>
      <c r="B44" s="37" t="str">
        <f>IF(メンバー!$B17="","",メンバー!$B17)</f>
        <v>栗城</v>
      </c>
      <c r="C44" s="2"/>
      <c r="D44" s="15">
        <f>IF(メンバー!D40="",0,IF(ISNUMBER(メンバー!D40),メンバー!D40,IFERROR(VLOOKUP(TRIM(メンバー!D40),設定!$A$11:$B$20,2,FALSE),0)))</f>
        <v>0.85</v>
      </c>
      <c r="E44" s="15">
        <f>IF(メンバー!E40="",0,IF(ISNUMBER(メンバー!E40),メンバー!E40,IFERROR(VLOOKUP(TRIM(メンバー!E40),設定!$A$11:$B$20,2,FALSE),0)))</f>
        <v>0.85</v>
      </c>
      <c r="F44" s="15">
        <f>IF(メンバー!F40="",0,IF(ISNUMBER(メンバー!F40),メンバー!F40,IFERROR(VLOOKUP(TRIM(メンバー!F40),設定!$A$11:$B$20,2,FALSE),0)))</f>
        <v>0.85</v>
      </c>
      <c r="G44" s="15">
        <f>IF(メンバー!G40="",0,IF(ISNUMBER(メンバー!G40),メンバー!G40,IFERROR(VLOOKUP(TRIM(メンバー!G40),設定!$A$11:$B$20,2,FALSE),0)))</f>
        <v>0.85</v>
      </c>
      <c r="H44" s="15">
        <f>IF(メンバー!H40="",0,IF(ISNUMBER(メンバー!H40),メンバー!H40,IFERROR(VLOOKUP(TRIM(メンバー!H40),設定!$A$11:$B$20,2,FALSE),0)))</f>
        <v>0.85</v>
      </c>
      <c r="I44" s="15">
        <f>IF(メンバー!I40="",0,IF(ISNUMBER(メンバー!I40),メンバー!I40,IFERROR(VLOOKUP(TRIM(メンバー!I40),設定!$A$11:$B$20,2,FALSE),0)))</f>
        <v>0.8</v>
      </c>
      <c r="J44" s="15">
        <f>IF(メンバー!J40="",0,IF(ISNUMBER(メンバー!J40),メンバー!J40,IFERROR(VLOOKUP(TRIM(メンバー!J40),設定!$A$11:$B$20,2,FALSE),0)))</f>
        <v>0.8</v>
      </c>
      <c r="K44" s="15">
        <f>IF(メンバー!K40="",0,IF(ISNUMBER(メンバー!K40),メンバー!K40,IFERROR(VLOOKUP(TRIM(メンバー!K40),設定!$A$11:$B$20,2,FALSE),0)))</f>
        <v>0.8</v>
      </c>
      <c r="L44" s="15">
        <f>IF(メンバー!L40="",0,IF(ISNUMBER(メンバー!L40),メンバー!L40,IFERROR(VLOOKUP(TRIM(メンバー!L40),設定!$A$11:$B$20,2,FALSE),0)))</f>
        <v>0.8</v>
      </c>
      <c r="M44" s="15">
        <f>IF(メンバー!M40="",0,IF(ISNUMBER(メンバー!M40),メンバー!M40,IFERROR(VLOOKUP(TRIM(メンバー!M40),設定!$A$11:$B$20,2,FALSE),0)))</f>
        <v>0.8</v>
      </c>
      <c r="N44" s="15">
        <f>IF(メンバー!N40="",0,IF(ISNUMBER(メンバー!N40),メンバー!N40,IFERROR(VLOOKUP(TRIM(メンバー!N40),設定!$A$11:$B$20,2,FALSE),0)))</f>
        <v>0.48</v>
      </c>
      <c r="O44" s="15">
        <f>IF(メンバー!O40="",0,IF(ISNUMBER(メンバー!O40),メンバー!O40,IFERROR(VLOOKUP(TRIM(メンバー!O40),設定!$A$11:$B$20,2,FALSE),0)))</f>
        <v>0.8</v>
      </c>
      <c r="P44" s="15">
        <f>IF(メンバー!P40="",0,IF(ISNUMBER(メンバー!P40),メンバー!P40,IFERROR(VLOOKUP(TRIM(メンバー!P40),設定!$A$11:$B$20,2,FALSE),0)))</f>
        <v>0.8</v>
      </c>
      <c r="Q44" s="15">
        <f>IF(メンバー!Q40="",0,IF(ISNUMBER(メンバー!Q40),メンバー!Q40,IFERROR(VLOOKUP(TRIM(メンバー!Q40),設定!$A$11:$B$20,2,FALSE),0)))</f>
        <v>0.8</v>
      </c>
      <c r="R44" s="15">
        <f>IF(メンバー!R40="",0,IF(ISNUMBER(メンバー!R40),メンバー!R40,IFERROR(VLOOKUP(TRIM(メンバー!R40),設定!$A$11:$B$20,2,FALSE),0)))</f>
        <v>0.8</v>
      </c>
      <c r="S44" s="15">
        <f>IF(メンバー!S40="",0,IF(ISNUMBER(メンバー!S40),メンバー!S40,IFERROR(VLOOKUP(TRIM(メンバー!S40),設定!$A$11:$B$20,2,FALSE),0)))</f>
        <v>0.8</v>
      </c>
      <c r="T44" s="15">
        <f>IF(メンバー!T40="",0,IF(ISNUMBER(メンバー!T40),メンバー!T40,IFERROR(VLOOKUP(TRIM(メンバー!T40),設定!$A$11:$B$20,2,FALSE),0)))</f>
        <v>0.8</v>
      </c>
      <c r="U44" s="15">
        <f>IF(メンバー!U40="",0,IF(ISNUMBER(メンバー!U40),メンバー!U40,IFERROR(VLOOKUP(TRIM(メンバー!U40),設定!$A$11:$B$20,2,FALSE),0)))</f>
        <v>0.8</v>
      </c>
      <c r="V44" s="15">
        <f>IF(メンバー!V40="",0,IF(ISNUMBER(メンバー!V40),メンバー!V40,IFERROR(VLOOKUP(TRIM(メンバー!V40),設定!$A$11:$B$20,2,FALSE),0)))</f>
        <v>0.8</v>
      </c>
    </row>
    <row r="45" spans="1:22" ht="15.75">
      <c r="A45" s="37" t="str">
        <f>IF(メンバー!$A18="","",メンバー!$A18)</f>
        <v>SV</v>
      </c>
      <c r="B45" s="37" t="str">
        <f>IF(メンバー!$B18="","",メンバー!$B18)</f>
        <v>田中</v>
      </c>
      <c r="C45" s="2"/>
      <c r="D45" s="15">
        <f>IF(メンバー!D41="",0,IF(ISNUMBER(メンバー!D41),メンバー!D41,IFERROR(VLOOKUP(TRIM(メンバー!D41),設定!$A$11:$B$20,2,FALSE),0)))</f>
        <v>0.6</v>
      </c>
      <c r="E45" s="15">
        <f>IF(メンバー!E41="",0,IF(ISNUMBER(メンバー!E41),メンバー!E41,IFERROR(VLOOKUP(TRIM(メンバー!E41),設定!$A$11:$B$20,2,FALSE),0)))</f>
        <v>0.6</v>
      </c>
      <c r="F45" s="15">
        <f>IF(メンバー!F41="",0,IF(ISNUMBER(メンバー!F41),メンバー!F41,IFERROR(VLOOKUP(TRIM(メンバー!F41),設定!$A$11:$B$20,2,FALSE),0)))</f>
        <v>0.6</v>
      </c>
      <c r="G45" s="15">
        <f>IF(メンバー!G41="",0,IF(ISNUMBER(メンバー!G41),メンバー!G41,IFERROR(VLOOKUP(TRIM(メンバー!G41),設定!$A$11:$B$20,2,FALSE),0)))</f>
        <v>0.6</v>
      </c>
      <c r="H45" s="15">
        <f>IF(メンバー!H41="",0,IF(ISNUMBER(メンバー!H41),メンバー!H41,IFERROR(VLOOKUP(TRIM(メンバー!H41),設定!$A$11:$B$20,2,FALSE),0)))</f>
        <v>0.6</v>
      </c>
      <c r="I45" s="15">
        <f>IF(メンバー!I41="",0,IF(ISNUMBER(メンバー!I41),メンバー!I41,IFERROR(VLOOKUP(TRIM(メンバー!I41),設定!$A$11:$B$20,2,FALSE),0)))</f>
        <v>0.6</v>
      </c>
      <c r="J45" s="15">
        <f>IF(メンバー!J41="",0,IF(ISNUMBER(メンバー!J41),メンバー!J41,IFERROR(VLOOKUP(TRIM(メンバー!J41),設定!$A$11:$B$20,2,FALSE),0)))</f>
        <v>0.6</v>
      </c>
      <c r="K45" s="15">
        <f>IF(メンバー!K41="",0,IF(ISNUMBER(メンバー!K41),メンバー!K41,IFERROR(VLOOKUP(TRIM(メンバー!K41),設定!$A$11:$B$20,2,FALSE),0)))</f>
        <v>0.6</v>
      </c>
      <c r="L45" s="15">
        <f>IF(メンバー!L41="",0,IF(ISNUMBER(メンバー!L41),メンバー!L41,IFERROR(VLOOKUP(TRIM(メンバー!L41),設定!$A$11:$B$20,2,FALSE),0)))</f>
        <v>0.6</v>
      </c>
      <c r="M45" s="15">
        <f>IF(メンバー!M41="",0,IF(ISNUMBER(メンバー!M41),メンバー!M41,IFERROR(VLOOKUP(TRIM(メンバー!M41),設定!$A$11:$B$20,2,FALSE),0)))</f>
        <v>0.6</v>
      </c>
      <c r="N45" s="15">
        <f>IF(メンバー!N41="",0,IF(ISNUMBER(メンバー!N41),メンバー!N41,IFERROR(VLOOKUP(TRIM(メンバー!N41),設定!$A$11:$B$20,2,FALSE),0)))</f>
        <v>0.36</v>
      </c>
      <c r="O45" s="15">
        <f>IF(メンバー!O41="",0,IF(ISNUMBER(メンバー!O41),メンバー!O41,IFERROR(VLOOKUP(TRIM(メンバー!O41),設定!$A$11:$B$20,2,FALSE),0)))</f>
        <v>0.6</v>
      </c>
      <c r="P45" s="15">
        <f>IF(メンバー!P41="",0,IF(ISNUMBER(メンバー!P41),メンバー!P41,IFERROR(VLOOKUP(TRIM(メンバー!P41),設定!$A$11:$B$20,2,FALSE),0)))</f>
        <v>0.6</v>
      </c>
      <c r="Q45" s="15">
        <f>IF(メンバー!Q41="",0,IF(ISNUMBER(メンバー!Q41),メンバー!Q41,IFERROR(VLOOKUP(TRIM(メンバー!Q41),設定!$A$11:$B$20,2,FALSE),0)))</f>
        <v>0.6</v>
      </c>
      <c r="R45" s="15">
        <f>IF(メンバー!R41="",0,IF(ISNUMBER(メンバー!R41),メンバー!R41,IFERROR(VLOOKUP(TRIM(メンバー!R41),設定!$A$11:$B$20,2,FALSE),0)))</f>
        <v>0.6</v>
      </c>
      <c r="S45" s="15">
        <f>IF(メンバー!S41="",0,IF(ISNUMBER(メンバー!S41),メンバー!S41,IFERROR(VLOOKUP(TRIM(メンバー!S41),設定!$A$11:$B$20,2,FALSE),0)))</f>
        <v>0.6</v>
      </c>
      <c r="T45" s="15">
        <f>IF(メンバー!T41="",0,IF(ISNUMBER(メンバー!T41),メンバー!T41,IFERROR(VLOOKUP(TRIM(メンバー!T41),設定!$A$11:$B$20,2,FALSE),0)))</f>
        <v>0.6</v>
      </c>
      <c r="U45" s="15">
        <f>IF(メンバー!U41="",0,IF(ISNUMBER(メンバー!U41),メンバー!U41,IFERROR(VLOOKUP(TRIM(メンバー!U41),設定!$A$11:$B$20,2,FALSE),0)))</f>
        <v>0.6</v>
      </c>
      <c r="V45" s="15">
        <f>IF(メンバー!V41="",0,IF(ISNUMBER(メンバー!V41),メンバー!V41,IFERROR(VLOOKUP(TRIM(メンバー!V41),設定!$A$11:$B$20,2,FALSE),0)))</f>
        <v>0.6</v>
      </c>
    </row>
    <row r="46" spans="1:22" ht="15.75">
      <c r="A46" s="37" t="str">
        <f>IF(メンバー!$A19="","",メンバー!$A19)</f>
        <v>SV</v>
      </c>
      <c r="B46" s="37" t="str">
        <f>IF(メンバー!$B19="","",メンバー!$B19)</f>
        <v>西村</v>
      </c>
      <c r="C46" s="2"/>
      <c r="D46" s="15">
        <f>IF(メンバー!D42="",0,IF(ISNUMBER(メンバー!D42),メンバー!D42,IFERROR(VLOOKUP(TRIM(メンバー!D42),設定!$A$11:$B$20,2,FALSE),0)))</f>
        <v>0.6</v>
      </c>
      <c r="E46" s="15">
        <f>IF(メンバー!E42="",0,IF(ISNUMBER(メンバー!E42),メンバー!E42,IFERROR(VLOOKUP(TRIM(メンバー!E42),設定!$A$11:$B$20,2,FALSE),0)))</f>
        <v>0.6</v>
      </c>
      <c r="F46" s="15">
        <f>IF(メンバー!F42="",0,IF(ISNUMBER(メンバー!F42),メンバー!F42,IFERROR(VLOOKUP(TRIM(メンバー!F42),設定!$A$11:$B$20,2,FALSE),0)))</f>
        <v>0.6</v>
      </c>
      <c r="G46" s="15">
        <f>IF(メンバー!G42="",0,IF(ISNUMBER(メンバー!G42),メンバー!G42,IFERROR(VLOOKUP(TRIM(メンバー!G42),設定!$A$11:$B$20,2,FALSE),0)))</f>
        <v>0.6</v>
      </c>
      <c r="H46" s="15">
        <f>IF(メンバー!H42="",0,IF(ISNUMBER(メンバー!H42),メンバー!H42,IFERROR(VLOOKUP(TRIM(メンバー!H42),設定!$A$11:$B$20,2,FALSE),0)))</f>
        <v>0.6</v>
      </c>
      <c r="I46" s="15">
        <f>IF(メンバー!I42="",0,IF(ISNUMBER(メンバー!I42),メンバー!I42,IFERROR(VLOOKUP(TRIM(メンバー!I42),設定!$A$11:$B$20,2,FALSE),0)))</f>
        <v>0.6</v>
      </c>
      <c r="J46" s="15">
        <f>IF(メンバー!J42="",0,IF(ISNUMBER(メンバー!J42),メンバー!J42,IFERROR(VLOOKUP(TRIM(メンバー!J42),設定!$A$11:$B$20,2,FALSE),0)))</f>
        <v>0.6</v>
      </c>
      <c r="K46" s="15">
        <f>IF(メンバー!K42="",0,IF(ISNUMBER(メンバー!K42),メンバー!K42,IFERROR(VLOOKUP(TRIM(メンバー!K42),設定!$A$11:$B$20,2,FALSE),0)))</f>
        <v>0.6</v>
      </c>
      <c r="L46" s="15">
        <f>IF(メンバー!L42="",0,IF(ISNUMBER(メンバー!L42),メンバー!L42,IFERROR(VLOOKUP(TRIM(メンバー!L42),設定!$A$11:$B$20,2,FALSE),0)))</f>
        <v>0.6</v>
      </c>
      <c r="M46" s="15">
        <f>IF(メンバー!M42="",0,IF(ISNUMBER(メンバー!M42),メンバー!M42,IFERROR(VLOOKUP(TRIM(メンバー!M42),設定!$A$11:$B$20,2,FALSE),0)))</f>
        <v>0.6</v>
      </c>
      <c r="N46" s="15">
        <f>IF(メンバー!N42="",0,IF(ISNUMBER(メンバー!N42),メンバー!N42,IFERROR(VLOOKUP(TRIM(メンバー!N42),設定!$A$11:$B$20,2,FALSE),0)))</f>
        <v>0.36</v>
      </c>
      <c r="O46" s="15">
        <f>IF(メンバー!O42="",0,IF(ISNUMBER(メンバー!O42),メンバー!O42,IFERROR(VLOOKUP(TRIM(メンバー!O42),設定!$A$11:$B$20,2,FALSE),0)))</f>
        <v>0.6</v>
      </c>
      <c r="P46" s="15">
        <f>IF(メンバー!P42="",0,IF(ISNUMBER(メンバー!P42),メンバー!P42,IFERROR(VLOOKUP(TRIM(メンバー!P42),設定!$A$11:$B$20,2,FALSE),0)))</f>
        <v>0.6</v>
      </c>
      <c r="Q46" s="15">
        <f>IF(メンバー!Q42="",0,IF(ISNUMBER(メンバー!Q42),メンバー!Q42,IFERROR(VLOOKUP(TRIM(メンバー!Q42),設定!$A$11:$B$20,2,FALSE),0)))</f>
        <v>0.6</v>
      </c>
      <c r="R46" s="15">
        <f>IF(メンバー!R42="",0,IF(ISNUMBER(メンバー!R42),メンバー!R42,IFERROR(VLOOKUP(TRIM(メンバー!R42),設定!$A$11:$B$20,2,FALSE),0)))</f>
        <v>0.6</v>
      </c>
      <c r="S46" s="15">
        <f>IF(メンバー!S42="",0,IF(ISNUMBER(メンバー!S42),メンバー!S42,IFERROR(VLOOKUP(TRIM(メンバー!S42),設定!$A$11:$B$20,2,FALSE),0)))</f>
        <v>0.6</v>
      </c>
      <c r="T46" s="15">
        <f>IF(メンバー!T42="",0,IF(ISNUMBER(メンバー!T42),メンバー!T42,IFERROR(VLOOKUP(TRIM(メンバー!T42),設定!$A$11:$B$20,2,FALSE),0)))</f>
        <v>0.6</v>
      </c>
      <c r="U46" s="15">
        <f>IF(メンバー!U42="",0,IF(ISNUMBER(メンバー!U42),メンバー!U42,IFERROR(VLOOKUP(TRIM(メンバー!U42),設定!$A$11:$B$20,2,FALSE),0)))</f>
        <v>0.6</v>
      </c>
      <c r="V46" s="15">
        <f>IF(メンバー!V42="",0,IF(ISNUMBER(メンバー!V42),メンバー!V42,IFERROR(VLOOKUP(TRIM(メンバー!V42),設定!$A$11:$B$20,2,FALSE),0)))</f>
        <v>0.6</v>
      </c>
    </row>
    <row r="47" spans="1:22" ht="15.75">
      <c r="A47" s="37" t="str">
        <f>IF(メンバー!$A20="","",メンバー!$A20)</f>
        <v/>
      </c>
      <c r="B47" s="37" t="str">
        <f>IF(メンバー!$B20="","",メンバー!$B20)</f>
        <v/>
      </c>
      <c r="C47" s="2"/>
      <c r="D47" s="15">
        <f>IF(メンバー!D43="",0,IF(ISNUMBER(メンバー!D43),メンバー!D43,IFERROR(VLOOKUP(TRIM(メンバー!D43),設定!$A$11:$B$20,2,FALSE),0)))</f>
        <v>0</v>
      </c>
      <c r="E47" s="15">
        <f>IF(メンバー!E43="",0,IF(ISNUMBER(メンバー!E43),メンバー!E43,IFERROR(VLOOKUP(TRIM(メンバー!E43),設定!$A$11:$B$20,2,FALSE),0)))</f>
        <v>0</v>
      </c>
      <c r="F47" s="15">
        <f>IF(メンバー!F43="",0,IF(ISNUMBER(メンバー!F43),メンバー!F43,IFERROR(VLOOKUP(TRIM(メンバー!F43),設定!$A$11:$B$20,2,FALSE),0)))</f>
        <v>0</v>
      </c>
      <c r="G47" s="15">
        <f>IF(メンバー!G43="",0,IF(ISNUMBER(メンバー!G43),メンバー!G43,IFERROR(VLOOKUP(TRIM(メンバー!G43),設定!$A$11:$B$20,2,FALSE),0)))</f>
        <v>0</v>
      </c>
      <c r="H47" s="15">
        <f>IF(メンバー!H43="",0,IF(ISNUMBER(メンバー!H43),メンバー!H43,IFERROR(VLOOKUP(TRIM(メンバー!H43),設定!$A$11:$B$20,2,FALSE),0)))</f>
        <v>0</v>
      </c>
      <c r="I47" s="15">
        <f>IF(メンバー!I43="",0,IF(ISNUMBER(メンバー!I43),メンバー!I43,IFERROR(VLOOKUP(TRIM(メンバー!I43),設定!$A$11:$B$20,2,FALSE),0)))</f>
        <v>0</v>
      </c>
      <c r="J47" s="15">
        <f>IF(メンバー!J43="",0,IF(ISNUMBER(メンバー!J43),メンバー!J43,IFERROR(VLOOKUP(TRIM(メンバー!J43),設定!$A$11:$B$20,2,FALSE),0)))</f>
        <v>0</v>
      </c>
      <c r="K47" s="15">
        <f>IF(メンバー!K43="",0,IF(ISNUMBER(メンバー!K43),メンバー!K43,IFERROR(VLOOKUP(TRIM(メンバー!K43),設定!$A$11:$B$20,2,FALSE),0)))</f>
        <v>0</v>
      </c>
      <c r="L47" s="15">
        <f>IF(メンバー!L43="",0,IF(ISNUMBER(メンバー!L43),メンバー!L43,IFERROR(VLOOKUP(TRIM(メンバー!L43),設定!$A$11:$B$20,2,FALSE),0)))</f>
        <v>0</v>
      </c>
      <c r="M47" s="15">
        <f>IF(メンバー!M43="",0,IF(ISNUMBER(メンバー!M43),メンバー!M43,IFERROR(VLOOKUP(TRIM(メンバー!M43),設定!$A$11:$B$20,2,FALSE),0)))</f>
        <v>0</v>
      </c>
      <c r="N47" s="15">
        <f>IF(メンバー!N43="",0,IF(ISNUMBER(メンバー!N43),メンバー!N43,IFERROR(VLOOKUP(TRIM(メンバー!N43),設定!$A$11:$B$20,2,FALSE),0)))</f>
        <v>0</v>
      </c>
      <c r="O47" s="15">
        <f>IF(メンバー!O43="",0,IF(ISNUMBER(メンバー!O43),メンバー!O43,IFERROR(VLOOKUP(TRIM(メンバー!O43),設定!$A$11:$B$20,2,FALSE),0)))</f>
        <v>0</v>
      </c>
      <c r="P47" s="15">
        <f>IF(メンバー!P43="",0,IF(ISNUMBER(メンバー!P43),メンバー!P43,IFERROR(VLOOKUP(TRIM(メンバー!P43),設定!$A$11:$B$20,2,FALSE),0)))</f>
        <v>0</v>
      </c>
      <c r="Q47" s="15">
        <f>IF(メンバー!Q43="",0,IF(ISNUMBER(メンバー!Q43),メンバー!Q43,IFERROR(VLOOKUP(TRIM(メンバー!Q43),設定!$A$11:$B$20,2,FALSE),0)))</f>
        <v>0</v>
      </c>
      <c r="R47" s="15">
        <f>IF(メンバー!R43="",0,IF(ISNUMBER(メンバー!R43),メンバー!R43,IFERROR(VLOOKUP(TRIM(メンバー!R43),設定!$A$11:$B$20,2,FALSE),0)))</f>
        <v>0</v>
      </c>
      <c r="S47" s="15">
        <f>IF(メンバー!S43="",0,IF(ISNUMBER(メンバー!S43),メンバー!S43,IFERROR(VLOOKUP(TRIM(メンバー!S43),設定!$A$11:$B$20,2,FALSE),0)))</f>
        <v>0</v>
      </c>
      <c r="T47" s="15">
        <f>IF(メンバー!T43="",0,IF(ISNUMBER(メンバー!T43),メンバー!T43,IFERROR(VLOOKUP(TRIM(メンバー!T43),設定!$A$11:$B$20,2,FALSE),0)))</f>
        <v>0</v>
      </c>
      <c r="U47" s="15">
        <f>IF(メンバー!U43="",0,IF(ISNUMBER(メンバー!U43),メンバー!U43,IFERROR(VLOOKUP(TRIM(メンバー!U43),設定!$A$11:$B$20,2,FALSE),0)))</f>
        <v>0</v>
      </c>
      <c r="V47" s="15">
        <f>IF(メンバー!V43="",0,IF(ISNUMBER(メンバー!V43),メンバー!V43,IFERROR(VLOOKUP(TRIM(メンバー!V43),設定!$A$11:$B$20,2,FALSE),0)))</f>
        <v>0</v>
      </c>
    </row>
    <row r="48" spans="1:22" ht="15.75">
      <c r="A48" s="37" t="str">
        <f>IF(メンバー!$A21="","",メンバー!$A21)</f>
        <v/>
      </c>
      <c r="B48" s="37" t="str">
        <f>IF(メンバー!$B21="","",メンバー!$B21)</f>
        <v/>
      </c>
      <c r="C48" s="2"/>
      <c r="D48" s="15">
        <f>IF(メンバー!D44="",0,IF(ISNUMBER(メンバー!D44),メンバー!D44,IFERROR(VLOOKUP(TRIM(メンバー!D44),設定!$A$11:$B$20,2,FALSE),0)))</f>
        <v>0</v>
      </c>
      <c r="E48" s="15">
        <f>IF(メンバー!E44="",0,IF(ISNUMBER(メンバー!E44),メンバー!E44,IFERROR(VLOOKUP(TRIM(メンバー!E44),設定!$A$11:$B$20,2,FALSE),0)))</f>
        <v>0</v>
      </c>
      <c r="F48" s="15">
        <f>IF(メンバー!F44="",0,IF(ISNUMBER(メンバー!F44),メンバー!F44,IFERROR(VLOOKUP(TRIM(メンバー!F44),設定!$A$11:$B$20,2,FALSE),0)))</f>
        <v>0</v>
      </c>
      <c r="G48" s="15">
        <f>IF(メンバー!G44="",0,IF(ISNUMBER(メンバー!G44),メンバー!G44,IFERROR(VLOOKUP(TRIM(メンバー!G44),設定!$A$11:$B$20,2,FALSE),0)))</f>
        <v>0</v>
      </c>
      <c r="H48" s="15">
        <f>IF(メンバー!H44="",0,IF(ISNUMBER(メンバー!H44),メンバー!H44,IFERROR(VLOOKUP(TRIM(メンバー!H44),設定!$A$11:$B$20,2,FALSE),0)))</f>
        <v>0</v>
      </c>
      <c r="I48" s="15">
        <f>IF(メンバー!I44="",0,IF(ISNUMBER(メンバー!I44),メンバー!I44,IFERROR(VLOOKUP(TRIM(メンバー!I44),設定!$A$11:$B$20,2,FALSE),0)))</f>
        <v>0</v>
      </c>
      <c r="J48" s="15">
        <f>IF(メンバー!J44="",0,IF(ISNUMBER(メンバー!J44),メンバー!J44,IFERROR(VLOOKUP(TRIM(メンバー!J44),設定!$A$11:$B$20,2,FALSE),0)))</f>
        <v>0</v>
      </c>
      <c r="K48" s="15">
        <f>IF(メンバー!K44="",0,IF(ISNUMBER(メンバー!K44),メンバー!K44,IFERROR(VLOOKUP(TRIM(メンバー!K44),設定!$A$11:$B$20,2,FALSE),0)))</f>
        <v>0</v>
      </c>
      <c r="L48" s="15">
        <f>IF(メンバー!L44="",0,IF(ISNUMBER(メンバー!L44),メンバー!L44,IFERROR(VLOOKUP(TRIM(メンバー!L44),設定!$A$11:$B$20,2,FALSE),0)))</f>
        <v>0</v>
      </c>
      <c r="M48" s="15">
        <f>IF(メンバー!M44="",0,IF(ISNUMBER(メンバー!M44),メンバー!M44,IFERROR(VLOOKUP(TRIM(メンバー!M44),設定!$A$11:$B$20,2,FALSE),0)))</f>
        <v>0</v>
      </c>
      <c r="N48" s="15">
        <f>IF(メンバー!N44="",0,IF(ISNUMBER(メンバー!N44),メンバー!N44,IFERROR(VLOOKUP(TRIM(メンバー!N44),設定!$A$11:$B$20,2,FALSE),0)))</f>
        <v>0</v>
      </c>
      <c r="O48" s="15">
        <f>IF(メンバー!O44="",0,IF(ISNUMBER(メンバー!O44),メンバー!O44,IFERROR(VLOOKUP(TRIM(メンバー!O44),設定!$A$11:$B$20,2,FALSE),0)))</f>
        <v>0</v>
      </c>
      <c r="P48" s="15">
        <f>IF(メンバー!P44="",0,IF(ISNUMBER(メンバー!P44),メンバー!P44,IFERROR(VLOOKUP(TRIM(メンバー!P44),設定!$A$11:$B$20,2,FALSE),0)))</f>
        <v>0</v>
      </c>
      <c r="Q48" s="15">
        <f>IF(メンバー!Q44="",0,IF(ISNUMBER(メンバー!Q44),メンバー!Q44,IFERROR(VLOOKUP(TRIM(メンバー!Q44),設定!$A$11:$B$20,2,FALSE),0)))</f>
        <v>0</v>
      </c>
      <c r="R48" s="15">
        <f>IF(メンバー!R44="",0,IF(ISNUMBER(メンバー!R44),メンバー!R44,IFERROR(VLOOKUP(TRIM(メンバー!R44),設定!$A$11:$B$20,2,FALSE),0)))</f>
        <v>0</v>
      </c>
      <c r="S48" s="15">
        <f>IF(メンバー!S44="",0,IF(ISNUMBER(メンバー!S44),メンバー!S44,IFERROR(VLOOKUP(TRIM(メンバー!S44),設定!$A$11:$B$20,2,FALSE),0)))</f>
        <v>0</v>
      </c>
      <c r="T48" s="15">
        <f>IF(メンバー!T44="",0,IF(ISNUMBER(メンバー!T44),メンバー!T44,IFERROR(VLOOKUP(TRIM(メンバー!T44),設定!$A$11:$B$20,2,FALSE),0)))</f>
        <v>0</v>
      </c>
      <c r="U48" s="15">
        <f>IF(メンバー!U44="",0,IF(ISNUMBER(メンバー!U44),メンバー!U44,IFERROR(VLOOKUP(TRIM(メンバー!U44),設定!$A$11:$B$20,2,FALSE),0)))</f>
        <v>0</v>
      </c>
      <c r="V48" s="15">
        <f>IF(メンバー!V44="",0,IF(ISNUMBER(メンバー!V44),メンバー!V44,IFERROR(VLOOKUP(TRIM(メンバー!V44),設定!$A$11:$B$20,2,FALSE),0)))</f>
        <v>0</v>
      </c>
    </row>
    <row r="49" spans="1:22" ht="15.75">
      <c r="A49" s="37" t="str">
        <f>IF(メンバー!$A22="","",メンバー!$A22)</f>
        <v/>
      </c>
      <c r="B49" s="37" t="str">
        <f>IF(メンバー!$B22="","",メンバー!$B22)</f>
        <v/>
      </c>
      <c r="C49" s="2"/>
      <c r="D49" s="15">
        <f>IF(メンバー!D45="",0,IF(ISNUMBER(メンバー!D45),メンバー!D45,IFERROR(VLOOKUP(TRIM(メンバー!D45),設定!$A$11:$B$20,2,FALSE),0)))</f>
        <v>0</v>
      </c>
      <c r="E49" s="15">
        <f>IF(メンバー!E45="",0,IF(ISNUMBER(メンバー!E45),メンバー!E45,IFERROR(VLOOKUP(TRIM(メンバー!E45),設定!$A$11:$B$20,2,FALSE),0)))</f>
        <v>0</v>
      </c>
      <c r="F49" s="15">
        <f>IF(メンバー!F45="",0,IF(ISNUMBER(メンバー!F45),メンバー!F45,IFERROR(VLOOKUP(TRIM(メンバー!F45),設定!$A$11:$B$20,2,FALSE),0)))</f>
        <v>0</v>
      </c>
      <c r="G49" s="15">
        <f>IF(メンバー!G45="",0,IF(ISNUMBER(メンバー!G45),メンバー!G45,IFERROR(VLOOKUP(TRIM(メンバー!G45),設定!$A$11:$B$20,2,FALSE),0)))</f>
        <v>0</v>
      </c>
      <c r="H49" s="15">
        <f>IF(メンバー!H45="",0,IF(ISNUMBER(メンバー!H45),メンバー!H45,IFERROR(VLOOKUP(TRIM(メンバー!H45),設定!$A$11:$B$20,2,FALSE),0)))</f>
        <v>0</v>
      </c>
      <c r="I49" s="15">
        <f>IF(メンバー!I45="",0,IF(ISNUMBER(メンバー!I45),メンバー!I45,IFERROR(VLOOKUP(TRIM(メンバー!I45),設定!$A$11:$B$20,2,FALSE),0)))</f>
        <v>0</v>
      </c>
      <c r="J49" s="15">
        <f>IF(メンバー!J45="",0,IF(ISNUMBER(メンバー!J45),メンバー!J45,IFERROR(VLOOKUP(TRIM(メンバー!J45),設定!$A$11:$B$20,2,FALSE),0)))</f>
        <v>0</v>
      </c>
      <c r="K49" s="15">
        <f>IF(メンバー!K45="",0,IF(ISNUMBER(メンバー!K45),メンバー!K45,IFERROR(VLOOKUP(TRIM(メンバー!K45),設定!$A$11:$B$20,2,FALSE),0)))</f>
        <v>0</v>
      </c>
      <c r="L49" s="15">
        <f>IF(メンバー!L45="",0,IF(ISNUMBER(メンバー!L45),メンバー!L45,IFERROR(VLOOKUP(TRIM(メンバー!L45),設定!$A$11:$B$20,2,FALSE),0)))</f>
        <v>0</v>
      </c>
      <c r="M49" s="15">
        <f>IF(メンバー!M45="",0,IF(ISNUMBER(メンバー!M45),メンバー!M45,IFERROR(VLOOKUP(TRIM(メンバー!M45),設定!$A$11:$B$20,2,FALSE),0)))</f>
        <v>0</v>
      </c>
      <c r="N49" s="15">
        <f>IF(メンバー!N45="",0,IF(ISNUMBER(メンバー!N45),メンバー!N45,IFERROR(VLOOKUP(TRIM(メンバー!N45),設定!$A$11:$B$20,2,FALSE),0)))</f>
        <v>0</v>
      </c>
      <c r="O49" s="15">
        <f>IF(メンバー!O45="",0,IF(ISNUMBER(メンバー!O45),メンバー!O45,IFERROR(VLOOKUP(TRIM(メンバー!O45),設定!$A$11:$B$20,2,FALSE),0)))</f>
        <v>0</v>
      </c>
      <c r="P49" s="15">
        <f>IF(メンバー!P45="",0,IF(ISNUMBER(メンバー!P45),メンバー!P45,IFERROR(VLOOKUP(TRIM(メンバー!P45),設定!$A$11:$B$20,2,FALSE),0)))</f>
        <v>0</v>
      </c>
      <c r="Q49" s="15">
        <f>IF(メンバー!Q45="",0,IF(ISNUMBER(メンバー!Q45),メンバー!Q45,IFERROR(VLOOKUP(TRIM(メンバー!Q45),設定!$A$11:$B$20,2,FALSE),0)))</f>
        <v>0</v>
      </c>
      <c r="R49" s="15">
        <f>IF(メンバー!R45="",0,IF(ISNUMBER(メンバー!R45),メンバー!R45,IFERROR(VLOOKUP(TRIM(メンバー!R45),設定!$A$11:$B$20,2,FALSE),0)))</f>
        <v>0</v>
      </c>
      <c r="S49" s="15">
        <f>IF(メンバー!S45="",0,IF(ISNUMBER(メンバー!S45),メンバー!S45,IFERROR(VLOOKUP(TRIM(メンバー!S45),設定!$A$11:$B$20,2,FALSE),0)))</f>
        <v>0</v>
      </c>
      <c r="T49" s="15">
        <f>IF(メンバー!T45="",0,IF(ISNUMBER(メンバー!T45),メンバー!T45,IFERROR(VLOOKUP(TRIM(メンバー!T45),設定!$A$11:$B$20,2,FALSE),0)))</f>
        <v>0</v>
      </c>
      <c r="U49" s="15">
        <f>IF(メンバー!U45="",0,IF(ISNUMBER(メンバー!U45),メンバー!U45,IFERROR(VLOOKUP(TRIM(メンバー!U45),設定!$A$11:$B$20,2,FALSE),0)))</f>
        <v>0</v>
      </c>
      <c r="V49" s="15">
        <f>IF(メンバー!V45="",0,IF(ISNUMBER(メンバー!V45),メンバー!V45,IFERROR(VLOOKUP(TRIM(メンバー!V45),設定!$A$11:$B$20,2,FALSE),0)))</f>
        <v>0</v>
      </c>
    </row>
    <row r="50" spans="1:22" ht="15.75">
      <c r="A50" s="37" t="str">
        <f>IF(メンバー!$A23="","",メンバー!$A23)</f>
        <v/>
      </c>
      <c r="B50" s="37" t="str">
        <f>IF(メンバー!$B23="","",メンバー!$B23)</f>
        <v/>
      </c>
      <c r="C50" s="2"/>
      <c r="D50" s="15">
        <f>IF(メンバー!D46="",0,IF(ISNUMBER(メンバー!D46),メンバー!D46,IFERROR(VLOOKUP(TRIM(メンバー!D46),設定!$A$11:$B$20,2,FALSE),0)))</f>
        <v>0</v>
      </c>
      <c r="E50" s="15">
        <f>IF(メンバー!E46="",0,IF(ISNUMBER(メンバー!E46),メンバー!E46,IFERROR(VLOOKUP(TRIM(メンバー!E46),設定!$A$11:$B$20,2,FALSE),0)))</f>
        <v>0</v>
      </c>
      <c r="F50" s="15">
        <f>IF(メンバー!F46="",0,IF(ISNUMBER(メンバー!F46),メンバー!F46,IFERROR(VLOOKUP(TRIM(メンバー!F46),設定!$A$11:$B$20,2,FALSE),0)))</f>
        <v>0</v>
      </c>
      <c r="G50" s="15">
        <f>IF(メンバー!G46="",0,IF(ISNUMBER(メンバー!G46),メンバー!G46,IFERROR(VLOOKUP(TRIM(メンバー!G46),設定!$A$11:$B$20,2,FALSE),0)))</f>
        <v>0</v>
      </c>
      <c r="H50" s="15">
        <f>IF(メンバー!H46="",0,IF(ISNUMBER(メンバー!H46),メンバー!H46,IFERROR(VLOOKUP(TRIM(メンバー!H46),設定!$A$11:$B$20,2,FALSE),0)))</f>
        <v>0</v>
      </c>
      <c r="I50" s="15">
        <f>IF(メンバー!I46="",0,IF(ISNUMBER(メンバー!I46),メンバー!I46,IFERROR(VLOOKUP(TRIM(メンバー!I46),設定!$A$11:$B$20,2,FALSE),0)))</f>
        <v>0</v>
      </c>
      <c r="J50" s="15">
        <f>IF(メンバー!J46="",0,IF(ISNUMBER(メンバー!J46),メンバー!J46,IFERROR(VLOOKUP(TRIM(メンバー!J46),設定!$A$11:$B$20,2,FALSE),0)))</f>
        <v>0</v>
      </c>
      <c r="K50" s="15">
        <f>IF(メンバー!K46="",0,IF(ISNUMBER(メンバー!K46),メンバー!K46,IFERROR(VLOOKUP(TRIM(メンバー!K46),設定!$A$11:$B$20,2,FALSE),0)))</f>
        <v>0</v>
      </c>
      <c r="L50" s="15">
        <f>IF(メンバー!L46="",0,IF(ISNUMBER(メンバー!L46),メンバー!L46,IFERROR(VLOOKUP(TRIM(メンバー!L46),設定!$A$11:$B$20,2,FALSE),0)))</f>
        <v>0</v>
      </c>
      <c r="M50" s="15">
        <f>IF(メンバー!M46="",0,IF(ISNUMBER(メンバー!M46),メンバー!M46,IFERROR(VLOOKUP(TRIM(メンバー!M46),設定!$A$11:$B$20,2,FALSE),0)))</f>
        <v>0</v>
      </c>
      <c r="N50" s="15">
        <f>IF(メンバー!N46="",0,IF(ISNUMBER(メンバー!N46),メンバー!N46,IFERROR(VLOOKUP(TRIM(メンバー!N46),設定!$A$11:$B$20,2,FALSE),0)))</f>
        <v>0</v>
      </c>
      <c r="O50" s="15">
        <f>IF(メンバー!O46="",0,IF(ISNUMBER(メンバー!O46),メンバー!O46,IFERROR(VLOOKUP(TRIM(メンバー!O46),設定!$A$11:$B$20,2,FALSE),0)))</f>
        <v>0</v>
      </c>
      <c r="P50" s="15">
        <f>IF(メンバー!P46="",0,IF(ISNUMBER(メンバー!P46),メンバー!P46,IFERROR(VLOOKUP(TRIM(メンバー!P46),設定!$A$11:$B$20,2,FALSE),0)))</f>
        <v>0</v>
      </c>
      <c r="Q50" s="15">
        <f>IF(メンバー!Q46="",0,IF(ISNUMBER(メンバー!Q46),メンバー!Q46,IFERROR(VLOOKUP(TRIM(メンバー!Q46),設定!$A$11:$B$20,2,FALSE),0)))</f>
        <v>0</v>
      </c>
      <c r="R50" s="15">
        <f>IF(メンバー!R46="",0,IF(ISNUMBER(メンバー!R46),メンバー!R46,IFERROR(VLOOKUP(TRIM(メンバー!R46),設定!$A$11:$B$20,2,FALSE),0)))</f>
        <v>0</v>
      </c>
      <c r="S50" s="15">
        <f>IF(メンバー!S46="",0,IF(ISNUMBER(メンバー!S46),メンバー!S46,IFERROR(VLOOKUP(TRIM(メンバー!S46),設定!$A$11:$B$20,2,FALSE),0)))</f>
        <v>0</v>
      </c>
      <c r="T50" s="15">
        <f>IF(メンバー!T46="",0,IF(ISNUMBER(メンバー!T46),メンバー!T46,IFERROR(VLOOKUP(TRIM(メンバー!T46),設定!$A$11:$B$20,2,FALSE),0)))</f>
        <v>0</v>
      </c>
      <c r="U50" s="15">
        <f>IF(メンバー!U46="",0,IF(ISNUMBER(メンバー!U46),メンバー!U46,IFERROR(VLOOKUP(TRIM(メンバー!U46),設定!$A$11:$B$20,2,FALSE),0)))</f>
        <v>0</v>
      </c>
      <c r="V50" s="15">
        <f>IF(メンバー!V46="",0,IF(ISNUMBER(メンバー!V46),メンバー!V46,IFERROR(VLOOKUP(TRIM(メンバー!V46),設定!$A$11:$B$20,2,FALSE),0)))</f>
        <v>0</v>
      </c>
    </row>
    <row r="51" spans="1:22" ht="15.75">
      <c r="A51" s="37" t="str">
        <f>IF(メンバー!$A24="","",メンバー!$A24)</f>
        <v/>
      </c>
      <c r="B51" s="37" t="str">
        <f>IF(メンバー!$B24="","",メンバー!$B24)</f>
        <v/>
      </c>
      <c r="C51" s="2"/>
      <c r="D51" s="15">
        <f>IF(メンバー!D47="",0,IF(ISNUMBER(メンバー!D47),メンバー!D47,IFERROR(VLOOKUP(TRIM(メンバー!D47),設定!$A$11:$B$20,2,FALSE),0)))</f>
        <v>0</v>
      </c>
      <c r="E51" s="15">
        <f>IF(メンバー!E47="",0,IF(ISNUMBER(メンバー!E47),メンバー!E47,IFERROR(VLOOKUP(TRIM(メンバー!E47),設定!$A$11:$B$20,2,FALSE),0)))</f>
        <v>0</v>
      </c>
      <c r="F51" s="15">
        <f>IF(メンバー!F47="",0,IF(ISNUMBER(メンバー!F47),メンバー!F47,IFERROR(VLOOKUP(TRIM(メンバー!F47),設定!$A$11:$B$20,2,FALSE),0)))</f>
        <v>0</v>
      </c>
      <c r="G51" s="15">
        <f>IF(メンバー!G47="",0,IF(ISNUMBER(メンバー!G47),メンバー!G47,IFERROR(VLOOKUP(TRIM(メンバー!G47),設定!$A$11:$B$20,2,FALSE),0)))</f>
        <v>0</v>
      </c>
      <c r="H51" s="15">
        <f>IF(メンバー!H47="",0,IF(ISNUMBER(メンバー!H47),メンバー!H47,IFERROR(VLOOKUP(TRIM(メンバー!H47),設定!$A$11:$B$20,2,FALSE),0)))</f>
        <v>0</v>
      </c>
      <c r="I51" s="15">
        <f>IF(メンバー!I47="",0,IF(ISNUMBER(メンバー!I47),メンバー!I47,IFERROR(VLOOKUP(TRIM(メンバー!I47),設定!$A$11:$B$20,2,FALSE),0)))</f>
        <v>0</v>
      </c>
      <c r="J51" s="15">
        <f>IF(メンバー!J47="",0,IF(ISNUMBER(メンバー!J47),メンバー!J47,IFERROR(VLOOKUP(TRIM(メンバー!J47),設定!$A$11:$B$20,2,FALSE),0)))</f>
        <v>0</v>
      </c>
      <c r="K51" s="15">
        <f>IF(メンバー!K47="",0,IF(ISNUMBER(メンバー!K47),メンバー!K47,IFERROR(VLOOKUP(TRIM(メンバー!K47),設定!$A$11:$B$20,2,FALSE),0)))</f>
        <v>0</v>
      </c>
      <c r="L51" s="15">
        <f>IF(メンバー!L47="",0,IF(ISNUMBER(メンバー!L47),メンバー!L47,IFERROR(VLOOKUP(TRIM(メンバー!L47),設定!$A$11:$B$20,2,FALSE),0)))</f>
        <v>0</v>
      </c>
      <c r="M51" s="15">
        <f>IF(メンバー!M47="",0,IF(ISNUMBER(メンバー!M47),メンバー!M47,IFERROR(VLOOKUP(TRIM(メンバー!M47),設定!$A$11:$B$20,2,FALSE),0)))</f>
        <v>0</v>
      </c>
      <c r="N51" s="15">
        <f>IF(メンバー!N47="",0,IF(ISNUMBER(メンバー!N47),メンバー!N47,IFERROR(VLOOKUP(TRIM(メンバー!N47),設定!$A$11:$B$20,2,FALSE),0)))</f>
        <v>0</v>
      </c>
      <c r="O51" s="15">
        <f>IF(メンバー!O47="",0,IF(ISNUMBER(メンバー!O47),メンバー!O47,IFERROR(VLOOKUP(TRIM(メンバー!O47),設定!$A$11:$B$20,2,FALSE),0)))</f>
        <v>0</v>
      </c>
      <c r="P51" s="15">
        <f>IF(メンバー!P47="",0,IF(ISNUMBER(メンバー!P47),メンバー!P47,IFERROR(VLOOKUP(TRIM(メンバー!P47),設定!$A$11:$B$20,2,FALSE),0)))</f>
        <v>0</v>
      </c>
      <c r="Q51" s="15">
        <f>IF(メンバー!Q47="",0,IF(ISNUMBER(メンバー!Q47),メンバー!Q47,IFERROR(VLOOKUP(TRIM(メンバー!Q47),設定!$A$11:$B$20,2,FALSE),0)))</f>
        <v>0</v>
      </c>
      <c r="R51" s="15">
        <f>IF(メンバー!R47="",0,IF(ISNUMBER(メンバー!R47),メンバー!R47,IFERROR(VLOOKUP(TRIM(メンバー!R47),設定!$A$11:$B$20,2,FALSE),0)))</f>
        <v>0</v>
      </c>
      <c r="S51" s="15">
        <f>IF(メンバー!S47="",0,IF(ISNUMBER(メンバー!S47),メンバー!S47,IFERROR(VLOOKUP(TRIM(メンバー!S47),設定!$A$11:$B$20,2,FALSE),0)))</f>
        <v>0</v>
      </c>
      <c r="T51" s="15">
        <f>IF(メンバー!T47="",0,IF(ISNUMBER(メンバー!T47),メンバー!T47,IFERROR(VLOOKUP(TRIM(メンバー!T47),設定!$A$11:$B$20,2,FALSE),0)))</f>
        <v>0</v>
      </c>
      <c r="U51" s="15">
        <f>IF(メンバー!U47="",0,IF(ISNUMBER(メンバー!U47),メンバー!U47,IFERROR(VLOOKUP(TRIM(メンバー!U47),設定!$A$11:$B$20,2,FALSE),0)))</f>
        <v>0</v>
      </c>
      <c r="V51" s="15">
        <f>IF(メンバー!V47="",0,IF(ISNUMBER(メンバー!V47),メンバー!V47,IFERROR(VLOOKUP(TRIM(メンバー!V47),設定!$A$11:$B$20,2,FALSE),0)))</f>
        <v>0</v>
      </c>
    </row>
    <row r="52" spans="1:22" ht="15.75">
      <c r="A52" s="37" t="str">
        <f>IF(メンバー!$A25="","",メンバー!$A25)</f>
        <v/>
      </c>
      <c r="B52" s="37" t="str">
        <f>IF(メンバー!$B25="","",メンバー!$B25)</f>
        <v/>
      </c>
      <c r="C52" s="2"/>
      <c r="D52" s="15">
        <f>IF(メンバー!D48="",0,IF(ISNUMBER(メンバー!D48),メンバー!D48,IFERROR(VLOOKUP(TRIM(メンバー!D48),設定!$A$11:$B$20,2,FALSE),0)))</f>
        <v>0</v>
      </c>
      <c r="E52" s="15">
        <f>IF(メンバー!E48="",0,IF(ISNUMBER(メンバー!E48),メンバー!E48,IFERROR(VLOOKUP(TRIM(メンバー!E48),設定!$A$11:$B$20,2,FALSE),0)))</f>
        <v>0</v>
      </c>
      <c r="F52" s="15">
        <f>IF(メンバー!F48="",0,IF(ISNUMBER(メンバー!F48),メンバー!F48,IFERROR(VLOOKUP(TRIM(メンバー!F48),設定!$A$11:$B$20,2,FALSE),0)))</f>
        <v>0</v>
      </c>
      <c r="G52" s="15">
        <f>IF(メンバー!G48="",0,IF(ISNUMBER(メンバー!G48),メンバー!G48,IFERROR(VLOOKUP(TRIM(メンバー!G48),設定!$A$11:$B$20,2,FALSE),0)))</f>
        <v>0</v>
      </c>
      <c r="H52" s="15">
        <f>IF(メンバー!H48="",0,IF(ISNUMBER(メンバー!H48),メンバー!H48,IFERROR(VLOOKUP(TRIM(メンバー!H48),設定!$A$11:$B$20,2,FALSE),0)))</f>
        <v>0</v>
      </c>
      <c r="I52" s="15">
        <f>IF(メンバー!I48="",0,IF(ISNUMBER(メンバー!I48),メンバー!I48,IFERROR(VLOOKUP(TRIM(メンバー!I48),設定!$A$11:$B$20,2,FALSE),0)))</f>
        <v>0</v>
      </c>
      <c r="J52" s="15">
        <f>IF(メンバー!J48="",0,IF(ISNUMBER(メンバー!J48),メンバー!J48,IFERROR(VLOOKUP(TRIM(メンバー!J48),設定!$A$11:$B$20,2,FALSE),0)))</f>
        <v>0</v>
      </c>
      <c r="K52" s="15">
        <f>IF(メンバー!K48="",0,IF(ISNUMBER(メンバー!K48),メンバー!K48,IFERROR(VLOOKUP(TRIM(メンバー!K48),設定!$A$11:$B$20,2,FALSE),0)))</f>
        <v>0</v>
      </c>
      <c r="L52" s="15">
        <f>IF(メンバー!L48="",0,IF(ISNUMBER(メンバー!L48),メンバー!L48,IFERROR(VLOOKUP(TRIM(メンバー!L48),設定!$A$11:$B$20,2,FALSE),0)))</f>
        <v>0</v>
      </c>
      <c r="M52" s="15">
        <f>IF(メンバー!M48="",0,IF(ISNUMBER(メンバー!M48),メンバー!M48,IFERROR(VLOOKUP(TRIM(メンバー!M48),設定!$A$11:$B$20,2,FALSE),0)))</f>
        <v>0</v>
      </c>
      <c r="N52" s="15">
        <f>IF(メンバー!N48="",0,IF(ISNUMBER(メンバー!N48),メンバー!N48,IFERROR(VLOOKUP(TRIM(メンバー!N48),設定!$A$11:$B$20,2,FALSE),0)))</f>
        <v>0</v>
      </c>
      <c r="O52" s="15">
        <f>IF(メンバー!O48="",0,IF(ISNUMBER(メンバー!O48),メンバー!O48,IFERROR(VLOOKUP(TRIM(メンバー!O48),設定!$A$11:$B$20,2,FALSE),0)))</f>
        <v>0</v>
      </c>
      <c r="P52" s="15">
        <f>IF(メンバー!P48="",0,IF(ISNUMBER(メンバー!P48),メンバー!P48,IFERROR(VLOOKUP(TRIM(メンバー!P48),設定!$A$11:$B$20,2,FALSE),0)))</f>
        <v>0</v>
      </c>
      <c r="Q52" s="15">
        <f>IF(メンバー!Q48="",0,IF(ISNUMBER(メンバー!Q48),メンバー!Q48,IFERROR(VLOOKUP(TRIM(メンバー!Q48),設定!$A$11:$B$20,2,FALSE),0)))</f>
        <v>0</v>
      </c>
      <c r="R52" s="15">
        <f>IF(メンバー!R48="",0,IF(ISNUMBER(メンバー!R48),メンバー!R48,IFERROR(VLOOKUP(TRIM(メンバー!R48),設定!$A$11:$B$20,2,FALSE),0)))</f>
        <v>0</v>
      </c>
      <c r="S52" s="15">
        <f>IF(メンバー!S48="",0,IF(ISNUMBER(メンバー!S48),メンバー!S48,IFERROR(VLOOKUP(TRIM(メンバー!S48),設定!$A$11:$B$20,2,FALSE),0)))</f>
        <v>0</v>
      </c>
      <c r="T52" s="15">
        <f>IF(メンバー!T48="",0,IF(ISNUMBER(メンバー!T48),メンバー!T48,IFERROR(VLOOKUP(TRIM(メンバー!T48),設定!$A$11:$B$20,2,FALSE),0)))</f>
        <v>0</v>
      </c>
      <c r="U52" s="15">
        <f>IF(メンバー!U48="",0,IF(ISNUMBER(メンバー!U48),メンバー!U48,IFERROR(VLOOKUP(TRIM(メンバー!U48),設定!$A$11:$B$20,2,FALSE),0)))</f>
        <v>0</v>
      </c>
      <c r="V52" s="15">
        <f>IF(メンバー!V48="",0,IF(ISNUMBER(メンバー!V48),メンバー!V48,IFERROR(VLOOKUP(TRIM(メンバー!V48),設定!$A$11:$B$20,2,FALSE),0)))</f>
        <v>0</v>
      </c>
    </row>
    <row r="53" spans="1:22" ht="15.7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spans="1:22" ht="15.75">
      <c r="A54" s="8" t="s">
        <v>138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</row>
    <row r="55" spans="1:22" ht="15.75">
      <c r="A55" s="37" t="str">
        <f>IF(メンバー!$A6="","",メンバー!$A6)</f>
        <v>OP</v>
      </c>
      <c r="B55" s="37" t="str">
        <f>IF(メンバー!$B6="","",メンバー!$B6)</f>
        <v>藤本</v>
      </c>
      <c r="C55" s="2"/>
      <c r="D55" s="15">
        <f>IF(メンバー!D52="",D33,IF(メンバー!D52="",0,IF(ISNUMBER(メンバー!D52),メンバー!D52,IFERROR(VLOOKUP(TRIM(メンバー!D52),設定!$A$11:$B$20,2,FALSE),0))))</f>
        <v>0</v>
      </c>
      <c r="E55" s="15">
        <f>IF(メンバー!E52="",E33,IF(メンバー!E52="",0,IF(ISNUMBER(メンバー!E52),メンバー!E52,IFERROR(VLOOKUP(TRIM(メンバー!E52),設定!$A$11:$B$20,2,FALSE),0))))</f>
        <v>0</v>
      </c>
      <c r="F55" s="15">
        <f>IF(メンバー!F52="",F33,IF(メンバー!F52="",0,IF(ISNUMBER(メンバー!F52),メンバー!F52,IFERROR(VLOOKUP(TRIM(メンバー!F52),設定!$A$11:$B$20,2,FALSE),0))))</f>
        <v>0</v>
      </c>
      <c r="G55" s="15">
        <f>IF(メンバー!G52="",G33,IF(メンバー!G52="",0,IF(ISNUMBER(メンバー!G52),メンバー!G52,IFERROR(VLOOKUP(TRIM(メンバー!G52),設定!$A$11:$B$20,2,FALSE),0))))</f>
        <v>0</v>
      </c>
      <c r="H55" s="15">
        <f>IF(メンバー!H52="",H33,IF(メンバー!H52="",0,IF(ISNUMBER(メンバー!H52),メンバー!H52,IFERROR(VLOOKUP(TRIM(メンバー!H52),設定!$A$11:$B$20,2,FALSE),0))))</f>
        <v>0</v>
      </c>
      <c r="I55" s="15">
        <f>IF(メンバー!I52="",I33,IF(メンバー!I52="",0,IF(ISNUMBER(メンバー!I52),メンバー!I52,IFERROR(VLOOKUP(TRIM(メンバー!I52),設定!$A$11:$B$20,2,FALSE),0))))</f>
        <v>0.5</v>
      </c>
      <c r="J55" s="15">
        <f>IF(メンバー!J52="",J33,IF(メンバー!J52="",0,IF(ISNUMBER(メンバー!J52),メンバー!J52,IFERROR(VLOOKUP(TRIM(メンバー!J52),設定!$A$11:$B$20,2,FALSE),0))))</f>
        <v>0.5</v>
      </c>
      <c r="K55" s="15">
        <f>IF(メンバー!K52="",K33,IF(メンバー!K52="",0,IF(ISNUMBER(メンバー!K52),メンバー!K52,IFERROR(VLOOKUP(TRIM(メンバー!K52),設定!$A$11:$B$20,2,FALSE),0))))</f>
        <v>0</v>
      </c>
      <c r="L55" s="15">
        <f>IF(メンバー!L52="",L33,IF(メンバー!L52="",0,IF(ISNUMBER(メンバー!L52),メンバー!L52,IFERROR(VLOOKUP(TRIM(メンバー!L52),設定!$A$11:$B$20,2,FALSE),0))))</f>
        <v>0</v>
      </c>
      <c r="M55" s="15">
        <f>IF(メンバー!M52="",M33,IF(メンバー!M52="",0,IF(ISNUMBER(メンバー!M52),メンバー!M52,IFERROR(VLOOKUP(TRIM(メンバー!M52),設定!$A$11:$B$20,2,FALSE),0))))</f>
        <v>0.69</v>
      </c>
      <c r="N55" s="15">
        <f>IF(メンバー!N52="",N33,IF(メンバー!N52="",0,IF(ISNUMBER(メンバー!N52),メンバー!N52,IFERROR(VLOOKUP(TRIM(メンバー!N52),設定!$A$11:$B$20,2,FALSE),0))))</f>
        <v>0.34</v>
      </c>
      <c r="O55" s="15">
        <f>IF(メンバー!O52="",O33,IF(メンバー!O52="",0,IF(ISNUMBER(メンバー!O52),メンバー!O52,IFERROR(VLOOKUP(TRIM(メンバー!O52),設定!$A$11:$B$20,2,FALSE),0))))</f>
        <v>0.69</v>
      </c>
      <c r="P55" s="15">
        <f>IF(メンバー!P52="",P33,IF(メンバー!P52="",0,IF(ISNUMBER(メンバー!P52),メンバー!P52,IFERROR(VLOOKUP(TRIM(メンバー!P52),設定!$A$11:$B$20,2,FALSE),0))))</f>
        <v>0.69</v>
      </c>
      <c r="Q55" s="15">
        <f>IF(メンバー!Q52="",Q33,IF(メンバー!Q52="",0,IF(ISNUMBER(メンバー!Q52),メンバー!Q52,IFERROR(VLOOKUP(TRIM(メンバー!Q52),設定!$A$11:$B$20,2,FALSE),0))))</f>
        <v>0.69</v>
      </c>
      <c r="R55" s="15">
        <f>IF(メンバー!R52="",R33,IF(メンバー!R52="",0,IF(ISNUMBER(メンバー!R52),メンバー!R52,IFERROR(VLOOKUP(TRIM(メンバー!R52),設定!$A$11:$B$20,2,FALSE),0))))</f>
        <v>0.69</v>
      </c>
      <c r="S55" s="15">
        <f>IF(メンバー!S52="",S33,IF(メンバー!S52="",0,IF(ISNUMBER(メンバー!S52),メンバー!S52,IFERROR(VLOOKUP(TRIM(メンバー!S52),設定!$A$11:$B$20,2,FALSE),0))))</f>
        <v>0.69</v>
      </c>
      <c r="T55" s="15">
        <f>IF(メンバー!T52="",T33,IF(メンバー!T52="",0,IF(ISNUMBER(メンバー!T52),メンバー!T52,IFERROR(VLOOKUP(TRIM(メンバー!T52),設定!$A$11:$B$20,2,FALSE),0))))</f>
        <v>0.69</v>
      </c>
      <c r="U55" s="15">
        <f>IF(メンバー!U52="",U33,IF(メンバー!U52="",0,IF(ISNUMBER(メンバー!U52),メンバー!U52,IFERROR(VLOOKUP(TRIM(メンバー!U52),設定!$A$11:$B$20,2,FALSE),0))))</f>
        <v>0.69</v>
      </c>
      <c r="V55" s="15">
        <f>IF(メンバー!V52="",V33,IF(メンバー!V52="",0,IF(ISNUMBER(メンバー!V52),メンバー!V52,IFERROR(VLOOKUP(TRIM(メンバー!V52),設定!$A$11:$B$20,2,FALSE),0))))</f>
        <v>0.69</v>
      </c>
    </row>
    <row r="56" spans="1:22" ht="15.75">
      <c r="A56" s="37" t="str">
        <f>IF(メンバー!$A7="","",メンバー!$A7)</f>
        <v>OP</v>
      </c>
      <c r="B56" s="37" t="str">
        <f>IF(メンバー!$B7="","",メンバー!$B7)</f>
        <v>穂満</v>
      </c>
      <c r="C56" s="2"/>
      <c r="D56" s="15">
        <f>IF(メンバー!D53="",D34,IF(メンバー!D53="",0,IF(ISNUMBER(メンバー!D53),メンバー!D53,IFERROR(VLOOKUP(TRIM(メンバー!D53),設定!$A$11:$B$20,2,FALSE),0))))</f>
        <v>0</v>
      </c>
      <c r="E56" s="15">
        <f>IF(メンバー!E53="",E34,IF(メンバー!E53="",0,IF(ISNUMBER(メンバー!E53),メンバー!E53,IFERROR(VLOOKUP(TRIM(メンバー!E53),設定!$A$11:$B$20,2,FALSE),0))))</f>
        <v>0</v>
      </c>
      <c r="F56" s="15">
        <f>IF(メンバー!F53="",F34,IF(メンバー!F53="",0,IF(ISNUMBER(メンバー!F53),メンバー!F53,IFERROR(VLOOKUP(TRIM(メンバー!F53),設定!$A$11:$B$20,2,FALSE),0))))</f>
        <v>0</v>
      </c>
      <c r="G56" s="15">
        <f>IF(メンバー!G53="",G34,IF(メンバー!G53="",0,IF(ISNUMBER(メンバー!G53),メンバー!G53,IFERROR(VLOOKUP(TRIM(メンバー!G53),設定!$A$11:$B$20,2,FALSE),0))))</f>
        <v>0</v>
      </c>
      <c r="H56" s="15">
        <f>IF(メンバー!H53="",H34,IF(メンバー!H53="",0,IF(ISNUMBER(メンバー!H53),メンバー!H53,IFERROR(VLOOKUP(TRIM(メンバー!H53),設定!$A$11:$B$20,2,FALSE),0))))</f>
        <v>0</v>
      </c>
      <c r="I56" s="15">
        <f>IF(メンバー!I53="",I34,IF(メンバー!I53="",0,IF(ISNUMBER(メンバー!I53),メンバー!I53,IFERROR(VLOOKUP(TRIM(メンバー!I53),設定!$A$11:$B$20,2,FALSE),0))))</f>
        <v>0.5</v>
      </c>
      <c r="J56" s="15">
        <f>IF(メンバー!J53="",J34,IF(メンバー!J53="",0,IF(ISNUMBER(メンバー!J53),メンバー!J53,IFERROR(VLOOKUP(TRIM(メンバー!J53),設定!$A$11:$B$20,2,FALSE),0))))</f>
        <v>0.5</v>
      </c>
      <c r="K56" s="15">
        <f>IF(メンバー!K53="",K34,IF(メンバー!K53="",0,IF(ISNUMBER(メンバー!K53),メンバー!K53,IFERROR(VLOOKUP(TRIM(メンバー!K53),設定!$A$11:$B$20,2,FALSE),0))))</f>
        <v>0</v>
      </c>
      <c r="L56" s="15">
        <f>IF(メンバー!L53="",L34,IF(メンバー!L53="",0,IF(ISNUMBER(メンバー!L53),メンバー!L53,IFERROR(VLOOKUP(TRIM(メンバー!L53),設定!$A$11:$B$20,2,FALSE),0))))</f>
        <v>0</v>
      </c>
      <c r="M56" s="15">
        <f>IF(メンバー!M53="",M34,IF(メンバー!M53="",0,IF(ISNUMBER(メンバー!M53),メンバー!M53,IFERROR(VLOOKUP(TRIM(メンバー!M53),設定!$A$11:$B$20,2,FALSE),0))))</f>
        <v>0.69</v>
      </c>
      <c r="N56" s="15">
        <f>IF(メンバー!N53="",N34,IF(メンバー!N53="",0,IF(ISNUMBER(メンバー!N53),メンバー!N53,IFERROR(VLOOKUP(TRIM(メンバー!N53),設定!$A$11:$B$20,2,FALSE),0))))</f>
        <v>0.34</v>
      </c>
      <c r="O56" s="15">
        <f>IF(メンバー!O53="",O34,IF(メンバー!O53="",0,IF(ISNUMBER(メンバー!O53),メンバー!O53,IFERROR(VLOOKUP(TRIM(メンバー!O53),設定!$A$11:$B$20,2,FALSE),0))))</f>
        <v>0.69</v>
      </c>
      <c r="P56" s="15">
        <f>IF(メンバー!P53="",P34,IF(メンバー!P53="",0,IF(ISNUMBER(メンバー!P53),メンバー!P53,IFERROR(VLOOKUP(TRIM(メンバー!P53),設定!$A$11:$B$20,2,FALSE),0))))</f>
        <v>0.69</v>
      </c>
      <c r="Q56" s="15">
        <f>IF(メンバー!Q53="",Q34,IF(メンバー!Q53="",0,IF(ISNUMBER(メンバー!Q53),メンバー!Q53,IFERROR(VLOOKUP(TRIM(メンバー!Q53),設定!$A$11:$B$20,2,FALSE),0))))</f>
        <v>0.69</v>
      </c>
      <c r="R56" s="15">
        <f>IF(メンバー!R53="",R34,IF(メンバー!R53="",0,IF(ISNUMBER(メンバー!R53),メンバー!R53,IFERROR(VLOOKUP(TRIM(メンバー!R53),設定!$A$11:$B$20,2,FALSE),0))))</f>
        <v>0.69</v>
      </c>
      <c r="S56" s="15">
        <f>IF(メンバー!S53="",S34,IF(メンバー!S53="",0,IF(ISNUMBER(メンバー!S53),メンバー!S53,IFERROR(VLOOKUP(TRIM(メンバー!S53),設定!$A$11:$B$20,2,FALSE),0))))</f>
        <v>0.69</v>
      </c>
      <c r="T56" s="15">
        <f>IF(メンバー!T53="",T34,IF(メンバー!T53="",0,IF(ISNUMBER(メンバー!T53),メンバー!T53,IFERROR(VLOOKUP(TRIM(メンバー!T53),設定!$A$11:$B$20,2,FALSE),0))))</f>
        <v>0.69</v>
      </c>
      <c r="U56" s="15">
        <f>IF(メンバー!U53="",U34,IF(メンバー!U53="",0,IF(ISNUMBER(メンバー!U53),メンバー!U53,IFERROR(VLOOKUP(TRIM(メンバー!U53),設定!$A$11:$B$20,2,FALSE),0))))</f>
        <v>0.69</v>
      </c>
      <c r="V56" s="15">
        <f>IF(メンバー!V53="",V34,IF(メンバー!V53="",0,IF(ISNUMBER(メンバー!V53),メンバー!V53,IFERROR(VLOOKUP(TRIM(メンバー!V53),設定!$A$11:$B$20,2,FALSE),0))))</f>
        <v>0.69</v>
      </c>
    </row>
    <row r="57" spans="1:22" ht="15.75">
      <c r="A57" s="37" t="str">
        <f>IF(メンバー!$A8="","",メンバー!$A8)</f>
        <v>OP</v>
      </c>
      <c r="B57" s="37" t="str">
        <f>IF(メンバー!$B8="","",メンバー!$B8)</f>
        <v>八木</v>
      </c>
      <c r="C57" s="2"/>
      <c r="D57" s="15">
        <f>IF(メンバー!D54="",D35,IF(メンバー!D54="",0,IF(ISNUMBER(メンバー!D54),メンバー!D54,IFERROR(VLOOKUP(TRIM(メンバー!D54),設定!$A$11:$B$20,2,FALSE),0))))</f>
        <v>0</v>
      </c>
      <c r="E57" s="15">
        <f>IF(メンバー!E54="",E35,IF(メンバー!E54="",0,IF(ISNUMBER(メンバー!E54),メンバー!E54,IFERROR(VLOOKUP(TRIM(メンバー!E54),設定!$A$11:$B$20,2,FALSE),0))))</f>
        <v>0</v>
      </c>
      <c r="F57" s="15">
        <f>IF(メンバー!F54="",F35,IF(メンバー!F54="",0,IF(ISNUMBER(メンバー!F54),メンバー!F54,IFERROR(VLOOKUP(TRIM(メンバー!F54),設定!$A$11:$B$20,2,FALSE),0))))</f>
        <v>0</v>
      </c>
      <c r="G57" s="15">
        <f>IF(メンバー!G54="",G35,IF(メンバー!G54="",0,IF(ISNUMBER(メンバー!G54),メンバー!G54,IFERROR(VLOOKUP(TRIM(メンバー!G54),設定!$A$11:$B$20,2,FALSE),0))))</f>
        <v>0</v>
      </c>
      <c r="H57" s="15">
        <f>IF(メンバー!H54="",H35,IF(メンバー!H54="",0,IF(ISNUMBER(メンバー!H54),メンバー!H54,IFERROR(VLOOKUP(TRIM(メンバー!H54),設定!$A$11:$B$20,2,FALSE),0))))</f>
        <v>0</v>
      </c>
      <c r="I57" s="15">
        <f>IF(メンバー!I54="",I35,IF(メンバー!I54="",0,IF(ISNUMBER(メンバー!I54),メンバー!I54,IFERROR(VLOOKUP(TRIM(メンバー!I54),設定!$A$11:$B$20,2,FALSE),0))))</f>
        <v>0.5</v>
      </c>
      <c r="J57" s="15">
        <f>IF(メンバー!J54="",J35,IF(メンバー!J54="",0,IF(ISNUMBER(メンバー!J54),メンバー!J54,IFERROR(VLOOKUP(TRIM(メンバー!J54),設定!$A$11:$B$20,2,FALSE),0))))</f>
        <v>0.5</v>
      </c>
      <c r="K57" s="15">
        <f>IF(メンバー!K54="",K35,IF(メンバー!K54="",0,IF(ISNUMBER(メンバー!K54),メンバー!K54,IFERROR(VLOOKUP(TRIM(メンバー!K54),設定!$A$11:$B$20,2,FALSE),0))))</f>
        <v>0</v>
      </c>
      <c r="L57" s="15">
        <f>IF(メンバー!L54="",L35,IF(メンバー!L54="",0,IF(ISNUMBER(メンバー!L54),メンバー!L54,IFERROR(VLOOKUP(TRIM(メンバー!L54),設定!$A$11:$B$20,2,FALSE),0))))</f>
        <v>0</v>
      </c>
      <c r="M57" s="15">
        <f>IF(メンバー!M54="",M35,IF(メンバー!M54="",0,IF(ISNUMBER(メンバー!M54),メンバー!M54,IFERROR(VLOOKUP(TRIM(メンバー!M54),設定!$A$11:$B$20,2,FALSE),0))))</f>
        <v>0.69</v>
      </c>
      <c r="N57" s="15">
        <f>IF(メンバー!N54="",N35,IF(メンバー!N54="",0,IF(ISNUMBER(メンバー!N54),メンバー!N54,IFERROR(VLOOKUP(TRIM(メンバー!N54),設定!$A$11:$B$20,2,FALSE),0))))</f>
        <v>0.34</v>
      </c>
      <c r="O57" s="15">
        <f>IF(メンバー!O54="",O35,IF(メンバー!O54="",0,IF(ISNUMBER(メンバー!O54),メンバー!O54,IFERROR(VLOOKUP(TRIM(メンバー!O54),設定!$A$11:$B$20,2,FALSE),0))))</f>
        <v>0.69</v>
      </c>
      <c r="P57" s="15">
        <f>IF(メンバー!P54="",P35,IF(メンバー!P54="",0,IF(ISNUMBER(メンバー!P54),メンバー!P54,IFERROR(VLOOKUP(TRIM(メンバー!P54),設定!$A$11:$B$20,2,FALSE),0))))</f>
        <v>0.69</v>
      </c>
      <c r="Q57" s="15">
        <f>IF(メンバー!Q54="",Q35,IF(メンバー!Q54="",0,IF(ISNUMBER(メンバー!Q54),メンバー!Q54,IFERROR(VLOOKUP(TRIM(メンバー!Q54),設定!$A$11:$B$20,2,FALSE),0))))</f>
        <v>0.69</v>
      </c>
      <c r="R57" s="15">
        <f>IF(メンバー!R54="",R35,IF(メンバー!R54="",0,IF(ISNUMBER(メンバー!R54),メンバー!R54,IFERROR(VLOOKUP(TRIM(メンバー!R54),設定!$A$11:$B$20,2,FALSE),0))))</f>
        <v>0.69</v>
      </c>
      <c r="S57" s="15">
        <f>IF(メンバー!S54="",S35,IF(メンバー!S54="",0,IF(ISNUMBER(メンバー!S54),メンバー!S54,IFERROR(VLOOKUP(TRIM(メンバー!S54),設定!$A$11:$B$20,2,FALSE),0))))</f>
        <v>0.69</v>
      </c>
      <c r="T57" s="15">
        <f>IF(メンバー!T54="",T35,IF(メンバー!T54="",0,IF(ISNUMBER(メンバー!T54),メンバー!T54,IFERROR(VLOOKUP(TRIM(メンバー!T54),設定!$A$11:$B$20,2,FALSE),0))))</f>
        <v>0.69</v>
      </c>
      <c r="U57" s="15">
        <f>IF(メンバー!U54="",U35,IF(メンバー!U54="",0,IF(ISNUMBER(メンバー!U54),メンバー!U54,IFERROR(VLOOKUP(TRIM(メンバー!U54),設定!$A$11:$B$20,2,FALSE),0))))</f>
        <v>0.69</v>
      </c>
      <c r="V57" s="15">
        <f>IF(メンバー!V54="",V35,IF(メンバー!V54="",0,IF(ISNUMBER(メンバー!V54),メンバー!V54,IFERROR(VLOOKUP(TRIM(メンバー!V54),設定!$A$11:$B$20,2,FALSE),0))))</f>
        <v>0.69</v>
      </c>
    </row>
    <row r="58" spans="1:22" ht="15.75">
      <c r="A58" s="37" t="str">
        <f>IF(メンバー!$A9="","",メンバー!$A9)</f>
        <v>OP</v>
      </c>
      <c r="B58" s="37" t="str">
        <f>IF(メンバー!$B9="","",メンバー!$B9)</f>
        <v>大迫</v>
      </c>
      <c r="C58" s="2"/>
      <c r="D58" s="15">
        <f>IF(メンバー!D55="",D36,IF(メンバー!D55="",0,IF(ISNUMBER(メンバー!D55),メンバー!D55,IFERROR(VLOOKUP(TRIM(メンバー!D55),設定!$A$11:$B$20,2,FALSE),0))))</f>
        <v>0</v>
      </c>
      <c r="E58" s="15">
        <f>IF(メンバー!E55="",E36,IF(メンバー!E55="",0,IF(ISNUMBER(メンバー!E55),メンバー!E55,IFERROR(VLOOKUP(TRIM(メンバー!E55),設定!$A$11:$B$20,2,FALSE),0))))</f>
        <v>0</v>
      </c>
      <c r="F58" s="15">
        <f>IF(メンバー!F55="",F36,IF(メンバー!F55="",0,IF(ISNUMBER(メンバー!F55),メンバー!F55,IFERROR(VLOOKUP(TRIM(メンバー!F55),設定!$A$11:$B$20,2,FALSE),0))))</f>
        <v>0</v>
      </c>
      <c r="G58" s="15">
        <f>IF(メンバー!G55="",G36,IF(メンバー!G55="",0,IF(ISNUMBER(メンバー!G55),メンバー!G55,IFERROR(VLOOKUP(TRIM(メンバー!G55),設定!$A$11:$B$20,2,FALSE),0))))</f>
        <v>0</v>
      </c>
      <c r="H58" s="15">
        <f>IF(メンバー!H55="",H36,IF(メンバー!H55="",0,IF(ISNUMBER(メンバー!H55),メンバー!H55,IFERROR(VLOOKUP(TRIM(メンバー!H55),設定!$A$11:$B$20,2,FALSE),0))))</f>
        <v>0</v>
      </c>
      <c r="I58" s="15">
        <f>IF(メンバー!I55="",I36,IF(メンバー!I55="",0,IF(ISNUMBER(メンバー!I55),メンバー!I55,IFERROR(VLOOKUP(TRIM(メンバー!I55),設定!$A$11:$B$20,2,FALSE),0))))</f>
        <v>0.5</v>
      </c>
      <c r="J58" s="15">
        <f>IF(メンバー!J55="",J36,IF(メンバー!J55="",0,IF(ISNUMBER(メンバー!J55),メンバー!J55,IFERROR(VLOOKUP(TRIM(メンバー!J55),設定!$A$11:$B$20,2,FALSE),0))))</f>
        <v>0.5</v>
      </c>
      <c r="K58" s="15">
        <f>IF(メンバー!K55="",K36,IF(メンバー!K55="",0,IF(ISNUMBER(メンバー!K55),メンバー!K55,IFERROR(VLOOKUP(TRIM(メンバー!K55),設定!$A$11:$B$20,2,FALSE),0))))</f>
        <v>0</v>
      </c>
      <c r="L58" s="15">
        <f>IF(メンバー!L55="",L36,IF(メンバー!L55="",0,IF(ISNUMBER(メンバー!L55),メンバー!L55,IFERROR(VLOOKUP(TRIM(メンバー!L55),設定!$A$11:$B$20,2,FALSE),0))))</f>
        <v>0</v>
      </c>
      <c r="M58" s="15">
        <f>IF(メンバー!M55="",M36,IF(メンバー!M55="",0,IF(ISNUMBER(メンバー!M55),メンバー!M55,IFERROR(VLOOKUP(TRIM(メンバー!M55),設定!$A$11:$B$20,2,FALSE),0))))</f>
        <v>0.69</v>
      </c>
      <c r="N58" s="15">
        <f>IF(メンバー!N55="",N36,IF(メンバー!N55="",0,IF(ISNUMBER(メンバー!N55),メンバー!N55,IFERROR(VLOOKUP(TRIM(メンバー!N55),設定!$A$11:$B$20,2,FALSE),0))))</f>
        <v>0.34</v>
      </c>
      <c r="O58" s="15">
        <f>IF(メンバー!O55="",O36,IF(メンバー!O55="",0,IF(ISNUMBER(メンバー!O55),メンバー!O55,IFERROR(VLOOKUP(TRIM(メンバー!O55),設定!$A$11:$B$20,2,FALSE),0))))</f>
        <v>0.69</v>
      </c>
      <c r="P58" s="15">
        <f>IF(メンバー!P55="",P36,IF(メンバー!P55="",0,IF(ISNUMBER(メンバー!P55),メンバー!P55,IFERROR(VLOOKUP(TRIM(メンバー!P55),設定!$A$11:$B$20,2,FALSE),0))))</f>
        <v>0.69</v>
      </c>
      <c r="Q58" s="15">
        <f>IF(メンバー!Q55="",Q36,IF(メンバー!Q55="",0,IF(ISNUMBER(メンバー!Q55),メンバー!Q55,IFERROR(VLOOKUP(TRIM(メンバー!Q55),設定!$A$11:$B$20,2,FALSE),0))))</f>
        <v>0.69</v>
      </c>
      <c r="R58" s="15">
        <f>IF(メンバー!R55="",R36,IF(メンバー!R55="",0,IF(ISNUMBER(メンバー!R55),メンバー!R55,IFERROR(VLOOKUP(TRIM(メンバー!R55),設定!$A$11:$B$20,2,FALSE),0))))</f>
        <v>0.69</v>
      </c>
      <c r="S58" s="15">
        <f>IF(メンバー!S55="",S36,IF(メンバー!S55="",0,IF(ISNUMBER(メンバー!S55),メンバー!S55,IFERROR(VLOOKUP(TRIM(メンバー!S55),設定!$A$11:$B$20,2,FALSE),0))))</f>
        <v>0.69</v>
      </c>
      <c r="T58" s="15">
        <f>IF(メンバー!T55="",T36,IF(メンバー!T55="",0,IF(ISNUMBER(メンバー!T55),メンバー!T55,IFERROR(VLOOKUP(TRIM(メンバー!T55),設定!$A$11:$B$20,2,FALSE),0))))</f>
        <v>0.69</v>
      </c>
      <c r="U58" s="15">
        <f>IF(メンバー!U55="",U36,IF(メンバー!U55="",0,IF(ISNUMBER(メンバー!U55),メンバー!U55,IFERROR(VLOOKUP(TRIM(メンバー!U55),設定!$A$11:$B$20,2,FALSE),0))))</f>
        <v>0.69</v>
      </c>
      <c r="V58" s="15">
        <f>IF(メンバー!V55="",V36,IF(メンバー!V55="",0,IF(ISNUMBER(メンバー!V55),メンバー!V55,IFERROR(VLOOKUP(TRIM(メンバー!V55),設定!$A$11:$B$20,2,FALSE),0))))</f>
        <v>0.69</v>
      </c>
    </row>
    <row r="59" spans="1:22" ht="15.75">
      <c r="A59" s="37" t="str">
        <f>IF(メンバー!$A10="","",メンバー!$A10)</f>
        <v>OP</v>
      </c>
      <c r="B59" s="37" t="str">
        <f>IF(メンバー!$B10="","",メンバー!$B10)</f>
        <v>大場</v>
      </c>
      <c r="C59" s="2"/>
      <c r="D59" s="15">
        <f>IF(メンバー!D56="",D37,IF(メンバー!D56="",0,IF(ISNUMBER(メンバー!D56),メンバー!D56,IFERROR(VLOOKUP(TRIM(メンバー!D56),設定!$A$11:$B$20,2,FALSE),0))))</f>
        <v>0.85</v>
      </c>
      <c r="E59" s="15">
        <f>IF(メンバー!E56="",E37,IF(メンバー!E56="",0,IF(ISNUMBER(メンバー!E56),メンバー!E56,IFERROR(VLOOKUP(TRIM(メンバー!E56),設定!$A$11:$B$20,2,FALSE),0))))</f>
        <v>0.85</v>
      </c>
      <c r="F59" s="15">
        <f>IF(メンバー!F56="",F37,IF(メンバー!F56="",0,IF(ISNUMBER(メンバー!F56),メンバー!F56,IFERROR(VLOOKUP(TRIM(メンバー!F56),設定!$A$11:$B$20,2,FALSE),0))))</f>
        <v>0.85</v>
      </c>
      <c r="G59" s="15">
        <f>IF(メンバー!G56="",G37,IF(メンバー!G56="",0,IF(ISNUMBER(メンバー!G56),メンバー!G56,IFERROR(VLOOKUP(TRIM(メンバー!G56),設定!$A$11:$B$20,2,FALSE),0))))</f>
        <v>0.85</v>
      </c>
      <c r="H59" s="15">
        <f>IF(メンバー!H56="",H37,IF(メンバー!H56="",0,IF(ISNUMBER(メンバー!H56),メンバー!H56,IFERROR(VLOOKUP(TRIM(メンバー!H56),設定!$A$11:$B$20,2,FALSE),0))))</f>
        <v>0.85</v>
      </c>
      <c r="I59" s="15">
        <f>IF(メンバー!I56="",I37,IF(メンバー!I56="",0,IF(ISNUMBER(メンバー!I56),メンバー!I56,IFERROR(VLOOKUP(TRIM(メンバー!I56),設定!$A$11:$B$20,2,FALSE),0))))</f>
        <v>0.1</v>
      </c>
      <c r="J59" s="15">
        <f>IF(メンバー!J56="",J37,IF(メンバー!J56="",0,IF(ISNUMBER(メンバー!J56),メンバー!J56,IFERROR(VLOOKUP(TRIM(メンバー!J56),設定!$A$11:$B$20,2,FALSE),0))))</f>
        <v>0.1</v>
      </c>
      <c r="K59" s="15">
        <f>IF(メンバー!K56="",K37,IF(メンバー!K56="",0,IF(ISNUMBER(メンバー!K56),メンバー!K56,IFERROR(VLOOKUP(TRIM(メンバー!K56),設定!$A$11:$B$20,2,FALSE),0))))</f>
        <v>0.1</v>
      </c>
      <c r="L59" s="15">
        <f>IF(メンバー!L56="",L37,IF(メンバー!L56="",0,IF(ISNUMBER(メンバー!L56),メンバー!L56,IFERROR(VLOOKUP(TRIM(メンバー!L56),設定!$A$11:$B$20,2,FALSE),0))))</f>
        <v>0.1</v>
      </c>
      <c r="M59" s="15">
        <f>IF(メンバー!M56="",M37,IF(メンバー!M56="",0,IF(ISNUMBER(メンバー!M56),メンバー!M56,IFERROR(VLOOKUP(TRIM(メンバー!M56),設定!$A$11:$B$20,2,FALSE),0))))</f>
        <v>0.1</v>
      </c>
      <c r="N59" s="15">
        <f>IF(メンバー!N56="",N37,IF(メンバー!N56="",0,IF(ISNUMBER(メンバー!N56),メンバー!N56,IFERROR(VLOOKUP(TRIM(メンバー!N56),設定!$A$11:$B$20,2,FALSE),0))))</f>
        <v>0.1</v>
      </c>
      <c r="O59" s="15">
        <f>IF(メンバー!O56="",O37,IF(メンバー!O56="",0,IF(ISNUMBER(メンバー!O56),メンバー!O56,IFERROR(VLOOKUP(TRIM(メンバー!O56),設定!$A$11:$B$20,2,FALSE),0))))</f>
        <v>0.1</v>
      </c>
      <c r="P59" s="15">
        <f>IF(メンバー!P56="",P37,IF(メンバー!P56="",0,IF(ISNUMBER(メンバー!P56),メンバー!P56,IFERROR(VLOOKUP(TRIM(メンバー!P56),設定!$A$11:$B$20,2,FALSE),0))))</f>
        <v>0.1</v>
      </c>
      <c r="Q59" s="15">
        <f>IF(メンバー!Q56="",Q37,IF(メンバー!Q56="",0,IF(ISNUMBER(メンバー!Q56),メンバー!Q56,IFERROR(VLOOKUP(TRIM(メンバー!Q56),設定!$A$11:$B$20,2,FALSE),0))))</f>
        <v>0.1</v>
      </c>
      <c r="R59" s="15">
        <f>IF(メンバー!R56="",R37,IF(メンバー!R56="",0,IF(ISNUMBER(メンバー!R56),メンバー!R56,IFERROR(VLOOKUP(TRIM(メンバー!R56),設定!$A$11:$B$20,2,FALSE),0))))</f>
        <v>0.1</v>
      </c>
      <c r="S59" s="15">
        <f>IF(メンバー!S56="",S37,IF(メンバー!S56="",0,IF(ISNUMBER(メンバー!S56),メンバー!S56,IFERROR(VLOOKUP(TRIM(メンバー!S56),設定!$A$11:$B$20,2,FALSE),0))))</f>
        <v>0.1</v>
      </c>
      <c r="T59" s="15">
        <f>IF(メンバー!T56="",T37,IF(メンバー!T56="",0,IF(ISNUMBER(メンバー!T56),メンバー!T56,IFERROR(VLOOKUP(TRIM(メンバー!T56),設定!$A$11:$B$20,2,FALSE),0))))</f>
        <v>0.1</v>
      </c>
      <c r="U59" s="15">
        <f>IF(メンバー!U56="",U37,IF(メンバー!U56="",0,IF(ISNUMBER(メンバー!U56),メンバー!U56,IFERROR(VLOOKUP(TRIM(メンバー!U56),設定!$A$11:$B$20,2,FALSE),0))))</f>
        <v>0.1</v>
      </c>
      <c r="V59" s="15">
        <f>IF(メンバー!V56="",V37,IF(メンバー!V56="",0,IF(ISNUMBER(メンバー!V56),メンバー!V56,IFERROR(VLOOKUP(TRIM(メンバー!V56),設定!$A$11:$B$20,2,FALSE),0))))</f>
        <v>0.1</v>
      </c>
    </row>
    <row r="60" spans="1:22" ht="15.75">
      <c r="A60" s="37" t="str">
        <f>IF(メンバー!$A11="","",メンバー!$A11)</f>
        <v>OP</v>
      </c>
      <c r="B60" s="37" t="str">
        <f>IF(メンバー!$B11="","",メンバー!$B11)</f>
        <v>島</v>
      </c>
      <c r="C60" s="2"/>
      <c r="D60" s="15">
        <f>IF(メンバー!D57="",D38,IF(メンバー!D57="",0,IF(ISNUMBER(メンバー!D57),メンバー!D57,IFERROR(VLOOKUP(TRIM(メンバー!D57),設定!$A$11:$B$20,2,FALSE),0))))</f>
        <v>0.85</v>
      </c>
      <c r="E60" s="15">
        <f>IF(メンバー!E57="",E38,IF(メンバー!E57="",0,IF(ISNUMBER(メンバー!E57),メンバー!E57,IFERROR(VLOOKUP(TRIM(メンバー!E57),設定!$A$11:$B$20,2,FALSE),0))))</f>
        <v>0.85</v>
      </c>
      <c r="F60" s="15">
        <f>IF(メンバー!F57="",F38,IF(メンバー!F57="",0,IF(ISNUMBER(メンバー!F57),メンバー!F57,IFERROR(VLOOKUP(TRIM(メンバー!F57),設定!$A$11:$B$20,2,FALSE),0))))</f>
        <v>0.85</v>
      </c>
      <c r="G60" s="15">
        <f>IF(メンバー!G57="",G38,IF(メンバー!G57="",0,IF(ISNUMBER(メンバー!G57),メンバー!G57,IFERROR(VLOOKUP(TRIM(メンバー!G57),設定!$A$11:$B$20,2,FALSE),0))))</f>
        <v>0.85</v>
      </c>
      <c r="H60" s="15">
        <f>IF(メンバー!H57="",H38,IF(メンバー!H57="",0,IF(ISNUMBER(メンバー!H57),メンバー!H57,IFERROR(VLOOKUP(TRIM(メンバー!H57),設定!$A$11:$B$20,2,FALSE),0))))</f>
        <v>0.85</v>
      </c>
      <c r="I60" s="15">
        <f>IF(メンバー!I57="",I38,IF(メンバー!I57="",0,IF(ISNUMBER(メンバー!I57),メンバー!I57,IFERROR(VLOOKUP(TRIM(メンバー!I57),設定!$A$11:$B$20,2,FALSE),0))))</f>
        <v>0.42</v>
      </c>
      <c r="J60" s="15">
        <f>IF(メンバー!J57="",J38,IF(メンバー!J57="",0,IF(ISNUMBER(メンバー!J57),メンバー!J57,IFERROR(VLOOKUP(TRIM(メンバー!J57),設定!$A$11:$B$20,2,FALSE),0))))</f>
        <v>0.42</v>
      </c>
      <c r="K60" s="15">
        <f>IF(メンバー!K57="",K38,IF(メンバー!K57="",0,IF(ISNUMBER(メンバー!K57),メンバー!K57,IFERROR(VLOOKUP(TRIM(メンバー!K57),設定!$A$11:$B$20,2,FALSE),0))))</f>
        <v>0.3</v>
      </c>
      <c r="L60" s="15">
        <f>IF(メンバー!L57="",L38,IF(メンバー!L57="",0,IF(ISNUMBER(メンバー!L57),メンバー!L57,IFERROR(VLOOKUP(TRIM(メンバー!L57),設定!$A$11:$B$20,2,FALSE),0))))</f>
        <v>0.3</v>
      </c>
      <c r="M60" s="15">
        <f>IF(メンバー!M57="",M38,IF(メンバー!M57="",0,IF(ISNUMBER(メンバー!M57),メンバー!M57,IFERROR(VLOOKUP(TRIM(メンバー!M57),設定!$A$11:$B$20,2,FALSE),0))))</f>
        <v>0.69</v>
      </c>
      <c r="N60" s="15">
        <f>IF(メンバー!N57="",N38,IF(メンバー!N57="",0,IF(ISNUMBER(メンバー!N57),メンバー!N57,IFERROR(VLOOKUP(TRIM(メンバー!N57),設定!$A$11:$B$20,2,FALSE),0))))</f>
        <v>0.41399999999999998</v>
      </c>
      <c r="O60" s="15">
        <f>IF(メンバー!O57="",O38,IF(メンバー!O57="",0,IF(ISNUMBER(メンバー!O57),メンバー!O57,IFERROR(VLOOKUP(TRIM(メンバー!O57),設定!$A$11:$B$20,2,FALSE),0))))</f>
        <v>0.69</v>
      </c>
      <c r="P60" s="15">
        <f>IF(メンバー!P57="",P38,IF(メンバー!P57="",0,IF(ISNUMBER(メンバー!P57),メンバー!P57,IFERROR(VLOOKUP(TRIM(メンバー!P57),設定!$A$11:$B$20,2,FALSE),0))))</f>
        <v>0.69</v>
      </c>
      <c r="Q60" s="15">
        <f>IF(メンバー!Q57="",Q38,IF(メンバー!Q57="",0,IF(ISNUMBER(メンバー!Q57),メンバー!Q57,IFERROR(VLOOKUP(TRIM(メンバー!Q57),設定!$A$11:$B$20,2,FALSE),0))))</f>
        <v>0.69</v>
      </c>
      <c r="R60" s="15">
        <f>IF(メンバー!R57="",R38,IF(メンバー!R57="",0,IF(ISNUMBER(メンバー!R57),メンバー!R57,IFERROR(VLOOKUP(TRIM(メンバー!R57),設定!$A$11:$B$20,2,FALSE),0))))</f>
        <v>0.69</v>
      </c>
      <c r="S60" s="15">
        <f>IF(メンバー!S57="",S38,IF(メンバー!S57="",0,IF(ISNUMBER(メンバー!S57),メンバー!S57,IFERROR(VLOOKUP(TRIM(メンバー!S57),設定!$A$11:$B$20,2,FALSE),0))))</f>
        <v>0.69</v>
      </c>
      <c r="T60" s="15">
        <f>IF(メンバー!T57="",T38,IF(メンバー!T57="",0,IF(ISNUMBER(メンバー!T57),メンバー!T57,IFERROR(VLOOKUP(TRIM(メンバー!T57),設定!$A$11:$B$20,2,FALSE),0))))</f>
        <v>0.69</v>
      </c>
      <c r="U60" s="15">
        <f>IF(メンバー!U57="",U38,IF(メンバー!U57="",0,IF(ISNUMBER(メンバー!U57),メンバー!U57,IFERROR(VLOOKUP(TRIM(メンバー!U57),設定!$A$11:$B$20,2,FALSE),0))))</f>
        <v>0.69</v>
      </c>
      <c r="V60" s="15">
        <f>IF(メンバー!V57="",V38,IF(メンバー!V57="",0,IF(ISNUMBER(メンバー!V57),メンバー!V57,IFERROR(VLOOKUP(TRIM(メンバー!V57),設定!$A$11:$B$20,2,FALSE),0))))</f>
        <v>0.69</v>
      </c>
    </row>
    <row r="61" spans="1:22" ht="15.75">
      <c r="A61" s="37" t="str">
        <f>IF(メンバー!$A12="","",メンバー!$A12)</f>
        <v>OP</v>
      </c>
      <c r="B61" s="37" t="str">
        <f>IF(メンバー!$B12="","",メンバー!$B12)</f>
        <v>三浦</v>
      </c>
      <c r="C61" s="2"/>
      <c r="D61" s="15">
        <f>IF(メンバー!D58="",D39,IF(メンバー!D58="",0,IF(ISNUMBER(メンバー!D58),メンバー!D58,IFERROR(VLOOKUP(TRIM(メンバー!D58),設定!$A$11:$B$20,2,FALSE),0))))</f>
        <v>0.85</v>
      </c>
      <c r="E61" s="15">
        <f>IF(メンバー!E58="",E39,IF(メンバー!E58="",0,IF(ISNUMBER(メンバー!E58),メンバー!E58,IFERROR(VLOOKUP(TRIM(メンバー!E58),設定!$A$11:$B$20,2,FALSE),0))))</f>
        <v>0.85</v>
      </c>
      <c r="F61" s="15">
        <f>IF(メンバー!F58="",F39,IF(メンバー!F58="",0,IF(ISNUMBER(メンバー!F58),メンバー!F58,IFERROR(VLOOKUP(TRIM(メンバー!F58),設定!$A$11:$B$20,2,FALSE),0))))</f>
        <v>0.85</v>
      </c>
      <c r="G61" s="15">
        <f>IF(メンバー!G58="",G39,IF(メンバー!G58="",0,IF(ISNUMBER(メンバー!G58),メンバー!G58,IFERROR(VLOOKUP(TRIM(メンバー!G58),設定!$A$11:$B$20,2,FALSE),0))))</f>
        <v>0.85</v>
      </c>
      <c r="H61" s="15">
        <f>IF(メンバー!H58="",H39,IF(メンバー!H58="",0,IF(ISNUMBER(メンバー!H58),メンバー!H58,IFERROR(VLOOKUP(TRIM(メンバー!H58),設定!$A$11:$B$20,2,FALSE),0))))</f>
        <v>0.85</v>
      </c>
      <c r="I61" s="15">
        <f>IF(メンバー!I58="",I39,IF(メンバー!I58="",0,IF(ISNUMBER(メンバー!I58),メンバー!I58,IFERROR(VLOOKUP(TRIM(メンバー!I58),設定!$A$11:$B$20,2,FALSE),0))))</f>
        <v>0.42</v>
      </c>
      <c r="J61" s="15">
        <f>IF(メンバー!J58="",J39,IF(メンバー!J58="",0,IF(ISNUMBER(メンバー!J58),メンバー!J58,IFERROR(VLOOKUP(TRIM(メンバー!J58),設定!$A$11:$B$20,2,FALSE),0))))</f>
        <v>0.42</v>
      </c>
      <c r="K61" s="15">
        <f>IF(メンバー!K58="",K39,IF(メンバー!K58="",0,IF(ISNUMBER(メンバー!K58),メンバー!K58,IFERROR(VLOOKUP(TRIM(メンバー!K58),設定!$A$11:$B$20,2,FALSE),0))))</f>
        <v>0.3</v>
      </c>
      <c r="L61" s="15">
        <f>IF(メンバー!L58="",L39,IF(メンバー!L58="",0,IF(ISNUMBER(メンバー!L58),メンバー!L58,IFERROR(VLOOKUP(TRIM(メンバー!L58),設定!$A$11:$B$20,2,FALSE),0))))</f>
        <v>0.3</v>
      </c>
      <c r="M61" s="15">
        <f>IF(メンバー!M58="",M39,IF(メンバー!M58="",0,IF(ISNUMBER(メンバー!M58),メンバー!M58,IFERROR(VLOOKUP(TRIM(メンバー!M58),設定!$A$11:$B$20,2,FALSE),0))))</f>
        <v>0.69</v>
      </c>
      <c r="N61" s="15">
        <f>IF(メンバー!N58="",N39,IF(メンバー!N58="",0,IF(ISNUMBER(メンバー!N58),メンバー!N58,IFERROR(VLOOKUP(TRIM(メンバー!N58),設定!$A$11:$B$20,2,FALSE),0))))</f>
        <v>0.41399999999999998</v>
      </c>
      <c r="O61" s="15">
        <f>IF(メンバー!O58="",O39,IF(メンバー!O58="",0,IF(ISNUMBER(メンバー!O58),メンバー!O58,IFERROR(VLOOKUP(TRIM(メンバー!O58),設定!$A$11:$B$20,2,FALSE),0))))</f>
        <v>0.69</v>
      </c>
      <c r="P61" s="15">
        <f>IF(メンバー!P58="",P39,IF(メンバー!P58="",0,IF(ISNUMBER(メンバー!P58),メンバー!P58,IFERROR(VLOOKUP(TRIM(メンバー!P58),設定!$A$11:$B$20,2,FALSE),0))))</f>
        <v>0.69</v>
      </c>
      <c r="Q61" s="15">
        <f>IF(メンバー!Q58="",Q39,IF(メンバー!Q58="",0,IF(ISNUMBER(メンバー!Q58),メンバー!Q58,IFERROR(VLOOKUP(TRIM(メンバー!Q58),設定!$A$11:$B$20,2,FALSE),0))))</f>
        <v>0.69</v>
      </c>
      <c r="R61" s="15">
        <f>IF(メンバー!R58="",R39,IF(メンバー!R58="",0,IF(ISNUMBER(メンバー!R58),メンバー!R58,IFERROR(VLOOKUP(TRIM(メンバー!R58),設定!$A$11:$B$20,2,FALSE),0))))</f>
        <v>0.69</v>
      </c>
      <c r="S61" s="15">
        <f>IF(メンバー!S58="",S39,IF(メンバー!S58="",0,IF(ISNUMBER(メンバー!S58),メンバー!S58,IFERROR(VLOOKUP(TRIM(メンバー!S58),設定!$A$11:$B$20,2,FALSE),0))))</f>
        <v>0.69</v>
      </c>
      <c r="T61" s="15">
        <f>IF(メンバー!T58="",T39,IF(メンバー!T58="",0,IF(ISNUMBER(メンバー!T58),メンバー!T58,IFERROR(VLOOKUP(TRIM(メンバー!T58),設定!$A$11:$B$20,2,FALSE),0))))</f>
        <v>0.69</v>
      </c>
      <c r="U61" s="15">
        <f>IF(メンバー!U58="",U39,IF(メンバー!U58="",0,IF(ISNUMBER(メンバー!U58),メンバー!U58,IFERROR(VLOOKUP(TRIM(メンバー!U58),設定!$A$11:$B$20,2,FALSE),0))))</f>
        <v>0.69</v>
      </c>
      <c r="V61" s="15">
        <f>IF(メンバー!V58="",V39,IF(メンバー!V58="",0,IF(ISNUMBER(メンバー!V58),メンバー!V58,IFERROR(VLOOKUP(TRIM(メンバー!V58),設定!$A$11:$B$20,2,FALSE),0))))</f>
        <v>0.69</v>
      </c>
    </row>
    <row r="62" spans="1:22" ht="15.75">
      <c r="A62" s="37" t="str">
        <f>IF(メンバー!$A13="","",メンバー!$A13)</f>
        <v>OP</v>
      </c>
      <c r="B62" s="37" t="str">
        <f>IF(メンバー!$B13="","",メンバー!$B13)</f>
        <v>伊藤</v>
      </c>
      <c r="C62" s="2"/>
      <c r="D62" s="15">
        <f>IF(メンバー!D59="",D40,IF(メンバー!D59="",0,IF(ISNUMBER(メンバー!D59),メンバー!D59,IFERROR(VLOOKUP(TRIM(メンバー!D59),設定!$A$11:$B$20,2,FALSE),0))))</f>
        <v>0.85</v>
      </c>
      <c r="E62" s="15">
        <f>IF(メンバー!E59="",E40,IF(メンバー!E59="",0,IF(ISNUMBER(メンバー!E59),メンバー!E59,IFERROR(VLOOKUP(TRIM(メンバー!E59),設定!$A$11:$B$20,2,FALSE),0))))</f>
        <v>0.85</v>
      </c>
      <c r="F62" s="15">
        <f>IF(メンバー!F59="",F40,IF(メンバー!F59="",0,IF(ISNUMBER(メンバー!F59),メンバー!F59,IFERROR(VLOOKUP(TRIM(メンバー!F59),設定!$A$11:$B$20,2,FALSE),0))))</f>
        <v>0.85</v>
      </c>
      <c r="G62" s="15">
        <f>IF(メンバー!G59="",G40,IF(メンバー!G59="",0,IF(ISNUMBER(メンバー!G59),メンバー!G59,IFERROR(VLOOKUP(TRIM(メンバー!G59),設定!$A$11:$B$20,2,FALSE),0))))</f>
        <v>0.85</v>
      </c>
      <c r="H62" s="15">
        <f>IF(メンバー!H59="",H40,IF(メンバー!H59="",0,IF(ISNUMBER(メンバー!H59),メンバー!H59,IFERROR(VLOOKUP(TRIM(メンバー!H59),設定!$A$11:$B$20,2,FALSE),0))))</f>
        <v>0.85</v>
      </c>
      <c r="I62" s="15">
        <f>IF(メンバー!I59="",I40,IF(メンバー!I59="",0,IF(ISNUMBER(メンバー!I59),メンバー!I59,IFERROR(VLOOKUP(TRIM(メンバー!I59),設定!$A$11:$B$20,2,FALSE),0))))</f>
        <v>0.8</v>
      </c>
      <c r="J62" s="15">
        <f>IF(メンバー!J59="",J40,IF(メンバー!J59="",0,IF(ISNUMBER(メンバー!J59),メンバー!J59,IFERROR(VLOOKUP(TRIM(メンバー!J59),設定!$A$11:$B$20,2,FALSE),0))))</f>
        <v>0.8</v>
      </c>
      <c r="K62" s="15">
        <f>IF(メンバー!K59="",K40,IF(メンバー!K59="",0,IF(ISNUMBER(メンバー!K59),メンバー!K59,IFERROR(VLOOKUP(TRIM(メンバー!K59),設定!$A$11:$B$20,2,FALSE),0))))</f>
        <v>0.8</v>
      </c>
      <c r="L62" s="15">
        <f>IF(メンバー!L59="",L40,IF(メンバー!L59="",0,IF(ISNUMBER(メンバー!L59),メンバー!L59,IFERROR(VLOOKUP(TRIM(メンバー!L59),設定!$A$11:$B$20,2,FALSE),0))))</f>
        <v>0.8</v>
      </c>
      <c r="M62" s="15">
        <f>IF(メンバー!M59="",M40,IF(メンバー!M59="",0,IF(ISNUMBER(メンバー!M59),メンバー!M59,IFERROR(VLOOKUP(TRIM(メンバー!M59),設定!$A$11:$B$20,2,FALSE),0))))</f>
        <v>0.8</v>
      </c>
      <c r="N62" s="15">
        <f>IF(メンバー!N59="",N40,IF(メンバー!N59="",0,IF(ISNUMBER(メンバー!N59),メンバー!N59,IFERROR(VLOOKUP(TRIM(メンバー!N59),設定!$A$11:$B$20,2,FALSE),0))))</f>
        <v>0.48</v>
      </c>
      <c r="O62" s="15">
        <f>IF(メンバー!O59="",O40,IF(メンバー!O59="",0,IF(ISNUMBER(メンバー!O59),メンバー!O59,IFERROR(VLOOKUP(TRIM(メンバー!O59),設定!$A$11:$B$20,2,FALSE),0))))</f>
        <v>0.8</v>
      </c>
      <c r="P62" s="15">
        <f>IF(メンバー!P59="",P40,IF(メンバー!P59="",0,IF(ISNUMBER(メンバー!P59),メンバー!P59,IFERROR(VLOOKUP(TRIM(メンバー!P59),設定!$A$11:$B$20,2,FALSE),0))))</f>
        <v>0.8</v>
      </c>
      <c r="Q62" s="15">
        <f>IF(メンバー!Q59="",Q40,IF(メンバー!Q59="",0,IF(ISNUMBER(メンバー!Q59),メンバー!Q59,IFERROR(VLOOKUP(TRIM(メンバー!Q59),設定!$A$11:$B$20,2,FALSE),0))))</f>
        <v>0.8</v>
      </c>
      <c r="R62" s="15">
        <f>IF(メンバー!R59="",R40,IF(メンバー!R59="",0,IF(ISNUMBER(メンバー!R59),メンバー!R59,IFERROR(VLOOKUP(TRIM(メンバー!R59),設定!$A$11:$B$20,2,FALSE),0))))</f>
        <v>0.8</v>
      </c>
      <c r="S62" s="15">
        <f>IF(メンバー!S59="",S40,IF(メンバー!S59="",0,IF(ISNUMBER(メンバー!S59),メンバー!S59,IFERROR(VLOOKUP(TRIM(メンバー!S59),設定!$A$11:$B$20,2,FALSE),0))))</f>
        <v>0.8</v>
      </c>
      <c r="T62" s="15">
        <f>IF(メンバー!T59="",T40,IF(メンバー!T59="",0,IF(ISNUMBER(メンバー!T59),メンバー!T59,IFERROR(VLOOKUP(TRIM(メンバー!T59),設定!$A$11:$B$20,2,FALSE),0))))</f>
        <v>0.8</v>
      </c>
      <c r="U62" s="15">
        <f>IF(メンバー!U59="",U40,IF(メンバー!U59="",0,IF(ISNUMBER(メンバー!U59),メンバー!U59,IFERROR(VLOOKUP(TRIM(メンバー!U59),設定!$A$11:$B$20,2,FALSE),0))))</f>
        <v>0.8</v>
      </c>
      <c r="V62" s="15">
        <f>IF(メンバー!V59="",V40,IF(メンバー!V59="",0,IF(ISNUMBER(メンバー!V59),メンバー!V59,IFERROR(VLOOKUP(TRIM(メンバー!V59),設定!$A$11:$B$20,2,FALSE),0))))</f>
        <v>0.8</v>
      </c>
    </row>
    <row r="63" spans="1:22" ht="15.75">
      <c r="A63" s="37" t="str">
        <f>IF(メンバー!$A14="","",メンバー!$A14)</f>
        <v>OP</v>
      </c>
      <c r="B63" s="37" t="str">
        <f>IF(メンバー!$B14="","",メンバー!$B14)</f>
        <v>兼田</v>
      </c>
      <c r="C63" s="2"/>
      <c r="D63" s="15">
        <f>IF(メンバー!D60="",D41,IF(メンバー!D60="",0,IF(ISNUMBER(メンバー!D60),メンバー!D60,IFERROR(VLOOKUP(TRIM(メンバー!D60),設定!$A$11:$B$20,2,FALSE),0))))</f>
        <v>0.85</v>
      </c>
      <c r="E63" s="15">
        <f>IF(メンバー!E60="",E41,IF(メンバー!E60="",0,IF(ISNUMBER(メンバー!E60),メンバー!E60,IFERROR(VLOOKUP(TRIM(メンバー!E60),設定!$A$11:$B$20,2,FALSE),0))))</f>
        <v>0.85</v>
      </c>
      <c r="F63" s="15">
        <f>IF(メンバー!F60="",F41,IF(メンバー!F60="",0,IF(ISNUMBER(メンバー!F60),メンバー!F60,IFERROR(VLOOKUP(TRIM(メンバー!F60),設定!$A$11:$B$20,2,FALSE),0))))</f>
        <v>0.85</v>
      </c>
      <c r="G63" s="15">
        <f>IF(メンバー!G60="",G41,IF(メンバー!G60="",0,IF(ISNUMBER(メンバー!G60),メンバー!G60,IFERROR(VLOOKUP(TRIM(メンバー!G60),設定!$A$11:$B$20,2,FALSE),0))))</f>
        <v>0.85</v>
      </c>
      <c r="H63" s="15">
        <f>IF(メンバー!H60="",H41,IF(メンバー!H60="",0,IF(ISNUMBER(メンバー!H60),メンバー!H60,IFERROR(VLOOKUP(TRIM(メンバー!H60),設定!$A$11:$B$20,2,FALSE),0))))</f>
        <v>0.85</v>
      </c>
      <c r="I63" s="15">
        <f>IF(メンバー!I60="",I41,IF(メンバー!I60="",0,IF(ISNUMBER(メンバー!I60),メンバー!I60,IFERROR(VLOOKUP(TRIM(メンバー!I60),設定!$A$11:$B$20,2,FALSE),0))))</f>
        <v>0.8</v>
      </c>
      <c r="J63" s="15">
        <f>IF(メンバー!J60="",J41,IF(メンバー!J60="",0,IF(ISNUMBER(メンバー!J60),メンバー!J60,IFERROR(VLOOKUP(TRIM(メンバー!J60),設定!$A$11:$B$20,2,FALSE),0))))</f>
        <v>0.8</v>
      </c>
      <c r="K63" s="15">
        <f>IF(メンバー!K60="",K41,IF(メンバー!K60="",0,IF(ISNUMBER(メンバー!K60),メンバー!K60,IFERROR(VLOOKUP(TRIM(メンバー!K60),設定!$A$11:$B$20,2,FALSE),0))))</f>
        <v>0.8</v>
      </c>
      <c r="L63" s="15">
        <f>IF(メンバー!L60="",L41,IF(メンバー!L60="",0,IF(ISNUMBER(メンバー!L60),メンバー!L60,IFERROR(VLOOKUP(TRIM(メンバー!L60),設定!$A$11:$B$20,2,FALSE),0))))</f>
        <v>0.8</v>
      </c>
      <c r="M63" s="15">
        <f>IF(メンバー!M60="",M41,IF(メンバー!M60="",0,IF(ISNUMBER(メンバー!M60),メンバー!M60,IFERROR(VLOOKUP(TRIM(メンバー!M60),設定!$A$11:$B$20,2,FALSE),0))))</f>
        <v>0.8</v>
      </c>
      <c r="N63" s="15">
        <f>IF(メンバー!N60="",N41,IF(メンバー!N60="",0,IF(ISNUMBER(メンバー!N60),メンバー!N60,IFERROR(VLOOKUP(TRIM(メンバー!N60),設定!$A$11:$B$20,2,FALSE),0))))</f>
        <v>0.48</v>
      </c>
      <c r="O63" s="15">
        <f>IF(メンバー!O60="",O41,IF(メンバー!O60="",0,IF(ISNUMBER(メンバー!O60),メンバー!O60,IFERROR(VLOOKUP(TRIM(メンバー!O60),設定!$A$11:$B$20,2,FALSE),0))))</f>
        <v>0.8</v>
      </c>
      <c r="P63" s="15">
        <f>IF(メンバー!P60="",P41,IF(メンバー!P60="",0,IF(ISNUMBER(メンバー!P60),メンバー!P60,IFERROR(VLOOKUP(TRIM(メンバー!P60),設定!$A$11:$B$20,2,FALSE),0))))</f>
        <v>0.8</v>
      </c>
      <c r="Q63" s="15">
        <f>IF(メンバー!Q60="",Q41,IF(メンバー!Q60="",0,IF(ISNUMBER(メンバー!Q60),メンバー!Q60,IFERROR(VLOOKUP(TRIM(メンバー!Q60),設定!$A$11:$B$20,2,FALSE),0))))</f>
        <v>0.8</v>
      </c>
      <c r="R63" s="15">
        <f>IF(メンバー!R60="",R41,IF(メンバー!R60="",0,IF(ISNUMBER(メンバー!R60),メンバー!R60,IFERROR(VLOOKUP(TRIM(メンバー!R60),設定!$A$11:$B$20,2,FALSE),0))))</f>
        <v>0.8</v>
      </c>
      <c r="S63" s="15">
        <f>IF(メンバー!S60="",S41,IF(メンバー!S60="",0,IF(ISNUMBER(メンバー!S60),メンバー!S60,IFERROR(VLOOKUP(TRIM(メンバー!S60),設定!$A$11:$B$20,2,FALSE),0))))</f>
        <v>0.8</v>
      </c>
      <c r="T63" s="15">
        <f>IF(メンバー!T60="",T41,IF(メンバー!T60="",0,IF(ISNUMBER(メンバー!T60),メンバー!T60,IFERROR(VLOOKUP(TRIM(メンバー!T60),設定!$A$11:$B$20,2,FALSE),0))))</f>
        <v>0.8</v>
      </c>
      <c r="U63" s="15">
        <f>IF(メンバー!U60="",U41,IF(メンバー!U60="",0,IF(ISNUMBER(メンバー!U60),メンバー!U60,IFERROR(VLOOKUP(TRIM(メンバー!U60),設定!$A$11:$B$20,2,FALSE),0))))</f>
        <v>0.8</v>
      </c>
      <c r="V63" s="15">
        <f>IF(メンバー!V60="",V41,IF(メンバー!V60="",0,IF(ISNUMBER(メンバー!V60),メンバー!V60,IFERROR(VLOOKUP(TRIM(メンバー!V60),設定!$A$11:$B$20,2,FALSE),0))))</f>
        <v>0.8</v>
      </c>
    </row>
    <row r="64" spans="1:22" ht="15.75">
      <c r="A64" s="37" t="str">
        <f>IF(メンバー!$A15="","",メンバー!$A15)</f>
        <v>OP</v>
      </c>
      <c r="B64" s="37" t="str">
        <f>IF(メンバー!$B15="","",メンバー!$B15)</f>
        <v>植田</v>
      </c>
      <c r="C64" s="2"/>
      <c r="D64" s="15">
        <f>IF(メンバー!D61="",D42,IF(メンバー!D61="",0,IF(ISNUMBER(メンバー!D61),メンバー!D61,IFERROR(VLOOKUP(TRIM(メンバー!D61),設定!$A$11:$B$20,2,FALSE),0))))</f>
        <v>0.85</v>
      </c>
      <c r="E64" s="15">
        <f>IF(メンバー!E61="",E42,IF(メンバー!E61="",0,IF(ISNUMBER(メンバー!E61),メンバー!E61,IFERROR(VLOOKUP(TRIM(メンバー!E61),設定!$A$11:$B$20,2,FALSE),0))))</f>
        <v>0.85</v>
      </c>
      <c r="F64" s="15">
        <f>IF(メンバー!F61="",F42,IF(メンバー!F61="",0,IF(ISNUMBER(メンバー!F61),メンバー!F61,IFERROR(VLOOKUP(TRIM(メンバー!F61),設定!$A$11:$B$20,2,FALSE),0))))</f>
        <v>0.85</v>
      </c>
      <c r="G64" s="15">
        <f>IF(メンバー!G61="",G42,IF(メンバー!G61="",0,IF(ISNUMBER(メンバー!G61),メンバー!G61,IFERROR(VLOOKUP(TRIM(メンバー!G61),設定!$A$11:$B$20,2,FALSE),0))))</f>
        <v>0.85</v>
      </c>
      <c r="H64" s="15">
        <f>IF(メンバー!H61="",H42,IF(メンバー!H61="",0,IF(ISNUMBER(メンバー!H61),メンバー!H61,IFERROR(VLOOKUP(TRIM(メンバー!H61),設定!$A$11:$B$20,2,FALSE),0))))</f>
        <v>0.85</v>
      </c>
      <c r="I64" s="15">
        <f>IF(メンバー!I61="",I42,IF(メンバー!I61="",0,IF(ISNUMBER(メンバー!I61),メンバー!I61,IFERROR(VLOOKUP(TRIM(メンバー!I61),設定!$A$11:$B$20,2,FALSE),0))))</f>
        <v>0</v>
      </c>
      <c r="J64" s="15">
        <f>IF(メンバー!J61="",J42,IF(メンバー!J61="",0,IF(ISNUMBER(メンバー!J61),メンバー!J61,IFERROR(VLOOKUP(TRIM(メンバー!J61),設定!$A$11:$B$20,2,FALSE),0))))</f>
        <v>0</v>
      </c>
      <c r="K64" s="15">
        <f>IF(メンバー!K61="",K42,IF(メンバー!K61="",0,IF(ISNUMBER(メンバー!K61),メンバー!K61,IFERROR(VLOOKUP(TRIM(メンバー!K61),設定!$A$11:$B$20,2,FALSE),0))))</f>
        <v>0</v>
      </c>
      <c r="L64" s="15">
        <f>IF(メンバー!L61="",L42,IF(メンバー!L61="",0,IF(ISNUMBER(メンバー!L61),メンバー!L61,IFERROR(VLOOKUP(TRIM(メンバー!L61),設定!$A$11:$B$20,2,FALSE),0))))</f>
        <v>0</v>
      </c>
      <c r="M64" s="15">
        <f>IF(メンバー!M61="",M42,IF(メンバー!M61="",0,IF(ISNUMBER(メンバー!M61),メンバー!M61,IFERROR(VLOOKUP(TRIM(メンバー!M61),設定!$A$11:$B$20,2,FALSE),0))))</f>
        <v>0</v>
      </c>
      <c r="N64" s="15">
        <f>IF(メンバー!N61="",N42,IF(メンバー!N61="",0,IF(ISNUMBER(メンバー!N61),メンバー!N61,IFERROR(VLOOKUP(TRIM(メンバー!N61),設定!$A$11:$B$20,2,FALSE),0))))</f>
        <v>0</v>
      </c>
      <c r="O64" s="15">
        <f>IF(メンバー!O61="",O42,IF(メンバー!O61="",0,IF(ISNUMBER(メンバー!O61),メンバー!O61,IFERROR(VLOOKUP(TRIM(メンバー!O61),設定!$A$11:$B$20,2,FALSE),0))))</f>
        <v>0</v>
      </c>
      <c r="P64" s="15">
        <f>IF(メンバー!P61="",P42,IF(メンバー!P61="",0,IF(ISNUMBER(メンバー!P61),メンバー!P61,IFERROR(VLOOKUP(TRIM(メンバー!P61),設定!$A$11:$B$20,2,FALSE),0))))</f>
        <v>0</v>
      </c>
      <c r="Q64" s="15">
        <f>IF(メンバー!Q61="",Q42,IF(メンバー!Q61="",0,IF(ISNUMBER(メンバー!Q61),メンバー!Q61,IFERROR(VLOOKUP(TRIM(メンバー!Q61),設定!$A$11:$B$20,2,FALSE),0))))</f>
        <v>0</v>
      </c>
      <c r="R64" s="15">
        <f>IF(メンバー!R61="",R42,IF(メンバー!R61="",0,IF(ISNUMBER(メンバー!R61),メンバー!R61,IFERROR(VLOOKUP(TRIM(メンバー!R61),設定!$A$11:$B$20,2,FALSE),0))))</f>
        <v>0</v>
      </c>
      <c r="S64" s="15">
        <f>IF(メンバー!S61="",S42,IF(メンバー!S61="",0,IF(ISNUMBER(メンバー!S61),メンバー!S61,IFERROR(VLOOKUP(TRIM(メンバー!S61),設定!$A$11:$B$20,2,FALSE),0))))</f>
        <v>0</v>
      </c>
      <c r="T64" s="15">
        <f>IF(メンバー!T61="",T42,IF(メンバー!T61="",0,IF(ISNUMBER(メンバー!T61),メンバー!T61,IFERROR(VLOOKUP(TRIM(メンバー!T61),設定!$A$11:$B$20,2,FALSE),0))))</f>
        <v>0</v>
      </c>
      <c r="U64" s="15">
        <f>IF(メンバー!U61="",U42,IF(メンバー!U61="",0,IF(ISNUMBER(メンバー!U61),メンバー!U61,IFERROR(VLOOKUP(TRIM(メンバー!U61),設定!$A$11:$B$20,2,FALSE),0))))</f>
        <v>0</v>
      </c>
      <c r="V64" s="15">
        <f>IF(メンバー!V61="",V42,IF(メンバー!V61="",0,IF(ISNUMBER(メンバー!V61),メンバー!V61,IFERROR(VLOOKUP(TRIM(メンバー!V61),設定!$A$11:$B$20,2,FALSE),0))))</f>
        <v>0</v>
      </c>
    </row>
    <row r="65" spans="1:22" ht="15.75">
      <c r="A65" s="37" t="str">
        <f>IF(メンバー!$A16="","",メンバー!$A16)</f>
        <v>SV</v>
      </c>
      <c r="B65" s="37" t="str">
        <f>IF(メンバー!$B16="","",メンバー!$B16)</f>
        <v>小野</v>
      </c>
      <c r="C65" s="2"/>
      <c r="D65" s="15">
        <f>IF(メンバー!D62="",D43,IF(メンバー!D62="",0,IF(ISNUMBER(メンバー!D62),メンバー!D62,IFERROR(VLOOKUP(TRIM(メンバー!D62),設定!$A$11:$B$20,2,FALSE),0))))</f>
        <v>0.85</v>
      </c>
      <c r="E65" s="15">
        <f>IF(メンバー!E62="",E43,IF(メンバー!E62="",0,IF(ISNUMBER(メンバー!E62),メンバー!E62,IFERROR(VLOOKUP(TRIM(メンバー!E62),設定!$A$11:$B$20,2,FALSE),0))))</f>
        <v>0.85</v>
      </c>
      <c r="F65" s="15">
        <f>IF(メンバー!F62="",F43,IF(メンバー!F62="",0,IF(ISNUMBER(メンバー!F62),メンバー!F62,IFERROR(VLOOKUP(TRIM(メンバー!F62),設定!$A$11:$B$20,2,FALSE),0))))</f>
        <v>0.85</v>
      </c>
      <c r="G65" s="15">
        <f>IF(メンバー!G62="",G43,IF(メンバー!G62="",0,IF(ISNUMBER(メンバー!G62),メンバー!G62,IFERROR(VLOOKUP(TRIM(メンバー!G62),設定!$A$11:$B$20,2,FALSE),0))))</f>
        <v>0.85</v>
      </c>
      <c r="H65" s="15">
        <f>IF(メンバー!H62="",H43,IF(メンバー!H62="",0,IF(ISNUMBER(メンバー!H62),メンバー!H62,IFERROR(VLOOKUP(TRIM(メンバー!H62),設定!$A$11:$B$20,2,FALSE),0))))</f>
        <v>0.85</v>
      </c>
      <c r="I65" s="15">
        <f>IF(メンバー!I62="",I43,IF(メンバー!I62="",0,IF(ISNUMBER(メンバー!I62),メンバー!I62,IFERROR(VLOOKUP(TRIM(メンバー!I62),設定!$A$11:$B$20,2,FALSE),0))))</f>
        <v>0.8</v>
      </c>
      <c r="J65" s="15">
        <f>IF(メンバー!J62="",J43,IF(メンバー!J62="",0,IF(ISNUMBER(メンバー!J62),メンバー!J62,IFERROR(VLOOKUP(TRIM(メンバー!J62),設定!$A$11:$B$20,2,FALSE),0))))</f>
        <v>0.8</v>
      </c>
      <c r="K65" s="15">
        <f>IF(メンバー!K62="",K43,IF(メンバー!K62="",0,IF(ISNUMBER(メンバー!K62),メンバー!K62,IFERROR(VLOOKUP(TRIM(メンバー!K62),設定!$A$11:$B$20,2,FALSE),0))))</f>
        <v>0.8</v>
      </c>
      <c r="L65" s="15">
        <f>IF(メンバー!L62="",L43,IF(メンバー!L62="",0,IF(ISNUMBER(メンバー!L62),メンバー!L62,IFERROR(VLOOKUP(TRIM(メンバー!L62),設定!$A$11:$B$20,2,FALSE),0))))</f>
        <v>0.8</v>
      </c>
      <c r="M65" s="15">
        <f>IF(メンバー!M62="",M43,IF(メンバー!M62="",0,IF(ISNUMBER(メンバー!M62),メンバー!M62,IFERROR(VLOOKUP(TRIM(メンバー!M62),設定!$A$11:$B$20,2,FALSE),0))))</f>
        <v>0.8</v>
      </c>
      <c r="N65" s="15">
        <f>IF(メンバー!N62="",N43,IF(メンバー!N62="",0,IF(ISNUMBER(メンバー!N62),メンバー!N62,IFERROR(VLOOKUP(TRIM(メンバー!N62),設定!$A$11:$B$20,2,FALSE),0))))</f>
        <v>0.48</v>
      </c>
      <c r="O65" s="15">
        <f>IF(メンバー!O62="",O43,IF(メンバー!O62="",0,IF(ISNUMBER(メンバー!O62),メンバー!O62,IFERROR(VLOOKUP(TRIM(メンバー!O62),設定!$A$11:$B$20,2,FALSE),0))))</f>
        <v>0.8</v>
      </c>
      <c r="P65" s="15">
        <f>IF(メンバー!P62="",P43,IF(メンバー!P62="",0,IF(ISNUMBER(メンバー!P62),メンバー!P62,IFERROR(VLOOKUP(TRIM(メンバー!P62),設定!$A$11:$B$20,2,FALSE),0))))</f>
        <v>0.8</v>
      </c>
      <c r="Q65" s="15">
        <f>IF(メンバー!Q62="",Q43,IF(メンバー!Q62="",0,IF(ISNUMBER(メンバー!Q62),メンバー!Q62,IFERROR(VLOOKUP(TRIM(メンバー!Q62),設定!$A$11:$B$20,2,FALSE),0))))</f>
        <v>0.8</v>
      </c>
      <c r="R65" s="15">
        <f>IF(メンバー!R62="",R43,IF(メンバー!R62="",0,IF(ISNUMBER(メンバー!R62),メンバー!R62,IFERROR(VLOOKUP(TRIM(メンバー!R62),設定!$A$11:$B$20,2,FALSE),0))))</f>
        <v>0.8</v>
      </c>
      <c r="S65" s="15">
        <f>IF(メンバー!S62="",S43,IF(メンバー!S62="",0,IF(ISNUMBER(メンバー!S62),メンバー!S62,IFERROR(VLOOKUP(TRIM(メンバー!S62),設定!$A$11:$B$20,2,FALSE),0))))</f>
        <v>0.8</v>
      </c>
      <c r="T65" s="15">
        <f>IF(メンバー!T62="",T43,IF(メンバー!T62="",0,IF(ISNUMBER(メンバー!T62),メンバー!T62,IFERROR(VLOOKUP(TRIM(メンバー!T62),設定!$A$11:$B$20,2,FALSE),0))))</f>
        <v>0.8</v>
      </c>
      <c r="U65" s="15">
        <f>IF(メンバー!U62="",U43,IF(メンバー!U62="",0,IF(ISNUMBER(メンバー!U62),メンバー!U62,IFERROR(VLOOKUP(TRIM(メンバー!U62),設定!$A$11:$B$20,2,FALSE),0))))</f>
        <v>0.8</v>
      </c>
      <c r="V65" s="15">
        <f>IF(メンバー!V62="",V43,IF(メンバー!V62="",0,IF(ISNUMBER(メンバー!V62),メンバー!V62,IFERROR(VLOOKUP(TRIM(メンバー!V62),設定!$A$11:$B$20,2,FALSE),0))))</f>
        <v>0.8</v>
      </c>
    </row>
    <row r="66" spans="1:22" ht="15.75">
      <c r="A66" s="37" t="str">
        <f>IF(メンバー!$A17="","",メンバー!$A17)</f>
        <v>SV</v>
      </c>
      <c r="B66" s="37" t="str">
        <f>IF(メンバー!$B17="","",メンバー!$B17)</f>
        <v>栗城</v>
      </c>
      <c r="C66" s="2"/>
      <c r="D66" s="15">
        <f>IF(メンバー!D63="",D44,IF(メンバー!D63="",0,IF(ISNUMBER(メンバー!D63),メンバー!D63,IFERROR(VLOOKUP(TRIM(メンバー!D63),設定!$A$11:$B$20,2,FALSE),0))))</f>
        <v>0.85</v>
      </c>
      <c r="E66" s="15">
        <f>IF(メンバー!E63="",E44,IF(メンバー!E63="",0,IF(ISNUMBER(メンバー!E63),メンバー!E63,IFERROR(VLOOKUP(TRIM(メンバー!E63),設定!$A$11:$B$20,2,FALSE),0))))</f>
        <v>0.85</v>
      </c>
      <c r="F66" s="15">
        <f>IF(メンバー!F63="",F44,IF(メンバー!F63="",0,IF(ISNUMBER(メンバー!F63),メンバー!F63,IFERROR(VLOOKUP(TRIM(メンバー!F63),設定!$A$11:$B$20,2,FALSE),0))))</f>
        <v>0.85</v>
      </c>
      <c r="G66" s="15">
        <f>IF(メンバー!G63="",G44,IF(メンバー!G63="",0,IF(ISNUMBER(メンバー!G63),メンバー!G63,IFERROR(VLOOKUP(TRIM(メンバー!G63),設定!$A$11:$B$20,2,FALSE),0))))</f>
        <v>0.85</v>
      </c>
      <c r="H66" s="15">
        <f>IF(メンバー!H63="",H44,IF(メンバー!H63="",0,IF(ISNUMBER(メンバー!H63),メンバー!H63,IFERROR(VLOOKUP(TRIM(メンバー!H63),設定!$A$11:$B$20,2,FALSE),0))))</f>
        <v>0.85</v>
      </c>
      <c r="I66" s="15">
        <f>IF(メンバー!I63="",I44,IF(メンバー!I63="",0,IF(ISNUMBER(メンバー!I63),メンバー!I63,IFERROR(VLOOKUP(TRIM(メンバー!I63),設定!$A$11:$B$20,2,FALSE),0))))</f>
        <v>0.8</v>
      </c>
      <c r="J66" s="15">
        <f>IF(メンバー!J63="",J44,IF(メンバー!J63="",0,IF(ISNUMBER(メンバー!J63),メンバー!J63,IFERROR(VLOOKUP(TRIM(メンバー!J63),設定!$A$11:$B$20,2,FALSE),0))))</f>
        <v>0.8</v>
      </c>
      <c r="K66" s="15">
        <f>IF(メンバー!K63="",K44,IF(メンバー!K63="",0,IF(ISNUMBER(メンバー!K63),メンバー!K63,IFERROR(VLOOKUP(TRIM(メンバー!K63),設定!$A$11:$B$20,2,FALSE),0))))</f>
        <v>0.8</v>
      </c>
      <c r="L66" s="15">
        <f>IF(メンバー!L63="",L44,IF(メンバー!L63="",0,IF(ISNUMBER(メンバー!L63),メンバー!L63,IFERROR(VLOOKUP(TRIM(メンバー!L63),設定!$A$11:$B$20,2,FALSE),0))))</f>
        <v>0.8</v>
      </c>
      <c r="M66" s="15">
        <f>IF(メンバー!M63="",M44,IF(メンバー!M63="",0,IF(ISNUMBER(メンバー!M63),メンバー!M63,IFERROR(VLOOKUP(TRIM(メンバー!M63),設定!$A$11:$B$20,2,FALSE),0))))</f>
        <v>0.8</v>
      </c>
      <c r="N66" s="15">
        <f>IF(メンバー!N63="",N44,IF(メンバー!N63="",0,IF(ISNUMBER(メンバー!N63),メンバー!N63,IFERROR(VLOOKUP(TRIM(メンバー!N63),設定!$A$11:$B$20,2,FALSE),0))))</f>
        <v>0.48</v>
      </c>
      <c r="O66" s="15">
        <f>IF(メンバー!O63="",O44,IF(メンバー!O63="",0,IF(ISNUMBER(メンバー!O63),メンバー!O63,IFERROR(VLOOKUP(TRIM(メンバー!O63),設定!$A$11:$B$20,2,FALSE),0))))</f>
        <v>0.8</v>
      </c>
      <c r="P66" s="15">
        <f>IF(メンバー!P63="",P44,IF(メンバー!P63="",0,IF(ISNUMBER(メンバー!P63),メンバー!P63,IFERROR(VLOOKUP(TRIM(メンバー!P63),設定!$A$11:$B$20,2,FALSE),0))))</f>
        <v>0.8</v>
      </c>
      <c r="Q66" s="15">
        <f>IF(メンバー!Q63="",Q44,IF(メンバー!Q63="",0,IF(ISNUMBER(メンバー!Q63),メンバー!Q63,IFERROR(VLOOKUP(TRIM(メンバー!Q63),設定!$A$11:$B$20,2,FALSE),0))))</f>
        <v>0.8</v>
      </c>
      <c r="R66" s="15">
        <f>IF(メンバー!R63="",R44,IF(メンバー!R63="",0,IF(ISNUMBER(メンバー!R63),メンバー!R63,IFERROR(VLOOKUP(TRIM(メンバー!R63),設定!$A$11:$B$20,2,FALSE),0))))</f>
        <v>0.8</v>
      </c>
      <c r="S66" s="15">
        <f>IF(メンバー!S63="",S44,IF(メンバー!S63="",0,IF(ISNUMBER(メンバー!S63),メンバー!S63,IFERROR(VLOOKUP(TRIM(メンバー!S63),設定!$A$11:$B$20,2,FALSE),0))))</f>
        <v>0.8</v>
      </c>
      <c r="T66" s="15">
        <f>IF(メンバー!T63="",T44,IF(メンバー!T63="",0,IF(ISNUMBER(メンバー!T63),メンバー!T63,IFERROR(VLOOKUP(TRIM(メンバー!T63),設定!$A$11:$B$20,2,FALSE),0))))</f>
        <v>0.8</v>
      </c>
      <c r="U66" s="15">
        <f>IF(メンバー!U63="",U44,IF(メンバー!U63="",0,IF(ISNUMBER(メンバー!U63),メンバー!U63,IFERROR(VLOOKUP(TRIM(メンバー!U63),設定!$A$11:$B$20,2,FALSE),0))))</f>
        <v>0.8</v>
      </c>
      <c r="V66" s="15">
        <f>IF(メンバー!V63="",V44,IF(メンバー!V63="",0,IF(ISNUMBER(メンバー!V63),メンバー!V63,IFERROR(VLOOKUP(TRIM(メンバー!V63),設定!$A$11:$B$20,2,FALSE),0))))</f>
        <v>0.8</v>
      </c>
    </row>
    <row r="67" spans="1:22" ht="15.75">
      <c r="A67" s="37" t="str">
        <f>IF(メンバー!$A18="","",メンバー!$A18)</f>
        <v>SV</v>
      </c>
      <c r="B67" s="37" t="str">
        <f>IF(メンバー!$B18="","",メンバー!$B18)</f>
        <v>田中</v>
      </c>
      <c r="C67" s="2"/>
      <c r="D67" s="15">
        <f>IF(メンバー!D64="",D45,IF(メンバー!D64="",0,IF(ISNUMBER(メンバー!D64),メンバー!D64,IFERROR(VLOOKUP(TRIM(メンバー!D64),設定!$A$11:$B$20,2,FALSE),0))))</f>
        <v>0.6</v>
      </c>
      <c r="E67" s="15">
        <f>IF(メンバー!E64="",E45,IF(メンバー!E64="",0,IF(ISNUMBER(メンバー!E64),メンバー!E64,IFERROR(VLOOKUP(TRIM(メンバー!E64),設定!$A$11:$B$20,2,FALSE),0))))</f>
        <v>0.6</v>
      </c>
      <c r="F67" s="15">
        <f>IF(メンバー!F64="",F45,IF(メンバー!F64="",0,IF(ISNUMBER(メンバー!F64),メンバー!F64,IFERROR(VLOOKUP(TRIM(メンバー!F64),設定!$A$11:$B$20,2,FALSE),0))))</f>
        <v>0.6</v>
      </c>
      <c r="G67" s="15">
        <f>IF(メンバー!G64="",G45,IF(メンバー!G64="",0,IF(ISNUMBER(メンバー!G64),メンバー!G64,IFERROR(VLOOKUP(TRIM(メンバー!G64),設定!$A$11:$B$20,2,FALSE),0))))</f>
        <v>0.6</v>
      </c>
      <c r="H67" s="15">
        <f>IF(メンバー!H64="",H45,IF(メンバー!H64="",0,IF(ISNUMBER(メンバー!H64),メンバー!H64,IFERROR(VLOOKUP(TRIM(メンバー!H64),設定!$A$11:$B$20,2,FALSE),0))))</f>
        <v>0.6</v>
      </c>
      <c r="I67" s="15">
        <f>IF(メンバー!I64="",I45,IF(メンバー!I64="",0,IF(ISNUMBER(メンバー!I64),メンバー!I64,IFERROR(VLOOKUP(TRIM(メンバー!I64),設定!$A$11:$B$20,2,FALSE),0))))</f>
        <v>0.6</v>
      </c>
      <c r="J67" s="15">
        <f>IF(メンバー!J64="",J45,IF(メンバー!J64="",0,IF(ISNUMBER(メンバー!J64),メンバー!J64,IFERROR(VLOOKUP(TRIM(メンバー!J64),設定!$A$11:$B$20,2,FALSE),0))))</f>
        <v>0.6</v>
      </c>
      <c r="K67" s="15">
        <f>IF(メンバー!K64="",K45,IF(メンバー!K64="",0,IF(ISNUMBER(メンバー!K64),メンバー!K64,IFERROR(VLOOKUP(TRIM(メンバー!K64),設定!$A$11:$B$20,2,FALSE),0))))</f>
        <v>0.6</v>
      </c>
      <c r="L67" s="15">
        <f>IF(メンバー!L64="",L45,IF(メンバー!L64="",0,IF(ISNUMBER(メンバー!L64),メンバー!L64,IFERROR(VLOOKUP(TRIM(メンバー!L64),設定!$A$11:$B$20,2,FALSE),0))))</f>
        <v>0.6</v>
      </c>
      <c r="M67" s="15">
        <f>IF(メンバー!M64="",M45,IF(メンバー!M64="",0,IF(ISNUMBER(メンバー!M64),メンバー!M64,IFERROR(VLOOKUP(TRIM(メンバー!M64),設定!$A$11:$B$20,2,FALSE),0))))</f>
        <v>0.6</v>
      </c>
      <c r="N67" s="15">
        <f>IF(メンバー!N64="",N45,IF(メンバー!N64="",0,IF(ISNUMBER(メンバー!N64),メンバー!N64,IFERROR(VLOOKUP(TRIM(メンバー!N64),設定!$A$11:$B$20,2,FALSE),0))))</f>
        <v>0.36</v>
      </c>
      <c r="O67" s="15">
        <f>IF(メンバー!O64="",O45,IF(メンバー!O64="",0,IF(ISNUMBER(メンバー!O64),メンバー!O64,IFERROR(VLOOKUP(TRIM(メンバー!O64),設定!$A$11:$B$20,2,FALSE),0))))</f>
        <v>0.6</v>
      </c>
      <c r="P67" s="15">
        <f>IF(メンバー!P64="",P45,IF(メンバー!P64="",0,IF(ISNUMBER(メンバー!P64),メンバー!P64,IFERROR(VLOOKUP(TRIM(メンバー!P64),設定!$A$11:$B$20,2,FALSE),0))))</f>
        <v>0.6</v>
      </c>
      <c r="Q67" s="15">
        <f>IF(メンバー!Q64="",Q45,IF(メンバー!Q64="",0,IF(ISNUMBER(メンバー!Q64),メンバー!Q64,IFERROR(VLOOKUP(TRIM(メンバー!Q64),設定!$A$11:$B$20,2,FALSE),0))))</f>
        <v>0.6</v>
      </c>
      <c r="R67" s="15">
        <f>IF(メンバー!R64="",R45,IF(メンバー!R64="",0,IF(ISNUMBER(メンバー!R64),メンバー!R64,IFERROR(VLOOKUP(TRIM(メンバー!R64),設定!$A$11:$B$20,2,FALSE),0))))</f>
        <v>0.6</v>
      </c>
      <c r="S67" s="15">
        <f>IF(メンバー!S64="",S45,IF(メンバー!S64="",0,IF(ISNUMBER(メンバー!S64),メンバー!S64,IFERROR(VLOOKUP(TRIM(メンバー!S64),設定!$A$11:$B$20,2,FALSE),0))))</f>
        <v>0.6</v>
      </c>
      <c r="T67" s="15">
        <f>IF(メンバー!T64="",T45,IF(メンバー!T64="",0,IF(ISNUMBER(メンバー!T64),メンバー!T64,IFERROR(VLOOKUP(TRIM(メンバー!T64),設定!$A$11:$B$20,2,FALSE),0))))</f>
        <v>0.6</v>
      </c>
      <c r="U67" s="15">
        <f>IF(メンバー!U64="",U45,IF(メンバー!U64="",0,IF(ISNUMBER(メンバー!U64),メンバー!U64,IFERROR(VLOOKUP(TRIM(メンバー!U64),設定!$A$11:$B$20,2,FALSE),0))))</f>
        <v>0.6</v>
      </c>
      <c r="V67" s="15">
        <f>IF(メンバー!V64="",V45,IF(メンバー!V64="",0,IF(ISNUMBER(メンバー!V64),メンバー!V64,IFERROR(VLOOKUP(TRIM(メンバー!V64),設定!$A$11:$B$20,2,FALSE),0))))</f>
        <v>0.6</v>
      </c>
    </row>
    <row r="68" spans="1:22" ht="15.75">
      <c r="A68" s="37" t="str">
        <f>IF(メンバー!$A19="","",メンバー!$A19)</f>
        <v>SV</v>
      </c>
      <c r="B68" s="37" t="str">
        <f>IF(メンバー!$B19="","",メンバー!$B19)</f>
        <v>西村</v>
      </c>
      <c r="C68" s="2"/>
      <c r="D68" s="15">
        <f>IF(メンバー!D65="",D46,IF(メンバー!D65="",0,IF(ISNUMBER(メンバー!D65),メンバー!D65,IFERROR(VLOOKUP(TRIM(メンバー!D65),設定!$A$11:$B$20,2,FALSE),0))))</f>
        <v>0.6</v>
      </c>
      <c r="E68" s="15">
        <f>IF(メンバー!E65="",E46,IF(メンバー!E65="",0,IF(ISNUMBER(メンバー!E65),メンバー!E65,IFERROR(VLOOKUP(TRIM(メンバー!E65),設定!$A$11:$B$20,2,FALSE),0))))</f>
        <v>0.6</v>
      </c>
      <c r="F68" s="15">
        <f>IF(メンバー!F65="",F46,IF(メンバー!F65="",0,IF(ISNUMBER(メンバー!F65),メンバー!F65,IFERROR(VLOOKUP(TRIM(メンバー!F65),設定!$A$11:$B$20,2,FALSE),0))))</f>
        <v>0.6</v>
      </c>
      <c r="G68" s="15">
        <f>IF(メンバー!G65="",G46,IF(メンバー!G65="",0,IF(ISNUMBER(メンバー!G65),メンバー!G65,IFERROR(VLOOKUP(TRIM(メンバー!G65),設定!$A$11:$B$20,2,FALSE),0))))</f>
        <v>0.6</v>
      </c>
      <c r="H68" s="15">
        <f>IF(メンバー!H65="",H46,IF(メンバー!H65="",0,IF(ISNUMBER(メンバー!H65),メンバー!H65,IFERROR(VLOOKUP(TRIM(メンバー!H65),設定!$A$11:$B$20,2,FALSE),0))))</f>
        <v>0.6</v>
      </c>
      <c r="I68" s="15">
        <f>IF(メンバー!I65="",I46,IF(メンバー!I65="",0,IF(ISNUMBER(メンバー!I65),メンバー!I65,IFERROR(VLOOKUP(TRIM(メンバー!I65),設定!$A$11:$B$20,2,FALSE),0))))</f>
        <v>0.6</v>
      </c>
      <c r="J68" s="15">
        <f>IF(メンバー!J65="",J46,IF(メンバー!J65="",0,IF(ISNUMBER(メンバー!J65),メンバー!J65,IFERROR(VLOOKUP(TRIM(メンバー!J65),設定!$A$11:$B$20,2,FALSE),0))))</f>
        <v>0.6</v>
      </c>
      <c r="K68" s="15">
        <f>IF(メンバー!K65="",K46,IF(メンバー!K65="",0,IF(ISNUMBER(メンバー!K65),メンバー!K65,IFERROR(VLOOKUP(TRIM(メンバー!K65),設定!$A$11:$B$20,2,FALSE),0))))</f>
        <v>0.6</v>
      </c>
      <c r="L68" s="15">
        <f>IF(メンバー!L65="",L46,IF(メンバー!L65="",0,IF(ISNUMBER(メンバー!L65),メンバー!L65,IFERROR(VLOOKUP(TRIM(メンバー!L65),設定!$A$11:$B$20,2,FALSE),0))))</f>
        <v>0.6</v>
      </c>
      <c r="M68" s="15">
        <f>IF(メンバー!M65="",M46,IF(メンバー!M65="",0,IF(ISNUMBER(メンバー!M65),メンバー!M65,IFERROR(VLOOKUP(TRIM(メンバー!M65),設定!$A$11:$B$20,2,FALSE),0))))</f>
        <v>0.6</v>
      </c>
      <c r="N68" s="15">
        <f>IF(メンバー!N65="",N46,IF(メンバー!N65="",0,IF(ISNUMBER(メンバー!N65),メンバー!N65,IFERROR(VLOOKUP(TRIM(メンバー!N65),設定!$A$11:$B$20,2,FALSE),0))))</f>
        <v>0.36</v>
      </c>
      <c r="O68" s="15">
        <f>IF(メンバー!O65="",O46,IF(メンバー!O65="",0,IF(ISNUMBER(メンバー!O65),メンバー!O65,IFERROR(VLOOKUP(TRIM(メンバー!O65),設定!$A$11:$B$20,2,FALSE),0))))</f>
        <v>0.6</v>
      </c>
      <c r="P68" s="15">
        <f>IF(メンバー!P65="",P46,IF(メンバー!P65="",0,IF(ISNUMBER(メンバー!P65),メンバー!P65,IFERROR(VLOOKUP(TRIM(メンバー!P65),設定!$A$11:$B$20,2,FALSE),0))))</f>
        <v>0.6</v>
      </c>
      <c r="Q68" s="15">
        <f>IF(メンバー!Q65="",Q46,IF(メンバー!Q65="",0,IF(ISNUMBER(メンバー!Q65),メンバー!Q65,IFERROR(VLOOKUP(TRIM(メンバー!Q65),設定!$A$11:$B$20,2,FALSE),0))))</f>
        <v>0.6</v>
      </c>
      <c r="R68" s="15">
        <f>IF(メンバー!R65="",R46,IF(メンバー!R65="",0,IF(ISNUMBER(メンバー!R65),メンバー!R65,IFERROR(VLOOKUP(TRIM(メンバー!R65),設定!$A$11:$B$20,2,FALSE),0))))</f>
        <v>0.6</v>
      </c>
      <c r="S68" s="15">
        <f>IF(メンバー!S65="",S46,IF(メンバー!S65="",0,IF(ISNUMBER(メンバー!S65),メンバー!S65,IFERROR(VLOOKUP(TRIM(メンバー!S65),設定!$A$11:$B$20,2,FALSE),0))))</f>
        <v>0.6</v>
      </c>
      <c r="T68" s="15">
        <f>IF(メンバー!T65="",T46,IF(メンバー!T65="",0,IF(ISNUMBER(メンバー!T65),メンバー!T65,IFERROR(VLOOKUP(TRIM(メンバー!T65),設定!$A$11:$B$20,2,FALSE),0))))</f>
        <v>0.6</v>
      </c>
      <c r="U68" s="15">
        <f>IF(メンバー!U65="",U46,IF(メンバー!U65="",0,IF(ISNUMBER(メンバー!U65),メンバー!U65,IFERROR(VLOOKUP(TRIM(メンバー!U65),設定!$A$11:$B$20,2,FALSE),0))))</f>
        <v>0.6</v>
      </c>
      <c r="V68" s="15">
        <f>IF(メンバー!V65="",V46,IF(メンバー!V65="",0,IF(ISNUMBER(メンバー!V65),メンバー!V65,IFERROR(VLOOKUP(TRIM(メンバー!V65),設定!$A$11:$B$20,2,FALSE),0))))</f>
        <v>0.6</v>
      </c>
    </row>
    <row r="69" spans="1:22" ht="15.75">
      <c r="A69" s="37" t="str">
        <f>IF(メンバー!$A20="","",メンバー!$A20)</f>
        <v/>
      </c>
      <c r="B69" s="37" t="str">
        <f>IF(メンバー!$B20="","",メンバー!$B20)</f>
        <v/>
      </c>
      <c r="C69" s="2"/>
      <c r="D69" s="15">
        <f>IF(メンバー!D66="",D47,IF(メンバー!D66="",0,IF(ISNUMBER(メンバー!D66),メンバー!D66,IFERROR(VLOOKUP(TRIM(メンバー!D66),設定!$A$11:$B$20,2,FALSE),0))))</f>
        <v>0</v>
      </c>
      <c r="E69" s="15">
        <f>IF(メンバー!E66="",E47,IF(メンバー!E66="",0,IF(ISNUMBER(メンバー!E66),メンバー!E66,IFERROR(VLOOKUP(TRIM(メンバー!E66),設定!$A$11:$B$20,2,FALSE),0))))</f>
        <v>0</v>
      </c>
      <c r="F69" s="15">
        <f>IF(メンバー!F66="",F47,IF(メンバー!F66="",0,IF(ISNUMBER(メンバー!F66),メンバー!F66,IFERROR(VLOOKUP(TRIM(メンバー!F66),設定!$A$11:$B$20,2,FALSE),0))))</f>
        <v>0</v>
      </c>
      <c r="G69" s="15">
        <f>IF(メンバー!G66="",G47,IF(メンバー!G66="",0,IF(ISNUMBER(メンバー!G66),メンバー!G66,IFERROR(VLOOKUP(TRIM(メンバー!G66),設定!$A$11:$B$20,2,FALSE),0))))</f>
        <v>0</v>
      </c>
      <c r="H69" s="15">
        <f>IF(メンバー!H66="",H47,IF(メンバー!H66="",0,IF(ISNUMBER(メンバー!H66),メンバー!H66,IFERROR(VLOOKUP(TRIM(メンバー!H66),設定!$A$11:$B$20,2,FALSE),0))))</f>
        <v>0</v>
      </c>
      <c r="I69" s="15">
        <f>IF(メンバー!I66="",I47,IF(メンバー!I66="",0,IF(ISNUMBER(メンバー!I66),メンバー!I66,IFERROR(VLOOKUP(TRIM(メンバー!I66),設定!$A$11:$B$20,2,FALSE),0))))</f>
        <v>0</v>
      </c>
      <c r="J69" s="15">
        <f>IF(メンバー!J66="",J47,IF(メンバー!J66="",0,IF(ISNUMBER(メンバー!J66),メンバー!J66,IFERROR(VLOOKUP(TRIM(メンバー!J66),設定!$A$11:$B$20,2,FALSE),0))))</f>
        <v>0</v>
      </c>
      <c r="K69" s="15">
        <f>IF(メンバー!K66="",K47,IF(メンバー!K66="",0,IF(ISNUMBER(メンバー!K66),メンバー!K66,IFERROR(VLOOKUP(TRIM(メンバー!K66),設定!$A$11:$B$20,2,FALSE),0))))</f>
        <v>0</v>
      </c>
      <c r="L69" s="15">
        <f>IF(メンバー!L66="",L47,IF(メンバー!L66="",0,IF(ISNUMBER(メンバー!L66),メンバー!L66,IFERROR(VLOOKUP(TRIM(メンバー!L66),設定!$A$11:$B$20,2,FALSE),0))))</f>
        <v>0</v>
      </c>
      <c r="M69" s="15">
        <f>IF(メンバー!M66="",M47,IF(メンバー!M66="",0,IF(ISNUMBER(メンバー!M66),メンバー!M66,IFERROR(VLOOKUP(TRIM(メンバー!M66),設定!$A$11:$B$20,2,FALSE),0))))</f>
        <v>0</v>
      </c>
      <c r="N69" s="15">
        <f>IF(メンバー!N66="",N47,IF(メンバー!N66="",0,IF(ISNUMBER(メンバー!N66),メンバー!N66,IFERROR(VLOOKUP(TRIM(メンバー!N66),設定!$A$11:$B$20,2,FALSE),0))))</f>
        <v>0</v>
      </c>
      <c r="O69" s="15">
        <f>IF(メンバー!O66="",O47,IF(メンバー!O66="",0,IF(ISNUMBER(メンバー!O66),メンバー!O66,IFERROR(VLOOKUP(TRIM(メンバー!O66),設定!$A$11:$B$20,2,FALSE),0))))</f>
        <v>0</v>
      </c>
      <c r="P69" s="15">
        <f>IF(メンバー!P66="",P47,IF(メンバー!P66="",0,IF(ISNUMBER(メンバー!P66),メンバー!P66,IFERROR(VLOOKUP(TRIM(メンバー!P66),設定!$A$11:$B$20,2,FALSE),0))))</f>
        <v>0</v>
      </c>
      <c r="Q69" s="15">
        <f>IF(メンバー!Q66="",Q47,IF(メンバー!Q66="",0,IF(ISNUMBER(メンバー!Q66),メンバー!Q66,IFERROR(VLOOKUP(TRIM(メンバー!Q66),設定!$A$11:$B$20,2,FALSE),0))))</f>
        <v>0</v>
      </c>
      <c r="R69" s="15">
        <f>IF(メンバー!R66="",R47,IF(メンバー!R66="",0,IF(ISNUMBER(メンバー!R66),メンバー!R66,IFERROR(VLOOKUP(TRIM(メンバー!R66),設定!$A$11:$B$20,2,FALSE),0))))</f>
        <v>0</v>
      </c>
      <c r="S69" s="15">
        <f>IF(メンバー!S66="",S47,IF(メンバー!S66="",0,IF(ISNUMBER(メンバー!S66),メンバー!S66,IFERROR(VLOOKUP(TRIM(メンバー!S66),設定!$A$11:$B$20,2,FALSE),0))))</f>
        <v>0</v>
      </c>
      <c r="T69" s="15">
        <f>IF(メンバー!T66="",T47,IF(メンバー!T66="",0,IF(ISNUMBER(メンバー!T66),メンバー!T66,IFERROR(VLOOKUP(TRIM(メンバー!T66),設定!$A$11:$B$20,2,FALSE),0))))</f>
        <v>0</v>
      </c>
      <c r="U69" s="15">
        <f>IF(メンバー!U66="",U47,IF(メンバー!U66="",0,IF(ISNUMBER(メンバー!U66),メンバー!U66,IFERROR(VLOOKUP(TRIM(メンバー!U66),設定!$A$11:$B$20,2,FALSE),0))))</f>
        <v>0</v>
      </c>
      <c r="V69" s="15">
        <f>IF(メンバー!V66="",V47,IF(メンバー!V66="",0,IF(ISNUMBER(メンバー!V66),メンバー!V66,IFERROR(VLOOKUP(TRIM(メンバー!V66),設定!$A$11:$B$20,2,FALSE),0))))</f>
        <v>0</v>
      </c>
    </row>
    <row r="70" spans="1:22" ht="15.75">
      <c r="A70" s="37" t="str">
        <f>IF(メンバー!$A21="","",メンバー!$A21)</f>
        <v/>
      </c>
      <c r="B70" s="37" t="str">
        <f>IF(メンバー!$B21="","",メンバー!$B21)</f>
        <v/>
      </c>
      <c r="C70" s="2"/>
      <c r="D70" s="15">
        <f>IF(メンバー!D67="",D48,IF(メンバー!D67="",0,IF(ISNUMBER(メンバー!D67),メンバー!D67,IFERROR(VLOOKUP(TRIM(メンバー!D67),設定!$A$11:$B$20,2,FALSE),0))))</f>
        <v>0</v>
      </c>
      <c r="E70" s="15">
        <f>IF(メンバー!E67="",E48,IF(メンバー!E67="",0,IF(ISNUMBER(メンバー!E67),メンバー!E67,IFERROR(VLOOKUP(TRIM(メンバー!E67),設定!$A$11:$B$20,2,FALSE),0))))</f>
        <v>0</v>
      </c>
      <c r="F70" s="15">
        <f>IF(メンバー!F67="",F48,IF(メンバー!F67="",0,IF(ISNUMBER(メンバー!F67),メンバー!F67,IFERROR(VLOOKUP(TRIM(メンバー!F67),設定!$A$11:$B$20,2,FALSE),0))))</f>
        <v>0</v>
      </c>
      <c r="G70" s="15">
        <f>IF(メンバー!G67="",G48,IF(メンバー!G67="",0,IF(ISNUMBER(メンバー!G67),メンバー!G67,IFERROR(VLOOKUP(TRIM(メンバー!G67),設定!$A$11:$B$20,2,FALSE),0))))</f>
        <v>0</v>
      </c>
      <c r="H70" s="15">
        <f>IF(メンバー!H67="",H48,IF(メンバー!H67="",0,IF(ISNUMBER(メンバー!H67),メンバー!H67,IFERROR(VLOOKUP(TRIM(メンバー!H67),設定!$A$11:$B$20,2,FALSE),0))))</f>
        <v>0</v>
      </c>
      <c r="I70" s="15">
        <f>IF(メンバー!I67="",I48,IF(メンバー!I67="",0,IF(ISNUMBER(メンバー!I67),メンバー!I67,IFERROR(VLOOKUP(TRIM(メンバー!I67),設定!$A$11:$B$20,2,FALSE),0))))</f>
        <v>0</v>
      </c>
      <c r="J70" s="15">
        <f>IF(メンバー!J67="",J48,IF(メンバー!J67="",0,IF(ISNUMBER(メンバー!J67),メンバー!J67,IFERROR(VLOOKUP(TRIM(メンバー!J67),設定!$A$11:$B$20,2,FALSE),0))))</f>
        <v>0</v>
      </c>
      <c r="K70" s="15">
        <f>IF(メンバー!K67="",K48,IF(メンバー!K67="",0,IF(ISNUMBER(メンバー!K67),メンバー!K67,IFERROR(VLOOKUP(TRIM(メンバー!K67),設定!$A$11:$B$20,2,FALSE),0))))</f>
        <v>0</v>
      </c>
      <c r="L70" s="15">
        <f>IF(メンバー!L67="",L48,IF(メンバー!L67="",0,IF(ISNUMBER(メンバー!L67),メンバー!L67,IFERROR(VLOOKUP(TRIM(メンバー!L67),設定!$A$11:$B$20,2,FALSE),0))))</f>
        <v>0</v>
      </c>
      <c r="M70" s="15">
        <f>IF(メンバー!M67="",M48,IF(メンバー!M67="",0,IF(ISNUMBER(メンバー!M67),メンバー!M67,IFERROR(VLOOKUP(TRIM(メンバー!M67),設定!$A$11:$B$20,2,FALSE),0))))</f>
        <v>0</v>
      </c>
      <c r="N70" s="15">
        <f>IF(メンバー!N67="",N48,IF(メンバー!N67="",0,IF(ISNUMBER(メンバー!N67),メンバー!N67,IFERROR(VLOOKUP(TRIM(メンバー!N67),設定!$A$11:$B$20,2,FALSE),0))))</f>
        <v>0</v>
      </c>
      <c r="O70" s="15">
        <f>IF(メンバー!O67="",O48,IF(メンバー!O67="",0,IF(ISNUMBER(メンバー!O67),メンバー!O67,IFERROR(VLOOKUP(TRIM(メンバー!O67),設定!$A$11:$B$20,2,FALSE),0))))</f>
        <v>0</v>
      </c>
      <c r="P70" s="15">
        <f>IF(メンバー!P67="",P48,IF(メンバー!P67="",0,IF(ISNUMBER(メンバー!P67),メンバー!P67,IFERROR(VLOOKUP(TRIM(メンバー!P67),設定!$A$11:$B$20,2,FALSE),0))))</f>
        <v>0</v>
      </c>
      <c r="Q70" s="15">
        <f>IF(メンバー!Q67="",Q48,IF(メンバー!Q67="",0,IF(ISNUMBER(メンバー!Q67),メンバー!Q67,IFERROR(VLOOKUP(TRIM(メンバー!Q67),設定!$A$11:$B$20,2,FALSE),0))))</f>
        <v>0</v>
      </c>
      <c r="R70" s="15">
        <f>IF(メンバー!R67="",R48,IF(メンバー!R67="",0,IF(ISNUMBER(メンバー!R67),メンバー!R67,IFERROR(VLOOKUP(TRIM(メンバー!R67),設定!$A$11:$B$20,2,FALSE),0))))</f>
        <v>0</v>
      </c>
      <c r="S70" s="15">
        <f>IF(メンバー!S67="",S48,IF(メンバー!S67="",0,IF(ISNUMBER(メンバー!S67),メンバー!S67,IFERROR(VLOOKUP(TRIM(メンバー!S67),設定!$A$11:$B$20,2,FALSE),0))))</f>
        <v>0</v>
      </c>
      <c r="T70" s="15">
        <f>IF(メンバー!T67="",T48,IF(メンバー!T67="",0,IF(ISNUMBER(メンバー!T67),メンバー!T67,IFERROR(VLOOKUP(TRIM(メンバー!T67),設定!$A$11:$B$20,2,FALSE),0))))</f>
        <v>0</v>
      </c>
      <c r="U70" s="15">
        <f>IF(メンバー!U67="",U48,IF(メンバー!U67="",0,IF(ISNUMBER(メンバー!U67),メンバー!U67,IFERROR(VLOOKUP(TRIM(メンバー!U67),設定!$A$11:$B$20,2,FALSE),0))))</f>
        <v>0</v>
      </c>
      <c r="V70" s="15">
        <f>IF(メンバー!V67="",V48,IF(メンバー!V67="",0,IF(ISNUMBER(メンバー!V67),メンバー!V67,IFERROR(VLOOKUP(TRIM(メンバー!V67),設定!$A$11:$B$20,2,FALSE),0))))</f>
        <v>0</v>
      </c>
    </row>
    <row r="71" spans="1:22" ht="15.75">
      <c r="A71" s="37" t="str">
        <f>IF(メンバー!$A22="","",メンバー!$A22)</f>
        <v/>
      </c>
      <c r="B71" s="37" t="str">
        <f>IF(メンバー!$B22="","",メンバー!$B22)</f>
        <v/>
      </c>
      <c r="C71" s="2"/>
      <c r="D71" s="15">
        <f>IF(メンバー!D68="",D49,IF(メンバー!D68="",0,IF(ISNUMBER(メンバー!D68),メンバー!D68,IFERROR(VLOOKUP(TRIM(メンバー!D68),設定!$A$11:$B$20,2,FALSE),0))))</f>
        <v>0</v>
      </c>
      <c r="E71" s="15">
        <f>IF(メンバー!E68="",E49,IF(メンバー!E68="",0,IF(ISNUMBER(メンバー!E68),メンバー!E68,IFERROR(VLOOKUP(TRIM(メンバー!E68),設定!$A$11:$B$20,2,FALSE),0))))</f>
        <v>0</v>
      </c>
      <c r="F71" s="15">
        <f>IF(メンバー!F68="",F49,IF(メンバー!F68="",0,IF(ISNUMBER(メンバー!F68),メンバー!F68,IFERROR(VLOOKUP(TRIM(メンバー!F68),設定!$A$11:$B$20,2,FALSE),0))))</f>
        <v>0</v>
      </c>
      <c r="G71" s="15">
        <f>IF(メンバー!G68="",G49,IF(メンバー!G68="",0,IF(ISNUMBER(メンバー!G68),メンバー!G68,IFERROR(VLOOKUP(TRIM(メンバー!G68),設定!$A$11:$B$20,2,FALSE),0))))</f>
        <v>0</v>
      </c>
      <c r="H71" s="15">
        <f>IF(メンバー!H68="",H49,IF(メンバー!H68="",0,IF(ISNUMBER(メンバー!H68),メンバー!H68,IFERROR(VLOOKUP(TRIM(メンバー!H68),設定!$A$11:$B$20,2,FALSE),0))))</f>
        <v>0</v>
      </c>
      <c r="I71" s="15">
        <f>IF(メンバー!I68="",I49,IF(メンバー!I68="",0,IF(ISNUMBER(メンバー!I68),メンバー!I68,IFERROR(VLOOKUP(TRIM(メンバー!I68),設定!$A$11:$B$20,2,FALSE),0))))</f>
        <v>0</v>
      </c>
      <c r="J71" s="15">
        <f>IF(メンバー!J68="",J49,IF(メンバー!J68="",0,IF(ISNUMBER(メンバー!J68),メンバー!J68,IFERROR(VLOOKUP(TRIM(メンバー!J68),設定!$A$11:$B$20,2,FALSE),0))))</f>
        <v>0</v>
      </c>
      <c r="K71" s="15">
        <f>IF(メンバー!K68="",K49,IF(メンバー!K68="",0,IF(ISNUMBER(メンバー!K68),メンバー!K68,IFERROR(VLOOKUP(TRIM(メンバー!K68),設定!$A$11:$B$20,2,FALSE),0))))</f>
        <v>0</v>
      </c>
      <c r="L71" s="15">
        <f>IF(メンバー!L68="",L49,IF(メンバー!L68="",0,IF(ISNUMBER(メンバー!L68),メンバー!L68,IFERROR(VLOOKUP(TRIM(メンバー!L68),設定!$A$11:$B$20,2,FALSE),0))))</f>
        <v>0</v>
      </c>
      <c r="M71" s="15">
        <f>IF(メンバー!M68="",M49,IF(メンバー!M68="",0,IF(ISNUMBER(メンバー!M68),メンバー!M68,IFERROR(VLOOKUP(TRIM(メンバー!M68),設定!$A$11:$B$20,2,FALSE),0))))</f>
        <v>0</v>
      </c>
      <c r="N71" s="15">
        <f>IF(メンバー!N68="",N49,IF(メンバー!N68="",0,IF(ISNUMBER(メンバー!N68),メンバー!N68,IFERROR(VLOOKUP(TRIM(メンバー!N68),設定!$A$11:$B$20,2,FALSE),0))))</f>
        <v>0</v>
      </c>
      <c r="O71" s="15">
        <f>IF(メンバー!O68="",O49,IF(メンバー!O68="",0,IF(ISNUMBER(メンバー!O68),メンバー!O68,IFERROR(VLOOKUP(TRIM(メンバー!O68),設定!$A$11:$B$20,2,FALSE),0))))</f>
        <v>0</v>
      </c>
      <c r="P71" s="15">
        <f>IF(メンバー!P68="",P49,IF(メンバー!P68="",0,IF(ISNUMBER(メンバー!P68),メンバー!P68,IFERROR(VLOOKUP(TRIM(メンバー!P68),設定!$A$11:$B$20,2,FALSE),0))))</f>
        <v>0</v>
      </c>
      <c r="Q71" s="15">
        <f>IF(メンバー!Q68="",Q49,IF(メンバー!Q68="",0,IF(ISNUMBER(メンバー!Q68),メンバー!Q68,IFERROR(VLOOKUP(TRIM(メンバー!Q68),設定!$A$11:$B$20,2,FALSE),0))))</f>
        <v>0</v>
      </c>
      <c r="R71" s="15">
        <f>IF(メンバー!R68="",R49,IF(メンバー!R68="",0,IF(ISNUMBER(メンバー!R68),メンバー!R68,IFERROR(VLOOKUP(TRIM(メンバー!R68),設定!$A$11:$B$20,2,FALSE),0))))</f>
        <v>0</v>
      </c>
      <c r="S71" s="15">
        <f>IF(メンバー!S68="",S49,IF(メンバー!S68="",0,IF(ISNUMBER(メンバー!S68),メンバー!S68,IFERROR(VLOOKUP(TRIM(メンバー!S68),設定!$A$11:$B$20,2,FALSE),0))))</f>
        <v>0</v>
      </c>
      <c r="T71" s="15">
        <f>IF(メンバー!T68="",T49,IF(メンバー!T68="",0,IF(ISNUMBER(メンバー!T68),メンバー!T68,IFERROR(VLOOKUP(TRIM(メンバー!T68),設定!$A$11:$B$20,2,FALSE),0))))</f>
        <v>0</v>
      </c>
      <c r="U71" s="15">
        <f>IF(メンバー!U68="",U49,IF(メンバー!U68="",0,IF(ISNUMBER(メンバー!U68),メンバー!U68,IFERROR(VLOOKUP(TRIM(メンバー!U68),設定!$A$11:$B$20,2,FALSE),0))))</f>
        <v>0</v>
      </c>
      <c r="V71" s="15">
        <f>IF(メンバー!V68="",V49,IF(メンバー!V68="",0,IF(ISNUMBER(メンバー!V68),メンバー!V68,IFERROR(VLOOKUP(TRIM(メンバー!V68),設定!$A$11:$B$20,2,FALSE),0))))</f>
        <v>0</v>
      </c>
    </row>
    <row r="72" spans="1:22" ht="15.75">
      <c r="A72" s="37" t="str">
        <f>IF(メンバー!$A23="","",メンバー!$A23)</f>
        <v/>
      </c>
      <c r="B72" s="37" t="str">
        <f>IF(メンバー!$B23="","",メンバー!$B23)</f>
        <v/>
      </c>
      <c r="C72" s="2"/>
      <c r="D72" s="15">
        <f>IF(メンバー!D69="",D50,IF(メンバー!D69="",0,IF(ISNUMBER(メンバー!D69),メンバー!D69,IFERROR(VLOOKUP(TRIM(メンバー!D69),設定!$A$11:$B$20,2,FALSE),0))))</f>
        <v>0</v>
      </c>
      <c r="E72" s="15">
        <f>IF(メンバー!E69="",E50,IF(メンバー!E69="",0,IF(ISNUMBER(メンバー!E69),メンバー!E69,IFERROR(VLOOKUP(TRIM(メンバー!E69),設定!$A$11:$B$20,2,FALSE),0))))</f>
        <v>0</v>
      </c>
      <c r="F72" s="15">
        <f>IF(メンバー!F69="",F50,IF(メンバー!F69="",0,IF(ISNUMBER(メンバー!F69),メンバー!F69,IFERROR(VLOOKUP(TRIM(メンバー!F69),設定!$A$11:$B$20,2,FALSE),0))))</f>
        <v>0</v>
      </c>
      <c r="G72" s="15">
        <f>IF(メンバー!G69="",G50,IF(メンバー!G69="",0,IF(ISNUMBER(メンバー!G69),メンバー!G69,IFERROR(VLOOKUP(TRIM(メンバー!G69),設定!$A$11:$B$20,2,FALSE),0))))</f>
        <v>0</v>
      </c>
      <c r="H72" s="15">
        <f>IF(メンバー!H69="",H50,IF(メンバー!H69="",0,IF(ISNUMBER(メンバー!H69),メンバー!H69,IFERROR(VLOOKUP(TRIM(メンバー!H69),設定!$A$11:$B$20,2,FALSE),0))))</f>
        <v>0</v>
      </c>
      <c r="I72" s="15">
        <f>IF(メンバー!I69="",I50,IF(メンバー!I69="",0,IF(ISNUMBER(メンバー!I69),メンバー!I69,IFERROR(VLOOKUP(TRIM(メンバー!I69),設定!$A$11:$B$20,2,FALSE),0))))</f>
        <v>0</v>
      </c>
      <c r="J72" s="15">
        <f>IF(メンバー!J69="",J50,IF(メンバー!J69="",0,IF(ISNUMBER(メンバー!J69),メンバー!J69,IFERROR(VLOOKUP(TRIM(メンバー!J69),設定!$A$11:$B$20,2,FALSE),0))))</f>
        <v>0</v>
      </c>
      <c r="K72" s="15">
        <f>IF(メンバー!K69="",K50,IF(メンバー!K69="",0,IF(ISNUMBER(メンバー!K69),メンバー!K69,IFERROR(VLOOKUP(TRIM(メンバー!K69),設定!$A$11:$B$20,2,FALSE),0))))</f>
        <v>0</v>
      </c>
      <c r="L72" s="15">
        <f>IF(メンバー!L69="",L50,IF(メンバー!L69="",0,IF(ISNUMBER(メンバー!L69),メンバー!L69,IFERROR(VLOOKUP(TRIM(メンバー!L69),設定!$A$11:$B$20,2,FALSE),0))))</f>
        <v>0</v>
      </c>
      <c r="M72" s="15">
        <f>IF(メンバー!M69="",M50,IF(メンバー!M69="",0,IF(ISNUMBER(メンバー!M69),メンバー!M69,IFERROR(VLOOKUP(TRIM(メンバー!M69),設定!$A$11:$B$20,2,FALSE),0))))</f>
        <v>0</v>
      </c>
      <c r="N72" s="15">
        <f>IF(メンバー!N69="",N50,IF(メンバー!N69="",0,IF(ISNUMBER(メンバー!N69),メンバー!N69,IFERROR(VLOOKUP(TRIM(メンバー!N69),設定!$A$11:$B$20,2,FALSE),0))))</f>
        <v>0</v>
      </c>
      <c r="O72" s="15">
        <f>IF(メンバー!O69="",O50,IF(メンバー!O69="",0,IF(ISNUMBER(メンバー!O69),メンバー!O69,IFERROR(VLOOKUP(TRIM(メンバー!O69),設定!$A$11:$B$20,2,FALSE),0))))</f>
        <v>0</v>
      </c>
      <c r="P72" s="15">
        <f>IF(メンバー!P69="",P50,IF(メンバー!P69="",0,IF(ISNUMBER(メンバー!P69),メンバー!P69,IFERROR(VLOOKUP(TRIM(メンバー!P69),設定!$A$11:$B$20,2,FALSE),0))))</f>
        <v>0</v>
      </c>
      <c r="Q72" s="15">
        <f>IF(メンバー!Q69="",Q50,IF(メンバー!Q69="",0,IF(ISNUMBER(メンバー!Q69),メンバー!Q69,IFERROR(VLOOKUP(TRIM(メンバー!Q69),設定!$A$11:$B$20,2,FALSE),0))))</f>
        <v>0</v>
      </c>
      <c r="R72" s="15">
        <f>IF(メンバー!R69="",R50,IF(メンバー!R69="",0,IF(ISNUMBER(メンバー!R69),メンバー!R69,IFERROR(VLOOKUP(TRIM(メンバー!R69),設定!$A$11:$B$20,2,FALSE),0))))</f>
        <v>0</v>
      </c>
      <c r="S72" s="15">
        <f>IF(メンバー!S69="",S50,IF(メンバー!S69="",0,IF(ISNUMBER(メンバー!S69),メンバー!S69,IFERROR(VLOOKUP(TRIM(メンバー!S69),設定!$A$11:$B$20,2,FALSE),0))))</f>
        <v>0</v>
      </c>
      <c r="T72" s="15">
        <f>IF(メンバー!T69="",T50,IF(メンバー!T69="",0,IF(ISNUMBER(メンバー!T69),メンバー!T69,IFERROR(VLOOKUP(TRIM(メンバー!T69),設定!$A$11:$B$20,2,FALSE),0))))</f>
        <v>0</v>
      </c>
      <c r="U72" s="15">
        <f>IF(メンバー!U69="",U50,IF(メンバー!U69="",0,IF(ISNUMBER(メンバー!U69),メンバー!U69,IFERROR(VLOOKUP(TRIM(メンバー!U69),設定!$A$11:$B$20,2,FALSE),0))))</f>
        <v>0</v>
      </c>
      <c r="V72" s="15">
        <f>IF(メンバー!V69="",V50,IF(メンバー!V69="",0,IF(ISNUMBER(メンバー!V69),メンバー!V69,IFERROR(VLOOKUP(TRIM(メンバー!V69),設定!$A$11:$B$20,2,FALSE),0))))</f>
        <v>0</v>
      </c>
    </row>
    <row r="73" spans="1:22" ht="15.75">
      <c r="A73" s="37" t="str">
        <f>IF(メンバー!$A24="","",メンバー!$A24)</f>
        <v/>
      </c>
      <c r="B73" s="37" t="str">
        <f>IF(メンバー!$B24="","",メンバー!$B24)</f>
        <v/>
      </c>
      <c r="C73" s="2"/>
      <c r="D73" s="15">
        <f>IF(メンバー!D70="",D51,IF(メンバー!D70="",0,IF(ISNUMBER(メンバー!D70),メンバー!D70,IFERROR(VLOOKUP(TRIM(メンバー!D70),設定!$A$11:$B$20,2,FALSE),0))))</f>
        <v>0</v>
      </c>
      <c r="E73" s="15">
        <f>IF(メンバー!E70="",E51,IF(メンバー!E70="",0,IF(ISNUMBER(メンバー!E70),メンバー!E70,IFERROR(VLOOKUP(TRIM(メンバー!E70),設定!$A$11:$B$20,2,FALSE),0))))</f>
        <v>0</v>
      </c>
      <c r="F73" s="15">
        <f>IF(メンバー!F70="",F51,IF(メンバー!F70="",0,IF(ISNUMBER(メンバー!F70),メンバー!F70,IFERROR(VLOOKUP(TRIM(メンバー!F70),設定!$A$11:$B$20,2,FALSE),0))))</f>
        <v>0</v>
      </c>
      <c r="G73" s="15">
        <f>IF(メンバー!G70="",G51,IF(メンバー!G70="",0,IF(ISNUMBER(メンバー!G70),メンバー!G70,IFERROR(VLOOKUP(TRIM(メンバー!G70),設定!$A$11:$B$20,2,FALSE),0))))</f>
        <v>0</v>
      </c>
      <c r="H73" s="15">
        <f>IF(メンバー!H70="",H51,IF(メンバー!H70="",0,IF(ISNUMBER(メンバー!H70),メンバー!H70,IFERROR(VLOOKUP(TRIM(メンバー!H70),設定!$A$11:$B$20,2,FALSE),0))))</f>
        <v>0</v>
      </c>
      <c r="I73" s="15">
        <f>IF(メンバー!I70="",I51,IF(メンバー!I70="",0,IF(ISNUMBER(メンバー!I70),メンバー!I70,IFERROR(VLOOKUP(TRIM(メンバー!I70),設定!$A$11:$B$20,2,FALSE),0))))</f>
        <v>0</v>
      </c>
      <c r="J73" s="15">
        <f>IF(メンバー!J70="",J51,IF(メンバー!J70="",0,IF(ISNUMBER(メンバー!J70),メンバー!J70,IFERROR(VLOOKUP(TRIM(メンバー!J70),設定!$A$11:$B$20,2,FALSE),0))))</f>
        <v>0</v>
      </c>
      <c r="K73" s="15">
        <f>IF(メンバー!K70="",K51,IF(メンバー!K70="",0,IF(ISNUMBER(メンバー!K70),メンバー!K70,IFERROR(VLOOKUP(TRIM(メンバー!K70),設定!$A$11:$B$20,2,FALSE),0))))</f>
        <v>0</v>
      </c>
      <c r="L73" s="15">
        <f>IF(メンバー!L70="",L51,IF(メンバー!L70="",0,IF(ISNUMBER(メンバー!L70),メンバー!L70,IFERROR(VLOOKUP(TRIM(メンバー!L70),設定!$A$11:$B$20,2,FALSE),0))))</f>
        <v>0</v>
      </c>
      <c r="M73" s="15">
        <f>IF(メンバー!M70="",M51,IF(メンバー!M70="",0,IF(ISNUMBER(メンバー!M70),メンバー!M70,IFERROR(VLOOKUP(TRIM(メンバー!M70),設定!$A$11:$B$20,2,FALSE),0))))</f>
        <v>0</v>
      </c>
      <c r="N73" s="15">
        <f>IF(メンバー!N70="",N51,IF(メンバー!N70="",0,IF(ISNUMBER(メンバー!N70),メンバー!N70,IFERROR(VLOOKUP(TRIM(メンバー!N70),設定!$A$11:$B$20,2,FALSE),0))))</f>
        <v>0</v>
      </c>
      <c r="O73" s="15">
        <f>IF(メンバー!O70="",O51,IF(メンバー!O70="",0,IF(ISNUMBER(メンバー!O70),メンバー!O70,IFERROR(VLOOKUP(TRIM(メンバー!O70),設定!$A$11:$B$20,2,FALSE),0))))</f>
        <v>0</v>
      </c>
      <c r="P73" s="15">
        <f>IF(メンバー!P70="",P51,IF(メンバー!P70="",0,IF(ISNUMBER(メンバー!P70),メンバー!P70,IFERROR(VLOOKUP(TRIM(メンバー!P70),設定!$A$11:$B$20,2,FALSE),0))))</f>
        <v>0</v>
      </c>
      <c r="Q73" s="15">
        <f>IF(メンバー!Q70="",Q51,IF(メンバー!Q70="",0,IF(ISNUMBER(メンバー!Q70),メンバー!Q70,IFERROR(VLOOKUP(TRIM(メンバー!Q70),設定!$A$11:$B$20,2,FALSE),0))))</f>
        <v>0</v>
      </c>
      <c r="R73" s="15">
        <f>IF(メンバー!R70="",R51,IF(メンバー!R70="",0,IF(ISNUMBER(メンバー!R70),メンバー!R70,IFERROR(VLOOKUP(TRIM(メンバー!R70),設定!$A$11:$B$20,2,FALSE),0))))</f>
        <v>0</v>
      </c>
      <c r="S73" s="15">
        <f>IF(メンバー!S70="",S51,IF(メンバー!S70="",0,IF(ISNUMBER(メンバー!S70),メンバー!S70,IFERROR(VLOOKUP(TRIM(メンバー!S70),設定!$A$11:$B$20,2,FALSE),0))))</f>
        <v>0</v>
      </c>
      <c r="T73" s="15">
        <f>IF(メンバー!T70="",T51,IF(メンバー!T70="",0,IF(ISNUMBER(メンバー!T70),メンバー!T70,IFERROR(VLOOKUP(TRIM(メンバー!T70),設定!$A$11:$B$20,2,FALSE),0))))</f>
        <v>0</v>
      </c>
      <c r="U73" s="15">
        <f>IF(メンバー!U70="",U51,IF(メンバー!U70="",0,IF(ISNUMBER(メンバー!U70),メンバー!U70,IFERROR(VLOOKUP(TRIM(メンバー!U70),設定!$A$11:$B$20,2,FALSE),0))))</f>
        <v>0</v>
      </c>
      <c r="V73" s="15">
        <f>IF(メンバー!V70="",V51,IF(メンバー!V70="",0,IF(ISNUMBER(メンバー!V70),メンバー!V70,IFERROR(VLOOKUP(TRIM(メンバー!V70),設定!$A$11:$B$20,2,FALSE),0))))</f>
        <v>0</v>
      </c>
    </row>
    <row r="74" spans="1:22" ht="15.75">
      <c r="A74" s="37" t="str">
        <f>IF(メンバー!$A25="","",メンバー!$A25)</f>
        <v/>
      </c>
      <c r="B74" s="37" t="str">
        <f>IF(メンバー!$B25="","",メンバー!$B25)</f>
        <v/>
      </c>
      <c r="C74" s="2"/>
      <c r="D74" s="15">
        <f>IF(メンバー!D71="",D52,IF(メンバー!D71="",0,IF(ISNUMBER(メンバー!D71),メンバー!D71,IFERROR(VLOOKUP(TRIM(メンバー!D71),設定!$A$11:$B$20,2,FALSE),0))))</f>
        <v>0</v>
      </c>
      <c r="E74" s="15">
        <f>IF(メンバー!E71="",E52,IF(メンバー!E71="",0,IF(ISNUMBER(メンバー!E71),メンバー!E71,IFERROR(VLOOKUP(TRIM(メンバー!E71),設定!$A$11:$B$20,2,FALSE),0))))</f>
        <v>0</v>
      </c>
      <c r="F74" s="15">
        <f>IF(メンバー!F71="",F52,IF(メンバー!F71="",0,IF(ISNUMBER(メンバー!F71),メンバー!F71,IFERROR(VLOOKUP(TRIM(メンバー!F71),設定!$A$11:$B$20,2,FALSE),0))))</f>
        <v>0</v>
      </c>
      <c r="G74" s="15">
        <f>IF(メンバー!G71="",G52,IF(メンバー!G71="",0,IF(ISNUMBER(メンバー!G71),メンバー!G71,IFERROR(VLOOKUP(TRIM(メンバー!G71),設定!$A$11:$B$20,2,FALSE),0))))</f>
        <v>0</v>
      </c>
      <c r="H74" s="15">
        <f>IF(メンバー!H71="",H52,IF(メンバー!H71="",0,IF(ISNUMBER(メンバー!H71),メンバー!H71,IFERROR(VLOOKUP(TRIM(メンバー!H71),設定!$A$11:$B$20,2,FALSE),0))))</f>
        <v>0</v>
      </c>
      <c r="I74" s="15">
        <f>IF(メンバー!I71="",I52,IF(メンバー!I71="",0,IF(ISNUMBER(メンバー!I71),メンバー!I71,IFERROR(VLOOKUP(TRIM(メンバー!I71),設定!$A$11:$B$20,2,FALSE),0))))</f>
        <v>0</v>
      </c>
      <c r="J74" s="15">
        <f>IF(メンバー!J71="",J52,IF(メンバー!J71="",0,IF(ISNUMBER(メンバー!J71),メンバー!J71,IFERROR(VLOOKUP(TRIM(メンバー!J71),設定!$A$11:$B$20,2,FALSE),0))))</f>
        <v>0</v>
      </c>
      <c r="K74" s="15">
        <f>IF(メンバー!K71="",K52,IF(メンバー!K71="",0,IF(ISNUMBER(メンバー!K71),メンバー!K71,IFERROR(VLOOKUP(TRIM(メンバー!K71),設定!$A$11:$B$20,2,FALSE),0))))</f>
        <v>0</v>
      </c>
      <c r="L74" s="15">
        <f>IF(メンバー!L71="",L52,IF(メンバー!L71="",0,IF(ISNUMBER(メンバー!L71),メンバー!L71,IFERROR(VLOOKUP(TRIM(メンバー!L71),設定!$A$11:$B$20,2,FALSE),0))))</f>
        <v>0</v>
      </c>
      <c r="M74" s="15">
        <f>IF(メンバー!M71="",M52,IF(メンバー!M71="",0,IF(ISNUMBER(メンバー!M71),メンバー!M71,IFERROR(VLOOKUP(TRIM(メンバー!M71),設定!$A$11:$B$20,2,FALSE),0))))</f>
        <v>0</v>
      </c>
      <c r="N74" s="15">
        <f>IF(メンバー!N71="",N52,IF(メンバー!N71="",0,IF(ISNUMBER(メンバー!N71),メンバー!N71,IFERROR(VLOOKUP(TRIM(メンバー!N71),設定!$A$11:$B$20,2,FALSE),0))))</f>
        <v>0</v>
      </c>
      <c r="O74" s="15">
        <f>IF(メンバー!O71="",O52,IF(メンバー!O71="",0,IF(ISNUMBER(メンバー!O71),メンバー!O71,IFERROR(VLOOKUP(TRIM(メンバー!O71),設定!$A$11:$B$20,2,FALSE),0))))</f>
        <v>0</v>
      </c>
      <c r="P74" s="15">
        <f>IF(メンバー!P71="",P52,IF(メンバー!P71="",0,IF(ISNUMBER(メンバー!P71),メンバー!P71,IFERROR(VLOOKUP(TRIM(メンバー!P71),設定!$A$11:$B$20,2,FALSE),0))))</f>
        <v>0</v>
      </c>
      <c r="Q74" s="15">
        <f>IF(メンバー!Q71="",Q52,IF(メンバー!Q71="",0,IF(ISNUMBER(メンバー!Q71),メンバー!Q71,IFERROR(VLOOKUP(TRIM(メンバー!Q71),設定!$A$11:$B$20,2,FALSE),0))))</f>
        <v>0</v>
      </c>
      <c r="R74" s="15">
        <f>IF(メンバー!R71="",R52,IF(メンバー!R71="",0,IF(ISNUMBER(メンバー!R71),メンバー!R71,IFERROR(VLOOKUP(TRIM(メンバー!R71),設定!$A$11:$B$20,2,FALSE),0))))</f>
        <v>0</v>
      </c>
      <c r="S74" s="15">
        <f>IF(メンバー!S71="",S52,IF(メンバー!S71="",0,IF(ISNUMBER(メンバー!S71),メンバー!S71,IFERROR(VLOOKUP(TRIM(メンバー!S71),設定!$A$11:$B$20,2,FALSE),0))))</f>
        <v>0</v>
      </c>
      <c r="T74" s="15">
        <f>IF(メンバー!T71="",T52,IF(メンバー!T71="",0,IF(ISNUMBER(メンバー!T71),メンバー!T71,IFERROR(VLOOKUP(TRIM(メンバー!T71),設定!$A$11:$B$20,2,FALSE),0))))</f>
        <v>0</v>
      </c>
      <c r="U74" s="15">
        <f>IF(メンバー!U71="",U52,IF(メンバー!U71="",0,IF(ISNUMBER(メンバー!U71),メンバー!U71,IFERROR(VLOOKUP(TRIM(メンバー!U71),設定!$A$11:$B$20,2,FALSE),0))))</f>
        <v>0</v>
      </c>
      <c r="V74" s="15">
        <f>IF(メンバー!V71="",V52,IF(メンバー!V71="",0,IF(ISNUMBER(メンバー!V71),メンバー!V71,IFERROR(VLOOKUP(TRIM(メンバー!V71),設定!$A$11:$B$20,2,FALSE),0))))</f>
        <v>0</v>
      </c>
    </row>
  </sheetData>
  <phoneticPr fontId="9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月次</vt:lpstr>
      <vt:lpstr>件数入力</vt:lpstr>
      <vt:lpstr>メンバー</vt:lpstr>
      <vt:lpstr>設定</vt:lpstr>
      <vt:lpstr>計算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ちゅ ちなー</cp:lastModifiedBy>
  <dcterms:created xsi:type="dcterms:W3CDTF">2026-10-08T11:36:20Z</dcterms:created>
  <dcterms:modified xsi:type="dcterms:W3CDTF">2026-10-08T12:16:31Z</dcterms:modified>
</cp:coreProperties>
</file>